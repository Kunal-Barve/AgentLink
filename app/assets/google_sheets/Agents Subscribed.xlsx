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sts &amp; Charges" sheetId="2" r:id="rId6"/>
    <sheet state="visible" name="Agents Cancelled Subscriptions" sheetId="3" r:id="rId7"/>
    <sheet state="visible" name="Agents by State" sheetId="4" r:id="rId8"/>
  </sheets>
  <definedNames/>
  <calcPr/>
</workbook>
</file>

<file path=xl/sharedStrings.xml><?xml version="1.0" encoding="utf-8"?>
<sst xmlns="http://schemas.openxmlformats.org/spreadsheetml/2006/main" count="16899" uniqueCount="2317">
  <si>
    <t>Name</t>
  </si>
  <si>
    <t>Email</t>
  </si>
  <si>
    <t>Phone</t>
  </si>
  <si>
    <t>State</t>
  </si>
  <si>
    <t>Suburb</t>
  </si>
  <si>
    <t>Subscription Date</t>
  </si>
  <si>
    <t>Period</t>
  </si>
  <si>
    <t>Subscription Type</t>
  </si>
  <si>
    <t>Manully Pull Data</t>
  </si>
  <si>
    <t>Total Sales</t>
  </si>
  <si>
    <t>Total Sales Value</t>
  </si>
  <si>
    <t>Median Sold Price</t>
  </si>
  <si>
    <t>Agency</t>
  </si>
  <si>
    <t>Agent Photo</t>
  </si>
  <si>
    <t>Agency Photo</t>
  </si>
  <si>
    <t>Postcode</t>
  </si>
  <si>
    <t>Ad Group</t>
  </si>
  <si>
    <t>MRR</t>
  </si>
  <si>
    <t>Agent Status</t>
  </si>
  <si>
    <t>Less than $500k Commission</t>
  </si>
  <si>
    <t>$500k-$1m Commission</t>
  </si>
  <si>
    <t>$1m-$1.5m Commission</t>
  </si>
  <si>
    <t>$1.5m-$2m Commission</t>
  </si>
  <si>
    <t>$2m-$2.5m Commission</t>
  </si>
  <si>
    <t>$2.5m-$3m Commission</t>
  </si>
  <si>
    <t>$3-$3.5m Commission</t>
  </si>
  <si>
    <t>$3.5m-$4m Commission</t>
  </si>
  <si>
    <t>$4m-$6m Commission</t>
  </si>
  <si>
    <t>$6m-$8m Commission</t>
  </si>
  <si>
    <t>$8m-$10m Commission</t>
  </si>
  <si>
    <t>$10m+ Commission</t>
  </si>
  <si>
    <t>Less than $500k Marketing</t>
  </si>
  <si>
    <t>$500k-$1m Marketing</t>
  </si>
  <si>
    <t>$1m-$1.5m Marketing</t>
  </si>
  <si>
    <t>$1.5m-$2m Marketing</t>
  </si>
  <si>
    <t>$2m-$2.5m Marketing</t>
  </si>
  <si>
    <t>$2.5m-$3m Marketing</t>
  </si>
  <si>
    <t>$3m-$3.5m Marketing</t>
  </si>
  <si>
    <t>$3.5m-$4m Marketing</t>
  </si>
  <si>
    <t>$4m-$6m Marketing</t>
  </si>
  <si>
    <t>$6m-$8m Marketing</t>
  </si>
  <si>
    <t>$8m-$10m Marketing</t>
  </si>
  <si>
    <t>$10m+ Marketing</t>
  </si>
  <si>
    <t>Kunal Barve</t>
  </si>
  <si>
    <t>callumdocker1@gmail.com</t>
  </si>
  <si>
    <t>0416 410 636</t>
  </si>
  <si>
    <t>NSW</t>
  </si>
  <si>
    <t>Windradyne</t>
  </si>
  <si>
    <t>Featured</t>
  </si>
  <si>
    <t>Yes</t>
  </si>
  <si>
    <t>$15.85m</t>
  </si>
  <si>
    <t>$3.92m</t>
  </si>
  <si>
    <t>McGrath - Pittwater</t>
  </si>
  <si>
    <t>https://www.dropbox.com/scl/fi/93q2w2koii4pfe9um7wqd/main-29.jpg?rlkey=adpek3jepgci2qo8zjea0pxzx&amp;st=6p52q93l&amp;dl=0</t>
  </si>
  <si>
    <t>https://www.dropbox.com/scl/fi/dxpgxkhimmzu3zkowq1ot/McGrath_Logo_Black-1.png?rlkey=3dugeaua7u8fpmh253tub406a&amp;st=pbx7eh9u&amp;dl=0</t>
  </si>
  <si>
    <t>Howie Hill</t>
  </si>
  <si>
    <t>howie@agentlink.au</t>
  </si>
  <si>
    <t>0422 422 450</t>
  </si>
  <si>
    <t>Finke</t>
  </si>
  <si>
    <t>Howie Test</t>
  </si>
  <si>
    <t>Surrounding</t>
  </si>
  <si>
    <t>Callum Docker</t>
  </si>
  <si>
    <t>callum@agentlink.au</t>
  </si>
  <si>
    <t>Coolgardie</t>
  </si>
  <si>
    <t>Sam Thompson</t>
  </si>
  <si>
    <t>samthompson@mcgrath.com.au</t>
  </si>
  <si>
    <t>0497 618 492</t>
  </si>
  <si>
    <t>Bayview</t>
  </si>
  <si>
    <t>Church Point</t>
  </si>
  <si>
    <t>James Baker</t>
  </si>
  <si>
    <t>jamesbakeravalon@gmail.com</t>
  </si>
  <si>
    <t>0421 272 692</t>
  </si>
  <si>
    <t>Avalon Beach</t>
  </si>
  <si>
    <t>$97.50m</t>
  </si>
  <si>
    <t>$2.90m</t>
  </si>
  <si>
    <t>https://www.dropbox.com/scl/fi/i38kr2do4achrjpt284n6/main-28.jpg?rlkey=53uk8l5jdg4qu07qszfmnlize&amp;st=ad9itera&amp;dl=0</t>
  </si>
  <si>
    <t>Clareville</t>
  </si>
  <si>
    <t>`</t>
  </si>
  <si>
    <t>Palm Beach</t>
  </si>
  <si>
    <t>$25.50m</t>
  </si>
  <si>
    <t>$7.30m</t>
  </si>
  <si>
    <t>Tamara Lawless</t>
  </si>
  <si>
    <t>tlawless@dijones.com.au</t>
  </si>
  <si>
    <t>0421 277 199</t>
  </si>
  <si>
    <t>Killarney Heights</t>
  </si>
  <si>
    <t>$13.3m</t>
  </si>
  <si>
    <t>$2.66m</t>
  </si>
  <si>
    <t>Di Jones</t>
  </si>
  <si>
    <t>https://www.dropbox.com/scl/fi/tyg11cggpa18i3s9yrpvy/tamara_lawless.jpg?rlkey=oljgdjqcyvq3d6ybd9yqnannj&amp;st=mjxqvabs&amp;dl=0</t>
  </si>
  <si>
    <t>https://www.dropbox.com/scl/fi/kwmsc584vxl7rubrxuvpm/diJones.png?rlkey=yhjm9ai6iw6ssbg3pixxcnsyh&amp;st=ejxzt27g&amp;dl=0</t>
  </si>
  <si>
    <t>Belrose</t>
  </si>
  <si>
    <t>Frenchs Forest</t>
  </si>
  <si>
    <t>Forestville</t>
  </si>
  <si>
    <t>Seaforth</t>
  </si>
  <si>
    <t>Chris Aldren</t>
  </si>
  <si>
    <t>chris@thenorthagency.com.au</t>
  </si>
  <si>
    <t>0403 567 142</t>
  </si>
  <si>
    <t>Cromer</t>
  </si>
  <si>
    <t>$5.32m</t>
  </si>
  <si>
    <t>The North Agency</t>
  </si>
  <si>
    <t>https://www.dropbox.com/scl/fi/p0p6i1vifnh7myht9jtis/main-39.jpg?rlkey=b5uavbgmdrxujk4o85kmx8okn&amp;st=5a2nnsre&amp;dl=0</t>
  </si>
  <si>
    <t>https://www.dropbox.com/scl/fi/3s9tr5g51vsixs5mtnl3d/Screenshot-2026-03-16-at-5.22.01-pm.png?rlkey=ql1ci3xdph0ams94su7upz72v&amp;st=o9lbq65g&amp;dl=0</t>
  </si>
  <si>
    <t>Michael Kirk</t>
  </si>
  <si>
    <t>Michael@bresicwhitney.com.au</t>
  </si>
  <si>
    <t>0401 568 412</t>
  </si>
  <si>
    <t>Redfern</t>
  </si>
  <si>
    <t>Maclay Longhurst</t>
  </si>
  <si>
    <t>Maclay@sydneysir.com</t>
  </si>
  <si>
    <t>0420 206 659</t>
  </si>
  <si>
    <t>Paddington</t>
  </si>
  <si>
    <t>Featured Plus</t>
  </si>
  <si>
    <t>$265.5m</t>
  </si>
  <si>
    <t>$4.75m</t>
  </si>
  <si>
    <t>Sydney Sotheby's International Realty - Double Bay</t>
  </si>
  <si>
    <t>https://www.dropbox.com/scl/fi/vcfbhd4ay7h4f9oc98qyo/main-30.jpg?rlkey=asy6lp4pbjxxajbswj2itnno4&amp;st=lf4cezr1&amp;dl=0</t>
  </si>
  <si>
    <t>https://www.dropbox.com/scl/fi/zq07uz51cz8ktcnatqcwd/Screenshot-2025-11-14-at-1.32.58-PM.png?rlkey=vkxl56qwspj4yyj21f9ub8ph2&amp;st=5kb1o1jx&amp;dl=0</t>
  </si>
  <si>
    <t>Woollahra</t>
  </si>
  <si>
    <t>$85.50m</t>
  </si>
  <si>
    <t>$4.73m</t>
  </si>
  <si>
    <t>Bondi</t>
  </si>
  <si>
    <t>North Bondi</t>
  </si>
  <si>
    <t>Bondi Beach</t>
  </si>
  <si>
    <t>Bondi Junction</t>
  </si>
  <si>
    <t>Double Bay</t>
  </si>
  <si>
    <t>Bellevue Hill</t>
  </si>
  <si>
    <t>Moore Park</t>
  </si>
  <si>
    <t>Adrian Venturi</t>
  </si>
  <si>
    <t>adrianventuri@mcgrath.com.au</t>
  </si>
  <si>
    <t>0425 202 052</t>
  </si>
  <si>
    <t>Bilgola Plateau</t>
  </si>
  <si>
    <t>$45.50m</t>
  </si>
  <si>
    <t>https://www.dropbox.com/scl/fi/m5t6mq1vo4ng6r1xeu15c/main-27.jpg?rlkey=2or5g8x8b9lgj86dmq0uulie8&amp;st=zwiay0oc&amp;dl=0</t>
  </si>
  <si>
    <t>Matthew Turner</t>
  </si>
  <si>
    <t>matthewt@cunninghamsre.com.au</t>
  </si>
  <si>
    <t>0413 785 104</t>
  </si>
  <si>
    <t>Dee Why</t>
  </si>
  <si>
    <t>12 Months</t>
  </si>
  <si>
    <t>$33.35m</t>
  </si>
  <si>
    <t>$1.76m</t>
  </si>
  <si>
    <t>Cunninghams</t>
  </si>
  <si>
    <t>https://www.dropbox.com/scl/fi/pn9k7iy8b705l1ya0bo9h/main-26.jpg?rlkey=npvy234kj4a6ffnwi8pp2wrtc&amp;st=kkzfmf4v&amp;dl=0</t>
  </si>
  <si>
    <t>https://www.dropbox.com/scl/fi/ikmqdryqed657p294ky3h/home-of-northern-beaches-NAVY-STACKED-w-LOGO-HR.png?rlkey=ag64bcuob2hptx7xw73h2ztla&amp;st=3ae14bn2&amp;dl=0</t>
  </si>
  <si>
    <t>Beacon Hill</t>
  </si>
  <si>
    <t>$3.52m</t>
  </si>
  <si>
    <t>Emily Read</t>
  </si>
  <si>
    <t>emily.read@belleproperty.com</t>
  </si>
  <si>
    <t>0425 301 739</t>
  </si>
  <si>
    <t>North Curl Curl</t>
  </si>
  <si>
    <t>$44.50m</t>
  </si>
  <si>
    <t>$4.85m</t>
  </si>
  <si>
    <t>Belle Property Northern Beaches</t>
  </si>
  <si>
    <t>https://www.dropbox.com/scl/fi/ap8l0qltu6azkvnuvomfb/main-20.png?rlkey=bhl8z2wbpgdnt2n0is4b2jrsp&amp;st=li7qktjg&amp;dl=0</t>
  </si>
  <si>
    <t>https://www.dropbox.com/scl/fi/8ji9gnnaggquzvkjazern/Screenshot-2025-11-04-at-4.37.59-PM.png?rlkey=vagvecoxrveqcfhkvm9watw6d&amp;st=ww2pyxlp&amp;dl=0</t>
  </si>
  <si>
    <t>Michelle Galletti</t>
  </si>
  <si>
    <t>michelle@cunninghamsre.com.au</t>
  </si>
  <si>
    <t>0403 039 444</t>
  </si>
  <si>
    <t>Freshwater</t>
  </si>
  <si>
    <t>$82.50m</t>
  </si>
  <si>
    <t>$1.65m</t>
  </si>
  <si>
    <t>https://www.dropbox.com/scl/fi/b11fj12fs56eu7aj2bubq/main-25.jpg?rlkey=tgaz234rkpqrc7y69feetqwbk&amp;st=mhd6xy02&amp;dl=0</t>
  </si>
  <si>
    <t>Trent Waters</t>
  </si>
  <si>
    <t>trentwaters@oneagencypenrith.com.au</t>
  </si>
  <si>
    <t>0408 499 171</t>
  </si>
  <si>
    <t>South Penrith</t>
  </si>
  <si>
    <t>$3.5m</t>
  </si>
  <si>
    <t>$1.1m</t>
  </si>
  <si>
    <t>One Agency</t>
  </si>
  <si>
    <t>https://www.dropbox.com/scl/fi/6b31yzl5xrdeu318w2dzs/main-1.png?rlkey=t1pq14hhbgmbs5v9x5nhstxer&amp;st=iv426uf7&amp;dl=0</t>
  </si>
  <si>
    <t>https://www.dropbox.com/scl/fi/b51o8hd0tpg516mdelt65/images-1.png?rlkey=s8v02l0gaol2zlycsp42dm90u&amp;st=ptex4t93&amp;dl=0</t>
  </si>
  <si>
    <t>Jordan Springs</t>
  </si>
  <si>
    <t>Penrith</t>
  </si>
  <si>
    <t>Kingswood</t>
  </si>
  <si>
    <t>Caddens</t>
  </si>
  <si>
    <t>Blaxland</t>
  </si>
  <si>
    <t>Blaxland East</t>
  </si>
  <si>
    <t>Glenmore Park</t>
  </si>
  <si>
    <t>Emu Plains</t>
  </si>
  <si>
    <t>St. Clair</t>
  </si>
  <si>
    <t>Silverdale</t>
  </si>
  <si>
    <t>Shalvey</t>
  </si>
  <si>
    <t>Emu Heights</t>
  </si>
  <si>
    <t>Dhurrak</t>
  </si>
  <si>
    <t>George Karasalidis</t>
  </si>
  <si>
    <t>anthony.perry@raywhite.com</t>
  </si>
  <si>
    <t>0405 111 166</t>
  </si>
  <si>
    <t>Earlwood</t>
  </si>
  <si>
    <t>$39.85m</t>
  </si>
  <si>
    <t>$870k</t>
  </si>
  <si>
    <t>Ray White</t>
  </si>
  <si>
    <t>https://www.dropbox.com/scl/fi/e8tk6ur68rbxhf33dn0yi/main-24.jpg?rlkey=eegq41lguqin8z46a2im67kfx&amp;st=027wcrff&amp;dl=0</t>
  </si>
  <si>
    <t>https://www.dropbox.com/scl/fi/241ekxil2iz8waw5mvwjp/Screenshot-2025-11-13-at-1.56.10-PM.png?rlkey=14bjew840h92t8i1tgeo3bcbv&amp;st=6xeeyj8i&amp;dl=0</t>
  </si>
  <si>
    <t>Kingsgrove</t>
  </si>
  <si>
    <t>$12.60m</t>
  </si>
  <si>
    <t>Dulwich Hill</t>
  </si>
  <si>
    <t>Roselands</t>
  </si>
  <si>
    <t>Wiley Park</t>
  </si>
  <si>
    <t>Canterbury</t>
  </si>
  <si>
    <t>Bexley</t>
  </si>
  <si>
    <t>$1.74m</t>
  </si>
  <si>
    <t>Bexley North</t>
  </si>
  <si>
    <t>Bardwell Park</t>
  </si>
  <si>
    <t>Bardwell Valley</t>
  </si>
  <si>
    <t>Penny Timothy</t>
  </si>
  <si>
    <t>ptimothy@rwebay.com.au</t>
  </si>
  <si>
    <t>0418 546 500 </t>
  </si>
  <si>
    <t>Potts Point</t>
  </si>
  <si>
    <t>$685k</t>
  </si>
  <si>
    <t>Richardson &amp; Wrench</t>
  </si>
  <si>
    <t>https://www.dropbox.com/scl/fi/caxwak36qf0dop3oiwj3u/main-3.png?rlkey=t11khoyp3h4qm9nstv59itgyb&amp;st=zk7eldyi&amp;dl=0</t>
  </si>
  <si>
    <t>https://www.dropbox.com/scl/fi/4vt4jnef8lpebl8xf936p/download.png?rlkey=wlc3465y0p7z6e4mzgoo1l67u&amp;st=4rbn36nu&amp;dl=0</t>
  </si>
  <si>
    <t>Adam Blackmore</t>
  </si>
  <si>
    <t>adamblackmore@mcneice.com.au</t>
  </si>
  <si>
    <t>0404 250 097</t>
  </si>
  <si>
    <t>Woonona</t>
  </si>
  <si>
    <t>Monthly</t>
  </si>
  <si>
    <t>$9.30m</t>
  </si>
  <si>
    <t>$1.55m</t>
  </si>
  <si>
    <t>McNeice X</t>
  </si>
  <si>
    <t>https://www.dropbox.com/scl/fi/83bowvczd8a8tsnddfunk/main-16.png?rlkey=r9mdzxzrzx6r3xiza9sxkufac&amp;st=tdcznohd&amp;dl=0</t>
  </si>
  <si>
    <t>https://www.dropbox.com/scl/fi/qhda1nmj03f746ns4rsrs/Screenshot-2025-11-13-at-11.29.05-AM.png?rlkey=8gtgng60yg2t4vaaiyyvqg5si&amp;st=72lfvner&amp;dl=0</t>
  </si>
  <si>
    <t>Bulli</t>
  </si>
  <si>
    <t>Russell Vale</t>
  </si>
  <si>
    <t>Tarrawanna</t>
  </si>
  <si>
    <t>Corrimal</t>
  </si>
  <si>
    <t>East Corrimal</t>
  </si>
  <si>
    <t>Bellambi</t>
  </si>
  <si>
    <t>Thirroul</t>
  </si>
  <si>
    <t>Towradgi</t>
  </si>
  <si>
    <t>Coledale</t>
  </si>
  <si>
    <t>Greg &amp; Kirstin Brown</t>
  </si>
  <si>
    <t>gregbrown@dowlingmedowie.com.au</t>
  </si>
  <si>
    <t>0418 842 259</t>
  </si>
  <si>
    <t>Medowie</t>
  </si>
  <si>
    <t>$761k</t>
  </si>
  <si>
    <t>Dowling Real Estate</t>
  </si>
  <si>
    <t>https://www.dropbox.com/scl/fi/hj13osalg2bvnc4yy1smt/main-36.jpg?rlkey=32z42unzlqwmn7y773sqfzw20&amp;st=sjx9st6y&amp;dl=0</t>
  </si>
  <si>
    <t>https://www.dropbox.com/scl/fi/ppuwasls4iwgkcmvj4pjl/Screenshot-2025-11-14-at-1.20.04-PM.png?rlkey=z5rvyea92hdd1n20frejse3r1&amp;st=sow86p3j&amp;dl=0</t>
  </si>
  <si>
    <t>Fern Bay</t>
  </si>
  <si>
    <t>$$2.15m</t>
  </si>
  <si>
    <t>Williamtown</t>
  </si>
  <si>
    <t>$1.45m</t>
  </si>
  <si>
    <t>Daniel Hindmarsh</t>
  </si>
  <si>
    <t>daniel.hindmarsh@belleproperty.com</t>
  </si>
  <si>
    <t>0423 125 501</t>
  </si>
  <si>
    <t>Elanora Heights</t>
  </si>
  <si>
    <t>$65.50m</t>
  </si>
  <si>
    <t>$2.95m</t>
  </si>
  <si>
    <t>https://www.dropbox.com/scl/fi/que86kuxtwr7fbewa1ztv/main-22.jpg?rlkey=zg77f7g2s8gavb058801wqwhq&amp;st=hhjmw50x&amp;dl=0</t>
  </si>
  <si>
    <t>Narrabeen</t>
  </si>
  <si>
    <t>$33.50m</t>
  </si>
  <si>
    <t>North Narrabeen</t>
  </si>
  <si>
    <t>$22.15m</t>
  </si>
  <si>
    <t>Collaroy</t>
  </si>
  <si>
    <t>$18.85m</t>
  </si>
  <si>
    <t>Collaroy Plateau</t>
  </si>
  <si>
    <t>Wheeler Heights</t>
  </si>
  <si>
    <t>Cooper Judge</t>
  </si>
  <si>
    <t>cooper@fncollective.com.au</t>
  </si>
  <si>
    <t>0419 122 131</t>
  </si>
  <si>
    <t>Spring Farm</t>
  </si>
  <si>
    <t>6 Months</t>
  </si>
  <si>
    <t>$5.25m</t>
  </si>
  <si>
    <t>$1.28m</t>
  </si>
  <si>
    <t>First National Narellan</t>
  </si>
  <si>
    <t>https://www.dropbox.com/scl/fi/1y572jtnchmoevg3q637o/FN-Headshot-1.jpg?rlkey=h4fs20iaitgnjnudlujl2zv3q&amp;st=ms1bszl2&amp;dl=0</t>
  </si>
  <si>
    <t>https://www.dropbox.com/scl/fi/ls1n9o6sv1rar3t61tls7/Collective_Classic_Logo_1_RGB.jpg?rlkey=arzbfxpc1w49r0dva6rnupf2t&amp;st=3qy47kv8&amp;dl=0</t>
  </si>
  <si>
    <t>Mount Annan</t>
  </si>
  <si>
    <t>Oran Park</t>
  </si>
  <si>
    <t>Narellan Vale</t>
  </si>
  <si>
    <t>Cobbitty</t>
  </si>
  <si>
    <t>Harrington Park</t>
  </si>
  <si>
    <t>$4.20m</t>
  </si>
  <si>
    <t>$1.85m</t>
  </si>
  <si>
    <t>Ingleburn</t>
  </si>
  <si>
    <t>Camden Park</t>
  </si>
  <si>
    <t>Raby</t>
  </si>
  <si>
    <t>Macquarie Links</t>
  </si>
  <si>
    <t>Sam Kolatchew</t>
  </si>
  <si>
    <t>sam@berkeleypg.com.au</t>
  </si>
  <si>
    <t>0423 074 065</t>
  </si>
  <si>
    <t>Speers Point</t>
  </si>
  <si>
    <t>$3.85m</t>
  </si>
  <si>
    <t>$1.38m</t>
  </si>
  <si>
    <t>Berkeley Property Group</t>
  </si>
  <si>
    <t>https://www.dropbox.com/scl/fi/xaq15pun5a9mrg71ociaq/main-21.jpg?rlkey=z6i9j0jaswk4w6jojlzzbt2xn&amp;st=hh538h4y&amp;dl=0</t>
  </si>
  <si>
    <t>https://www.dropbox.com/scl/fi/ljamsgao99af9wa36eb6v/Screenshot-2025-11-14-at-1.14.36-PM.png?rlkey=4u5kc3kfunogd4h6sm9he1ejt&amp;st=1xba29t7&amp;dl=0</t>
  </si>
  <si>
    <t>Teralba</t>
  </si>
  <si>
    <t>Belmont North</t>
  </si>
  <si>
    <t>$2.25m</t>
  </si>
  <si>
    <t>Valentine</t>
  </si>
  <si>
    <t>Charlestown</t>
  </si>
  <si>
    <t>Warners Bay</t>
  </si>
  <si>
    <t>Fennell Bay</t>
  </si>
  <si>
    <t>Bart Portelli</t>
  </si>
  <si>
    <t>bart.portelli@firstnationalconnect.com</t>
  </si>
  <si>
    <t>0422 633 579</t>
  </si>
  <si>
    <t>South Windsor</t>
  </si>
  <si>
    <t>$6.95m</t>
  </si>
  <si>
    <t>$875k</t>
  </si>
  <si>
    <t>First National Connect</t>
  </si>
  <si>
    <t>https://www.dropbox.com/scl/fi/pjeoif3t9rg3w8v47sf3l/website-headshots-1.jpg?rlkey=xugdbenqd2dsannqhyqc865ak&amp;st=cqkuxjnn&amp;dl=0</t>
  </si>
  <si>
    <t>https://www.dropbox.com/scl/fi/odnpugqeirp0tv5dig0k9/Bart-Portelli-First-National-Connect.jpg?rlkey=rpcyv1igkzsa29blxsfodlx7o&amp;st=d8ic6wg8&amp;dl=0</t>
  </si>
  <si>
    <t>Windsor</t>
  </si>
  <si>
    <t>$21.15m</t>
  </si>
  <si>
    <t>$920k</t>
  </si>
  <si>
    <t>Bligh Park</t>
  </si>
  <si>
    <t>Hobartville</t>
  </si>
  <si>
    <t>$960k</t>
  </si>
  <si>
    <t>Richmond</t>
  </si>
  <si>
    <t>North Richmond</t>
  </si>
  <si>
    <t>Grose Vale</t>
  </si>
  <si>
    <t>Glossodia</t>
  </si>
  <si>
    <t>Wilberforce</t>
  </si>
  <si>
    <t>Kurrajong</t>
  </si>
  <si>
    <t>Kurrajong Heights</t>
  </si>
  <si>
    <t>Pitt Town</t>
  </si>
  <si>
    <t>McGraths Hill</t>
  </si>
  <si>
    <t>Berkshire Park</t>
  </si>
  <si>
    <t>$1.84m</t>
  </si>
  <si>
    <t>Freemans Reach</t>
  </si>
  <si>
    <t>Anne Alexander</t>
  </si>
  <si>
    <t>anne.alexander@atrealty.com.au</t>
  </si>
  <si>
    <t>0416 269 637</t>
  </si>
  <si>
    <t>Hamilton</t>
  </si>
  <si>
    <t>$3.95m</t>
  </si>
  <si>
    <t>$1.03m</t>
  </si>
  <si>
    <t>@Realty - Hamilton</t>
  </si>
  <si>
    <t>https://www.dropbox.com/scl/fi/hd82ikjanikmlxq4i2fe0/main-31.jpg?rlkey=9w47i96m870qhslmed7tfqeol&amp;st=lpfsf7ij&amp;dl=0</t>
  </si>
  <si>
    <t>https://www.dropbox.com/scl/fi/k6q6we3yrlgx7ka9f896j/Screenshot-2025-11-21-at-3.42.45-PM.png?rlkey=mys6flnjpzq0vo5wb056v04ss&amp;st=7cw5yk64&amp;dl=0</t>
  </si>
  <si>
    <t>Highfields</t>
  </si>
  <si>
    <t>Merewether</t>
  </si>
  <si>
    <t>Hamilton South</t>
  </si>
  <si>
    <t>Adamstown</t>
  </si>
  <si>
    <t>$2.06m</t>
  </si>
  <si>
    <t>Lambton</t>
  </si>
  <si>
    <t>New Lambton</t>
  </si>
  <si>
    <t>Mayfield</t>
  </si>
  <si>
    <t>New Lambton Heights</t>
  </si>
  <si>
    <t>Will Steinhauer</t>
  </si>
  <si>
    <t>will.steinhauer@belleproperty.com</t>
  </si>
  <si>
    <t>0466 819 126</t>
  </si>
  <si>
    <t>Camperdown</t>
  </si>
  <si>
    <t>$28.25m</t>
  </si>
  <si>
    <t>$2.15m</t>
  </si>
  <si>
    <t>Belle Property</t>
  </si>
  <si>
    <t>https://www.dropbox.com/scl/fi/ncc7xr7csa1bh0gq2l3o5/WillSteinhauerDomain.jpg?rlkey=tv90ak9jc5byevht4uoz86eqq&amp;st=6wx6lktx&amp;dl=0</t>
  </si>
  <si>
    <t>Annandale</t>
  </si>
  <si>
    <t>Lilyfield</t>
  </si>
  <si>
    <t>Leichhardt</t>
  </si>
  <si>
    <t>Rozelle</t>
  </si>
  <si>
    <t>Haberfield</t>
  </si>
  <si>
    <t>Stanmore</t>
  </si>
  <si>
    <t>$7.25m</t>
  </si>
  <si>
    <t>Ian Knight</t>
  </si>
  <si>
    <t>tommy.simpson@ljhooker.com.au</t>
  </si>
  <si>
    <t>0411 584 120</t>
  </si>
  <si>
    <t>WA</t>
  </si>
  <si>
    <t>Alkimos</t>
  </si>
  <si>
    <t>April 28th 2025</t>
  </si>
  <si>
    <t>$26.55m</t>
  </si>
  <si>
    <t>$750k</t>
  </si>
  <si>
    <t>LJ Hooker</t>
  </si>
  <si>
    <t>https://www.dropbox.com/scl/fi/kbe675x7khkmdww3wzh8d/main-20.jpg?rlkey=djh9gmibnzsae46y2jhintjoh&amp;st=kar0tv1k&amp;dl=0</t>
  </si>
  <si>
    <t>https://www.dropbox.com/scl/fi/acorouf92bd1d2vfoboz0/LJ_Hooker_logo.png?rlkey=dr7iv5fnr0rwu3er3hi0mfbvz&amp;st=v5tn475u&amp;dl=0</t>
  </si>
  <si>
    <t>Eglinton</t>
  </si>
  <si>
    <t>Butler</t>
  </si>
  <si>
    <t>Quinns Rocks</t>
  </si>
  <si>
    <t>Ridgewood</t>
  </si>
  <si>
    <t>Merriwa</t>
  </si>
  <si>
    <t>Clarkson</t>
  </si>
  <si>
    <t>Mindarie</t>
  </si>
  <si>
    <t>Kinross</t>
  </si>
  <si>
    <t>Burns Beach</t>
  </si>
  <si>
    <t>$4.55m</t>
  </si>
  <si>
    <t>Currambine</t>
  </si>
  <si>
    <t>Iluka</t>
  </si>
  <si>
    <t>Jindalee</t>
  </si>
  <si>
    <t>Carramar</t>
  </si>
  <si>
    <t>Tamala Park</t>
  </si>
  <si>
    <t>Joondalup</t>
  </si>
  <si>
    <t>Suzana White</t>
  </si>
  <si>
    <t>suzana@perthrealty.com.au</t>
  </si>
  <si>
    <t>0400 213 989</t>
  </si>
  <si>
    <t>Yanchep</t>
  </si>
  <si>
    <t>$780k</t>
  </si>
  <si>
    <t>Perth Realty Group</t>
  </si>
  <si>
    <t>https://www.dropbox.com/scl/fi/wtju3l01i9r3e94n8t11d/Suzana-White-NEW-resized-min.jpg?rlkey=7wo0pfzqvh7lmgj4y1ivxsg0f&amp;st=y45c7r73&amp;dl=0</t>
  </si>
  <si>
    <t>https://www.dropbox.com/scl/fi/5c1smalgavjbiboyvwx7g/Perth-Realty-Group_Hi-RES.jpg?rlkey=xrz24pkyiecsjmbvmd46llpg1&amp;st=67zn0ek6&amp;dl=0</t>
  </si>
  <si>
    <t>Cancelled</t>
  </si>
  <si>
    <t>Two Rocks</t>
  </si>
  <si>
    <t>Veronica Cole</t>
  </si>
  <si>
    <t>veronica.cole1@gmail.com</t>
  </si>
  <si>
    <t>0417 972 903</t>
  </si>
  <si>
    <t>Halls Head</t>
  </si>
  <si>
    <t>$2.27m</t>
  </si>
  <si>
    <t>$760k</t>
  </si>
  <si>
    <t>Cocolane</t>
  </si>
  <si>
    <t>https://www.dropbox.com/scl/fi/0zkfomo8on4x0vwvu9u9h/PRINT-Veronica-Cole4-01-HEADSHOT-MASK-43.png?rlkey=r5fxg6kdojesx9g3c647ji7wx&amp;st=6su3g0ai&amp;dl=0</t>
  </si>
  <si>
    <t>https://www.dropbox.com/scl/fi/wd0k42ctk1q51dhuj5yvw/image003-13.png?rlkey=ml4finelq2ifphh81t1p26was&amp;st=g912p8k6&amp;dl=0</t>
  </si>
  <si>
    <t>Active</t>
  </si>
  <si>
    <t>Wannanup</t>
  </si>
  <si>
    <t>Falcon</t>
  </si>
  <si>
    <t>Erskine</t>
  </si>
  <si>
    <t>Dudley Park</t>
  </si>
  <si>
    <t>Furnissdale</t>
  </si>
  <si>
    <t>Madora Bay</t>
  </si>
  <si>
    <t>Lakelands</t>
  </si>
  <si>
    <t>Bouvard</t>
  </si>
  <si>
    <t>Golden Bay</t>
  </si>
  <si>
    <t>Charlie Bellow</t>
  </si>
  <si>
    <t>charlieb@theagency.com.au</t>
  </si>
  <si>
    <t>0423 838 277</t>
  </si>
  <si>
    <t>Wilson</t>
  </si>
  <si>
    <t>$29.60m</t>
  </si>
  <si>
    <t>The Agency</t>
  </si>
  <si>
    <t>https://www.dropbox.com/scl/fi/wi04nxabgnlbsqyh75x41/SQUARE-Charlie-Bellow2-01.jpg?rlkey=fv21h5970eka4cf4jlubgupic&amp;st=l2v54oom&amp;dl=0</t>
  </si>
  <si>
    <t>https://www.dropbox.com/scl/fi/mc7nmsi86oy20b5qkvuce/Screenshot-2025-11-03-at-7.36.04-PM.png?rlkey=j6zo2jwqhr7kw0jly7cft47j4&amp;st=9upzh8s4&amp;dl=0</t>
  </si>
  <si>
    <t>Gooseberry Hill</t>
  </si>
  <si>
    <t>Cannington</t>
  </si>
  <si>
    <t>$9.25m</t>
  </si>
  <si>
    <t>Willetton</t>
  </si>
  <si>
    <t>Como</t>
  </si>
  <si>
    <t>$5.45m</t>
  </si>
  <si>
    <t>$1.25m</t>
  </si>
  <si>
    <t>Parkwood</t>
  </si>
  <si>
    <t>St James</t>
  </si>
  <si>
    <t>Langford</t>
  </si>
  <si>
    <t>Bentley</t>
  </si>
  <si>
    <t>Beckenham</t>
  </si>
  <si>
    <t>Bull Creek</t>
  </si>
  <si>
    <t>$3.25m</t>
  </si>
  <si>
    <t>Glen Forrest</t>
  </si>
  <si>
    <t>Melville</t>
  </si>
  <si>
    <t>East Victoria Park</t>
  </si>
  <si>
    <t>Lynwood</t>
  </si>
  <si>
    <t>Applecross</t>
  </si>
  <si>
    <t>High Wycombe</t>
  </si>
  <si>
    <t>Carlisle</t>
  </si>
  <si>
    <t>Davide Palermo</t>
  </si>
  <si>
    <t>davidepalermo@theagency.com.au</t>
  </si>
  <si>
    <t>0412 249 002</t>
  </si>
  <si>
    <t>Southern River</t>
  </si>
  <si>
    <t>$2.75m</t>
  </si>
  <si>
    <t>$650k</t>
  </si>
  <si>
    <t>https://www.dropbox.com/scl/fi/x15udgh4ilnkb4e1xtmhl/main-12.png?rlkey=pv4yx323bjho0ac7f35lz7j2z&amp;st=z6qmfe8j&amp;dl=0</t>
  </si>
  <si>
    <t>Byford</t>
  </si>
  <si>
    <t>Gosnells</t>
  </si>
  <si>
    <t>Huntingdale</t>
  </si>
  <si>
    <t>$2.62m</t>
  </si>
  <si>
    <t>Canning Vale</t>
  </si>
  <si>
    <t>Thornlie</t>
  </si>
  <si>
    <t>Camillo</t>
  </si>
  <si>
    <t>Martin</t>
  </si>
  <si>
    <t>Banjup</t>
  </si>
  <si>
    <t>Alex Goodwin</t>
  </si>
  <si>
    <t>alex@homekind.com.au</t>
  </si>
  <si>
    <t>0414 577 479</t>
  </si>
  <si>
    <t>SA</t>
  </si>
  <si>
    <t>Lightsview</t>
  </si>
  <si>
    <t>$3.80m</t>
  </si>
  <si>
    <t>$765k</t>
  </si>
  <si>
    <t>Homekind</t>
  </si>
  <si>
    <t>https://www.dropbox.com/scl/fi/xexa0qva1ok1souqdgdb6/main-13.png?rlkey=pt7gwg391q9ntf4pjq5qxwh82&amp;st=cc0c9pz1&amp;dl=0</t>
  </si>
  <si>
    <t>https://www.dropbox.com/scl/fi/xnme1me7enecurbm106q3/Screenshot-2025-11-05-at-4.36.50-PM.png?rlkey=jzu1yao3d4kak99in2d6kbnqj&amp;st=kcvjznt4&amp;dl=0</t>
  </si>
  <si>
    <t>Northgate</t>
  </si>
  <si>
    <t>Para Hills</t>
  </si>
  <si>
    <t>Ridgehaven</t>
  </si>
  <si>
    <t>Kilburn</t>
  </si>
  <si>
    <t>Greenacres</t>
  </si>
  <si>
    <t>Kyle Reid</t>
  </si>
  <si>
    <t>kylereid09@gmail.com</t>
  </si>
  <si>
    <t>0406 691 300</t>
  </si>
  <si>
    <t>VIC</t>
  </si>
  <si>
    <t>Mount Eliza</t>
  </si>
  <si>
    <t>$865k</t>
  </si>
  <si>
    <t>Coastal Agents</t>
  </si>
  <si>
    <t>https://www.dropbox.com/scl/fi/2ijh18ng1u34646mfftag/Profile-photoKR.jpg?rlkey=egxb7nfe6qxkuxoryw1fvcolz&amp;st=lmeey6w4&amp;dl=0</t>
  </si>
  <si>
    <t>https://www.dropbox.com/scl/fi/6liiolylb9vfyej6cohdi/thumbnail_Coastal-Agents-REA.jpg?rlkey=rr0a5gcuf8oxtode0qt3qne7n&amp;st=z0ksf2ls&amp;dl=0</t>
  </si>
  <si>
    <t>Somerville</t>
  </si>
  <si>
    <t>Mornington</t>
  </si>
  <si>
    <t>Bittern</t>
  </si>
  <si>
    <t>Mount Martha</t>
  </si>
  <si>
    <t>Dromana</t>
  </si>
  <si>
    <t>Safety Beach</t>
  </si>
  <si>
    <t>Frankston</t>
  </si>
  <si>
    <t>Frankston South</t>
  </si>
  <si>
    <t>Langwarrin</t>
  </si>
  <si>
    <t>Tee Sohail</t>
  </si>
  <si>
    <t>tee.sohail@harcourts.com.au</t>
  </si>
  <si>
    <t>0452 550 538</t>
  </si>
  <si>
    <t>Berwick</t>
  </si>
  <si>
    <t>$8.15m</t>
  </si>
  <si>
    <t>$820k</t>
  </si>
  <si>
    <t>Harcourts - Berwick</t>
  </si>
  <si>
    <t>https://www.dropbox.com/scl/fi/e9oidme5wbfvaq4aeut4g/main-4.jpg?rlkey=pymw8hoa36tbz64hztp05nwab&amp;st=zd2ibbw9&amp;dl=0</t>
  </si>
  <si>
    <t>https://www.dropbox.com/scl/fi/ndk2nmuyszgatl25ukfbp/main-2.png?rlkey=hend1s9kyin9yg8zdzhofp39h&amp;st=x9ofev63&amp;dl=0</t>
  </si>
  <si>
    <t>Narre Warren</t>
  </si>
  <si>
    <t>Narre Warren North</t>
  </si>
  <si>
    <t>Narre Warren East</t>
  </si>
  <si>
    <t>Narre Warren South</t>
  </si>
  <si>
    <t>potts Point</t>
  </si>
  <si>
    <t>$1.64m</t>
  </si>
  <si>
    <t>Sam Sidiqi</t>
  </si>
  <si>
    <t>sam.sidiqi@ljhcasey.com.au</t>
  </si>
  <si>
    <t>0433 660 077</t>
  </si>
  <si>
    <t>Cranbourne</t>
  </si>
  <si>
    <t>$795k</t>
  </si>
  <si>
    <t>https://www.dropbox.com/scl/fi/5hqrl75nr85q2ppo22fck/main.jpg?rlkey=25ovau7xwwy7fdoeu8n7qnu13&amp;st=di7cfz9i&amp;dl=0</t>
  </si>
  <si>
    <t>Cranbourne North</t>
  </si>
  <si>
    <t>Clyde North</t>
  </si>
  <si>
    <t>Cranbourne South</t>
  </si>
  <si>
    <t>Cranbourne East</t>
  </si>
  <si>
    <t>Cranbourne West</t>
  </si>
  <si>
    <t>Sandhurst</t>
  </si>
  <si>
    <t>Botanic Ridge</t>
  </si>
  <si>
    <t>Daniel Sacco</t>
  </si>
  <si>
    <t>dsacco@amsre.com.au</t>
  </si>
  <si>
    <t>0411 264 886</t>
  </si>
  <si>
    <t>Craigieburn</t>
  </si>
  <si>
    <t>AMS Real Estate</t>
  </si>
  <si>
    <t>https://www.dropbox.com/scl/fi/zd969n4vya184cs1cnjpw/main-6.jpg?rlkey=wwu12n5n27vw76ril56yal94p&amp;st=8fdoeupe&amp;dl=0</t>
  </si>
  <si>
    <t>https://www.dropbox.com/scl/fi/pqwd0h6ydqbl9lqdith6u/Screenshot-2025-10-14-at-9.36.56-AM.png?rlkey=t3772eol00uq7uz060xmg657e&amp;st=x3u7yqeu&amp;dl=0</t>
  </si>
  <si>
    <t>Mickleham</t>
  </si>
  <si>
    <t>$3.55m</t>
  </si>
  <si>
    <t>Roxburgh Park</t>
  </si>
  <si>
    <t>Greenvale</t>
  </si>
  <si>
    <t>Attwood</t>
  </si>
  <si>
    <t>$575k</t>
  </si>
  <si>
    <t>Chris Gilmour</t>
  </si>
  <si>
    <t>chris@allpropertiesgroup.com.au</t>
  </si>
  <si>
    <t>0438 632 459</t>
  </si>
  <si>
    <t>QLD</t>
  </si>
  <si>
    <t>Jimboomba</t>
  </si>
  <si>
    <t>$7.20m</t>
  </si>
  <si>
    <t>$1.20m</t>
  </si>
  <si>
    <t>All Properties Group</t>
  </si>
  <si>
    <t>https://www.dropbox.com/scl/fi/mk7m42dusqd6suz16z8tq/main-15.png?rlkey=go5cy9c2p1wjj9li6v8oji7f5&amp;st=u17w5bx5&amp;dl=0</t>
  </si>
  <si>
    <t>https://www.dropbox.com/scl/fi/ab713mw17fdqcryyr9hm9/Screenshot-2025-11-12-at-1.06.08-PM.png?rlkey=wzbwuubqou5rxg40z00ev1gc7&amp;st=1cs3yyub&amp;dl=0</t>
  </si>
  <si>
    <t>Flagstone</t>
  </si>
  <si>
    <t>Berrinba</t>
  </si>
  <si>
    <t>Drewvale</t>
  </si>
  <si>
    <t>New Beith</t>
  </si>
  <si>
    <t>$16.85m</t>
  </si>
  <si>
    <t>North Maclean</t>
  </si>
  <si>
    <t>$28.85m</t>
  </si>
  <si>
    <t>South Maclean</t>
  </si>
  <si>
    <t>Browns Plains</t>
  </si>
  <si>
    <t>$985k</t>
  </si>
  <si>
    <t>Boronia Heights</t>
  </si>
  <si>
    <t>Munruben</t>
  </si>
  <si>
    <t>Regents Park</t>
  </si>
  <si>
    <t>Shailer Park</t>
  </si>
  <si>
    <t>Aaron Woolard</t>
  </si>
  <si>
    <t>nathanbriggs@eplace.com.au</t>
  </si>
  <si>
    <t>0414 280 217</t>
  </si>
  <si>
    <t>Teneriffe</t>
  </si>
  <si>
    <t>May 10th 2025</t>
  </si>
  <si>
    <t>$55.52m</t>
  </si>
  <si>
    <t>Place</t>
  </si>
  <si>
    <t>https://www.dropbox.com/scl/fi/k4u0jrm38bnirhkpwqp3f/main-18.jpg?rlkey=zzbdcwtx6qs46xvg513mq9eb9&amp;st=v7sdhd6d&amp;dl=0</t>
  </si>
  <si>
    <t>https://www.dropbox.com/scl/fi/6uy8t91pbw9wopvoms0a9/place_logo_white.webp?rlkey=yft7rddaogv93huvmsrf1v24r&amp;st=vrnar0lo&amp;dl=0</t>
  </si>
  <si>
    <t>New Farm</t>
  </si>
  <si>
    <t>$35.50m</t>
  </si>
  <si>
    <t>Newstead</t>
  </si>
  <si>
    <t>Murarrie</t>
  </si>
  <si>
    <t>$7.80m</t>
  </si>
  <si>
    <t>Spring Hill</t>
  </si>
  <si>
    <t>$2.60m</t>
  </si>
  <si>
    <t>Michael Kafantaris</t>
  </si>
  <si>
    <t>Fortitude Valley</t>
  </si>
  <si>
    <t>$55.65m</t>
  </si>
  <si>
    <t>$688k</t>
  </si>
  <si>
    <t>https://www.dropbox.com/scl/fi/zqy12ky78t2pad9jtlhn0/main-19.jpg?rlkey=zhx585fn8vep9hc2giz9j6o9k&amp;st=0vsbf8pl&amp;dl=0</t>
  </si>
  <si>
    <t>Dan Tape</t>
  </si>
  <si>
    <t>dan@ethicoestate.au</t>
  </si>
  <si>
    <t>0434 107 259</t>
  </si>
  <si>
    <t>Deagon</t>
  </si>
  <si>
    <t>$18.3m</t>
  </si>
  <si>
    <t>$1.02m</t>
  </si>
  <si>
    <t>ethico estate</t>
  </si>
  <si>
    <t>https://www.dropbox.com/scl/fi/87s4eusr4a2e7jeqzozwi/Ethico-38.jpg?rlkey=vevzh8xp66zj86ajn2ob7q7aw&amp;st=ebj6ubs5&amp;dl=0</t>
  </si>
  <si>
    <t>https://www.dropbox.com/scl/fi/4ryjamzs6yy2rdlwndkxs/Burlap-BG.png?rlkey=9wqlf10g8kqat7u98y9kbyxd0&amp;st=nmwzr2u2&amp;dl=0</t>
  </si>
  <si>
    <t>Shorncliffe</t>
  </si>
  <si>
    <t>Sandgate</t>
  </si>
  <si>
    <t>Brighton</t>
  </si>
  <si>
    <t>Scarborough</t>
  </si>
  <si>
    <t>Denean Hall</t>
  </si>
  <si>
    <t>sales@mysalesagent.com.au</t>
  </si>
  <si>
    <t>0408 835 324</t>
  </si>
  <si>
    <t>Bray Park</t>
  </si>
  <si>
    <t>$3.65m</t>
  </si>
  <si>
    <t>$909k</t>
  </si>
  <si>
    <t>My Sales Agent - BRACKEN RIDGE</t>
  </si>
  <si>
    <t>https://www.dropbox.com/scl/fi/m26n12i5ly4hb9uylaewh/main-18.png?rlkey=g4twwq8zt4k3at5vbma66nadt&amp;st=wyt72ctm&amp;dl=0</t>
  </si>
  <si>
    <t>https://www.dropbox.com/scl/fi/htbobwl3hs78bjijfot8z/Screenshot-2025-11-14-at-12.58.49-PM.png?rlkey=0zr8sh4sp4106id74dff3rvra&amp;st=zrdzy2ag&amp;dl=0</t>
  </si>
  <si>
    <t>Strathpine</t>
  </si>
  <si>
    <t>Sasa Peci</t>
  </si>
  <si>
    <t>aaron.riding@allpropertiesgroup.com.au</t>
  </si>
  <si>
    <t>0411 099 100</t>
  </si>
  <si>
    <t>Yarrabilba</t>
  </si>
  <si>
    <t>$59.25m</t>
  </si>
  <si>
    <t>$797k</t>
  </si>
  <si>
    <t>https://www.dropbox.com/scl/fi/60l7ph3402jh6z716t3ej/main-14.jpg?rlkey=9zksgbxgbxhg0rczz2vbm0gvc&amp;st=abw1peia&amp;dl=0</t>
  </si>
  <si>
    <t>https://www.dropbox.com/scl/fi/j2z2ncfnf08o3n868n3yf/Logo-Emblem.png?rlkey=cf0i1thyf4a7ob9aehegeug1o&amp;st=tk9b4iy9&amp;dl=0</t>
  </si>
  <si>
    <t>Logan Village</t>
  </si>
  <si>
    <t>$1.4m</t>
  </si>
  <si>
    <t>Bahrs Scrub</t>
  </si>
  <si>
    <t>Windaroo</t>
  </si>
  <si>
    <t>Edens Landing</t>
  </si>
  <si>
    <t>Waterford</t>
  </si>
  <si>
    <t>Bethania</t>
  </si>
  <si>
    <t>Tanah Mera</t>
  </si>
  <si>
    <t>Beenleigh</t>
  </si>
  <si>
    <t>Eagleby</t>
  </si>
  <si>
    <t>Itin Bhardwaj</t>
  </si>
  <si>
    <t>itinbhardwaj@placepg.com.au</t>
  </si>
  <si>
    <t>0452 097 884</t>
  </si>
  <si>
    <t>Sandstone Point</t>
  </si>
  <si>
    <t>$1.13m</t>
  </si>
  <si>
    <t>Place Ningi</t>
  </si>
  <si>
    <t>https://www.dropbox.com/scl/fi/tjdo0k4hyl7hamma2syjs/main-35.jpg?rlkey=lf45mh4apndxqgvygi2aefjxn&amp;st=5wwv96qc&amp;dl=0</t>
  </si>
  <si>
    <t>https://www.dropbox.com/scl/fi/fgdyy0kj1gppoioiayi8w/PLACE.png?rlkey=pboadcqnf1x19auaso5nswo7o&amp;st=ttn556dj&amp;dl=0</t>
  </si>
  <si>
    <t>Beachmere</t>
  </si>
  <si>
    <t>Ningi</t>
  </si>
  <si>
    <t>Bongaree</t>
  </si>
  <si>
    <t>Banksia Beach</t>
  </si>
  <si>
    <t>Bellara</t>
  </si>
  <si>
    <t>Godwin Beach</t>
  </si>
  <si>
    <t>Caboolture</t>
  </si>
  <si>
    <t>Caboolture South</t>
  </si>
  <si>
    <t>Bellmere</t>
  </si>
  <si>
    <t>Jack Di Prima</t>
  </si>
  <si>
    <t>jack@placewest.com.au</t>
  </si>
  <si>
    <t>0422 484 708</t>
  </si>
  <si>
    <t>Bardon</t>
  </si>
  <si>
    <t>$10.85m</t>
  </si>
  <si>
    <t>https://www.dropbox.com/scl/fi/znhn925we1hwcbfdjva0a/main-5.jpg?rlkey=fqhijidhf7fmbhpdvuvzv11j4&amp;st=glcsszsb&amp;dl=0</t>
  </si>
  <si>
    <t>Red Hill</t>
  </si>
  <si>
    <t>Ashgrove</t>
  </si>
  <si>
    <t>$5.55m</t>
  </si>
  <si>
    <t>Toowong</t>
  </si>
  <si>
    <t>St Lucia</t>
  </si>
  <si>
    <t>$2.35m</t>
  </si>
  <si>
    <t>Indooroopilly</t>
  </si>
  <si>
    <t>Taringa</t>
  </si>
  <si>
    <t>Fig Tree Pocket</t>
  </si>
  <si>
    <t>Kelvin Grove</t>
  </si>
  <si>
    <t>Sinnamon Park</t>
  </si>
  <si>
    <t>Auchenflower</t>
  </si>
  <si>
    <t>Kenmore</t>
  </si>
  <si>
    <t>Ashleah Lucey</t>
  </si>
  <si>
    <t>ashleah@ashleahluceyproperty.com.au</t>
  </si>
  <si>
    <t>0422 572 198</t>
  </si>
  <si>
    <t>Brookwater</t>
  </si>
  <si>
    <t>$1.40m</t>
  </si>
  <si>
    <t>$730k</t>
  </si>
  <si>
    <t>Ashleah Lucey Property</t>
  </si>
  <si>
    <t>https://www.dropbox.com/scl/fi/h6w224aqo7d6cilvrqlb5/ASHLEAH__2943.jpg?rlkey=jighk83us6pkcfd96bdulqfkp&amp;st=6nlzv380&amp;dl=0</t>
  </si>
  <si>
    <t>https://www.dropbox.com/scl/fi/2n24yo1r7fulcjbgf066y/Dark-Logo-Pink-Background-510px-96px.png?rlkey=76nppc7l7hxzm4vvsx3tvmqyx&amp;st=s36y6z7x&amp;dl=0</t>
  </si>
  <si>
    <t>Springfield</t>
  </si>
  <si>
    <t>South Ripley</t>
  </si>
  <si>
    <t>Redbank</t>
  </si>
  <si>
    <t>Bellbird Park</t>
  </si>
  <si>
    <t>Springfield Lakes</t>
  </si>
  <si>
    <t>Jamie Rivett</t>
  </si>
  <si>
    <t>j.rivett@imageproperty.com.au</t>
  </si>
  <si>
    <t>0450 386 402</t>
  </si>
  <si>
    <t>Greenslopes</t>
  </si>
  <si>
    <t>$700k</t>
  </si>
  <si>
    <t>Image Property</t>
  </si>
  <si>
    <t>https://www.dropbox.com/scl/fi/91wdwr5thijlo12m04mdo/Jamie-Rivett-Print.jpg?rlkey=mqekt6deeu0o6jxfgl8gwjln3&amp;st=iffmkb37&amp;dl=0</t>
  </si>
  <si>
    <t>https://www.dropbox.com/scl/fi/bfhpxqdx9svt89oj75dtf/FOR-SCREEN-Supported-by-Image-Stacked-Logo-Grey.png?rlkey=a6px1rx9cou8bowvfdrctd5n7&amp;st=fp4xbfae&amp;dl=0</t>
  </si>
  <si>
    <t>Fairfield</t>
  </si>
  <si>
    <t>Annerley</t>
  </si>
  <si>
    <t>Stones Corner</t>
  </si>
  <si>
    <t>Coorparoo</t>
  </si>
  <si>
    <t>Tarragindi</t>
  </si>
  <si>
    <t>Eight Mile Plains</t>
  </si>
  <si>
    <t>Holland Park West</t>
  </si>
  <si>
    <t>Sunnybank</t>
  </si>
  <si>
    <t>Sunnybank Hills</t>
  </si>
  <si>
    <t>Kuraby</t>
  </si>
  <si>
    <t>Moorooka</t>
  </si>
  <si>
    <t>Rochedale South</t>
  </si>
  <si>
    <t>Woolloongabba</t>
  </si>
  <si>
    <t>Norman Park</t>
  </si>
  <si>
    <t>Runcorn</t>
  </si>
  <si>
    <t>Benjamin Holzworth</t>
  </si>
  <si>
    <t>ben.holzworth@freedomproperty.com.au</t>
  </si>
  <si>
    <t>0407 186 979</t>
  </si>
  <si>
    <t>Capalaba</t>
  </si>
  <si>
    <t>$5.36m</t>
  </si>
  <si>
    <t>$975k</t>
  </si>
  <si>
    <t>Freedom Property</t>
  </si>
  <si>
    <t>https://www.dropbox.com/scl/fi/uck6vz19ao4vaezspryqs/Copy-of-Headshot-1.png?rlkey=ilhr42bxq0yss1r0pbn3w23vf&amp;st=3rabfupl&amp;dl=0</t>
  </si>
  <si>
    <t>https://www.dropbox.com/scl/fi/wgjmx6k33za3zzdejwk44/Freedom-Property-Icon-1-2.jpg?rlkey=q49pjeeeubzcivt0vrfyawpeu&amp;st=46x8azy0&amp;dl=0</t>
  </si>
  <si>
    <t>Alexandra Hills</t>
  </si>
  <si>
    <t>Sheldon</t>
  </si>
  <si>
    <t>Alan Kuss</t>
  </si>
  <si>
    <t>alan.kuss@harcourtsrefined.com.au</t>
  </si>
  <si>
    <t>0428 940 044</t>
  </si>
  <si>
    <t>Tamborine</t>
  </si>
  <si>
    <t>$818k</t>
  </si>
  <si>
    <t>Harcourts Refined</t>
  </si>
  <si>
    <t>https://www.dropbox.com/scl/fi/g0s8i932jw013u13vy0pa/main-5.png?rlkey=d3wtwzaq0lli9vkk00rv2netg&amp;st=ccg3hz9z&amp;dl=0</t>
  </si>
  <si>
    <t>https://www.dropbox.com/scl/fi/q6bwz21ei9sq7z9xzmpys/Harcourts-Refined_LogoSet_Horizontal_BLUE_121220.png?rlkey=h8x761fhk87io9cennk0dkr43&amp;st=yt8xykg3&amp;dl=0</t>
  </si>
  <si>
    <t>Beaudesert</t>
  </si>
  <si>
    <t>Canungra</t>
  </si>
  <si>
    <t>Boyland</t>
  </si>
  <si>
    <t>Woodhill</t>
  </si>
  <si>
    <t>Tamborine Mountain</t>
  </si>
  <si>
    <t>Mundoolun</t>
  </si>
  <si>
    <t>Gleneagle</t>
  </si>
  <si>
    <t>Clagiraba</t>
  </si>
  <si>
    <t>Dilon Jukic</t>
  </si>
  <si>
    <t>dilon@jukicproperty.com.au</t>
  </si>
  <si>
    <t>0432 243 181</t>
  </si>
  <si>
    <t>Kedron</t>
  </si>
  <si>
    <t>$2.05m</t>
  </si>
  <si>
    <t>Jukic Property</t>
  </si>
  <si>
    <t>https://www.dropbox.com/scl/fi/0ep1v9g3b9n5jcs859esi/Untitled-design-31-1.png?rlkey=5kauhwnmbd8jm9emi5mgkvo1p&amp;st=8gl5i0tk&amp;dl=0</t>
  </si>
  <si>
    <t>https://www.dropbox.com/scl/fi/nvta8x3dszu3p2rz99o13/JukicProperty-PrimaryHorizontal-02.png?rlkey=87yug40n97d9y80n0ye60k1g0&amp;st=f48i7917&amp;dl=0</t>
  </si>
  <si>
    <t>Lutwyche</t>
  </si>
  <si>
    <t>Clayfield</t>
  </si>
  <si>
    <t>Kalinga</t>
  </si>
  <si>
    <t>Nundah</t>
  </si>
  <si>
    <t>Wavell Heights</t>
  </si>
  <si>
    <t>Chermside</t>
  </si>
  <si>
    <t>Grange</t>
  </si>
  <si>
    <t>Gordon Park</t>
  </si>
  <si>
    <t>Wilston</t>
  </si>
  <si>
    <t>Wooloowin</t>
  </si>
  <si>
    <t>Aspley</t>
  </si>
  <si>
    <t>Troy Urquhart</t>
  </si>
  <si>
    <t>troy@imageproperty.com.au</t>
  </si>
  <si>
    <t>0433 090 550</t>
  </si>
  <si>
    <t>Thornlands</t>
  </si>
  <si>
    <t>$6.3m</t>
  </si>
  <si>
    <t>$1.5m</t>
  </si>
  <si>
    <t>https://www.dropbox.com/scl/fi/w4rdc9cokdnqnyrz2i9ua/main-9.png?rlkey=a7hyqjr0k1gk7uod3333schar&amp;st=46f6zntu&amp;dl=0</t>
  </si>
  <si>
    <t>https://www.dropbox.com/scl/fi/amvg87hp97hy2wcmhjadt/Screenshot-2025-10-15-at-2.34.30-PM.png?rlkey=kooy4pxcsoqlmk0693n0akp5t&amp;st=sba8p09o&amp;dl=0</t>
  </si>
  <si>
    <t>Redland Bay</t>
  </si>
  <si>
    <t>Victoria Point</t>
  </si>
  <si>
    <t>Melinda Smith</t>
  </si>
  <si>
    <t>melinda@mbproperties.com.au</t>
  </si>
  <si>
    <t>0423 023 117</t>
  </si>
  <si>
    <t>Deception Bay</t>
  </si>
  <si>
    <t>$1.35m</t>
  </si>
  <si>
    <t>$705k</t>
  </si>
  <si>
    <t>MB Real Estate</t>
  </si>
  <si>
    <t>https://www.dropbox.com/scl/fi/kc2ugubhlpnip2vxhj2a8/Untitled-design-2.png?rlkey=0uph37rb6qgpf5wgj4p5urgwt&amp;st=m1mbe99z&amp;dl=0</t>
  </si>
  <si>
    <t>https://www.dropbox.com/scl/fi/9dvl2mw6ilgbn6njfleb1/M-3.png?rlkey=zpcvorenyv2w55qm038esj7uv&amp;st=xxpbvy14&amp;dl=0</t>
  </si>
  <si>
    <t>Aman Singh</t>
  </si>
  <si>
    <t>amansingh@mcgrath.com.au</t>
  </si>
  <si>
    <t>0412 256 683</t>
  </si>
  <si>
    <t>Boondall</t>
  </si>
  <si>
    <t>$11.25m</t>
  </si>
  <si>
    <t>$1.15m</t>
  </si>
  <si>
    <t>McGrath</t>
  </si>
  <si>
    <t>https://www.dropbox.com/scl/fi/ju7f5py3yhbdvz17u8dt9/main-10.jpg?rlkey=d8r3o3kow5m727wwy8obfjfuo&amp;st=uaydm0cz&amp;dl=0</t>
  </si>
  <si>
    <t>https://www.dropbox.com/scl/fi/17yamzo83zi3a50fdmyju/Screenshot-2025-10-23-at-1.26.31-PM.png?rlkey=5icg1e101o1wtosdnq2q8e91j&amp;st=rcoc1r06&amp;dl=0</t>
  </si>
  <si>
    <t>Taigum</t>
  </si>
  <si>
    <t>Virginia</t>
  </si>
  <si>
    <t>Fitzgibbon</t>
  </si>
  <si>
    <t>Bracken Ridge</t>
  </si>
  <si>
    <t>Bald Hills</t>
  </si>
  <si>
    <t>Carseldine</t>
  </si>
  <si>
    <t>Bridgeman Downs</t>
  </si>
  <si>
    <t>Zillmere</t>
  </si>
  <si>
    <t>Stacey Ritson</t>
  </si>
  <si>
    <t>stacey@eastsidepropertygroup.com.au</t>
  </si>
  <si>
    <t>0403 345 409</t>
  </si>
  <si>
    <t>Birkdale</t>
  </si>
  <si>
    <t>$7.6m</t>
  </si>
  <si>
    <t>Eastside Property Group</t>
  </si>
  <si>
    <t>https://www.dropbox.com/scl/fi/sm5xe172sa9e9m1nmqufy/main-9.jpg?rlkey=0dqjrxj8cg7krdprw5p59inol&amp;st=lk9bohc4&amp;dl=0</t>
  </si>
  <si>
    <t>https://www.dropbox.com/scl/fi/bwdisi9jak2a93gh8970r/Screenshot-2025-10-22-at-12.21.41-PM.png?rlkey=b8r8ddiickkmdgbs6br601opi&amp;st=6lwygtte&amp;dl=0</t>
  </si>
  <si>
    <t>Thorneside</t>
  </si>
  <si>
    <t>Wellington Point</t>
  </si>
  <si>
    <t>Cleveland</t>
  </si>
  <si>
    <t>Lota</t>
  </si>
  <si>
    <t>Manly West</t>
  </si>
  <si>
    <t>Wynnum</t>
  </si>
  <si>
    <t>Wynnum West</t>
  </si>
  <si>
    <t>Ormiston</t>
  </si>
  <si>
    <t>Mark Cheney</t>
  </si>
  <si>
    <t>firstnationalmoreton@property-agent.com</t>
  </si>
  <si>
    <t>0409 876 778</t>
  </si>
  <si>
    <t>Morayfield</t>
  </si>
  <si>
    <t>$6.02m</t>
  </si>
  <si>
    <t>$855k</t>
  </si>
  <si>
    <t>First National Real Estate - Moreton</t>
  </si>
  <si>
    <t>https://www.dropbox.com/scl/fi/hz6anfq8tvwmxrz3l86iz/IMG_0815.png?rlkey=8h7tkw6ptg3lg1k87hm7fgodr&amp;st=2mfqv1zi&amp;dl=0</t>
  </si>
  <si>
    <t>https://www.dropbox.com/scl/fi/b8xfnisof6zhhd7sxtd20/MarkCheney_Classic_Logo_4-copy.png?rlkey=p0r2f8auepbg4nzo491egwgqw&amp;st=086npyw3&amp;dl=0</t>
  </si>
  <si>
    <t>Burpengary</t>
  </si>
  <si>
    <t>$15.23m</t>
  </si>
  <si>
    <t>Narangba</t>
  </si>
  <si>
    <t>Burpengary East</t>
  </si>
  <si>
    <t>Upper Caboolture</t>
  </si>
  <si>
    <t>$14.85m</t>
  </si>
  <si>
    <t>Lisa Black</t>
  </si>
  <si>
    <t>mpc@atrealty.com.au</t>
  </si>
  <si>
    <t>0421 591 401</t>
  </si>
  <si>
    <t>Mango Hill</t>
  </si>
  <si>
    <t>$895k</t>
  </si>
  <si>
    <t>@realty</t>
  </si>
  <si>
    <t>https://www.dropbox.com/scl/fi/h75vvd9or69i9re5tykwo/IMG_3486.jpeg?rlkey=1a2dqaqxlqqhsufzjlgx87gfj&amp;st=qomez2pn&amp;dl=0</t>
  </si>
  <si>
    <t>https://www.dropbox.com/scl/fi/bo2m8o7uy1l0ky4t8r8jj/IMG_3942.jpeg?rlkey=a1fx8ohdc1te3vkavc3fnrzgr&amp;st=visllfxo&amp;dl=0</t>
  </si>
  <si>
    <t>North Lakes</t>
  </si>
  <si>
    <t>Kallangur</t>
  </si>
  <si>
    <t>Murrumba Downs</t>
  </si>
  <si>
    <t>Dakabin</t>
  </si>
  <si>
    <t>Griffin</t>
  </si>
  <si>
    <t>Petrie</t>
  </si>
  <si>
    <t>Jeroen Waalder</t>
  </si>
  <si>
    <t>jeroen@weareproperty.com.au</t>
  </si>
  <si>
    <t>0432 687 175</t>
  </si>
  <si>
    <t>Cedar Grove</t>
  </si>
  <si>
    <t>$5.15m</t>
  </si>
  <si>
    <t>We Are Property - JIMBOOMBA</t>
  </si>
  <si>
    <t>https://www.dropbox.com/scl/fi/85vnn1s8mgkk4c2i3gu6m/main-2.jpg?rlkey=g22opyy04c8anicy41cg44mh8&amp;st=g7beque9&amp;dl=0</t>
  </si>
  <si>
    <t>https://www.dropbox.com/scl/fi/8wao3e95vxfcnuw99x2v3/uploads_1754378157662-39uzfkm8fii-5e9a1b1ec766c1364e7931079877fc36_Primary-Logo-White-Background.png?rlkey=67uthl6hycp59iqtb2bcvp91x&amp;st=bpl7va3h&amp;dl=0</t>
  </si>
  <si>
    <t>Cedar Vale</t>
  </si>
  <si>
    <t>Adam Sargent</t>
  </si>
  <si>
    <t>adamsargent@oneagency.com.au</t>
  </si>
  <si>
    <t>0488 121 272</t>
  </si>
  <si>
    <t>Forest Lake</t>
  </si>
  <si>
    <t>$12.35m</t>
  </si>
  <si>
    <t>$995k</t>
  </si>
  <si>
    <t>https://www.dropbox.com/scl/fi/k8wsxy5ukmzj39arlquqb/callumdocker1_250980835427060_6410416324116738728_Untitled-design-2025-11-26T103524.875.png?rlkey=qdh84j6gvex5pyiitzlyt14lz&amp;st=cocrww9a&amp;dl=0</t>
  </si>
  <si>
    <t>https://www.dropbox.com/scl/fi/57n4b8ux4rwedfgho1kla/Screenshot-2025-12-09-at-9.52.45-AM.png?rlkey=xj7tbamox1yhy1d98o4oydehd&amp;st=jv2o42q7&amp;dl=0</t>
  </si>
  <si>
    <t>Inala</t>
  </si>
  <si>
    <t>Durack</t>
  </si>
  <si>
    <t>Heathwood</t>
  </si>
  <si>
    <t>Pallara</t>
  </si>
  <si>
    <t>Doolandella</t>
  </si>
  <si>
    <t>Ellen Grove</t>
  </si>
  <si>
    <t>Richlands</t>
  </si>
  <si>
    <t>Darra</t>
  </si>
  <si>
    <t>Wacol</t>
  </si>
  <si>
    <t>Parkinson</t>
  </si>
  <si>
    <t>Acacia Ridge</t>
  </si>
  <si>
    <t>MacGregor</t>
  </si>
  <si>
    <t>Mount Ommaney</t>
  </si>
  <si>
    <t>Jamboree Heights</t>
  </si>
  <si>
    <t>Algester</t>
  </si>
  <si>
    <t>Nathan Simon</t>
  </si>
  <si>
    <t>nathan.simon@allpropertiesgroup.com.au</t>
  </si>
  <si>
    <t>0407 760 435</t>
  </si>
  <si>
    <t>Oxenford</t>
  </si>
  <si>
    <t>$3.35m</t>
  </si>
  <si>
    <t>$1.10m</t>
  </si>
  <si>
    <t>https://www.dropbox.com/scl/fi/1hesfsmbwipurtuwuhrx3/main-8.png?rlkey=2ngqc69frdldisw7w9ga7ohuy&amp;st=isrz3gpo&amp;dl=0</t>
  </si>
  <si>
    <t>Maudsland</t>
  </si>
  <si>
    <t>Pimpama</t>
  </si>
  <si>
    <t>$33.10m</t>
  </si>
  <si>
    <t>Ormeau</t>
  </si>
  <si>
    <t>Helensvale</t>
  </si>
  <si>
    <t>Coomera</t>
  </si>
  <si>
    <t>Upper Coomera</t>
  </si>
  <si>
    <t>Coomera Waters</t>
  </si>
  <si>
    <t>Jacobs Well</t>
  </si>
  <si>
    <t>Paradise Point</t>
  </si>
  <si>
    <t>Hope Island</t>
  </si>
  <si>
    <t>Brad Scott</t>
  </si>
  <si>
    <t>brad@smartrealestate.com.au</t>
  </si>
  <si>
    <t>0408 338 605</t>
  </si>
  <si>
    <t>Ashmore</t>
  </si>
  <si>
    <t>$6.30m</t>
  </si>
  <si>
    <t>$890k</t>
  </si>
  <si>
    <t>Smart Real Estate - Gold Coast</t>
  </si>
  <si>
    <t>https://www.dropbox.com/scl/fi/ebzgxnx2als2x9lzyttsx/main-17.jpg?rlkey=hrk619t8mro2a0mqilbluktgj&amp;st=rprtpvus&amp;dl=0</t>
  </si>
  <si>
    <t>https://www.dropbox.com/scl/fi/kkuwnaijwgwpavy354ymw/Screenshot-2025-11-13-at-11.45.57-AM.png?rlkey=4r0dxanrl120momho92p97x17&amp;st=zbewp6kb&amp;dl=0</t>
  </si>
  <si>
    <t>Matt Shelton</t>
  </si>
  <si>
    <t>matt.shelton@coastal.com.au</t>
  </si>
  <si>
    <t>0433 773 233</t>
  </si>
  <si>
    <t>Robina</t>
  </si>
  <si>
    <t>$2.45m</t>
  </si>
  <si>
    <t>Coastal</t>
  </si>
  <si>
    <t>https://www.dropbox.com/scl/fi/ofte3ana6lawjng3l61sj/Screenshot-2025-07-09-at-2.26.59-pm.png?rlkey=g0e129pua96gyoeanszi56sfb&amp;st=ez4a0q00&amp;dl=0</t>
  </si>
  <si>
    <t>https://www.dropbox.com/scl/fi/dktwy35h63zagyr17yida/coastal-logo-WHITE.png?rlkey=aszf2rxwvorn7mh0a9gdvhstq&amp;st=hupj3pks&amp;dl=0</t>
  </si>
  <si>
    <t>Bundall</t>
  </si>
  <si>
    <t>$1.80m</t>
  </si>
  <si>
    <t>Merrimac</t>
  </si>
  <si>
    <t>Varsity Lakes</t>
  </si>
  <si>
    <t>$4.25m</t>
  </si>
  <si>
    <t>Labrador</t>
  </si>
  <si>
    <t>Broadbeach Waters</t>
  </si>
  <si>
    <t>Reedy Creek</t>
  </si>
  <si>
    <t>Burleigh Waters</t>
  </si>
  <si>
    <t>Burleigh Heads</t>
  </si>
  <si>
    <t>Biggera Waters</t>
  </si>
  <si>
    <t>Chevron Island</t>
  </si>
  <si>
    <t>Mermaid Beach</t>
  </si>
  <si>
    <t>Mermaid Waters</t>
  </si>
  <si>
    <t>Greg Parker</t>
  </si>
  <si>
    <t>gparker@remax.com.au</t>
  </si>
  <si>
    <t>0417 602 486</t>
  </si>
  <si>
    <t>Carrara</t>
  </si>
  <si>
    <t>$22.3m</t>
  </si>
  <si>
    <t>Remax</t>
  </si>
  <si>
    <t>https://www.dropbox.com/scl/fi/ceffk6b4no8wg02qwbg49/main-12.jpg?rlkey=gl24zew2qe1td1ows4cksrmxc&amp;st=kli4zs3n&amp;dl=0</t>
  </si>
  <si>
    <t>https://www.dropbox.com/scl/fi/mvlh5nxh36kmqcc6sk0tv/Screenshot-2025-11-02-at-9.16.48-PM.png?rlkey=761orxcwm1a8gmhrct2pmu8py&amp;st=5suc6ekb&amp;dl=0</t>
  </si>
  <si>
    <t>Highland Park</t>
  </si>
  <si>
    <t>$11.75m</t>
  </si>
  <si>
    <t>Nerang</t>
  </si>
  <si>
    <t>$8.94m</t>
  </si>
  <si>
    <t>Mudgeeraba</t>
  </si>
  <si>
    <t>Molendinar</t>
  </si>
  <si>
    <t>$1.95m</t>
  </si>
  <si>
    <t>Advancetown</t>
  </si>
  <si>
    <t>Gilston</t>
  </si>
  <si>
    <t>Worongary</t>
  </si>
  <si>
    <t>Beechmont</t>
  </si>
  <si>
    <t>Bonogin</t>
  </si>
  <si>
    <t>Ben Tribolet</t>
  </si>
  <si>
    <t>ben@schmith.com.au</t>
  </si>
  <si>
    <t>0422 264 329</t>
  </si>
  <si>
    <t>Coolangatta</t>
  </si>
  <si>
    <t>Schmith</t>
  </si>
  <si>
    <t>https://www.dropbox.com/scl/fi/2yzh2y3g3u7h7385wjfap/main-11.jpg?rlkey=9gjkt85wrzes1vwqhmxaeh17e&amp;st=zyqihr8n&amp;dl=0</t>
  </si>
  <si>
    <t>https://www.dropbox.com/scl/fi/fttdu3ou5n9scdibnzal2/Screenshot-2025-10-27-at-5.24.48-PM.png?rlkey=w21vn6ttugb7kb19dz8af3oh6&amp;st=pyni8ngc&amp;dl=0</t>
  </si>
  <si>
    <t>Currumbin</t>
  </si>
  <si>
    <t>Currumbin Waters</t>
  </si>
  <si>
    <t>Tugun</t>
  </si>
  <si>
    <t>Tweed Heads</t>
  </si>
  <si>
    <t>Tweed Heads West</t>
  </si>
  <si>
    <t>Tweed Heads South</t>
  </si>
  <si>
    <t>Elanora</t>
  </si>
  <si>
    <t>Bilinga</t>
  </si>
  <si>
    <t>Tallebudgera</t>
  </si>
  <si>
    <t>Bilambil Heights</t>
  </si>
  <si>
    <t>Glen Foster</t>
  </si>
  <si>
    <t>glenjamesfoster@gmail.com</t>
  </si>
  <si>
    <t>0451 444 132</t>
  </si>
  <si>
    <t>Arundel</t>
  </si>
  <si>
    <t>$1.3m</t>
  </si>
  <si>
    <t>https://www.dropbox.com/scl/fi/24bqld6swiyx5dr3qygcp/Headshot.pdf?rlkey=w56jz3c6tu4u6cz170dwm6crc&amp;st=ngysjs5e&amp;dl=0</t>
  </si>
  <si>
    <t>glen.foster@allpropertiesgroup.com.au</t>
  </si>
  <si>
    <t>Benowa</t>
  </si>
  <si>
    <t>Benowa Waters</t>
  </si>
  <si>
    <t>Pacific Pines</t>
  </si>
  <si>
    <t>Coombabah</t>
  </si>
  <si>
    <t>Ben Young</t>
  </si>
  <si>
    <t>ben@nichollandyoung.com.au</t>
  </si>
  <si>
    <t>0438 608 986</t>
  </si>
  <si>
    <t>Mooloolaba</t>
  </si>
  <si>
    <t>$1.34m</t>
  </si>
  <si>
    <t>$675k</t>
  </si>
  <si>
    <t>Nicholl &amp; Young Property</t>
  </si>
  <si>
    <t>https://www.dropbox.com/scl/fi/zmrubze5264rblivyoaq1/iPH_Nicholl-Young_Ben_GlareReduction-1.jpg?rlkey=hj6ph3qrgr39f0zh033m4nom2&amp;st=86s1bktf&amp;dl=0</t>
  </si>
  <si>
    <t>https://www.dropbox.com/scl/fi/dhvit1u9y8o0mw60l7dhd/N-Y_Logo_Stacked_Positive.png?rlkey=vvk1qpp63q3zbtdhm6vwrkzgt&amp;st=l2ce5vt1&amp;dl=0</t>
  </si>
  <si>
    <t>Parrearra</t>
  </si>
  <si>
    <t>$1.59m</t>
  </si>
  <si>
    <t>$800k</t>
  </si>
  <si>
    <t>Tanawha</t>
  </si>
  <si>
    <t>Alexandra Headland</t>
  </si>
  <si>
    <t>Buddina</t>
  </si>
  <si>
    <t>$1.05m</t>
  </si>
  <si>
    <t>Mountain Creek</t>
  </si>
  <si>
    <t>Buderim</t>
  </si>
  <si>
    <t>$5.5m</t>
  </si>
  <si>
    <t>Meridan Plains</t>
  </si>
  <si>
    <t>Warana</t>
  </si>
  <si>
    <t>Minyama</t>
  </si>
  <si>
    <t>Palmview</t>
  </si>
  <si>
    <t>Bokarina</t>
  </si>
  <si>
    <t>Birtinya</t>
  </si>
  <si>
    <t>Wurtulla</t>
  </si>
  <si>
    <t>Alex Millar</t>
  </si>
  <si>
    <t>alex@nichollandyoung.com.au</t>
  </si>
  <si>
    <t>0403 959 332 </t>
  </si>
  <si>
    <t>Sippy Downs</t>
  </si>
  <si>
    <t>$5.50m</t>
  </si>
  <si>
    <t>$913k</t>
  </si>
  <si>
    <t>https://www.dropbox.com/scl/fi/r19s88pq7gfpwt9oqa6ee/Alex-Photo.png?rlkey=rzylgr4mhwqwxxg6uof995vgk&amp;st=4cyajpm1&amp;dl=0</t>
  </si>
  <si>
    <t>Maroochydore</t>
  </si>
  <si>
    <t>Kuluin</t>
  </si>
  <si>
    <t>Mons</t>
  </si>
  <si>
    <t>Kunda Park</t>
  </si>
  <si>
    <t>Forest Glen</t>
  </si>
  <si>
    <t>Twin Waters</t>
  </si>
  <si>
    <t>Mudjimba</t>
  </si>
  <si>
    <t>Pacific Paradise</t>
  </si>
  <si>
    <t>Landers Shoot</t>
  </si>
  <si>
    <t>Adriaan Coetzee</t>
  </si>
  <si>
    <t>Adriaan.coetzee@remax.com.au</t>
  </si>
  <si>
    <t>0413 712 169</t>
  </si>
  <si>
    <t>Nambour</t>
  </si>
  <si>
    <t>$15.37m</t>
  </si>
  <si>
    <t>$860k</t>
  </si>
  <si>
    <t>RE/MAX Property Sales - Caloundra &amp; Nambour</t>
  </si>
  <si>
    <t>https://www.dropbox.com/scl/fi/0gldt4638nee2n15br98t/Adriaan-3.jpg?rlkey=bfze2f98pjzcxi3e9g7ksv1e3&amp;st=71qjj2qk&amp;dl=0</t>
  </si>
  <si>
    <t>https://www.dropbox.com/scl/fi/ags0plymf4y5fpr5mlfpy/REMAX_mastrLogotype_RGB_R.png?rlkey=9dfe6bma53ww5k4tmgeb43ean&amp;st=jam88ukj&amp;dl=0</t>
  </si>
  <si>
    <t>Burnside</t>
  </si>
  <si>
    <t>$965k</t>
  </si>
  <si>
    <t>Bli Bli</t>
  </si>
  <si>
    <t>$4.80m</t>
  </si>
  <si>
    <t>Maroochy River</t>
  </si>
  <si>
    <t>Highworth</t>
  </si>
  <si>
    <t>$1.93m</t>
  </si>
  <si>
    <t>Travis Barff</t>
  </si>
  <si>
    <t>Callum@agentlink.au</t>
  </si>
  <si>
    <t>0403 048 862</t>
  </si>
  <si>
    <t>Palmwoods</t>
  </si>
  <si>
    <t>$4.10m</t>
  </si>
  <si>
    <t>https://www.dropbox.com/scl/fi/9ofo08ce63v3alevn8p9a/main-4.png?rlkey=7ym3x2f1m547znktb14ilbuw4&amp;st=7qjzfgxd&amp;dl=0</t>
  </si>
  <si>
    <t>Hunchy</t>
  </si>
  <si>
    <t>Jae Turner</t>
  </si>
  <si>
    <t>jae@imageproperty.com.au</t>
  </si>
  <si>
    <t>0412 887 769</t>
  </si>
  <si>
    <t>Peregian Springs</t>
  </si>
  <si>
    <t>$3.03m</t>
  </si>
  <si>
    <t>https://www.dropbox.com/scl/fi/2dhf8kg083709zfa95ztu/IMG_6122.JPG?rlkey=hjg6jsviivubxofr9wjcem58q&amp;st=iqgbias2&amp;dl=0</t>
  </si>
  <si>
    <t>https://www.dropbox.com/scl/fi/qwi9m3nvb1ic3kfr0dih1/image-property-logo.png?rlkey=skpfa9e1jb7dkrz1zaio5gnl8&amp;st=x85m0im2&amp;dl=0</t>
  </si>
  <si>
    <t>Peregian Beach</t>
  </si>
  <si>
    <t>Doonan</t>
  </si>
  <si>
    <t>Robertson</t>
  </si>
  <si>
    <t>Coolum</t>
  </si>
  <si>
    <t>Coolum Beach</t>
  </si>
  <si>
    <t>Mount Coolum</t>
  </si>
  <si>
    <t>Yandina Creek</t>
  </si>
  <si>
    <t>Wayne Thompson</t>
  </si>
  <si>
    <t>wayne.thompson@remax.com.au</t>
  </si>
  <si>
    <t>0435 948 976</t>
  </si>
  <si>
    <t>Caloundra</t>
  </si>
  <si>
    <t>$2.55m</t>
  </si>
  <si>
    <t>https://www.dropbox.com/scl/fi/swbih48ons87xd6r90pvw/c0767381-7472-49c1-99d7-3ce66433da35.jpeg?rlkey=697rdwmo9wndqifaw8nrgrpso&amp;st=6toyjfbc&amp;dl=0</t>
  </si>
  <si>
    <t>https://www.dropbox.com/scl/fi/kjng67t816ywa9ljej2u1/callumdocker1_250980835427060_6458055994123790062_Screenshot-2026-02-02-113853.png?rlkey=9pyj9w69p1ml72q8adup05cya&amp;st=pxhpxkry&amp;dl=0</t>
  </si>
  <si>
    <t>Kings Beach</t>
  </si>
  <si>
    <t>Shelly Beach</t>
  </si>
  <si>
    <t>Moffat Beach</t>
  </si>
  <si>
    <t>Dicky Beach</t>
  </si>
  <si>
    <t>Aroona</t>
  </si>
  <si>
    <t>Battery Hill</t>
  </si>
  <si>
    <t>Golden Beach</t>
  </si>
  <si>
    <t>Pelican Waters</t>
  </si>
  <si>
    <t>Baringa</t>
  </si>
  <si>
    <t>Caloundra West</t>
  </si>
  <si>
    <t>Nirimba</t>
  </si>
  <si>
    <t>Banya</t>
  </si>
  <si>
    <t>Little Mountain</t>
  </si>
  <si>
    <t>Currimundi</t>
  </si>
  <si>
    <t>Beerwah</t>
  </si>
  <si>
    <t>Moolooah Valley</t>
  </si>
  <si>
    <t>Paul Rily</t>
  </si>
  <si>
    <t>paul@dowlingneylan.com.au</t>
  </si>
  <si>
    <t>0414 583 072</t>
  </si>
  <si>
    <t>Tewantin</t>
  </si>
  <si>
    <t>Downling Neylan</t>
  </si>
  <si>
    <t>https://www.dropbox.com/scl/fi/b2ed2d3f8oto34teode4x/main-15.jpg?rlkey=vafaaomizvbv6w8xwcibjh7ul&amp;st=45gnusup&amp;dl=0</t>
  </si>
  <si>
    <t>https://www.dropbox.com/scl/fi/cxjibef4zybhg4r6q08hj/Screenshot-2025-11-12-at-10.44.52-AM.png?rlkey=a9xi79089pa42i1ez9or1y310&amp;st=6ek1u725&amp;dl=0</t>
  </si>
  <si>
    <t>Cooroibah</t>
  </si>
  <si>
    <t>Cootharaba</t>
  </si>
  <si>
    <t>Cooroy</t>
  </si>
  <si>
    <t>Jim Baron</t>
  </si>
  <si>
    <t>jim@jimbaronrealty.com.au</t>
  </si>
  <si>
    <t>0414 574 548</t>
  </si>
  <si>
    <t>Toolooa</t>
  </si>
  <si>
    <t>$3.05m</t>
  </si>
  <si>
    <t>$612k</t>
  </si>
  <si>
    <t>Jim Baron Realty</t>
  </si>
  <si>
    <t>https://www.dropbox.com/scl/fi/78c5g66ud1wglszo7e1nk/Screenshot-2025-08-12-at-3.42.58-PM.png?rlkey=rsvxpn8puy6xj57zo3l9rn3sw&amp;st=098n4n0w&amp;dl=0</t>
  </si>
  <si>
    <t>https://www.dropbox.com/scl/fi/4nqrsmxac56s1snfa4k6c/jblogo-w-emoji.png?rlkey=5r605ls9unapihucsv44zign2&amp;st=qduf40c6&amp;dl=0</t>
  </si>
  <si>
    <t>Telina</t>
  </si>
  <si>
    <t>Kirkwood</t>
  </si>
  <si>
    <t>New Auckland</t>
  </si>
  <si>
    <t>Kin Kora</t>
  </si>
  <si>
    <t>Sun Valley</t>
  </si>
  <si>
    <t>Clinton</t>
  </si>
  <si>
    <t>South Gladstone</t>
  </si>
  <si>
    <t>Barney Point</t>
  </si>
  <si>
    <t>West Gladstone</t>
  </si>
  <si>
    <t>Byellee</t>
  </si>
  <si>
    <t>Callemondah</t>
  </si>
  <si>
    <t>Gladstone Central</t>
  </si>
  <si>
    <t>Glen Eden</t>
  </si>
  <si>
    <t>South Trees</t>
  </si>
  <si>
    <t>O'Connell</t>
  </si>
  <si>
    <t>Beecher</t>
  </si>
  <si>
    <t>Burua</t>
  </si>
  <si>
    <t>Tannum Sands</t>
  </si>
  <si>
    <t>Boyne Island</t>
  </si>
  <si>
    <t>Benaraby</t>
  </si>
  <si>
    <t>Jasmine Corrick</t>
  </si>
  <si>
    <t>jasmine@themcgillgroup.com.au</t>
  </si>
  <si>
    <t>0409 357 337</t>
  </si>
  <si>
    <t>Urangan</t>
  </si>
  <si>
    <t>$645k</t>
  </si>
  <si>
    <t>The McGill Group</t>
  </si>
  <si>
    <t>https://www.dropbox.com/scl/fi/v37j0diucbp44h2uho08z/Jazz_OceanBackground_7.5mb.png?rlkey=v6qiusykgnw6xog4js088tlbk&amp;st=3862jytw&amp;dl=0</t>
  </si>
  <si>
    <t>https://www.dropbox.com/scl/fi/cjj7b1zlifw8cz471n1px/BLACK_SQUARE_McGillFraserCoastByJasmineCorrick.jpg?rlkey=4y7ycl7np1jwz1lywf4t0mq1w&amp;st=ny4qwcia&amp;dl=0</t>
  </si>
  <si>
    <t>Booral</t>
  </si>
  <si>
    <t>Bunya Creek</t>
  </si>
  <si>
    <t>Craignish</t>
  </si>
  <si>
    <t>Dundowran</t>
  </si>
  <si>
    <t>Dundowran Beach</t>
  </si>
  <si>
    <t>Eli Waters</t>
  </si>
  <si>
    <t>Great Sandy Strait</t>
  </si>
  <si>
    <t>Kawungan</t>
  </si>
  <si>
    <t>Nikenbah</t>
  </si>
  <si>
    <t>Pialba</t>
  </si>
  <si>
    <t>Point Vernon</t>
  </si>
  <si>
    <t>River Heads</t>
  </si>
  <si>
    <t>Scarness</t>
  </si>
  <si>
    <t>Sunshine Acres</t>
  </si>
  <si>
    <t>Susan River</t>
  </si>
  <si>
    <t>Takura</t>
  </si>
  <si>
    <t>Toogoom</t>
  </si>
  <si>
    <t>Torquay</t>
  </si>
  <si>
    <t>Urraween</t>
  </si>
  <si>
    <t>Walliebum</t>
  </si>
  <si>
    <t>Walligan</t>
  </si>
  <si>
    <t>Wondunna</t>
  </si>
  <si>
    <t>Maryborough</t>
  </si>
  <si>
    <t>Dundathu</t>
  </si>
  <si>
    <t>Darren Cooper</t>
  </si>
  <si>
    <t>darren.cooper@realway.com.au</t>
  </si>
  <si>
    <t>0498 989 654</t>
  </si>
  <si>
    <t>Harristown</t>
  </si>
  <si>
    <t>$1.42m</t>
  </si>
  <si>
    <t>$720k</t>
  </si>
  <si>
    <t>Realway Property Partners</t>
  </si>
  <si>
    <t>https://www.dropbox.com/scl/fi/5q9glscmwapg1qa0e7wel/Screenshot-2025-10-30-at-11.04.00-AM.png?rlkey=zywb4lc4z1c341hhtlhh9diwe&amp;st=7d3sirao&amp;dl=0</t>
  </si>
  <si>
    <t>https://www.dropbox.com/scl/fi/l3p6sfodufpmu8bzlrtyk/Screenshot-2025-10-30-at-11.03.21-AM.png?rlkey=sl759lw2aho3olk48g07eytas&amp;st=wu8ktwwz&amp;dl=0</t>
  </si>
  <si>
    <t>Westbrook</t>
  </si>
  <si>
    <t>Glenvale</t>
  </si>
  <si>
    <t>Rockville</t>
  </si>
  <si>
    <t>Harlaxton</t>
  </si>
  <si>
    <t>Newtown</t>
  </si>
  <si>
    <t>Wilsonton</t>
  </si>
  <si>
    <t>Wilsonton Heights</t>
  </si>
  <si>
    <t>Cotswold Hills</t>
  </si>
  <si>
    <t>Mount Rascal</t>
  </si>
  <si>
    <t>Top Camp</t>
  </si>
  <si>
    <t>Hodgson Vale</t>
  </si>
  <si>
    <t>Wyreema</t>
  </si>
  <si>
    <t>Vale View</t>
  </si>
  <si>
    <t>Finnie</t>
  </si>
  <si>
    <t>Torrington</t>
  </si>
  <si>
    <t>Cranley</t>
  </si>
  <si>
    <t>Cabarlah</t>
  </si>
  <si>
    <t>Darling Heights</t>
  </si>
  <si>
    <t>Drayton</t>
  </si>
  <si>
    <t>North Toowoomba</t>
  </si>
  <si>
    <t>Toowoomba</t>
  </si>
  <si>
    <t>Brett Mullen</t>
  </si>
  <si>
    <t>brettmullen@theagency.com.au</t>
  </si>
  <si>
    <t>0404 802 477</t>
  </si>
  <si>
    <t>Rangeville</t>
  </si>
  <si>
    <t>$2.41m</t>
  </si>
  <si>
    <t>$496k</t>
  </si>
  <si>
    <t>https://www.dropbox.com/scl/fi/63nv5zvj8zo5yniaa5iaq/4037009.jpg?rlkey=db5hl5wvats8rfe4ls2rpwlbc&amp;st=3mo2rfk3&amp;dl=0</t>
  </si>
  <si>
    <t>https://www.dropbox.com/scl/fi/l70kd6bsg93eifml5mf4b/The-Agency-Logo.png?rlkey=s1w40sont5uk3dmicwvwha67t&amp;st=702jhjqz&amp;dl=0</t>
  </si>
  <si>
    <t>Mount Lofty</t>
  </si>
  <si>
    <t>Prince Henry Heights</t>
  </si>
  <si>
    <t>Redwood</t>
  </si>
  <si>
    <t>Centenary Heights</t>
  </si>
  <si>
    <t>Middle Ridge</t>
  </si>
  <si>
    <t>Kearneys Spring</t>
  </si>
  <si>
    <t>Silver Ridge</t>
  </si>
  <si>
    <t>Sean Mawberino</t>
  </si>
  <si>
    <t>sean.mawberino@belleproperty.com</t>
  </si>
  <si>
    <t>0412 962 819</t>
  </si>
  <si>
    <t>Mount Louisa</t>
  </si>
  <si>
    <t>$6.1m</t>
  </si>
  <si>
    <t>$595k</t>
  </si>
  <si>
    <t>https://www.dropbox.com/scl/fi/aqlrqakocerqp81kl393y/main-11.png?rlkey=ylzxqu0vw707dcwi30k69z28m&amp;st=mcxogv6q&amp;dl=0</t>
  </si>
  <si>
    <t>Kirwan</t>
  </si>
  <si>
    <t>Aitkenvale</t>
  </si>
  <si>
    <t>$445k</t>
  </si>
  <si>
    <t>Bushland Beach</t>
  </si>
  <si>
    <t>Condon</t>
  </si>
  <si>
    <t>Douglas</t>
  </si>
  <si>
    <t>Garbutt</t>
  </si>
  <si>
    <t>Hermit Park</t>
  </si>
  <si>
    <t>Pallarenda</t>
  </si>
  <si>
    <t>Rasmussen</t>
  </si>
  <si>
    <t>South Townsville</t>
  </si>
  <si>
    <t>Bluewater</t>
  </si>
  <si>
    <t>Alice River</t>
  </si>
  <si>
    <t>Black River</t>
  </si>
  <si>
    <t>Cosgrove</t>
  </si>
  <si>
    <t>Arcadia</t>
  </si>
  <si>
    <t>Horseshoe Bay</t>
  </si>
  <si>
    <t>Picnic Bay</t>
  </si>
  <si>
    <t>Mundingburra</t>
  </si>
  <si>
    <t>West End</t>
  </si>
  <si>
    <t>Burdell</t>
  </si>
  <si>
    <t>Kelso</t>
  </si>
  <si>
    <t>Mount Low</t>
  </si>
  <si>
    <t>Cluden</t>
  </si>
  <si>
    <t>Gulliver</t>
  </si>
  <si>
    <t>Townsville</t>
  </si>
  <si>
    <t>Pimlico</t>
  </si>
  <si>
    <t>Hyde Park</t>
  </si>
  <si>
    <t>Sam English</t>
  </si>
  <si>
    <t>same@theagency.com.au</t>
  </si>
  <si>
    <t>0432 568 040</t>
  </si>
  <si>
    <t>Maylands</t>
  </si>
  <si>
    <t>$7.45m</t>
  </si>
  <si>
    <t>$635k</t>
  </si>
  <si>
    <t>https://www.dropbox.com/scl/fi/tbbrsyveggsd5ommkyf49/SQUARE-Sam-English2-01.jpg?rlkey=hij3us1qhq59qle03hpehzu96&amp;st=5qnz6dj1&amp;dl=0</t>
  </si>
  <si>
    <t>Mount Lawley</t>
  </si>
  <si>
    <t>$850k</t>
  </si>
  <si>
    <t>Inglewood</t>
  </si>
  <si>
    <t>Bayswater</t>
  </si>
  <si>
    <t>Bassendean</t>
  </si>
  <si>
    <t>Bedford</t>
  </si>
  <si>
    <t>Eden Hill</t>
  </si>
  <si>
    <t>Coolbinia</t>
  </si>
  <si>
    <t>Guildford</t>
  </si>
  <si>
    <t>Ashfield</t>
  </si>
  <si>
    <t>Embleton</t>
  </si>
  <si>
    <t>Adam Djordjevic</t>
  </si>
  <si>
    <t>adamd@theagency.com.au</t>
  </si>
  <si>
    <t>0417 771 090</t>
  </si>
  <si>
    <t>Yokine</t>
  </si>
  <si>
    <t>$10.15m</t>
  </si>
  <si>
    <t>$902k</t>
  </si>
  <si>
    <t>https://www.dropbox.com/scl/fi/makq2lu79sm2hlefm00sc/callumdocker1_250980835427060_6413264630216389767_PNG-Adam-Djordjevic2-01.png?rlkey=5cajxbuz16ki7cb9kkpvba5h0&amp;st=3hyacd1v&amp;dl=0</t>
  </si>
  <si>
    <t>https://www.dropbox.com/scl/fi/hwgm0fqg2ryzymb2ptdgy/callumdocker1_250980835427060_6413264630216389767_TA_Logo.png?rlkey=ms9mldyko8cxo3rbnz1qa2iok&amp;st=at42exos&amp;dl=0</t>
  </si>
  <si>
    <t>Tuart Hill</t>
  </si>
  <si>
    <t>Joondanna</t>
  </si>
  <si>
    <t>Perth</t>
  </si>
  <si>
    <t>Dianella</t>
  </si>
  <si>
    <t>Karrinyup</t>
  </si>
  <si>
    <t>Nollamara</t>
  </si>
  <si>
    <t>Balcatta</t>
  </si>
  <si>
    <t>Westminster</t>
  </si>
  <si>
    <t>Stirling</t>
  </si>
  <si>
    <t>Balga</t>
  </si>
  <si>
    <t>Osborne Park</t>
  </si>
  <si>
    <t>$1.804m</t>
  </si>
  <si>
    <t>Girrawheen</t>
  </si>
  <si>
    <t>Marangaroo</t>
  </si>
  <si>
    <t>Koondoola</t>
  </si>
  <si>
    <t>Madeley</t>
  </si>
  <si>
    <t>leads@thebestrealty.com.au</t>
  </si>
  <si>
    <t>0430 883 882</t>
  </si>
  <si>
    <t>Armadale</t>
  </si>
  <si>
    <t>$31.35m</t>
  </si>
  <si>
    <t>The Best Realty Group - Armadale</t>
  </si>
  <si>
    <t>https://www.dropbox.com/scl/fi/5bvrsnbu7h3ugq3oku4sc/Aman-8.jpg?rlkey=prxrtszuvt4faaoyp0scijpn3&amp;st=4z2yd443&amp;dl=0</t>
  </si>
  <si>
    <t>https://www.dropbox.com/scl/fi/hw3bai4cccsr5u79unnf6/Logo-Name-on-white-background.png?rlkey=gkkcunf8l5hcbst72rsfi83xe&amp;st=agckv2ek&amp;dl=0</t>
  </si>
  <si>
    <t>Doobarda</t>
  </si>
  <si>
    <t>Forrestdale</t>
  </si>
  <si>
    <t>Harrisdale</t>
  </si>
  <si>
    <t>$10.75m</t>
  </si>
  <si>
    <t>Haynes</t>
  </si>
  <si>
    <t>$5.85m</t>
  </si>
  <si>
    <t>Hilbert</t>
  </si>
  <si>
    <t>Mount Nasura</t>
  </si>
  <si>
    <t>$3.10m</t>
  </si>
  <si>
    <t>Mount Richon</t>
  </si>
  <si>
    <t>Piara Waters</t>
  </si>
  <si>
    <t>$17.15m</t>
  </si>
  <si>
    <t>Seville Grove</t>
  </si>
  <si>
    <t>$9.50m</t>
  </si>
  <si>
    <t>Wungong</t>
  </si>
  <si>
    <t>Brookdale</t>
  </si>
  <si>
    <t>Bedfordale</t>
  </si>
  <si>
    <t>Atwell</t>
  </si>
  <si>
    <t>Kelmscott</t>
  </si>
  <si>
    <t>Success</t>
  </si>
  <si>
    <t>Yangebup</t>
  </si>
  <si>
    <t>Aubin Grove</t>
  </si>
  <si>
    <t>Leisa Lowe</t>
  </si>
  <si>
    <t>leisa@janjones.com.au</t>
  </si>
  <si>
    <t>0438 801 298</t>
  </si>
  <si>
    <t>Clontarf</t>
  </si>
  <si>
    <t>$9.45m</t>
  </si>
  <si>
    <t>$770k</t>
  </si>
  <si>
    <t>Jan Jones Real Estate - Clontarf</t>
  </si>
  <si>
    <t>https://www.dropbox.com/scl/fi/mb8r3xnmyofpb0nbf06bl/main-34.jpg?rlkey=m84vd2slb841j5m7sne8v36fr&amp;st=g8wkw4vr&amp;dl=0</t>
  </si>
  <si>
    <t>https://www.dropbox.com/scl/fi/7u9aqm0ug7cyqu7b9pizh/Screenshot-2025-12-23-at-11.14.51-AM.png?rlkey=gusnzmtmied8kowbq6xjx4tu1&amp;st=nmaj1uws&amp;dl=0</t>
  </si>
  <si>
    <t>Woody Point</t>
  </si>
  <si>
    <t>$4.15m</t>
  </si>
  <si>
    <t>$950k</t>
  </si>
  <si>
    <t>Margate</t>
  </si>
  <si>
    <t>Kippa-Ring</t>
  </si>
  <si>
    <t>Newport</t>
  </si>
  <si>
    <t>Rothwell</t>
  </si>
  <si>
    <t>Redcliffe</t>
  </si>
  <si>
    <t>Alex Sparrow</t>
  </si>
  <si>
    <t>alex@imageproperty.com.au</t>
  </si>
  <si>
    <t>0413 880 231</t>
  </si>
  <si>
    <t>Raceview</t>
  </si>
  <si>
    <t>$775k</t>
  </si>
  <si>
    <t>https://www.dropbox.com/scl/fi/5akr0sshzwk22p67a9l8h/main-10.png?rlkey=wyd0x4kl9yvlxudzkzhnae4z5&amp;st=uc9v9vc0&amp;dl=0</t>
  </si>
  <si>
    <t>https://www.dropbox.com/scl/fi/q7ppbas6eu6r86asybg6g/Screenshot-2025-10-21-at-1.13.46-PM.png?rlkey=6fwtw7mg6ktztk6e7cr2lmpci&amp;st=c1pipaqg&amp;dl=0</t>
  </si>
  <si>
    <t>Eastern Heights</t>
  </si>
  <si>
    <t>Ipswich</t>
  </si>
  <si>
    <t>Booval</t>
  </si>
  <si>
    <t>Karalee</t>
  </si>
  <si>
    <t>Ripley</t>
  </si>
  <si>
    <t>Yamanto</t>
  </si>
  <si>
    <t>Flinders View</t>
  </si>
  <si>
    <t>Churchill</t>
  </si>
  <si>
    <t>One Mile</t>
  </si>
  <si>
    <t>West Ipswich</t>
  </si>
  <si>
    <t>Silkstone</t>
  </si>
  <si>
    <t>Blackstone</t>
  </si>
  <si>
    <t>Fernvale</t>
  </si>
  <si>
    <t>$655k</t>
  </si>
  <si>
    <t>Karana Downs</t>
  </si>
  <si>
    <t>Anstead</t>
  </si>
  <si>
    <t>Barellan Point</t>
  </si>
  <si>
    <t>Fairney View</t>
  </si>
  <si>
    <t>Brassall</t>
  </si>
  <si>
    <t>$4.65m</t>
  </si>
  <si>
    <t>Wulkuraka</t>
  </si>
  <si>
    <t>Coalfalls</t>
  </si>
  <si>
    <t>Sadliers Crossing</t>
  </si>
  <si>
    <t>Woodend</t>
  </si>
  <si>
    <t>North Ipswich</t>
  </si>
  <si>
    <t>Basin Pocket</t>
  </si>
  <si>
    <t>Tivoli</t>
  </si>
  <si>
    <t>East Ipswich</t>
  </si>
  <si>
    <t>Moores Pocket</t>
  </si>
  <si>
    <t>North Tivoli</t>
  </si>
  <si>
    <t>North Booval</t>
  </si>
  <si>
    <t>Bundamba</t>
  </si>
  <si>
    <t>Ebbw Vale</t>
  </si>
  <si>
    <t>Chuwar</t>
  </si>
  <si>
    <t>Pine Mountain</t>
  </si>
  <si>
    <t>Prenzlau</t>
  </si>
  <si>
    <t>Deebing Heights</t>
  </si>
  <si>
    <t>Rebecca Hanzic</t>
  </si>
  <si>
    <t>rebecca@coastalpropertycollective.com</t>
  </si>
  <si>
    <t>0412 432 112</t>
  </si>
  <si>
    <t>Pottsville</t>
  </si>
  <si>
    <t>$16.65m</t>
  </si>
  <si>
    <t>Coastal Property Collective</t>
  </si>
  <si>
    <t>https://www.dropbox.com/scl/fi/l34k6fnhxx2rwrr8kln55/main-33.jpg?rlkey=6pertehx2srfn9sv5mrefucau&amp;st=b2jlywhf&amp;dl=0</t>
  </si>
  <si>
    <t>https://www.dropbox.com/scl/fi/vrtl1vmg0gtroqirr9i1m/Screenshot-2025-12-23-at-11.10.59-AM.png?rlkey=9arz2e1e9551vvo2ae64ts4rc&amp;st=h8y6944h&amp;dl=0</t>
  </si>
  <si>
    <t>Margaret Herbert</t>
  </si>
  <si>
    <t>margaretherbert@oneagency.com.au</t>
  </si>
  <si>
    <t>0408 772 722</t>
  </si>
  <si>
    <t>Dwellingup</t>
  </si>
  <si>
    <t>$560k</t>
  </si>
  <si>
    <t>One Agency - North</t>
  </si>
  <si>
    <t>https://www.dropbox.com/scl/fi/anns0gk2a323ck1z54w7y/main-21.png?rlkey=okukf0wd6k0zpzby64wp3jlwu&amp;st=cisayixh&amp;dl=0</t>
  </si>
  <si>
    <t>https://www.dropbox.com/scl/fi/h0wfbnjjrwaitjn1fedrb/Screenshot-2025-12-23-at-11.47.19-AM.png?rlkey=peu3r6b14k10ezk2omxi9g76i&amp;st=tyurw28d&amp;dl=0</t>
  </si>
  <si>
    <t>Pinjarra</t>
  </si>
  <si>
    <t>West Pinjarra</t>
  </si>
  <si>
    <t>South Yunderup</t>
  </si>
  <si>
    <t>Ravenswood</t>
  </si>
  <si>
    <t>Blythewood</t>
  </si>
  <si>
    <t>Oakley</t>
  </si>
  <si>
    <t>Fairbridge</t>
  </si>
  <si>
    <t>Meelon</t>
  </si>
  <si>
    <t>Jorjesen Demetrios</t>
  </si>
  <si>
    <t>jorjesen.demetrios@stockdaleleggo.com.au</t>
  </si>
  <si>
    <t>0413 776 303</t>
  </si>
  <si>
    <t>Traralgon</t>
  </si>
  <si>
    <t>$26.35m</t>
  </si>
  <si>
    <t>$520k</t>
  </si>
  <si>
    <t>Stockdale &amp; Leggo - Traralgon</t>
  </si>
  <si>
    <t>https://www.dropbox.com/scl/fi/ftp6gaais2ayfxu9x8ns9/main-22.png?rlkey=ozg7l8o7x82jci0m2up7ah8s5&amp;st=wf26x4g1&amp;dl=0</t>
  </si>
  <si>
    <t>https://www.dropbox.com/scl/fi/eg6kf9d28jb7g6a6nwtyv/Screenshot-2026-01-08-at-12.51.18-PM.png?rlkey=w7wwrrok14dihdbd9m77p73od&amp;st=23rvo8kx&amp;dl=0</t>
  </si>
  <si>
    <t>Traralgon East</t>
  </si>
  <si>
    <t>$15.55m</t>
  </si>
  <si>
    <t>Traralgon South</t>
  </si>
  <si>
    <t>$1.44m</t>
  </si>
  <si>
    <t>$790k</t>
  </si>
  <si>
    <t>George Demetrios</t>
  </si>
  <si>
    <t>george@stockdaleleggo.com.au</t>
  </si>
  <si>
    <t>0488 058 020</t>
  </si>
  <si>
    <t>Morwell</t>
  </si>
  <si>
    <t>20.25m</t>
  </si>
  <si>
    <t>$460k</t>
  </si>
  <si>
    <t>https://www.dropbox.com/scl/fi/fnlye1ceag6kcr0uiy8zf/main-24.png?rlkey=u3w48m5kiwy9mria5w3u3umbe&amp;st=7ysvv3cw&amp;dl=0</t>
  </si>
  <si>
    <t>David Halling</t>
  </si>
  <si>
    <t>david@adelaidepropertypeople.com.au</t>
  </si>
  <si>
    <t>0431 307 919</t>
  </si>
  <si>
    <t>Elizabeth Park</t>
  </si>
  <si>
    <t>$630k</t>
  </si>
  <si>
    <t>Adelaide Property People</t>
  </si>
  <si>
    <t>https://www.dropbox.com/scl/fi/5u4dc1fayw5mp2umm9qfb/david-hailing.png?rlkey=fgltw3ci1yfzg8zwsospf15bz&amp;st=5wbc1lam&amp;dl=0</t>
  </si>
  <si>
    <t>https://www.dropbox.com/scl/fi/x2pbfgafmagh4x4qegbio/3D-transparent.png?rlkey=e6hq9car97ohhc47sqh4zx335&amp;st=8y3uz3w0&amp;dl=0</t>
  </si>
  <si>
    <t>Elizabeth</t>
  </si>
  <si>
    <t>Elizabeth East</t>
  </si>
  <si>
    <t>Salisbury</t>
  </si>
  <si>
    <t>Salisbury Park</t>
  </si>
  <si>
    <t>Elizabeth Vale</t>
  </si>
  <si>
    <t>Davoren Park</t>
  </si>
  <si>
    <t>Blakeview</t>
  </si>
  <si>
    <t>Smithfield</t>
  </si>
  <si>
    <t>Smithfield Plains</t>
  </si>
  <si>
    <t>Andrews Farm</t>
  </si>
  <si>
    <t>Elizabeth North</t>
  </si>
  <si>
    <t>Elizabeth South</t>
  </si>
  <si>
    <t>Angle Vale</t>
  </si>
  <si>
    <t>Hillbank</t>
  </si>
  <si>
    <t>Evanston Gardens</t>
  </si>
  <si>
    <t>Elizabeth Downs</t>
  </si>
  <si>
    <t>Craigmore</t>
  </si>
  <si>
    <t>Navin Chandra</t>
  </si>
  <si>
    <t>navin@imageproperty.com.au</t>
  </si>
  <si>
    <t>0455 879 703</t>
  </si>
  <si>
    <t>Spring Mountain</t>
  </si>
  <si>
    <t>$955k</t>
  </si>
  <si>
    <t>https://www.dropbox.com/scl/fi/0pkggeuci3ocoeghhtcxi/592991497_793172387061609_6631044413232605203_n.jpg?rlkey=53nmlwqkb1uqm8tsxsfgbeyn9&amp;st=304iyn8y&amp;dl=0</t>
  </si>
  <si>
    <t>https://www.dropbox.com/scl/fi/zgbui6efj38wih34l4sgl/callumdocker1_250980835427060_6436592300227501303_Nav-Profile.png?rlkey=qn1yeiajfrw8avm3tfo9o1wxp&amp;st=oelfw0ln&amp;dl=0</t>
  </si>
  <si>
    <t>Greenbank</t>
  </si>
  <si>
    <t>Redbank Plains</t>
  </si>
  <si>
    <t>Collingwood Park</t>
  </si>
  <si>
    <t>White Rock</t>
  </si>
  <si>
    <t>Camira</t>
  </si>
  <si>
    <t>Tim Woolner</t>
  </si>
  <si>
    <t>tim.woolner@remax.com.au</t>
  </si>
  <si>
    <t>0407 308 794</t>
  </si>
  <si>
    <t>Coes Creek</t>
  </si>
  <si>
    <t>$840k</t>
  </si>
  <si>
    <t>REMAX Property Sales</t>
  </si>
  <si>
    <t>https://www.dropbox.com/scl/fi/r7zn4hbvtciyrepgripwi/callumdocker1_250980835427060_6448458882585512374_Headshot.png?rlkey=5dvrcfkfupkfoglf33soiboje&amp;st=ua3ltosx&amp;dl=0</t>
  </si>
  <si>
    <t>https://www.dropbox.com/scl/fi/1i6269a1iy5h0lune0uog/callumdocker1_250980835427060_6448458882585512374_REMAX_Logos_HEX-COLOURS_Black-Stacked.png?rlkey=hhk4gaatovqb5t70i82okchpe&amp;st=xbd7n55d&amp;dl=0</t>
  </si>
  <si>
    <t>Flaxton</t>
  </si>
  <si>
    <t>Mapleton</t>
  </si>
  <si>
    <t>Montville</t>
  </si>
  <si>
    <t>Towen Mountain</t>
  </si>
  <si>
    <t>Dulong</t>
  </si>
  <si>
    <t>Kureelpa</t>
  </si>
  <si>
    <t>Image Flat</t>
  </si>
  <si>
    <t>Chris Elliman</t>
  </si>
  <si>
    <t>chris.elliman@remax.com.au</t>
  </si>
  <si>
    <t>0408 154 947</t>
  </si>
  <si>
    <t>Woombye</t>
  </si>
  <si>
    <t>https://www.dropbox.com/scl/fi/cfwnqlj6xnmi7mui9fh23/_dsc5904_small.JPG?rlkey=rxb0e460a13f11n0u10m6hroj&amp;st=u3hnkavn&amp;dl=0</t>
  </si>
  <si>
    <t>West Woombye</t>
  </si>
  <si>
    <t>Diddillibah</t>
  </si>
  <si>
    <t>Kiels Mountain</t>
  </si>
  <si>
    <t>Rosemount</t>
  </si>
  <si>
    <t>Barry Feldman</t>
  </si>
  <si>
    <t>Barry.f@areaspecialist.com.au</t>
  </si>
  <si>
    <t>0410 448 277</t>
  </si>
  <si>
    <t>St Kilda East</t>
  </si>
  <si>
    <t>$1.19m</t>
  </si>
  <si>
    <t>Area Specialist</t>
  </si>
  <si>
    <t>https://www.dropbox.com/scl/fi/kdhu7nqvj5t9v3rqtvoak/5e9440c6-78c0-40d2-aac3-3b25ad77aa40.jpg?rlkey=d6bvvkvq54pxj1lo3rs1cmtwo&amp;st=61bqvnsz&amp;dl=0</t>
  </si>
  <si>
    <t>https://www.dropbox.com/scl/fi/zf1lhodbza6i670e10eqh/Logo_Black.pdf?rlkey=az1yoxkyjaoloq0fbiil4acxu&amp;st=gs66c7iw&amp;dl=0</t>
  </si>
  <si>
    <t>Balaclava</t>
  </si>
  <si>
    <t>Caulfield</t>
  </si>
  <si>
    <t>Caulfield South</t>
  </si>
  <si>
    <t>Glen Iris</t>
  </si>
  <si>
    <t>Melbourne</t>
  </si>
  <si>
    <t>Craig Missell</t>
  </si>
  <si>
    <t>craig.missell@missell.com.au</t>
  </si>
  <si>
    <t>0437 321 333</t>
  </si>
  <si>
    <t>Missell Property Group</t>
  </si>
  <si>
    <t>https://www.dropbox.com/scl/fi/hbe3w0r6s9t9dv9syax16/IMG_8218.jpeg?rlkey=iplahk1f3gvovd3foi2ts06lb&amp;st=uf4pnk36&amp;dl=0</t>
  </si>
  <si>
    <t>https://www.dropbox.com/scl/fi/wbfe933va26vv4csatb1t/Bazaart_39069A8A-02BB-4AEC-A028-448ED5A43C88.jpeg?rlkey=ycws4cf0144ucfd7g964mjl93&amp;st=6lv2lxba&amp;dl=0</t>
  </si>
  <si>
    <t>Brighton East</t>
  </si>
  <si>
    <t>Mentone</t>
  </si>
  <si>
    <t>Beaumaris</t>
  </si>
  <si>
    <t>Black Rock</t>
  </si>
  <si>
    <t>Murrumbeena</t>
  </si>
  <si>
    <t>Parkdale</t>
  </si>
  <si>
    <t>Mordialloc</t>
  </si>
  <si>
    <t>Moorabbin</t>
  </si>
  <si>
    <t>Brett Sparks</t>
  </si>
  <si>
    <t>brettsparks@jelliscraig.com.au</t>
  </si>
  <si>
    <t>0411 131 938</t>
  </si>
  <si>
    <t>Greensborough</t>
  </si>
  <si>
    <t>$7.15m</t>
  </si>
  <si>
    <t>$973k</t>
  </si>
  <si>
    <t>Jellis Craig Greensborough &amp; Hurstbridge</t>
  </si>
  <si>
    <t>https://www.dropbox.com/scl/fi/st7ghj8wwbhm0b82kjrdd/Brett-Sparks-Domain-Highres.jpg?rlkey=py9x7fmgiq50foijg7p3mm986&amp;st=f2uhpm7x&amp;dl=0</t>
  </si>
  <si>
    <t>https://www.dropbox.com/scl/fi/wy7a06niqgbpie3ftos7j/Screenshot-2026-02-02-at-2.33.24-PM.png?rlkey=igi5yafrb24h4wr6z0ydwkn7g&amp;st=09q62f8n&amp;dl=0</t>
  </si>
  <si>
    <t>Watsonia</t>
  </si>
  <si>
    <t>$2.85m</t>
  </si>
  <si>
    <t>Macleod</t>
  </si>
  <si>
    <t>Yallambie</t>
  </si>
  <si>
    <t>Briar Hill</t>
  </si>
  <si>
    <t>Bundoora</t>
  </si>
  <si>
    <t>Montmorency</t>
  </si>
  <si>
    <t>Viewbank</t>
  </si>
  <si>
    <t>$1.94m</t>
  </si>
  <si>
    <t>Watsonia North</t>
  </si>
  <si>
    <t>Eltham</t>
  </si>
  <si>
    <t>Nathan Baker</t>
  </si>
  <si>
    <t>nathan.baker@eldersrealestate.com.au</t>
  </si>
  <si>
    <t>0499 993 028</t>
  </si>
  <si>
    <t>Thurgoona</t>
  </si>
  <si>
    <t>$725k</t>
  </si>
  <si>
    <t>Elders Real Estate Wodonga</t>
  </si>
  <si>
    <t>https://www.dropbox.com/scl/fi/2kmra6rwv14fetd7sku89/realstate.jpg?rlkey=2e6j75k747ellx0orw8uxtcxz&amp;st=5e1asu6v&amp;dl=0</t>
  </si>
  <si>
    <t>https://www.dropbox.com/scl/fi/rcr6gkz3vohe36sflm51i/REA-logo-v2.jpg?rlkey=gj54azu14b1uw1qa75yl6crs5&amp;st=p54fu10j&amp;dl=0</t>
  </si>
  <si>
    <t>Lavington</t>
  </si>
  <si>
    <t>East Albury</t>
  </si>
  <si>
    <t>North Albury</t>
  </si>
  <si>
    <t>Glenroy</t>
  </si>
  <si>
    <t>Hamilton Valley</t>
  </si>
  <si>
    <t>West Albury</t>
  </si>
  <si>
    <t>Albury</t>
  </si>
  <si>
    <t>South Albury</t>
  </si>
  <si>
    <t>Wodonga</t>
  </si>
  <si>
    <t>West Wodonga</t>
  </si>
  <si>
    <t>Corey Pitt</t>
  </si>
  <si>
    <t>coreypitt@theagency.com.au</t>
  </si>
  <si>
    <t>0407 651 936</t>
  </si>
  <si>
    <t>Innes Park</t>
  </si>
  <si>
    <t>$910k</t>
  </si>
  <si>
    <t>The Agency - Bundaberg</t>
  </si>
  <si>
    <t>https://www.dropbox.com/scl/fi/00nyef3q9h9mfvtd4vqwa/Corey-Pitt-Bust-Pic-Oct-2025.jpg?rlkey=dpzv38b98i7kz0w71b26imlvp&amp;st=v98amviu&amp;dl=0</t>
  </si>
  <si>
    <t>https://www.dropbox.com/scl/fi/43fgqmyto4xhz52u32v6p/callumdocker1_250980835427060_6458158000016176947_TheAgency_Logo_Charcoal_RGB-WhiteBack.png?rlkey=wm3sp2lpaf0m283zr8za0jhh6&amp;st=erwkmrup&amp;dl=0</t>
  </si>
  <si>
    <t>Abbotsford</t>
  </si>
  <si>
    <t>Avenell Heights</t>
  </si>
  <si>
    <t>Avoca</t>
  </si>
  <si>
    <t>Avondale</t>
  </si>
  <si>
    <t>Bargara</t>
  </si>
  <si>
    <t>Branyan</t>
  </si>
  <si>
    <t>Bundaberg</t>
  </si>
  <si>
    <t>Bundaberg Central</t>
  </si>
  <si>
    <t>Bundaberg East</t>
  </si>
  <si>
    <t>Bundaberg North</t>
  </si>
  <si>
    <t>Bundaberg South</t>
  </si>
  <si>
    <t>Bundaberg West</t>
  </si>
  <si>
    <t>Fairymead</t>
  </si>
  <si>
    <t>Kalkie</t>
  </si>
  <si>
    <t>Kensington</t>
  </si>
  <si>
    <t>Kepnock</t>
  </si>
  <si>
    <t>Millbank</t>
  </si>
  <si>
    <t>Svensson Heights</t>
  </si>
  <si>
    <t>Thabeban</t>
  </si>
  <si>
    <t>Walkervale</t>
  </si>
  <si>
    <t>Burnett Heads</t>
  </si>
  <si>
    <t>Calavos</t>
  </si>
  <si>
    <t>Coral Cove</t>
  </si>
  <si>
    <t>Elliott</t>
  </si>
  <si>
    <t>Elliott Heads</t>
  </si>
  <si>
    <t>Gooburrum</t>
  </si>
  <si>
    <t>Givelda</t>
  </si>
  <si>
    <t>Kinkuna</t>
  </si>
  <si>
    <t>Moore Park Beach</t>
  </si>
  <si>
    <t>Mon Repos</t>
  </si>
  <si>
    <t>Moorland</t>
  </si>
  <si>
    <t>Mullett Creek</t>
  </si>
  <si>
    <t>Norville</t>
  </si>
  <si>
    <t>Oakwood</t>
  </si>
  <si>
    <t>Pine Creek</t>
  </si>
  <si>
    <t>Qunaba</t>
  </si>
  <si>
    <t>Rubyanna</t>
  </si>
  <si>
    <t>Sharon</t>
  </si>
  <si>
    <t>South Bingera</t>
  </si>
  <si>
    <t>South Kolan</t>
  </si>
  <si>
    <t>Watalgan</t>
  </si>
  <si>
    <t>Welcome Creek</t>
  </si>
  <si>
    <t>Windermere</t>
  </si>
  <si>
    <t>Winfield</t>
  </si>
  <si>
    <t>Woongarra</t>
  </si>
  <si>
    <t>Bucca</t>
  </si>
  <si>
    <t>Chris Carbery</t>
  </si>
  <si>
    <t>chris@rossrealty.com.au</t>
  </si>
  <si>
    <t>0425 017 306</t>
  </si>
  <si>
    <t>Beechboro</t>
  </si>
  <si>
    <t>$3.45m</t>
  </si>
  <si>
    <t>$680k</t>
  </si>
  <si>
    <t>ROSS REALTY - MORLEY</t>
  </si>
  <si>
    <t>https://www.dropbox.com/scl/fi/mzu0r8307c58j32gfaxxa/Chris.jpg?rlkey=2sua3wowvn63ddggm118luvkx&amp;st=wycxw4ku&amp;dl=0</t>
  </si>
  <si>
    <t>https://www.dropbox.com/scl/fi/qpi2w1kqi41mh19p1hmtj/Ross-Realty-600x-180x-VaultRE.jpg?rlkey=cfjiv3rks8ojmuekqizk84zt2&amp;st=jvmfae5i&amp;dl=0</t>
  </si>
  <si>
    <t>Kiara</t>
  </si>
  <si>
    <t>Caversham</t>
  </si>
  <si>
    <t>Midland</t>
  </si>
  <si>
    <t>Brabham</t>
  </si>
  <si>
    <t>Henley Brook</t>
  </si>
  <si>
    <t>South Guildford</t>
  </si>
  <si>
    <t>Hazelmere</t>
  </si>
  <si>
    <t>Dayton</t>
  </si>
  <si>
    <t>Lockridge</t>
  </si>
  <si>
    <t>Stratton</t>
  </si>
  <si>
    <t>Swan View</t>
  </si>
  <si>
    <t>Bennett Springs</t>
  </si>
  <si>
    <t>$2.04m</t>
  </si>
  <si>
    <t>Ellenbrook</t>
  </si>
  <si>
    <t>Jason Barbara</t>
  </si>
  <si>
    <t>jbarbara@nelsonalexander.com.au</t>
  </si>
  <si>
    <t>0402 156 326</t>
  </si>
  <si>
    <t>Essendon</t>
  </si>
  <si>
    <t>$12.45m</t>
  </si>
  <si>
    <t>$825k</t>
  </si>
  <si>
    <t>Nelson Alexander - Essendon</t>
  </si>
  <si>
    <t>https://www.dropbox.com/scl/fi/ok1ydg3nrm279al5at8i3/Jason-B.jpg?rlkey=gp6k0s15asf31p1zw6c359iji&amp;st=1ujor7kc&amp;dl=0</t>
  </si>
  <si>
    <t>https://www.dropbox.com/scl/fi/h9sxo8reotsczpr1zsobo/callumdocker1_250980835427060_6459770496213501318_NelsonAlexander_Logo_2018.original.png?rlkey=jugz711ixy8fo0a81agehxomn&amp;st=wc2n5fcg&amp;dl=0</t>
  </si>
  <si>
    <t>Moonee Ponds</t>
  </si>
  <si>
    <t>Aberfeldie</t>
  </si>
  <si>
    <t>Essendon West</t>
  </si>
  <si>
    <t>Niddrie</t>
  </si>
  <si>
    <t>Essendon North</t>
  </si>
  <si>
    <t>Strathmore</t>
  </si>
  <si>
    <t>Pascoe Vale South</t>
  </si>
  <si>
    <t>Brunswick West</t>
  </si>
  <si>
    <t>Brunswick East</t>
  </si>
  <si>
    <t>$8.25m</t>
  </si>
  <si>
    <t>Coburg</t>
  </si>
  <si>
    <t>Luke Casaceli</t>
  </si>
  <si>
    <t>casacelipartners@outlook.com</t>
  </si>
  <si>
    <t>0431 905 924</t>
  </si>
  <si>
    <t>Bermagui</t>
  </si>
  <si>
    <t>$2.65m</t>
  </si>
  <si>
    <t>$845k</t>
  </si>
  <si>
    <t>CASACELI PARTNERS</t>
  </si>
  <si>
    <t>https://www.dropbox.com/scl/fi/57fkxj71z6rw1l2gu1g7a/4H3omLYZ.jpeg?rlkey=3ptpfqhud6k81u1u2skamd2d1&amp;st=p8kszhg2&amp;dl=0</t>
  </si>
  <si>
    <t>https://www.dropbox.com/scl/fi/ok7fqeie63vu2whgvvti9/Screenshot-2026-02-05-at-1.06.14-PM.png?rlkey=ax69o2opvpwh755oxd6gyyim8&amp;st=1xggd1er&amp;dl=0</t>
  </si>
  <si>
    <t>Cobargo</t>
  </si>
  <si>
    <t>Narooma</t>
  </si>
  <si>
    <t>Corunna</t>
  </si>
  <si>
    <t>Bega</t>
  </si>
  <si>
    <t>Samantha Leftwich</t>
  </si>
  <si>
    <t>admin@cmres.com.au</t>
  </si>
  <si>
    <t>0427 570 646</t>
  </si>
  <si>
    <t>Carina</t>
  </si>
  <si>
    <t>$810k</t>
  </si>
  <si>
    <t>Carol Maxwell Real Estate Services</t>
  </si>
  <si>
    <t>https://www.dropbox.com/scl/fi/1s8jsx3qeebf7aqonljez/contact_2011225.jpeg?rlkey=j6ud67i7rjg5t6foz248s4x9y&amp;st=wm53uapc&amp;dl=0</t>
  </si>
  <si>
    <t>https://www.dropbox.com/scl/fi/fb2kxjjycxvz51v5mt861/callumdocker1_250980835427060_6464097188391724411_Asset-1-4x.png?rlkey=zfaqmnu4gjyittgmq3spml0ez&amp;st=pmxs1u3e&amp;dl=0</t>
  </si>
  <si>
    <t>Carina Heights</t>
  </si>
  <si>
    <t>Tingalpa</t>
  </si>
  <si>
    <t>Camp Hill</t>
  </si>
  <si>
    <t>Craig Schofield</t>
  </si>
  <si>
    <t>craigschofield1@bigpond.com</t>
  </si>
  <si>
    <t>0419 494 800</t>
  </si>
  <si>
    <t>Port Douglas</t>
  </si>
  <si>
    <t>$423k</t>
  </si>
  <si>
    <t>Queensland Sotheby's International Realty - Port Douglas</t>
  </si>
  <si>
    <t>https://www.dropbox.com/scl/fi/tjk8pxotnskls0e4nmz1e/main-37.jpg?rlkey=95uysb3z6wjuj28gplcr14bvn&amp;st=1y8rdsyp&amp;dl=0</t>
  </si>
  <si>
    <t>https://www.dropbox.com/scl/fi/qlw9tarnw8k5jois3okpj/Screenshot-2026-02-09-at-2.53.59-PM.png?rlkey=3yd64j8e4xtnspa6ftwwmb5lx&amp;st=wq0hmwe8&amp;dl=0</t>
  </si>
  <si>
    <t>Shannonvale</t>
  </si>
  <si>
    <t>Oak Beach</t>
  </si>
  <si>
    <t>$815k</t>
  </si>
  <si>
    <t>Mowbray</t>
  </si>
  <si>
    <t>Craiglie</t>
  </si>
  <si>
    <t>Oscar Van Megchelen</t>
  </si>
  <si>
    <t>oscar@elitelocalagents.com.au</t>
  </si>
  <si>
    <t>0405 791 242</t>
  </si>
  <si>
    <t>Bogangar</t>
  </si>
  <si>
    <t>$2.70m</t>
  </si>
  <si>
    <t>Elite Local Agents</t>
  </si>
  <si>
    <t>https://www.dropbox.com/scl/fi/bayv9i6n8zhh39f3akoay/Oscar-2-Close-up-Head-Shot.jpg?rlkey=mww5op36vvyy6wbu1p24vpb33&amp;st=ihdjem8z&amp;dl=0</t>
  </si>
  <si>
    <t>https://www.dropbox.com/scl/fi/8k1a0saotrmr9v8du8tvs/callumdocker1_250980835427060_6465178560169415276_ELA_Logos_Primary_Multi-2.png?rlkey=6omdcsj0cegar4go8k809sq1g&amp;st=2pg6jwfy&amp;dl=0</t>
  </si>
  <si>
    <t>Nunderi</t>
  </si>
  <si>
    <t>Terranora</t>
  </si>
  <si>
    <t>Banora Point</t>
  </si>
  <si>
    <t>Duranbah</t>
  </si>
  <si>
    <t>Fingal Head</t>
  </si>
  <si>
    <t>Cudgen</t>
  </si>
  <si>
    <t>Chinderah</t>
  </si>
  <si>
    <t>Kingscliff</t>
  </si>
  <si>
    <t>Casuarina</t>
  </si>
  <si>
    <t>Hastings Point</t>
  </si>
  <si>
    <t>Aaron Boud</t>
  </si>
  <si>
    <t>aaron.boud@belleproperty.com</t>
  </si>
  <si>
    <t>0432 028 483</t>
  </si>
  <si>
    <t>Mandurah</t>
  </si>
  <si>
    <t>$8.45m</t>
  </si>
  <si>
    <t>Acton | Belle Property Mandurah</t>
  </si>
  <si>
    <t>https://www.dropbox.com/scl/fi/wtrgkp54b89f0samzc30b/Aaron-Boud-Belle-Property-Profile.jpg?rlkey=uooongbl9rq6c4tzn0qcac5ng&amp;st=8ot3iiqp&amp;dl=0</t>
  </si>
  <si>
    <t>https://www.dropbox.com/scl/fi/et28wxiphrhjgbjeh8k8i/callumdocker1_250980835427060_6465231837224128232_Acton-Belle-Logo.png?rlkey=4zsr0zpm2ihvb9i2mvg9ui1fy&amp;st=ww7s8z3w&amp;dl=0</t>
  </si>
  <si>
    <t>Coodanup</t>
  </si>
  <si>
    <t>Greenfields</t>
  </si>
  <si>
    <t>Silver Sands</t>
  </si>
  <si>
    <t>Meadow Springs</t>
  </si>
  <si>
    <t>Parklands</t>
  </si>
  <si>
    <t>San Remo</t>
  </si>
  <si>
    <t>Justin Henry</t>
  </si>
  <si>
    <t>justin@remaxwm.com.au</t>
  </si>
  <si>
    <t>0438 348 777</t>
  </si>
  <si>
    <t>Mount Gravatt East</t>
  </si>
  <si>
    <t>REMAX Advantage</t>
  </si>
  <si>
    <t>https://www.dropbox.com/scl/fi/bywunh3c67xcjhrxmh31l/LowRes20-2.jpg?rlkey=qbl21h8g9h5wx6mp9xmi7j3o3&amp;st=xdh82wf4&amp;dl=0</t>
  </si>
  <si>
    <t>https://www.dropbox.com/scl/fi/ml8egj52a32lto3t67xoi/JHR-powered-by-remax.jpg-4.jpeg?rlkey=s7xjamyy3urrabu3m4nugj6lj&amp;st=7g5vmfen&amp;dl=0</t>
  </si>
  <si>
    <t>Mount Gravatt</t>
  </si>
  <si>
    <t>Upper Mount Gravatt</t>
  </si>
  <si>
    <t>Mansfield</t>
  </si>
  <si>
    <t>Wishart</t>
  </si>
  <si>
    <t>Nigel Ross</t>
  </si>
  <si>
    <t>nigelross@rossrealty.com.au</t>
  </si>
  <si>
    <t>0449 982 201</t>
  </si>
  <si>
    <t>Morley</t>
  </si>
  <si>
    <t>https://www.dropbox.com/scl/fi/5xgha9opbkyufk3d0wtqy/WEB-Nigel-Ross1-01.jpg?rlkey=vjn2h5wvpo3p84gjbokqlchq8&amp;st=z301bq99&amp;dl=0</t>
  </si>
  <si>
    <t>Noranda</t>
  </si>
  <si>
    <t>$23.15m</t>
  </si>
  <si>
    <t>$889k</t>
  </si>
  <si>
    <t>Mary van Brakel</t>
  </si>
  <si>
    <t>mary@fnalbany.com.au</t>
  </si>
  <si>
    <t>0422 001 632</t>
  </si>
  <si>
    <t>Spencer Park</t>
  </si>
  <si>
    <t>$740k</t>
  </si>
  <si>
    <t>First National Bairstow Kerr</t>
  </si>
  <si>
    <t>https://www.dropbox.com/scl/fi/6p93edyl7ie5em4embc9z/2nd-favourite-Mary.jpg?rlkey=1qw8evkj6tdvg9zsimxsv13m5&amp;st=8uybq2rs&amp;dl=0</t>
  </si>
  <si>
    <t>https://www.dropbox.com/scl/fi/w3i2uwyzi43kjx6a8rq2o/Bairstow-Kerr_Classic_Logo_2_CMYK.jpg?rlkey=5knnokdprpay2bqpmck525jz7&amp;st=9fff6p2p&amp;dl=0</t>
  </si>
  <si>
    <t>Mira Mar</t>
  </si>
  <si>
    <t>Albany</t>
  </si>
  <si>
    <t>Bayonet Head</t>
  </si>
  <si>
    <t>Big Grove</t>
  </si>
  <si>
    <t>Bornholm</t>
  </si>
  <si>
    <t>Centennial Park</t>
  </si>
  <si>
    <t>Collingwood Heights</t>
  </si>
  <si>
    <t>Cuthbert</t>
  </si>
  <si>
    <t>Drome</t>
  </si>
  <si>
    <t>Elleker</t>
  </si>
  <si>
    <t>Emu Point</t>
  </si>
  <si>
    <t>Frenchman Bay</t>
  </si>
  <si>
    <t>Gledhow</t>
  </si>
  <si>
    <t>Goode Beach</t>
  </si>
  <si>
    <t>Green Valley</t>
  </si>
  <si>
    <t>Kalgan</t>
  </si>
  <si>
    <t>King River</t>
  </si>
  <si>
    <t>Kronkup</t>
  </si>
  <si>
    <t>Lange</t>
  </si>
  <si>
    <t>Little Grove</t>
  </si>
  <si>
    <t>Lockyer</t>
  </si>
  <si>
    <t>Lower King</t>
  </si>
  <si>
    <t>Lowlands</t>
  </si>
  <si>
    <t>Marbelup</t>
  </si>
  <si>
    <t>McKail</t>
  </si>
  <si>
    <t>Middleton Beach</t>
  </si>
  <si>
    <t>Millbrook</t>
  </si>
  <si>
    <t>Milpara</t>
  </si>
  <si>
    <t>Mount Clarence</t>
  </si>
  <si>
    <t>Mount Elphinstone</t>
  </si>
  <si>
    <t>Nanarup</t>
  </si>
  <si>
    <t>Mount Melville</t>
  </si>
  <si>
    <t>Napier</t>
  </si>
  <si>
    <t>Nullaki</t>
  </si>
  <si>
    <t>Orana</t>
  </si>
  <si>
    <t>Port Albany</t>
  </si>
  <si>
    <t>Robinson</t>
  </si>
  <si>
    <t>Youngs Siding</t>
  </si>
  <si>
    <t>Sandpatch</t>
  </si>
  <si>
    <t>Yakamia</t>
  </si>
  <si>
    <t>Seppings</t>
  </si>
  <si>
    <t>Torbay</t>
  </si>
  <si>
    <t>Willyung</t>
  </si>
  <si>
    <t>Torndirrup</t>
  </si>
  <si>
    <t>West Cape Howe</t>
  </si>
  <si>
    <t>Vancouver Peninsula</t>
  </si>
  <si>
    <t>Warrenup</t>
  </si>
  <si>
    <t>Walmsley</t>
  </si>
  <si>
    <t>Frazer Yule</t>
  </si>
  <si>
    <t>frazer.yule@lsre.com.au</t>
  </si>
  <si>
    <t>0478 684 231</t>
  </si>
  <si>
    <t>Armidale</t>
  </si>
  <si>
    <t>$30.15m</t>
  </si>
  <si>
    <t>$600k</t>
  </si>
  <si>
    <t>Laing+Simmons - Armidale</t>
  </si>
  <si>
    <t>https://www.dropbox.com/scl/fi/vmyju7m9m7vcyvpiqp7jw/Frazer-Yule-CROPPED.jpg?rlkey=9mb2bi57qzd1dpynqvk86fjjk&amp;st=sm3szdzr&amp;dl=0</t>
  </si>
  <si>
    <t>https://www.dropbox.com/scl/fi/4o2dj9ipdbzhndf7r48xu/LSAR_LOGO_RGB_1lineYellow.jpg?rlkey=3x80psgs941iz0ie14wngubr7&amp;st=72ye4k3y&amp;dl=0</t>
  </si>
  <si>
    <t>Aberfoyle</t>
  </si>
  <si>
    <t>Castle Doyle</t>
  </si>
  <si>
    <t>Abington</t>
  </si>
  <si>
    <t>Donald Creek</t>
  </si>
  <si>
    <t>Argyle</t>
  </si>
  <si>
    <t>Dumaresq</t>
  </si>
  <si>
    <t>Dangarsleigh</t>
  </si>
  <si>
    <t>Boorolong</t>
  </si>
  <si>
    <t>Duval</t>
  </si>
  <si>
    <t>Puddledock</t>
  </si>
  <si>
    <t>Enmore</t>
  </si>
  <si>
    <t>Saumarez Ponds</t>
  </si>
  <si>
    <t>Hillgrove</t>
  </si>
  <si>
    <t>Tilbuster</t>
  </si>
  <si>
    <t>Invergowrie</t>
  </si>
  <si>
    <t>Wards Mistake</t>
  </si>
  <si>
    <t>Jeogla</t>
  </si>
  <si>
    <t>Wongwibinda</t>
  </si>
  <si>
    <t>Kellys Plains</t>
  </si>
  <si>
    <t>Wollomombi</t>
  </si>
  <si>
    <t>Lyndhurst</t>
  </si>
  <si>
    <t>Saumarez</t>
  </si>
  <si>
    <t>Metz</t>
  </si>
  <si>
    <t>West Armidale</t>
  </si>
  <si>
    <t>Thalgarrah</t>
  </si>
  <si>
    <t>Kelley Rigby</t>
  </si>
  <si>
    <t>kelley@rigbyproperty.com.au</t>
  </si>
  <si>
    <t>0402 158 136</t>
  </si>
  <si>
    <t>Surfers Paradise</t>
  </si>
  <si>
    <t>$3.75m</t>
  </si>
  <si>
    <t>Rigby Property Group</t>
  </si>
  <si>
    <t>https://www.dropbox.com/scl/fi/f1o60bpk30ps3cibluea1/IMG_1552.jpeg?rlkey=ba63ebin9bveulocrkkl7snhx&amp;st=e6zw5ajl&amp;dl=0</t>
  </si>
  <si>
    <t>https://www.dropbox.com/scl/fi/49icvia66wtbjktqy9jv6/GCGD_Rigby_FileSuite-08.jpeg?rlkey=grljl9ye8s3i3taopiyvkz1a3&amp;st=27u8l7my&amp;dl=0</t>
  </si>
  <si>
    <t>Main Beach</t>
  </si>
  <si>
    <t>Broadbeach</t>
  </si>
  <si>
    <t>Southport</t>
  </si>
  <si>
    <t>Jamie Beaton</t>
  </si>
  <si>
    <t>jamie.beaton@thisspacerealestate.com</t>
  </si>
  <si>
    <t>0407 276 349</t>
  </si>
  <si>
    <t>TAS</t>
  </si>
  <si>
    <t>Launceston</t>
  </si>
  <si>
    <t>$482k</t>
  </si>
  <si>
    <t>This Space Real Estate</t>
  </si>
  <si>
    <t>https://www.dropbox.com/scl/fi/rbh0wcrqviwasx4w78s7w/main-38.jpg?rlkey=mgp1oa4kppn0yk876dj70lyne&amp;st=cui0m6y1&amp;dl=0</t>
  </si>
  <si>
    <t>https://www.dropbox.com/scl/fi/7bgyseizbj84coc0gfx4r/Screenshot-2026-02-26-at-10.47.50-AM.png?rlkey=npvrrwrj18zldcznd9d30jp5u&amp;st=5pmvvp5r&amp;dl=0</t>
  </si>
  <si>
    <t>East Launceston</t>
  </si>
  <si>
    <t>Norwood</t>
  </si>
  <si>
    <t>Prospect</t>
  </si>
  <si>
    <t>Prospect Vale</t>
  </si>
  <si>
    <t>Riverside</t>
  </si>
  <si>
    <t>St Leonards</t>
  </si>
  <si>
    <t>Summerhill</t>
  </si>
  <si>
    <t>Travellers Rest</t>
  </si>
  <si>
    <t>Trevallyn</t>
  </si>
  <si>
    <t>Waverley</t>
  </si>
  <si>
    <t>West Launceston</t>
  </si>
  <si>
    <t>Blackstone Heights</t>
  </si>
  <si>
    <t>Glen Dhu</t>
  </si>
  <si>
    <t>Kings Meadows</t>
  </si>
  <si>
    <t>Punchbowl</t>
  </si>
  <si>
    <t>Sandhill</t>
  </si>
  <si>
    <t>South Launceston</t>
  </si>
  <si>
    <t>Youngtown</t>
  </si>
  <si>
    <t>Alanvale</t>
  </si>
  <si>
    <t>Inveresk</t>
  </si>
  <si>
    <t>Invermay</t>
  </si>
  <si>
    <t>Mowbray Heights</t>
  </si>
  <si>
    <t>Newnham</t>
  </si>
  <si>
    <t>Rocherlea</t>
  </si>
  <si>
    <t>Hadspen</t>
  </si>
  <si>
    <t>Adam Watts</t>
  </si>
  <si>
    <t>adam@wattspropertygroup.com.au</t>
  </si>
  <si>
    <t>0410 512 364</t>
  </si>
  <si>
    <t>Noosa Heads</t>
  </si>
  <si>
    <t>$2.38m</t>
  </si>
  <si>
    <t>Watts Property Group</t>
  </si>
  <si>
    <t>https://www.dropbox.com/scl/fi/guf64hwheaeilccot66hj/29WattsPropertyGroup-rized-2.jpg?rlkey=utmj48flqw40pq0rj5mg4x9rj&amp;st=6x4vs39m&amp;dl=0</t>
  </si>
  <si>
    <t>https://www.dropbox.com/scl/fi/1x29aw54e4edtk0hm015f/callumdocker1_250980835427060_6484774798024970311_WPG-Logo-FA-Large6.png?rlkey=eey590gmv2lrjmul08ph1wxuw&amp;st=0v9wtr3r&amp;dl=0</t>
  </si>
  <si>
    <t>Noosaville</t>
  </si>
  <si>
    <t>Sunshine Beach</t>
  </si>
  <si>
    <t>Sunrise Beach</t>
  </si>
  <si>
    <t>Castaways Beach</t>
  </si>
  <si>
    <t>Weyba Downs</t>
  </si>
  <si>
    <t>Peter Williams</t>
  </si>
  <si>
    <t>peter@slproperty.com.au</t>
  </si>
  <si>
    <t>0477 422 132</t>
  </si>
  <si>
    <t>Bowral</t>
  </si>
  <si>
    <t>$2.74m</t>
  </si>
  <si>
    <t>$1.39m</t>
  </si>
  <si>
    <t>Southern Living Property</t>
  </si>
  <si>
    <t>https://www.dropbox.com/scl/fi/mkfm0jmqlnfm0x9cjcg63/PETER-WILLIAMS-BEST1.jpg?rlkey=sqjd20rstkkb3wsj62b17563g&amp;st=y20szpaq&amp;dl=0</t>
  </si>
  <si>
    <t>https://www.dropbox.com/scl/fi/hqaq6xysfrh0re0gq67m8/Southern-Living-Property-02.jpg?rlkey=byxw3hdrt64xgv7xuh6c6s570&amp;st=py9gf2l0&amp;dl=0</t>
  </si>
  <si>
    <t>Burradoo</t>
  </si>
  <si>
    <t>East Bowral</t>
  </si>
  <si>
    <t>East Kangaloon</t>
  </si>
  <si>
    <t>Glenquarry</t>
  </si>
  <si>
    <t>Kangaloon</t>
  </si>
  <si>
    <t>Alpine</t>
  </si>
  <si>
    <t>Aylmerton</t>
  </si>
  <si>
    <t>Braemar</t>
  </si>
  <si>
    <t>Bullio</t>
  </si>
  <si>
    <t>Colo Vale</t>
  </si>
  <si>
    <t>Goodmans Ford</t>
  </si>
  <si>
    <t>High Range</t>
  </si>
  <si>
    <t>Hill Top</t>
  </si>
  <si>
    <t>Joadja</t>
  </si>
  <si>
    <t>Mandemar</t>
  </si>
  <si>
    <t>Mittagong</t>
  </si>
  <si>
    <t>Mount Lindsey</t>
  </si>
  <si>
    <t>Renwick</t>
  </si>
  <si>
    <t>Wattle Ridge</t>
  </si>
  <si>
    <t>Welby</t>
  </si>
  <si>
    <t>Willow Vale</t>
  </si>
  <si>
    <t>Woodlands</t>
  </si>
  <si>
    <t>Yerrinbool</t>
  </si>
  <si>
    <t>Peter Fort</t>
  </si>
  <si>
    <t>peter@whitfordproperty.com.au</t>
  </si>
  <si>
    <t>0438 535 205</t>
  </si>
  <si>
    <t>$6.85m</t>
  </si>
  <si>
    <t>Whitford</t>
  </si>
  <si>
    <t>https://www.dropbox.com/scl/fi/4dxy7k7d45wlx8spm8hmt/Peter-NEW.jpg?rlkey=1aouujwljxfisl2b3e5k50ok0&amp;st=cxwwyzm3&amp;dl=0</t>
  </si>
  <si>
    <t>https://www.dropbox.com/scl/fi/rczl50d5khmu53c9ujevn/HIGH-RES-Whitford_Logo.jpg?rlkey=xk6fd50ag4vrxp8v7kg3prctf&amp;st=4yoh8nbj&amp;dl=0</t>
  </si>
  <si>
    <t>Geelong</t>
  </si>
  <si>
    <t>South Geelong</t>
  </si>
  <si>
    <t>Whittington</t>
  </si>
  <si>
    <t>Amit Shrestha</t>
  </si>
  <si>
    <t>amit.shrestha@randw.com.au</t>
  </si>
  <si>
    <t>0416 678 195</t>
  </si>
  <si>
    <t>Quakers Hill</t>
  </si>
  <si>
    <t>R&amp;W Kellyville</t>
  </si>
  <si>
    <t>https://www.dropbox.com/scl/fi/0uuuqkg4j457avu5996qk/Amit-Photo.jpg?rlkey=7dc0x8axzfuz8y54d0bbfjcbb&amp;st=p5aytzhz&amp;dl=0</t>
  </si>
  <si>
    <t>https://www.dropbox.com/scl/fi/nudgw6lyqidlygbkna7lq/RW_Secondary-199-CMYK.png?rlkey=nvf8wfms5uogybu2gtqzfcxlr&amp;st=gsajyhes&amp;dl=0</t>
  </si>
  <si>
    <t>Acacia Gardens</t>
  </si>
  <si>
    <t>Nirimba Fields</t>
  </si>
  <si>
    <t>Monthly Subs</t>
  </si>
  <si>
    <t>Annual Subs</t>
  </si>
  <si>
    <t>Meta Daily Spend</t>
  </si>
  <si>
    <t>Meta Monthly Spend</t>
  </si>
  <si>
    <t>Agent Daily Spend</t>
  </si>
  <si>
    <t>Agent Monthly Spend</t>
  </si>
  <si>
    <t>Google Daily Spend</t>
  </si>
  <si>
    <t>Google Monthly Spend</t>
  </si>
  <si>
    <t>Running Costs</t>
  </si>
  <si>
    <t>GST</t>
  </si>
  <si>
    <t>Monthly Gross Profit</t>
  </si>
  <si>
    <t>Without Taking Profit</t>
  </si>
  <si>
    <t>How Much I'm actually spending</t>
  </si>
  <si>
    <t>Running Costs Calculator</t>
  </si>
  <si>
    <t>RP Data</t>
  </si>
  <si>
    <t>Domain API</t>
  </si>
  <si>
    <t>Paperform</t>
  </si>
  <si>
    <t>Twilio</t>
  </si>
  <si>
    <t>Alltel (1300)</t>
  </si>
  <si>
    <t>Hetzner</t>
  </si>
  <si>
    <t>Bookkeeping</t>
  </si>
  <si>
    <t>Ad Production</t>
  </si>
  <si>
    <t>Xero</t>
  </si>
  <si>
    <t>Stripe Fees</t>
  </si>
  <si>
    <t>Total</t>
  </si>
  <si>
    <t>Annual Costs</t>
  </si>
  <si>
    <t>PI Insurance</t>
  </si>
  <si>
    <t>Make Subscription</t>
  </si>
  <si>
    <t>Dropbox</t>
  </si>
  <si>
    <t>Squarespace</t>
  </si>
  <si>
    <t>PDF co</t>
  </si>
  <si>
    <t>Jotform</t>
  </si>
  <si>
    <t>EOFY Accounting</t>
  </si>
  <si>
    <t>Base 44</t>
  </si>
  <si>
    <t>Accountant</t>
  </si>
  <si>
    <t>Agent Name</t>
  </si>
  <si>
    <t>Chantelle Meggs</t>
  </si>
  <si>
    <t>chantelle@atrealty.com.au</t>
  </si>
  <si>
    <t>0499 603 916</t>
  </si>
  <si>
    <t>Ballarat Central</t>
  </si>
  <si>
    <t>Ken Jacobs</t>
  </si>
  <si>
    <t>kenjacobs93@gmail.com</t>
  </si>
  <si>
    <t>0423 477 666</t>
  </si>
  <si>
    <t>Hampton Park</t>
  </si>
  <si>
    <t>Oliver Rodgers</t>
  </si>
  <si>
    <t>oliver.rodgers@harcourts.com.au</t>
  </si>
  <si>
    <t>0466 880 094</t>
  </si>
  <si>
    <t>Cameron Webber</t>
  </si>
  <si>
    <t>cameron.webber@harcourts.com.au</t>
  </si>
  <si>
    <t>0473 845 583</t>
  </si>
  <si>
    <t>Tanjim Hossain</t>
  </si>
  <si>
    <t>tanjim@touchresidential.com.au</t>
  </si>
  <si>
    <t>0490 780 309</t>
  </si>
  <si>
    <t>glen.foster@m-motion.com.au</t>
  </si>
  <si>
    <t>Kishor Tiwari</t>
  </si>
  <si>
    <t>Kishor.tiwari@multidynamic.com.au</t>
  </si>
  <si>
    <t>0425 216 507</t>
  </si>
  <si>
    <t>Jay Singh</t>
  </si>
  <si>
    <t>jay@thebestrealty.com.au</t>
  </si>
  <si>
    <t>0401 308 990</t>
  </si>
  <si>
    <t>Simran Marwaha</t>
  </si>
  <si>
    <t>simranm@thebestrealty.com.au</t>
  </si>
  <si>
    <t>0449 292 311</t>
  </si>
  <si>
    <t>Buri Son</t>
  </si>
  <si>
    <t>buri.son@expaustralia.com.au</t>
  </si>
  <si>
    <t>0427 731 994</t>
  </si>
  <si>
    <t>Paralowie</t>
  </si>
  <si>
    <t>Saqib Khanzawar</t>
  </si>
  <si>
    <t>saqibk@ypa.com.au</t>
  </si>
  <si>
    <t>0401 215 317</t>
  </si>
  <si>
    <t>John Ward</t>
  </si>
  <si>
    <t>johnward@stonerealestate.com.au</t>
  </si>
  <si>
    <t>0427090968 </t>
  </si>
  <si>
    <t>Warner</t>
  </si>
  <si>
    <t>M-Motion</t>
  </si>
  <si>
    <t>https://www.dropbox.com/scl/fi/hzg8tm75lbkpoburxz8fd/image-1.png?rlkey=bvmbv63nkmjbk5n6uogcygcju&amp;st=8kefy4fh&amp;dl=0</t>
  </si>
  <si>
    <t>Ryan Klooger</t>
  </si>
  <si>
    <t>ryanklooger@gmail.com</t>
  </si>
  <si>
    <t>0438 365 241</t>
  </si>
  <si>
    <t>Bentleigh East</t>
  </si>
  <si>
    <t>$3.56m</t>
  </si>
  <si>
    <t>Flare real estate</t>
  </si>
  <si>
    <t>Bentleigh</t>
  </si>
  <si>
    <t>Wayne Hamlet</t>
  </si>
  <si>
    <t>wayne@yorkrealty.com.au</t>
  </si>
  <si>
    <t>0477 535 202</t>
  </si>
  <si>
    <t>https://www.dropbox.com/scl/fi/kfckhq09aer85bpfm4aqo/wayne_52.jpg?rlkey=6a1c5hvwlfhasehix49cw6v6t&amp;st=8ap1go6r&amp;dl=0</t>
  </si>
  <si>
    <t>https://www.dropbox.com/scl/fi/71e001kxm24iklqchbt38/York-Realty-Logo_001.jpg?rlkey=may87c3hgvay53uhm6h5q0py9&amp;st=ax71c7ax&amp;dl=0</t>
  </si>
  <si>
    <t>Jason Read</t>
  </si>
  <si>
    <t>jason.read@coomera.rh.com.au</t>
  </si>
  <si>
    <t>21st May 2025</t>
  </si>
  <si>
    <t>Nathan Deegenaars</t>
  </si>
  <si>
    <t>Jasmin Turpin</t>
  </si>
  <si>
    <r>
      <rPr>
        <color rgb="FF1155CC"/>
        <u/>
      </rPr>
      <t>Jasmin.turpin@robina.rh.com.au</t>
    </r>
  </si>
  <si>
    <t>28th May 2025</t>
  </si>
  <si>
    <t>Andrew Davidson</t>
  </si>
  <si>
    <r>
      <rPr>
        <color rgb="FF1155CC"/>
        <u/>
      </rPr>
      <t>Jasmin.turpin@robina.rh.com.au</t>
    </r>
  </si>
  <si>
    <t>SAM THOMPSON</t>
  </si>
  <si>
    <t>sam.thompson@imageproperty.com.au</t>
  </si>
  <si>
    <t>0422 627 029</t>
  </si>
  <si>
    <t>Rodney Goodwin</t>
  </si>
  <si>
    <t>rodney@premierestateagents.com.au</t>
  </si>
  <si>
    <t>0414 392 234</t>
  </si>
  <si>
    <t>Peter Hess</t>
  </si>
  <si>
    <t>peterh@hessrealestate.com.au</t>
  </si>
  <si>
    <t>0413 003 140</t>
  </si>
  <si>
    <t>Kilmore</t>
  </si>
  <si>
    <t>$3.60m</t>
  </si>
  <si>
    <t>Hess Real Estate - Hidden Valley</t>
  </si>
  <si>
    <t>https://www.dropbox.com/scl/fi/cym9q5j67s272o8i2a3m8/DSCF8886-edited.jpg?rlkey=wmmyor3xjyy91686gzao2v6ga&amp;st=uspahxgh&amp;dl=0</t>
  </si>
  <si>
    <t>https://www.dropbox.com/scl/fi/ub1fzfmnftskovtg0nghk/hi-res-hess-logo-new.pdf?rlkey=b544a1wtko71yjmy724tzhtjf&amp;st=rmoybxge&amp;dl=0</t>
  </si>
  <si>
    <t>Broadford</t>
  </si>
  <si>
    <t>$1.81m</t>
  </si>
  <si>
    <t>Wallan</t>
  </si>
  <si>
    <t>$24.40m</t>
  </si>
  <si>
    <t>Andy Nye</t>
  </si>
  <si>
    <t>andy@shellabears.com.au</t>
  </si>
  <si>
    <t>0450 763 331</t>
  </si>
  <si>
    <t>Swanbourne</t>
  </si>
  <si>
    <t>Shellabears</t>
  </si>
  <si>
    <t>https://www.dropbox.com/scl/fi/whtfpia0ml2nw3ulcwtz7/Andy-Cut-Out-original-Hospital.jpg?rlkey=wdd5c14wsekwlvpbdt4jkl9er&amp;st=e6wfatj8&amp;dl=0</t>
  </si>
  <si>
    <t>https://www.dropbox.com/scl/fi/1v0ss09559qkcecpglg95/100-Year-logo-Blue-Text-Gold-triangle.png?rlkey=shv83e4g32uln5ha778s6uhkp&amp;st=gobuxg0g&amp;dl=0</t>
  </si>
  <si>
    <t xml:space="preserve">Andre Sherman </t>
  </si>
  <si>
    <t>andre@shermanrealestate.com.au</t>
  </si>
  <si>
    <t>0477 567 869</t>
  </si>
  <si>
    <t>Ricky Campton</t>
  </si>
  <si>
    <t>Ricky.campton@harcourts.com.au</t>
  </si>
  <si>
    <t>0403 723 236</t>
  </si>
  <si>
    <t>Belmont</t>
  </si>
  <si>
    <t>Tyson Hill</t>
  </si>
  <si>
    <t>tyson@paulhillrealty.com.au</t>
  </si>
  <si>
    <t>0433 694 688</t>
  </si>
  <si>
    <t>Jackson Rees</t>
  </si>
  <si>
    <t>jackson.rees@harcourts.com.au</t>
  </si>
  <si>
    <t>0434 274 467</t>
  </si>
  <si>
    <t>Park Avenue</t>
  </si>
  <si>
    <t>Phillip Nicholas</t>
  </si>
  <si>
    <t>phillip@cunninghamsre.com.au</t>
  </si>
  <si>
    <t>0409 993 997</t>
  </si>
  <si>
    <t>Mona Vale</t>
  </si>
  <si>
    <t>$7.35m</t>
  </si>
  <si>
    <t>https://www.dropbox.com/scl/fi/0tp0igntrtmbqtwvu5ekj/Phil-Nicholas_2025.jpg?rlkey=wufdw7gc7ha86abner0plonjn&amp;st=tdfpbk8n&amp;dl=0</t>
  </si>
  <si>
    <t xml:space="preserve">Stacey Cartwright </t>
  </si>
  <si>
    <t>stacey@ajmilnerrealestate.com.au</t>
  </si>
  <si>
    <t>0431 431 681</t>
  </si>
  <si>
    <t>$4.2m</t>
  </si>
  <si>
    <t>$1.37m</t>
  </si>
  <si>
    <t>AJ Milner Real Estate</t>
  </si>
  <si>
    <t>https://www.dropbox.com/scl/fi/dbend6g3071dalgmkmuha/IMG_5402.jpeg?rlkey=34qj4x7216fcvoewd4k3iorbd&amp;st=dkn7mmok&amp;dl=0</t>
  </si>
  <si>
    <t>https://www.dropbox.com/scl/fi/d2rzufk46mw1811kp4l7p/IMG_7423.png?rlkey=eg5elwtrpiz27hgfosvu7dxoo&amp;st=h2u83mbq&amp;dl=0</t>
  </si>
  <si>
    <t>Matt Campbell</t>
  </si>
  <si>
    <t>matt.campbell@raywhite.com</t>
  </si>
  <si>
    <t>0477 244 777</t>
  </si>
  <si>
    <t>$14.50m</t>
  </si>
  <si>
    <t>$1.24m</t>
  </si>
  <si>
    <t>https://www.dropbox.com/scl/fi/95blo905xblld6dkyemo2/main-17.png?rlkey=hkuudpqd4ah2ccnmd0z8f7o2b&amp;st=waf7s8sg&amp;dl=0</t>
  </si>
  <si>
    <t>Carindale</t>
  </si>
  <si>
    <t>$2.12m</t>
  </si>
  <si>
    <t>Stu Hamill</t>
  </si>
  <si>
    <t>stu.hamill@gmail.com</t>
  </si>
  <si>
    <t>0462 681 881</t>
  </si>
  <si>
    <t>ACT</t>
  </si>
  <si>
    <t>Braddon</t>
  </si>
  <si>
    <t>$3.58m</t>
  </si>
  <si>
    <t>https://www.dropbox.com/scl/fi/so0ndwemjsgt3e13i3kc9/IMG_9200.jpeg?rlkey=rb446fqcu9w555sbfrgmu9jqw&amp;st=vsyafjh8&amp;dl=0</t>
  </si>
  <si>
    <t>Ainslie</t>
  </si>
  <si>
    <t>Turner</t>
  </si>
  <si>
    <t>O'Connor</t>
  </si>
  <si>
    <t>Dickson</t>
  </si>
  <si>
    <t>Hackett</t>
  </si>
  <si>
    <t>Downer</t>
  </si>
  <si>
    <t>Watson</t>
  </si>
  <si>
    <t>Lyneham</t>
  </si>
  <si>
    <t>Reid</t>
  </si>
  <si>
    <t>Acton</t>
  </si>
  <si>
    <t>Campbell</t>
  </si>
  <si>
    <t>Dhaval Nainani</t>
  </si>
  <si>
    <t>dhaval@redrocketrealty.com.au</t>
  </si>
  <si>
    <t>0410 201 720</t>
  </si>
  <si>
    <t>$13.85m</t>
  </si>
  <si>
    <t>Red Rocket Realty</t>
  </si>
  <si>
    <t>https://www.dropbox.com/scl/fi/l4bm7otqjpgjtdrbw7zt1/Profilepic.png?rlkey=10jifs68wyvn40v22rb808cu8&amp;st=uy5zohai&amp;dl=0</t>
  </si>
  <si>
    <t>https://www.dropbox.com/scl/fi/by19bkvq3vv4ns8kwwsfu/RRR-Logo.PNG?rlkey=0uzfb0iyrguhxik87avirjan8&amp;st=388wxt5x&amp;dl=0</t>
  </si>
  <si>
    <t>Tom Kneebone</t>
  </si>
  <si>
    <t>tom@c21khanrealty.com.au</t>
  </si>
  <si>
    <t>0474 698 752</t>
  </si>
  <si>
    <t>Christie Downs</t>
  </si>
  <si>
    <t>$733k</t>
  </si>
  <si>
    <t>Century 21 Khan Realty</t>
  </si>
  <si>
    <t>https://www.dropbox.com/scl/fi/f759cje17kf0ahuf959xc/main-19.png?rlkey=p0sd5qt5tyhaapydwt2m3hfou&amp;st=xohh9apg&amp;dl=0</t>
  </si>
  <si>
    <t>https://www.dropbox.com/scl/fi/o6vdgevujbka6clqnmsvb/Screenshot-2025-11-14-at-1.07.04-PM.png?rlkey=yq4fw3eh24ykfjpfuefhbxmjn&amp;st=1lox38lg&amp;dl=0</t>
  </si>
  <si>
    <t>Morphett Vale</t>
  </si>
  <si>
    <t>Thomas Fuller</t>
  </si>
  <si>
    <t>thomasf@ppdre.com.au</t>
  </si>
  <si>
    <t>0403 865 379</t>
  </si>
  <si>
    <t>Clovelly</t>
  </si>
  <si>
    <t>$62.2m</t>
  </si>
  <si>
    <t>$6.20m</t>
  </si>
  <si>
    <t>PPD Real Estate</t>
  </si>
  <si>
    <t>https://www.dropbox.com/scl/fi/7edk3bq60hquhhhhpk7ry/main-16.jpg?rlkey=r0bw7cbtm3d56qhcret6y5i73&amp;st=eelnhzh7&amp;dl=0</t>
  </si>
  <si>
    <t>https://www.dropbox.com/scl/fi/abp2jjohjerbqog0fdb9z/Screenshot-2025-11-13-at-11.42.08-AM.png?rlkey=ki8zs8d2rfvy49ff9sh0y2haz&amp;st=hnembw7a&amp;dl=0</t>
  </si>
  <si>
    <t>$13.35m</t>
  </si>
  <si>
    <t>$2.91m</t>
  </si>
  <si>
    <t>Randwick</t>
  </si>
  <si>
    <t>South Coogee</t>
  </si>
  <si>
    <t>Coogee</t>
  </si>
  <si>
    <t>Bronte</t>
  </si>
  <si>
    <t>Maroubra</t>
  </si>
  <si>
    <t>Kellyville</t>
  </si>
  <si>
    <t>Castle Hill</t>
  </si>
  <si>
    <t>Philip Talbot</t>
  </si>
  <si>
    <t>philiptalbot@theagency.com.au</t>
  </si>
  <si>
    <t>0412 618 145</t>
  </si>
  <si>
    <t>Sapphire Beach</t>
  </si>
  <si>
    <t>$3.50m</t>
  </si>
  <si>
    <t>https://www.dropbox.com/scl/fi/ersez0mypes3322uaa8wp/Original57707784-copy-2.jpg?rlkey=gy8fqxaqjuc2pcfgmwxdtlzrk&amp;st=4ixx80ip&amp;dl=0</t>
  </si>
  <si>
    <t>https://www.dropbox.com/scl/fi/cwo0oplj5bj5pl882i80r/TheAgency_Logo_Black.png?rlkey=lfjs8nsxhad9vf9gka484z0pj&amp;st=gc5jxu1c&amp;dl=0</t>
  </si>
  <si>
    <t>Moonee Beach</t>
  </si>
  <si>
    <t>Emerald Beach</t>
  </si>
  <si>
    <t>Coffs Harbour</t>
  </si>
  <si>
    <t>$13.25m</t>
  </si>
  <si>
    <t>Korora</t>
  </si>
  <si>
    <t>Sawtell</t>
  </si>
  <si>
    <t>Bonville</t>
  </si>
  <si>
    <t>Toormina</t>
  </si>
  <si>
    <t>Venkattesh Raja</t>
  </si>
  <si>
    <t>venkattesh.raja@professionals.com.au</t>
  </si>
  <si>
    <t>0434 174 394</t>
  </si>
  <si>
    <t>Park Ridge</t>
  </si>
  <si>
    <t>$980k</t>
  </si>
  <si>
    <t>Professionals</t>
  </si>
  <si>
    <t>https://www.dropbox.com/scl/fi/edni7swwt1yu25ptrhlf2/Professionals-Tamborine-Mountain_Rebrand-Team-Photos_-147-1.jpg?rlkey=o3lm59us4d33vf1app3uculkg&amp;st=i6tbpvhe&amp;dl=0</t>
  </si>
  <si>
    <t>https://www.dropbox.com/scl/fi/ci4btci26fvvchrmdtp6b/Copy-of-Press-Ads-Venkattesh-Raja-Professionals-Tamborine-Mountain-2.png?rlkey=fc6yhh3q722f1dcd0qbqav6wd&amp;st=4jwatlu6&amp;dl=0</t>
  </si>
  <si>
    <t>Park Ridge South</t>
  </si>
  <si>
    <t>Crestmead</t>
  </si>
  <si>
    <t>Heritage Park</t>
  </si>
  <si>
    <t>Shiven Miglani</t>
  </si>
  <si>
    <t>shiven.miglani@harcourts.com.au</t>
  </si>
  <si>
    <t>0422 040 013</t>
  </si>
  <si>
    <t>Chadstone</t>
  </si>
  <si>
    <t>$10.25m</t>
  </si>
  <si>
    <t>Harcourts Settle</t>
  </si>
  <si>
    <t>https://www.dropbox.com/scl/fi/yfjqtlqecajnlyqdmbspr/Shiven_Miglani_6547.jpg?rlkey=zxsbw6s92y90neufwzzgqsmbr&amp;st=utq6z5i1&amp;dl=0</t>
  </si>
  <si>
    <t>https://www.dropbox.com/scl/fi/hmck393uf5r2rivwc6pfq/settle-logo.jpg?rlkey=6d91dg3msf99wzhh1f47fisaz&amp;st=5d737pqu&amp;dl=0</t>
  </si>
  <si>
    <t>Ashwood</t>
  </si>
  <si>
    <t>Oakleigh</t>
  </si>
  <si>
    <t>Mount Waverley</t>
  </si>
  <si>
    <t>Malvern East</t>
  </si>
  <si>
    <t>Hughesdale</t>
  </si>
  <si>
    <t>Carnegie</t>
  </si>
  <si>
    <t>AJ Pramod Moga</t>
  </si>
  <si>
    <t>aj@nestandcore.com.au</t>
  </si>
  <si>
    <t>0450 230 014</t>
  </si>
  <si>
    <t>$585k</t>
  </si>
  <si>
    <t>Nest And Co Realty</t>
  </si>
  <si>
    <t>https://www.dropbox.com/scl/fi/jrkxgtkua5a9oz1gwpicn/main-1.jpg?rlkey=cun2w4b98c0bvrw2djvgjsvsu&amp;st=299mfoal&amp;dl=0</t>
  </si>
  <si>
    <t>https://www.dropbox.com/scl/fi/6qgygtcumcqzyd4ylwqwn/Screenshot-2025-11-07-233230.jpg?rlkey=qpwbik7eqg4lr8bc13ibxotxt&amp;st=a80ad90n&amp;dl=0</t>
  </si>
  <si>
    <t>Kalkallo</t>
  </si>
  <si>
    <t>$615k</t>
  </si>
  <si>
    <t>Wollert</t>
  </si>
  <si>
    <t>$2.40m</t>
  </si>
  <si>
    <t>Epping</t>
  </si>
  <si>
    <t>Lalor</t>
  </si>
  <si>
    <t>Michael Wallace</t>
  </si>
  <si>
    <t>michael@stirlingclark.com.au</t>
  </si>
  <si>
    <t>0401 748 291</t>
  </si>
  <si>
    <t>Forrestfield</t>
  </si>
  <si>
    <t>$35.25m</t>
  </si>
  <si>
    <t>Professionals Stirling Clark</t>
  </si>
  <si>
    <t>https://www.dropbox.com/scl/fi/silwiqzbv5m8k9u5z1b7v/Michael-Wallace-Headshot-Dark-Background.png?rlkey=8fz60cc9vwjp99kto2uuurnhe&amp;st=q2ojwctz&amp;dl=0</t>
  </si>
  <si>
    <t>https://www.dropbox.com/scl/fi/z2w0i8ad0b4hk0k4693ls/c5db29ed-b493-4019-b6ab-2b217d3af8f0.jpg?rlkey=4aqvvyzhsu1sa4i217clmxqc2&amp;st=g5ifdgqo&amp;dl=0</t>
  </si>
  <si>
    <t>Areas Removed</t>
  </si>
  <si>
    <t>Maida Vale</t>
  </si>
  <si>
    <t>$3.18m</t>
  </si>
  <si>
    <t>Wattle Grove</t>
  </si>
  <si>
    <t>Kenwick</t>
  </si>
  <si>
    <t>Monique Field</t>
  </si>
  <si>
    <t>monique.field@smileelite.com</t>
  </si>
  <si>
    <t>0403 021 172</t>
  </si>
  <si>
    <t>Shell Cove</t>
  </si>
  <si>
    <t>$21.25m</t>
  </si>
  <si>
    <t>$1.50m</t>
  </si>
  <si>
    <t>Monique Field Property</t>
  </si>
  <si>
    <t>https://www.dropbox.com/scl/fi/ovr5v9aa7vuaxu85toivh/main-8.jpg?rlkey=f955z5bf62rrz3144p0m0zkv0&amp;st=gmn2tht4&amp;dl=0</t>
  </si>
  <si>
    <t>https://www.dropbox.com/scl/fi/0jma0s2wt6fpmlzq67jy3/Screenshot-2025-10-18-at-10.39.15-AM.png?rlkey=nkxop5z4f9hrg4aastgz4ij3z&amp;st=7c27dott&amp;dl=0</t>
  </si>
  <si>
    <t>Shellharbour</t>
  </si>
  <si>
    <t>Flinders</t>
  </si>
  <si>
    <t>$8.75m</t>
  </si>
  <si>
    <t>Albion Park</t>
  </si>
  <si>
    <t>Albion Park Rail</t>
  </si>
  <si>
    <t>Tullimbar</t>
  </si>
  <si>
    <t>Calderwood</t>
  </si>
  <si>
    <t>Mount Warrigal</t>
  </si>
  <si>
    <t>Yallah</t>
  </si>
  <si>
    <t>Oak Flats</t>
  </si>
  <si>
    <t>Blackbutt</t>
  </si>
  <si>
    <t>Luke Magree</t>
  </si>
  <si>
    <t>luke.magree@obrienrealestate.com.au</t>
  </si>
  <si>
    <t>0499 993 291</t>
  </si>
  <si>
    <t>$31.1m</t>
  </si>
  <si>
    <t>$794k</t>
  </si>
  <si>
    <t>OBrien Real Estate</t>
  </si>
  <si>
    <t>https://www.dropbox.com/scl/fi/fk95j3kppsanwwt57hxoc/main-13.jpg?rlkey=n39gt893dcxeirkami8h6xt25&amp;st=z9mnq2u1&amp;dl=0</t>
  </si>
  <si>
    <t>https://www.dropbox.com/scl/fi/ux50rk5z6ameniroi2afy/Screenshot-2025-11-04-at-4.26.23-PM.png?rlkey=9yo49a791a4hder8055tx82dx&amp;st=bp0b92ek&amp;dl=0</t>
  </si>
  <si>
    <t>$8.12m</t>
  </si>
  <si>
    <t>Skye</t>
  </si>
  <si>
    <t>$1.58m</t>
  </si>
  <si>
    <t>Josh Lee-Steere</t>
  </si>
  <si>
    <t>jleesteere@barryplant.com.au</t>
  </si>
  <si>
    <t>0402 195 738</t>
  </si>
  <si>
    <t>Pakenham</t>
  </si>
  <si>
    <t>$718k</t>
  </si>
  <si>
    <t>Barry Plant</t>
  </si>
  <si>
    <t>https://www.dropbox.com/scl/fi/ll9mmnm3g3c09kzsia3hx/IMG_0540.png?rlkey=56tmpxjyxlb5ami0y9h4lqodj&amp;st=uoolxzvx&amp;dl=0</t>
  </si>
  <si>
    <t>https://www.dropbox.com/scl/fi/dugjdjt326eqt884llts8/IMG_0541.jpeg?rlkey=o7lutzr541y0jtzqxq93khu5x&amp;st=dslqv7k1&amp;dl=0</t>
  </si>
  <si>
    <t>Officer</t>
  </si>
  <si>
    <t>Officer South</t>
  </si>
  <si>
    <t>Liam Jackson</t>
  </si>
  <si>
    <t>liam.jackson@outereastre.com.au</t>
  </si>
  <si>
    <t>0438 305 580</t>
  </si>
  <si>
    <t>Lilydale</t>
  </si>
  <si>
    <t>7.25m</t>
  </si>
  <si>
    <t>Outer East Real Estate</t>
  </si>
  <si>
    <t>https://www.dropbox.com/scl/fi/1d5dtob178knv8phhkkhq/liam4.jpg?rlkey=n0omry0bq89w52umn6ssjc1xj&amp;st=j3we9y2n&amp;dl=0</t>
  </si>
  <si>
    <t>https://www.dropbox.com/scl/fi/z2w0i8ad0b4hk0k4693ls/c5db29ed-b493-4019-b6ab-2b217d3af8f0.jpg?rlkey=4aqvvyzhsu1sa4i217clmxqc2&amp;st=mnetj0mw&amp;dl=0</t>
  </si>
  <si>
    <t>Chirnside Park</t>
  </si>
  <si>
    <t>Olinda</t>
  </si>
  <si>
    <t>Boronia</t>
  </si>
  <si>
    <t>Sam Holt</t>
  </si>
  <si>
    <t>sam@ospcairns.au</t>
  </si>
  <si>
    <t>0432 073 212</t>
  </si>
  <si>
    <t>Bentley Park</t>
  </si>
  <si>
    <t>$10.2m</t>
  </si>
  <si>
    <t>$808k</t>
  </si>
  <si>
    <t>One Stop Property</t>
  </si>
  <si>
    <t>https://www.dropbox.com/scl/fi/rxt524bg7snt06impyzh7/Sam-Prolist.png?rlkey=koved83cqfvnr8l7cw62pcb4x&amp;st=ez5qo44o&amp;dl=0</t>
  </si>
  <si>
    <t>https://www.dropbox.com/scl/fi/0k25lr05ae7i580am0fc8/One-Stop-Property-Icon.png?rlkey=5ixkchr2w4rih139kb62b6zgi&amp;st=b1fp0q4l&amp;dl=0</t>
  </si>
  <si>
    <t>Redlynch</t>
  </si>
  <si>
    <t>$6.32m</t>
  </si>
  <si>
    <t>Mount Sheridan</t>
  </si>
  <si>
    <t>Trinity Beach</t>
  </si>
  <si>
    <t>Trinity Park</t>
  </si>
  <si>
    <t>Edmonton</t>
  </si>
  <si>
    <t>Mount Peter</t>
  </si>
  <si>
    <t>Holloways Beach</t>
  </si>
  <si>
    <t>Caravonica</t>
  </si>
  <si>
    <t>Edge Hill</t>
  </si>
  <si>
    <t>Portsmith</t>
  </si>
  <si>
    <t>Kanimbla</t>
  </si>
  <si>
    <t>North Cairns</t>
  </si>
  <si>
    <t>Cairns North</t>
  </si>
  <si>
    <t>Parramatta Park</t>
  </si>
  <si>
    <t>Machans Beach</t>
  </si>
  <si>
    <t>Westcourt</t>
  </si>
  <si>
    <t>Brinsmead</t>
  </si>
  <si>
    <t>Bobby Kosuri</t>
  </si>
  <si>
    <t>bkmedical9@gmail.com</t>
  </si>
  <si>
    <t>0421 162 787</t>
  </si>
  <si>
    <t>$14.55m</t>
  </si>
  <si>
    <t>$690k</t>
  </si>
  <si>
    <t>Bombay Real Estate Wollert</t>
  </si>
  <si>
    <t>https://www.dropbox.com/scl/fi/z1vuwv1olwc0wcqwy7unx/IMG_0707.jpeg?rlkey=2ia36kgex899st93i6yo77qhw&amp;st=0hnqowc7&amp;dl=0</t>
  </si>
  <si>
    <t>https://www.dropbox.com/scl/fi/0qmpjj45aozgx6af2th8r/Screenshot-2026-02-03-at-4.34.45-PM.png?rlkey=991rlub0nj0ceza4vwzj79gmu&amp;st=xoxh0rz9&amp;dl=0</t>
  </si>
  <si>
    <t>South Morang</t>
  </si>
  <si>
    <t>Daniel Sarzano</t>
  </si>
  <si>
    <t>sarzanoconsulting@gmail.com</t>
  </si>
  <si>
    <t>0415 647 472</t>
  </si>
  <si>
    <t>Rouse Hill</t>
  </si>
  <si>
    <t>$8.10m</t>
  </si>
  <si>
    <t>McGrath Northwest</t>
  </si>
  <si>
    <t>https://www.dropbox.com/scl/fi/ysrebiftuehtm6mwfkrg8/McGrath-Staff-Photos-259.jpg?rlkey=5m7fevbxtwo9nvnt2g8a90l6j&amp;st=19xgql2r&amp;dl=0</t>
  </si>
  <si>
    <t>North Kellyville</t>
  </si>
  <si>
    <t>Gables</t>
  </si>
  <si>
    <t>Box Hill</t>
  </si>
  <si>
    <t>Tallawong</t>
  </si>
  <si>
    <t>Bella Vista</t>
  </si>
  <si>
    <t>Norwest</t>
  </si>
  <si>
    <t>Kellyville Ridge</t>
  </si>
  <si>
    <t>Beaumont Hills</t>
  </si>
  <si>
    <t>Riverstone</t>
  </si>
  <si>
    <t>Baulkham Hills</t>
  </si>
  <si>
    <t>The Ponds</t>
  </si>
  <si>
    <t>Nicholas Vaka</t>
  </si>
  <si>
    <t>nicholas@dowlingpropertygroup.com.au</t>
  </si>
  <si>
    <t>0444 520 730</t>
  </si>
  <si>
    <t>$2.01m</t>
  </si>
  <si>
    <t>Dowling Property Group</t>
  </si>
  <si>
    <t>https://www.dropbox.com/scl/fi/fkbqm2gao3p7fzptop1ra/Profile-pic.jpg?rlkey=gizf5yy93et5pumrlgti2eo2d&amp;st=vu0necoe&amp;dl=0</t>
  </si>
  <si>
    <t>https://www.dropbox.com/scl/fi/9e1s0umu80lk7iut19rq6/Landscape-Logo_ReversedOnNavy_LoRes.jpg?rlkey=guoghj69afxze3vff8ll8x3y6&amp;st=oqrpm6wu&amp;dl=0</t>
  </si>
  <si>
    <t>Sam Scott And Joshua Quinn</t>
  </si>
  <si>
    <t>joshuaquinn@mcgrath.com.au</t>
  </si>
  <si>
    <t>0429 945 847</t>
  </si>
  <si>
    <t>Everton Park</t>
  </si>
  <si>
    <t>https://www.dropbox.com/scl/fi/sm2pfpkqgaqboawhgdlli/main-14.png?rlkey=cmtgjxnw7zzo8u4gw8ix90quo&amp;st=ib8i549u&amp;dl=0</t>
  </si>
  <si>
    <t>Ferny Grove</t>
  </si>
  <si>
    <t>Keperra</t>
  </si>
  <si>
    <t>Ferny Hills</t>
  </si>
  <si>
    <t>Everton Hills</t>
  </si>
  <si>
    <t>McDowall</t>
  </si>
  <si>
    <t>Stafford Heights</t>
  </si>
  <si>
    <t>Stafford</t>
  </si>
  <si>
    <t>Gaythorne</t>
  </si>
  <si>
    <t>Arana Hills</t>
  </si>
  <si>
    <t>Eatons Hill</t>
  </si>
  <si>
    <t>Albany Creek</t>
  </si>
  <si>
    <t>Mitchelton</t>
  </si>
  <si>
    <t>Samford Village</t>
  </si>
  <si>
    <t>Samford Valley</t>
  </si>
  <si>
    <t>Alderley</t>
  </si>
  <si>
    <t>The Gap</t>
  </si>
  <si>
    <t>Geebung</t>
  </si>
  <si>
    <t>David Bignoux</t>
  </si>
  <si>
    <t>david@bignouxpropertygroup.com</t>
  </si>
  <si>
    <t>0405 126 355</t>
  </si>
  <si>
    <t>Travancore</t>
  </si>
  <si>
    <t>Bignoux Property Group</t>
  </si>
  <si>
    <t>https://www.dropbox.com/scl/fi/r6z3e6fzlx9uwjnldpi7e/New-Photo-Ascot-Vale-2.jpg?rlkey=3u2algefthumb3ikjmtya8sc8&amp;st=adcanwbs&amp;dl=0</t>
  </si>
  <si>
    <t>https://www.dropbox.com/scl/fi/wi5rzfvaanc3pizakca2i/BNEW-Real-Property-Logo.jpg?rlkey=6ngm729je3an1t1s987s7nt0n&amp;st=hf54fs57&amp;dl=0</t>
  </si>
  <si>
    <t>Ascot Vale</t>
  </si>
  <si>
    <t>Maribyrnong</t>
  </si>
  <si>
    <t>Carlton</t>
  </si>
  <si>
    <t>Kurt daSilva</t>
  </si>
  <si>
    <t>kurtdasilva@futurerealtysa.com.au</t>
  </si>
  <si>
    <t>0430 601 612</t>
  </si>
  <si>
    <t>Sheidow Park</t>
  </si>
  <si>
    <t>Future Realty SA</t>
  </si>
  <si>
    <t>https://www.dropbox.com/scl/fi/ogkf7pbsyctdfh7zh4b1t/Kurt-Photo-square.jpg?rlkey=yy95ko96xudg8nobnvq07tq77&amp;st=aylv77k6&amp;dl=0</t>
  </si>
  <si>
    <t>https://www.dropbox.com/scl/fi/hjv93g4f9t0m2wchg1mp8/callumdocker1_250980835427060_6415871115618417738_Future-Realty-SA-logo-dark.png?rlkey=eczf1gyta780u4nsv4dd2r3c9&amp;st=4vqlqwle&amp;dl=0</t>
  </si>
  <si>
    <t>Reynella East</t>
  </si>
  <si>
    <t>Hallett Cove</t>
  </si>
  <si>
    <t>Happy Valley</t>
  </si>
  <si>
    <t>Woodcroft</t>
  </si>
  <si>
    <t>Flagstaff Hill</t>
  </si>
  <si>
    <t>Blackwood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</si>
</sst>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#########"/>
    <numFmt numFmtId="165" formatCode="mmmm d, yyyy"/>
    <numFmt numFmtId="166" formatCode="0###"/>
    <numFmt numFmtId="167" formatCode="mmmm dd, yyyy"/>
    <numFmt numFmtId="168" formatCode="&quot;$&quot;#,##0"/>
    <numFmt numFmtId="169" formatCode="&quot;$&quot;#,##0.00"/>
    <numFmt numFmtId="170" formatCode="####"/>
  </numFmts>
  <fonts count="1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color rgb="FF0B61CA"/>
      <name val="Arial"/>
      <scheme val="minor"/>
    </font>
    <font>
      <u/>
      <color rgb="FF0000FF"/>
      <name val="Arial"/>
    </font>
    <font>
      <color rgb="FF000000"/>
      <name val="Arial"/>
      <scheme val="minor"/>
    </font>
    <font>
      <sz val="11.0"/>
      <color rgb="FF141413"/>
      <name val="&quot;Anthropic Serif&quot;"/>
    </font>
    <font>
      <u/>
      <color rgb="FF0B61CA"/>
    </font>
    <font>
      <u/>
      <color rgb="FF0000FF"/>
      <name val="Arial"/>
    </font>
    <font>
      <color rgb="FF1F1F1F"/>
      <name val="Arial"/>
      <scheme val="minor"/>
    </font>
    <font>
      <u/>
      <color rgb="FF1155CC"/>
      <name val="Arial"/>
    </font>
    <font>
      <sz val="11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FFB3B3"/>
        <bgColor rgb="FFFFB3B3"/>
      </patternFill>
    </fill>
    <fill>
      <patternFill patternType="solid">
        <fgColor rgb="FFFEFFB6"/>
        <bgColor rgb="FFFEFFB6"/>
      </patternFill>
    </fill>
    <fill>
      <patternFill patternType="solid">
        <fgColor rgb="FFF9CB9C"/>
        <bgColor rgb="FFF9CB9C"/>
      </patternFill>
    </fill>
    <fill>
      <patternFill patternType="solid">
        <fgColor rgb="FF81E7FF"/>
        <bgColor rgb="FF81E7FF"/>
      </patternFill>
    </fill>
    <fill>
      <patternFill patternType="solid">
        <fgColor rgb="FFDAFAC4"/>
        <bgColor rgb="FFDAFAC4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</fills>
  <borders count="4">
    <border/>
    <border>
      <left style="thin">
        <color rgb="FF000000"/>
      </left>
    </border>
    <border>
      <bottom style="thin">
        <color rgb="FF000000"/>
      </bottom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horizontal="left" readingOrder="0"/>
    </xf>
    <xf borderId="0" fillId="0" fontId="3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3" numFmtId="166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3" numFmtId="49" xfId="0" applyAlignment="1" applyFont="1" applyNumberFormat="1">
      <alignment horizontal="left" readingOrder="0"/>
    </xf>
    <xf borderId="1" fillId="0" fontId="3" numFmtId="0" xfId="0" applyBorder="1" applyFont="1"/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0" fontId="3" numFmtId="167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2" fontId="6" numFmtId="165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5" fontId="6" numFmtId="0" xfId="0" applyAlignment="1" applyFill="1" applyFont="1">
      <alignment readingOrder="0" vertical="bottom"/>
    </xf>
    <xf borderId="0" fillId="0" fontId="3" numFmtId="0" xfId="0" applyAlignment="1" applyFont="1">
      <alignment readingOrder="0" vertical="bottom"/>
    </xf>
    <xf borderId="0" fillId="6" fontId="3" numFmtId="0" xfId="0" applyAlignment="1" applyFill="1" applyFont="1">
      <alignment readingOrder="0"/>
    </xf>
    <xf borderId="0" fillId="0" fontId="3" numFmtId="168" xfId="0" applyAlignment="1" applyFont="1" applyNumberFormat="1">
      <alignment readingOrder="0"/>
    </xf>
    <xf borderId="0" fillId="6" fontId="6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0" fontId="3" numFmtId="169" xfId="0" applyAlignment="1" applyFont="1" applyNumberFormat="1">
      <alignment readingOrder="0"/>
    </xf>
    <xf borderId="0" fillId="0" fontId="8" numFmtId="0" xfId="0" applyAlignment="1" applyFont="1">
      <alignment readingOrder="0" vertical="bottom"/>
    </xf>
    <xf borderId="0" fillId="0" fontId="3" numFmtId="0" xfId="0" applyAlignment="1" applyFont="1">
      <alignment horizontal="right" readingOrder="0"/>
    </xf>
    <xf borderId="0" fillId="0" fontId="3" numFmtId="0" xfId="0" applyFont="1"/>
    <xf borderId="0" fillId="5" fontId="3" numFmtId="0" xfId="0" applyAlignment="1" applyFont="1">
      <alignment readingOrder="0"/>
    </xf>
    <xf borderId="0" fillId="0" fontId="6" numFmtId="165" xfId="0" applyAlignment="1" applyFont="1" applyNumberFormat="1">
      <alignment horizontal="right" readingOrder="0" vertical="bottom"/>
    </xf>
    <xf borderId="0" fillId="0" fontId="6" numFmtId="0" xfId="0" applyAlignment="1" applyFont="1">
      <alignment horizontal="right" vertical="bottom"/>
    </xf>
    <xf borderId="0" fillId="0" fontId="9" numFmtId="0" xfId="0" applyAlignment="1" applyFont="1">
      <alignment readingOrder="0" vertical="bottom"/>
    </xf>
    <xf borderId="0" fillId="7" fontId="3" numFmtId="0" xfId="0" applyAlignment="1" applyFill="1" applyFont="1">
      <alignment readingOrder="0"/>
    </xf>
    <xf borderId="0" fillId="0" fontId="10" numFmtId="0" xfId="0" applyAlignment="1" applyFont="1">
      <alignment readingOrder="0" vertical="bottom"/>
    </xf>
    <xf borderId="0" fillId="0" fontId="0" numFmtId="170" xfId="0" applyAlignment="1" applyFont="1" applyNumberFormat="1">
      <alignment horizontal="right" readingOrder="0" shrinkToFit="0" vertical="bottom" wrapText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3" numFmtId="0" xfId="0" applyAlignment="1" applyFont="1">
      <alignment readingOrder="0" vertical="bottom"/>
    </xf>
    <xf borderId="0" fillId="0" fontId="3" numFmtId="0" xfId="0" applyFont="1"/>
    <xf borderId="0" fillId="2" fontId="6" numFmtId="167" xfId="0" applyAlignment="1" applyFont="1" applyNumberFormat="1">
      <alignment vertical="bottom"/>
    </xf>
    <xf borderId="0" fillId="2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14" numFmtId="0" xfId="0" applyAlignment="1" applyFont="1">
      <alignment readingOrder="0" vertical="bottom"/>
    </xf>
    <xf borderId="0" fillId="0" fontId="6" numFmtId="0" xfId="0" applyAlignment="1" applyFont="1">
      <alignment horizontal="left" readingOrder="0" vertical="bottom"/>
    </xf>
    <xf borderId="0" fillId="8" fontId="3" numFmtId="0" xfId="0" applyAlignment="1" applyFill="1" applyFont="1">
      <alignment readingOrder="0"/>
    </xf>
    <xf borderId="0" fillId="9" fontId="3" numFmtId="0" xfId="0" applyAlignment="1" applyFill="1" applyFont="1">
      <alignment readingOrder="0"/>
    </xf>
    <xf borderId="0" fillId="10" fontId="3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3" fontId="1" numFmtId="168" xfId="0" applyAlignment="1" applyFont="1" applyNumberFormat="1">
      <alignment readingOrder="0"/>
    </xf>
    <xf borderId="0" fillId="3" fontId="3" numFmtId="0" xfId="0" applyFont="1"/>
    <xf borderId="0" fillId="9" fontId="1" numFmtId="168" xfId="0" applyFont="1" applyNumberFormat="1"/>
    <xf borderId="0" fillId="9" fontId="3" numFmtId="168" xfId="0" applyAlignment="1" applyFont="1" applyNumberFormat="1">
      <alignment readingOrder="0"/>
    </xf>
    <xf borderId="0" fillId="10" fontId="1" numFmtId="168" xfId="0" applyAlignment="1" applyFont="1" applyNumberFormat="1">
      <alignment readingOrder="0"/>
    </xf>
    <xf borderId="0" fillId="10" fontId="3" numFmtId="168" xfId="0" applyFont="1" applyNumberFormat="1"/>
    <xf borderId="0" fillId="11" fontId="3" numFmtId="168" xfId="0" applyAlignment="1" applyFont="1" applyNumberFormat="1">
      <alignment readingOrder="0"/>
    </xf>
    <xf borderId="0" fillId="12" fontId="3" numFmtId="0" xfId="0" applyFont="1"/>
    <xf borderId="0" fillId="13" fontId="3" numFmtId="168" xfId="0" applyFont="1" applyNumberFormat="1"/>
    <xf borderId="0" fillId="3" fontId="3" numFmtId="168" xfId="0" applyFont="1" applyNumberFormat="1"/>
    <xf borderId="0" fillId="10" fontId="3" numFmtId="168" xfId="0" applyAlignment="1" applyFont="1" applyNumberFormat="1">
      <alignment readingOrder="0"/>
    </xf>
    <xf borderId="2" fillId="0" fontId="3" numFmtId="0" xfId="0" applyBorder="1" applyFont="1"/>
    <xf borderId="3" fillId="0" fontId="3" numFmtId="0" xfId="0" applyBorder="1" applyFont="1"/>
    <xf borderId="0" fillId="9" fontId="1" numFmtId="168" xfId="0" applyAlignment="1" applyFont="1" applyNumberFormat="1">
      <alignment readingOrder="0"/>
    </xf>
    <xf borderId="0" fillId="0" fontId="3" numFmtId="169" xfId="0" applyFont="1" applyNumberFormat="1"/>
    <xf borderId="0" fillId="0" fontId="3" numFmtId="169" xfId="0" applyFont="1" applyNumberFormat="1"/>
    <xf borderId="0" fillId="0" fontId="11" numFmtId="0" xfId="0" applyAlignment="1" applyFont="1">
      <alignment readingOrder="0"/>
    </xf>
    <xf borderId="0" fillId="0" fontId="3" numFmtId="168" xfId="0" applyFont="1" applyNumberFormat="1"/>
    <xf borderId="0" fillId="14" fontId="3" numFmtId="0" xfId="0" applyAlignment="1" applyFill="1" applyFont="1">
      <alignment readingOrder="0"/>
    </xf>
    <xf borderId="0" fillId="4" fontId="6" numFmtId="0" xfId="0" applyAlignment="1" applyFont="1">
      <alignment readingOrder="0" vertical="bottom"/>
    </xf>
    <xf borderId="0" fillId="14" fontId="6" numFmtId="0" xfId="0" applyAlignment="1" applyFont="1">
      <alignment vertical="bottom"/>
    </xf>
    <xf borderId="0" fillId="15" fontId="3" numFmtId="0" xfId="0" applyAlignment="1" applyFill="1" applyFont="1">
      <alignment readingOrder="0"/>
    </xf>
    <xf borderId="0" fillId="15" fontId="6" numFmtId="0" xfId="0" applyAlignment="1" applyFont="1">
      <alignment vertical="bottom"/>
    </xf>
    <xf borderId="0" fillId="0" fontId="6" numFmtId="165" xfId="0" applyAlignment="1" applyFont="1" applyNumberFormat="1">
      <alignment horizontal="right" vertical="bottom"/>
    </xf>
    <xf borderId="0" fillId="16" fontId="6" numFmtId="0" xfId="0" applyAlignment="1" applyFill="1" applyFont="1">
      <alignment readingOrder="0" vertical="bottom"/>
    </xf>
    <xf borderId="0" fillId="16" fontId="3" numFmtId="0" xfId="0" applyAlignment="1" applyFont="1">
      <alignment readingOrder="0"/>
    </xf>
    <xf borderId="0" fillId="4" fontId="15" numFmtId="0" xfId="0" applyAlignment="1" applyFont="1">
      <alignment horizontal="left" readingOrder="0"/>
    </xf>
    <xf borderId="0" fillId="0" fontId="6" numFmtId="0" xfId="0" applyAlignment="1" applyFont="1">
      <alignment horizontal="right" vertical="bottom"/>
    </xf>
    <xf borderId="0" fillId="0" fontId="16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6" fontId="6" numFmtId="0" xfId="0" applyAlignment="1" applyFont="1">
      <alignment vertical="bottom"/>
    </xf>
    <xf borderId="0" fillId="5" fontId="6" numFmtId="0" xfId="0" applyAlignment="1" applyFont="1">
      <alignment vertical="bottom"/>
    </xf>
    <xf borderId="0" fillId="0" fontId="17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3"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dropbox.com/scl/fi/ndk2nmuyszgatl25ukfbp/main-2.png?rlkey=hend1s9kyin9yg8zdzhofp39h&amp;st=x9ofev63&amp;dl=0" TargetMode="External"/><Relationship Id="rId391" Type="http://schemas.openxmlformats.org/officeDocument/2006/relationships/hyperlink" Target="https://www.dropbox.com/scl/fi/e9oidme5wbfvaq4aeut4g/main-4.jpg?rlkey=pymw8hoa36tbz64hztp05nwab&amp;st=zd2ibbw9&amp;dl=0" TargetMode="External"/><Relationship Id="rId390" Type="http://schemas.openxmlformats.org/officeDocument/2006/relationships/hyperlink" Target="https://www.dropbox.com/scl/fi/ndk2nmuyszgatl25ukfbp/main-2.png?rlkey=hend1s9kyin9yg8zdzhofp39h&amp;st=x9ofev63&amp;dl=0" TargetMode="External"/><Relationship Id="rId1" Type="http://schemas.openxmlformats.org/officeDocument/2006/relationships/hyperlink" Target="https://www.dropbox.com/scl/fi/93q2w2koii4pfe9um7wqd/main-29.jpg?rlkey=adpek3jepgci2qo8zjea0pxzx&amp;st=6p52q93l&amp;dl=0" TargetMode="External"/><Relationship Id="rId2" Type="http://schemas.openxmlformats.org/officeDocument/2006/relationships/hyperlink" Target="https://www.dropbox.com/scl/fi/dxpgxkhimmzu3zkowq1ot/McGrath_Logo_Black-1.png?rlkey=3dugeaua7u8fpmh253tub406a&amp;st=pbx7eh9u&amp;dl=0" TargetMode="External"/><Relationship Id="rId3" Type="http://schemas.openxmlformats.org/officeDocument/2006/relationships/hyperlink" Target="https://www.dropbox.com/scl/fi/93q2w2koii4pfe9um7wqd/main-29.jpg?rlkey=adpek3jepgci2qo8zjea0pxzx&amp;st=6p52q93l&amp;dl=0" TargetMode="External"/><Relationship Id="rId4" Type="http://schemas.openxmlformats.org/officeDocument/2006/relationships/hyperlink" Target="https://www.dropbox.com/scl/fi/dxpgxkhimmzu3zkowq1ot/McGrath_Logo_Black-1.png?rlkey=3dugeaua7u8fpmh253tub406a&amp;st=pbx7eh9u&amp;dl=0" TargetMode="External"/><Relationship Id="rId9" Type="http://schemas.openxmlformats.org/officeDocument/2006/relationships/hyperlink" Target="https://www.dropbox.com/scl/fi/93q2w2koii4pfe9um7wqd/main-29.jpg?rlkey=adpek3jepgci2qo8zjea0pxzx&amp;st=6p52q93l&amp;dl=0" TargetMode="External"/><Relationship Id="rId385" Type="http://schemas.openxmlformats.org/officeDocument/2006/relationships/hyperlink" Target="https://www.dropbox.com/scl/fi/e9oidme5wbfvaq4aeut4g/main-4.jpg?rlkey=pymw8hoa36tbz64hztp05nwab&amp;st=zd2ibbw9&amp;dl=0" TargetMode="External"/><Relationship Id="rId384" Type="http://schemas.openxmlformats.org/officeDocument/2006/relationships/hyperlink" Target="https://www.dropbox.com/scl/fi/ndk2nmuyszgatl25ukfbp/main-2.png?rlkey=hend1s9kyin9yg8zdzhofp39h&amp;st=x9ofev63&amp;dl=0" TargetMode="External"/><Relationship Id="rId383" Type="http://schemas.openxmlformats.org/officeDocument/2006/relationships/hyperlink" Target="https://www.dropbox.com/scl/fi/e9oidme5wbfvaq4aeut4g/main-4.jpg?rlkey=pymw8hoa36tbz64hztp05nwab&amp;st=zd2ibbw9&amp;dl=0" TargetMode="External"/><Relationship Id="rId382" Type="http://schemas.openxmlformats.org/officeDocument/2006/relationships/hyperlink" Target="https://www.dropbox.com/scl/fi/6liiolylb9vfyej6cohdi/thumbnail_Coastal-Agents-REA.jpg?rlkey=rr0a5gcuf8oxtode0qt3qne7n&amp;st=z0ksf2ls&amp;dl=0" TargetMode="External"/><Relationship Id="rId5" Type="http://schemas.openxmlformats.org/officeDocument/2006/relationships/hyperlink" Target="https://www.dropbox.com/scl/fi/93q2w2koii4pfe9um7wqd/main-29.jpg?rlkey=adpek3jepgci2qo8zjea0pxzx&amp;st=6p52q93l&amp;dl=0" TargetMode="External"/><Relationship Id="rId389" Type="http://schemas.openxmlformats.org/officeDocument/2006/relationships/hyperlink" Target="https://www.dropbox.com/scl/fi/e9oidme5wbfvaq4aeut4g/main-4.jpg?rlkey=pymw8hoa36tbz64hztp05nwab&amp;st=zd2ibbw9&amp;dl=0" TargetMode="External"/><Relationship Id="rId6" Type="http://schemas.openxmlformats.org/officeDocument/2006/relationships/hyperlink" Target="https://www.dropbox.com/scl/fi/dxpgxkhimmzu3zkowq1ot/McGrath_Logo_Black-1.png?rlkey=3dugeaua7u8fpmh253tub406a&amp;st=pbx7eh9u&amp;dl=0" TargetMode="External"/><Relationship Id="rId388" Type="http://schemas.openxmlformats.org/officeDocument/2006/relationships/hyperlink" Target="https://www.dropbox.com/scl/fi/ndk2nmuyszgatl25ukfbp/main-2.png?rlkey=hend1s9kyin9yg8zdzhofp39h&amp;st=x9ofev63&amp;dl=0" TargetMode="External"/><Relationship Id="rId7" Type="http://schemas.openxmlformats.org/officeDocument/2006/relationships/hyperlink" Target="https://www.dropbox.com/scl/fi/93q2w2koii4pfe9um7wqd/main-29.jpg?rlkey=adpek3jepgci2qo8zjea0pxzx&amp;st=6p52q93l&amp;dl=0" TargetMode="External"/><Relationship Id="rId387" Type="http://schemas.openxmlformats.org/officeDocument/2006/relationships/hyperlink" Target="https://www.dropbox.com/scl/fi/e9oidme5wbfvaq4aeut4g/main-4.jpg?rlkey=pymw8hoa36tbz64hztp05nwab&amp;st=zd2ibbw9&amp;dl=0" TargetMode="External"/><Relationship Id="rId8" Type="http://schemas.openxmlformats.org/officeDocument/2006/relationships/hyperlink" Target="https://www.dropbox.com/scl/fi/dxpgxkhimmzu3zkowq1ot/McGrath_Logo_Black-1.png?rlkey=3dugeaua7u8fpmh253tub406a&amp;st=pbx7eh9u&amp;dl=0" TargetMode="External"/><Relationship Id="rId386" Type="http://schemas.openxmlformats.org/officeDocument/2006/relationships/hyperlink" Target="https://www.dropbox.com/scl/fi/ndk2nmuyszgatl25ukfbp/main-2.png?rlkey=hend1s9kyin9yg8zdzhofp39h&amp;st=x9ofev63&amp;dl=0" TargetMode="External"/><Relationship Id="rId381" Type="http://schemas.openxmlformats.org/officeDocument/2006/relationships/hyperlink" Target="https://www.dropbox.com/scl/fi/2ijh18ng1u34646mfftag/Profile-photoKR.jpg?rlkey=egxb7nfe6qxkuxoryw1fvcolz&amp;st=lmeey6w4&amp;dl=0" TargetMode="External"/><Relationship Id="rId380" Type="http://schemas.openxmlformats.org/officeDocument/2006/relationships/hyperlink" Target="https://www.dropbox.com/scl/fi/6liiolylb9vfyej6cohdi/thumbnail_Coastal-Agents-REA.jpg?rlkey=rr0a5gcuf8oxtode0qt3qne7n&amp;st=z0ksf2ls&amp;dl=0" TargetMode="External"/><Relationship Id="rId379" Type="http://schemas.openxmlformats.org/officeDocument/2006/relationships/hyperlink" Target="https://www.dropbox.com/scl/fi/2ijh18ng1u34646mfftag/Profile-photoKR.jpg?rlkey=egxb7nfe6qxkuxoryw1fvcolz&amp;st=lmeey6w4&amp;dl=0" TargetMode="External"/><Relationship Id="rId374" Type="http://schemas.openxmlformats.org/officeDocument/2006/relationships/hyperlink" Target="https://www.dropbox.com/scl/fi/6liiolylb9vfyej6cohdi/thumbnail_Coastal-Agents-REA.jpg?rlkey=rr0a5gcuf8oxtode0qt3qne7n&amp;st=z0ksf2ls&amp;dl=0" TargetMode="External"/><Relationship Id="rId373" Type="http://schemas.openxmlformats.org/officeDocument/2006/relationships/hyperlink" Target="https://www.dropbox.com/scl/fi/2ijh18ng1u34646mfftag/Profile-photoKR.jpg?rlkey=egxb7nfe6qxkuxoryw1fvcolz&amp;st=lmeey6w4&amp;dl=0" TargetMode="External"/><Relationship Id="rId372" Type="http://schemas.openxmlformats.org/officeDocument/2006/relationships/hyperlink" Target="https://www.dropbox.com/scl/fi/6liiolylb9vfyej6cohdi/thumbnail_Coastal-Agents-REA.jpg?rlkey=rr0a5gcuf8oxtode0qt3qne7n&amp;st=z0ksf2ls&amp;dl=0" TargetMode="External"/><Relationship Id="rId371" Type="http://schemas.openxmlformats.org/officeDocument/2006/relationships/hyperlink" Target="https://www.dropbox.com/scl/fi/2ijh18ng1u34646mfftag/Profile-photoKR.jpg?rlkey=egxb7nfe6qxkuxoryw1fvcolz&amp;st=lmeey6w4&amp;dl=0" TargetMode="External"/><Relationship Id="rId378" Type="http://schemas.openxmlformats.org/officeDocument/2006/relationships/hyperlink" Target="https://www.dropbox.com/scl/fi/6liiolylb9vfyej6cohdi/thumbnail_Coastal-Agents-REA.jpg?rlkey=rr0a5gcuf8oxtode0qt3qne7n&amp;st=z0ksf2ls&amp;dl=0" TargetMode="External"/><Relationship Id="rId377" Type="http://schemas.openxmlformats.org/officeDocument/2006/relationships/hyperlink" Target="https://www.dropbox.com/scl/fi/2ijh18ng1u34646mfftag/Profile-photoKR.jpg?rlkey=egxb7nfe6qxkuxoryw1fvcolz&amp;st=lmeey6w4&amp;dl=0" TargetMode="External"/><Relationship Id="rId376" Type="http://schemas.openxmlformats.org/officeDocument/2006/relationships/hyperlink" Target="https://www.dropbox.com/scl/fi/6liiolylb9vfyej6cohdi/thumbnail_Coastal-Agents-REA.jpg?rlkey=rr0a5gcuf8oxtode0qt3qne7n&amp;st=z0ksf2ls&amp;dl=0" TargetMode="External"/><Relationship Id="rId375" Type="http://schemas.openxmlformats.org/officeDocument/2006/relationships/hyperlink" Target="https://www.dropbox.com/scl/fi/2ijh18ng1u34646mfftag/Profile-photoKR.jpg?rlkey=egxb7nfe6qxkuxoryw1fvcolz&amp;st=lmeey6w4&amp;dl=0" TargetMode="External"/><Relationship Id="rId396" Type="http://schemas.openxmlformats.org/officeDocument/2006/relationships/hyperlink" Target="https://www.dropbox.com/scl/fi/acorouf92bd1d2vfoboz0/LJ_Hooker_logo.png?rlkey=dr7iv5fnr0rwu3er3hi0mfbvz&amp;st=v5tn475u&amp;dl=0" TargetMode="External"/><Relationship Id="rId395" Type="http://schemas.openxmlformats.org/officeDocument/2006/relationships/hyperlink" Target="https://www.dropbox.com/scl/fi/5hqrl75nr85q2ppo22fck/main.jpg?rlkey=25ovau7xwwy7fdoeu8n7qnu13&amp;st=di7cfz9i&amp;dl=0" TargetMode="External"/><Relationship Id="rId394" Type="http://schemas.openxmlformats.org/officeDocument/2006/relationships/hyperlink" Target="https://www.dropbox.com/scl/fi/ndk2nmuyszgatl25ukfbp/main-2.png?rlkey=hend1s9kyin9yg8zdzhofp39h&amp;st=x9ofev63&amp;dl=0" TargetMode="External"/><Relationship Id="rId393" Type="http://schemas.openxmlformats.org/officeDocument/2006/relationships/hyperlink" Target="https://www.dropbox.com/scl/fi/e9oidme5wbfvaq4aeut4g/main-4.jpg?rlkey=pymw8hoa36tbz64hztp05nwab&amp;st=zd2ibbw9&amp;dl=0" TargetMode="External"/><Relationship Id="rId399" Type="http://schemas.openxmlformats.org/officeDocument/2006/relationships/hyperlink" Target="https://www.dropbox.com/scl/fi/5hqrl75nr85q2ppo22fck/main.jpg?rlkey=25ovau7xwwy7fdoeu8n7qnu13&amp;st=di7cfz9i&amp;dl=0" TargetMode="External"/><Relationship Id="rId398" Type="http://schemas.openxmlformats.org/officeDocument/2006/relationships/hyperlink" Target="https://www.dropbox.com/scl/fi/acorouf92bd1d2vfoboz0/LJ_Hooker_logo.png?rlkey=dr7iv5fnr0rwu3er3hi0mfbvz&amp;st=v5tn475u&amp;dl=0" TargetMode="External"/><Relationship Id="rId397" Type="http://schemas.openxmlformats.org/officeDocument/2006/relationships/hyperlink" Target="https://www.dropbox.com/scl/fi/5hqrl75nr85q2ppo22fck/main.jpg?rlkey=25ovau7xwwy7fdoeu8n7qnu13&amp;st=di7cfz9i&amp;dl=0" TargetMode="External"/><Relationship Id="rId1730" Type="http://schemas.openxmlformats.org/officeDocument/2006/relationships/hyperlink" Target="https://www.dropbox.com/scl/fi/et28wxiphrhjgbjeh8k8i/callumdocker1_250980835427060_6465231837224128232_Acton-Belle-Logo.png?rlkey=4zsr0zpm2ihvb9i2mvg9ui1fy&amp;st=ww7s8z3w&amp;dl=0" TargetMode="External"/><Relationship Id="rId1731" Type="http://schemas.openxmlformats.org/officeDocument/2006/relationships/hyperlink" Target="https://www.dropbox.com/scl/fi/wtrgkp54b89f0samzc30b/Aaron-Boud-Belle-Property-Profile.jpg?rlkey=uooongbl9rq6c4tzn0qcac5ng&amp;st=8ot3iiqp&amp;dl=0" TargetMode="External"/><Relationship Id="rId1732" Type="http://schemas.openxmlformats.org/officeDocument/2006/relationships/hyperlink" Target="https://www.dropbox.com/scl/fi/et28wxiphrhjgbjeh8k8i/callumdocker1_250980835427060_6465231837224128232_Acton-Belle-Logo.png?rlkey=4zsr0zpm2ihvb9i2mvg9ui1fy&amp;st=ww7s8z3w&amp;dl=0" TargetMode="External"/><Relationship Id="rId1733" Type="http://schemas.openxmlformats.org/officeDocument/2006/relationships/hyperlink" Target="https://www.dropbox.com/scl/fi/wtrgkp54b89f0samzc30b/Aaron-Boud-Belle-Property-Profile.jpg?rlkey=uooongbl9rq6c4tzn0qcac5ng&amp;st=8ot3iiqp&amp;dl=0" TargetMode="External"/><Relationship Id="rId1734" Type="http://schemas.openxmlformats.org/officeDocument/2006/relationships/hyperlink" Target="https://www.dropbox.com/scl/fi/et28wxiphrhjgbjeh8k8i/callumdocker1_250980835427060_6465231837224128232_Acton-Belle-Logo.png?rlkey=4zsr0zpm2ihvb9i2mvg9ui1fy&amp;st=ww7s8z3w&amp;dl=0" TargetMode="External"/><Relationship Id="rId1735" Type="http://schemas.openxmlformats.org/officeDocument/2006/relationships/hyperlink" Target="https://www.dropbox.com/scl/fi/wtrgkp54b89f0samzc30b/Aaron-Boud-Belle-Property-Profile.jpg?rlkey=uooongbl9rq6c4tzn0qcac5ng&amp;st=8ot3iiqp&amp;dl=0" TargetMode="External"/><Relationship Id="rId1736" Type="http://schemas.openxmlformats.org/officeDocument/2006/relationships/hyperlink" Target="https://www.dropbox.com/scl/fi/et28wxiphrhjgbjeh8k8i/callumdocker1_250980835427060_6465231837224128232_Acton-Belle-Logo.png?rlkey=4zsr0zpm2ihvb9i2mvg9ui1fy&amp;st=ww7s8z3w&amp;dl=0" TargetMode="External"/><Relationship Id="rId1737" Type="http://schemas.openxmlformats.org/officeDocument/2006/relationships/hyperlink" Target="https://www.dropbox.com/scl/fi/wtrgkp54b89f0samzc30b/Aaron-Boud-Belle-Property-Profile.jpg?rlkey=uooongbl9rq6c4tzn0qcac5ng&amp;st=8ot3iiqp&amp;dl=0" TargetMode="External"/><Relationship Id="rId1738" Type="http://schemas.openxmlformats.org/officeDocument/2006/relationships/hyperlink" Target="https://www.dropbox.com/scl/fi/et28wxiphrhjgbjeh8k8i/callumdocker1_250980835427060_6465231837224128232_Acton-Belle-Logo.png?rlkey=4zsr0zpm2ihvb9i2mvg9ui1fy&amp;st=ww7s8z3w&amp;dl=0" TargetMode="External"/><Relationship Id="rId1739" Type="http://schemas.openxmlformats.org/officeDocument/2006/relationships/hyperlink" Target="https://www.dropbox.com/scl/fi/wtrgkp54b89f0samzc30b/Aaron-Boud-Belle-Property-Profile.jpg?rlkey=uooongbl9rq6c4tzn0qcac5ng&amp;st=8ot3iiqp&amp;dl=0" TargetMode="External"/><Relationship Id="rId1720" Type="http://schemas.openxmlformats.org/officeDocument/2006/relationships/hyperlink" Target="https://www.dropbox.com/scl/fi/8k1a0saotrmr9v8du8tvs/callumdocker1_250980835427060_6465178560169415276_ELA_Logos_Primary_Multi-2.png?rlkey=6omdcsj0cegar4go8k809sq1g&amp;st=2pg6jwfy&amp;dl=0" TargetMode="External"/><Relationship Id="rId1721" Type="http://schemas.openxmlformats.org/officeDocument/2006/relationships/hyperlink" Target="https://www.dropbox.com/scl/fi/bayv9i6n8zhh39f3akoay/Oscar-2-Close-up-Head-Shot.jpg?rlkey=mww5op36vvyy6wbu1p24vpb33&amp;st=ihdjem8z&amp;dl=0" TargetMode="External"/><Relationship Id="rId1722" Type="http://schemas.openxmlformats.org/officeDocument/2006/relationships/hyperlink" Target="https://www.dropbox.com/scl/fi/8k1a0saotrmr9v8du8tvs/callumdocker1_250980835427060_6465178560169415276_ELA_Logos_Primary_Multi-2.png?rlkey=6omdcsj0cegar4go8k809sq1g&amp;st=2pg6jwfy&amp;dl=0" TargetMode="External"/><Relationship Id="rId1723" Type="http://schemas.openxmlformats.org/officeDocument/2006/relationships/hyperlink" Target="https://www.dropbox.com/scl/fi/bayv9i6n8zhh39f3akoay/Oscar-2-Close-up-Head-Shot.jpg?rlkey=mww5op36vvyy6wbu1p24vpb33&amp;st=ihdjem8z&amp;dl=0" TargetMode="External"/><Relationship Id="rId1724" Type="http://schemas.openxmlformats.org/officeDocument/2006/relationships/hyperlink" Target="https://www.dropbox.com/scl/fi/8k1a0saotrmr9v8du8tvs/callumdocker1_250980835427060_6465178560169415276_ELA_Logos_Primary_Multi-2.png?rlkey=6omdcsj0cegar4go8k809sq1g&amp;st=2pg6jwfy&amp;dl=0" TargetMode="External"/><Relationship Id="rId1725" Type="http://schemas.openxmlformats.org/officeDocument/2006/relationships/hyperlink" Target="https://www.dropbox.com/scl/fi/bayv9i6n8zhh39f3akoay/Oscar-2-Close-up-Head-Shot.jpg?rlkey=mww5op36vvyy6wbu1p24vpb33&amp;st=ihdjem8z&amp;dl=0" TargetMode="External"/><Relationship Id="rId1726" Type="http://schemas.openxmlformats.org/officeDocument/2006/relationships/hyperlink" Target="https://www.dropbox.com/scl/fi/8k1a0saotrmr9v8du8tvs/callumdocker1_250980835427060_6465178560169415276_ELA_Logos_Primary_Multi-2.png?rlkey=6omdcsj0cegar4go8k809sq1g&amp;st=2pg6jwfy&amp;dl=0" TargetMode="External"/><Relationship Id="rId1727" Type="http://schemas.openxmlformats.org/officeDocument/2006/relationships/hyperlink" Target="https://www.dropbox.com/scl/fi/wtrgkp54b89f0samzc30b/Aaron-Boud-Belle-Property-Profile.jpg?rlkey=uooongbl9rq6c4tzn0qcac5ng&amp;st=8ot3iiqp&amp;dl=0" TargetMode="External"/><Relationship Id="rId1728" Type="http://schemas.openxmlformats.org/officeDocument/2006/relationships/hyperlink" Target="https://www.dropbox.com/scl/fi/et28wxiphrhjgbjeh8k8i/callumdocker1_250980835427060_6465231837224128232_Acton-Belle-Logo.png?rlkey=4zsr0zpm2ihvb9i2mvg9ui1fy&amp;st=ww7s8z3w&amp;dl=0" TargetMode="External"/><Relationship Id="rId1729" Type="http://schemas.openxmlformats.org/officeDocument/2006/relationships/hyperlink" Target="https://www.dropbox.com/scl/fi/wtrgkp54b89f0samzc30b/Aaron-Boud-Belle-Property-Profile.jpg?rlkey=uooongbl9rq6c4tzn0qcac5ng&amp;st=8ot3iiqp&amp;dl=0" TargetMode="External"/><Relationship Id="rId1752" Type="http://schemas.openxmlformats.org/officeDocument/2006/relationships/hyperlink" Target="https://www.dropbox.com/scl/fi/ml8egj52a32lto3t67xoi/JHR-powered-by-remax.jpg-4.jpeg?rlkey=s7xjamyy3urrabu3m4nugj6lj&amp;st=7g5vmfen&amp;dl=0" TargetMode="External"/><Relationship Id="rId1753" Type="http://schemas.openxmlformats.org/officeDocument/2006/relationships/hyperlink" Target="https://www.dropbox.com/scl/fi/5xgha9opbkyufk3d0wtqy/WEB-Nigel-Ross1-01.jpg?rlkey=vjn2h5wvpo3p84gjbokqlchq8&amp;st=z301bq99&amp;dl=0" TargetMode="External"/><Relationship Id="rId1754" Type="http://schemas.openxmlformats.org/officeDocument/2006/relationships/hyperlink" Target="https://www.dropbox.com/scl/fi/qpi2w1kqi41mh19p1hmtj/Ross-Realty-600x-180x-VaultRE.jpg?rlkey=cfjiv3rks8ojmuekqizk84zt2&amp;st=jvmfae5i&amp;dl=0" TargetMode="External"/><Relationship Id="rId1755" Type="http://schemas.openxmlformats.org/officeDocument/2006/relationships/hyperlink" Target="https://www.dropbox.com/scl/fi/5xgha9opbkyufk3d0wtqy/WEB-Nigel-Ross1-01.jpg?rlkey=vjn2h5wvpo3p84gjbokqlchq8&amp;st=z301bq99&amp;dl=0" TargetMode="External"/><Relationship Id="rId1756" Type="http://schemas.openxmlformats.org/officeDocument/2006/relationships/hyperlink" Target="https://www.dropbox.com/scl/fi/qpi2w1kqi41mh19p1hmtj/Ross-Realty-600x-180x-VaultRE.jpg?rlkey=cfjiv3rks8ojmuekqizk84zt2&amp;st=jvmfae5i&amp;dl=0" TargetMode="External"/><Relationship Id="rId1757" Type="http://schemas.openxmlformats.org/officeDocument/2006/relationships/hyperlink" Target="https://www.dropbox.com/scl/fi/6p93edyl7ie5em4embc9z/2nd-favourite-Mary.jpg?rlkey=1qw8evkj6tdvg9zsimxsv13m5&amp;st=8uybq2rs&amp;dl=0" TargetMode="External"/><Relationship Id="rId1758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759" Type="http://schemas.openxmlformats.org/officeDocument/2006/relationships/hyperlink" Target="https://www.dropbox.com/scl/fi/6p93edyl7ie5em4embc9z/2nd-favourite-Mary.jpg?rlkey=1qw8evkj6tdvg9zsimxsv13m5&amp;st=8uybq2rs&amp;dl=0" TargetMode="External"/><Relationship Id="rId808" Type="http://schemas.openxmlformats.org/officeDocument/2006/relationships/hyperlink" Target="https://www.dropbox.com/scl/fi/fttdu3ou5n9scdibnzal2/Screenshot-2025-10-27-at-5.24.48-PM.png?rlkey=w21vn6ttugb7kb19dz8af3oh6&amp;st=pyni8ngc&amp;dl=0" TargetMode="External"/><Relationship Id="rId807" Type="http://schemas.openxmlformats.org/officeDocument/2006/relationships/hyperlink" Target="https://www.dropbox.com/scl/fi/2yzh2y3g3u7h7385wjfap/main-11.jpg?rlkey=9gjkt85wrzes1vwqhmxaeh17e&amp;st=zyqihr8n&amp;dl=0" TargetMode="External"/><Relationship Id="rId806" Type="http://schemas.openxmlformats.org/officeDocument/2006/relationships/hyperlink" Target="https://www.dropbox.com/scl/fi/fttdu3ou5n9scdibnzal2/Screenshot-2025-10-27-at-5.24.48-PM.png?rlkey=w21vn6ttugb7kb19dz8af3oh6&amp;st=pyni8ngc&amp;dl=0" TargetMode="External"/><Relationship Id="rId805" Type="http://schemas.openxmlformats.org/officeDocument/2006/relationships/hyperlink" Target="https://www.dropbox.com/scl/fi/2yzh2y3g3u7h7385wjfap/main-11.jpg?rlkey=9gjkt85wrzes1vwqhmxaeh17e&amp;st=zyqihr8n&amp;dl=0" TargetMode="External"/><Relationship Id="rId809" Type="http://schemas.openxmlformats.org/officeDocument/2006/relationships/hyperlink" Target="https://www.dropbox.com/scl/fi/2yzh2y3g3u7h7385wjfap/main-11.jpg?rlkey=9gjkt85wrzes1vwqhmxaeh17e&amp;st=zyqihr8n&amp;dl=0" TargetMode="External"/><Relationship Id="rId800" Type="http://schemas.openxmlformats.org/officeDocument/2006/relationships/hyperlink" Target="https://www.dropbox.com/scl/fi/mvlh5nxh36kmqcc6sk0tv/Screenshot-2025-11-02-at-9.16.48-PM.png?rlkey=761orxcwm1a8gmhrct2pmu8py&amp;st=5suc6ekb&amp;dl=0" TargetMode="External"/><Relationship Id="rId804" Type="http://schemas.openxmlformats.org/officeDocument/2006/relationships/hyperlink" Target="https://www.dropbox.com/scl/fi/mvlh5nxh36kmqcc6sk0tv/Screenshot-2025-11-02-at-9.16.48-PM.png?rlkey=761orxcwm1a8gmhrct2pmu8py&amp;st=5suc6ekb&amp;dl=0" TargetMode="External"/><Relationship Id="rId803" Type="http://schemas.openxmlformats.org/officeDocument/2006/relationships/hyperlink" Target="https://www.dropbox.com/scl/fi/ceffk6b4no8wg02qwbg49/main-12.jpg?rlkey=gl24zew2qe1td1ows4cksrmxc&amp;st=kli4zs3n&amp;dl=0" TargetMode="External"/><Relationship Id="rId802" Type="http://schemas.openxmlformats.org/officeDocument/2006/relationships/hyperlink" Target="https://www.dropbox.com/scl/fi/mvlh5nxh36kmqcc6sk0tv/Screenshot-2025-11-02-at-9.16.48-PM.png?rlkey=761orxcwm1a8gmhrct2pmu8py&amp;st=5suc6ekb&amp;dl=0" TargetMode="External"/><Relationship Id="rId801" Type="http://schemas.openxmlformats.org/officeDocument/2006/relationships/hyperlink" Target="https://www.dropbox.com/scl/fi/ceffk6b4no8wg02qwbg49/main-12.jpg?rlkey=gl24zew2qe1td1ows4cksrmxc&amp;st=kli4zs3n&amp;dl=0" TargetMode="External"/><Relationship Id="rId1750" Type="http://schemas.openxmlformats.org/officeDocument/2006/relationships/hyperlink" Target="https://www.dropbox.com/scl/fi/ml8egj52a32lto3t67xoi/JHR-powered-by-remax.jpg-4.jpeg?rlkey=s7xjamyy3urrabu3m4nugj6lj&amp;st=7g5vmfen&amp;dl=0" TargetMode="External"/><Relationship Id="rId1751" Type="http://schemas.openxmlformats.org/officeDocument/2006/relationships/hyperlink" Target="https://www.dropbox.com/scl/fi/bywunh3c67xcjhrxmh31l/LowRes20-2.jpg?rlkey=qbl21h8g9h5wx6mp9xmi7j3o3&amp;st=xdh82wf4&amp;dl=0" TargetMode="External"/><Relationship Id="rId1741" Type="http://schemas.openxmlformats.org/officeDocument/2006/relationships/hyperlink" Target="https://www.dropbox.com/scl/fi/wtrgkp54b89f0samzc30b/Aaron-Boud-Belle-Property-Profile.jpg?rlkey=uooongbl9rq6c4tzn0qcac5ng&amp;st=8ot3iiqp&amp;dl=0" TargetMode="External"/><Relationship Id="rId1742" Type="http://schemas.openxmlformats.org/officeDocument/2006/relationships/hyperlink" Target="https://www.dropbox.com/scl/fi/et28wxiphrhjgbjeh8k8i/callumdocker1_250980835427060_6465231837224128232_Acton-Belle-Logo.png?rlkey=4zsr0zpm2ihvb9i2mvg9ui1fy&amp;st=ww7s8z3w&amp;dl=0" TargetMode="External"/><Relationship Id="rId1743" Type="http://schemas.openxmlformats.org/officeDocument/2006/relationships/hyperlink" Target="https://www.dropbox.com/scl/fi/bywunh3c67xcjhrxmh31l/LowRes20-2.jpg?rlkey=qbl21h8g9h5wx6mp9xmi7j3o3&amp;st=xdh82wf4&amp;dl=0" TargetMode="External"/><Relationship Id="rId1744" Type="http://schemas.openxmlformats.org/officeDocument/2006/relationships/hyperlink" Target="https://www.dropbox.com/scl/fi/ml8egj52a32lto3t67xoi/JHR-powered-by-remax.jpg-4.jpeg?rlkey=s7xjamyy3urrabu3m4nugj6lj&amp;st=7g5vmfen&amp;dl=0" TargetMode="External"/><Relationship Id="rId1745" Type="http://schemas.openxmlformats.org/officeDocument/2006/relationships/hyperlink" Target="https://www.dropbox.com/scl/fi/bywunh3c67xcjhrxmh31l/LowRes20-2.jpg?rlkey=qbl21h8g9h5wx6mp9xmi7j3o3&amp;st=xdh82wf4&amp;dl=0" TargetMode="External"/><Relationship Id="rId1746" Type="http://schemas.openxmlformats.org/officeDocument/2006/relationships/hyperlink" Target="https://www.dropbox.com/scl/fi/ml8egj52a32lto3t67xoi/JHR-powered-by-remax.jpg-4.jpeg?rlkey=s7xjamyy3urrabu3m4nugj6lj&amp;st=7g5vmfen&amp;dl=0" TargetMode="External"/><Relationship Id="rId1747" Type="http://schemas.openxmlformats.org/officeDocument/2006/relationships/hyperlink" Target="https://www.dropbox.com/scl/fi/bywunh3c67xcjhrxmh31l/LowRes20-2.jpg?rlkey=qbl21h8g9h5wx6mp9xmi7j3o3&amp;st=xdh82wf4&amp;dl=0" TargetMode="External"/><Relationship Id="rId1748" Type="http://schemas.openxmlformats.org/officeDocument/2006/relationships/hyperlink" Target="https://www.dropbox.com/scl/fi/ml8egj52a32lto3t67xoi/JHR-powered-by-remax.jpg-4.jpeg?rlkey=s7xjamyy3urrabu3m4nugj6lj&amp;st=7g5vmfen&amp;dl=0" TargetMode="External"/><Relationship Id="rId1749" Type="http://schemas.openxmlformats.org/officeDocument/2006/relationships/hyperlink" Target="https://www.dropbox.com/scl/fi/bywunh3c67xcjhrxmh31l/LowRes20-2.jpg?rlkey=qbl21h8g9h5wx6mp9xmi7j3o3&amp;st=xdh82wf4&amp;dl=0" TargetMode="External"/><Relationship Id="rId1740" Type="http://schemas.openxmlformats.org/officeDocument/2006/relationships/hyperlink" Target="https://www.dropbox.com/scl/fi/et28wxiphrhjgbjeh8k8i/callumdocker1_250980835427060_6465231837224128232_Acton-Belle-Logo.png?rlkey=4zsr0zpm2ihvb9i2mvg9ui1fy&amp;st=ww7s8z3w&amp;dl=0" TargetMode="External"/><Relationship Id="rId1710" Type="http://schemas.openxmlformats.org/officeDocument/2006/relationships/hyperlink" Target="https://www.dropbox.com/scl/fi/8k1a0saotrmr9v8du8tvs/callumdocker1_250980835427060_6465178560169415276_ELA_Logos_Primary_Multi-2.png?rlkey=6omdcsj0cegar4go8k809sq1g&amp;st=2pg6jwfy&amp;dl=0" TargetMode="External"/><Relationship Id="rId1711" Type="http://schemas.openxmlformats.org/officeDocument/2006/relationships/hyperlink" Target="https://www.dropbox.com/scl/fi/bayv9i6n8zhh39f3akoay/Oscar-2-Close-up-Head-Shot.jpg?rlkey=mww5op36vvyy6wbu1p24vpb33&amp;st=ihdjem8z&amp;dl=0" TargetMode="External"/><Relationship Id="rId1712" Type="http://schemas.openxmlformats.org/officeDocument/2006/relationships/hyperlink" Target="https://www.dropbox.com/scl/fi/8k1a0saotrmr9v8du8tvs/callumdocker1_250980835427060_6465178560169415276_ELA_Logos_Primary_Multi-2.png?rlkey=6omdcsj0cegar4go8k809sq1g&amp;st=2pg6jwfy&amp;dl=0" TargetMode="External"/><Relationship Id="rId1713" Type="http://schemas.openxmlformats.org/officeDocument/2006/relationships/hyperlink" Target="https://www.dropbox.com/scl/fi/bayv9i6n8zhh39f3akoay/Oscar-2-Close-up-Head-Shot.jpg?rlkey=mww5op36vvyy6wbu1p24vpb33&amp;st=ihdjem8z&amp;dl=0" TargetMode="External"/><Relationship Id="rId1714" Type="http://schemas.openxmlformats.org/officeDocument/2006/relationships/hyperlink" Target="https://www.dropbox.com/scl/fi/8k1a0saotrmr9v8du8tvs/callumdocker1_250980835427060_6465178560169415276_ELA_Logos_Primary_Multi-2.png?rlkey=6omdcsj0cegar4go8k809sq1g&amp;st=2pg6jwfy&amp;dl=0" TargetMode="External"/><Relationship Id="rId1715" Type="http://schemas.openxmlformats.org/officeDocument/2006/relationships/hyperlink" Target="https://www.dropbox.com/scl/fi/bayv9i6n8zhh39f3akoay/Oscar-2-Close-up-Head-Shot.jpg?rlkey=mww5op36vvyy6wbu1p24vpb33&amp;st=ihdjem8z&amp;dl=0" TargetMode="External"/><Relationship Id="rId1716" Type="http://schemas.openxmlformats.org/officeDocument/2006/relationships/hyperlink" Target="https://www.dropbox.com/scl/fi/8k1a0saotrmr9v8du8tvs/callumdocker1_250980835427060_6465178560169415276_ELA_Logos_Primary_Multi-2.png?rlkey=6omdcsj0cegar4go8k809sq1g&amp;st=2pg6jwfy&amp;dl=0" TargetMode="External"/><Relationship Id="rId1717" Type="http://schemas.openxmlformats.org/officeDocument/2006/relationships/hyperlink" Target="https://www.dropbox.com/scl/fi/bayv9i6n8zhh39f3akoay/Oscar-2-Close-up-Head-Shot.jpg?rlkey=mww5op36vvyy6wbu1p24vpb33&amp;st=ihdjem8z&amp;dl=0" TargetMode="External"/><Relationship Id="rId1718" Type="http://schemas.openxmlformats.org/officeDocument/2006/relationships/hyperlink" Target="https://www.dropbox.com/scl/fi/8k1a0saotrmr9v8du8tvs/callumdocker1_250980835427060_6465178560169415276_ELA_Logos_Primary_Multi-2.png?rlkey=6omdcsj0cegar4go8k809sq1g&amp;st=2pg6jwfy&amp;dl=0" TargetMode="External"/><Relationship Id="rId1719" Type="http://schemas.openxmlformats.org/officeDocument/2006/relationships/hyperlink" Target="https://www.dropbox.com/scl/fi/bayv9i6n8zhh39f3akoay/Oscar-2-Close-up-Head-Shot.jpg?rlkey=mww5op36vvyy6wbu1p24vpb33&amp;st=ihdjem8z&amp;dl=0" TargetMode="External"/><Relationship Id="rId1700" Type="http://schemas.openxmlformats.org/officeDocument/2006/relationships/hyperlink" Target="https://www.dropbox.com/scl/fi/qlw9tarnw8k5jois3okpj/Screenshot-2026-02-09-at-2.53.59-PM.png?rlkey=3yd64j8e4xtnspa6ftwwmb5lx&amp;st=wq0hmwe8&amp;dl=0" TargetMode="External"/><Relationship Id="rId1701" Type="http://schemas.openxmlformats.org/officeDocument/2006/relationships/hyperlink" Target="https://www.dropbox.com/scl/fi/tjk8pxotnskls0e4nmz1e/main-37.jpg?rlkey=95uysb3z6wjuj28gplcr14bvn&amp;st=1y8rdsyp&amp;dl=0" TargetMode="External"/><Relationship Id="rId1702" Type="http://schemas.openxmlformats.org/officeDocument/2006/relationships/hyperlink" Target="https://www.dropbox.com/scl/fi/qlw9tarnw8k5jois3okpj/Screenshot-2026-02-09-at-2.53.59-PM.png?rlkey=3yd64j8e4xtnspa6ftwwmb5lx&amp;st=wq0hmwe8&amp;dl=0" TargetMode="External"/><Relationship Id="rId1703" Type="http://schemas.openxmlformats.org/officeDocument/2006/relationships/hyperlink" Target="https://www.dropbox.com/scl/fi/tjk8pxotnskls0e4nmz1e/main-37.jpg?rlkey=95uysb3z6wjuj28gplcr14bvn&amp;st=1y8rdsyp&amp;dl=0" TargetMode="External"/><Relationship Id="rId1704" Type="http://schemas.openxmlformats.org/officeDocument/2006/relationships/hyperlink" Target="https://www.dropbox.com/scl/fi/qlw9tarnw8k5jois3okpj/Screenshot-2026-02-09-at-2.53.59-PM.png?rlkey=3yd64j8e4xtnspa6ftwwmb5lx&amp;st=wq0hmwe8&amp;dl=0" TargetMode="External"/><Relationship Id="rId1705" Type="http://schemas.openxmlformats.org/officeDocument/2006/relationships/hyperlink" Target="https://www.dropbox.com/scl/fi/bayv9i6n8zhh39f3akoay/Oscar-2-Close-up-Head-Shot.jpg?rlkey=mww5op36vvyy6wbu1p24vpb33&amp;st=ihdjem8z&amp;dl=0" TargetMode="External"/><Relationship Id="rId1706" Type="http://schemas.openxmlformats.org/officeDocument/2006/relationships/hyperlink" Target="https://www.dropbox.com/scl/fi/8k1a0saotrmr9v8du8tvs/callumdocker1_250980835427060_6465178560169415276_ELA_Logos_Primary_Multi-2.png?rlkey=6omdcsj0cegar4go8k809sq1g&amp;st=2pg6jwfy&amp;dl=0" TargetMode="External"/><Relationship Id="rId1707" Type="http://schemas.openxmlformats.org/officeDocument/2006/relationships/hyperlink" Target="https://www.dropbox.com/scl/fi/bayv9i6n8zhh39f3akoay/Oscar-2-Close-up-Head-Shot.jpg?rlkey=mww5op36vvyy6wbu1p24vpb33&amp;st=ihdjem8z&amp;dl=0" TargetMode="External"/><Relationship Id="rId1708" Type="http://schemas.openxmlformats.org/officeDocument/2006/relationships/hyperlink" Target="https://www.dropbox.com/scl/fi/8k1a0saotrmr9v8du8tvs/callumdocker1_250980835427060_6465178560169415276_ELA_Logos_Primary_Multi-2.png?rlkey=6omdcsj0cegar4go8k809sq1g&amp;st=2pg6jwfy&amp;dl=0" TargetMode="External"/><Relationship Id="rId1709" Type="http://schemas.openxmlformats.org/officeDocument/2006/relationships/hyperlink" Target="https://www.dropbox.com/scl/fi/bayv9i6n8zhh39f3akoay/Oscar-2-Close-up-Head-Shot.jpg?rlkey=mww5op36vvyy6wbu1p24vpb33&amp;st=ihdjem8z&amp;dl=0" TargetMode="External"/><Relationship Id="rId40" Type="http://schemas.openxmlformats.org/officeDocument/2006/relationships/hyperlink" Target="https://www.dropbox.com/scl/fi/zq07uz51cz8ktcnatqcwd/Screenshot-2025-11-14-at-1.32.58-PM.png?rlkey=vkxl56qwspj4yyj21f9ub8ph2&amp;st=5kb1o1jx&amp;dl=0" TargetMode="External"/><Relationship Id="rId1334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1335" Type="http://schemas.openxmlformats.org/officeDocument/2006/relationships/hyperlink" Target="https://www.dropbox.com/scl/fi/5akr0sshzwk22p67a9l8h/main-10.png?rlkey=wyd0x4kl9yvlxudzkzhnae4z5&amp;st=uc9v9vc0&amp;dl=0" TargetMode="External"/><Relationship Id="rId42" Type="http://schemas.openxmlformats.org/officeDocument/2006/relationships/hyperlink" Target="https://www.dropbox.com/scl/fi/zq07uz51cz8ktcnatqcwd/Screenshot-2025-11-14-at-1.32.58-PM.png?rlkey=vkxl56qwspj4yyj21f9ub8ph2&amp;st=5kb1o1jx&amp;dl=0" TargetMode="External"/><Relationship Id="rId1336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41" Type="http://schemas.openxmlformats.org/officeDocument/2006/relationships/hyperlink" Target="https://www.dropbox.com/scl/fi/vcfbhd4ay7h4f9oc98qyo/main-30.jpg?rlkey=asy6lp4pbjxxajbswj2itnno4&amp;st=lf4cezr1&amp;dl=0" TargetMode="External"/><Relationship Id="rId1337" Type="http://schemas.openxmlformats.org/officeDocument/2006/relationships/hyperlink" Target="https://www.dropbox.com/scl/fi/5akr0sshzwk22p67a9l8h/main-10.png?rlkey=wyd0x4kl9yvlxudzkzhnae4z5&amp;st=uc9v9vc0&amp;dl=0" TargetMode="External"/><Relationship Id="rId44" Type="http://schemas.openxmlformats.org/officeDocument/2006/relationships/hyperlink" Target="https://www.dropbox.com/scl/fi/zq07uz51cz8ktcnatqcwd/Screenshot-2025-11-14-at-1.32.58-PM.png?rlkey=vkxl56qwspj4yyj21f9ub8ph2&amp;st=5kb1o1jx&amp;dl=0" TargetMode="External"/><Relationship Id="rId1338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43" Type="http://schemas.openxmlformats.org/officeDocument/2006/relationships/hyperlink" Target="https://www.dropbox.com/scl/fi/vcfbhd4ay7h4f9oc98qyo/main-30.jpg?rlkey=asy6lp4pbjxxajbswj2itnno4&amp;st=lf4cezr1&amp;dl=0" TargetMode="External"/><Relationship Id="rId1339" Type="http://schemas.openxmlformats.org/officeDocument/2006/relationships/hyperlink" Target="https://www.dropbox.com/scl/fi/5akr0sshzwk22p67a9l8h/main-10.png?rlkey=wyd0x4kl9yvlxudzkzhnae4z5&amp;st=uc9v9vc0&amp;dl=0" TargetMode="External"/><Relationship Id="rId46" Type="http://schemas.openxmlformats.org/officeDocument/2006/relationships/hyperlink" Target="https://www.dropbox.com/scl/fi/zq07uz51cz8ktcnatqcwd/Screenshot-2025-11-14-at-1.32.58-PM.png?rlkey=vkxl56qwspj4yyj21f9ub8ph2&amp;st=5kb1o1jx&amp;dl=0" TargetMode="External"/><Relationship Id="rId45" Type="http://schemas.openxmlformats.org/officeDocument/2006/relationships/hyperlink" Target="https://www.dropbox.com/scl/fi/vcfbhd4ay7h4f9oc98qyo/main-30.jpg?rlkey=asy6lp4pbjxxajbswj2itnno4&amp;st=lf4cezr1&amp;dl=0" TargetMode="External"/><Relationship Id="rId745" Type="http://schemas.openxmlformats.org/officeDocument/2006/relationships/hyperlink" Target="https://www.dropbox.com/scl/fi/1hesfsmbwipurtuwuhrx3/main-8.png?rlkey=2ngqc69frdldisw7w9ga7ohuy&amp;st=isrz3gpo&amp;dl=0" TargetMode="External"/><Relationship Id="rId744" Type="http://schemas.openxmlformats.org/officeDocument/2006/relationships/hyperlink" Target="https://www.dropbox.com/scl/fi/j2z2ncfnf08o3n868n3yf/Logo-Emblem.png?rlkey=cf0i1thyf4a7ob9aehegeug1o&amp;st=tk9b4iy9&amp;dl=0" TargetMode="External"/><Relationship Id="rId743" Type="http://schemas.openxmlformats.org/officeDocument/2006/relationships/hyperlink" Target="https://www.dropbox.com/scl/fi/1hesfsmbwipurtuwuhrx3/main-8.png?rlkey=2ngqc69frdldisw7w9ga7ohuy&amp;st=isrz3gpo&amp;dl=0" TargetMode="External"/><Relationship Id="rId742" Type="http://schemas.openxmlformats.org/officeDocument/2006/relationships/hyperlink" Target="https://www.dropbox.com/scl/fi/j2z2ncfnf08o3n868n3yf/Logo-Emblem.png?rlkey=cf0i1thyf4a7ob9aehegeug1o&amp;st=tk9b4iy9&amp;dl=0" TargetMode="External"/><Relationship Id="rId749" Type="http://schemas.openxmlformats.org/officeDocument/2006/relationships/hyperlink" Target="https://www.dropbox.com/scl/fi/1hesfsmbwipurtuwuhrx3/main-8.png?rlkey=2ngqc69frdldisw7w9ga7ohuy&amp;st=isrz3gpo&amp;dl=0" TargetMode="External"/><Relationship Id="rId748" Type="http://schemas.openxmlformats.org/officeDocument/2006/relationships/hyperlink" Target="https://www.dropbox.com/scl/fi/j2z2ncfnf08o3n868n3yf/Logo-Emblem.png?rlkey=cf0i1thyf4a7ob9aehegeug1o&amp;st=tk9b4iy9&amp;dl=0" TargetMode="External"/><Relationship Id="rId747" Type="http://schemas.openxmlformats.org/officeDocument/2006/relationships/hyperlink" Target="https://www.dropbox.com/scl/fi/1hesfsmbwipurtuwuhrx3/main-8.png?rlkey=2ngqc69frdldisw7w9ga7ohuy&amp;st=isrz3gpo&amp;dl=0" TargetMode="External"/><Relationship Id="rId746" Type="http://schemas.openxmlformats.org/officeDocument/2006/relationships/hyperlink" Target="https://www.dropbox.com/scl/fi/j2z2ncfnf08o3n868n3yf/Logo-Emblem.png?rlkey=cf0i1thyf4a7ob9aehegeug1o&amp;st=tk9b4iy9&amp;dl=0" TargetMode="External"/><Relationship Id="rId48" Type="http://schemas.openxmlformats.org/officeDocument/2006/relationships/hyperlink" Target="https://www.dropbox.com/scl/fi/dxpgxkhimmzu3zkowq1ot/McGrath_Logo_Black-1.png?rlkey=3dugeaua7u8fpmh253tub406a&amp;st=pbx7eh9u&amp;dl=0" TargetMode="External"/><Relationship Id="rId47" Type="http://schemas.openxmlformats.org/officeDocument/2006/relationships/hyperlink" Target="https://www.dropbox.com/scl/fi/m5t6mq1vo4ng6r1xeu15c/main-27.jpg?rlkey=2or5g8x8b9lgj86dmq0uulie8&amp;st=zwiay0oc&amp;dl=0" TargetMode="External"/><Relationship Id="rId49" Type="http://schemas.openxmlformats.org/officeDocument/2006/relationships/hyperlink" Target="https://www.dropbox.com/scl/fi/pn9k7iy8b705l1ya0bo9h/main-26.jpg?rlkey=npvy234kj4a6ffnwi8pp2wrtc&amp;st=kkzfmf4v&amp;dl=0" TargetMode="External"/><Relationship Id="rId741" Type="http://schemas.openxmlformats.org/officeDocument/2006/relationships/hyperlink" Target="https://www.dropbox.com/scl/fi/1hesfsmbwipurtuwuhrx3/main-8.png?rlkey=2ngqc69frdldisw7w9ga7ohuy&amp;st=isrz3gpo&amp;dl=0" TargetMode="External"/><Relationship Id="rId1330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740" Type="http://schemas.openxmlformats.org/officeDocument/2006/relationships/hyperlink" Target="https://www.dropbox.com/scl/fi/j2z2ncfnf08o3n868n3yf/Logo-Emblem.png?rlkey=cf0i1thyf4a7ob9aehegeug1o&amp;st=tk9b4iy9&amp;dl=0" TargetMode="External"/><Relationship Id="rId1331" Type="http://schemas.openxmlformats.org/officeDocument/2006/relationships/hyperlink" Target="https://www.dropbox.com/scl/fi/5akr0sshzwk22p67a9l8h/main-10.png?rlkey=wyd0x4kl9yvlxudzkzhnae4z5&amp;st=uc9v9vc0&amp;dl=0" TargetMode="External"/><Relationship Id="rId1332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1333" Type="http://schemas.openxmlformats.org/officeDocument/2006/relationships/hyperlink" Target="https://www.dropbox.com/scl/fi/5akr0sshzwk22p67a9l8h/main-10.png?rlkey=wyd0x4kl9yvlxudzkzhnae4z5&amp;st=uc9v9vc0&amp;dl=0" TargetMode="External"/><Relationship Id="rId1323" Type="http://schemas.openxmlformats.org/officeDocument/2006/relationships/hyperlink" Target="https://www.dropbox.com/scl/fi/5akr0sshzwk22p67a9l8h/main-10.png?rlkey=wyd0x4kl9yvlxudzkzhnae4z5&amp;st=uc9v9vc0&amp;dl=0" TargetMode="External"/><Relationship Id="rId1324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31" Type="http://schemas.openxmlformats.org/officeDocument/2006/relationships/hyperlink" Target="https://www.dropbox.com/scl/fi/vcfbhd4ay7h4f9oc98qyo/main-30.jpg?rlkey=asy6lp4pbjxxajbswj2itnno4&amp;st=lf4cezr1&amp;dl=0" TargetMode="External"/><Relationship Id="rId1325" Type="http://schemas.openxmlformats.org/officeDocument/2006/relationships/hyperlink" Target="https://www.dropbox.com/scl/fi/5akr0sshzwk22p67a9l8h/main-10.png?rlkey=wyd0x4kl9yvlxudzkzhnae4z5&amp;st=uc9v9vc0&amp;dl=0" TargetMode="External"/><Relationship Id="rId30" Type="http://schemas.openxmlformats.org/officeDocument/2006/relationships/hyperlink" Target="https://www.dropbox.com/scl/fi/zq07uz51cz8ktcnatqcwd/Screenshot-2025-11-14-at-1.32.58-PM.png?rlkey=vkxl56qwspj4yyj21f9ub8ph2&amp;st=5kb1o1jx&amp;dl=0" TargetMode="External"/><Relationship Id="rId1326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33" Type="http://schemas.openxmlformats.org/officeDocument/2006/relationships/hyperlink" Target="https://www.dropbox.com/scl/fi/vcfbhd4ay7h4f9oc98qyo/main-30.jpg?rlkey=asy6lp4pbjxxajbswj2itnno4&amp;st=lf4cezr1&amp;dl=0" TargetMode="External"/><Relationship Id="rId1327" Type="http://schemas.openxmlformats.org/officeDocument/2006/relationships/hyperlink" Target="https://www.dropbox.com/scl/fi/5akr0sshzwk22p67a9l8h/main-10.png?rlkey=wyd0x4kl9yvlxudzkzhnae4z5&amp;st=uc9v9vc0&amp;dl=0" TargetMode="External"/><Relationship Id="rId32" Type="http://schemas.openxmlformats.org/officeDocument/2006/relationships/hyperlink" Target="https://www.dropbox.com/scl/fi/zq07uz51cz8ktcnatqcwd/Screenshot-2025-11-14-at-1.32.58-PM.png?rlkey=vkxl56qwspj4yyj21f9ub8ph2&amp;st=5kb1o1jx&amp;dl=0" TargetMode="External"/><Relationship Id="rId1328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35" Type="http://schemas.openxmlformats.org/officeDocument/2006/relationships/hyperlink" Target="https://www.dropbox.com/scl/fi/vcfbhd4ay7h4f9oc98qyo/main-30.jpg?rlkey=asy6lp4pbjxxajbswj2itnno4&amp;st=lf4cezr1&amp;dl=0" TargetMode="External"/><Relationship Id="rId1329" Type="http://schemas.openxmlformats.org/officeDocument/2006/relationships/hyperlink" Target="https://www.dropbox.com/scl/fi/5akr0sshzwk22p67a9l8h/main-10.png?rlkey=wyd0x4kl9yvlxudzkzhnae4z5&amp;st=uc9v9vc0&amp;dl=0" TargetMode="External"/><Relationship Id="rId34" Type="http://schemas.openxmlformats.org/officeDocument/2006/relationships/hyperlink" Target="https://www.dropbox.com/scl/fi/zq07uz51cz8ktcnatqcwd/Screenshot-2025-11-14-at-1.32.58-PM.png?rlkey=vkxl56qwspj4yyj21f9ub8ph2&amp;st=5kb1o1jx&amp;dl=0" TargetMode="External"/><Relationship Id="rId739" Type="http://schemas.openxmlformats.org/officeDocument/2006/relationships/hyperlink" Target="https://www.dropbox.com/scl/fi/1hesfsmbwipurtuwuhrx3/main-8.png?rlkey=2ngqc69frdldisw7w9ga7ohuy&amp;st=isrz3gpo&amp;dl=0" TargetMode="External"/><Relationship Id="rId734" Type="http://schemas.openxmlformats.org/officeDocument/2006/relationships/hyperlink" Target="https://www.dropbox.com/scl/fi/57n4b8ux4rwedfgho1kla/Screenshot-2025-12-09-at-9.52.45-AM.png?rlkey=xj7tbamox1yhy1d98o4oydehd&amp;st=jv2o42q7&amp;dl=0" TargetMode="External"/><Relationship Id="rId733" Type="http://schemas.openxmlformats.org/officeDocument/2006/relationships/hyperlink" Target="https://www.dropbox.com/scl/fi/k8wsxy5ukmzj39arlquqb/callumdocker1_250980835427060_6410416324116738728_Untitled-design-2025-11-26T103524.875.png?rlkey=qdh84j6gvex5pyiitzlyt14lz&amp;st=cocrww9a&amp;dl=0" TargetMode="External"/><Relationship Id="rId732" Type="http://schemas.openxmlformats.org/officeDocument/2006/relationships/hyperlink" Target="https://www.dropbox.com/scl/fi/57n4b8ux4rwedfgho1kla/Screenshot-2025-12-09-at-9.52.45-AM.png?rlkey=xj7tbamox1yhy1d98o4oydehd&amp;st=jv2o42q7&amp;dl=0" TargetMode="External"/><Relationship Id="rId731" Type="http://schemas.openxmlformats.org/officeDocument/2006/relationships/hyperlink" Target="https://www.dropbox.com/scl/fi/k8wsxy5ukmzj39arlquqb/callumdocker1_250980835427060_6410416324116738728_Untitled-design-2025-11-26T103524.875.png?rlkey=qdh84j6gvex5pyiitzlyt14lz&amp;st=cocrww9a&amp;dl=0" TargetMode="External"/><Relationship Id="rId738" Type="http://schemas.openxmlformats.org/officeDocument/2006/relationships/hyperlink" Target="https://www.dropbox.com/scl/fi/j2z2ncfnf08o3n868n3yf/Logo-Emblem.png?rlkey=cf0i1thyf4a7ob9aehegeug1o&amp;st=tk9b4iy9&amp;dl=0" TargetMode="External"/><Relationship Id="rId737" Type="http://schemas.openxmlformats.org/officeDocument/2006/relationships/hyperlink" Target="https://www.dropbox.com/scl/fi/1hesfsmbwipurtuwuhrx3/main-8.png?rlkey=2ngqc69frdldisw7w9ga7ohuy&amp;st=isrz3gpo&amp;dl=0" TargetMode="External"/><Relationship Id="rId736" Type="http://schemas.openxmlformats.org/officeDocument/2006/relationships/hyperlink" Target="https://www.dropbox.com/scl/fi/j2z2ncfnf08o3n868n3yf/Logo-Emblem.png?rlkey=cf0i1thyf4a7ob9aehegeug1o&amp;st=tk9b4iy9&amp;dl=0" TargetMode="External"/><Relationship Id="rId735" Type="http://schemas.openxmlformats.org/officeDocument/2006/relationships/hyperlink" Target="https://www.dropbox.com/scl/fi/1hesfsmbwipurtuwuhrx3/main-8.png?rlkey=2ngqc69frdldisw7w9ga7ohuy&amp;st=isrz3gpo&amp;dl=0" TargetMode="External"/><Relationship Id="rId37" Type="http://schemas.openxmlformats.org/officeDocument/2006/relationships/hyperlink" Target="https://www.dropbox.com/scl/fi/vcfbhd4ay7h4f9oc98qyo/main-30.jpg?rlkey=asy6lp4pbjxxajbswj2itnno4&amp;st=lf4cezr1&amp;dl=0" TargetMode="External"/><Relationship Id="rId36" Type="http://schemas.openxmlformats.org/officeDocument/2006/relationships/hyperlink" Target="https://www.dropbox.com/scl/fi/zq07uz51cz8ktcnatqcwd/Screenshot-2025-11-14-at-1.32.58-PM.png?rlkey=vkxl56qwspj4yyj21f9ub8ph2&amp;st=5kb1o1jx&amp;dl=0" TargetMode="External"/><Relationship Id="rId39" Type="http://schemas.openxmlformats.org/officeDocument/2006/relationships/hyperlink" Target="https://www.dropbox.com/scl/fi/vcfbhd4ay7h4f9oc98qyo/main-30.jpg?rlkey=asy6lp4pbjxxajbswj2itnno4&amp;st=lf4cezr1&amp;dl=0" TargetMode="External"/><Relationship Id="rId38" Type="http://schemas.openxmlformats.org/officeDocument/2006/relationships/hyperlink" Target="https://www.dropbox.com/scl/fi/zq07uz51cz8ktcnatqcwd/Screenshot-2025-11-14-at-1.32.58-PM.png?rlkey=vkxl56qwspj4yyj21f9ub8ph2&amp;st=5kb1o1jx&amp;dl=0" TargetMode="External"/><Relationship Id="rId730" Type="http://schemas.openxmlformats.org/officeDocument/2006/relationships/hyperlink" Target="https://www.dropbox.com/scl/fi/57n4b8ux4rwedfgho1kla/Screenshot-2025-12-09-at-9.52.45-AM.png?rlkey=xj7tbamox1yhy1d98o4oydehd&amp;st=jv2o42q7&amp;dl=0" TargetMode="External"/><Relationship Id="rId1320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1321" Type="http://schemas.openxmlformats.org/officeDocument/2006/relationships/hyperlink" Target="https://www.dropbox.com/scl/fi/5akr0sshzwk22p67a9l8h/main-10.png?rlkey=wyd0x4kl9yvlxudzkzhnae4z5&amp;st=uc9v9vc0&amp;dl=0" TargetMode="External"/><Relationship Id="rId1322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1356" Type="http://schemas.openxmlformats.org/officeDocument/2006/relationships/hyperlink" Target="https://www.dropbox.com/scl/fi/h0wfbnjjrwaitjn1fedrb/Screenshot-2025-12-23-at-11.47.19-AM.png?rlkey=peu3r6b14k10ezk2omxi9g76i&amp;st=tyurw28d&amp;dl=0" TargetMode="External"/><Relationship Id="rId1357" Type="http://schemas.openxmlformats.org/officeDocument/2006/relationships/hyperlink" Target="https://www.dropbox.com/scl/fi/anns0gk2a323ck1z54w7y/main-21.png?rlkey=okukf0wd6k0zpzby64wp3jlwu&amp;st=cisayixh&amp;dl=0" TargetMode="External"/><Relationship Id="rId20" Type="http://schemas.openxmlformats.org/officeDocument/2006/relationships/hyperlink" Target="https://www.dropbox.com/scl/fi/kwmsc584vxl7rubrxuvpm/diJones.png?rlkey=yhjm9ai6iw6ssbg3pixxcnsyh&amp;st=ejxzt27g&amp;dl=0" TargetMode="External"/><Relationship Id="rId1358" Type="http://schemas.openxmlformats.org/officeDocument/2006/relationships/hyperlink" Target="https://www.dropbox.com/scl/fi/h0wfbnjjrwaitjn1fedrb/Screenshot-2025-12-23-at-11.47.19-AM.png?rlkey=peu3r6b14k10ezk2omxi9g76i&amp;st=tyurw28d&amp;dl=0" TargetMode="External"/><Relationship Id="rId1359" Type="http://schemas.openxmlformats.org/officeDocument/2006/relationships/hyperlink" Target="https://www.dropbox.com/scl/fi/anns0gk2a323ck1z54w7y/main-21.png?rlkey=okukf0wd6k0zpzby64wp3jlwu&amp;st=cisayixh&amp;dl=0" TargetMode="External"/><Relationship Id="rId22" Type="http://schemas.openxmlformats.org/officeDocument/2006/relationships/hyperlink" Target="https://www.dropbox.com/scl/fi/kwmsc584vxl7rubrxuvpm/diJones.png?rlkey=yhjm9ai6iw6ssbg3pixxcnsyh&amp;st=ejxzt27g&amp;dl=0" TargetMode="External"/><Relationship Id="rId21" Type="http://schemas.openxmlformats.org/officeDocument/2006/relationships/hyperlink" Target="https://www.dropbox.com/scl/fi/tyg11cggpa18i3s9yrpvy/tamara_lawless.jpg?rlkey=oljgdjqcyvq3d6ybd9yqnannj&amp;st=mjxqvabs&amp;dl=0" TargetMode="External"/><Relationship Id="rId24" Type="http://schemas.openxmlformats.org/officeDocument/2006/relationships/hyperlink" Target="https://www.dropbox.com/scl/fi/kwmsc584vxl7rubrxuvpm/diJones.png?rlkey=yhjm9ai6iw6ssbg3pixxcnsyh&amp;st=ejxzt27g&amp;dl=0" TargetMode="External"/><Relationship Id="rId23" Type="http://schemas.openxmlformats.org/officeDocument/2006/relationships/hyperlink" Target="https://www.dropbox.com/scl/fi/tyg11cggpa18i3s9yrpvy/tamara_lawless.jpg?rlkey=oljgdjqcyvq3d6ybd9yqnannj&amp;st=mjxqvabs&amp;dl=0" TargetMode="External"/><Relationship Id="rId767" Type="http://schemas.openxmlformats.org/officeDocument/2006/relationships/hyperlink" Target="https://www.dropbox.com/scl/fi/ofte3ana6lawjng3l61sj/Screenshot-2025-07-09-at-2.26.59-pm.png?rlkey=g0e129pua96gyoeanszi56sfb&amp;st=ez4a0q00&amp;dl=0" TargetMode="External"/><Relationship Id="rId766" Type="http://schemas.openxmlformats.org/officeDocument/2006/relationships/hyperlink" Target="https://www.dropbox.com/scl/fi/dktwy35h63zagyr17yida/coastal-logo-WHITE.png?rlkey=aszf2rxwvorn7mh0a9gdvhstq&amp;st=hupj3pks&amp;dl=0" TargetMode="External"/><Relationship Id="rId765" Type="http://schemas.openxmlformats.org/officeDocument/2006/relationships/hyperlink" Target="https://www.dropbox.com/scl/fi/ofte3ana6lawjng3l61sj/Screenshot-2025-07-09-at-2.26.59-pm.png?rlkey=g0e129pua96gyoeanszi56sfb&amp;st=ez4a0q00&amp;dl=0" TargetMode="External"/><Relationship Id="rId764" Type="http://schemas.openxmlformats.org/officeDocument/2006/relationships/hyperlink" Target="https://www.dropbox.com/scl/fi/dktwy35h63zagyr17yida/coastal-logo-WHITE.png?rlkey=aszf2rxwvorn7mh0a9gdvhstq&amp;st=hupj3pks&amp;dl=0" TargetMode="External"/><Relationship Id="rId769" Type="http://schemas.openxmlformats.org/officeDocument/2006/relationships/hyperlink" Target="https://www.dropbox.com/scl/fi/ofte3ana6lawjng3l61sj/Screenshot-2025-07-09-at-2.26.59-pm.png?rlkey=g0e129pua96gyoeanszi56sfb&amp;st=ez4a0q00&amp;dl=0" TargetMode="External"/><Relationship Id="rId768" Type="http://schemas.openxmlformats.org/officeDocument/2006/relationships/hyperlink" Target="https://www.dropbox.com/scl/fi/dktwy35h63zagyr17yida/coastal-logo-WHITE.png?rlkey=aszf2rxwvorn7mh0a9gdvhstq&amp;st=hupj3pks&amp;dl=0" TargetMode="External"/><Relationship Id="rId26" Type="http://schemas.openxmlformats.org/officeDocument/2006/relationships/hyperlink" Target="https://www.dropbox.com/scl/fi/kwmsc584vxl7rubrxuvpm/diJones.png?rlkey=yhjm9ai6iw6ssbg3pixxcnsyh&amp;st=ejxzt27g&amp;dl=0" TargetMode="External"/><Relationship Id="rId25" Type="http://schemas.openxmlformats.org/officeDocument/2006/relationships/hyperlink" Target="https://www.dropbox.com/scl/fi/tyg11cggpa18i3s9yrpvy/tamara_lawless.jpg?rlkey=oljgdjqcyvq3d6ybd9yqnannj&amp;st=mjxqvabs&amp;dl=0" TargetMode="External"/><Relationship Id="rId28" Type="http://schemas.openxmlformats.org/officeDocument/2006/relationships/hyperlink" Target="https://www.dropbox.com/scl/fi/3s9tr5g51vsixs5mtnl3d/Screenshot-2026-03-16-at-5.22.01-pm.png?rlkey=ql1ci3xdph0ams94su7upz72v&amp;st=o9lbq65g&amp;dl=0" TargetMode="External"/><Relationship Id="rId1350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27" Type="http://schemas.openxmlformats.org/officeDocument/2006/relationships/hyperlink" Target="https://www.dropbox.com/scl/fi/p0p6i1vifnh7myht9jtis/main-39.jpg?rlkey=b5uavbgmdrxujk4o85kmx8okn&amp;st=5a2nnsre&amp;dl=0" TargetMode="External"/><Relationship Id="rId1351" Type="http://schemas.openxmlformats.org/officeDocument/2006/relationships/hyperlink" Target="https://www.dropbox.com/scl/fi/5akr0sshzwk22p67a9l8h/main-10.png?rlkey=wyd0x4kl9yvlxudzkzhnae4z5&amp;st=uc9v9vc0&amp;dl=0" TargetMode="External"/><Relationship Id="rId763" Type="http://schemas.openxmlformats.org/officeDocument/2006/relationships/hyperlink" Target="https://www.dropbox.com/scl/fi/ofte3ana6lawjng3l61sj/Screenshot-2025-07-09-at-2.26.59-pm.png?rlkey=g0e129pua96gyoeanszi56sfb&amp;st=ez4a0q00&amp;dl=0" TargetMode="External"/><Relationship Id="rId1352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29" Type="http://schemas.openxmlformats.org/officeDocument/2006/relationships/hyperlink" Target="https://www.dropbox.com/scl/fi/vcfbhd4ay7h4f9oc98qyo/main-30.jpg?rlkey=asy6lp4pbjxxajbswj2itnno4&amp;st=lf4cezr1&amp;dl=0" TargetMode="External"/><Relationship Id="rId762" Type="http://schemas.openxmlformats.org/officeDocument/2006/relationships/hyperlink" Target="https://www.dropbox.com/scl/fi/dktwy35h63zagyr17yida/coastal-logo-WHITE.png?rlkey=aszf2rxwvorn7mh0a9gdvhstq&amp;st=hupj3pks&amp;dl=0" TargetMode="External"/><Relationship Id="rId1353" Type="http://schemas.openxmlformats.org/officeDocument/2006/relationships/hyperlink" Target="https://www.dropbox.com/scl/fi/l34k6fnhxx2rwrr8kln55/main-33.jpg?rlkey=6pertehx2srfn9sv5mrefucau&amp;st=b2jlywhf&amp;dl=0" TargetMode="External"/><Relationship Id="rId761" Type="http://schemas.openxmlformats.org/officeDocument/2006/relationships/hyperlink" Target="https://www.dropbox.com/scl/fi/ofte3ana6lawjng3l61sj/Screenshot-2025-07-09-at-2.26.59-pm.png?rlkey=g0e129pua96gyoeanszi56sfb&amp;st=ez4a0q00&amp;dl=0" TargetMode="External"/><Relationship Id="rId1354" Type="http://schemas.openxmlformats.org/officeDocument/2006/relationships/hyperlink" Target="https://www.dropbox.com/scl/fi/vrtl1vmg0gtroqirr9i1m/Screenshot-2025-12-23-at-11.10.59-AM.png?rlkey=9arz2e1e9551vvo2ae64ts4rc&amp;st=h8y6944h&amp;dl=0" TargetMode="External"/><Relationship Id="rId760" Type="http://schemas.openxmlformats.org/officeDocument/2006/relationships/hyperlink" Target="https://www.dropbox.com/scl/fi/dktwy35h63zagyr17yida/coastal-logo-WHITE.png?rlkey=aszf2rxwvorn7mh0a9gdvhstq&amp;st=hupj3pks&amp;dl=0" TargetMode="External"/><Relationship Id="rId1355" Type="http://schemas.openxmlformats.org/officeDocument/2006/relationships/hyperlink" Target="https://www.dropbox.com/scl/fi/anns0gk2a323ck1z54w7y/main-21.png?rlkey=okukf0wd6k0zpzby64wp3jlwu&amp;st=cisayixh&amp;dl=0" TargetMode="External"/><Relationship Id="rId1345" Type="http://schemas.openxmlformats.org/officeDocument/2006/relationships/hyperlink" Target="https://www.dropbox.com/scl/fi/5akr0sshzwk22p67a9l8h/main-10.png?rlkey=wyd0x4kl9yvlxudzkzhnae4z5&amp;st=uc9v9vc0&amp;dl=0" TargetMode="External"/><Relationship Id="rId1346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1347" Type="http://schemas.openxmlformats.org/officeDocument/2006/relationships/hyperlink" Target="https://www.dropbox.com/scl/fi/5akr0sshzwk22p67a9l8h/main-10.png?rlkey=wyd0x4kl9yvlxudzkzhnae4z5&amp;st=uc9v9vc0&amp;dl=0" TargetMode="External"/><Relationship Id="rId1348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11" Type="http://schemas.openxmlformats.org/officeDocument/2006/relationships/hyperlink" Target="https://www.dropbox.com/scl/fi/i38kr2do4achrjpt284n6/main-28.jpg?rlkey=53uk8l5jdg4qu07qszfmnlize&amp;st=ad9itera&amp;dl=0" TargetMode="External"/><Relationship Id="rId1349" Type="http://schemas.openxmlformats.org/officeDocument/2006/relationships/hyperlink" Target="https://www.dropbox.com/scl/fi/5akr0sshzwk22p67a9l8h/main-10.png?rlkey=wyd0x4kl9yvlxudzkzhnae4z5&amp;st=uc9v9vc0&amp;dl=0" TargetMode="External"/><Relationship Id="rId10" Type="http://schemas.openxmlformats.org/officeDocument/2006/relationships/hyperlink" Target="https://www.dropbox.com/scl/fi/dxpgxkhimmzu3zkowq1ot/McGrath_Logo_Black-1.png?rlkey=3dugeaua7u8fpmh253tub406a&amp;st=pbx7eh9u&amp;dl=0" TargetMode="External"/><Relationship Id="rId13" Type="http://schemas.openxmlformats.org/officeDocument/2006/relationships/hyperlink" Target="https://www.dropbox.com/scl/fi/i38kr2do4achrjpt284n6/main-28.jpg?rlkey=53uk8l5jdg4qu07qszfmnlize&amp;st=ad9itera&amp;dl=0" TargetMode="External"/><Relationship Id="rId12" Type="http://schemas.openxmlformats.org/officeDocument/2006/relationships/hyperlink" Target="https://www.dropbox.com/scl/fi/dxpgxkhimmzu3zkowq1ot/McGrath_Logo_Black-1.png?rlkey=3dugeaua7u8fpmh253tub406a&amp;st=pbx7eh9u&amp;dl=0" TargetMode="External"/><Relationship Id="rId756" Type="http://schemas.openxmlformats.org/officeDocument/2006/relationships/hyperlink" Target="https://www.dropbox.com/scl/fi/j2z2ncfnf08o3n868n3yf/Logo-Emblem.png?rlkey=cf0i1thyf4a7ob9aehegeug1o&amp;st=tk9b4iy9&amp;dl=0" TargetMode="External"/><Relationship Id="rId755" Type="http://schemas.openxmlformats.org/officeDocument/2006/relationships/hyperlink" Target="https://www.dropbox.com/scl/fi/1hesfsmbwipurtuwuhrx3/main-8.png?rlkey=2ngqc69frdldisw7w9ga7ohuy&amp;st=isrz3gpo&amp;dl=0" TargetMode="External"/><Relationship Id="rId754" Type="http://schemas.openxmlformats.org/officeDocument/2006/relationships/hyperlink" Target="https://www.dropbox.com/scl/fi/j2z2ncfnf08o3n868n3yf/Logo-Emblem.png?rlkey=cf0i1thyf4a7ob9aehegeug1o&amp;st=tk9b4iy9&amp;dl=0" TargetMode="External"/><Relationship Id="rId753" Type="http://schemas.openxmlformats.org/officeDocument/2006/relationships/hyperlink" Target="https://www.dropbox.com/scl/fi/1hesfsmbwipurtuwuhrx3/main-8.png?rlkey=2ngqc69frdldisw7w9ga7ohuy&amp;st=isrz3gpo&amp;dl=0" TargetMode="External"/><Relationship Id="rId759" Type="http://schemas.openxmlformats.org/officeDocument/2006/relationships/hyperlink" Target="https://www.dropbox.com/scl/fi/ofte3ana6lawjng3l61sj/Screenshot-2025-07-09-at-2.26.59-pm.png?rlkey=g0e129pua96gyoeanszi56sfb&amp;st=ez4a0q00&amp;dl=0" TargetMode="External"/><Relationship Id="rId758" Type="http://schemas.openxmlformats.org/officeDocument/2006/relationships/hyperlink" Target="https://www.dropbox.com/scl/fi/kkuwnaijwgwpavy354ymw/Screenshot-2025-11-13-at-11.45.57-AM.png?rlkey=4r0dxanrl120momho92p97x17&amp;st=zbewp6kb&amp;dl=0" TargetMode="External"/><Relationship Id="rId757" Type="http://schemas.openxmlformats.org/officeDocument/2006/relationships/hyperlink" Target="https://www.dropbox.com/scl/fi/ebzgxnx2als2x9lzyttsx/main-17.jpg?rlkey=hrk619t8mro2a0mqilbluktgj&amp;st=rprtpvus&amp;dl=0" TargetMode="External"/><Relationship Id="rId15" Type="http://schemas.openxmlformats.org/officeDocument/2006/relationships/hyperlink" Target="https://www.dropbox.com/scl/fi/i38kr2do4achrjpt284n6/main-28.jpg?rlkey=53uk8l5jdg4qu07qszfmnlize&amp;st=ad9itera&amp;dl=0" TargetMode="External"/><Relationship Id="rId14" Type="http://schemas.openxmlformats.org/officeDocument/2006/relationships/hyperlink" Target="https://www.dropbox.com/scl/fi/dxpgxkhimmzu3zkowq1ot/McGrath_Logo_Black-1.png?rlkey=3dugeaua7u8fpmh253tub406a&amp;st=pbx7eh9u&amp;dl=0" TargetMode="External"/><Relationship Id="rId17" Type="http://schemas.openxmlformats.org/officeDocument/2006/relationships/hyperlink" Target="https://www.dropbox.com/scl/fi/tyg11cggpa18i3s9yrpvy/tamara_lawless.jpg?rlkey=oljgdjqcyvq3d6ybd9yqnannj&amp;st=mjxqvabs&amp;dl=0" TargetMode="External"/><Relationship Id="rId16" Type="http://schemas.openxmlformats.org/officeDocument/2006/relationships/hyperlink" Target="https://www.dropbox.com/scl/fi/dxpgxkhimmzu3zkowq1ot/McGrath_Logo_Black-1.png?rlkey=3dugeaua7u8fpmh253tub406a&amp;st=pbx7eh9u&amp;dl=0" TargetMode="External"/><Relationship Id="rId1340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19" Type="http://schemas.openxmlformats.org/officeDocument/2006/relationships/hyperlink" Target="https://www.dropbox.com/scl/fi/tyg11cggpa18i3s9yrpvy/tamara_lawless.jpg?rlkey=oljgdjqcyvq3d6ybd9yqnannj&amp;st=mjxqvabs&amp;dl=0" TargetMode="External"/><Relationship Id="rId752" Type="http://schemas.openxmlformats.org/officeDocument/2006/relationships/hyperlink" Target="https://www.dropbox.com/scl/fi/j2z2ncfnf08o3n868n3yf/Logo-Emblem.png?rlkey=cf0i1thyf4a7ob9aehegeug1o&amp;st=tk9b4iy9&amp;dl=0" TargetMode="External"/><Relationship Id="rId1341" Type="http://schemas.openxmlformats.org/officeDocument/2006/relationships/hyperlink" Target="https://www.dropbox.com/scl/fi/5akr0sshzwk22p67a9l8h/main-10.png?rlkey=wyd0x4kl9yvlxudzkzhnae4z5&amp;st=uc9v9vc0&amp;dl=0" TargetMode="External"/><Relationship Id="rId18" Type="http://schemas.openxmlformats.org/officeDocument/2006/relationships/hyperlink" Target="https://www.dropbox.com/scl/fi/kwmsc584vxl7rubrxuvpm/diJones.png?rlkey=yhjm9ai6iw6ssbg3pixxcnsyh&amp;st=ejxzt27g&amp;dl=0" TargetMode="External"/><Relationship Id="rId751" Type="http://schemas.openxmlformats.org/officeDocument/2006/relationships/hyperlink" Target="https://www.dropbox.com/scl/fi/1hesfsmbwipurtuwuhrx3/main-8.png?rlkey=2ngqc69frdldisw7w9ga7ohuy&amp;st=isrz3gpo&amp;dl=0" TargetMode="External"/><Relationship Id="rId1342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750" Type="http://schemas.openxmlformats.org/officeDocument/2006/relationships/hyperlink" Target="https://www.dropbox.com/scl/fi/j2z2ncfnf08o3n868n3yf/Logo-Emblem.png?rlkey=cf0i1thyf4a7ob9aehegeug1o&amp;st=tk9b4iy9&amp;dl=0" TargetMode="External"/><Relationship Id="rId1343" Type="http://schemas.openxmlformats.org/officeDocument/2006/relationships/hyperlink" Target="https://www.dropbox.com/scl/fi/5akr0sshzwk22p67a9l8h/main-10.png?rlkey=wyd0x4kl9yvlxudzkzhnae4z5&amp;st=uc9v9vc0&amp;dl=0" TargetMode="External"/><Relationship Id="rId1344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84" Type="http://schemas.openxmlformats.org/officeDocument/2006/relationships/hyperlink" Target="https://www.dropbox.com/scl/fi/b51o8hd0tpg516mdelt65/images-1.png?rlkey=s8v02l0gaol2zlycsp42dm90u&amp;st=ptex4t93&amp;dl=0" TargetMode="External"/><Relationship Id="rId1774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83" Type="http://schemas.openxmlformats.org/officeDocument/2006/relationships/hyperlink" Target="https://www.dropbox.com/scl/fi/6b31yzl5xrdeu318w2dzs/main-1.png?rlkey=t1pq14hhbgmbs5v9x5nhstxer&amp;st=iv426uf7&amp;dl=0" TargetMode="External"/><Relationship Id="rId1775" Type="http://schemas.openxmlformats.org/officeDocument/2006/relationships/hyperlink" Target="https://www.dropbox.com/scl/fi/6p93edyl7ie5em4embc9z/2nd-favourite-Mary.jpg?rlkey=1qw8evkj6tdvg9zsimxsv13m5&amp;st=8uybq2rs&amp;dl=0" TargetMode="External"/><Relationship Id="rId86" Type="http://schemas.openxmlformats.org/officeDocument/2006/relationships/hyperlink" Target="https://www.dropbox.com/scl/fi/241ekxil2iz8waw5mvwjp/Screenshot-2025-11-13-at-1.56.10-PM.png?rlkey=14bjew840h92t8i1tgeo3bcbv&amp;st=6xeeyj8i&amp;dl=0" TargetMode="External"/><Relationship Id="rId1776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85" Type="http://schemas.openxmlformats.org/officeDocument/2006/relationships/hyperlink" Target="https://www.dropbox.com/scl/fi/e8tk6ur68rbxhf33dn0yi/main-24.jpg?rlkey=eegq41lguqin8z46a2im67kfx&amp;st=027wcrff&amp;dl=0" TargetMode="External"/><Relationship Id="rId1777" Type="http://schemas.openxmlformats.org/officeDocument/2006/relationships/hyperlink" Target="https://www.dropbox.com/scl/fi/6p93edyl7ie5em4embc9z/2nd-favourite-Mary.jpg?rlkey=1qw8evkj6tdvg9zsimxsv13m5&amp;st=8uybq2rs&amp;dl=0" TargetMode="External"/><Relationship Id="rId88" Type="http://schemas.openxmlformats.org/officeDocument/2006/relationships/hyperlink" Target="https://www.dropbox.com/scl/fi/241ekxil2iz8waw5mvwjp/Screenshot-2025-11-13-at-1.56.10-PM.png?rlkey=14bjew840h92t8i1tgeo3bcbv&amp;st=6xeeyj8i&amp;dl=0" TargetMode="External"/><Relationship Id="rId1778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87" Type="http://schemas.openxmlformats.org/officeDocument/2006/relationships/hyperlink" Target="https://www.dropbox.com/scl/fi/e8tk6ur68rbxhf33dn0yi/main-24.jpg?rlkey=eegq41lguqin8z46a2im67kfx&amp;st=027wcrff&amp;dl=0" TargetMode="External"/><Relationship Id="rId1779" Type="http://schemas.openxmlformats.org/officeDocument/2006/relationships/hyperlink" Target="https://www.dropbox.com/scl/fi/6p93edyl7ie5em4embc9z/2nd-favourite-Mary.jpg?rlkey=1qw8evkj6tdvg9zsimxsv13m5&amp;st=8uybq2rs&amp;dl=0" TargetMode="External"/><Relationship Id="rId89" Type="http://schemas.openxmlformats.org/officeDocument/2006/relationships/hyperlink" Target="https://www.dropbox.com/scl/fi/e8tk6ur68rbxhf33dn0yi/main-24.jpg?rlkey=eegq41lguqin8z46a2im67kfx&amp;st=027wcrff&amp;dl=0" TargetMode="External"/><Relationship Id="rId709" Type="http://schemas.openxmlformats.org/officeDocument/2006/relationships/hyperlink" Target="https://www.dropbox.com/scl/fi/k8wsxy5ukmzj39arlquqb/callumdocker1_250980835427060_6410416324116738728_Untitled-design-2025-11-26T103524.875.png?rlkey=qdh84j6gvex5pyiitzlyt14lz&amp;st=cocrww9a&amp;dl=0" TargetMode="External"/><Relationship Id="rId708" Type="http://schemas.openxmlformats.org/officeDocument/2006/relationships/hyperlink" Target="https://www.dropbox.com/scl/fi/57n4b8ux4rwedfgho1kla/Screenshot-2025-12-09-at-9.52.45-AM.png?rlkey=xj7tbamox1yhy1d98o4oydehd&amp;st=jv2o42q7&amp;dl=0" TargetMode="External"/><Relationship Id="rId707" Type="http://schemas.openxmlformats.org/officeDocument/2006/relationships/hyperlink" Target="https://www.dropbox.com/scl/fi/k8wsxy5ukmzj39arlquqb/callumdocker1_250980835427060_6410416324116738728_Untitled-design-2025-11-26T103524.875.png?rlkey=qdh84j6gvex5pyiitzlyt14lz&amp;st=cocrww9a&amp;dl=0" TargetMode="External"/><Relationship Id="rId706" Type="http://schemas.openxmlformats.org/officeDocument/2006/relationships/hyperlink" Target="https://www.dropbox.com/scl/fi/57n4b8ux4rwedfgho1kla/Screenshot-2025-12-09-at-9.52.45-AM.png?rlkey=xj7tbamox1yhy1d98o4oydehd&amp;st=jv2o42q7&amp;dl=0" TargetMode="External"/><Relationship Id="rId80" Type="http://schemas.openxmlformats.org/officeDocument/2006/relationships/hyperlink" Target="https://www.dropbox.com/scl/fi/b51o8hd0tpg516mdelt65/images-1.png?rlkey=s8v02l0gaol2zlycsp42dm90u&amp;st=ptex4t93&amp;dl=0" TargetMode="External"/><Relationship Id="rId82" Type="http://schemas.openxmlformats.org/officeDocument/2006/relationships/hyperlink" Target="https://www.dropbox.com/scl/fi/b51o8hd0tpg516mdelt65/images-1.png?rlkey=s8v02l0gaol2zlycsp42dm90u&amp;st=ptex4t93&amp;dl=0" TargetMode="External"/><Relationship Id="rId81" Type="http://schemas.openxmlformats.org/officeDocument/2006/relationships/hyperlink" Target="https://www.dropbox.com/scl/fi/6b31yzl5xrdeu318w2dzs/main-1.png?rlkey=t1pq14hhbgmbs5v9x5nhstxer&amp;st=iv426uf7&amp;dl=0" TargetMode="External"/><Relationship Id="rId701" Type="http://schemas.openxmlformats.org/officeDocument/2006/relationships/hyperlink" Target="https://www.dropbox.com/scl/fi/85vnn1s8mgkk4c2i3gu6m/main-2.jpg?rlkey=g22opyy04c8anicy41cg44mh8&amp;st=g7beque9&amp;dl=0" TargetMode="External"/><Relationship Id="rId700" Type="http://schemas.openxmlformats.org/officeDocument/2006/relationships/hyperlink" Target="https://www.dropbox.com/scl/fi/8wao3e95vxfcnuw99x2v3/uploads_1754378157662-39uzfkm8fii-5e9a1b1ec766c1364e7931079877fc36_Primary-Logo-White-Background.png?rlkey=67uthl6hycp59iqtb2bcvp91x&amp;st=bpl7va3h&amp;dl=0" TargetMode="External"/><Relationship Id="rId705" Type="http://schemas.openxmlformats.org/officeDocument/2006/relationships/hyperlink" Target="https://www.dropbox.com/scl/fi/k8wsxy5ukmzj39arlquqb/callumdocker1_250980835427060_6410416324116738728_Untitled-design-2025-11-26T103524.875.png?rlkey=qdh84j6gvex5pyiitzlyt14lz&amp;st=cocrww9a&amp;dl=0" TargetMode="External"/><Relationship Id="rId704" Type="http://schemas.openxmlformats.org/officeDocument/2006/relationships/hyperlink" Target="https://www.dropbox.com/scl/fi/57n4b8ux4rwedfgho1kla/Screenshot-2025-12-09-at-9.52.45-AM.png?rlkey=xj7tbamox1yhy1d98o4oydehd&amp;st=jv2o42q7&amp;dl=0" TargetMode="External"/><Relationship Id="rId703" Type="http://schemas.openxmlformats.org/officeDocument/2006/relationships/hyperlink" Target="https://www.dropbox.com/scl/fi/k8wsxy5ukmzj39arlquqb/callumdocker1_250980835427060_6410416324116738728_Untitled-design-2025-11-26T103524.875.png?rlkey=qdh84j6gvex5pyiitzlyt14lz&amp;st=cocrww9a&amp;dl=0" TargetMode="External"/><Relationship Id="rId702" Type="http://schemas.openxmlformats.org/officeDocument/2006/relationships/hyperlink" Target="https://www.dropbox.com/scl/fi/8wao3e95vxfcnuw99x2v3/uploads_1754378157662-39uzfkm8fii-5e9a1b1ec766c1364e7931079877fc36_Primary-Logo-White-Background.png?rlkey=67uthl6hycp59iqtb2bcvp91x&amp;st=bpl7va3h&amp;dl=0" TargetMode="External"/><Relationship Id="rId1770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771" Type="http://schemas.openxmlformats.org/officeDocument/2006/relationships/hyperlink" Target="https://www.dropbox.com/scl/fi/6p93edyl7ie5em4embc9z/2nd-favourite-Mary.jpg?rlkey=1qw8evkj6tdvg9zsimxsv13m5&amp;st=8uybq2rs&amp;dl=0" TargetMode="External"/><Relationship Id="rId1772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773" Type="http://schemas.openxmlformats.org/officeDocument/2006/relationships/hyperlink" Target="https://www.dropbox.com/scl/fi/6p93edyl7ie5em4embc9z/2nd-favourite-Mary.jpg?rlkey=1qw8evkj6tdvg9zsimxsv13m5&amp;st=8uybq2rs&amp;dl=0" TargetMode="External"/><Relationship Id="rId73" Type="http://schemas.openxmlformats.org/officeDocument/2006/relationships/hyperlink" Target="https://www.dropbox.com/scl/fi/6b31yzl5xrdeu318w2dzs/main-1.png?rlkey=t1pq14hhbgmbs5v9x5nhstxer&amp;st=iv426uf7&amp;dl=0" TargetMode="External"/><Relationship Id="rId1763" Type="http://schemas.openxmlformats.org/officeDocument/2006/relationships/hyperlink" Target="https://www.dropbox.com/scl/fi/6p93edyl7ie5em4embc9z/2nd-favourite-Mary.jpg?rlkey=1qw8evkj6tdvg9zsimxsv13m5&amp;st=8uybq2rs&amp;dl=0" TargetMode="External"/><Relationship Id="rId72" Type="http://schemas.openxmlformats.org/officeDocument/2006/relationships/hyperlink" Target="https://www.dropbox.com/scl/fi/b51o8hd0tpg516mdelt65/images-1.png?rlkey=s8v02l0gaol2zlycsp42dm90u&amp;st=ptex4t93&amp;dl=0" TargetMode="External"/><Relationship Id="rId1764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75" Type="http://schemas.openxmlformats.org/officeDocument/2006/relationships/hyperlink" Target="https://www.dropbox.com/scl/fi/6b31yzl5xrdeu318w2dzs/main-1.png?rlkey=t1pq14hhbgmbs5v9x5nhstxer&amp;st=iv426uf7&amp;dl=0" TargetMode="External"/><Relationship Id="rId1765" Type="http://schemas.openxmlformats.org/officeDocument/2006/relationships/hyperlink" Target="https://www.dropbox.com/scl/fi/6p93edyl7ie5em4embc9z/2nd-favourite-Mary.jpg?rlkey=1qw8evkj6tdvg9zsimxsv13m5&amp;st=8uybq2rs&amp;dl=0" TargetMode="External"/><Relationship Id="rId74" Type="http://schemas.openxmlformats.org/officeDocument/2006/relationships/hyperlink" Target="https://www.dropbox.com/scl/fi/b51o8hd0tpg516mdelt65/images-1.png?rlkey=s8v02l0gaol2zlycsp42dm90u&amp;st=ptex4t93&amp;dl=0" TargetMode="External"/><Relationship Id="rId1766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77" Type="http://schemas.openxmlformats.org/officeDocument/2006/relationships/hyperlink" Target="https://www.dropbox.com/scl/fi/6b31yzl5xrdeu318w2dzs/main-1.png?rlkey=t1pq14hhbgmbs5v9x5nhstxer&amp;st=iv426uf7&amp;dl=0" TargetMode="External"/><Relationship Id="rId1767" Type="http://schemas.openxmlformats.org/officeDocument/2006/relationships/hyperlink" Target="https://www.dropbox.com/scl/fi/6p93edyl7ie5em4embc9z/2nd-favourite-Mary.jpg?rlkey=1qw8evkj6tdvg9zsimxsv13m5&amp;st=8uybq2rs&amp;dl=0" TargetMode="External"/><Relationship Id="rId76" Type="http://schemas.openxmlformats.org/officeDocument/2006/relationships/hyperlink" Target="https://www.dropbox.com/scl/fi/b51o8hd0tpg516mdelt65/images-1.png?rlkey=s8v02l0gaol2zlycsp42dm90u&amp;st=ptex4t93&amp;dl=0" TargetMode="External"/><Relationship Id="rId1768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79" Type="http://schemas.openxmlformats.org/officeDocument/2006/relationships/hyperlink" Target="https://www.dropbox.com/scl/fi/6b31yzl5xrdeu318w2dzs/main-1.png?rlkey=t1pq14hhbgmbs5v9x5nhstxer&amp;st=iv426uf7&amp;dl=0" TargetMode="External"/><Relationship Id="rId1769" Type="http://schemas.openxmlformats.org/officeDocument/2006/relationships/hyperlink" Target="https://www.dropbox.com/scl/fi/6p93edyl7ie5em4embc9z/2nd-favourite-Mary.jpg?rlkey=1qw8evkj6tdvg9zsimxsv13m5&amp;st=8uybq2rs&amp;dl=0" TargetMode="External"/><Relationship Id="rId78" Type="http://schemas.openxmlformats.org/officeDocument/2006/relationships/hyperlink" Target="https://www.dropbox.com/scl/fi/b51o8hd0tpg516mdelt65/images-1.png?rlkey=s8v02l0gaol2zlycsp42dm90u&amp;st=ptex4t93&amp;dl=0" TargetMode="External"/><Relationship Id="rId71" Type="http://schemas.openxmlformats.org/officeDocument/2006/relationships/hyperlink" Target="https://www.dropbox.com/scl/fi/6b31yzl5xrdeu318w2dzs/main-1.png?rlkey=t1pq14hhbgmbs5v9x5nhstxer&amp;st=iv426uf7&amp;dl=0" TargetMode="External"/><Relationship Id="rId70" Type="http://schemas.openxmlformats.org/officeDocument/2006/relationships/hyperlink" Target="https://www.dropbox.com/scl/fi/b51o8hd0tpg516mdelt65/images-1.png?rlkey=s8v02l0gaol2zlycsp42dm90u&amp;st=ptex4t93&amp;dl=0" TargetMode="External"/><Relationship Id="rId1760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761" Type="http://schemas.openxmlformats.org/officeDocument/2006/relationships/hyperlink" Target="https://www.dropbox.com/scl/fi/6p93edyl7ie5em4embc9z/2nd-favourite-Mary.jpg?rlkey=1qw8evkj6tdvg9zsimxsv13m5&amp;st=8uybq2rs&amp;dl=0" TargetMode="External"/><Relationship Id="rId1762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62" Type="http://schemas.openxmlformats.org/officeDocument/2006/relationships/hyperlink" Target="https://www.dropbox.com/scl/fi/b51o8hd0tpg516mdelt65/images-1.png?rlkey=s8v02l0gaol2zlycsp42dm90u&amp;st=ptex4t93&amp;dl=0" TargetMode="External"/><Relationship Id="rId1312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1796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61" Type="http://schemas.openxmlformats.org/officeDocument/2006/relationships/hyperlink" Target="https://www.dropbox.com/scl/fi/6b31yzl5xrdeu318w2dzs/main-1.png?rlkey=t1pq14hhbgmbs5v9x5nhstxer&amp;st=iv426uf7&amp;dl=0" TargetMode="External"/><Relationship Id="rId1313" Type="http://schemas.openxmlformats.org/officeDocument/2006/relationships/hyperlink" Target="https://www.dropbox.com/scl/fi/5akr0sshzwk22p67a9l8h/main-10.png?rlkey=wyd0x4kl9yvlxudzkzhnae4z5&amp;st=uc9v9vc0&amp;dl=0" TargetMode="External"/><Relationship Id="rId1797" Type="http://schemas.openxmlformats.org/officeDocument/2006/relationships/hyperlink" Target="https://www.dropbox.com/scl/fi/6p93edyl7ie5em4embc9z/2nd-favourite-Mary.jpg?rlkey=1qw8evkj6tdvg9zsimxsv13m5&amp;st=8uybq2rs&amp;dl=0" TargetMode="External"/><Relationship Id="rId64" Type="http://schemas.openxmlformats.org/officeDocument/2006/relationships/hyperlink" Target="https://www.dropbox.com/scl/fi/b51o8hd0tpg516mdelt65/images-1.png?rlkey=s8v02l0gaol2zlycsp42dm90u&amp;st=ptex4t93&amp;dl=0" TargetMode="External"/><Relationship Id="rId1314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1798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63" Type="http://schemas.openxmlformats.org/officeDocument/2006/relationships/hyperlink" Target="https://www.dropbox.com/scl/fi/6b31yzl5xrdeu318w2dzs/main-1.png?rlkey=t1pq14hhbgmbs5v9x5nhstxer&amp;st=iv426uf7&amp;dl=0" TargetMode="External"/><Relationship Id="rId1315" Type="http://schemas.openxmlformats.org/officeDocument/2006/relationships/hyperlink" Target="https://www.dropbox.com/scl/fi/5akr0sshzwk22p67a9l8h/main-10.png?rlkey=wyd0x4kl9yvlxudzkzhnae4z5&amp;st=uc9v9vc0&amp;dl=0" TargetMode="External"/><Relationship Id="rId1799" Type="http://schemas.openxmlformats.org/officeDocument/2006/relationships/hyperlink" Target="https://www.dropbox.com/scl/fi/6p93edyl7ie5em4embc9z/2nd-favourite-Mary.jpg?rlkey=1qw8evkj6tdvg9zsimxsv13m5&amp;st=8uybq2rs&amp;dl=0" TargetMode="External"/><Relationship Id="rId66" Type="http://schemas.openxmlformats.org/officeDocument/2006/relationships/hyperlink" Target="https://www.dropbox.com/scl/fi/b51o8hd0tpg516mdelt65/images-1.png?rlkey=s8v02l0gaol2zlycsp42dm90u&amp;st=ptex4t93&amp;dl=0" TargetMode="External"/><Relationship Id="rId1316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65" Type="http://schemas.openxmlformats.org/officeDocument/2006/relationships/hyperlink" Target="https://www.dropbox.com/scl/fi/6b31yzl5xrdeu318w2dzs/main-1.png?rlkey=t1pq14hhbgmbs5v9x5nhstxer&amp;st=iv426uf7&amp;dl=0" TargetMode="External"/><Relationship Id="rId1317" Type="http://schemas.openxmlformats.org/officeDocument/2006/relationships/hyperlink" Target="https://www.dropbox.com/scl/fi/5akr0sshzwk22p67a9l8h/main-10.png?rlkey=wyd0x4kl9yvlxudzkzhnae4z5&amp;st=uc9v9vc0&amp;dl=0" TargetMode="External"/><Relationship Id="rId68" Type="http://schemas.openxmlformats.org/officeDocument/2006/relationships/hyperlink" Target="https://www.dropbox.com/scl/fi/b51o8hd0tpg516mdelt65/images-1.png?rlkey=s8v02l0gaol2zlycsp42dm90u&amp;st=ptex4t93&amp;dl=0" TargetMode="External"/><Relationship Id="rId1318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67" Type="http://schemas.openxmlformats.org/officeDocument/2006/relationships/hyperlink" Target="https://www.dropbox.com/scl/fi/6b31yzl5xrdeu318w2dzs/main-1.png?rlkey=t1pq14hhbgmbs5v9x5nhstxer&amp;st=iv426uf7&amp;dl=0" TargetMode="External"/><Relationship Id="rId1319" Type="http://schemas.openxmlformats.org/officeDocument/2006/relationships/hyperlink" Target="https://www.dropbox.com/scl/fi/5akr0sshzwk22p67a9l8h/main-10.png?rlkey=wyd0x4kl9yvlxudzkzhnae4z5&amp;st=uc9v9vc0&amp;dl=0" TargetMode="External"/><Relationship Id="rId729" Type="http://schemas.openxmlformats.org/officeDocument/2006/relationships/hyperlink" Target="https://www.dropbox.com/scl/fi/k8wsxy5ukmzj39arlquqb/callumdocker1_250980835427060_6410416324116738728_Untitled-design-2025-11-26T103524.875.png?rlkey=qdh84j6gvex5pyiitzlyt14lz&amp;st=cocrww9a&amp;dl=0" TargetMode="External"/><Relationship Id="rId728" Type="http://schemas.openxmlformats.org/officeDocument/2006/relationships/hyperlink" Target="https://www.dropbox.com/scl/fi/57n4b8ux4rwedfgho1kla/Screenshot-2025-12-09-at-9.52.45-AM.png?rlkey=xj7tbamox1yhy1d98o4oydehd&amp;st=jv2o42q7&amp;dl=0" TargetMode="External"/><Relationship Id="rId60" Type="http://schemas.openxmlformats.org/officeDocument/2006/relationships/hyperlink" Target="https://www.dropbox.com/scl/fi/b51o8hd0tpg516mdelt65/images-1.png?rlkey=s8v02l0gaol2zlycsp42dm90u&amp;st=ptex4t93&amp;dl=0" TargetMode="External"/><Relationship Id="rId723" Type="http://schemas.openxmlformats.org/officeDocument/2006/relationships/hyperlink" Target="https://www.dropbox.com/scl/fi/k8wsxy5ukmzj39arlquqb/callumdocker1_250980835427060_6410416324116738728_Untitled-design-2025-11-26T103524.875.png?rlkey=qdh84j6gvex5pyiitzlyt14lz&amp;st=cocrww9a&amp;dl=0" TargetMode="External"/><Relationship Id="rId722" Type="http://schemas.openxmlformats.org/officeDocument/2006/relationships/hyperlink" Target="https://www.dropbox.com/scl/fi/57n4b8ux4rwedfgho1kla/Screenshot-2025-12-09-at-9.52.45-AM.png?rlkey=xj7tbamox1yhy1d98o4oydehd&amp;st=jv2o42q7&amp;dl=0" TargetMode="External"/><Relationship Id="rId721" Type="http://schemas.openxmlformats.org/officeDocument/2006/relationships/hyperlink" Target="https://www.dropbox.com/scl/fi/k8wsxy5ukmzj39arlquqb/callumdocker1_250980835427060_6410416324116738728_Untitled-design-2025-11-26T103524.875.png?rlkey=qdh84j6gvex5pyiitzlyt14lz&amp;st=cocrww9a&amp;dl=0" TargetMode="External"/><Relationship Id="rId720" Type="http://schemas.openxmlformats.org/officeDocument/2006/relationships/hyperlink" Target="https://www.dropbox.com/scl/fi/57n4b8ux4rwedfgho1kla/Screenshot-2025-12-09-at-9.52.45-AM.png?rlkey=xj7tbamox1yhy1d98o4oydehd&amp;st=jv2o42q7&amp;dl=0" TargetMode="External"/><Relationship Id="rId727" Type="http://schemas.openxmlformats.org/officeDocument/2006/relationships/hyperlink" Target="https://www.dropbox.com/scl/fi/k8wsxy5ukmzj39arlquqb/callumdocker1_250980835427060_6410416324116738728_Untitled-design-2025-11-26T103524.875.png?rlkey=qdh84j6gvex5pyiitzlyt14lz&amp;st=cocrww9a&amp;dl=0" TargetMode="External"/><Relationship Id="rId726" Type="http://schemas.openxmlformats.org/officeDocument/2006/relationships/hyperlink" Target="https://www.dropbox.com/scl/fi/57n4b8ux4rwedfgho1kla/Screenshot-2025-12-09-at-9.52.45-AM.png?rlkey=xj7tbamox1yhy1d98o4oydehd&amp;st=jv2o42q7&amp;dl=0" TargetMode="External"/><Relationship Id="rId725" Type="http://schemas.openxmlformats.org/officeDocument/2006/relationships/hyperlink" Target="https://www.dropbox.com/scl/fi/k8wsxy5ukmzj39arlquqb/callumdocker1_250980835427060_6410416324116738728_Untitled-design-2025-11-26T103524.875.png?rlkey=qdh84j6gvex5pyiitzlyt14lz&amp;st=cocrww9a&amp;dl=0" TargetMode="External"/><Relationship Id="rId724" Type="http://schemas.openxmlformats.org/officeDocument/2006/relationships/hyperlink" Target="https://www.dropbox.com/scl/fi/57n4b8ux4rwedfgho1kla/Screenshot-2025-12-09-at-9.52.45-AM.png?rlkey=xj7tbamox1yhy1d98o4oydehd&amp;st=jv2o42q7&amp;dl=0" TargetMode="External"/><Relationship Id="rId69" Type="http://schemas.openxmlformats.org/officeDocument/2006/relationships/hyperlink" Target="https://www.dropbox.com/scl/fi/6b31yzl5xrdeu318w2dzs/main-1.png?rlkey=t1pq14hhbgmbs5v9x5nhstxer&amp;st=iv426uf7&amp;dl=0" TargetMode="External"/><Relationship Id="rId1790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791" Type="http://schemas.openxmlformats.org/officeDocument/2006/relationships/hyperlink" Target="https://www.dropbox.com/scl/fi/6p93edyl7ie5em4embc9z/2nd-favourite-Mary.jpg?rlkey=1qw8evkj6tdvg9zsimxsv13m5&amp;st=8uybq2rs&amp;dl=0" TargetMode="External"/><Relationship Id="rId1792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793" Type="http://schemas.openxmlformats.org/officeDocument/2006/relationships/hyperlink" Target="https://www.dropbox.com/scl/fi/6p93edyl7ie5em4embc9z/2nd-favourite-Mary.jpg?rlkey=1qw8evkj6tdvg9zsimxsv13m5&amp;st=8uybq2rs&amp;dl=0" TargetMode="External"/><Relationship Id="rId1310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1794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311" Type="http://schemas.openxmlformats.org/officeDocument/2006/relationships/hyperlink" Target="https://www.dropbox.com/scl/fi/5akr0sshzwk22p67a9l8h/main-10.png?rlkey=wyd0x4kl9yvlxudzkzhnae4z5&amp;st=uc9v9vc0&amp;dl=0" TargetMode="External"/><Relationship Id="rId1795" Type="http://schemas.openxmlformats.org/officeDocument/2006/relationships/hyperlink" Target="https://www.dropbox.com/scl/fi/6p93edyl7ie5em4embc9z/2nd-favourite-Mary.jpg?rlkey=1qw8evkj6tdvg9zsimxsv13m5&amp;st=8uybq2rs&amp;dl=0" TargetMode="External"/><Relationship Id="rId51" Type="http://schemas.openxmlformats.org/officeDocument/2006/relationships/hyperlink" Target="https://www.dropbox.com/scl/fi/pn9k7iy8b705l1ya0bo9h/main-26.jpg?rlkey=npvy234kj4a6ffnwi8pp2wrtc&amp;st=kkzfmf4v&amp;dl=0" TargetMode="External"/><Relationship Id="rId1301" Type="http://schemas.openxmlformats.org/officeDocument/2006/relationships/hyperlink" Target="https://www.dropbox.com/scl/fi/5akr0sshzwk22p67a9l8h/main-10.png?rlkey=wyd0x4kl9yvlxudzkzhnae4z5&amp;st=uc9v9vc0&amp;dl=0" TargetMode="External"/><Relationship Id="rId1785" Type="http://schemas.openxmlformats.org/officeDocument/2006/relationships/hyperlink" Target="https://www.dropbox.com/scl/fi/6p93edyl7ie5em4embc9z/2nd-favourite-Mary.jpg?rlkey=1qw8evkj6tdvg9zsimxsv13m5&amp;st=8uybq2rs&amp;dl=0" TargetMode="External"/><Relationship Id="rId50" Type="http://schemas.openxmlformats.org/officeDocument/2006/relationships/hyperlink" Target="https://www.dropbox.com/scl/fi/ikmqdryqed657p294ky3h/home-of-northern-beaches-NAVY-STACKED-w-LOGO-HR.png?rlkey=ag64bcuob2hptx7xw73h2ztla&amp;st=3ae14bn2&amp;dl=0" TargetMode="External"/><Relationship Id="rId1302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1786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53" Type="http://schemas.openxmlformats.org/officeDocument/2006/relationships/hyperlink" Target="https://www.dropbox.com/scl/fi/ap8l0qltu6azkvnuvomfb/main-20.png?rlkey=bhl8z2wbpgdnt2n0is4b2jrsp&amp;st=li7qktjg&amp;dl=0" TargetMode="External"/><Relationship Id="rId1303" Type="http://schemas.openxmlformats.org/officeDocument/2006/relationships/hyperlink" Target="https://www.dropbox.com/scl/fi/5akr0sshzwk22p67a9l8h/main-10.png?rlkey=wyd0x4kl9yvlxudzkzhnae4z5&amp;st=uc9v9vc0&amp;dl=0" TargetMode="External"/><Relationship Id="rId1787" Type="http://schemas.openxmlformats.org/officeDocument/2006/relationships/hyperlink" Target="https://www.dropbox.com/scl/fi/6p93edyl7ie5em4embc9z/2nd-favourite-Mary.jpg?rlkey=1qw8evkj6tdvg9zsimxsv13m5&amp;st=8uybq2rs&amp;dl=0" TargetMode="External"/><Relationship Id="rId52" Type="http://schemas.openxmlformats.org/officeDocument/2006/relationships/hyperlink" Target="https://www.dropbox.com/scl/fi/ikmqdryqed657p294ky3h/home-of-northern-beaches-NAVY-STACKED-w-LOGO-HR.png?rlkey=ag64bcuob2hptx7xw73h2ztla&amp;st=3ae14bn2&amp;dl=0" TargetMode="External"/><Relationship Id="rId1304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1788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55" Type="http://schemas.openxmlformats.org/officeDocument/2006/relationships/hyperlink" Target="https://www.dropbox.com/scl/fi/b11fj12fs56eu7aj2bubq/main-25.jpg?rlkey=tgaz234rkpqrc7y69feetqwbk&amp;st=mhd6xy02&amp;dl=0" TargetMode="External"/><Relationship Id="rId1305" Type="http://schemas.openxmlformats.org/officeDocument/2006/relationships/hyperlink" Target="https://www.dropbox.com/scl/fi/5akr0sshzwk22p67a9l8h/main-10.png?rlkey=wyd0x4kl9yvlxudzkzhnae4z5&amp;st=uc9v9vc0&amp;dl=0" TargetMode="External"/><Relationship Id="rId1789" Type="http://schemas.openxmlformats.org/officeDocument/2006/relationships/hyperlink" Target="https://www.dropbox.com/scl/fi/6p93edyl7ie5em4embc9z/2nd-favourite-Mary.jpg?rlkey=1qw8evkj6tdvg9zsimxsv13m5&amp;st=8uybq2rs&amp;dl=0" TargetMode="External"/><Relationship Id="rId54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306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57" Type="http://schemas.openxmlformats.org/officeDocument/2006/relationships/hyperlink" Target="https://www.dropbox.com/scl/fi/6b31yzl5xrdeu318w2dzs/main-1.png?rlkey=t1pq14hhbgmbs5v9x5nhstxer&amp;st=iv426uf7&amp;dl=0" TargetMode="External"/><Relationship Id="rId1307" Type="http://schemas.openxmlformats.org/officeDocument/2006/relationships/hyperlink" Target="https://www.dropbox.com/scl/fi/5akr0sshzwk22p67a9l8h/main-10.png?rlkey=wyd0x4kl9yvlxudzkzhnae4z5&amp;st=uc9v9vc0&amp;dl=0" TargetMode="External"/><Relationship Id="rId56" Type="http://schemas.openxmlformats.org/officeDocument/2006/relationships/hyperlink" Target="https://www.dropbox.com/scl/fi/ikmqdryqed657p294ky3h/home-of-northern-beaches-NAVY-STACKED-w-LOGO-HR.png?rlkey=ag64bcuob2hptx7xw73h2ztla&amp;st=3ae14bn2&amp;dl=0" TargetMode="External"/><Relationship Id="rId1308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1309" Type="http://schemas.openxmlformats.org/officeDocument/2006/relationships/hyperlink" Target="https://www.dropbox.com/scl/fi/5akr0sshzwk22p67a9l8h/main-10.png?rlkey=wyd0x4kl9yvlxudzkzhnae4z5&amp;st=uc9v9vc0&amp;dl=0" TargetMode="External"/><Relationship Id="rId719" Type="http://schemas.openxmlformats.org/officeDocument/2006/relationships/hyperlink" Target="https://www.dropbox.com/scl/fi/k8wsxy5ukmzj39arlquqb/callumdocker1_250980835427060_6410416324116738728_Untitled-design-2025-11-26T103524.875.png?rlkey=qdh84j6gvex5pyiitzlyt14lz&amp;st=cocrww9a&amp;dl=0" TargetMode="External"/><Relationship Id="rId718" Type="http://schemas.openxmlformats.org/officeDocument/2006/relationships/hyperlink" Target="https://www.dropbox.com/scl/fi/57n4b8ux4rwedfgho1kla/Screenshot-2025-12-09-at-9.52.45-AM.png?rlkey=xj7tbamox1yhy1d98o4oydehd&amp;st=jv2o42q7&amp;dl=0" TargetMode="External"/><Relationship Id="rId717" Type="http://schemas.openxmlformats.org/officeDocument/2006/relationships/hyperlink" Target="https://www.dropbox.com/scl/fi/k8wsxy5ukmzj39arlquqb/callumdocker1_250980835427060_6410416324116738728_Untitled-design-2025-11-26T103524.875.png?rlkey=qdh84j6gvex5pyiitzlyt14lz&amp;st=cocrww9a&amp;dl=0" TargetMode="External"/><Relationship Id="rId712" Type="http://schemas.openxmlformats.org/officeDocument/2006/relationships/hyperlink" Target="https://www.dropbox.com/scl/fi/57n4b8ux4rwedfgho1kla/Screenshot-2025-12-09-at-9.52.45-AM.png?rlkey=xj7tbamox1yhy1d98o4oydehd&amp;st=jv2o42q7&amp;dl=0" TargetMode="External"/><Relationship Id="rId711" Type="http://schemas.openxmlformats.org/officeDocument/2006/relationships/hyperlink" Target="https://www.dropbox.com/scl/fi/k8wsxy5ukmzj39arlquqb/callumdocker1_250980835427060_6410416324116738728_Untitled-design-2025-11-26T103524.875.png?rlkey=qdh84j6gvex5pyiitzlyt14lz&amp;st=cocrww9a&amp;dl=0" TargetMode="External"/><Relationship Id="rId710" Type="http://schemas.openxmlformats.org/officeDocument/2006/relationships/hyperlink" Target="https://www.dropbox.com/scl/fi/57n4b8ux4rwedfgho1kla/Screenshot-2025-12-09-at-9.52.45-AM.png?rlkey=xj7tbamox1yhy1d98o4oydehd&amp;st=jv2o42q7&amp;dl=0" TargetMode="External"/><Relationship Id="rId716" Type="http://schemas.openxmlformats.org/officeDocument/2006/relationships/hyperlink" Target="https://www.dropbox.com/scl/fi/57n4b8ux4rwedfgho1kla/Screenshot-2025-12-09-at-9.52.45-AM.png?rlkey=xj7tbamox1yhy1d98o4oydehd&amp;st=jv2o42q7&amp;dl=0" TargetMode="External"/><Relationship Id="rId715" Type="http://schemas.openxmlformats.org/officeDocument/2006/relationships/hyperlink" Target="https://www.dropbox.com/scl/fi/k8wsxy5ukmzj39arlquqb/callumdocker1_250980835427060_6410416324116738728_Untitled-design-2025-11-26T103524.875.png?rlkey=qdh84j6gvex5pyiitzlyt14lz&amp;st=cocrww9a&amp;dl=0" TargetMode="External"/><Relationship Id="rId714" Type="http://schemas.openxmlformats.org/officeDocument/2006/relationships/hyperlink" Target="https://www.dropbox.com/scl/fi/57n4b8ux4rwedfgho1kla/Screenshot-2025-12-09-at-9.52.45-AM.png?rlkey=xj7tbamox1yhy1d98o4oydehd&amp;st=jv2o42q7&amp;dl=0" TargetMode="External"/><Relationship Id="rId713" Type="http://schemas.openxmlformats.org/officeDocument/2006/relationships/hyperlink" Target="https://www.dropbox.com/scl/fi/k8wsxy5ukmzj39arlquqb/callumdocker1_250980835427060_6410416324116738728_Untitled-design-2025-11-26T103524.875.png?rlkey=qdh84j6gvex5pyiitzlyt14lz&amp;st=cocrww9a&amp;dl=0" TargetMode="External"/><Relationship Id="rId59" Type="http://schemas.openxmlformats.org/officeDocument/2006/relationships/hyperlink" Target="https://www.dropbox.com/scl/fi/6b31yzl5xrdeu318w2dzs/main-1.png?rlkey=t1pq14hhbgmbs5v9x5nhstxer&amp;st=iv426uf7&amp;dl=0" TargetMode="External"/><Relationship Id="rId58" Type="http://schemas.openxmlformats.org/officeDocument/2006/relationships/hyperlink" Target="https://www.dropbox.com/scl/fi/b51o8hd0tpg516mdelt65/images-1.png?rlkey=s8v02l0gaol2zlycsp42dm90u&amp;st=ptex4t93&amp;dl=0" TargetMode="External"/><Relationship Id="rId1780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781" Type="http://schemas.openxmlformats.org/officeDocument/2006/relationships/hyperlink" Target="https://www.dropbox.com/scl/fi/6p93edyl7ie5em4embc9z/2nd-favourite-Mary.jpg?rlkey=1qw8evkj6tdvg9zsimxsv13m5&amp;st=8uybq2rs&amp;dl=0" TargetMode="External"/><Relationship Id="rId1782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783" Type="http://schemas.openxmlformats.org/officeDocument/2006/relationships/hyperlink" Target="https://www.dropbox.com/scl/fi/6p93edyl7ie5em4embc9z/2nd-favourite-Mary.jpg?rlkey=1qw8evkj6tdvg9zsimxsv13m5&amp;st=8uybq2rs&amp;dl=0" TargetMode="External"/><Relationship Id="rId1300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1784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349" Type="http://schemas.openxmlformats.org/officeDocument/2006/relationships/hyperlink" Target="https://www.dropbox.com/scl/fi/x15udgh4ilnkb4e1xtmhl/main-12.png?rlkey=pv4yx323bjho0ac7f35lz7j2z&amp;st=z6qmfe8j&amp;dl=0" TargetMode="External"/><Relationship Id="rId348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347" Type="http://schemas.openxmlformats.org/officeDocument/2006/relationships/hyperlink" Target="https://www.dropbox.com/scl/fi/x15udgh4ilnkb4e1xtmhl/main-12.png?rlkey=pv4yx323bjho0ac7f35lz7j2z&amp;st=z6qmfe8j&amp;dl=0" TargetMode="External"/><Relationship Id="rId346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341" Type="http://schemas.openxmlformats.org/officeDocument/2006/relationships/hyperlink" Target="https://www.dropbox.com/scl/fi/x15udgh4ilnkb4e1xtmhl/main-12.png?rlkey=pv4yx323bjho0ac7f35lz7j2z&amp;st=z6qmfe8j&amp;dl=0" TargetMode="External"/><Relationship Id="rId340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345" Type="http://schemas.openxmlformats.org/officeDocument/2006/relationships/hyperlink" Target="https://www.dropbox.com/scl/fi/x15udgh4ilnkb4e1xtmhl/main-12.png?rlkey=pv4yx323bjho0ac7f35lz7j2z&amp;st=z6qmfe8j&amp;dl=0" TargetMode="External"/><Relationship Id="rId344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343" Type="http://schemas.openxmlformats.org/officeDocument/2006/relationships/hyperlink" Target="https://www.dropbox.com/scl/fi/x15udgh4ilnkb4e1xtmhl/main-12.png?rlkey=pv4yx323bjho0ac7f35lz7j2z&amp;st=z6qmfe8j&amp;dl=0" TargetMode="External"/><Relationship Id="rId342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338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337" Type="http://schemas.openxmlformats.org/officeDocument/2006/relationships/hyperlink" Target="https://www.dropbox.com/scl/fi/x15udgh4ilnkb4e1xtmhl/main-12.png?rlkey=pv4yx323bjho0ac7f35lz7j2z&amp;st=z6qmfe8j&amp;dl=0" TargetMode="External"/><Relationship Id="rId336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335" Type="http://schemas.openxmlformats.org/officeDocument/2006/relationships/hyperlink" Target="https://www.dropbox.com/scl/fi/x15udgh4ilnkb4e1xtmhl/main-12.png?rlkey=pv4yx323bjho0ac7f35lz7j2z&amp;st=z6qmfe8j&amp;dl=0" TargetMode="External"/><Relationship Id="rId339" Type="http://schemas.openxmlformats.org/officeDocument/2006/relationships/hyperlink" Target="https://www.dropbox.com/scl/fi/x15udgh4ilnkb4e1xtmhl/main-12.png?rlkey=pv4yx323bjho0ac7f35lz7j2z&amp;st=z6qmfe8j&amp;dl=0" TargetMode="External"/><Relationship Id="rId330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334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333" Type="http://schemas.openxmlformats.org/officeDocument/2006/relationships/hyperlink" Target="https://www.dropbox.com/scl/fi/x15udgh4ilnkb4e1xtmhl/main-12.png?rlkey=pv4yx323bjho0ac7f35lz7j2z&amp;st=z6qmfe8j&amp;dl=0" TargetMode="External"/><Relationship Id="rId332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331" Type="http://schemas.openxmlformats.org/officeDocument/2006/relationships/hyperlink" Target="https://www.dropbox.com/scl/fi/wi04nxabgnlbsqyh75x41/SQUARE-Charlie-Bellow2-01.jpg?rlkey=fv21h5970eka4cf4jlubgupic&amp;st=l2v54oom&amp;dl=0" TargetMode="External"/><Relationship Id="rId370" Type="http://schemas.openxmlformats.org/officeDocument/2006/relationships/hyperlink" Target="https://www.dropbox.com/scl/fi/6liiolylb9vfyej6cohdi/thumbnail_Coastal-Agents-REA.jpg?rlkey=rr0a5gcuf8oxtode0qt3qne7n&amp;st=z0ksf2ls&amp;dl=0" TargetMode="External"/><Relationship Id="rId369" Type="http://schemas.openxmlformats.org/officeDocument/2006/relationships/hyperlink" Target="https://www.dropbox.com/scl/fi/2ijh18ng1u34646mfftag/Profile-photoKR.jpg?rlkey=egxb7nfe6qxkuxoryw1fvcolz&amp;st=lmeey6w4&amp;dl=0" TargetMode="External"/><Relationship Id="rId368" Type="http://schemas.openxmlformats.org/officeDocument/2006/relationships/hyperlink" Target="https://www.dropbox.com/scl/fi/6liiolylb9vfyej6cohdi/thumbnail_Coastal-Agents-REA.jpg?rlkey=rr0a5gcuf8oxtode0qt3qne7n&amp;st=z0ksf2ls&amp;dl=0" TargetMode="External"/><Relationship Id="rId363" Type="http://schemas.openxmlformats.org/officeDocument/2006/relationships/hyperlink" Target="https://www.dropbox.com/scl/fi/2ijh18ng1u34646mfftag/Profile-photoKR.jpg?rlkey=egxb7nfe6qxkuxoryw1fvcolz&amp;st=lmeey6w4&amp;dl=0" TargetMode="External"/><Relationship Id="rId362" Type="http://schemas.openxmlformats.org/officeDocument/2006/relationships/hyperlink" Target="https://www.dropbox.com/scl/fi/xnme1me7enecurbm106q3/Screenshot-2025-11-05-at-4.36.50-PM.png?rlkey=jzu1yao3d4kak99in2d6kbnqj&amp;st=kcvjznt4&amp;dl=0" TargetMode="External"/><Relationship Id="rId361" Type="http://schemas.openxmlformats.org/officeDocument/2006/relationships/hyperlink" Target="https://www.dropbox.com/scl/fi/xexa0qva1ok1souqdgdb6/main-13.png?rlkey=pt7gwg391q9ntf4pjq5qxwh82&amp;st=cc0c9pz1&amp;dl=0" TargetMode="External"/><Relationship Id="rId360" Type="http://schemas.openxmlformats.org/officeDocument/2006/relationships/hyperlink" Target="https://www.dropbox.com/scl/fi/xnme1me7enecurbm106q3/Screenshot-2025-11-05-at-4.36.50-PM.png?rlkey=jzu1yao3d4kak99in2d6kbnqj&amp;st=kcvjznt4&amp;dl=0" TargetMode="External"/><Relationship Id="rId367" Type="http://schemas.openxmlformats.org/officeDocument/2006/relationships/hyperlink" Target="https://www.dropbox.com/scl/fi/2ijh18ng1u34646mfftag/Profile-photoKR.jpg?rlkey=egxb7nfe6qxkuxoryw1fvcolz&amp;st=lmeey6w4&amp;dl=0" TargetMode="External"/><Relationship Id="rId366" Type="http://schemas.openxmlformats.org/officeDocument/2006/relationships/hyperlink" Target="https://www.dropbox.com/scl/fi/6liiolylb9vfyej6cohdi/thumbnail_Coastal-Agents-REA.jpg?rlkey=rr0a5gcuf8oxtode0qt3qne7n&amp;st=z0ksf2ls&amp;dl=0" TargetMode="External"/><Relationship Id="rId365" Type="http://schemas.openxmlformats.org/officeDocument/2006/relationships/hyperlink" Target="https://www.dropbox.com/scl/fi/2ijh18ng1u34646mfftag/Profile-photoKR.jpg?rlkey=egxb7nfe6qxkuxoryw1fvcolz&amp;st=lmeey6w4&amp;dl=0" TargetMode="External"/><Relationship Id="rId364" Type="http://schemas.openxmlformats.org/officeDocument/2006/relationships/hyperlink" Target="https://www.dropbox.com/scl/fi/6liiolylb9vfyej6cohdi/thumbnail_Coastal-Agents-REA.jpg?rlkey=rr0a5gcuf8oxtode0qt3qne7n&amp;st=z0ksf2ls&amp;dl=0" TargetMode="External"/><Relationship Id="rId95" Type="http://schemas.openxmlformats.org/officeDocument/2006/relationships/hyperlink" Target="https://www.dropbox.com/scl/fi/e8tk6ur68rbxhf33dn0yi/main-24.jpg?rlkey=eegq41lguqin8z46a2im67kfx&amp;st=027wcrff&amp;dl=0" TargetMode="External"/><Relationship Id="rId94" Type="http://schemas.openxmlformats.org/officeDocument/2006/relationships/hyperlink" Target="https://www.dropbox.com/scl/fi/241ekxil2iz8waw5mvwjp/Screenshot-2025-11-13-at-1.56.10-PM.png?rlkey=14bjew840h92t8i1tgeo3bcbv&amp;st=6xeeyj8i&amp;dl=0" TargetMode="External"/><Relationship Id="rId97" Type="http://schemas.openxmlformats.org/officeDocument/2006/relationships/hyperlink" Target="https://www.dropbox.com/scl/fi/e8tk6ur68rbxhf33dn0yi/main-24.jpg?rlkey=eegq41lguqin8z46a2im67kfx&amp;st=027wcrff&amp;dl=0" TargetMode="External"/><Relationship Id="rId96" Type="http://schemas.openxmlformats.org/officeDocument/2006/relationships/hyperlink" Target="https://www.dropbox.com/scl/fi/241ekxil2iz8waw5mvwjp/Screenshot-2025-11-13-at-1.56.10-PM.png?rlkey=14bjew840h92t8i1tgeo3bcbv&amp;st=6xeeyj8i&amp;dl=0" TargetMode="External"/><Relationship Id="rId99" Type="http://schemas.openxmlformats.org/officeDocument/2006/relationships/hyperlink" Target="https://www.dropbox.com/scl/fi/e8tk6ur68rbxhf33dn0yi/main-24.jpg?rlkey=eegq41lguqin8z46a2im67kfx&amp;st=027wcrff&amp;dl=0" TargetMode="External"/><Relationship Id="rId98" Type="http://schemas.openxmlformats.org/officeDocument/2006/relationships/hyperlink" Target="https://www.dropbox.com/scl/fi/241ekxil2iz8waw5mvwjp/Screenshot-2025-11-13-at-1.56.10-PM.png?rlkey=14bjew840h92t8i1tgeo3bcbv&amp;st=6xeeyj8i&amp;dl=0" TargetMode="External"/><Relationship Id="rId91" Type="http://schemas.openxmlformats.org/officeDocument/2006/relationships/hyperlink" Target="https://www.dropbox.com/scl/fi/e8tk6ur68rbxhf33dn0yi/main-24.jpg?rlkey=eegq41lguqin8z46a2im67kfx&amp;st=027wcrff&amp;dl=0" TargetMode="External"/><Relationship Id="rId90" Type="http://schemas.openxmlformats.org/officeDocument/2006/relationships/hyperlink" Target="https://www.dropbox.com/scl/fi/241ekxil2iz8waw5mvwjp/Screenshot-2025-11-13-at-1.56.10-PM.png?rlkey=14bjew840h92t8i1tgeo3bcbv&amp;st=6xeeyj8i&amp;dl=0" TargetMode="External"/><Relationship Id="rId93" Type="http://schemas.openxmlformats.org/officeDocument/2006/relationships/hyperlink" Target="https://www.dropbox.com/scl/fi/e8tk6ur68rbxhf33dn0yi/main-24.jpg?rlkey=eegq41lguqin8z46a2im67kfx&amp;st=027wcrff&amp;dl=0" TargetMode="External"/><Relationship Id="rId92" Type="http://schemas.openxmlformats.org/officeDocument/2006/relationships/hyperlink" Target="https://www.dropbox.com/scl/fi/241ekxil2iz8waw5mvwjp/Screenshot-2025-11-13-at-1.56.10-PM.png?rlkey=14bjew840h92t8i1tgeo3bcbv&amp;st=6xeeyj8i&amp;dl=0" TargetMode="External"/><Relationship Id="rId359" Type="http://schemas.openxmlformats.org/officeDocument/2006/relationships/hyperlink" Target="https://www.dropbox.com/scl/fi/xexa0qva1ok1souqdgdb6/main-13.png?rlkey=pt7gwg391q9ntf4pjq5qxwh82&amp;st=cc0c9pz1&amp;dl=0" TargetMode="External"/><Relationship Id="rId358" Type="http://schemas.openxmlformats.org/officeDocument/2006/relationships/hyperlink" Target="https://www.dropbox.com/scl/fi/xnme1me7enecurbm106q3/Screenshot-2025-11-05-at-4.36.50-PM.png?rlkey=jzu1yao3d4kak99in2d6kbnqj&amp;st=kcvjznt4&amp;dl=0" TargetMode="External"/><Relationship Id="rId357" Type="http://schemas.openxmlformats.org/officeDocument/2006/relationships/hyperlink" Target="https://www.dropbox.com/scl/fi/xexa0qva1ok1souqdgdb6/main-13.png?rlkey=pt7gwg391q9ntf4pjq5qxwh82&amp;st=cc0c9pz1&amp;dl=0" TargetMode="External"/><Relationship Id="rId352" Type="http://schemas.openxmlformats.org/officeDocument/2006/relationships/hyperlink" Target="https://www.dropbox.com/scl/fi/xnme1me7enecurbm106q3/Screenshot-2025-11-05-at-4.36.50-PM.png?rlkey=jzu1yao3d4kak99in2d6kbnqj&amp;st=kcvjznt4&amp;dl=0" TargetMode="External"/><Relationship Id="rId351" Type="http://schemas.openxmlformats.org/officeDocument/2006/relationships/hyperlink" Target="https://www.dropbox.com/scl/fi/xexa0qva1ok1souqdgdb6/main-13.png?rlkey=pt7gwg391q9ntf4pjq5qxwh82&amp;st=cc0c9pz1&amp;dl=0" TargetMode="External"/><Relationship Id="rId350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356" Type="http://schemas.openxmlformats.org/officeDocument/2006/relationships/hyperlink" Target="https://www.dropbox.com/scl/fi/xnme1me7enecurbm106q3/Screenshot-2025-11-05-at-4.36.50-PM.png?rlkey=jzu1yao3d4kak99in2d6kbnqj&amp;st=kcvjznt4&amp;dl=0" TargetMode="External"/><Relationship Id="rId355" Type="http://schemas.openxmlformats.org/officeDocument/2006/relationships/hyperlink" Target="https://www.dropbox.com/scl/fi/xexa0qva1ok1souqdgdb6/main-13.png?rlkey=pt7gwg391q9ntf4pjq5qxwh82&amp;st=cc0c9pz1&amp;dl=0" TargetMode="External"/><Relationship Id="rId354" Type="http://schemas.openxmlformats.org/officeDocument/2006/relationships/hyperlink" Target="https://www.dropbox.com/scl/fi/xnme1me7enecurbm106q3/Screenshot-2025-11-05-at-4.36.50-PM.png?rlkey=jzu1yao3d4kak99in2d6kbnqj&amp;st=kcvjznt4&amp;dl=0" TargetMode="External"/><Relationship Id="rId353" Type="http://schemas.openxmlformats.org/officeDocument/2006/relationships/hyperlink" Target="https://www.dropbox.com/scl/fi/xexa0qva1ok1souqdgdb6/main-13.png?rlkey=pt7gwg391q9ntf4pjq5qxwh82&amp;st=cc0c9pz1&amp;dl=0" TargetMode="External"/><Relationship Id="rId1378" Type="http://schemas.openxmlformats.org/officeDocument/2006/relationships/hyperlink" Target="https://www.dropbox.com/scl/fi/eg6kf9d28jb7g6a6nwtyv/Screenshot-2026-01-08-at-12.51.18-PM.png?rlkey=w7wwrrok14dihdbd9m77p73od&amp;st=23rvo8kx&amp;dl=0" TargetMode="External"/><Relationship Id="rId1379" Type="http://schemas.openxmlformats.org/officeDocument/2006/relationships/hyperlink" Target="https://www.dropbox.com/scl/fi/ftp6gaais2ayfxu9x8ns9/main-22.png?rlkey=ozg7l8o7x82jci0m2up7ah8s5&amp;st=wf26x4g1&amp;dl=0" TargetMode="External"/><Relationship Id="rId305" Type="http://schemas.openxmlformats.org/officeDocument/2006/relationships/hyperlink" Target="https://www.dropbox.com/scl/fi/wi04nxabgnlbsqyh75x41/SQUARE-Charlie-Bellow2-01.jpg?rlkey=fv21h5970eka4cf4jlubgupic&amp;st=l2v54oom&amp;dl=0" TargetMode="External"/><Relationship Id="rId789" Type="http://schemas.openxmlformats.org/officeDocument/2006/relationships/hyperlink" Target="https://www.dropbox.com/scl/fi/ceffk6b4no8wg02qwbg49/main-12.jpg?rlkey=gl24zew2qe1td1ows4cksrmxc&amp;st=kli4zs3n&amp;dl=0" TargetMode="External"/><Relationship Id="rId304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788" Type="http://schemas.openxmlformats.org/officeDocument/2006/relationships/hyperlink" Target="https://www.dropbox.com/scl/fi/mvlh5nxh36kmqcc6sk0tv/Screenshot-2025-11-02-at-9.16.48-PM.png?rlkey=761orxcwm1a8gmhrct2pmu8py&amp;st=5suc6ekb&amp;dl=0" TargetMode="External"/><Relationship Id="rId303" Type="http://schemas.openxmlformats.org/officeDocument/2006/relationships/hyperlink" Target="https://www.dropbox.com/scl/fi/wi04nxabgnlbsqyh75x41/SQUARE-Charlie-Bellow2-01.jpg?rlkey=fv21h5970eka4cf4jlubgupic&amp;st=l2v54oom&amp;dl=0" TargetMode="External"/><Relationship Id="rId787" Type="http://schemas.openxmlformats.org/officeDocument/2006/relationships/hyperlink" Target="https://www.dropbox.com/scl/fi/ceffk6b4no8wg02qwbg49/main-12.jpg?rlkey=gl24zew2qe1td1ows4cksrmxc&amp;st=kli4zs3n&amp;dl=0" TargetMode="External"/><Relationship Id="rId302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786" Type="http://schemas.openxmlformats.org/officeDocument/2006/relationships/hyperlink" Target="https://www.dropbox.com/scl/fi/mvlh5nxh36kmqcc6sk0tv/Screenshot-2025-11-02-at-9.16.48-PM.png?rlkey=761orxcwm1a8gmhrct2pmu8py&amp;st=5suc6ekb&amp;dl=0" TargetMode="External"/><Relationship Id="rId309" Type="http://schemas.openxmlformats.org/officeDocument/2006/relationships/hyperlink" Target="https://www.dropbox.com/scl/fi/wi04nxabgnlbsqyh75x41/SQUARE-Charlie-Bellow2-01.jpg?rlkey=fv21h5970eka4cf4jlubgupic&amp;st=l2v54oom&amp;dl=0" TargetMode="External"/><Relationship Id="rId308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307" Type="http://schemas.openxmlformats.org/officeDocument/2006/relationships/hyperlink" Target="https://www.dropbox.com/scl/fi/wi04nxabgnlbsqyh75x41/SQUARE-Charlie-Bellow2-01.jpg?rlkey=fv21h5970eka4cf4jlubgupic&amp;st=l2v54oom&amp;dl=0" TargetMode="External"/><Relationship Id="rId306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781" Type="http://schemas.openxmlformats.org/officeDocument/2006/relationships/hyperlink" Target="https://www.dropbox.com/scl/fi/ofte3ana6lawjng3l61sj/Screenshot-2025-07-09-at-2.26.59-pm.png?rlkey=g0e129pua96gyoeanszi56sfb&amp;st=ez4a0q00&amp;dl=0" TargetMode="External"/><Relationship Id="rId1370" Type="http://schemas.openxmlformats.org/officeDocument/2006/relationships/hyperlink" Target="https://www.dropbox.com/scl/fi/h0wfbnjjrwaitjn1fedrb/Screenshot-2025-12-23-at-11.47.19-AM.png?rlkey=peu3r6b14k10ezk2omxi9g76i&amp;st=tyurw28d&amp;dl=0" TargetMode="External"/><Relationship Id="rId780" Type="http://schemas.openxmlformats.org/officeDocument/2006/relationships/hyperlink" Target="https://www.dropbox.com/scl/fi/dktwy35h63zagyr17yida/coastal-logo-WHITE.png?rlkey=aszf2rxwvorn7mh0a9gdvhstq&amp;st=hupj3pks&amp;dl=0" TargetMode="External"/><Relationship Id="rId1371" Type="http://schemas.openxmlformats.org/officeDocument/2006/relationships/hyperlink" Target="https://www.dropbox.com/scl/fi/anns0gk2a323ck1z54w7y/main-21.png?rlkey=okukf0wd6k0zpzby64wp3jlwu&amp;st=cisayixh&amp;dl=0" TargetMode="External"/><Relationship Id="rId1372" Type="http://schemas.openxmlformats.org/officeDocument/2006/relationships/hyperlink" Target="https://www.dropbox.com/scl/fi/h0wfbnjjrwaitjn1fedrb/Screenshot-2025-12-23-at-11.47.19-AM.png?rlkey=peu3r6b14k10ezk2omxi9g76i&amp;st=tyurw28d&amp;dl=0" TargetMode="External"/><Relationship Id="rId1373" Type="http://schemas.openxmlformats.org/officeDocument/2006/relationships/hyperlink" Target="https://www.dropbox.com/scl/fi/anns0gk2a323ck1z54w7y/main-21.png?rlkey=okukf0wd6k0zpzby64wp3jlwu&amp;st=cisayixh&amp;dl=0" TargetMode="External"/><Relationship Id="rId301" Type="http://schemas.openxmlformats.org/officeDocument/2006/relationships/hyperlink" Target="https://www.dropbox.com/scl/fi/wi04nxabgnlbsqyh75x41/SQUARE-Charlie-Bellow2-01.jpg?rlkey=fv21h5970eka4cf4jlubgupic&amp;st=l2v54oom&amp;dl=0" TargetMode="External"/><Relationship Id="rId785" Type="http://schemas.openxmlformats.org/officeDocument/2006/relationships/hyperlink" Target="https://www.dropbox.com/scl/fi/ceffk6b4no8wg02qwbg49/main-12.jpg?rlkey=gl24zew2qe1td1ows4cksrmxc&amp;st=kli4zs3n&amp;dl=0" TargetMode="External"/><Relationship Id="rId1374" Type="http://schemas.openxmlformats.org/officeDocument/2006/relationships/hyperlink" Target="https://www.dropbox.com/scl/fi/h0wfbnjjrwaitjn1fedrb/Screenshot-2025-12-23-at-11.47.19-AM.png?rlkey=peu3r6b14k10ezk2omxi9g76i&amp;st=tyurw28d&amp;dl=0" TargetMode="External"/><Relationship Id="rId300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784" Type="http://schemas.openxmlformats.org/officeDocument/2006/relationships/hyperlink" Target="https://www.dropbox.com/scl/fi/dktwy35h63zagyr17yida/coastal-logo-WHITE.png?rlkey=aszf2rxwvorn7mh0a9gdvhstq&amp;st=hupj3pks&amp;dl=0" TargetMode="External"/><Relationship Id="rId1375" Type="http://schemas.openxmlformats.org/officeDocument/2006/relationships/hyperlink" Target="https://www.dropbox.com/scl/fi/ftp6gaais2ayfxu9x8ns9/main-22.png?rlkey=ozg7l8o7x82jci0m2up7ah8s5&amp;st=wf26x4g1&amp;dl=0" TargetMode="External"/><Relationship Id="rId783" Type="http://schemas.openxmlformats.org/officeDocument/2006/relationships/hyperlink" Target="https://www.dropbox.com/scl/fi/ofte3ana6lawjng3l61sj/Screenshot-2025-07-09-at-2.26.59-pm.png?rlkey=g0e129pua96gyoeanszi56sfb&amp;st=ez4a0q00&amp;dl=0" TargetMode="External"/><Relationship Id="rId1376" Type="http://schemas.openxmlformats.org/officeDocument/2006/relationships/hyperlink" Target="https://www.dropbox.com/scl/fi/eg6kf9d28jb7g6a6nwtyv/Screenshot-2026-01-08-at-12.51.18-PM.png?rlkey=w7wwrrok14dihdbd9m77p73od&amp;st=23rvo8kx&amp;dl=0" TargetMode="External"/><Relationship Id="rId782" Type="http://schemas.openxmlformats.org/officeDocument/2006/relationships/hyperlink" Target="https://www.dropbox.com/scl/fi/dktwy35h63zagyr17yida/coastal-logo-WHITE.png?rlkey=aszf2rxwvorn7mh0a9gdvhstq&amp;st=hupj3pks&amp;dl=0" TargetMode="External"/><Relationship Id="rId1377" Type="http://schemas.openxmlformats.org/officeDocument/2006/relationships/hyperlink" Target="https://www.dropbox.com/scl/fi/ftp6gaais2ayfxu9x8ns9/main-22.png?rlkey=ozg7l8o7x82jci0m2up7ah8s5&amp;st=wf26x4g1&amp;dl=0" TargetMode="External"/><Relationship Id="rId1367" Type="http://schemas.openxmlformats.org/officeDocument/2006/relationships/hyperlink" Target="https://www.dropbox.com/scl/fi/anns0gk2a323ck1z54w7y/main-21.png?rlkey=okukf0wd6k0zpzby64wp3jlwu&amp;st=cisayixh&amp;dl=0" TargetMode="External"/><Relationship Id="rId1368" Type="http://schemas.openxmlformats.org/officeDocument/2006/relationships/hyperlink" Target="https://www.dropbox.com/scl/fi/h0wfbnjjrwaitjn1fedrb/Screenshot-2025-12-23-at-11.47.19-AM.png?rlkey=peu3r6b14k10ezk2omxi9g76i&amp;st=tyurw28d&amp;dl=0" TargetMode="External"/><Relationship Id="rId1369" Type="http://schemas.openxmlformats.org/officeDocument/2006/relationships/hyperlink" Target="https://www.dropbox.com/scl/fi/anns0gk2a323ck1z54w7y/main-21.png?rlkey=okukf0wd6k0zpzby64wp3jlwu&amp;st=cisayixh&amp;dl=0" TargetMode="External"/><Relationship Id="rId778" Type="http://schemas.openxmlformats.org/officeDocument/2006/relationships/hyperlink" Target="https://www.dropbox.com/scl/fi/dktwy35h63zagyr17yida/coastal-logo-WHITE.png?rlkey=aszf2rxwvorn7mh0a9gdvhstq&amp;st=hupj3pks&amp;dl=0" TargetMode="External"/><Relationship Id="rId777" Type="http://schemas.openxmlformats.org/officeDocument/2006/relationships/hyperlink" Target="https://www.dropbox.com/scl/fi/ofte3ana6lawjng3l61sj/Screenshot-2025-07-09-at-2.26.59-pm.png?rlkey=g0e129pua96gyoeanszi56sfb&amp;st=ez4a0q00&amp;dl=0" TargetMode="External"/><Relationship Id="rId776" Type="http://schemas.openxmlformats.org/officeDocument/2006/relationships/hyperlink" Target="https://www.dropbox.com/scl/fi/dktwy35h63zagyr17yida/coastal-logo-WHITE.png?rlkey=aszf2rxwvorn7mh0a9gdvhstq&amp;st=hupj3pks&amp;dl=0" TargetMode="External"/><Relationship Id="rId775" Type="http://schemas.openxmlformats.org/officeDocument/2006/relationships/hyperlink" Target="https://www.dropbox.com/scl/fi/ofte3ana6lawjng3l61sj/Screenshot-2025-07-09-at-2.26.59-pm.png?rlkey=g0e129pua96gyoeanszi56sfb&amp;st=ez4a0q00&amp;dl=0" TargetMode="External"/><Relationship Id="rId779" Type="http://schemas.openxmlformats.org/officeDocument/2006/relationships/hyperlink" Target="https://www.dropbox.com/scl/fi/ofte3ana6lawjng3l61sj/Screenshot-2025-07-09-at-2.26.59-pm.png?rlkey=g0e129pua96gyoeanszi56sfb&amp;st=ez4a0q00&amp;dl=0" TargetMode="External"/><Relationship Id="rId770" Type="http://schemas.openxmlformats.org/officeDocument/2006/relationships/hyperlink" Target="https://www.dropbox.com/scl/fi/dktwy35h63zagyr17yida/coastal-logo-WHITE.png?rlkey=aszf2rxwvorn7mh0a9gdvhstq&amp;st=hupj3pks&amp;dl=0" TargetMode="External"/><Relationship Id="rId1360" Type="http://schemas.openxmlformats.org/officeDocument/2006/relationships/hyperlink" Target="https://www.dropbox.com/scl/fi/h0wfbnjjrwaitjn1fedrb/Screenshot-2025-12-23-at-11.47.19-AM.png?rlkey=peu3r6b14k10ezk2omxi9g76i&amp;st=tyurw28d&amp;dl=0" TargetMode="External"/><Relationship Id="rId1361" Type="http://schemas.openxmlformats.org/officeDocument/2006/relationships/hyperlink" Target="https://www.dropbox.com/scl/fi/anns0gk2a323ck1z54w7y/main-21.png?rlkey=okukf0wd6k0zpzby64wp3jlwu&amp;st=cisayixh&amp;dl=0" TargetMode="External"/><Relationship Id="rId1362" Type="http://schemas.openxmlformats.org/officeDocument/2006/relationships/hyperlink" Target="https://www.dropbox.com/scl/fi/h0wfbnjjrwaitjn1fedrb/Screenshot-2025-12-23-at-11.47.19-AM.png?rlkey=peu3r6b14k10ezk2omxi9g76i&amp;st=tyurw28d&amp;dl=0" TargetMode="External"/><Relationship Id="rId774" Type="http://schemas.openxmlformats.org/officeDocument/2006/relationships/hyperlink" Target="https://www.dropbox.com/scl/fi/dktwy35h63zagyr17yida/coastal-logo-WHITE.png?rlkey=aszf2rxwvorn7mh0a9gdvhstq&amp;st=hupj3pks&amp;dl=0" TargetMode="External"/><Relationship Id="rId1363" Type="http://schemas.openxmlformats.org/officeDocument/2006/relationships/hyperlink" Target="https://www.dropbox.com/scl/fi/anns0gk2a323ck1z54w7y/main-21.png?rlkey=okukf0wd6k0zpzby64wp3jlwu&amp;st=cisayixh&amp;dl=0" TargetMode="External"/><Relationship Id="rId773" Type="http://schemas.openxmlformats.org/officeDocument/2006/relationships/hyperlink" Target="https://www.dropbox.com/scl/fi/ofte3ana6lawjng3l61sj/Screenshot-2025-07-09-at-2.26.59-pm.png?rlkey=g0e129pua96gyoeanszi56sfb&amp;st=ez4a0q00&amp;dl=0" TargetMode="External"/><Relationship Id="rId1364" Type="http://schemas.openxmlformats.org/officeDocument/2006/relationships/hyperlink" Target="https://www.dropbox.com/scl/fi/h0wfbnjjrwaitjn1fedrb/Screenshot-2025-12-23-at-11.47.19-AM.png?rlkey=peu3r6b14k10ezk2omxi9g76i&amp;st=tyurw28d&amp;dl=0" TargetMode="External"/><Relationship Id="rId772" Type="http://schemas.openxmlformats.org/officeDocument/2006/relationships/hyperlink" Target="https://www.dropbox.com/scl/fi/dktwy35h63zagyr17yida/coastal-logo-WHITE.png?rlkey=aszf2rxwvorn7mh0a9gdvhstq&amp;st=hupj3pks&amp;dl=0" TargetMode="External"/><Relationship Id="rId1365" Type="http://schemas.openxmlformats.org/officeDocument/2006/relationships/hyperlink" Target="https://www.dropbox.com/scl/fi/anns0gk2a323ck1z54w7y/main-21.png?rlkey=okukf0wd6k0zpzby64wp3jlwu&amp;st=cisayixh&amp;dl=0" TargetMode="External"/><Relationship Id="rId771" Type="http://schemas.openxmlformats.org/officeDocument/2006/relationships/hyperlink" Target="https://www.dropbox.com/scl/fi/ofte3ana6lawjng3l61sj/Screenshot-2025-07-09-at-2.26.59-pm.png?rlkey=g0e129pua96gyoeanszi56sfb&amp;st=ez4a0q00&amp;dl=0" TargetMode="External"/><Relationship Id="rId1366" Type="http://schemas.openxmlformats.org/officeDocument/2006/relationships/hyperlink" Target="https://www.dropbox.com/scl/fi/h0wfbnjjrwaitjn1fedrb/Screenshot-2025-12-23-at-11.47.19-AM.png?rlkey=peu3r6b14k10ezk2omxi9g76i&amp;st=tyurw28d&amp;dl=0" TargetMode="External"/><Relationship Id="rId327" Type="http://schemas.openxmlformats.org/officeDocument/2006/relationships/hyperlink" Target="https://www.dropbox.com/scl/fi/wi04nxabgnlbsqyh75x41/SQUARE-Charlie-Bellow2-01.jpg?rlkey=fv21h5970eka4cf4jlubgupic&amp;st=l2v54oom&amp;dl=0" TargetMode="External"/><Relationship Id="rId326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325" Type="http://schemas.openxmlformats.org/officeDocument/2006/relationships/hyperlink" Target="https://www.dropbox.com/scl/fi/wi04nxabgnlbsqyh75x41/SQUARE-Charlie-Bellow2-01.jpg?rlkey=fv21h5970eka4cf4jlubgupic&amp;st=l2v54oom&amp;dl=0" TargetMode="External"/><Relationship Id="rId324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329" Type="http://schemas.openxmlformats.org/officeDocument/2006/relationships/hyperlink" Target="https://www.dropbox.com/scl/fi/wi04nxabgnlbsqyh75x41/SQUARE-Charlie-Bellow2-01.jpg?rlkey=fv21h5970eka4cf4jlubgupic&amp;st=l2v54oom&amp;dl=0" TargetMode="External"/><Relationship Id="rId1390" Type="http://schemas.openxmlformats.org/officeDocument/2006/relationships/hyperlink" Target="https://www.dropbox.com/scl/fi/x2pbfgafmagh4x4qegbio/3D-transparent.png?rlkey=e6hq9car97ohhc47sqh4zx335&amp;st=8y3uz3w0&amp;dl=0" TargetMode="External"/><Relationship Id="rId328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1391" Type="http://schemas.openxmlformats.org/officeDocument/2006/relationships/hyperlink" Target="https://www.dropbox.com/scl/fi/5u4dc1fayw5mp2umm9qfb/david-hailing.png?rlkey=fgltw3ci1yfzg8zwsospf15bz&amp;st=5wbc1lam&amp;dl=0" TargetMode="External"/><Relationship Id="rId1392" Type="http://schemas.openxmlformats.org/officeDocument/2006/relationships/hyperlink" Target="https://www.dropbox.com/scl/fi/x2pbfgafmagh4x4qegbio/3D-transparent.png?rlkey=e6hq9car97ohhc47sqh4zx335&amp;st=8y3uz3w0&amp;dl=0" TargetMode="External"/><Relationship Id="rId1393" Type="http://schemas.openxmlformats.org/officeDocument/2006/relationships/hyperlink" Target="https://www.dropbox.com/scl/fi/5u4dc1fayw5mp2umm9qfb/david-hailing.png?rlkey=fgltw3ci1yfzg8zwsospf15bz&amp;st=5wbc1lam&amp;dl=0" TargetMode="External"/><Relationship Id="rId1394" Type="http://schemas.openxmlformats.org/officeDocument/2006/relationships/hyperlink" Target="https://www.dropbox.com/scl/fi/x2pbfgafmagh4x4qegbio/3D-transparent.png?rlkey=e6hq9car97ohhc47sqh4zx335&amp;st=8y3uz3w0&amp;dl=0" TargetMode="External"/><Relationship Id="rId1395" Type="http://schemas.openxmlformats.org/officeDocument/2006/relationships/hyperlink" Target="https://www.dropbox.com/scl/fi/5u4dc1fayw5mp2umm9qfb/david-hailing.png?rlkey=fgltw3ci1yfzg8zwsospf15bz&amp;st=5wbc1lam&amp;dl=0" TargetMode="External"/><Relationship Id="rId323" Type="http://schemas.openxmlformats.org/officeDocument/2006/relationships/hyperlink" Target="https://www.dropbox.com/scl/fi/wi04nxabgnlbsqyh75x41/SQUARE-Charlie-Bellow2-01.jpg?rlkey=fv21h5970eka4cf4jlubgupic&amp;st=l2v54oom&amp;dl=0" TargetMode="External"/><Relationship Id="rId1396" Type="http://schemas.openxmlformats.org/officeDocument/2006/relationships/hyperlink" Target="https://www.dropbox.com/scl/fi/x2pbfgafmagh4x4qegbio/3D-transparent.png?rlkey=e6hq9car97ohhc47sqh4zx335&amp;st=8y3uz3w0&amp;dl=0" TargetMode="External"/><Relationship Id="rId322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1397" Type="http://schemas.openxmlformats.org/officeDocument/2006/relationships/hyperlink" Target="https://www.dropbox.com/scl/fi/5u4dc1fayw5mp2umm9qfb/david-hailing.png?rlkey=fgltw3ci1yfzg8zwsospf15bz&amp;st=5wbc1lam&amp;dl=0" TargetMode="External"/><Relationship Id="rId321" Type="http://schemas.openxmlformats.org/officeDocument/2006/relationships/hyperlink" Target="https://www.dropbox.com/scl/fi/wi04nxabgnlbsqyh75x41/SQUARE-Charlie-Bellow2-01.jpg?rlkey=fv21h5970eka4cf4jlubgupic&amp;st=l2v54oom&amp;dl=0" TargetMode="External"/><Relationship Id="rId1398" Type="http://schemas.openxmlformats.org/officeDocument/2006/relationships/hyperlink" Target="https://www.dropbox.com/scl/fi/x2pbfgafmagh4x4qegbio/3D-transparent.png?rlkey=e6hq9car97ohhc47sqh4zx335&amp;st=8y3uz3w0&amp;dl=0" TargetMode="External"/><Relationship Id="rId320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1399" Type="http://schemas.openxmlformats.org/officeDocument/2006/relationships/hyperlink" Target="https://www.dropbox.com/scl/fi/5u4dc1fayw5mp2umm9qfb/david-hailing.png?rlkey=fgltw3ci1yfzg8zwsospf15bz&amp;st=5wbc1lam&amp;dl=0" TargetMode="External"/><Relationship Id="rId1389" Type="http://schemas.openxmlformats.org/officeDocument/2006/relationships/hyperlink" Target="https://www.dropbox.com/scl/fi/5u4dc1fayw5mp2umm9qfb/david-hailing.png?rlkey=fgltw3ci1yfzg8zwsospf15bz&amp;st=5wbc1lam&amp;dl=0" TargetMode="External"/><Relationship Id="rId316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315" Type="http://schemas.openxmlformats.org/officeDocument/2006/relationships/hyperlink" Target="https://www.dropbox.com/scl/fi/wi04nxabgnlbsqyh75x41/SQUARE-Charlie-Bellow2-01.jpg?rlkey=fv21h5970eka4cf4jlubgupic&amp;st=l2v54oom&amp;dl=0" TargetMode="External"/><Relationship Id="rId799" Type="http://schemas.openxmlformats.org/officeDocument/2006/relationships/hyperlink" Target="https://www.dropbox.com/scl/fi/ceffk6b4no8wg02qwbg49/main-12.jpg?rlkey=gl24zew2qe1td1ows4cksrmxc&amp;st=kli4zs3n&amp;dl=0" TargetMode="External"/><Relationship Id="rId314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798" Type="http://schemas.openxmlformats.org/officeDocument/2006/relationships/hyperlink" Target="https://www.dropbox.com/scl/fi/mvlh5nxh36kmqcc6sk0tv/Screenshot-2025-11-02-at-9.16.48-PM.png?rlkey=761orxcwm1a8gmhrct2pmu8py&amp;st=5suc6ekb&amp;dl=0" TargetMode="External"/><Relationship Id="rId313" Type="http://schemas.openxmlformats.org/officeDocument/2006/relationships/hyperlink" Target="https://www.dropbox.com/scl/fi/wi04nxabgnlbsqyh75x41/SQUARE-Charlie-Bellow2-01.jpg?rlkey=fv21h5970eka4cf4jlubgupic&amp;st=l2v54oom&amp;dl=0" TargetMode="External"/><Relationship Id="rId797" Type="http://schemas.openxmlformats.org/officeDocument/2006/relationships/hyperlink" Target="https://www.dropbox.com/scl/fi/ceffk6b4no8wg02qwbg49/main-12.jpg?rlkey=gl24zew2qe1td1ows4cksrmxc&amp;st=kli4zs3n&amp;dl=0" TargetMode="External"/><Relationship Id="rId319" Type="http://schemas.openxmlformats.org/officeDocument/2006/relationships/hyperlink" Target="https://www.dropbox.com/scl/fi/wi04nxabgnlbsqyh75x41/SQUARE-Charlie-Bellow2-01.jpg?rlkey=fv21h5970eka4cf4jlubgupic&amp;st=l2v54oom&amp;dl=0" TargetMode="External"/><Relationship Id="rId318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317" Type="http://schemas.openxmlformats.org/officeDocument/2006/relationships/hyperlink" Target="https://www.dropbox.com/scl/fi/wi04nxabgnlbsqyh75x41/SQUARE-Charlie-Bellow2-01.jpg?rlkey=fv21h5970eka4cf4jlubgupic&amp;st=l2v54oom&amp;dl=0" TargetMode="External"/><Relationship Id="rId1380" Type="http://schemas.openxmlformats.org/officeDocument/2006/relationships/hyperlink" Target="https://www.dropbox.com/scl/fi/eg6kf9d28jb7g6a6nwtyv/Screenshot-2026-01-08-at-12.51.18-PM.png?rlkey=w7wwrrok14dihdbd9m77p73od&amp;st=23rvo8kx&amp;dl=0" TargetMode="External"/><Relationship Id="rId792" Type="http://schemas.openxmlformats.org/officeDocument/2006/relationships/hyperlink" Target="https://www.dropbox.com/scl/fi/mvlh5nxh36kmqcc6sk0tv/Screenshot-2025-11-02-at-9.16.48-PM.png?rlkey=761orxcwm1a8gmhrct2pmu8py&amp;st=5suc6ekb&amp;dl=0" TargetMode="External"/><Relationship Id="rId1381" Type="http://schemas.openxmlformats.org/officeDocument/2006/relationships/hyperlink" Target="https://www.dropbox.com/scl/fi/fnlye1ceag6kcr0uiy8zf/main-24.png?rlkey=u3w48m5kiwy9mria5w3u3umbe&amp;st=7ysvv3cw&amp;dl=0" TargetMode="External"/><Relationship Id="rId791" Type="http://schemas.openxmlformats.org/officeDocument/2006/relationships/hyperlink" Target="https://www.dropbox.com/scl/fi/ceffk6b4no8wg02qwbg49/main-12.jpg?rlkey=gl24zew2qe1td1ows4cksrmxc&amp;st=kli4zs3n&amp;dl=0" TargetMode="External"/><Relationship Id="rId1382" Type="http://schemas.openxmlformats.org/officeDocument/2006/relationships/hyperlink" Target="https://www.dropbox.com/scl/fi/eg6kf9d28jb7g6a6nwtyv/Screenshot-2026-01-08-at-12.51.18-PM.png?rlkey=w7wwrrok14dihdbd9m77p73od&amp;st=23rvo8kx&amp;dl=0" TargetMode="External"/><Relationship Id="rId790" Type="http://schemas.openxmlformats.org/officeDocument/2006/relationships/hyperlink" Target="https://www.dropbox.com/scl/fi/mvlh5nxh36kmqcc6sk0tv/Screenshot-2025-11-02-at-9.16.48-PM.png?rlkey=761orxcwm1a8gmhrct2pmu8py&amp;st=5suc6ekb&amp;dl=0" TargetMode="External"/><Relationship Id="rId1383" Type="http://schemas.openxmlformats.org/officeDocument/2006/relationships/hyperlink" Target="https://www.dropbox.com/scl/fi/5u4dc1fayw5mp2umm9qfb/david-hailing.png?rlkey=fgltw3ci1yfzg8zwsospf15bz&amp;st=5wbc1lam&amp;dl=0" TargetMode="External"/><Relationship Id="rId1384" Type="http://schemas.openxmlformats.org/officeDocument/2006/relationships/hyperlink" Target="https://www.dropbox.com/scl/fi/x2pbfgafmagh4x4qegbio/3D-transparent.png?rlkey=e6hq9car97ohhc47sqh4zx335&amp;st=8y3uz3w0&amp;dl=0" TargetMode="External"/><Relationship Id="rId312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796" Type="http://schemas.openxmlformats.org/officeDocument/2006/relationships/hyperlink" Target="https://www.dropbox.com/scl/fi/mvlh5nxh36kmqcc6sk0tv/Screenshot-2025-11-02-at-9.16.48-PM.png?rlkey=761orxcwm1a8gmhrct2pmu8py&amp;st=5suc6ekb&amp;dl=0" TargetMode="External"/><Relationship Id="rId1385" Type="http://schemas.openxmlformats.org/officeDocument/2006/relationships/hyperlink" Target="https://www.dropbox.com/scl/fi/5u4dc1fayw5mp2umm9qfb/david-hailing.png?rlkey=fgltw3ci1yfzg8zwsospf15bz&amp;st=5wbc1lam&amp;dl=0" TargetMode="External"/><Relationship Id="rId311" Type="http://schemas.openxmlformats.org/officeDocument/2006/relationships/hyperlink" Target="https://www.dropbox.com/scl/fi/wi04nxabgnlbsqyh75x41/SQUARE-Charlie-Bellow2-01.jpg?rlkey=fv21h5970eka4cf4jlubgupic&amp;st=l2v54oom&amp;dl=0" TargetMode="External"/><Relationship Id="rId795" Type="http://schemas.openxmlformats.org/officeDocument/2006/relationships/hyperlink" Target="https://www.dropbox.com/scl/fi/ceffk6b4no8wg02qwbg49/main-12.jpg?rlkey=gl24zew2qe1td1ows4cksrmxc&amp;st=kli4zs3n&amp;dl=0" TargetMode="External"/><Relationship Id="rId1386" Type="http://schemas.openxmlformats.org/officeDocument/2006/relationships/hyperlink" Target="https://www.dropbox.com/scl/fi/x2pbfgafmagh4x4qegbio/3D-transparent.png?rlkey=e6hq9car97ohhc47sqh4zx335&amp;st=8y3uz3w0&amp;dl=0" TargetMode="External"/><Relationship Id="rId310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794" Type="http://schemas.openxmlformats.org/officeDocument/2006/relationships/hyperlink" Target="https://www.dropbox.com/scl/fi/mvlh5nxh36kmqcc6sk0tv/Screenshot-2025-11-02-at-9.16.48-PM.png?rlkey=761orxcwm1a8gmhrct2pmu8py&amp;st=5suc6ekb&amp;dl=0" TargetMode="External"/><Relationship Id="rId1387" Type="http://schemas.openxmlformats.org/officeDocument/2006/relationships/hyperlink" Target="https://www.dropbox.com/scl/fi/5u4dc1fayw5mp2umm9qfb/david-hailing.png?rlkey=fgltw3ci1yfzg8zwsospf15bz&amp;st=5wbc1lam&amp;dl=0" TargetMode="External"/><Relationship Id="rId793" Type="http://schemas.openxmlformats.org/officeDocument/2006/relationships/hyperlink" Target="https://www.dropbox.com/scl/fi/ceffk6b4no8wg02qwbg49/main-12.jpg?rlkey=gl24zew2qe1td1ows4cksrmxc&amp;st=kli4zs3n&amp;dl=0" TargetMode="External"/><Relationship Id="rId1388" Type="http://schemas.openxmlformats.org/officeDocument/2006/relationships/hyperlink" Target="https://www.dropbox.com/scl/fi/x2pbfgafmagh4x4qegbio/3D-transparent.png?rlkey=e6hq9car97ohhc47sqh4zx335&amp;st=8y3uz3w0&amp;dl=0" TargetMode="External"/><Relationship Id="rId297" Type="http://schemas.openxmlformats.org/officeDocument/2006/relationships/hyperlink" Target="https://www.dropbox.com/scl/fi/wi04nxabgnlbsqyh75x41/SQUARE-Charlie-Bellow2-01.jpg?rlkey=fv21h5970eka4cf4jlubgupic&amp;st=l2v54oom&amp;dl=0" TargetMode="External"/><Relationship Id="rId296" Type="http://schemas.openxmlformats.org/officeDocument/2006/relationships/hyperlink" Target="https://www.dropbox.com/scl/fi/wd0k42ctk1q51dhuj5yvw/image003-13.png?rlkey=ml4finelq2ifphh81t1p26was&amp;st=g912p8k6&amp;dl=0" TargetMode="External"/><Relationship Id="rId295" Type="http://schemas.openxmlformats.org/officeDocument/2006/relationships/hyperlink" Target="https://www.dropbox.com/scl/fi/0zkfomo8on4x0vwvu9u9h/PRINT-Veronica-Cole4-01-HEADSHOT-MASK-43.png?rlkey=r5fxg6kdojesx9g3c647ji7wx&amp;st=6su3g0ai&amp;dl=0" TargetMode="External"/><Relationship Id="rId294" Type="http://schemas.openxmlformats.org/officeDocument/2006/relationships/hyperlink" Target="https://www.dropbox.com/scl/fi/wd0k42ctk1q51dhuj5yvw/image003-13.png?rlkey=ml4finelq2ifphh81t1p26was&amp;st=g912p8k6&amp;dl=0" TargetMode="External"/><Relationship Id="rId299" Type="http://schemas.openxmlformats.org/officeDocument/2006/relationships/hyperlink" Target="https://www.dropbox.com/scl/fi/wi04nxabgnlbsqyh75x41/SQUARE-Charlie-Bellow2-01.jpg?rlkey=fv21h5970eka4cf4jlubgupic&amp;st=l2v54oom&amp;dl=0" TargetMode="External"/><Relationship Id="rId298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271" Type="http://schemas.openxmlformats.org/officeDocument/2006/relationships/hyperlink" Target="https://www.dropbox.com/scl/fi/kbe675x7khkmdww3wzh8d/main-20.jpg?rlkey=djh9gmibnzsae46y2jhintjoh&amp;st=kar0tv1k&amp;dl=0" TargetMode="External"/><Relationship Id="rId270" Type="http://schemas.openxmlformats.org/officeDocument/2006/relationships/hyperlink" Target="https://www.dropbox.com/scl/fi/acorouf92bd1d2vfoboz0/LJ_Hooker_logo.png?rlkey=dr7iv5fnr0rwu3er3hi0mfbvz&amp;st=v5tn475u&amp;dl=0" TargetMode="External"/><Relationship Id="rId269" Type="http://schemas.openxmlformats.org/officeDocument/2006/relationships/hyperlink" Target="https://www.dropbox.com/scl/fi/kbe675x7khkmdww3wzh8d/main-20.jpg?rlkey=djh9gmibnzsae46y2jhintjoh&amp;st=kar0tv1k&amp;dl=0" TargetMode="External"/><Relationship Id="rId264" Type="http://schemas.openxmlformats.org/officeDocument/2006/relationships/hyperlink" Target="https://www.dropbox.com/scl/fi/acorouf92bd1d2vfoboz0/LJ_Hooker_logo.png?rlkey=dr7iv5fnr0rwu3er3hi0mfbvz&amp;st=v5tn475u&amp;dl=0" TargetMode="External"/><Relationship Id="rId263" Type="http://schemas.openxmlformats.org/officeDocument/2006/relationships/hyperlink" Target="https://www.dropbox.com/scl/fi/kbe675x7khkmdww3wzh8d/main-20.jpg?rlkey=djh9gmibnzsae46y2jhintjoh&amp;st=kar0tv1k&amp;dl=0" TargetMode="External"/><Relationship Id="rId262" Type="http://schemas.openxmlformats.org/officeDocument/2006/relationships/hyperlink" Target="https://www.dropbox.com/scl/fi/acorouf92bd1d2vfoboz0/LJ_Hooker_logo.png?rlkey=dr7iv5fnr0rwu3er3hi0mfbvz&amp;st=v5tn475u&amp;dl=0" TargetMode="External"/><Relationship Id="rId261" Type="http://schemas.openxmlformats.org/officeDocument/2006/relationships/hyperlink" Target="https://www.dropbox.com/scl/fi/kbe675x7khkmdww3wzh8d/main-20.jpg?rlkey=djh9gmibnzsae46y2jhintjoh&amp;st=kar0tv1k&amp;dl=0" TargetMode="External"/><Relationship Id="rId268" Type="http://schemas.openxmlformats.org/officeDocument/2006/relationships/hyperlink" Target="https://www.dropbox.com/scl/fi/acorouf92bd1d2vfoboz0/LJ_Hooker_logo.png?rlkey=dr7iv5fnr0rwu3er3hi0mfbvz&amp;st=v5tn475u&amp;dl=0" TargetMode="External"/><Relationship Id="rId267" Type="http://schemas.openxmlformats.org/officeDocument/2006/relationships/hyperlink" Target="https://www.dropbox.com/scl/fi/kbe675x7khkmdww3wzh8d/main-20.jpg?rlkey=djh9gmibnzsae46y2jhintjoh&amp;st=kar0tv1k&amp;dl=0" TargetMode="External"/><Relationship Id="rId266" Type="http://schemas.openxmlformats.org/officeDocument/2006/relationships/hyperlink" Target="https://www.dropbox.com/scl/fi/acorouf92bd1d2vfoboz0/LJ_Hooker_logo.png?rlkey=dr7iv5fnr0rwu3er3hi0mfbvz&amp;st=v5tn475u&amp;dl=0" TargetMode="External"/><Relationship Id="rId265" Type="http://schemas.openxmlformats.org/officeDocument/2006/relationships/hyperlink" Target="https://www.dropbox.com/scl/fi/kbe675x7khkmdww3wzh8d/main-20.jpg?rlkey=djh9gmibnzsae46y2jhintjoh&amp;st=kar0tv1k&amp;dl=0" TargetMode="External"/><Relationship Id="rId260" Type="http://schemas.openxmlformats.org/officeDocument/2006/relationships/hyperlink" Target="https://www.dropbox.com/scl/fi/acorouf92bd1d2vfoboz0/LJ_Hooker_logo.png?rlkey=dr7iv5fnr0rwu3er3hi0mfbvz&amp;st=v5tn475u&amp;dl=0" TargetMode="External"/><Relationship Id="rId259" Type="http://schemas.openxmlformats.org/officeDocument/2006/relationships/hyperlink" Target="https://www.dropbox.com/scl/fi/kbe675x7khkmdww3wzh8d/main-20.jpg?rlkey=djh9gmibnzsae46y2jhintjoh&amp;st=kar0tv1k&amp;dl=0" TargetMode="External"/><Relationship Id="rId258" Type="http://schemas.openxmlformats.org/officeDocument/2006/relationships/hyperlink" Target="https://www.dropbox.com/scl/fi/acorouf92bd1d2vfoboz0/LJ_Hooker_logo.png?rlkey=dr7iv5fnr0rwu3er3hi0mfbvz&amp;st=v5tn475u&amp;dl=0" TargetMode="External"/><Relationship Id="rId253" Type="http://schemas.openxmlformats.org/officeDocument/2006/relationships/hyperlink" Target="https://www.dropbox.com/scl/fi/kbe675x7khkmdww3wzh8d/main-20.jpg?rlkey=djh9gmibnzsae46y2jhintjoh&amp;st=kar0tv1k&amp;dl=0" TargetMode="External"/><Relationship Id="rId252" Type="http://schemas.openxmlformats.org/officeDocument/2006/relationships/hyperlink" Target="https://www.dropbox.com/scl/fi/acorouf92bd1d2vfoboz0/LJ_Hooker_logo.png?rlkey=dr7iv5fnr0rwu3er3hi0mfbvz&amp;st=v5tn475u&amp;dl=0" TargetMode="External"/><Relationship Id="rId251" Type="http://schemas.openxmlformats.org/officeDocument/2006/relationships/hyperlink" Target="https://www.dropbox.com/scl/fi/kbe675x7khkmdww3wzh8d/main-20.jpg?rlkey=djh9gmibnzsae46y2jhintjoh&amp;st=kar0tv1k&amp;dl=0" TargetMode="External"/><Relationship Id="rId250" Type="http://schemas.openxmlformats.org/officeDocument/2006/relationships/hyperlink" Target="https://www.dropbox.com/scl/fi/acorouf92bd1d2vfoboz0/LJ_Hooker_logo.png?rlkey=dr7iv5fnr0rwu3er3hi0mfbvz&amp;st=v5tn475u&amp;dl=0" TargetMode="External"/><Relationship Id="rId257" Type="http://schemas.openxmlformats.org/officeDocument/2006/relationships/hyperlink" Target="https://www.dropbox.com/scl/fi/kbe675x7khkmdww3wzh8d/main-20.jpg?rlkey=djh9gmibnzsae46y2jhintjoh&amp;st=kar0tv1k&amp;dl=0" TargetMode="External"/><Relationship Id="rId256" Type="http://schemas.openxmlformats.org/officeDocument/2006/relationships/hyperlink" Target="https://www.dropbox.com/scl/fi/acorouf92bd1d2vfoboz0/LJ_Hooker_logo.png?rlkey=dr7iv5fnr0rwu3er3hi0mfbvz&amp;st=v5tn475u&amp;dl=0" TargetMode="External"/><Relationship Id="rId255" Type="http://schemas.openxmlformats.org/officeDocument/2006/relationships/hyperlink" Target="https://www.dropbox.com/scl/fi/kbe675x7khkmdww3wzh8d/main-20.jpg?rlkey=djh9gmibnzsae46y2jhintjoh&amp;st=kar0tv1k&amp;dl=0" TargetMode="External"/><Relationship Id="rId254" Type="http://schemas.openxmlformats.org/officeDocument/2006/relationships/hyperlink" Target="https://www.dropbox.com/scl/fi/acorouf92bd1d2vfoboz0/LJ_Hooker_logo.png?rlkey=dr7iv5fnr0rwu3er3hi0mfbvz&amp;st=v5tn475u&amp;dl=0" TargetMode="External"/><Relationship Id="rId293" Type="http://schemas.openxmlformats.org/officeDocument/2006/relationships/hyperlink" Target="https://www.dropbox.com/scl/fi/0zkfomo8on4x0vwvu9u9h/PRINT-Veronica-Cole4-01-HEADSHOT-MASK-43.png?rlkey=r5fxg6kdojesx9g3c647ji7wx&amp;st=6su3g0ai&amp;dl=0" TargetMode="External"/><Relationship Id="rId292" Type="http://schemas.openxmlformats.org/officeDocument/2006/relationships/hyperlink" Target="https://www.dropbox.com/scl/fi/wd0k42ctk1q51dhuj5yvw/image003-13.png?rlkey=ml4finelq2ifphh81t1p26was&amp;st=g912p8k6&amp;dl=0" TargetMode="External"/><Relationship Id="rId291" Type="http://schemas.openxmlformats.org/officeDocument/2006/relationships/hyperlink" Target="https://www.dropbox.com/scl/fi/0zkfomo8on4x0vwvu9u9h/PRINT-Veronica-Cole4-01-HEADSHOT-MASK-43.png?rlkey=r5fxg6kdojesx9g3c647ji7wx&amp;st=6su3g0ai&amp;dl=0" TargetMode="External"/><Relationship Id="rId290" Type="http://schemas.openxmlformats.org/officeDocument/2006/relationships/hyperlink" Target="https://www.dropbox.com/scl/fi/wd0k42ctk1q51dhuj5yvw/image003-13.png?rlkey=ml4finelq2ifphh81t1p26was&amp;st=g912p8k6&amp;dl=0" TargetMode="External"/><Relationship Id="rId286" Type="http://schemas.openxmlformats.org/officeDocument/2006/relationships/hyperlink" Target="https://www.dropbox.com/scl/fi/wd0k42ctk1q51dhuj5yvw/image003-13.png?rlkey=ml4finelq2ifphh81t1p26was&amp;st=g912p8k6&amp;dl=0" TargetMode="External"/><Relationship Id="rId285" Type="http://schemas.openxmlformats.org/officeDocument/2006/relationships/hyperlink" Target="https://www.dropbox.com/scl/fi/0zkfomo8on4x0vwvu9u9h/PRINT-Veronica-Cole4-01-HEADSHOT-MASK-43.png?rlkey=r5fxg6kdojesx9g3c647ji7wx&amp;st=6su3g0ai&amp;dl=0" TargetMode="External"/><Relationship Id="rId284" Type="http://schemas.openxmlformats.org/officeDocument/2006/relationships/hyperlink" Target="https://www.dropbox.com/scl/fi/wd0k42ctk1q51dhuj5yvw/image003-13.png?rlkey=ml4finelq2ifphh81t1p26was&amp;st=g912p8k6&amp;dl=0" TargetMode="External"/><Relationship Id="rId283" Type="http://schemas.openxmlformats.org/officeDocument/2006/relationships/hyperlink" Target="https://www.dropbox.com/scl/fi/0zkfomo8on4x0vwvu9u9h/PRINT-Veronica-Cole4-01-HEADSHOT-MASK-43.png?rlkey=r5fxg6kdojesx9g3c647ji7wx&amp;st=6su3g0ai&amp;dl=0" TargetMode="External"/><Relationship Id="rId289" Type="http://schemas.openxmlformats.org/officeDocument/2006/relationships/hyperlink" Target="https://www.dropbox.com/scl/fi/0zkfomo8on4x0vwvu9u9h/PRINT-Veronica-Cole4-01-HEADSHOT-MASK-43.png?rlkey=r5fxg6kdojesx9g3c647ji7wx&amp;st=6su3g0ai&amp;dl=0" TargetMode="External"/><Relationship Id="rId288" Type="http://schemas.openxmlformats.org/officeDocument/2006/relationships/hyperlink" Target="https://www.dropbox.com/scl/fi/wd0k42ctk1q51dhuj5yvw/image003-13.png?rlkey=ml4finelq2ifphh81t1p26was&amp;st=g912p8k6&amp;dl=0" TargetMode="External"/><Relationship Id="rId287" Type="http://schemas.openxmlformats.org/officeDocument/2006/relationships/hyperlink" Target="https://www.dropbox.com/scl/fi/0zkfomo8on4x0vwvu9u9h/PRINT-Veronica-Cole4-01-HEADSHOT-MASK-43.png?rlkey=r5fxg6kdojesx9g3c647ji7wx&amp;st=6su3g0ai&amp;dl=0" TargetMode="External"/><Relationship Id="rId282" Type="http://schemas.openxmlformats.org/officeDocument/2006/relationships/hyperlink" Target="https://www.dropbox.com/scl/fi/wd0k42ctk1q51dhuj5yvw/image003-13.png?rlkey=ml4finelq2ifphh81t1p26was&amp;st=g912p8k6&amp;dl=0" TargetMode="External"/><Relationship Id="rId281" Type="http://schemas.openxmlformats.org/officeDocument/2006/relationships/hyperlink" Target="https://www.dropbox.com/scl/fi/0zkfomo8on4x0vwvu9u9h/PRINT-Veronica-Cole4-01-HEADSHOT-MASK-43.png?rlkey=r5fxg6kdojesx9g3c647ji7wx&amp;st=6su3g0ai&amp;dl=0" TargetMode="External"/><Relationship Id="rId280" Type="http://schemas.openxmlformats.org/officeDocument/2006/relationships/hyperlink" Target="https://www.dropbox.com/scl/fi/wd0k42ctk1q51dhuj5yvw/image003-13.png?rlkey=ml4finelq2ifphh81t1p26was&amp;st=g912p8k6&amp;dl=0" TargetMode="External"/><Relationship Id="rId275" Type="http://schemas.openxmlformats.org/officeDocument/2006/relationships/hyperlink" Target="https://www.dropbox.com/scl/fi/wtju3l01i9r3e94n8t11d/Suzana-White-NEW-resized-min.jpg?rlkey=7wo0pfzqvh7lmgj4y1ivxsg0f&amp;st=y45c7r73&amp;dl=0" TargetMode="External"/><Relationship Id="rId274" Type="http://schemas.openxmlformats.org/officeDocument/2006/relationships/hyperlink" Target="https://www.dropbox.com/scl/fi/5c1smalgavjbiboyvwx7g/Perth-Realty-Group_Hi-RES.jpg?rlkey=xrz24pkyiecsjmbvmd46llpg1&amp;st=67zn0ek6&amp;dl=0" TargetMode="External"/><Relationship Id="rId273" Type="http://schemas.openxmlformats.org/officeDocument/2006/relationships/hyperlink" Target="https://www.dropbox.com/scl/fi/wtju3l01i9r3e94n8t11d/Suzana-White-NEW-resized-min.jpg?rlkey=7wo0pfzqvh7lmgj4y1ivxsg0f&amp;st=y45c7r73&amp;dl=0" TargetMode="External"/><Relationship Id="rId272" Type="http://schemas.openxmlformats.org/officeDocument/2006/relationships/hyperlink" Target="https://www.dropbox.com/scl/fi/acorouf92bd1d2vfoboz0/LJ_Hooker_logo.png?rlkey=dr7iv5fnr0rwu3er3hi0mfbvz&amp;st=v5tn475u&amp;dl=0" TargetMode="External"/><Relationship Id="rId279" Type="http://schemas.openxmlformats.org/officeDocument/2006/relationships/hyperlink" Target="https://www.dropbox.com/scl/fi/0zkfomo8on4x0vwvu9u9h/PRINT-Veronica-Cole4-01-HEADSHOT-MASK-43.png?rlkey=r5fxg6kdojesx9g3c647ji7wx&amp;st=6su3g0ai&amp;dl=0" TargetMode="External"/><Relationship Id="rId278" Type="http://schemas.openxmlformats.org/officeDocument/2006/relationships/hyperlink" Target="https://www.dropbox.com/scl/fi/wd0k42ctk1q51dhuj5yvw/image003-13.png?rlkey=ml4finelq2ifphh81t1p26was&amp;st=g912p8k6&amp;dl=0" TargetMode="External"/><Relationship Id="rId277" Type="http://schemas.openxmlformats.org/officeDocument/2006/relationships/hyperlink" Target="https://www.dropbox.com/scl/fi/0zkfomo8on4x0vwvu9u9h/PRINT-Veronica-Cole4-01-HEADSHOT-MASK-43.png?rlkey=r5fxg6kdojesx9g3c647ji7wx&amp;st=6su3g0ai&amp;dl=0" TargetMode="External"/><Relationship Id="rId276" Type="http://schemas.openxmlformats.org/officeDocument/2006/relationships/hyperlink" Target="https://www.dropbox.com/scl/fi/5c1smalgavjbiboyvwx7g/Perth-Realty-Group_Hi-RES.jpg?rlkey=xrz24pkyiecsjmbvmd46llpg1&amp;st=67zn0ek6&amp;dl=0" TargetMode="External"/><Relationship Id="rId1851" Type="http://schemas.openxmlformats.org/officeDocument/2006/relationships/hyperlink" Target="https://www.dropbox.com/scl/fi/6p93edyl7ie5em4embc9z/2nd-favourite-Mary.jpg?rlkey=1qw8evkj6tdvg9zsimxsv13m5&amp;st=8uybq2rs&amp;dl=0" TargetMode="External"/><Relationship Id="rId1852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853" Type="http://schemas.openxmlformats.org/officeDocument/2006/relationships/hyperlink" Target="https://www.dropbox.com/scl/fi/6p93edyl7ie5em4embc9z/2nd-favourite-Mary.jpg?rlkey=1qw8evkj6tdvg9zsimxsv13m5&amp;st=8uybq2rs&amp;dl=0" TargetMode="External"/><Relationship Id="rId1854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855" Type="http://schemas.openxmlformats.org/officeDocument/2006/relationships/hyperlink" Target="https://www.dropbox.com/scl/fi/6p93edyl7ie5em4embc9z/2nd-favourite-Mary.jpg?rlkey=1qw8evkj6tdvg9zsimxsv13m5&amp;st=8uybq2rs&amp;dl=0" TargetMode="External"/><Relationship Id="rId1856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857" Type="http://schemas.openxmlformats.org/officeDocument/2006/relationships/hyperlink" Target="https://www.dropbox.com/scl/fi/vmyju7m9m7vcyvpiqp7jw/Frazer-Yule-CROPPED.jpg?rlkey=9mb2bi57qzd1dpynqvk86fjjk&amp;st=sm3szdzr&amp;dl=0" TargetMode="External"/><Relationship Id="rId1858" Type="http://schemas.openxmlformats.org/officeDocument/2006/relationships/hyperlink" Target="https://www.dropbox.com/scl/fi/4o2dj9ipdbzhndf7r48xu/LSAR_LOGO_RGB_1lineYellow.jpg?rlkey=3x80psgs941iz0ie14wngubr7&amp;st=72ye4k3y&amp;dl=0" TargetMode="External"/><Relationship Id="rId1859" Type="http://schemas.openxmlformats.org/officeDocument/2006/relationships/hyperlink" Target="https://www.dropbox.com/scl/fi/vmyju7m9m7vcyvpiqp7jw/Frazer-Yule-CROPPED.jpg?rlkey=9mb2bi57qzd1dpynqvk86fjjk&amp;st=sm3szdzr&amp;dl=0" TargetMode="External"/><Relationship Id="rId1850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840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841" Type="http://schemas.openxmlformats.org/officeDocument/2006/relationships/hyperlink" Target="https://www.dropbox.com/scl/fi/6p93edyl7ie5em4embc9z/2nd-favourite-Mary.jpg?rlkey=1qw8evkj6tdvg9zsimxsv13m5&amp;st=8uybq2rs&amp;dl=0" TargetMode="External"/><Relationship Id="rId1842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843" Type="http://schemas.openxmlformats.org/officeDocument/2006/relationships/hyperlink" Target="https://www.dropbox.com/scl/fi/6p93edyl7ie5em4embc9z/2nd-favourite-Mary.jpg?rlkey=1qw8evkj6tdvg9zsimxsv13m5&amp;st=8uybq2rs&amp;dl=0" TargetMode="External"/><Relationship Id="rId1844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845" Type="http://schemas.openxmlformats.org/officeDocument/2006/relationships/hyperlink" Target="https://www.dropbox.com/scl/fi/6p93edyl7ie5em4embc9z/2nd-favourite-Mary.jpg?rlkey=1qw8evkj6tdvg9zsimxsv13m5&amp;st=8uybq2rs&amp;dl=0" TargetMode="External"/><Relationship Id="rId1846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847" Type="http://schemas.openxmlformats.org/officeDocument/2006/relationships/hyperlink" Target="https://www.dropbox.com/scl/fi/6p93edyl7ie5em4embc9z/2nd-favourite-Mary.jpg?rlkey=1qw8evkj6tdvg9zsimxsv13m5&amp;st=8uybq2rs&amp;dl=0" TargetMode="External"/><Relationship Id="rId1848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849" Type="http://schemas.openxmlformats.org/officeDocument/2006/relationships/hyperlink" Target="https://www.dropbox.com/scl/fi/6p93edyl7ie5em4embc9z/2nd-favourite-Mary.jpg?rlkey=1qw8evkj6tdvg9zsimxsv13m5&amp;st=8uybq2rs&amp;dl=0" TargetMode="External"/><Relationship Id="rId1873" Type="http://schemas.openxmlformats.org/officeDocument/2006/relationships/hyperlink" Target="https://www.dropbox.com/scl/fi/vmyju7m9m7vcyvpiqp7jw/Frazer-Yule-CROPPED.jpg?rlkey=9mb2bi57qzd1dpynqvk86fjjk&amp;st=sm3szdzr&amp;dl=0" TargetMode="External"/><Relationship Id="rId1874" Type="http://schemas.openxmlformats.org/officeDocument/2006/relationships/hyperlink" Target="https://www.dropbox.com/scl/fi/4o2dj9ipdbzhndf7r48xu/LSAR_LOGO_RGB_1lineYellow.jpg?rlkey=3x80psgs941iz0ie14wngubr7&amp;st=72ye4k3y&amp;dl=0" TargetMode="External"/><Relationship Id="rId1875" Type="http://schemas.openxmlformats.org/officeDocument/2006/relationships/hyperlink" Target="https://www.dropbox.com/scl/fi/vmyju7m9m7vcyvpiqp7jw/Frazer-Yule-CROPPED.jpg?rlkey=9mb2bi57qzd1dpynqvk86fjjk&amp;st=sm3szdzr&amp;dl=0" TargetMode="External"/><Relationship Id="rId1876" Type="http://schemas.openxmlformats.org/officeDocument/2006/relationships/hyperlink" Target="https://www.dropbox.com/scl/fi/4o2dj9ipdbzhndf7r48xu/LSAR_LOGO_RGB_1lineYellow.jpg?rlkey=3x80psgs941iz0ie14wngubr7&amp;st=72ye4k3y&amp;dl=0" TargetMode="External"/><Relationship Id="rId1877" Type="http://schemas.openxmlformats.org/officeDocument/2006/relationships/hyperlink" Target="https://www.dropbox.com/scl/fi/vmyju7m9m7vcyvpiqp7jw/Frazer-Yule-CROPPED.jpg?rlkey=9mb2bi57qzd1dpynqvk86fjjk&amp;st=sm3szdzr&amp;dl=0" TargetMode="External"/><Relationship Id="rId1878" Type="http://schemas.openxmlformats.org/officeDocument/2006/relationships/hyperlink" Target="https://www.dropbox.com/scl/fi/4o2dj9ipdbzhndf7r48xu/LSAR_LOGO_RGB_1lineYellow.jpg?rlkey=3x80psgs941iz0ie14wngubr7&amp;st=72ye4k3y&amp;dl=0" TargetMode="External"/><Relationship Id="rId1879" Type="http://schemas.openxmlformats.org/officeDocument/2006/relationships/hyperlink" Target="https://www.dropbox.com/scl/fi/vmyju7m9m7vcyvpiqp7jw/Frazer-Yule-CROPPED.jpg?rlkey=9mb2bi57qzd1dpynqvk86fjjk&amp;st=sm3szdzr&amp;dl=0" TargetMode="External"/><Relationship Id="rId1870" Type="http://schemas.openxmlformats.org/officeDocument/2006/relationships/hyperlink" Target="https://www.dropbox.com/scl/fi/4o2dj9ipdbzhndf7r48xu/LSAR_LOGO_RGB_1lineYellow.jpg?rlkey=3x80psgs941iz0ie14wngubr7&amp;st=72ye4k3y&amp;dl=0" TargetMode="External"/><Relationship Id="rId1871" Type="http://schemas.openxmlformats.org/officeDocument/2006/relationships/hyperlink" Target="https://www.dropbox.com/scl/fi/vmyju7m9m7vcyvpiqp7jw/Frazer-Yule-CROPPED.jpg?rlkey=9mb2bi57qzd1dpynqvk86fjjk&amp;st=sm3szdzr&amp;dl=0" TargetMode="External"/><Relationship Id="rId1872" Type="http://schemas.openxmlformats.org/officeDocument/2006/relationships/hyperlink" Target="https://www.dropbox.com/scl/fi/4o2dj9ipdbzhndf7r48xu/LSAR_LOGO_RGB_1lineYellow.jpg?rlkey=3x80psgs941iz0ie14wngubr7&amp;st=72ye4k3y&amp;dl=0" TargetMode="External"/><Relationship Id="rId1862" Type="http://schemas.openxmlformats.org/officeDocument/2006/relationships/hyperlink" Target="https://www.dropbox.com/scl/fi/4o2dj9ipdbzhndf7r48xu/LSAR_LOGO_RGB_1lineYellow.jpg?rlkey=3x80psgs941iz0ie14wngubr7&amp;st=72ye4k3y&amp;dl=0" TargetMode="External"/><Relationship Id="rId1863" Type="http://schemas.openxmlformats.org/officeDocument/2006/relationships/hyperlink" Target="https://www.dropbox.com/scl/fi/vmyju7m9m7vcyvpiqp7jw/Frazer-Yule-CROPPED.jpg?rlkey=9mb2bi57qzd1dpynqvk86fjjk&amp;st=sm3szdzr&amp;dl=0" TargetMode="External"/><Relationship Id="rId1864" Type="http://schemas.openxmlformats.org/officeDocument/2006/relationships/hyperlink" Target="https://www.dropbox.com/scl/fi/4o2dj9ipdbzhndf7r48xu/LSAR_LOGO_RGB_1lineYellow.jpg?rlkey=3x80psgs941iz0ie14wngubr7&amp;st=72ye4k3y&amp;dl=0" TargetMode="External"/><Relationship Id="rId1865" Type="http://schemas.openxmlformats.org/officeDocument/2006/relationships/hyperlink" Target="https://www.dropbox.com/scl/fi/vmyju7m9m7vcyvpiqp7jw/Frazer-Yule-CROPPED.jpg?rlkey=9mb2bi57qzd1dpynqvk86fjjk&amp;st=sm3szdzr&amp;dl=0" TargetMode="External"/><Relationship Id="rId1866" Type="http://schemas.openxmlformats.org/officeDocument/2006/relationships/hyperlink" Target="https://www.dropbox.com/scl/fi/4o2dj9ipdbzhndf7r48xu/LSAR_LOGO_RGB_1lineYellow.jpg?rlkey=3x80psgs941iz0ie14wngubr7&amp;st=72ye4k3y&amp;dl=0" TargetMode="External"/><Relationship Id="rId1867" Type="http://schemas.openxmlformats.org/officeDocument/2006/relationships/hyperlink" Target="https://www.dropbox.com/scl/fi/vmyju7m9m7vcyvpiqp7jw/Frazer-Yule-CROPPED.jpg?rlkey=9mb2bi57qzd1dpynqvk86fjjk&amp;st=sm3szdzr&amp;dl=0" TargetMode="External"/><Relationship Id="rId1868" Type="http://schemas.openxmlformats.org/officeDocument/2006/relationships/hyperlink" Target="https://www.dropbox.com/scl/fi/4o2dj9ipdbzhndf7r48xu/LSAR_LOGO_RGB_1lineYellow.jpg?rlkey=3x80psgs941iz0ie14wngubr7&amp;st=72ye4k3y&amp;dl=0" TargetMode="External"/><Relationship Id="rId1869" Type="http://schemas.openxmlformats.org/officeDocument/2006/relationships/hyperlink" Target="https://www.dropbox.com/scl/fi/vmyju7m9m7vcyvpiqp7jw/Frazer-Yule-CROPPED.jpg?rlkey=9mb2bi57qzd1dpynqvk86fjjk&amp;st=sm3szdzr&amp;dl=0" TargetMode="External"/><Relationship Id="rId1860" Type="http://schemas.openxmlformats.org/officeDocument/2006/relationships/hyperlink" Target="https://www.dropbox.com/scl/fi/4o2dj9ipdbzhndf7r48xu/LSAR_LOGO_RGB_1lineYellow.jpg?rlkey=3x80psgs941iz0ie14wngubr7&amp;st=72ye4k3y&amp;dl=0" TargetMode="External"/><Relationship Id="rId1861" Type="http://schemas.openxmlformats.org/officeDocument/2006/relationships/hyperlink" Target="https://www.dropbox.com/scl/fi/vmyju7m9m7vcyvpiqp7jw/Frazer-Yule-CROPPED.jpg?rlkey=9mb2bi57qzd1dpynqvk86fjjk&amp;st=sm3szdzr&amp;dl=0" TargetMode="External"/><Relationship Id="rId1810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811" Type="http://schemas.openxmlformats.org/officeDocument/2006/relationships/hyperlink" Target="https://www.dropbox.com/scl/fi/6p93edyl7ie5em4embc9z/2nd-favourite-Mary.jpg?rlkey=1qw8evkj6tdvg9zsimxsv13m5&amp;st=8uybq2rs&amp;dl=0" TargetMode="External"/><Relationship Id="rId1812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813" Type="http://schemas.openxmlformats.org/officeDocument/2006/relationships/hyperlink" Target="https://www.dropbox.com/scl/fi/6p93edyl7ie5em4embc9z/2nd-favourite-Mary.jpg?rlkey=1qw8evkj6tdvg9zsimxsv13m5&amp;st=8uybq2rs&amp;dl=0" TargetMode="External"/><Relationship Id="rId1814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815" Type="http://schemas.openxmlformats.org/officeDocument/2006/relationships/hyperlink" Target="https://www.dropbox.com/scl/fi/6p93edyl7ie5em4embc9z/2nd-favourite-Mary.jpg?rlkey=1qw8evkj6tdvg9zsimxsv13m5&amp;st=8uybq2rs&amp;dl=0" TargetMode="External"/><Relationship Id="rId1816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817" Type="http://schemas.openxmlformats.org/officeDocument/2006/relationships/hyperlink" Target="https://www.dropbox.com/scl/fi/6p93edyl7ie5em4embc9z/2nd-favourite-Mary.jpg?rlkey=1qw8evkj6tdvg9zsimxsv13m5&amp;st=8uybq2rs&amp;dl=0" TargetMode="External"/><Relationship Id="rId1818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819" Type="http://schemas.openxmlformats.org/officeDocument/2006/relationships/hyperlink" Target="https://www.dropbox.com/scl/fi/6p93edyl7ie5em4embc9z/2nd-favourite-Mary.jpg?rlkey=1qw8evkj6tdvg9zsimxsv13m5&amp;st=8uybq2rs&amp;dl=0" TargetMode="External"/><Relationship Id="rId1800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801" Type="http://schemas.openxmlformats.org/officeDocument/2006/relationships/hyperlink" Target="https://www.dropbox.com/scl/fi/6p93edyl7ie5em4embc9z/2nd-favourite-Mary.jpg?rlkey=1qw8evkj6tdvg9zsimxsv13m5&amp;st=8uybq2rs&amp;dl=0" TargetMode="External"/><Relationship Id="rId1802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803" Type="http://schemas.openxmlformats.org/officeDocument/2006/relationships/hyperlink" Target="https://www.dropbox.com/scl/fi/6p93edyl7ie5em4embc9z/2nd-favourite-Mary.jpg?rlkey=1qw8evkj6tdvg9zsimxsv13m5&amp;st=8uybq2rs&amp;dl=0" TargetMode="External"/><Relationship Id="rId1804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805" Type="http://schemas.openxmlformats.org/officeDocument/2006/relationships/hyperlink" Target="https://www.dropbox.com/scl/fi/6p93edyl7ie5em4embc9z/2nd-favourite-Mary.jpg?rlkey=1qw8evkj6tdvg9zsimxsv13m5&amp;st=8uybq2rs&amp;dl=0" TargetMode="External"/><Relationship Id="rId1806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807" Type="http://schemas.openxmlformats.org/officeDocument/2006/relationships/hyperlink" Target="https://www.dropbox.com/scl/fi/6p93edyl7ie5em4embc9z/2nd-favourite-Mary.jpg?rlkey=1qw8evkj6tdvg9zsimxsv13m5&amp;st=8uybq2rs&amp;dl=0" TargetMode="External"/><Relationship Id="rId1808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809" Type="http://schemas.openxmlformats.org/officeDocument/2006/relationships/hyperlink" Target="https://www.dropbox.com/scl/fi/6p93edyl7ie5em4embc9z/2nd-favourite-Mary.jpg?rlkey=1qw8evkj6tdvg9zsimxsv13m5&amp;st=8uybq2rs&amp;dl=0" TargetMode="External"/><Relationship Id="rId1830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831" Type="http://schemas.openxmlformats.org/officeDocument/2006/relationships/hyperlink" Target="https://www.dropbox.com/scl/fi/6p93edyl7ie5em4embc9z/2nd-favourite-Mary.jpg?rlkey=1qw8evkj6tdvg9zsimxsv13m5&amp;st=8uybq2rs&amp;dl=0" TargetMode="External"/><Relationship Id="rId1832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833" Type="http://schemas.openxmlformats.org/officeDocument/2006/relationships/hyperlink" Target="https://www.dropbox.com/scl/fi/6p93edyl7ie5em4embc9z/2nd-favourite-Mary.jpg?rlkey=1qw8evkj6tdvg9zsimxsv13m5&amp;st=8uybq2rs&amp;dl=0" TargetMode="External"/><Relationship Id="rId1834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835" Type="http://schemas.openxmlformats.org/officeDocument/2006/relationships/hyperlink" Target="https://www.dropbox.com/scl/fi/6p93edyl7ie5em4embc9z/2nd-favourite-Mary.jpg?rlkey=1qw8evkj6tdvg9zsimxsv13m5&amp;st=8uybq2rs&amp;dl=0" TargetMode="External"/><Relationship Id="rId1836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837" Type="http://schemas.openxmlformats.org/officeDocument/2006/relationships/hyperlink" Target="https://www.dropbox.com/scl/fi/6p93edyl7ie5em4embc9z/2nd-favourite-Mary.jpg?rlkey=1qw8evkj6tdvg9zsimxsv13m5&amp;st=8uybq2rs&amp;dl=0" TargetMode="External"/><Relationship Id="rId1838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839" Type="http://schemas.openxmlformats.org/officeDocument/2006/relationships/hyperlink" Target="https://www.dropbox.com/scl/fi/6p93edyl7ie5em4embc9z/2nd-favourite-Mary.jpg?rlkey=1qw8evkj6tdvg9zsimxsv13m5&amp;st=8uybq2rs&amp;dl=0" TargetMode="External"/><Relationship Id="rId1820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821" Type="http://schemas.openxmlformats.org/officeDocument/2006/relationships/hyperlink" Target="https://www.dropbox.com/scl/fi/6p93edyl7ie5em4embc9z/2nd-favourite-Mary.jpg?rlkey=1qw8evkj6tdvg9zsimxsv13m5&amp;st=8uybq2rs&amp;dl=0" TargetMode="External"/><Relationship Id="rId1822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823" Type="http://schemas.openxmlformats.org/officeDocument/2006/relationships/hyperlink" Target="https://www.dropbox.com/scl/fi/6p93edyl7ie5em4embc9z/2nd-favourite-Mary.jpg?rlkey=1qw8evkj6tdvg9zsimxsv13m5&amp;st=8uybq2rs&amp;dl=0" TargetMode="External"/><Relationship Id="rId1824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825" Type="http://schemas.openxmlformats.org/officeDocument/2006/relationships/hyperlink" Target="https://www.dropbox.com/scl/fi/6p93edyl7ie5em4embc9z/2nd-favourite-Mary.jpg?rlkey=1qw8evkj6tdvg9zsimxsv13m5&amp;st=8uybq2rs&amp;dl=0" TargetMode="External"/><Relationship Id="rId1826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827" Type="http://schemas.openxmlformats.org/officeDocument/2006/relationships/hyperlink" Target="https://www.dropbox.com/scl/fi/6p93edyl7ie5em4embc9z/2nd-favourite-Mary.jpg?rlkey=1qw8evkj6tdvg9zsimxsv13m5&amp;st=8uybq2rs&amp;dl=0" TargetMode="External"/><Relationship Id="rId1828" Type="http://schemas.openxmlformats.org/officeDocument/2006/relationships/hyperlink" Target="https://www.dropbox.com/scl/fi/w3i2uwyzi43kjx6a8rq2o/Bairstow-Kerr_Classic_Logo_2_CMYK.jpg?rlkey=5knnokdprpay2bqpmck525jz7&amp;st=9fff6p2p&amp;dl=0" TargetMode="External"/><Relationship Id="rId1829" Type="http://schemas.openxmlformats.org/officeDocument/2006/relationships/hyperlink" Target="https://www.dropbox.com/scl/fi/6p93edyl7ie5em4embc9z/2nd-favourite-Mary.jpg?rlkey=1qw8evkj6tdvg9zsimxsv13m5&amp;st=8uybq2rs&amp;dl=0" TargetMode="External"/><Relationship Id="rId1455" Type="http://schemas.openxmlformats.org/officeDocument/2006/relationships/hyperlink" Target="https://www.dropbox.com/scl/fi/cfwnqlj6xnmi7mui9fh23/_dsc5904_small.JPG?rlkey=rxb0e460a13f11n0u10m6hroj&amp;st=u3hnkavn&amp;dl=0" TargetMode="External"/><Relationship Id="rId1456" Type="http://schemas.openxmlformats.org/officeDocument/2006/relationships/hyperlink" Target="https://www.dropbox.com/scl/fi/1i6269a1iy5h0lune0uog/callumdocker1_250980835427060_6448458882585512374_REMAX_Logos_HEX-COLOURS_Black-Stacked.png?rlkey=hhk4gaatovqb5t70i82okchpe&amp;st=xbd7n55d&amp;dl=0" TargetMode="External"/><Relationship Id="rId1457" Type="http://schemas.openxmlformats.org/officeDocument/2006/relationships/hyperlink" Target="https://www.dropbox.com/scl/fi/kdhu7nqvj5t9v3rqtvoak/5e9440c6-78c0-40d2-aac3-3b25ad77aa40.jpg?rlkey=d6bvvkvq54pxj1lo3rs1cmtwo&amp;st=61bqvnsz&amp;dl=0" TargetMode="External"/><Relationship Id="rId1458" Type="http://schemas.openxmlformats.org/officeDocument/2006/relationships/hyperlink" Target="https://www.dropbox.com/scl/fi/zf1lhodbza6i670e10eqh/Logo_Black.pdf?rlkey=az1yoxkyjaoloq0fbiil4acxu&amp;st=gs66c7iw&amp;dl=0" TargetMode="External"/><Relationship Id="rId1459" Type="http://schemas.openxmlformats.org/officeDocument/2006/relationships/hyperlink" Target="https://www.dropbox.com/scl/fi/kdhu7nqvj5t9v3rqtvoak/5e9440c6-78c0-40d2-aac3-3b25ad77aa40.jpg?rlkey=d6bvvkvq54pxj1lo3rs1cmtwo&amp;st=61bqvnsz&amp;dl=0" TargetMode="External"/><Relationship Id="rId629" Type="http://schemas.openxmlformats.org/officeDocument/2006/relationships/hyperlink" Target="https://www.dropbox.com/scl/fi/w4rdc9cokdnqnyrz2i9ua/main-9.png?rlkey=a7hyqjr0k1gk7uod3333schar&amp;st=46f6zntu&amp;dl=0" TargetMode="External"/><Relationship Id="rId624" Type="http://schemas.openxmlformats.org/officeDocument/2006/relationships/hyperlink" Target="https://www.dropbox.com/scl/fi/nvta8x3dszu3p2rz99o13/JukicProperty-PrimaryHorizontal-02.png?rlkey=87yug40n97d9y80n0ye60k1g0&amp;st=f48i7917&amp;dl=0" TargetMode="External"/><Relationship Id="rId623" Type="http://schemas.openxmlformats.org/officeDocument/2006/relationships/hyperlink" Target="https://www.dropbox.com/scl/fi/0ep1v9g3b9n5jcs859esi/Untitled-design-31-1.png?rlkey=5kauhwnmbd8jm9emi5mgkvo1p&amp;st=8gl5i0tk&amp;dl=0" TargetMode="External"/><Relationship Id="rId622" Type="http://schemas.openxmlformats.org/officeDocument/2006/relationships/hyperlink" Target="https://www.dropbox.com/scl/fi/nvta8x3dszu3p2rz99o13/JukicProperty-PrimaryHorizontal-02.png?rlkey=87yug40n97d9y80n0ye60k1g0&amp;st=f48i7917&amp;dl=0" TargetMode="External"/><Relationship Id="rId621" Type="http://schemas.openxmlformats.org/officeDocument/2006/relationships/hyperlink" Target="https://www.dropbox.com/scl/fi/0ep1v9g3b9n5jcs859esi/Untitled-design-31-1.png?rlkey=5kauhwnmbd8jm9emi5mgkvo1p&amp;st=8gl5i0tk&amp;dl=0" TargetMode="External"/><Relationship Id="rId628" Type="http://schemas.openxmlformats.org/officeDocument/2006/relationships/hyperlink" Target="https://www.dropbox.com/scl/fi/nvta8x3dszu3p2rz99o13/JukicProperty-PrimaryHorizontal-02.png?rlkey=87yug40n97d9y80n0ye60k1g0&amp;st=f48i7917&amp;dl=0" TargetMode="External"/><Relationship Id="rId627" Type="http://schemas.openxmlformats.org/officeDocument/2006/relationships/hyperlink" Target="https://www.dropbox.com/scl/fi/0ep1v9g3b9n5jcs859esi/Untitled-design-31-1.png?rlkey=5kauhwnmbd8jm9emi5mgkvo1p&amp;st=8gl5i0tk&amp;dl=0" TargetMode="External"/><Relationship Id="rId626" Type="http://schemas.openxmlformats.org/officeDocument/2006/relationships/hyperlink" Target="https://www.dropbox.com/scl/fi/nvta8x3dszu3p2rz99o13/JukicProperty-PrimaryHorizontal-02.png?rlkey=87yug40n97d9y80n0ye60k1g0&amp;st=f48i7917&amp;dl=0" TargetMode="External"/><Relationship Id="rId625" Type="http://schemas.openxmlformats.org/officeDocument/2006/relationships/hyperlink" Target="https://www.dropbox.com/scl/fi/0ep1v9g3b9n5jcs859esi/Untitled-design-31-1.png?rlkey=5kauhwnmbd8jm9emi5mgkvo1p&amp;st=8gl5i0tk&amp;dl=0" TargetMode="External"/><Relationship Id="rId1450" Type="http://schemas.openxmlformats.org/officeDocument/2006/relationships/hyperlink" Target="https://www.dropbox.com/scl/fi/1i6269a1iy5h0lune0uog/callumdocker1_250980835427060_6448458882585512374_REMAX_Logos_HEX-COLOURS_Black-Stacked.png?rlkey=hhk4gaatovqb5t70i82okchpe&amp;st=xbd7n55d&amp;dl=0" TargetMode="External"/><Relationship Id="rId620" Type="http://schemas.openxmlformats.org/officeDocument/2006/relationships/hyperlink" Target="https://www.dropbox.com/scl/fi/nvta8x3dszu3p2rz99o13/JukicProperty-PrimaryHorizontal-02.png?rlkey=87yug40n97d9y80n0ye60k1g0&amp;st=f48i7917&amp;dl=0" TargetMode="External"/><Relationship Id="rId1451" Type="http://schemas.openxmlformats.org/officeDocument/2006/relationships/hyperlink" Target="https://www.dropbox.com/scl/fi/cfwnqlj6xnmi7mui9fh23/_dsc5904_small.JPG?rlkey=rxb0e460a13f11n0u10m6hroj&amp;st=u3hnkavn&amp;dl=0" TargetMode="External"/><Relationship Id="rId1452" Type="http://schemas.openxmlformats.org/officeDocument/2006/relationships/hyperlink" Target="https://www.dropbox.com/scl/fi/1i6269a1iy5h0lune0uog/callumdocker1_250980835427060_6448458882585512374_REMAX_Logos_HEX-COLOURS_Black-Stacked.png?rlkey=hhk4gaatovqb5t70i82okchpe&amp;st=xbd7n55d&amp;dl=0" TargetMode="External"/><Relationship Id="rId1453" Type="http://schemas.openxmlformats.org/officeDocument/2006/relationships/hyperlink" Target="https://www.dropbox.com/scl/fi/cfwnqlj6xnmi7mui9fh23/_dsc5904_small.JPG?rlkey=rxb0e460a13f11n0u10m6hroj&amp;st=u3hnkavn&amp;dl=0" TargetMode="External"/><Relationship Id="rId1454" Type="http://schemas.openxmlformats.org/officeDocument/2006/relationships/hyperlink" Target="https://www.dropbox.com/scl/fi/1i6269a1iy5h0lune0uog/callumdocker1_250980835427060_6448458882585512374_REMAX_Logos_HEX-COLOURS_Black-Stacked.png?rlkey=hhk4gaatovqb5t70i82okchpe&amp;st=xbd7n55d&amp;dl=0" TargetMode="External"/><Relationship Id="rId1444" Type="http://schemas.openxmlformats.org/officeDocument/2006/relationships/hyperlink" Target="https://www.dropbox.com/scl/fi/1i6269a1iy5h0lune0uog/callumdocker1_250980835427060_6448458882585512374_REMAX_Logos_HEX-COLOURS_Black-Stacked.png?rlkey=hhk4gaatovqb5t70i82okchpe&amp;st=xbd7n55d&amp;dl=0" TargetMode="External"/><Relationship Id="rId1445" Type="http://schemas.openxmlformats.org/officeDocument/2006/relationships/hyperlink" Target="https://www.dropbox.com/scl/fi/r7zn4hbvtciyrepgripwi/callumdocker1_250980835427060_6448458882585512374_Headshot.png?rlkey=5dvrcfkfupkfoglf33soiboje&amp;st=ua3ltosx&amp;dl=0" TargetMode="External"/><Relationship Id="rId1446" Type="http://schemas.openxmlformats.org/officeDocument/2006/relationships/hyperlink" Target="https://www.dropbox.com/scl/fi/1i6269a1iy5h0lune0uog/callumdocker1_250980835427060_6448458882585512374_REMAX_Logos_HEX-COLOURS_Black-Stacked.png?rlkey=hhk4gaatovqb5t70i82okchpe&amp;st=xbd7n55d&amp;dl=0" TargetMode="External"/><Relationship Id="rId1447" Type="http://schemas.openxmlformats.org/officeDocument/2006/relationships/hyperlink" Target="https://www.dropbox.com/scl/fi/cfwnqlj6xnmi7mui9fh23/_dsc5904_small.JPG?rlkey=rxb0e460a13f11n0u10m6hroj&amp;st=u3hnkavn&amp;dl=0" TargetMode="External"/><Relationship Id="rId1448" Type="http://schemas.openxmlformats.org/officeDocument/2006/relationships/hyperlink" Target="https://www.dropbox.com/scl/fi/1i6269a1iy5h0lune0uog/callumdocker1_250980835427060_6448458882585512374_REMAX_Logos_HEX-COLOURS_Black-Stacked.png?rlkey=hhk4gaatovqb5t70i82okchpe&amp;st=xbd7n55d&amp;dl=0" TargetMode="External"/><Relationship Id="rId1449" Type="http://schemas.openxmlformats.org/officeDocument/2006/relationships/hyperlink" Target="https://www.dropbox.com/scl/fi/cfwnqlj6xnmi7mui9fh23/_dsc5904_small.JPG?rlkey=rxb0e460a13f11n0u10m6hroj&amp;st=u3hnkavn&amp;dl=0" TargetMode="External"/><Relationship Id="rId619" Type="http://schemas.openxmlformats.org/officeDocument/2006/relationships/hyperlink" Target="https://www.dropbox.com/scl/fi/0ep1v9g3b9n5jcs859esi/Untitled-design-31-1.png?rlkey=5kauhwnmbd8jm9emi5mgkvo1p&amp;st=8gl5i0tk&amp;dl=0" TargetMode="External"/><Relationship Id="rId618" Type="http://schemas.openxmlformats.org/officeDocument/2006/relationships/hyperlink" Target="https://www.dropbox.com/scl/fi/nvta8x3dszu3p2rz99o13/JukicProperty-PrimaryHorizontal-02.png?rlkey=87yug40n97d9y80n0ye60k1g0&amp;st=f48i7917&amp;dl=0" TargetMode="External"/><Relationship Id="rId613" Type="http://schemas.openxmlformats.org/officeDocument/2006/relationships/hyperlink" Target="https://www.dropbox.com/scl/fi/0ep1v9g3b9n5jcs859esi/Untitled-design-31-1.png?rlkey=5kauhwnmbd8jm9emi5mgkvo1p&amp;st=8gl5i0tk&amp;dl=0" TargetMode="External"/><Relationship Id="rId612" Type="http://schemas.openxmlformats.org/officeDocument/2006/relationships/hyperlink" Target="https://www.dropbox.com/scl/fi/nvta8x3dszu3p2rz99o13/JukicProperty-PrimaryHorizontal-02.png?rlkey=87yug40n97d9y80n0ye60k1g0&amp;st=f48i7917&amp;dl=0" TargetMode="External"/><Relationship Id="rId611" Type="http://schemas.openxmlformats.org/officeDocument/2006/relationships/hyperlink" Target="https://www.dropbox.com/scl/fi/0ep1v9g3b9n5jcs859esi/Untitled-design-31-1.png?rlkey=5kauhwnmbd8jm9emi5mgkvo1p&amp;st=8gl5i0tk&amp;dl=0" TargetMode="External"/><Relationship Id="rId610" Type="http://schemas.openxmlformats.org/officeDocument/2006/relationships/hyperlink" Target="https://www.dropbox.com/scl/fi/nvta8x3dszu3p2rz99o13/JukicProperty-PrimaryHorizontal-02.png?rlkey=87yug40n97d9y80n0ye60k1g0&amp;st=f48i7917&amp;dl=0" TargetMode="External"/><Relationship Id="rId617" Type="http://schemas.openxmlformats.org/officeDocument/2006/relationships/hyperlink" Target="https://www.dropbox.com/scl/fi/0ep1v9g3b9n5jcs859esi/Untitled-design-31-1.png?rlkey=5kauhwnmbd8jm9emi5mgkvo1p&amp;st=8gl5i0tk&amp;dl=0" TargetMode="External"/><Relationship Id="rId616" Type="http://schemas.openxmlformats.org/officeDocument/2006/relationships/hyperlink" Target="https://www.dropbox.com/scl/fi/nvta8x3dszu3p2rz99o13/JukicProperty-PrimaryHorizontal-02.png?rlkey=87yug40n97d9y80n0ye60k1g0&amp;st=f48i7917&amp;dl=0" TargetMode="External"/><Relationship Id="rId615" Type="http://schemas.openxmlformats.org/officeDocument/2006/relationships/hyperlink" Target="https://www.dropbox.com/scl/fi/0ep1v9g3b9n5jcs859esi/Untitled-design-31-1.png?rlkey=5kauhwnmbd8jm9emi5mgkvo1p&amp;st=8gl5i0tk&amp;dl=0" TargetMode="External"/><Relationship Id="rId614" Type="http://schemas.openxmlformats.org/officeDocument/2006/relationships/hyperlink" Target="https://www.dropbox.com/scl/fi/nvta8x3dszu3p2rz99o13/JukicProperty-PrimaryHorizontal-02.png?rlkey=87yug40n97d9y80n0ye60k1g0&amp;st=f48i7917&amp;dl=0" TargetMode="External"/><Relationship Id="rId1440" Type="http://schemas.openxmlformats.org/officeDocument/2006/relationships/hyperlink" Target="https://www.dropbox.com/scl/fi/1i6269a1iy5h0lune0uog/callumdocker1_250980835427060_6448458882585512374_REMAX_Logos_HEX-COLOURS_Black-Stacked.png?rlkey=hhk4gaatovqb5t70i82okchpe&amp;st=xbd7n55d&amp;dl=0" TargetMode="External"/><Relationship Id="rId1441" Type="http://schemas.openxmlformats.org/officeDocument/2006/relationships/hyperlink" Target="https://www.dropbox.com/scl/fi/r7zn4hbvtciyrepgripwi/callumdocker1_250980835427060_6448458882585512374_Headshot.png?rlkey=5dvrcfkfupkfoglf33soiboje&amp;st=ua3ltosx&amp;dl=0" TargetMode="External"/><Relationship Id="rId1442" Type="http://schemas.openxmlformats.org/officeDocument/2006/relationships/hyperlink" Target="https://www.dropbox.com/scl/fi/1i6269a1iy5h0lune0uog/callumdocker1_250980835427060_6448458882585512374_REMAX_Logos_HEX-COLOURS_Black-Stacked.png?rlkey=hhk4gaatovqb5t70i82okchpe&amp;st=xbd7n55d&amp;dl=0" TargetMode="External"/><Relationship Id="rId1443" Type="http://schemas.openxmlformats.org/officeDocument/2006/relationships/hyperlink" Target="https://www.dropbox.com/scl/fi/r7zn4hbvtciyrepgripwi/callumdocker1_250980835427060_6448458882585512374_Headshot.png?rlkey=5dvrcfkfupkfoglf33soiboje&amp;st=ua3ltosx&amp;dl=0" TargetMode="External"/><Relationship Id="rId1477" Type="http://schemas.openxmlformats.org/officeDocument/2006/relationships/hyperlink" Target="https://www.dropbox.com/scl/fi/hbe3w0r6s9t9dv9syax16/IMG_8218.jpeg?rlkey=iplahk1f3gvovd3foi2ts06lb&amp;st=uf4pnk36&amp;dl=0" TargetMode="External"/><Relationship Id="rId1478" Type="http://schemas.openxmlformats.org/officeDocument/2006/relationships/hyperlink" Target="https://www.dropbox.com/scl/fi/wbfe933va26vv4csatb1t/Bazaart_39069A8A-02BB-4AEC-A028-448ED5A43C88.jpeg?rlkey=ycws4cf0144ucfd7g964mjl93&amp;st=6lv2lxba&amp;dl=0" TargetMode="External"/><Relationship Id="rId1479" Type="http://schemas.openxmlformats.org/officeDocument/2006/relationships/hyperlink" Target="https://www.dropbox.com/scl/fi/hbe3w0r6s9t9dv9syax16/IMG_8218.jpeg?rlkey=iplahk1f3gvovd3foi2ts06lb&amp;st=uf4pnk36&amp;dl=0" TargetMode="External"/><Relationship Id="rId646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645" Type="http://schemas.openxmlformats.org/officeDocument/2006/relationships/hyperlink" Target="https://www.dropbox.com/scl/fi/ju7f5py3yhbdvz17u8dt9/main-10.jpg?rlkey=d8r3o3kow5m727wwy8obfjfuo&amp;st=uaydm0cz&amp;dl=0" TargetMode="External"/><Relationship Id="rId644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643" Type="http://schemas.openxmlformats.org/officeDocument/2006/relationships/hyperlink" Target="https://www.dropbox.com/scl/fi/ju7f5py3yhbdvz17u8dt9/main-10.jpg?rlkey=d8r3o3kow5m727wwy8obfjfuo&amp;st=uaydm0cz&amp;dl=0" TargetMode="External"/><Relationship Id="rId649" Type="http://schemas.openxmlformats.org/officeDocument/2006/relationships/hyperlink" Target="https://www.dropbox.com/scl/fi/ju7f5py3yhbdvz17u8dt9/main-10.jpg?rlkey=d8r3o3kow5m727wwy8obfjfuo&amp;st=uaydm0cz&amp;dl=0" TargetMode="External"/><Relationship Id="rId648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647" Type="http://schemas.openxmlformats.org/officeDocument/2006/relationships/hyperlink" Target="https://www.dropbox.com/scl/fi/ju7f5py3yhbdvz17u8dt9/main-10.jpg?rlkey=d8r3o3kow5m727wwy8obfjfuo&amp;st=uaydm0cz&amp;dl=0" TargetMode="External"/><Relationship Id="rId1470" Type="http://schemas.openxmlformats.org/officeDocument/2006/relationships/hyperlink" Target="https://www.dropbox.com/scl/fi/zf1lhodbza6i670e10eqh/Logo_Black.pdf?rlkey=az1yoxkyjaoloq0fbiil4acxu&amp;st=gs66c7iw&amp;dl=0" TargetMode="External"/><Relationship Id="rId1471" Type="http://schemas.openxmlformats.org/officeDocument/2006/relationships/hyperlink" Target="https://www.dropbox.com/scl/fi/hbe3w0r6s9t9dv9syax16/IMG_8218.jpeg?rlkey=iplahk1f3gvovd3foi2ts06lb&amp;st=uf4pnk36&amp;dl=0" TargetMode="External"/><Relationship Id="rId1472" Type="http://schemas.openxmlformats.org/officeDocument/2006/relationships/hyperlink" Target="https://www.dropbox.com/scl/fi/wbfe933va26vv4csatb1t/Bazaart_39069A8A-02BB-4AEC-A028-448ED5A43C88.jpeg?rlkey=ycws4cf0144ucfd7g964mjl93&amp;st=6lv2lxba&amp;dl=0" TargetMode="External"/><Relationship Id="rId642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1473" Type="http://schemas.openxmlformats.org/officeDocument/2006/relationships/hyperlink" Target="https://www.dropbox.com/scl/fi/hbe3w0r6s9t9dv9syax16/IMG_8218.jpeg?rlkey=iplahk1f3gvovd3foi2ts06lb&amp;st=uf4pnk36&amp;dl=0" TargetMode="External"/><Relationship Id="rId641" Type="http://schemas.openxmlformats.org/officeDocument/2006/relationships/hyperlink" Target="https://www.dropbox.com/scl/fi/ju7f5py3yhbdvz17u8dt9/main-10.jpg?rlkey=d8r3o3kow5m727wwy8obfjfuo&amp;st=uaydm0cz&amp;dl=0" TargetMode="External"/><Relationship Id="rId1474" Type="http://schemas.openxmlformats.org/officeDocument/2006/relationships/hyperlink" Target="https://www.dropbox.com/scl/fi/wbfe933va26vv4csatb1t/Bazaart_39069A8A-02BB-4AEC-A028-448ED5A43C88.jpeg?rlkey=ycws4cf0144ucfd7g964mjl93&amp;st=6lv2lxba&amp;dl=0" TargetMode="External"/><Relationship Id="rId640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1475" Type="http://schemas.openxmlformats.org/officeDocument/2006/relationships/hyperlink" Target="https://www.dropbox.com/scl/fi/hbe3w0r6s9t9dv9syax16/IMG_8218.jpeg?rlkey=iplahk1f3gvovd3foi2ts06lb&amp;st=uf4pnk36&amp;dl=0" TargetMode="External"/><Relationship Id="rId1476" Type="http://schemas.openxmlformats.org/officeDocument/2006/relationships/hyperlink" Target="https://www.dropbox.com/scl/fi/wbfe933va26vv4csatb1t/Bazaart_39069A8A-02BB-4AEC-A028-448ED5A43C88.jpeg?rlkey=ycws4cf0144ucfd7g964mjl93&amp;st=6lv2lxba&amp;dl=0" TargetMode="External"/><Relationship Id="rId1466" Type="http://schemas.openxmlformats.org/officeDocument/2006/relationships/hyperlink" Target="https://www.dropbox.com/scl/fi/zf1lhodbza6i670e10eqh/Logo_Black.pdf?rlkey=az1yoxkyjaoloq0fbiil4acxu&amp;st=gs66c7iw&amp;dl=0" TargetMode="External"/><Relationship Id="rId1467" Type="http://schemas.openxmlformats.org/officeDocument/2006/relationships/hyperlink" Target="https://www.dropbox.com/scl/fi/kdhu7nqvj5t9v3rqtvoak/5e9440c6-78c0-40d2-aac3-3b25ad77aa40.jpg?rlkey=d6bvvkvq54pxj1lo3rs1cmtwo&amp;st=61bqvnsz&amp;dl=0" TargetMode="External"/><Relationship Id="rId1468" Type="http://schemas.openxmlformats.org/officeDocument/2006/relationships/hyperlink" Target="https://www.dropbox.com/scl/fi/zf1lhodbza6i670e10eqh/Logo_Black.pdf?rlkey=az1yoxkyjaoloq0fbiil4acxu&amp;st=gs66c7iw&amp;dl=0" TargetMode="External"/><Relationship Id="rId1469" Type="http://schemas.openxmlformats.org/officeDocument/2006/relationships/hyperlink" Target="https://www.dropbox.com/scl/fi/kdhu7nqvj5t9v3rqtvoak/5e9440c6-78c0-40d2-aac3-3b25ad77aa40.jpg?rlkey=d6bvvkvq54pxj1lo3rs1cmtwo&amp;st=61bqvnsz&amp;dl=0" TargetMode="External"/><Relationship Id="rId635" Type="http://schemas.openxmlformats.org/officeDocument/2006/relationships/hyperlink" Target="https://www.dropbox.com/scl/fi/kc2ugubhlpnip2vxhj2a8/Untitled-design-2.png?rlkey=0uph37rb6qgpf5wgj4p5urgwt&amp;st=m1mbe99z&amp;dl=0" TargetMode="External"/><Relationship Id="rId634" Type="http://schemas.openxmlformats.org/officeDocument/2006/relationships/hyperlink" Target="https://www.dropbox.com/scl/fi/amvg87hp97hy2wcmhjadt/Screenshot-2025-10-15-at-2.34.30-PM.png?rlkey=kooy4pxcsoqlmk0693n0akp5t&amp;st=sba8p09o&amp;dl=0" TargetMode="External"/><Relationship Id="rId633" Type="http://schemas.openxmlformats.org/officeDocument/2006/relationships/hyperlink" Target="https://www.dropbox.com/scl/fi/w4rdc9cokdnqnyrz2i9ua/main-9.png?rlkey=a7hyqjr0k1gk7uod3333schar&amp;st=46f6zntu&amp;dl=0" TargetMode="External"/><Relationship Id="rId632" Type="http://schemas.openxmlformats.org/officeDocument/2006/relationships/hyperlink" Target="https://www.dropbox.com/scl/fi/amvg87hp97hy2wcmhjadt/Screenshot-2025-10-15-at-2.34.30-PM.png?rlkey=kooy4pxcsoqlmk0693n0akp5t&amp;st=sba8p09o&amp;dl=0" TargetMode="External"/><Relationship Id="rId639" Type="http://schemas.openxmlformats.org/officeDocument/2006/relationships/hyperlink" Target="https://www.dropbox.com/scl/fi/ju7f5py3yhbdvz17u8dt9/main-10.jpg?rlkey=d8r3o3kow5m727wwy8obfjfuo&amp;st=uaydm0cz&amp;dl=0" TargetMode="External"/><Relationship Id="rId638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637" Type="http://schemas.openxmlformats.org/officeDocument/2006/relationships/hyperlink" Target="https://www.dropbox.com/scl/fi/ju7f5py3yhbdvz17u8dt9/main-10.jpg?rlkey=d8r3o3kow5m727wwy8obfjfuo&amp;st=uaydm0cz&amp;dl=0" TargetMode="External"/><Relationship Id="rId636" Type="http://schemas.openxmlformats.org/officeDocument/2006/relationships/hyperlink" Target="https://www.dropbox.com/scl/fi/9dvl2mw6ilgbn6njfleb1/M-3.png?rlkey=zpcvorenyv2w55qm038esj7uv&amp;st=xxpbvy14&amp;dl=0" TargetMode="External"/><Relationship Id="rId1460" Type="http://schemas.openxmlformats.org/officeDocument/2006/relationships/hyperlink" Target="https://www.dropbox.com/scl/fi/zf1lhodbza6i670e10eqh/Logo_Black.pdf?rlkey=az1yoxkyjaoloq0fbiil4acxu&amp;st=gs66c7iw&amp;dl=0" TargetMode="External"/><Relationship Id="rId1461" Type="http://schemas.openxmlformats.org/officeDocument/2006/relationships/hyperlink" Target="https://www.dropbox.com/scl/fi/kdhu7nqvj5t9v3rqtvoak/5e9440c6-78c0-40d2-aac3-3b25ad77aa40.jpg?rlkey=d6bvvkvq54pxj1lo3rs1cmtwo&amp;st=61bqvnsz&amp;dl=0" TargetMode="External"/><Relationship Id="rId631" Type="http://schemas.openxmlformats.org/officeDocument/2006/relationships/hyperlink" Target="https://www.dropbox.com/scl/fi/w4rdc9cokdnqnyrz2i9ua/main-9.png?rlkey=a7hyqjr0k1gk7uod3333schar&amp;st=46f6zntu&amp;dl=0" TargetMode="External"/><Relationship Id="rId1462" Type="http://schemas.openxmlformats.org/officeDocument/2006/relationships/hyperlink" Target="https://www.dropbox.com/scl/fi/zf1lhodbza6i670e10eqh/Logo_Black.pdf?rlkey=az1yoxkyjaoloq0fbiil4acxu&amp;st=gs66c7iw&amp;dl=0" TargetMode="External"/><Relationship Id="rId630" Type="http://schemas.openxmlformats.org/officeDocument/2006/relationships/hyperlink" Target="https://www.dropbox.com/scl/fi/amvg87hp97hy2wcmhjadt/Screenshot-2025-10-15-at-2.34.30-PM.png?rlkey=kooy4pxcsoqlmk0693n0akp5t&amp;st=sba8p09o&amp;dl=0" TargetMode="External"/><Relationship Id="rId1463" Type="http://schemas.openxmlformats.org/officeDocument/2006/relationships/hyperlink" Target="https://www.dropbox.com/scl/fi/kdhu7nqvj5t9v3rqtvoak/5e9440c6-78c0-40d2-aac3-3b25ad77aa40.jpg?rlkey=d6bvvkvq54pxj1lo3rs1cmtwo&amp;st=61bqvnsz&amp;dl=0" TargetMode="External"/><Relationship Id="rId1464" Type="http://schemas.openxmlformats.org/officeDocument/2006/relationships/hyperlink" Target="https://www.dropbox.com/scl/fi/zf1lhodbza6i670e10eqh/Logo_Black.pdf?rlkey=az1yoxkyjaoloq0fbiil4acxu&amp;st=gs66c7iw&amp;dl=0" TargetMode="External"/><Relationship Id="rId1465" Type="http://schemas.openxmlformats.org/officeDocument/2006/relationships/hyperlink" Target="https://www.dropbox.com/scl/fi/kdhu7nqvj5t9v3rqtvoak/5e9440c6-78c0-40d2-aac3-3b25ad77aa40.jpg?rlkey=d6bvvkvq54pxj1lo3rs1cmtwo&amp;st=61bqvnsz&amp;dl=0" TargetMode="External"/><Relationship Id="rId1411" Type="http://schemas.openxmlformats.org/officeDocument/2006/relationships/hyperlink" Target="https://www.dropbox.com/scl/fi/5u4dc1fayw5mp2umm9qfb/david-hailing.png?rlkey=fgltw3ci1yfzg8zwsospf15bz&amp;st=5wbc1lam&amp;dl=0" TargetMode="External"/><Relationship Id="rId1895" Type="http://schemas.openxmlformats.org/officeDocument/2006/relationships/hyperlink" Target="https://www.dropbox.com/scl/fi/vmyju7m9m7vcyvpiqp7jw/Frazer-Yule-CROPPED.jpg?rlkey=9mb2bi57qzd1dpynqvk86fjjk&amp;st=sm3szdzr&amp;dl=0" TargetMode="External"/><Relationship Id="rId1412" Type="http://schemas.openxmlformats.org/officeDocument/2006/relationships/hyperlink" Target="https://www.dropbox.com/scl/fi/x2pbfgafmagh4x4qegbio/3D-transparent.png?rlkey=e6hq9car97ohhc47sqh4zx335&amp;st=8y3uz3w0&amp;dl=0" TargetMode="External"/><Relationship Id="rId1896" Type="http://schemas.openxmlformats.org/officeDocument/2006/relationships/hyperlink" Target="https://www.dropbox.com/scl/fi/4o2dj9ipdbzhndf7r48xu/LSAR_LOGO_RGB_1lineYellow.jpg?rlkey=3x80psgs941iz0ie14wngubr7&amp;st=72ye4k3y&amp;dl=0" TargetMode="External"/><Relationship Id="rId1413" Type="http://schemas.openxmlformats.org/officeDocument/2006/relationships/hyperlink" Target="https://www.dropbox.com/scl/fi/5u4dc1fayw5mp2umm9qfb/david-hailing.png?rlkey=fgltw3ci1yfzg8zwsospf15bz&amp;st=5wbc1lam&amp;dl=0" TargetMode="External"/><Relationship Id="rId1897" Type="http://schemas.openxmlformats.org/officeDocument/2006/relationships/hyperlink" Target="https://www.dropbox.com/scl/fi/vmyju7m9m7vcyvpiqp7jw/Frazer-Yule-CROPPED.jpg?rlkey=9mb2bi57qzd1dpynqvk86fjjk&amp;st=sm3szdzr&amp;dl=0" TargetMode="External"/><Relationship Id="rId1414" Type="http://schemas.openxmlformats.org/officeDocument/2006/relationships/hyperlink" Target="https://www.dropbox.com/scl/fi/x2pbfgafmagh4x4qegbio/3D-transparent.png?rlkey=e6hq9car97ohhc47sqh4zx335&amp;st=8y3uz3w0&amp;dl=0" TargetMode="External"/><Relationship Id="rId1898" Type="http://schemas.openxmlformats.org/officeDocument/2006/relationships/hyperlink" Target="https://www.dropbox.com/scl/fi/4o2dj9ipdbzhndf7r48xu/LSAR_LOGO_RGB_1lineYellow.jpg?rlkey=3x80psgs941iz0ie14wngubr7&amp;st=72ye4k3y&amp;dl=0" TargetMode="External"/><Relationship Id="rId1415" Type="http://schemas.openxmlformats.org/officeDocument/2006/relationships/hyperlink" Target="https://www.dropbox.com/scl/fi/5u4dc1fayw5mp2umm9qfb/david-hailing.png?rlkey=fgltw3ci1yfzg8zwsospf15bz&amp;st=5wbc1lam&amp;dl=0" TargetMode="External"/><Relationship Id="rId1899" Type="http://schemas.openxmlformats.org/officeDocument/2006/relationships/hyperlink" Target="https://www.dropbox.com/scl/fi/vmyju7m9m7vcyvpiqp7jw/Frazer-Yule-CROPPED.jpg?rlkey=9mb2bi57qzd1dpynqvk86fjjk&amp;st=sm3szdzr&amp;dl=0" TargetMode="External"/><Relationship Id="rId1416" Type="http://schemas.openxmlformats.org/officeDocument/2006/relationships/hyperlink" Target="https://www.dropbox.com/scl/fi/x2pbfgafmagh4x4qegbio/3D-transparent.png?rlkey=e6hq9car97ohhc47sqh4zx335&amp;st=8y3uz3w0&amp;dl=0" TargetMode="External"/><Relationship Id="rId1417" Type="http://schemas.openxmlformats.org/officeDocument/2006/relationships/hyperlink" Target="https://www.dropbox.com/scl/fi/5u4dc1fayw5mp2umm9qfb/david-hailing.png?rlkey=fgltw3ci1yfzg8zwsospf15bz&amp;st=5wbc1lam&amp;dl=0" TargetMode="External"/><Relationship Id="rId1418" Type="http://schemas.openxmlformats.org/officeDocument/2006/relationships/hyperlink" Target="https://www.dropbox.com/scl/fi/x2pbfgafmagh4x4qegbio/3D-transparent.png?rlkey=e6hq9car97ohhc47sqh4zx335&amp;st=8y3uz3w0&amp;dl=0" TargetMode="External"/><Relationship Id="rId1419" Type="http://schemas.openxmlformats.org/officeDocument/2006/relationships/hyperlink" Target="https://www.dropbox.com/scl/fi/0pkggeuci3ocoeghhtcxi/592991497_793172387061609_6631044413232605203_n.jpg?rlkey=53nmlwqkb1uqm8tsxsfgbeyn9&amp;st=304iyn8y&amp;dl=0" TargetMode="External"/><Relationship Id="rId1890" Type="http://schemas.openxmlformats.org/officeDocument/2006/relationships/hyperlink" Target="https://www.dropbox.com/scl/fi/4o2dj9ipdbzhndf7r48xu/LSAR_LOGO_RGB_1lineYellow.jpg?rlkey=3x80psgs941iz0ie14wngubr7&amp;st=72ye4k3y&amp;dl=0" TargetMode="External"/><Relationship Id="rId1891" Type="http://schemas.openxmlformats.org/officeDocument/2006/relationships/hyperlink" Target="https://www.dropbox.com/scl/fi/vmyju7m9m7vcyvpiqp7jw/Frazer-Yule-CROPPED.jpg?rlkey=9mb2bi57qzd1dpynqvk86fjjk&amp;st=sm3szdzr&amp;dl=0" TargetMode="External"/><Relationship Id="rId1892" Type="http://schemas.openxmlformats.org/officeDocument/2006/relationships/hyperlink" Target="https://www.dropbox.com/scl/fi/4o2dj9ipdbzhndf7r48xu/LSAR_LOGO_RGB_1lineYellow.jpg?rlkey=3x80psgs941iz0ie14wngubr7&amp;st=72ye4k3y&amp;dl=0" TargetMode="External"/><Relationship Id="rId1893" Type="http://schemas.openxmlformats.org/officeDocument/2006/relationships/hyperlink" Target="https://www.dropbox.com/scl/fi/vmyju7m9m7vcyvpiqp7jw/Frazer-Yule-CROPPED.jpg?rlkey=9mb2bi57qzd1dpynqvk86fjjk&amp;st=sm3szdzr&amp;dl=0" TargetMode="External"/><Relationship Id="rId1410" Type="http://schemas.openxmlformats.org/officeDocument/2006/relationships/hyperlink" Target="https://www.dropbox.com/scl/fi/x2pbfgafmagh4x4qegbio/3D-transparent.png?rlkey=e6hq9car97ohhc47sqh4zx335&amp;st=8y3uz3w0&amp;dl=0" TargetMode="External"/><Relationship Id="rId1894" Type="http://schemas.openxmlformats.org/officeDocument/2006/relationships/hyperlink" Target="https://www.dropbox.com/scl/fi/4o2dj9ipdbzhndf7r48xu/LSAR_LOGO_RGB_1lineYellow.jpg?rlkey=3x80psgs941iz0ie14wngubr7&amp;st=72ye4k3y&amp;dl=0" TargetMode="External"/><Relationship Id="rId1400" Type="http://schemas.openxmlformats.org/officeDocument/2006/relationships/hyperlink" Target="https://www.dropbox.com/scl/fi/x2pbfgafmagh4x4qegbio/3D-transparent.png?rlkey=e6hq9car97ohhc47sqh4zx335&amp;st=8y3uz3w0&amp;dl=0" TargetMode="External"/><Relationship Id="rId1884" Type="http://schemas.openxmlformats.org/officeDocument/2006/relationships/hyperlink" Target="https://www.dropbox.com/scl/fi/4o2dj9ipdbzhndf7r48xu/LSAR_LOGO_RGB_1lineYellow.jpg?rlkey=3x80psgs941iz0ie14wngubr7&amp;st=72ye4k3y&amp;dl=0" TargetMode="External"/><Relationship Id="rId1401" Type="http://schemas.openxmlformats.org/officeDocument/2006/relationships/hyperlink" Target="https://www.dropbox.com/scl/fi/5u4dc1fayw5mp2umm9qfb/david-hailing.png?rlkey=fgltw3ci1yfzg8zwsospf15bz&amp;st=5wbc1lam&amp;dl=0" TargetMode="External"/><Relationship Id="rId1885" Type="http://schemas.openxmlformats.org/officeDocument/2006/relationships/hyperlink" Target="https://www.dropbox.com/scl/fi/vmyju7m9m7vcyvpiqp7jw/Frazer-Yule-CROPPED.jpg?rlkey=9mb2bi57qzd1dpynqvk86fjjk&amp;st=sm3szdzr&amp;dl=0" TargetMode="External"/><Relationship Id="rId1402" Type="http://schemas.openxmlformats.org/officeDocument/2006/relationships/hyperlink" Target="https://www.dropbox.com/scl/fi/x2pbfgafmagh4x4qegbio/3D-transparent.png?rlkey=e6hq9car97ohhc47sqh4zx335&amp;st=8y3uz3w0&amp;dl=0" TargetMode="External"/><Relationship Id="rId1886" Type="http://schemas.openxmlformats.org/officeDocument/2006/relationships/hyperlink" Target="https://www.dropbox.com/scl/fi/4o2dj9ipdbzhndf7r48xu/LSAR_LOGO_RGB_1lineYellow.jpg?rlkey=3x80psgs941iz0ie14wngubr7&amp;st=72ye4k3y&amp;dl=0" TargetMode="External"/><Relationship Id="rId1403" Type="http://schemas.openxmlformats.org/officeDocument/2006/relationships/hyperlink" Target="https://www.dropbox.com/scl/fi/5u4dc1fayw5mp2umm9qfb/david-hailing.png?rlkey=fgltw3ci1yfzg8zwsospf15bz&amp;st=5wbc1lam&amp;dl=0" TargetMode="External"/><Relationship Id="rId1887" Type="http://schemas.openxmlformats.org/officeDocument/2006/relationships/hyperlink" Target="https://www.dropbox.com/scl/fi/vmyju7m9m7vcyvpiqp7jw/Frazer-Yule-CROPPED.jpg?rlkey=9mb2bi57qzd1dpynqvk86fjjk&amp;st=sm3szdzr&amp;dl=0" TargetMode="External"/><Relationship Id="rId1404" Type="http://schemas.openxmlformats.org/officeDocument/2006/relationships/hyperlink" Target="https://www.dropbox.com/scl/fi/x2pbfgafmagh4x4qegbio/3D-transparent.png?rlkey=e6hq9car97ohhc47sqh4zx335&amp;st=8y3uz3w0&amp;dl=0" TargetMode="External"/><Relationship Id="rId1888" Type="http://schemas.openxmlformats.org/officeDocument/2006/relationships/hyperlink" Target="https://www.dropbox.com/scl/fi/4o2dj9ipdbzhndf7r48xu/LSAR_LOGO_RGB_1lineYellow.jpg?rlkey=3x80psgs941iz0ie14wngubr7&amp;st=72ye4k3y&amp;dl=0" TargetMode="External"/><Relationship Id="rId1405" Type="http://schemas.openxmlformats.org/officeDocument/2006/relationships/hyperlink" Target="https://www.dropbox.com/scl/fi/5u4dc1fayw5mp2umm9qfb/david-hailing.png?rlkey=fgltw3ci1yfzg8zwsospf15bz&amp;st=5wbc1lam&amp;dl=0" TargetMode="External"/><Relationship Id="rId1889" Type="http://schemas.openxmlformats.org/officeDocument/2006/relationships/hyperlink" Target="https://www.dropbox.com/scl/fi/vmyju7m9m7vcyvpiqp7jw/Frazer-Yule-CROPPED.jpg?rlkey=9mb2bi57qzd1dpynqvk86fjjk&amp;st=sm3szdzr&amp;dl=0" TargetMode="External"/><Relationship Id="rId1406" Type="http://schemas.openxmlformats.org/officeDocument/2006/relationships/hyperlink" Target="https://www.dropbox.com/scl/fi/x2pbfgafmagh4x4qegbio/3D-transparent.png?rlkey=e6hq9car97ohhc47sqh4zx335&amp;st=8y3uz3w0&amp;dl=0" TargetMode="External"/><Relationship Id="rId1407" Type="http://schemas.openxmlformats.org/officeDocument/2006/relationships/hyperlink" Target="https://www.dropbox.com/scl/fi/5u4dc1fayw5mp2umm9qfb/david-hailing.png?rlkey=fgltw3ci1yfzg8zwsospf15bz&amp;st=5wbc1lam&amp;dl=0" TargetMode="External"/><Relationship Id="rId1408" Type="http://schemas.openxmlformats.org/officeDocument/2006/relationships/hyperlink" Target="https://www.dropbox.com/scl/fi/x2pbfgafmagh4x4qegbio/3D-transparent.png?rlkey=e6hq9car97ohhc47sqh4zx335&amp;st=8y3uz3w0&amp;dl=0" TargetMode="External"/><Relationship Id="rId1409" Type="http://schemas.openxmlformats.org/officeDocument/2006/relationships/hyperlink" Target="https://www.dropbox.com/scl/fi/5u4dc1fayw5mp2umm9qfb/david-hailing.png?rlkey=fgltw3ci1yfzg8zwsospf15bz&amp;st=5wbc1lam&amp;dl=0" TargetMode="External"/><Relationship Id="rId1880" Type="http://schemas.openxmlformats.org/officeDocument/2006/relationships/hyperlink" Target="https://www.dropbox.com/scl/fi/4o2dj9ipdbzhndf7r48xu/LSAR_LOGO_RGB_1lineYellow.jpg?rlkey=3x80psgs941iz0ie14wngubr7&amp;st=72ye4k3y&amp;dl=0" TargetMode="External"/><Relationship Id="rId1881" Type="http://schemas.openxmlformats.org/officeDocument/2006/relationships/hyperlink" Target="https://www.dropbox.com/scl/fi/vmyju7m9m7vcyvpiqp7jw/Frazer-Yule-CROPPED.jpg?rlkey=9mb2bi57qzd1dpynqvk86fjjk&amp;st=sm3szdzr&amp;dl=0" TargetMode="External"/><Relationship Id="rId1882" Type="http://schemas.openxmlformats.org/officeDocument/2006/relationships/hyperlink" Target="https://www.dropbox.com/scl/fi/4o2dj9ipdbzhndf7r48xu/LSAR_LOGO_RGB_1lineYellow.jpg?rlkey=3x80psgs941iz0ie14wngubr7&amp;st=72ye4k3y&amp;dl=0" TargetMode="External"/><Relationship Id="rId1883" Type="http://schemas.openxmlformats.org/officeDocument/2006/relationships/hyperlink" Target="https://www.dropbox.com/scl/fi/vmyju7m9m7vcyvpiqp7jw/Frazer-Yule-CROPPED.jpg?rlkey=9mb2bi57qzd1dpynqvk86fjjk&amp;st=sm3szdzr&amp;dl=0" TargetMode="External"/><Relationship Id="rId1433" Type="http://schemas.openxmlformats.org/officeDocument/2006/relationships/hyperlink" Target="https://www.dropbox.com/scl/fi/r7zn4hbvtciyrepgripwi/callumdocker1_250980835427060_6448458882585512374_Headshot.png?rlkey=5dvrcfkfupkfoglf33soiboje&amp;st=ua3ltosx&amp;dl=0" TargetMode="External"/><Relationship Id="rId1434" Type="http://schemas.openxmlformats.org/officeDocument/2006/relationships/hyperlink" Target="https://www.dropbox.com/scl/fi/1i6269a1iy5h0lune0uog/callumdocker1_250980835427060_6448458882585512374_REMAX_Logos_HEX-COLOURS_Black-Stacked.png?rlkey=hhk4gaatovqb5t70i82okchpe&amp;st=xbd7n55d&amp;dl=0" TargetMode="External"/><Relationship Id="rId1435" Type="http://schemas.openxmlformats.org/officeDocument/2006/relationships/hyperlink" Target="https://www.dropbox.com/scl/fi/r7zn4hbvtciyrepgripwi/callumdocker1_250980835427060_6448458882585512374_Headshot.png?rlkey=5dvrcfkfupkfoglf33soiboje&amp;st=ua3ltosx&amp;dl=0" TargetMode="External"/><Relationship Id="rId1436" Type="http://schemas.openxmlformats.org/officeDocument/2006/relationships/hyperlink" Target="https://www.dropbox.com/scl/fi/1i6269a1iy5h0lune0uog/callumdocker1_250980835427060_6448458882585512374_REMAX_Logos_HEX-COLOURS_Black-Stacked.png?rlkey=hhk4gaatovqb5t70i82okchpe&amp;st=xbd7n55d&amp;dl=0" TargetMode="External"/><Relationship Id="rId1437" Type="http://schemas.openxmlformats.org/officeDocument/2006/relationships/hyperlink" Target="https://www.dropbox.com/scl/fi/r7zn4hbvtciyrepgripwi/callumdocker1_250980835427060_6448458882585512374_Headshot.png?rlkey=5dvrcfkfupkfoglf33soiboje&amp;st=ua3ltosx&amp;dl=0" TargetMode="External"/><Relationship Id="rId1438" Type="http://schemas.openxmlformats.org/officeDocument/2006/relationships/hyperlink" Target="https://www.dropbox.com/scl/fi/1i6269a1iy5h0lune0uog/callumdocker1_250980835427060_6448458882585512374_REMAX_Logos_HEX-COLOURS_Black-Stacked.png?rlkey=hhk4gaatovqb5t70i82okchpe&amp;st=xbd7n55d&amp;dl=0" TargetMode="External"/><Relationship Id="rId1439" Type="http://schemas.openxmlformats.org/officeDocument/2006/relationships/hyperlink" Target="https://www.dropbox.com/scl/fi/r7zn4hbvtciyrepgripwi/callumdocker1_250980835427060_6448458882585512374_Headshot.png?rlkey=5dvrcfkfupkfoglf33soiboje&amp;st=ua3ltosx&amp;dl=0" TargetMode="External"/><Relationship Id="rId609" Type="http://schemas.openxmlformats.org/officeDocument/2006/relationships/hyperlink" Target="https://www.dropbox.com/scl/fi/0ep1v9g3b9n5jcs859esi/Untitled-design-31-1.png?rlkey=5kauhwnmbd8jm9emi5mgkvo1p&amp;st=8gl5i0tk&amp;dl=0" TargetMode="External"/><Relationship Id="rId608" Type="http://schemas.openxmlformats.org/officeDocument/2006/relationships/hyperlink" Target="https://www.dropbox.com/scl/fi/nvta8x3dszu3p2rz99o13/JukicProperty-PrimaryHorizontal-02.png?rlkey=87yug40n97d9y80n0ye60k1g0&amp;st=f48i7917&amp;dl=0" TargetMode="External"/><Relationship Id="rId607" Type="http://schemas.openxmlformats.org/officeDocument/2006/relationships/hyperlink" Target="https://www.dropbox.com/scl/fi/0ep1v9g3b9n5jcs859esi/Untitled-design-31-1.png?rlkey=5kauhwnmbd8jm9emi5mgkvo1p&amp;st=8gl5i0tk&amp;dl=0" TargetMode="External"/><Relationship Id="rId602" Type="http://schemas.openxmlformats.org/officeDocument/2006/relationships/hyperlink" Target="https://www.dropbox.com/scl/fi/q6bwz21ei9sq7z9xzmpys/Harcourts-Refined_LogoSet_Horizontal_BLUE_121220.png?rlkey=h8x761fhk87io9cennk0dkr43&amp;st=yt8xykg3&amp;dl=0" TargetMode="External"/><Relationship Id="rId601" Type="http://schemas.openxmlformats.org/officeDocument/2006/relationships/hyperlink" Target="https://www.dropbox.com/scl/fi/g0s8i932jw013u13vy0pa/main-5.png?rlkey=d3wtwzaq0lli9vkk00rv2netg&amp;st=ccg3hz9z&amp;dl=0" TargetMode="External"/><Relationship Id="rId600" Type="http://schemas.openxmlformats.org/officeDocument/2006/relationships/hyperlink" Target="https://www.dropbox.com/scl/fi/q6bwz21ei9sq7z9xzmpys/Harcourts-Refined_LogoSet_Horizontal_BLUE_121220.png?rlkey=h8x761fhk87io9cennk0dkr43&amp;st=yt8xykg3&amp;dl=0" TargetMode="External"/><Relationship Id="rId606" Type="http://schemas.openxmlformats.org/officeDocument/2006/relationships/hyperlink" Target="https://www.dropbox.com/scl/fi/nvta8x3dszu3p2rz99o13/JukicProperty-PrimaryHorizontal-02.png?rlkey=87yug40n97d9y80n0ye60k1g0&amp;st=f48i7917&amp;dl=0" TargetMode="External"/><Relationship Id="rId605" Type="http://schemas.openxmlformats.org/officeDocument/2006/relationships/hyperlink" Target="https://www.dropbox.com/scl/fi/0ep1v9g3b9n5jcs859esi/Untitled-design-31-1.png?rlkey=5kauhwnmbd8jm9emi5mgkvo1p&amp;st=8gl5i0tk&amp;dl=0" TargetMode="External"/><Relationship Id="rId604" Type="http://schemas.openxmlformats.org/officeDocument/2006/relationships/hyperlink" Target="https://www.dropbox.com/scl/fi/nvta8x3dszu3p2rz99o13/JukicProperty-PrimaryHorizontal-02.png?rlkey=87yug40n97d9y80n0ye60k1g0&amp;st=f48i7917&amp;dl=0" TargetMode="External"/><Relationship Id="rId603" Type="http://schemas.openxmlformats.org/officeDocument/2006/relationships/hyperlink" Target="https://www.dropbox.com/scl/fi/0ep1v9g3b9n5jcs859esi/Untitled-design-31-1.png?rlkey=5kauhwnmbd8jm9emi5mgkvo1p&amp;st=8gl5i0tk&amp;dl=0" TargetMode="External"/><Relationship Id="rId1430" Type="http://schemas.openxmlformats.org/officeDocument/2006/relationships/hyperlink" Target="https://www.dropbox.com/scl/fi/zgbui6efj38wih34l4sgl/callumdocker1_250980835427060_6436592300227501303_Nav-Profile.png?rlkey=qn1yeiajfrw8avm3tfo9o1wxp&amp;st=oelfw0ln&amp;dl=0" TargetMode="External"/><Relationship Id="rId1431" Type="http://schemas.openxmlformats.org/officeDocument/2006/relationships/hyperlink" Target="https://www.dropbox.com/scl/fi/r7zn4hbvtciyrepgripwi/callumdocker1_250980835427060_6448458882585512374_Headshot.png?rlkey=5dvrcfkfupkfoglf33soiboje&amp;st=ua3ltosx&amp;dl=0" TargetMode="External"/><Relationship Id="rId1432" Type="http://schemas.openxmlformats.org/officeDocument/2006/relationships/hyperlink" Target="https://www.dropbox.com/scl/fi/1i6269a1iy5h0lune0uog/callumdocker1_250980835427060_6448458882585512374_REMAX_Logos_HEX-COLOURS_Black-Stacked.png?rlkey=hhk4gaatovqb5t70i82okchpe&amp;st=xbd7n55d&amp;dl=0" TargetMode="External"/><Relationship Id="rId1422" Type="http://schemas.openxmlformats.org/officeDocument/2006/relationships/hyperlink" Target="https://www.dropbox.com/scl/fi/zgbui6efj38wih34l4sgl/callumdocker1_250980835427060_6436592300227501303_Nav-Profile.png?rlkey=qn1yeiajfrw8avm3tfo9o1wxp&amp;st=oelfw0ln&amp;dl=0" TargetMode="External"/><Relationship Id="rId1423" Type="http://schemas.openxmlformats.org/officeDocument/2006/relationships/hyperlink" Target="https://www.dropbox.com/scl/fi/0pkggeuci3ocoeghhtcxi/592991497_793172387061609_6631044413232605203_n.jpg?rlkey=53nmlwqkb1uqm8tsxsfgbeyn9&amp;st=304iyn8y&amp;dl=0" TargetMode="External"/><Relationship Id="rId1424" Type="http://schemas.openxmlformats.org/officeDocument/2006/relationships/hyperlink" Target="https://www.dropbox.com/scl/fi/zgbui6efj38wih34l4sgl/callumdocker1_250980835427060_6436592300227501303_Nav-Profile.png?rlkey=qn1yeiajfrw8avm3tfo9o1wxp&amp;st=oelfw0ln&amp;dl=0" TargetMode="External"/><Relationship Id="rId1425" Type="http://schemas.openxmlformats.org/officeDocument/2006/relationships/hyperlink" Target="https://www.dropbox.com/scl/fi/0pkggeuci3ocoeghhtcxi/592991497_793172387061609_6631044413232605203_n.jpg?rlkey=53nmlwqkb1uqm8tsxsfgbeyn9&amp;st=304iyn8y&amp;dl=0" TargetMode="External"/><Relationship Id="rId1426" Type="http://schemas.openxmlformats.org/officeDocument/2006/relationships/hyperlink" Target="https://www.dropbox.com/scl/fi/zgbui6efj38wih34l4sgl/callumdocker1_250980835427060_6436592300227501303_Nav-Profile.png?rlkey=qn1yeiajfrw8avm3tfo9o1wxp&amp;st=oelfw0ln&amp;dl=0" TargetMode="External"/><Relationship Id="rId1427" Type="http://schemas.openxmlformats.org/officeDocument/2006/relationships/hyperlink" Target="https://www.dropbox.com/scl/fi/0pkggeuci3ocoeghhtcxi/592991497_793172387061609_6631044413232605203_n.jpg?rlkey=53nmlwqkb1uqm8tsxsfgbeyn9&amp;st=304iyn8y&amp;dl=0" TargetMode="External"/><Relationship Id="rId1428" Type="http://schemas.openxmlformats.org/officeDocument/2006/relationships/hyperlink" Target="https://www.dropbox.com/scl/fi/zgbui6efj38wih34l4sgl/callumdocker1_250980835427060_6436592300227501303_Nav-Profile.png?rlkey=qn1yeiajfrw8avm3tfo9o1wxp&amp;st=oelfw0ln&amp;dl=0" TargetMode="External"/><Relationship Id="rId1429" Type="http://schemas.openxmlformats.org/officeDocument/2006/relationships/hyperlink" Target="https://www.dropbox.com/scl/fi/0pkggeuci3ocoeghhtcxi/592991497_793172387061609_6631044413232605203_n.jpg?rlkey=53nmlwqkb1uqm8tsxsfgbeyn9&amp;st=304iyn8y&amp;dl=0" TargetMode="External"/><Relationship Id="rId1420" Type="http://schemas.openxmlformats.org/officeDocument/2006/relationships/hyperlink" Target="https://www.dropbox.com/scl/fi/zgbui6efj38wih34l4sgl/callumdocker1_250980835427060_6436592300227501303_Nav-Profile.png?rlkey=qn1yeiajfrw8avm3tfo9o1wxp&amp;st=oelfw0ln&amp;dl=0" TargetMode="External"/><Relationship Id="rId1421" Type="http://schemas.openxmlformats.org/officeDocument/2006/relationships/hyperlink" Target="https://www.dropbox.com/scl/fi/0pkggeuci3ocoeghhtcxi/592991497_793172387061609_6631044413232605203_n.jpg?rlkey=53nmlwqkb1uqm8tsxsfgbeyn9&amp;st=304iyn8y&amp;dl=0" TargetMode="External"/><Relationship Id="rId1059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228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227" Type="http://schemas.openxmlformats.org/officeDocument/2006/relationships/hyperlink" Target="https://www.dropbox.com/scl/fi/ncc7xr7csa1bh0gq2l3o5/WillSteinhauerDomain.jpg?rlkey=tv90ak9jc5byevht4uoz86eqq&amp;st=6wx6lktx&amp;dl=0" TargetMode="External"/><Relationship Id="rId226" Type="http://schemas.openxmlformats.org/officeDocument/2006/relationships/hyperlink" Target="https://www.dropbox.com/scl/fi/k6q6we3yrlgx7ka9f896j/Screenshot-2025-11-21-at-3.42.45-PM.png?rlkey=mys6flnjpzq0vo5wb056v04ss&amp;st=7cw5yk64&amp;dl=0" TargetMode="External"/><Relationship Id="rId225" Type="http://schemas.openxmlformats.org/officeDocument/2006/relationships/hyperlink" Target="https://www.dropbox.com/scl/fi/hd82ikjanikmlxq4i2fe0/main-31.jpg?rlkey=9w47i96m870qhslmed7tfqeol&amp;st=lpfsf7ij&amp;dl=0" TargetMode="External"/><Relationship Id="rId229" Type="http://schemas.openxmlformats.org/officeDocument/2006/relationships/hyperlink" Target="https://www.dropbox.com/scl/fi/ncc7xr7csa1bh0gq2l3o5/WillSteinhauerDomain.jpg?rlkey=tv90ak9jc5byevht4uoz86eqq&amp;st=6wx6lktx&amp;dl=0" TargetMode="External"/><Relationship Id="rId1050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220" Type="http://schemas.openxmlformats.org/officeDocument/2006/relationships/hyperlink" Target="https://www.dropbox.com/scl/fi/k6q6we3yrlgx7ka9f896j/Screenshot-2025-11-21-at-3.42.45-PM.png?rlkey=mys6flnjpzq0vo5wb056v04ss&amp;st=7cw5yk64&amp;dl=0" TargetMode="External"/><Relationship Id="rId1051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1052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053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1054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224" Type="http://schemas.openxmlformats.org/officeDocument/2006/relationships/hyperlink" Target="https://www.dropbox.com/scl/fi/k6q6we3yrlgx7ka9f896j/Screenshot-2025-11-21-at-3.42.45-PM.png?rlkey=mys6flnjpzq0vo5wb056v04ss&amp;st=7cw5yk64&amp;dl=0" TargetMode="External"/><Relationship Id="rId1055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223" Type="http://schemas.openxmlformats.org/officeDocument/2006/relationships/hyperlink" Target="https://www.dropbox.com/scl/fi/hd82ikjanikmlxq4i2fe0/main-31.jpg?rlkey=9w47i96m870qhslmed7tfqeol&amp;st=lpfsf7ij&amp;dl=0" TargetMode="External"/><Relationship Id="rId1056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222" Type="http://schemas.openxmlformats.org/officeDocument/2006/relationships/hyperlink" Target="https://www.dropbox.com/scl/fi/k6q6we3yrlgx7ka9f896j/Screenshot-2025-11-21-at-3.42.45-PM.png?rlkey=mys6flnjpzq0vo5wb056v04ss&amp;st=7cw5yk64&amp;dl=0" TargetMode="External"/><Relationship Id="rId1057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221" Type="http://schemas.openxmlformats.org/officeDocument/2006/relationships/hyperlink" Target="https://www.dropbox.com/scl/fi/hd82ikjanikmlxq4i2fe0/main-31.jpg?rlkey=9w47i96m870qhslmed7tfqeol&amp;st=lpfsf7ij&amp;dl=0" TargetMode="External"/><Relationship Id="rId1058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048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049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217" Type="http://schemas.openxmlformats.org/officeDocument/2006/relationships/hyperlink" Target="https://www.dropbox.com/scl/fi/hd82ikjanikmlxq4i2fe0/main-31.jpg?rlkey=9w47i96m870qhslmed7tfqeol&amp;st=lpfsf7ij&amp;dl=0" TargetMode="External"/><Relationship Id="rId216" Type="http://schemas.openxmlformats.org/officeDocument/2006/relationships/hyperlink" Target="https://www.dropbox.com/scl/fi/k6q6we3yrlgx7ka9f896j/Screenshot-2025-11-21-at-3.42.45-PM.png?rlkey=mys6flnjpzq0vo5wb056v04ss&amp;st=7cw5yk64&amp;dl=0" TargetMode="External"/><Relationship Id="rId215" Type="http://schemas.openxmlformats.org/officeDocument/2006/relationships/hyperlink" Target="https://www.dropbox.com/scl/fi/hd82ikjanikmlxq4i2fe0/main-31.jpg?rlkey=9w47i96m870qhslmed7tfqeol&amp;st=lpfsf7ij&amp;dl=0" TargetMode="External"/><Relationship Id="rId699" Type="http://schemas.openxmlformats.org/officeDocument/2006/relationships/hyperlink" Target="https://www.dropbox.com/scl/fi/85vnn1s8mgkk4c2i3gu6m/main-2.jpg?rlkey=g22opyy04c8anicy41cg44mh8&amp;st=g7beque9&amp;dl=0" TargetMode="External"/><Relationship Id="rId214" Type="http://schemas.openxmlformats.org/officeDocument/2006/relationships/hyperlink" Target="https://www.dropbox.com/scl/fi/k6q6we3yrlgx7ka9f896j/Screenshot-2025-11-21-at-3.42.45-PM.png?rlkey=mys6flnjpzq0vo5wb056v04ss&amp;st=7cw5yk64&amp;dl=0" TargetMode="External"/><Relationship Id="rId698" Type="http://schemas.openxmlformats.org/officeDocument/2006/relationships/hyperlink" Target="https://www.dropbox.com/scl/fi/bo2m8o7uy1l0ky4t8r8jj/IMG_3942.jpeg?rlkey=a1fx8ohdc1te3vkavc3fnrzgr&amp;st=visllfxo&amp;dl=0" TargetMode="External"/><Relationship Id="rId219" Type="http://schemas.openxmlformats.org/officeDocument/2006/relationships/hyperlink" Target="https://www.dropbox.com/scl/fi/hd82ikjanikmlxq4i2fe0/main-31.jpg?rlkey=9w47i96m870qhslmed7tfqeol&amp;st=lpfsf7ij&amp;dl=0" TargetMode="External"/><Relationship Id="rId218" Type="http://schemas.openxmlformats.org/officeDocument/2006/relationships/hyperlink" Target="https://www.dropbox.com/scl/fi/k6q6we3yrlgx7ka9f896j/Screenshot-2025-11-21-at-3.42.45-PM.png?rlkey=mys6flnjpzq0vo5wb056v04ss&amp;st=7cw5yk64&amp;dl=0" TargetMode="External"/><Relationship Id="rId693" Type="http://schemas.openxmlformats.org/officeDocument/2006/relationships/hyperlink" Target="https://www.dropbox.com/scl/fi/h75vvd9or69i9re5tykwo/IMG_3486.jpeg?rlkey=1a2dqaqxlqqhsufzjlgx87gfj&amp;st=qomez2pn&amp;dl=0" TargetMode="External"/><Relationship Id="rId1040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692" Type="http://schemas.openxmlformats.org/officeDocument/2006/relationships/hyperlink" Target="https://www.dropbox.com/scl/fi/bo2m8o7uy1l0ky4t8r8jj/IMG_3942.jpeg?rlkey=a1fx8ohdc1te3vkavc3fnrzgr&amp;st=visllfxo&amp;dl=0" TargetMode="External"/><Relationship Id="rId1041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691" Type="http://schemas.openxmlformats.org/officeDocument/2006/relationships/hyperlink" Target="https://www.dropbox.com/scl/fi/h75vvd9or69i9re5tykwo/IMG_3486.jpeg?rlkey=1a2dqaqxlqqhsufzjlgx87gfj&amp;st=qomez2pn&amp;dl=0" TargetMode="External"/><Relationship Id="rId1042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690" Type="http://schemas.openxmlformats.org/officeDocument/2006/relationships/hyperlink" Target="https://www.dropbox.com/scl/fi/bo2m8o7uy1l0ky4t8r8jj/IMG_3942.jpeg?rlkey=a1fx8ohdc1te3vkavc3fnrzgr&amp;st=visllfxo&amp;dl=0" TargetMode="External"/><Relationship Id="rId1043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213" Type="http://schemas.openxmlformats.org/officeDocument/2006/relationships/hyperlink" Target="https://www.dropbox.com/scl/fi/hd82ikjanikmlxq4i2fe0/main-31.jpg?rlkey=9w47i96m870qhslmed7tfqeol&amp;st=lpfsf7ij&amp;dl=0" TargetMode="External"/><Relationship Id="rId697" Type="http://schemas.openxmlformats.org/officeDocument/2006/relationships/hyperlink" Target="https://www.dropbox.com/scl/fi/h75vvd9or69i9re5tykwo/IMG_3486.jpeg?rlkey=1a2dqaqxlqqhsufzjlgx87gfj&amp;st=qomez2pn&amp;dl=0" TargetMode="External"/><Relationship Id="rId1044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212" Type="http://schemas.openxmlformats.org/officeDocument/2006/relationships/hyperlink" Target="https://www.dropbox.com/scl/fi/k6q6we3yrlgx7ka9f896j/Screenshot-2025-11-21-at-3.42.45-PM.png?rlkey=mys6flnjpzq0vo5wb056v04ss&amp;st=7cw5yk64&amp;dl=0" TargetMode="External"/><Relationship Id="rId696" Type="http://schemas.openxmlformats.org/officeDocument/2006/relationships/hyperlink" Target="https://www.dropbox.com/scl/fi/bo2m8o7uy1l0ky4t8r8jj/IMG_3942.jpeg?rlkey=a1fx8ohdc1te3vkavc3fnrzgr&amp;st=visllfxo&amp;dl=0" TargetMode="External"/><Relationship Id="rId1045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211" Type="http://schemas.openxmlformats.org/officeDocument/2006/relationships/hyperlink" Target="https://www.dropbox.com/scl/fi/hd82ikjanikmlxq4i2fe0/main-31.jpg?rlkey=9w47i96m870qhslmed7tfqeol&amp;st=lpfsf7ij&amp;dl=0" TargetMode="External"/><Relationship Id="rId695" Type="http://schemas.openxmlformats.org/officeDocument/2006/relationships/hyperlink" Target="https://www.dropbox.com/scl/fi/h75vvd9or69i9re5tykwo/IMG_3486.jpeg?rlkey=1a2dqaqxlqqhsufzjlgx87gfj&amp;st=qomez2pn&amp;dl=0" TargetMode="External"/><Relationship Id="rId1046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210" Type="http://schemas.openxmlformats.org/officeDocument/2006/relationships/hyperlink" Target="https://www.dropbox.com/scl/fi/k6q6we3yrlgx7ka9f896j/Screenshot-2025-11-21-at-3.42.45-PM.png?rlkey=mys6flnjpzq0vo5wb056v04ss&amp;st=7cw5yk64&amp;dl=0" TargetMode="External"/><Relationship Id="rId694" Type="http://schemas.openxmlformats.org/officeDocument/2006/relationships/hyperlink" Target="https://www.dropbox.com/scl/fi/bo2m8o7uy1l0ky4t8r8jj/IMG_3942.jpeg?rlkey=a1fx8ohdc1te3vkavc3fnrzgr&amp;st=visllfxo&amp;dl=0" TargetMode="External"/><Relationship Id="rId1047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249" Type="http://schemas.openxmlformats.org/officeDocument/2006/relationships/hyperlink" Target="https://www.dropbox.com/scl/fi/kbe675x7khkmdww3wzh8d/main-20.jpg?rlkey=djh9gmibnzsae46y2jhintjoh&amp;st=kar0tv1k&amp;dl=0" TargetMode="External"/><Relationship Id="rId248" Type="http://schemas.openxmlformats.org/officeDocument/2006/relationships/hyperlink" Target="https://www.dropbox.com/scl/fi/acorouf92bd1d2vfoboz0/LJ_Hooker_logo.png?rlkey=dr7iv5fnr0rwu3er3hi0mfbvz&amp;st=v5tn475u&amp;dl=0" TargetMode="External"/><Relationship Id="rId247" Type="http://schemas.openxmlformats.org/officeDocument/2006/relationships/hyperlink" Target="https://www.dropbox.com/scl/fi/kbe675x7khkmdww3wzh8d/main-20.jpg?rlkey=djh9gmibnzsae46y2jhintjoh&amp;st=kar0tv1k&amp;dl=0" TargetMode="External"/><Relationship Id="rId1070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071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1072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242" Type="http://schemas.openxmlformats.org/officeDocument/2006/relationships/hyperlink" Target="https://www.dropbox.com/scl/fi/acorouf92bd1d2vfoboz0/LJ_Hooker_logo.png?rlkey=dr7iv5fnr0rwu3er3hi0mfbvz&amp;st=v5tn475u&amp;dl=0" TargetMode="External"/><Relationship Id="rId1073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241" Type="http://schemas.openxmlformats.org/officeDocument/2006/relationships/hyperlink" Target="https://www.dropbox.com/scl/fi/kbe675x7khkmdww3wzh8d/main-20.jpg?rlkey=djh9gmibnzsae46y2jhintjoh&amp;st=kar0tv1k&amp;dl=0" TargetMode="External"/><Relationship Id="rId1074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240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075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1076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246" Type="http://schemas.openxmlformats.org/officeDocument/2006/relationships/hyperlink" Target="https://www.dropbox.com/scl/fi/acorouf92bd1d2vfoboz0/LJ_Hooker_logo.png?rlkey=dr7iv5fnr0rwu3er3hi0mfbvz&amp;st=v5tn475u&amp;dl=0" TargetMode="External"/><Relationship Id="rId1077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245" Type="http://schemas.openxmlformats.org/officeDocument/2006/relationships/hyperlink" Target="https://www.dropbox.com/scl/fi/kbe675x7khkmdww3wzh8d/main-20.jpg?rlkey=djh9gmibnzsae46y2jhintjoh&amp;st=kar0tv1k&amp;dl=0" TargetMode="External"/><Relationship Id="rId1078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244" Type="http://schemas.openxmlformats.org/officeDocument/2006/relationships/hyperlink" Target="https://www.dropbox.com/scl/fi/acorouf92bd1d2vfoboz0/LJ_Hooker_logo.png?rlkey=dr7iv5fnr0rwu3er3hi0mfbvz&amp;st=v5tn475u&amp;dl=0" TargetMode="External"/><Relationship Id="rId1079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243" Type="http://schemas.openxmlformats.org/officeDocument/2006/relationships/hyperlink" Target="https://www.dropbox.com/scl/fi/kbe675x7khkmdww3wzh8d/main-20.jpg?rlkey=djh9gmibnzsae46y2jhintjoh&amp;st=kar0tv1k&amp;dl=0" TargetMode="External"/><Relationship Id="rId239" Type="http://schemas.openxmlformats.org/officeDocument/2006/relationships/hyperlink" Target="https://www.dropbox.com/scl/fi/ncc7xr7csa1bh0gq2l3o5/WillSteinhauerDomain.jpg?rlkey=tv90ak9jc5byevht4uoz86eqq&amp;st=6wx6lktx&amp;dl=0" TargetMode="External"/><Relationship Id="rId238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237" Type="http://schemas.openxmlformats.org/officeDocument/2006/relationships/hyperlink" Target="https://www.dropbox.com/scl/fi/ncc7xr7csa1bh0gq2l3o5/WillSteinhauerDomain.jpg?rlkey=tv90ak9jc5byevht4uoz86eqq&amp;st=6wx6lktx&amp;dl=0" TargetMode="External"/><Relationship Id="rId236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060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061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231" Type="http://schemas.openxmlformats.org/officeDocument/2006/relationships/hyperlink" Target="https://www.dropbox.com/scl/fi/ncc7xr7csa1bh0gq2l3o5/WillSteinhauerDomain.jpg?rlkey=tv90ak9jc5byevht4uoz86eqq&amp;st=6wx6lktx&amp;dl=0" TargetMode="External"/><Relationship Id="rId1062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230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063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1064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065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235" Type="http://schemas.openxmlformats.org/officeDocument/2006/relationships/hyperlink" Target="https://www.dropbox.com/scl/fi/ncc7xr7csa1bh0gq2l3o5/WillSteinhauerDomain.jpg?rlkey=tv90ak9jc5byevht4uoz86eqq&amp;st=6wx6lktx&amp;dl=0" TargetMode="External"/><Relationship Id="rId1066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234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067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233" Type="http://schemas.openxmlformats.org/officeDocument/2006/relationships/hyperlink" Target="https://www.dropbox.com/scl/fi/ncc7xr7csa1bh0gq2l3o5/WillSteinhauerDomain.jpg?rlkey=tv90ak9jc5byevht4uoz86eqq&amp;st=6wx6lktx&amp;dl=0" TargetMode="External"/><Relationship Id="rId1068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232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069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1015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1499" Type="http://schemas.openxmlformats.org/officeDocument/2006/relationships/hyperlink" Target="https://www.dropbox.com/scl/fi/st7ghj8wwbhm0b82kjrdd/Brett-Sparks-Domain-Highres.jpg?rlkey=py9x7fmgiq50foijg7p3mm986&amp;st=f2uhpm7x&amp;dl=0" TargetMode="External"/><Relationship Id="rId1016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017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1018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019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668" Type="http://schemas.openxmlformats.org/officeDocument/2006/relationships/hyperlink" Target="https://www.dropbox.com/scl/fi/bwdisi9jak2a93gh8970r/Screenshot-2025-10-22-at-12.21.41-PM.png?rlkey=b8r8ddiickkmdgbs6br601opi&amp;st=6lwygtte&amp;dl=0" TargetMode="External"/><Relationship Id="rId667" Type="http://schemas.openxmlformats.org/officeDocument/2006/relationships/hyperlink" Target="https://www.dropbox.com/scl/fi/sm5xe172sa9e9m1nmqufy/main-9.jpg?rlkey=0dqjrxj8cg7krdprw5p59inol&amp;st=lk9bohc4&amp;dl=0" TargetMode="External"/><Relationship Id="rId666" Type="http://schemas.openxmlformats.org/officeDocument/2006/relationships/hyperlink" Target="https://www.dropbox.com/scl/fi/bwdisi9jak2a93gh8970r/Screenshot-2025-10-22-at-12.21.41-PM.png?rlkey=b8r8ddiickkmdgbs6br601opi&amp;st=6lwygtte&amp;dl=0" TargetMode="External"/><Relationship Id="rId665" Type="http://schemas.openxmlformats.org/officeDocument/2006/relationships/hyperlink" Target="https://www.dropbox.com/scl/fi/sm5xe172sa9e9m1nmqufy/main-9.jpg?rlkey=0dqjrxj8cg7krdprw5p59inol&amp;st=lk9bohc4&amp;dl=0" TargetMode="External"/><Relationship Id="rId669" Type="http://schemas.openxmlformats.org/officeDocument/2006/relationships/hyperlink" Target="https://www.dropbox.com/scl/fi/sm5xe172sa9e9m1nmqufy/main-9.jpg?rlkey=0dqjrxj8cg7krdprw5p59inol&amp;st=lk9bohc4&amp;dl=0" TargetMode="External"/><Relationship Id="rId1490" Type="http://schemas.openxmlformats.org/officeDocument/2006/relationships/hyperlink" Target="https://www.dropbox.com/scl/fi/wy7a06niqgbpie3ftos7j/Screenshot-2026-02-02-at-2.33.24-PM.png?rlkey=igi5yafrb24h4wr6z0ydwkn7g&amp;st=09q62f8n&amp;dl=0" TargetMode="External"/><Relationship Id="rId660" Type="http://schemas.openxmlformats.org/officeDocument/2006/relationships/hyperlink" Target="https://www.dropbox.com/scl/fi/bwdisi9jak2a93gh8970r/Screenshot-2025-10-22-at-12.21.41-PM.png?rlkey=b8r8ddiickkmdgbs6br601opi&amp;st=6lwygtte&amp;dl=0" TargetMode="External"/><Relationship Id="rId1491" Type="http://schemas.openxmlformats.org/officeDocument/2006/relationships/hyperlink" Target="https://www.dropbox.com/scl/fi/st7ghj8wwbhm0b82kjrdd/Brett-Sparks-Domain-Highres.jpg?rlkey=py9x7fmgiq50foijg7p3mm986&amp;st=f2uhpm7x&amp;dl=0" TargetMode="External"/><Relationship Id="rId1492" Type="http://schemas.openxmlformats.org/officeDocument/2006/relationships/hyperlink" Target="https://www.dropbox.com/scl/fi/wy7a06niqgbpie3ftos7j/Screenshot-2026-02-02-at-2.33.24-PM.png?rlkey=igi5yafrb24h4wr6z0ydwkn7g&amp;st=09q62f8n&amp;dl=0" TargetMode="External"/><Relationship Id="rId1493" Type="http://schemas.openxmlformats.org/officeDocument/2006/relationships/hyperlink" Target="https://www.dropbox.com/scl/fi/st7ghj8wwbhm0b82kjrdd/Brett-Sparks-Domain-Highres.jpg?rlkey=py9x7fmgiq50foijg7p3mm986&amp;st=f2uhpm7x&amp;dl=0" TargetMode="External"/><Relationship Id="rId1010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494" Type="http://schemas.openxmlformats.org/officeDocument/2006/relationships/hyperlink" Target="https://www.dropbox.com/scl/fi/wy7a06niqgbpie3ftos7j/Screenshot-2026-02-02-at-2.33.24-PM.png?rlkey=igi5yafrb24h4wr6z0ydwkn7g&amp;st=09q62f8n&amp;dl=0" TargetMode="External"/><Relationship Id="rId664" Type="http://schemas.openxmlformats.org/officeDocument/2006/relationships/hyperlink" Target="https://www.dropbox.com/scl/fi/bwdisi9jak2a93gh8970r/Screenshot-2025-10-22-at-12.21.41-PM.png?rlkey=b8r8ddiickkmdgbs6br601opi&amp;st=6lwygtte&amp;dl=0" TargetMode="External"/><Relationship Id="rId1011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1495" Type="http://schemas.openxmlformats.org/officeDocument/2006/relationships/hyperlink" Target="https://www.dropbox.com/scl/fi/st7ghj8wwbhm0b82kjrdd/Brett-Sparks-Domain-Highres.jpg?rlkey=py9x7fmgiq50foijg7p3mm986&amp;st=f2uhpm7x&amp;dl=0" TargetMode="External"/><Relationship Id="rId663" Type="http://schemas.openxmlformats.org/officeDocument/2006/relationships/hyperlink" Target="https://www.dropbox.com/scl/fi/sm5xe172sa9e9m1nmqufy/main-9.jpg?rlkey=0dqjrxj8cg7krdprw5p59inol&amp;st=lk9bohc4&amp;dl=0" TargetMode="External"/><Relationship Id="rId1012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496" Type="http://schemas.openxmlformats.org/officeDocument/2006/relationships/hyperlink" Target="https://www.dropbox.com/scl/fi/wy7a06niqgbpie3ftos7j/Screenshot-2026-02-02-at-2.33.24-PM.png?rlkey=igi5yafrb24h4wr6z0ydwkn7g&amp;st=09q62f8n&amp;dl=0" TargetMode="External"/><Relationship Id="rId662" Type="http://schemas.openxmlformats.org/officeDocument/2006/relationships/hyperlink" Target="https://www.dropbox.com/scl/fi/bwdisi9jak2a93gh8970r/Screenshot-2025-10-22-at-12.21.41-PM.png?rlkey=b8r8ddiickkmdgbs6br601opi&amp;st=6lwygtte&amp;dl=0" TargetMode="External"/><Relationship Id="rId1013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1497" Type="http://schemas.openxmlformats.org/officeDocument/2006/relationships/hyperlink" Target="https://www.dropbox.com/scl/fi/st7ghj8wwbhm0b82kjrdd/Brett-Sparks-Domain-Highres.jpg?rlkey=py9x7fmgiq50foijg7p3mm986&amp;st=f2uhpm7x&amp;dl=0" TargetMode="External"/><Relationship Id="rId661" Type="http://schemas.openxmlformats.org/officeDocument/2006/relationships/hyperlink" Target="https://www.dropbox.com/scl/fi/sm5xe172sa9e9m1nmqufy/main-9.jpg?rlkey=0dqjrxj8cg7krdprw5p59inol&amp;st=lk9bohc4&amp;dl=0" TargetMode="External"/><Relationship Id="rId1014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498" Type="http://schemas.openxmlformats.org/officeDocument/2006/relationships/hyperlink" Target="https://www.dropbox.com/scl/fi/wy7a06niqgbpie3ftos7j/Screenshot-2026-02-02-at-2.33.24-PM.png?rlkey=igi5yafrb24h4wr6z0ydwkn7g&amp;st=09q62f8n&amp;dl=0" TargetMode="External"/><Relationship Id="rId1004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488" Type="http://schemas.openxmlformats.org/officeDocument/2006/relationships/hyperlink" Target="https://www.dropbox.com/scl/fi/wbfe933va26vv4csatb1t/Bazaart_39069A8A-02BB-4AEC-A028-448ED5A43C88.jpeg?rlkey=ycws4cf0144ucfd7g964mjl93&amp;st=6lv2lxba&amp;dl=0" TargetMode="External"/><Relationship Id="rId1005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1489" Type="http://schemas.openxmlformats.org/officeDocument/2006/relationships/hyperlink" Target="https://www.dropbox.com/scl/fi/st7ghj8wwbhm0b82kjrdd/Brett-Sparks-Domain-Highres.jpg?rlkey=py9x7fmgiq50foijg7p3mm986&amp;st=f2uhpm7x&amp;dl=0" TargetMode="External"/><Relationship Id="rId1006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007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1008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009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657" Type="http://schemas.openxmlformats.org/officeDocument/2006/relationships/hyperlink" Target="https://www.dropbox.com/scl/fi/sm5xe172sa9e9m1nmqufy/main-9.jpg?rlkey=0dqjrxj8cg7krdprw5p59inol&amp;st=lk9bohc4&amp;dl=0" TargetMode="External"/><Relationship Id="rId656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655" Type="http://schemas.openxmlformats.org/officeDocument/2006/relationships/hyperlink" Target="https://www.dropbox.com/scl/fi/ju7f5py3yhbdvz17u8dt9/main-10.jpg?rlkey=d8r3o3kow5m727wwy8obfjfuo&amp;st=uaydm0cz&amp;dl=0" TargetMode="External"/><Relationship Id="rId654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659" Type="http://schemas.openxmlformats.org/officeDocument/2006/relationships/hyperlink" Target="https://www.dropbox.com/scl/fi/sm5xe172sa9e9m1nmqufy/main-9.jpg?rlkey=0dqjrxj8cg7krdprw5p59inol&amp;st=lk9bohc4&amp;dl=0" TargetMode="External"/><Relationship Id="rId658" Type="http://schemas.openxmlformats.org/officeDocument/2006/relationships/hyperlink" Target="https://www.dropbox.com/scl/fi/bwdisi9jak2a93gh8970r/Screenshot-2025-10-22-at-12.21.41-PM.png?rlkey=b8r8ddiickkmdgbs6br601opi&amp;st=6lwygtte&amp;dl=0" TargetMode="External"/><Relationship Id="rId1480" Type="http://schemas.openxmlformats.org/officeDocument/2006/relationships/hyperlink" Target="https://www.dropbox.com/scl/fi/wbfe933va26vv4csatb1t/Bazaart_39069A8A-02BB-4AEC-A028-448ED5A43C88.jpeg?rlkey=ycws4cf0144ucfd7g964mjl93&amp;st=6lv2lxba&amp;dl=0" TargetMode="External"/><Relationship Id="rId1481" Type="http://schemas.openxmlformats.org/officeDocument/2006/relationships/hyperlink" Target="https://www.dropbox.com/scl/fi/hbe3w0r6s9t9dv9syax16/IMG_8218.jpeg?rlkey=iplahk1f3gvovd3foi2ts06lb&amp;st=uf4pnk36&amp;dl=0" TargetMode="External"/><Relationship Id="rId1482" Type="http://schemas.openxmlformats.org/officeDocument/2006/relationships/hyperlink" Target="https://www.dropbox.com/scl/fi/wbfe933va26vv4csatb1t/Bazaart_39069A8A-02BB-4AEC-A028-448ED5A43C88.jpeg?rlkey=ycws4cf0144ucfd7g964mjl93&amp;st=6lv2lxba&amp;dl=0" TargetMode="External"/><Relationship Id="rId1483" Type="http://schemas.openxmlformats.org/officeDocument/2006/relationships/hyperlink" Target="https://www.dropbox.com/scl/fi/hbe3w0r6s9t9dv9syax16/IMG_8218.jpeg?rlkey=iplahk1f3gvovd3foi2ts06lb&amp;st=uf4pnk36&amp;dl=0" TargetMode="External"/><Relationship Id="rId653" Type="http://schemas.openxmlformats.org/officeDocument/2006/relationships/hyperlink" Target="https://www.dropbox.com/scl/fi/ju7f5py3yhbdvz17u8dt9/main-10.jpg?rlkey=d8r3o3kow5m727wwy8obfjfuo&amp;st=uaydm0cz&amp;dl=0" TargetMode="External"/><Relationship Id="rId1000" Type="http://schemas.openxmlformats.org/officeDocument/2006/relationships/hyperlink" Target="https://www.dropbox.com/scl/fi/4nqrsmxac56s1snfa4k6c/jblogo-w-emoji.png?rlkey=5r605ls9unapihucsv44zign2&amp;st=qduf40c6&amp;dl=0" TargetMode="External"/><Relationship Id="rId1484" Type="http://schemas.openxmlformats.org/officeDocument/2006/relationships/hyperlink" Target="https://www.dropbox.com/scl/fi/wbfe933va26vv4csatb1t/Bazaart_39069A8A-02BB-4AEC-A028-448ED5A43C88.jpeg?rlkey=ycws4cf0144ucfd7g964mjl93&amp;st=6lv2lxba&amp;dl=0" TargetMode="External"/><Relationship Id="rId652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1001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1485" Type="http://schemas.openxmlformats.org/officeDocument/2006/relationships/hyperlink" Target="https://www.dropbox.com/scl/fi/hbe3w0r6s9t9dv9syax16/IMG_8218.jpeg?rlkey=iplahk1f3gvovd3foi2ts06lb&amp;st=uf4pnk36&amp;dl=0" TargetMode="External"/><Relationship Id="rId651" Type="http://schemas.openxmlformats.org/officeDocument/2006/relationships/hyperlink" Target="https://www.dropbox.com/scl/fi/ju7f5py3yhbdvz17u8dt9/main-10.jpg?rlkey=d8r3o3kow5m727wwy8obfjfuo&amp;st=uaydm0cz&amp;dl=0" TargetMode="External"/><Relationship Id="rId1002" Type="http://schemas.openxmlformats.org/officeDocument/2006/relationships/hyperlink" Target="https://www.dropbox.com/scl/fi/4nqrsmxac56s1snfa4k6c/jblogo-w-emoji.png?rlkey=5r605ls9unapihucsv44zign2&amp;st=qduf40c6&amp;dl=0" TargetMode="External"/><Relationship Id="rId1486" Type="http://schemas.openxmlformats.org/officeDocument/2006/relationships/hyperlink" Target="https://www.dropbox.com/scl/fi/wbfe933va26vv4csatb1t/Bazaart_39069A8A-02BB-4AEC-A028-448ED5A43C88.jpeg?rlkey=ycws4cf0144ucfd7g964mjl93&amp;st=6lv2lxba&amp;dl=0" TargetMode="External"/><Relationship Id="rId650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1003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1487" Type="http://schemas.openxmlformats.org/officeDocument/2006/relationships/hyperlink" Target="https://www.dropbox.com/scl/fi/hbe3w0r6s9t9dv9syax16/IMG_8218.jpeg?rlkey=iplahk1f3gvovd3foi2ts06lb&amp;st=uf4pnk36&amp;dl=0" TargetMode="External"/><Relationship Id="rId1037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1038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039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206" Type="http://schemas.openxmlformats.org/officeDocument/2006/relationships/hyperlink" Target="https://www.dropbox.com/scl/fi/odnpugqeirp0tv5dig0k9/Bart-Portelli-First-National-Connect.jpg?rlkey=rpcyv1igkzsa29blxsfodlx7o&amp;st=d8ic6wg8&amp;dl=0" TargetMode="External"/><Relationship Id="rId205" Type="http://schemas.openxmlformats.org/officeDocument/2006/relationships/hyperlink" Target="https://www.dropbox.com/scl/fi/pjeoif3t9rg3w8v47sf3l/website-headshots-1.jpg?rlkey=xugdbenqd2dsannqhyqc865ak&amp;st=cqkuxjnn&amp;dl=0" TargetMode="External"/><Relationship Id="rId689" Type="http://schemas.openxmlformats.org/officeDocument/2006/relationships/hyperlink" Target="https://www.dropbox.com/scl/fi/h75vvd9or69i9re5tykwo/IMG_3486.jpeg?rlkey=1a2dqaqxlqqhsufzjlgx87gfj&amp;st=qomez2pn&amp;dl=0" TargetMode="External"/><Relationship Id="rId204" Type="http://schemas.openxmlformats.org/officeDocument/2006/relationships/hyperlink" Target="https://www.dropbox.com/scl/fi/odnpugqeirp0tv5dig0k9/Bart-Portelli-First-National-Connect.jpg?rlkey=rpcyv1igkzsa29blxsfodlx7o&amp;st=d8ic6wg8&amp;dl=0" TargetMode="External"/><Relationship Id="rId688" Type="http://schemas.openxmlformats.org/officeDocument/2006/relationships/hyperlink" Target="https://www.dropbox.com/scl/fi/bo2m8o7uy1l0ky4t8r8jj/IMG_3942.jpeg?rlkey=a1fx8ohdc1te3vkavc3fnrzgr&amp;st=visllfxo&amp;dl=0" TargetMode="External"/><Relationship Id="rId203" Type="http://schemas.openxmlformats.org/officeDocument/2006/relationships/hyperlink" Target="https://www.dropbox.com/scl/fi/pjeoif3t9rg3w8v47sf3l/website-headshots-1.jpg?rlkey=xugdbenqd2dsannqhyqc865ak&amp;st=cqkuxjnn&amp;dl=0" TargetMode="External"/><Relationship Id="rId687" Type="http://schemas.openxmlformats.org/officeDocument/2006/relationships/hyperlink" Target="https://www.dropbox.com/scl/fi/h75vvd9or69i9re5tykwo/IMG_3486.jpeg?rlkey=1a2dqaqxlqqhsufzjlgx87gfj&amp;st=qomez2pn&amp;dl=0" TargetMode="External"/><Relationship Id="rId209" Type="http://schemas.openxmlformats.org/officeDocument/2006/relationships/hyperlink" Target="https://www.dropbox.com/scl/fi/hd82ikjanikmlxq4i2fe0/main-31.jpg?rlkey=9w47i96m870qhslmed7tfqeol&amp;st=lpfsf7ij&amp;dl=0" TargetMode="External"/><Relationship Id="rId208" Type="http://schemas.openxmlformats.org/officeDocument/2006/relationships/hyperlink" Target="https://www.dropbox.com/scl/fi/odnpugqeirp0tv5dig0k9/Bart-Portelli-First-National-Connect.jpg?rlkey=rpcyv1igkzsa29blxsfodlx7o&amp;st=d8ic6wg8&amp;dl=0" TargetMode="External"/><Relationship Id="rId207" Type="http://schemas.openxmlformats.org/officeDocument/2006/relationships/hyperlink" Target="https://www.dropbox.com/scl/fi/pjeoif3t9rg3w8v47sf3l/website-headshots-1.jpg?rlkey=xugdbenqd2dsannqhyqc865ak&amp;st=cqkuxjnn&amp;dl=0" TargetMode="External"/><Relationship Id="rId682" Type="http://schemas.openxmlformats.org/officeDocument/2006/relationships/hyperlink" Target="https://www.dropbox.com/scl/fi/b8xfnisof6zhhd7sxtd20/MarkCheney_Classic_Logo_4-copy.png?rlkey=p0r2f8auepbg4nzo491egwgqw&amp;st=086npyw3&amp;dl=0" TargetMode="External"/><Relationship Id="rId681" Type="http://schemas.openxmlformats.org/officeDocument/2006/relationships/hyperlink" Target="https://www.dropbox.com/scl/fi/hz6anfq8tvwmxrz3l86iz/IMG_0815.png?rlkey=8h7tkw6ptg3lg1k87hm7fgodr&amp;st=2mfqv1zi&amp;dl=0" TargetMode="External"/><Relationship Id="rId1030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680" Type="http://schemas.openxmlformats.org/officeDocument/2006/relationships/hyperlink" Target="https://www.dropbox.com/scl/fi/b8xfnisof6zhhd7sxtd20/MarkCheney_Classic_Logo_4-copy.png?rlkey=p0r2f8auepbg4nzo491egwgqw&amp;st=086npyw3&amp;dl=0" TargetMode="External"/><Relationship Id="rId1031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1032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202" Type="http://schemas.openxmlformats.org/officeDocument/2006/relationships/hyperlink" Target="https://www.dropbox.com/scl/fi/odnpugqeirp0tv5dig0k9/Bart-Portelli-First-National-Connect.jpg?rlkey=rpcyv1igkzsa29blxsfodlx7o&amp;st=d8ic6wg8&amp;dl=0" TargetMode="External"/><Relationship Id="rId686" Type="http://schemas.openxmlformats.org/officeDocument/2006/relationships/hyperlink" Target="https://www.dropbox.com/scl/fi/bo2m8o7uy1l0ky4t8r8jj/IMG_3942.jpeg?rlkey=a1fx8ohdc1te3vkavc3fnrzgr&amp;st=visllfxo&amp;dl=0" TargetMode="External"/><Relationship Id="rId1033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201" Type="http://schemas.openxmlformats.org/officeDocument/2006/relationships/hyperlink" Target="https://www.dropbox.com/scl/fi/pjeoif3t9rg3w8v47sf3l/website-headshots-1.jpg?rlkey=xugdbenqd2dsannqhyqc865ak&amp;st=cqkuxjnn&amp;dl=0" TargetMode="External"/><Relationship Id="rId685" Type="http://schemas.openxmlformats.org/officeDocument/2006/relationships/hyperlink" Target="https://www.dropbox.com/scl/fi/h75vvd9or69i9re5tykwo/IMG_3486.jpeg?rlkey=1a2dqaqxlqqhsufzjlgx87gfj&amp;st=qomez2pn&amp;dl=0" TargetMode="External"/><Relationship Id="rId1034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200" Type="http://schemas.openxmlformats.org/officeDocument/2006/relationships/hyperlink" Target="https://www.dropbox.com/scl/fi/odnpugqeirp0tv5dig0k9/Bart-Portelli-First-National-Connect.jpg?rlkey=rpcyv1igkzsa29blxsfodlx7o&amp;st=d8ic6wg8&amp;dl=0" TargetMode="External"/><Relationship Id="rId684" Type="http://schemas.openxmlformats.org/officeDocument/2006/relationships/hyperlink" Target="https://www.dropbox.com/scl/fi/b8xfnisof6zhhd7sxtd20/MarkCheney_Classic_Logo_4-copy.png?rlkey=p0r2f8auepbg4nzo491egwgqw&amp;st=086npyw3&amp;dl=0" TargetMode="External"/><Relationship Id="rId1035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683" Type="http://schemas.openxmlformats.org/officeDocument/2006/relationships/hyperlink" Target="https://www.dropbox.com/scl/fi/hz6anfq8tvwmxrz3l86iz/IMG_0815.png?rlkey=8h7tkw6ptg3lg1k87hm7fgodr&amp;st=2mfqv1zi&amp;dl=0" TargetMode="External"/><Relationship Id="rId1036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026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027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1028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029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679" Type="http://schemas.openxmlformats.org/officeDocument/2006/relationships/hyperlink" Target="https://www.dropbox.com/scl/fi/hz6anfq8tvwmxrz3l86iz/IMG_0815.png?rlkey=8h7tkw6ptg3lg1k87hm7fgodr&amp;st=2mfqv1zi&amp;dl=0" TargetMode="External"/><Relationship Id="rId678" Type="http://schemas.openxmlformats.org/officeDocument/2006/relationships/hyperlink" Target="https://www.dropbox.com/scl/fi/b8xfnisof6zhhd7sxtd20/MarkCheney_Classic_Logo_4-copy.png?rlkey=p0r2f8auepbg4nzo491egwgqw&amp;st=086npyw3&amp;dl=0" TargetMode="External"/><Relationship Id="rId677" Type="http://schemas.openxmlformats.org/officeDocument/2006/relationships/hyperlink" Target="https://www.dropbox.com/scl/fi/hz6anfq8tvwmxrz3l86iz/IMG_0815.png?rlkey=8h7tkw6ptg3lg1k87hm7fgodr&amp;st=2mfqv1zi&amp;dl=0" TargetMode="External"/><Relationship Id="rId676" Type="http://schemas.openxmlformats.org/officeDocument/2006/relationships/hyperlink" Target="https://www.dropbox.com/scl/fi/b8xfnisof6zhhd7sxtd20/MarkCheney_Classic_Logo_4-copy.png?rlkey=p0r2f8auepbg4nzo491egwgqw&amp;st=086npyw3&amp;dl=0" TargetMode="External"/><Relationship Id="rId671" Type="http://schemas.openxmlformats.org/officeDocument/2006/relationships/hyperlink" Target="https://www.dropbox.com/scl/fi/sm5xe172sa9e9m1nmqufy/main-9.jpg?rlkey=0dqjrxj8cg7krdprw5p59inol&amp;st=lk9bohc4&amp;dl=0" TargetMode="External"/><Relationship Id="rId670" Type="http://schemas.openxmlformats.org/officeDocument/2006/relationships/hyperlink" Target="https://www.dropbox.com/scl/fi/bwdisi9jak2a93gh8970r/Screenshot-2025-10-22-at-12.21.41-PM.png?rlkey=b8r8ddiickkmdgbs6br601opi&amp;st=6lwygtte&amp;dl=0" TargetMode="External"/><Relationship Id="rId1020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021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675" Type="http://schemas.openxmlformats.org/officeDocument/2006/relationships/hyperlink" Target="https://www.dropbox.com/scl/fi/hz6anfq8tvwmxrz3l86iz/IMG_0815.png?rlkey=8h7tkw6ptg3lg1k87hm7fgodr&amp;st=2mfqv1zi&amp;dl=0" TargetMode="External"/><Relationship Id="rId1022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674" Type="http://schemas.openxmlformats.org/officeDocument/2006/relationships/hyperlink" Target="https://www.dropbox.com/scl/fi/bwdisi9jak2a93gh8970r/Screenshot-2025-10-22-at-12.21.41-PM.png?rlkey=b8r8ddiickkmdgbs6br601opi&amp;st=6lwygtte&amp;dl=0" TargetMode="External"/><Relationship Id="rId1023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673" Type="http://schemas.openxmlformats.org/officeDocument/2006/relationships/hyperlink" Target="https://www.dropbox.com/scl/fi/sm5xe172sa9e9m1nmqufy/main-9.jpg?rlkey=0dqjrxj8cg7krdprw5p59inol&amp;st=lk9bohc4&amp;dl=0" TargetMode="External"/><Relationship Id="rId1024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672" Type="http://schemas.openxmlformats.org/officeDocument/2006/relationships/hyperlink" Target="https://www.dropbox.com/scl/fi/bwdisi9jak2a93gh8970r/Screenshot-2025-10-22-at-12.21.41-PM.png?rlkey=b8r8ddiickkmdgbs6br601opi&amp;st=6lwygtte&amp;dl=0" TargetMode="External"/><Relationship Id="rId1025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190" Type="http://schemas.openxmlformats.org/officeDocument/2006/relationships/hyperlink" Target="https://www.dropbox.com/scl/fi/odnpugqeirp0tv5dig0k9/Bart-Portelli-First-National-Connect.jpg?rlkey=rpcyv1igkzsa29blxsfodlx7o&amp;st=d8ic6wg8&amp;dl=0" TargetMode="External"/><Relationship Id="rId194" Type="http://schemas.openxmlformats.org/officeDocument/2006/relationships/hyperlink" Target="https://www.dropbox.com/scl/fi/odnpugqeirp0tv5dig0k9/Bart-Portelli-First-National-Connect.jpg?rlkey=rpcyv1igkzsa29blxsfodlx7o&amp;st=d8ic6wg8&amp;dl=0" TargetMode="External"/><Relationship Id="rId193" Type="http://schemas.openxmlformats.org/officeDocument/2006/relationships/hyperlink" Target="https://www.dropbox.com/scl/fi/pjeoif3t9rg3w8v47sf3l/website-headshots-1.jpg?rlkey=xugdbenqd2dsannqhyqc865ak&amp;st=cqkuxjnn&amp;dl=0" TargetMode="External"/><Relationship Id="rId192" Type="http://schemas.openxmlformats.org/officeDocument/2006/relationships/hyperlink" Target="https://www.dropbox.com/scl/fi/odnpugqeirp0tv5dig0k9/Bart-Portelli-First-National-Connect.jpg?rlkey=rpcyv1igkzsa29blxsfodlx7o&amp;st=d8ic6wg8&amp;dl=0" TargetMode="External"/><Relationship Id="rId191" Type="http://schemas.openxmlformats.org/officeDocument/2006/relationships/hyperlink" Target="https://www.dropbox.com/scl/fi/pjeoif3t9rg3w8v47sf3l/website-headshots-1.jpg?rlkey=xugdbenqd2dsannqhyqc865ak&amp;st=cqkuxjnn&amp;dl=0" TargetMode="External"/><Relationship Id="rId187" Type="http://schemas.openxmlformats.org/officeDocument/2006/relationships/hyperlink" Target="https://www.dropbox.com/scl/fi/pjeoif3t9rg3w8v47sf3l/website-headshots-1.jpg?rlkey=xugdbenqd2dsannqhyqc865ak&amp;st=cqkuxjnn&amp;dl=0" TargetMode="External"/><Relationship Id="rId186" Type="http://schemas.openxmlformats.org/officeDocument/2006/relationships/hyperlink" Target="https://www.dropbox.com/scl/fi/odnpugqeirp0tv5dig0k9/Bart-Portelli-First-National-Connect.jpg?rlkey=rpcyv1igkzsa29blxsfodlx7o&amp;st=d8ic6wg8&amp;dl=0" TargetMode="External"/><Relationship Id="rId185" Type="http://schemas.openxmlformats.org/officeDocument/2006/relationships/hyperlink" Target="https://www.dropbox.com/scl/fi/pjeoif3t9rg3w8v47sf3l/website-headshots-1.jpg?rlkey=xugdbenqd2dsannqhyqc865ak&amp;st=cqkuxjnn&amp;dl=0" TargetMode="External"/><Relationship Id="rId184" Type="http://schemas.openxmlformats.org/officeDocument/2006/relationships/hyperlink" Target="https://www.dropbox.com/scl/fi/odnpugqeirp0tv5dig0k9/Bart-Portelli-First-National-Connect.jpg?rlkey=rpcyv1igkzsa29blxsfodlx7o&amp;st=d8ic6wg8&amp;dl=0" TargetMode="External"/><Relationship Id="rId189" Type="http://schemas.openxmlformats.org/officeDocument/2006/relationships/hyperlink" Target="https://www.dropbox.com/scl/fi/pjeoif3t9rg3w8v47sf3l/website-headshots-1.jpg?rlkey=xugdbenqd2dsannqhyqc865ak&amp;st=cqkuxjnn&amp;dl=0" TargetMode="External"/><Relationship Id="rId188" Type="http://schemas.openxmlformats.org/officeDocument/2006/relationships/hyperlink" Target="https://www.dropbox.com/scl/fi/odnpugqeirp0tv5dig0k9/Bart-Portelli-First-National-Connect.jpg?rlkey=rpcyv1igkzsa29blxsfodlx7o&amp;st=d8ic6wg8&amp;dl=0" TargetMode="External"/><Relationship Id="rId183" Type="http://schemas.openxmlformats.org/officeDocument/2006/relationships/hyperlink" Target="https://www.dropbox.com/scl/fi/pjeoif3t9rg3w8v47sf3l/website-headshots-1.jpg?rlkey=xugdbenqd2dsannqhyqc865ak&amp;st=cqkuxjnn&amp;dl=0" TargetMode="External"/><Relationship Id="rId182" Type="http://schemas.openxmlformats.org/officeDocument/2006/relationships/hyperlink" Target="https://www.dropbox.com/scl/fi/odnpugqeirp0tv5dig0k9/Bart-Portelli-First-National-Connect.jpg?rlkey=rpcyv1igkzsa29blxsfodlx7o&amp;st=d8ic6wg8&amp;dl=0" TargetMode="External"/><Relationship Id="rId181" Type="http://schemas.openxmlformats.org/officeDocument/2006/relationships/hyperlink" Target="https://www.dropbox.com/scl/fi/pjeoif3t9rg3w8v47sf3l/website-headshots-1.jpg?rlkey=xugdbenqd2dsannqhyqc865ak&amp;st=cqkuxjnn&amp;dl=0" TargetMode="External"/><Relationship Id="rId180" Type="http://schemas.openxmlformats.org/officeDocument/2006/relationships/hyperlink" Target="https://www.dropbox.com/scl/fi/odnpugqeirp0tv5dig0k9/Bart-Portelli-First-National-Connect.jpg?rlkey=rpcyv1igkzsa29blxsfodlx7o&amp;st=d8ic6wg8&amp;dl=0" TargetMode="External"/><Relationship Id="rId176" Type="http://schemas.openxmlformats.org/officeDocument/2006/relationships/hyperlink" Target="https://www.dropbox.com/scl/fi/ljamsgao99af9wa36eb6v/Screenshot-2025-11-14-at-1.14.36-PM.png?rlkey=4u5kc3kfunogd4h6sm9he1ejt&amp;st=1xba29t7&amp;dl=0" TargetMode="External"/><Relationship Id="rId175" Type="http://schemas.openxmlformats.org/officeDocument/2006/relationships/hyperlink" Target="https://www.dropbox.com/scl/fi/xaq15pun5a9mrg71ociaq/main-21.jpg?rlkey=z6i9j0jaswk4w6jojlzzbt2xn&amp;st=hh538h4y&amp;dl=0" TargetMode="External"/><Relationship Id="rId174" Type="http://schemas.openxmlformats.org/officeDocument/2006/relationships/hyperlink" Target="https://www.dropbox.com/scl/fi/ljamsgao99af9wa36eb6v/Screenshot-2025-11-14-at-1.14.36-PM.png?rlkey=4u5kc3kfunogd4h6sm9he1ejt&amp;st=1xba29t7&amp;dl=0" TargetMode="External"/><Relationship Id="rId173" Type="http://schemas.openxmlformats.org/officeDocument/2006/relationships/hyperlink" Target="https://www.dropbox.com/scl/fi/xaq15pun5a9mrg71ociaq/main-21.jpg?rlkey=z6i9j0jaswk4w6jojlzzbt2xn&amp;st=hh538h4y&amp;dl=0" TargetMode="External"/><Relationship Id="rId179" Type="http://schemas.openxmlformats.org/officeDocument/2006/relationships/hyperlink" Target="https://www.dropbox.com/scl/fi/pjeoif3t9rg3w8v47sf3l/website-headshots-1.jpg?rlkey=xugdbenqd2dsannqhyqc865ak&amp;st=cqkuxjnn&amp;dl=0" TargetMode="External"/><Relationship Id="rId178" Type="http://schemas.openxmlformats.org/officeDocument/2006/relationships/hyperlink" Target="https://www.dropbox.com/scl/fi/ljamsgao99af9wa36eb6v/Screenshot-2025-11-14-at-1.14.36-PM.png?rlkey=4u5kc3kfunogd4h6sm9he1ejt&amp;st=1xba29t7&amp;dl=0" TargetMode="External"/><Relationship Id="rId177" Type="http://schemas.openxmlformats.org/officeDocument/2006/relationships/hyperlink" Target="https://www.dropbox.com/scl/fi/xaq15pun5a9mrg71ociaq/main-21.jpg?rlkey=z6i9j0jaswk4w6jojlzzbt2xn&amp;st=hh538h4y&amp;dl=0" TargetMode="External"/><Relationship Id="rId1910" Type="http://schemas.openxmlformats.org/officeDocument/2006/relationships/hyperlink" Target="https://www.dropbox.com/scl/fi/49icvia66wtbjktqy9jv6/GCGD_Rigby_FileSuite-08.jpeg?rlkey=grljl9ye8s3i3taopiyvkz1a3&amp;st=27u8l7my&amp;dl=0" TargetMode="External"/><Relationship Id="rId1911" Type="http://schemas.openxmlformats.org/officeDocument/2006/relationships/hyperlink" Target="https://www.dropbox.com/scl/fi/f1o60bpk30ps3cibluea1/IMG_1552.jpeg?rlkey=ba63ebin9bveulocrkkl7snhx&amp;st=e6zw5ajl&amp;dl=0" TargetMode="External"/><Relationship Id="rId1912" Type="http://schemas.openxmlformats.org/officeDocument/2006/relationships/hyperlink" Target="https://www.dropbox.com/scl/fi/49icvia66wtbjktqy9jv6/GCGD_Rigby_FileSuite-08.jpeg?rlkey=grljl9ye8s3i3taopiyvkz1a3&amp;st=27u8l7my&amp;dl=0" TargetMode="External"/><Relationship Id="rId1913" Type="http://schemas.openxmlformats.org/officeDocument/2006/relationships/hyperlink" Target="https://www.dropbox.com/scl/fi/f1o60bpk30ps3cibluea1/IMG_1552.jpeg?rlkey=ba63ebin9bveulocrkkl7snhx&amp;st=e6zw5ajl&amp;dl=0" TargetMode="External"/><Relationship Id="rId1914" Type="http://schemas.openxmlformats.org/officeDocument/2006/relationships/hyperlink" Target="https://www.dropbox.com/scl/fi/49icvia66wtbjktqy9jv6/GCGD_Rigby_FileSuite-08.jpeg?rlkey=grljl9ye8s3i3taopiyvkz1a3&amp;st=27u8l7my&amp;dl=0" TargetMode="External"/><Relationship Id="rId1915" Type="http://schemas.openxmlformats.org/officeDocument/2006/relationships/hyperlink" Target="https://www.dropbox.com/scl/fi/f1o60bpk30ps3cibluea1/IMG_1552.jpeg?rlkey=ba63ebin9bveulocrkkl7snhx&amp;st=e6zw5ajl&amp;dl=0" TargetMode="External"/><Relationship Id="rId1916" Type="http://schemas.openxmlformats.org/officeDocument/2006/relationships/hyperlink" Target="https://www.dropbox.com/scl/fi/49icvia66wtbjktqy9jv6/GCGD_Rigby_FileSuite-08.jpeg?rlkey=grljl9ye8s3i3taopiyvkz1a3&amp;st=27u8l7my&amp;dl=0" TargetMode="External"/><Relationship Id="rId1917" Type="http://schemas.openxmlformats.org/officeDocument/2006/relationships/hyperlink" Target="https://www.dropbox.com/scl/fi/rbh0wcrqviwasx4w78s7w/main-38.jpg?rlkey=mgp1oa4kppn0yk876dj70lyne&amp;st=cui0m6y1&amp;dl=0" TargetMode="External"/><Relationship Id="rId1918" Type="http://schemas.openxmlformats.org/officeDocument/2006/relationships/hyperlink" Target="https://www.dropbox.com/scl/fi/7bgyseizbj84coc0gfx4r/Screenshot-2026-02-26-at-10.47.50-AM.png?rlkey=npvrrwrj18zldcznd9d30jp5u&amp;st=5pmvvp5r&amp;dl=0" TargetMode="External"/><Relationship Id="rId1919" Type="http://schemas.openxmlformats.org/officeDocument/2006/relationships/hyperlink" Target="https://www.dropbox.com/scl/fi/rbh0wcrqviwasx4w78s7w/main-38.jpg?rlkey=mgp1oa4kppn0yk876dj70lyne&amp;st=cui0m6y1&amp;dl=0" TargetMode="External"/><Relationship Id="rId1900" Type="http://schemas.openxmlformats.org/officeDocument/2006/relationships/hyperlink" Target="https://www.dropbox.com/scl/fi/4o2dj9ipdbzhndf7r48xu/LSAR_LOGO_RGB_1lineYellow.jpg?rlkey=3x80psgs941iz0ie14wngubr7&amp;st=72ye4k3y&amp;dl=0" TargetMode="External"/><Relationship Id="rId1901" Type="http://schemas.openxmlformats.org/officeDocument/2006/relationships/hyperlink" Target="https://www.dropbox.com/scl/fi/vmyju7m9m7vcyvpiqp7jw/Frazer-Yule-CROPPED.jpg?rlkey=9mb2bi57qzd1dpynqvk86fjjk&amp;st=sm3szdzr&amp;dl=0" TargetMode="External"/><Relationship Id="rId1902" Type="http://schemas.openxmlformats.org/officeDocument/2006/relationships/hyperlink" Target="https://www.dropbox.com/scl/fi/4o2dj9ipdbzhndf7r48xu/LSAR_LOGO_RGB_1lineYellow.jpg?rlkey=3x80psgs941iz0ie14wngubr7&amp;st=72ye4k3y&amp;dl=0" TargetMode="External"/><Relationship Id="rId1903" Type="http://schemas.openxmlformats.org/officeDocument/2006/relationships/hyperlink" Target="https://www.dropbox.com/scl/fi/vmyju7m9m7vcyvpiqp7jw/Frazer-Yule-CROPPED.jpg?rlkey=9mb2bi57qzd1dpynqvk86fjjk&amp;st=sm3szdzr&amp;dl=0" TargetMode="External"/><Relationship Id="rId1904" Type="http://schemas.openxmlformats.org/officeDocument/2006/relationships/hyperlink" Target="https://www.dropbox.com/scl/fi/4o2dj9ipdbzhndf7r48xu/LSAR_LOGO_RGB_1lineYellow.jpg?rlkey=3x80psgs941iz0ie14wngubr7&amp;st=72ye4k3y&amp;dl=0" TargetMode="External"/><Relationship Id="rId1905" Type="http://schemas.openxmlformats.org/officeDocument/2006/relationships/hyperlink" Target="https://www.dropbox.com/scl/fi/vmyju7m9m7vcyvpiqp7jw/Frazer-Yule-CROPPED.jpg?rlkey=9mb2bi57qzd1dpynqvk86fjjk&amp;st=sm3szdzr&amp;dl=0" TargetMode="External"/><Relationship Id="rId1906" Type="http://schemas.openxmlformats.org/officeDocument/2006/relationships/hyperlink" Target="https://www.dropbox.com/scl/fi/4o2dj9ipdbzhndf7r48xu/LSAR_LOGO_RGB_1lineYellow.jpg?rlkey=3x80psgs941iz0ie14wngubr7&amp;st=72ye4k3y&amp;dl=0" TargetMode="External"/><Relationship Id="rId1907" Type="http://schemas.openxmlformats.org/officeDocument/2006/relationships/hyperlink" Target="https://www.dropbox.com/scl/fi/vmyju7m9m7vcyvpiqp7jw/Frazer-Yule-CROPPED.jpg?rlkey=9mb2bi57qzd1dpynqvk86fjjk&amp;st=sm3szdzr&amp;dl=0" TargetMode="External"/><Relationship Id="rId1908" Type="http://schemas.openxmlformats.org/officeDocument/2006/relationships/hyperlink" Target="https://www.dropbox.com/scl/fi/4o2dj9ipdbzhndf7r48xu/LSAR_LOGO_RGB_1lineYellow.jpg?rlkey=3x80psgs941iz0ie14wngubr7&amp;st=72ye4k3y&amp;dl=0" TargetMode="External"/><Relationship Id="rId1909" Type="http://schemas.openxmlformats.org/officeDocument/2006/relationships/hyperlink" Target="https://www.dropbox.com/scl/fi/f1o60bpk30ps3cibluea1/IMG_1552.jpeg?rlkey=ba63ebin9bveulocrkkl7snhx&amp;st=e6zw5ajl&amp;dl=0" TargetMode="External"/><Relationship Id="rId198" Type="http://schemas.openxmlformats.org/officeDocument/2006/relationships/hyperlink" Target="https://www.dropbox.com/scl/fi/odnpugqeirp0tv5dig0k9/Bart-Portelli-First-National-Connect.jpg?rlkey=rpcyv1igkzsa29blxsfodlx7o&amp;st=d8ic6wg8&amp;dl=0" TargetMode="External"/><Relationship Id="rId197" Type="http://schemas.openxmlformats.org/officeDocument/2006/relationships/hyperlink" Target="https://www.dropbox.com/scl/fi/pjeoif3t9rg3w8v47sf3l/website-headshots-1.jpg?rlkey=xugdbenqd2dsannqhyqc865ak&amp;st=cqkuxjnn&amp;dl=0" TargetMode="External"/><Relationship Id="rId196" Type="http://schemas.openxmlformats.org/officeDocument/2006/relationships/hyperlink" Target="https://www.dropbox.com/scl/fi/odnpugqeirp0tv5dig0k9/Bart-Portelli-First-National-Connect.jpg?rlkey=rpcyv1igkzsa29blxsfodlx7o&amp;st=d8ic6wg8&amp;dl=0" TargetMode="External"/><Relationship Id="rId195" Type="http://schemas.openxmlformats.org/officeDocument/2006/relationships/hyperlink" Target="https://www.dropbox.com/scl/fi/pjeoif3t9rg3w8v47sf3l/website-headshots-1.jpg?rlkey=xugdbenqd2dsannqhyqc865ak&amp;st=cqkuxjnn&amp;dl=0" TargetMode="External"/><Relationship Id="rId199" Type="http://schemas.openxmlformats.org/officeDocument/2006/relationships/hyperlink" Target="https://www.dropbox.com/scl/fi/pjeoif3t9rg3w8v47sf3l/website-headshots-1.jpg?rlkey=xugdbenqd2dsannqhyqc865ak&amp;st=cqkuxjnn&amp;dl=0" TargetMode="External"/><Relationship Id="rId150" Type="http://schemas.openxmlformats.org/officeDocument/2006/relationships/hyperlink" Target="https://www.dropbox.com/scl/fi/ls1n9o6sv1rar3t61tls7/Collective_Classic_Logo_1_RGB.jpg?rlkey=arzbfxpc1w49r0dva6rnupf2t&amp;st=3qy47kv8&amp;dl=0" TargetMode="External"/><Relationship Id="rId149" Type="http://schemas.openxmlformats.org/officeDocument/2006/relationships/hyperlink" Target="https://www.dropbox.com/scl/fi/1y572jtnchmoevg3q637o/FN-Headshot-1.jpg?rlkey=h4fs20iaitgnjnudlujl2zv3q&amp;st=ms1bszl2&amp;dl=0" TargetMode="External"/><Relationship Id="rId148" Type="http://schemas.openxmlformats.org/officeDocument/2006/relationships/hyperlink" Target="https://www.dropbox.com/scl/fi/ls1n9o6sv1rar3t61tls7/Collective_Classic_Logo_1_RGB.jpg?rlkey=arzbfxpc1w49r0dva6rnupf2t&amp;st=3qy47kv8&amp;dl=0" TargetMode="External"/><Relationship Id="rId1090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091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1092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093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1094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43" Type="http://schemas.openxmlformats.org/officeDocument/2006/relationships/hyperlink" Target="https://www.dropbox.com/scl/fi/que86kuxtwr7fbewa1ztv/main-22.jpg?rlkey=zg77f7g2s8gavb058801wqwhq&amp;st=hhjmw50x&amp;dl=0" TargetMode="External"/><Relationship Id="rId1095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142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096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41" Type="http://schemas.openxmlformats.org/officeDocument/2006/relationships/hyperlink" Target="https://www.dropbox.com/scl/fi/que86kuxtwr7fbewa1ztv/main-22.jpg?rlkey=zg77f7g2s8gavb058801wqwhq&amp;st=hhjmw50x&amp;dl=0" TargetMode="External"/><Relationship Id="rId1097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140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098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47" Type="http://schemas.openxmlformats.org/officeDocument/2006/relationships/hyperlink" Target="https://www.dropbox.com/scl/fi/1y572jtnchmoevg3q637o/FN-Headshot-1.jpg?rlkey=h4fs20iaitgnjnudlujl2zv3q&amp;st=ms1bszl2&amp;dl=0" TargetMode="External"/><Relationship Id="rId1099" Type="http://schemas.openxmlformats.org/officeDocument/2006/relationships/hyperlink" Target="https://www.dropbox.com/scl/fi/63nv5zvj8zo5yniaa5iaq/4037009.jpg?rlkey=db5hl5wvats8rfe4ls2rpwlbc&amp;st=3mo2rfk3&amp;dl=0" TargetMode="External"/><Relationship Id="rId146" Type="http://schemas.openxmlformats.org/officeDocument/2006/relationships/hyperlink" Target="https://www.dropbox.com/scl/fi/ls1n9o6sv1rar3t61tls7/Collective_Classic_Logo_1_RGB.jpg?rlkey=arzbfxpc1w49r0dva6rnupf2t&amp;st=3qy47kv8&amp;dl=0" TargetMode="External"/><Relationship Id="rId145" Type="http://schemas.openxmlformats.org/officeDocument/2006/relationships/hyperlink" Target="https://www.dropbox.com/scl/fi/1y572jtnchmoevg3q637o/FN-Headshot-1.jpg?rlkey=h4fs20iaitgnjnudlujl2zv3q&amp;st=ms1bszl2&amp;dl=0" TargetMode="External"/><Relationship Id="rId144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39" Type="http://schemas.openxmlformats.org/officeDocument/2006/relationships/hyperlink" Target="https://www.dropbox.com/scl/fi/que86kuxtwr7fbewa1ztv/main-22.jpg?rlkey=zg77f7g2s8gavb058801wqwhq&amp;st=hhjmw50x&amp;dl=0" TargetMode="External"/><Relationship Id="rId138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37" Type="http://schemas.openxmlformats.org/officeDocument/2006/relationships/hyperlink" Target="https://www.dropbox.com/scl/fi/que86kuxtwr7fbewa1ztv/main-22.jpg?rlkey=zg77f7g2s8gavb058801wqwhq&amp;st=hhjmw50x&amp;dl=0" TargetMode="External"/><Relationship Id="rId1080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081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1082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083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132" Type="http://schemas.openxmlformats.org/officeDocument/2006/relationships/hyperlink" Target="https://www.dropbox.com/scl/fi/ppuwasls4iwgkcmvj4pjl/Screenshot-2025-11-14-at-1.20.04-PM.png?rlkey=z5rvyea92hdd1n20frejse3r1&amp;st=sow86p3j&amp;dl=0" TargetMode="External"/><Relationship Id="rId1084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31" Type="http://schemas.openxmlformats.org/officeDocument/2006/relationships/hyperlink" Target="https://www.dropbox.com/scl/fi/hj13osalg2bvnc4yy1smt/main-36.jpg?rlkey=32z42unzlqwmn7y773sqfzw20&amp;st=sjx9st6y&amp;dl=0" TargetMode="External"/><Relationship Id="rId1085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130" Type="http://schemas.openxmlformats.org/officeDocument/2006/relationships/hyperlink" Target="https://www.dropbox.com/scl/fi/ppuwasls4iwgkcmvj4pjl/Screenshot-2025-11-14-at-1.20.04-PM.png?rlkey=z5rvyea92hdd1n20frejse3r1&amp;st=sow86p3j&amp;dl=0" TargetMode="External"/><Relationship Id="rId1086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087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136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088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35" Type="http://schemas.openxmlformats.org/officeDocument/2006/relationships/hyperlink" Target="https://www.dropbox.com/scl/fi/que86kuxtwr7fbewa1ztv/main-22.jpg?rlkey=zg77f7g2s8gavb058801wqwhq&amp;st=hhjmw50x&amp;dl=0" TargetMode="External"/><Relationship Id="rId1089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134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33" Type="http://schemas.openxmlformats.org/officeDocument/2006/relationships/hyperlink" Target="https://www.dropbox.com/scl/fi/que86kuxtwr7fbewa1ztv/main-22.jpg?rlkey=zg77f7g2s8gavb058801wqwhq&amp;st=hhjmw50x&amp;dl=0" TargetMode="External"/><Relationship Id="rId172" Type="http://schemas.openxmlformats.org/officeDocument/2006/relationships/hyperlink" Target="https://www.dropbox.com/scl/fi/ljamsgao99af9wa36eb6v/Screenshot-2025-11-14-at-1.14.36-PM.png?rlkey=4u5kc3kfunogd4h6sm9he1ejt&amp;st=1xba29t7&amp;dl=0" TargetMode="External"/><Relationship Id="rId171" Type="http://schemas.openxmlformats.org/officeDocument/2006/relationships/hyperlink" Target="https://www.dropbox.com/scl/fi/xaq15pun5a9mrg71ociaq/main-21.jpg?rlkey=z6i9j0jaswk4w6jojlzzbt2xn&amp;st=hh538h4y&amp;dl=0" TargetMode="External"/><Relationship Id="rId170" Type="http://schemas.openxmlformats.org/officeDocument/2006/relationships/hyperlink" Target="https://www.dropbox.com/scl/fi/ljamsgao99af9wa36eb6v/Screenshot-2025-11-14-at-1.14.36-PM.png?rlkey=4u5kc3kfunogd4h6sm9he1ejt&amp;st=1xba29t7&amp;dl=0" TargetMode="External"/><Relationship Id="rId165" Type="http://schemas.openxmlformats.org/officeDocument/2006/relationships/hyperlink" Target="https://www.dropbox.com/scl/fi/xaq15pun5a9mrg71ociaq/main-21.jpg?rlkey=z6i9j0jaswk4w6jojlzzbt2xn&amp;st=hh538h4y&amp;dl=0" TargetMode="External"/><Relationship Id="rId164" Type="http://schemas.openxmlformats.org/officeDocument/2006/relationships/hyperlink" Target="https://www.dropbox.com/scl/fi/ls1n9o6sv1rar3t61tls7/Collective_Classic_Logo_1_RGB.jpg?rlkey=arzbfxpc1w49r0dva6rnupf2t&amp;st=3qy47kv8&amp;dl=0" TargetMode="External"/><Relationship Id="rId163" Type="http://schemas.openxmlformats.org/officeDocument/2006/relationships/hyperlink" Target="https://www.dropbox.com/scl/fi/1y572jtnchmoevg3q637o/FN-Headshot-1.jpg?rlkey=h4fs20iaitgnjnudlujl2zv3q&amp;st=ms1bszl2&amp;dl=0" TargetMode="External"/><Relationship Id="rId162" Type="http://schemas.openxmlformats.org/officeDocument/2006/relationships/hyperlink" Target="https://www.dropbox.com/scl/fi/ls1n9o6sv1rar3t61tls7/Collective_Classic_Logo_1_RGB.jpg?rlkey=arzbfxpc1w49r0dva6rnupf2t&amp;st=3qy47kv8&amp;dl=0" TargetMode="External"/><Relationship Id="rId169" Type="http://schemas.openxmlformats.org/officeDocument/2006/relationships/hyperlink" Target="https://www.dropbox.com/scl/fi/xaq15pun5a9mrg71ociaq/main-21.jpg?rlkey=z6i9j0jaswk4w6jojlzzbt2xn&amp;st=hh538h4y&amp;dl=0" TargetMode="External"/><Relationship Id="rId168" Type="http://schemas.openxmlformats.org/officeDocument/2006/relationships/hyperlink" Target="https://www.dropbox.com/scl/fi/ljamsgao99af9wa36eb6v/Screenshot-2025-11-14-at-1.14.36-PM.png?rlkey=4u5kc3kfunogd4h6sm9he1ejt&amp;st=1xba29t7&amp;dl=0" TargetMode="External"/><Relationship Id="rId167" Type="http://schemas.openxmlformats.org/officeDocument/2006/relationships/hyperlink" Target="https://www.dropbox.com/scl/fi/xaq15pun5a9mrg71ociaq/main-21.jpg?rlkey=z6i9j0jaswk4w6jojlzzbt2xn&amp;st=hh538h4y&amp;dl=0" TargetMode="External"/><Relationship Id="rId166" Type="http://schemas.openxmlformats.org/officeDocument/2006/relationships/hyperlink" Target="https://www.dropbox.com/scl/fi/ljamsgao99af9wa36eb6v/Screenshot-2025-11-14-at-1.14.36-PM.png?rlkey=4u5kc3kfunogd4h6sm9he1ejt&amp;st=1xba29t7&amp;dl=0" TargetMode="External"/><Relationship Id="rId161" Type="http://schemas.openxmlformats.org/officeDocument/2006/relationships/hyperlink" Target="https://www.dropbox.com/scl/fi/1y572jtnchmoevg3q637o/FN-Headshot-1.jpg?rlkey=h4fs20iaitgnjnudlujl2zv3q&amp;st=ms1bszl2&amp;dl=0" TargetMode="External"/><Relationship Id="rId160" Type="http://schemas.openxmlformats.org/officeDocument/2006/relationships/hyperlink" Target="https://www.dropbox.com/scl/fi/ls1n9o6sv1rar3t61tls7/Collective_Classic_Logo_1_RGB.jpg?rlkey=arzbfxpc1w49r0dva6rnupf2t&amp;st=3qy47kv8&amp;dl=0" TargetMode="External"/><Relationship Id="rId159" Type="http://schemas.openxmlformats.org/officeDocument/2006/relationships/hyperlink" Target="https://www.dropbox.com/scl/fi/1y572jtnchmoevg3q637o/FN-Headshot-1.jpg?rlkey=h4fs20iaitgnjnudlujl2zv3q&amp;st=ms1bszl2&amp;dl=0" TargetMode="External"/><Relationship Id="rId154" Type="http://schemas.openxmlformats.org/officeDocument/2006/relationships/hyperlink" Target="https://www.dropbox.com/scl/fi/ls1n9o6sv1rar3t61tls7/Collective_Classic_Logo_1_RGB.jpg?rlkey=arzbfxpc1w49r0dva6rnupf2t&amp;st=3qy47kv8&amp;dl=0" TargetMode="External"/><Relationship Id="rId153" Type="http://schemas.openxmlformats.org/officeDocument/2006/relationships/hyperlink" Target="https://www.dropbox.com/scl/fi/1y572jtnchmoevg3q637o/FN-Headshot-1.jpg?rlkey=h4fs20iaitgnjnudlujl2zv3q&amp;st=ms1bszl2&amp;dl=0" TargetMode="External"/><Relationship Id="rId152" Type="http://schemas.openxmlformats.org/officeDocument/2006/relationships/hyperlink" Target="https://www.dropbox.com/scl/fi/ls1n9o6sv1rar3t61tls7/Collective_Classic_Logo_1_RGB.jpg?rlkey=arzbfxpc1w49r0dva6rnupf2t&amp;st=3qy47kv8&amp;dl=0" TargetMode="External"/><Relationship Id="rId151" Type="http://schemas.openxmlformats.org/officeDocument/2006/relationships/hyperlink" Target="https://www.dropbox.com/scl/fi/1y572jtnchmoevg3q637o/FN-Headshot-1.jpg?rlkey=h4fs20iaitgnjnudlujl2zv3q&amp;st=ms1bszl2&amp;dl=0" TargetMode="External"/><Relationship Id="rId158" Type="http://schemas.openxmlformats.org/officeDocument/2006/relationships/hyperlink" Target="https://www.dropbox.com/scl/fi/ls1n9o6sv1rar3t61tls7/Collective_Classic_Logo_1_RGB.jpg?rlkey=arzbfxpc1w49r0dva6rnupf2t&amp;st=3qy47kv8&amp;dl=0" TargetMode="External"/><Relationship Id="rId157" Type="http://schemas.openxmlformats.org/officeDocument/2006/relationships/hyperlink" Target="https://www.dropbox.com/scl/fi/1y572jtnchmoevg3q637o/FN-Headshot-1.jpg?rlkey=h4fs20iaitgnjnudlujl2zv3q&amp;st=ms1bszl2&amp;dl=0" TargetMode="External"/><Relationship Id="rId156" Type="http://schemas.openxmlformats.org/officeDocument/2006/relationships/hyperlink" Target="https://www.dropbox.com/scl/fi/ls1n9o6sv1rar3t61tls7/Collective_Classic_Logo_1_RGB.jpg?rlkey=arzbfxpc1w49r0dva6rnupf2t&amp;st=3qy47kv8&amp;dl=0" TargetMode="External"/><Relationship Id="rId155" Type="http://schemas.openxmlformats.org/officeDocument/2006/relationships/hyperlink" Target="https://www.dropbox.com/scl/fi/1y572jtnchmoevg3q637o/FN-Headshot-1.jpg?rlkey=h4fs20iaitgnjnudlujl2zv3q&amp;st=ms1bszl2&amp;dl=0" TargetMode="External"/><Relationship Id="rId1972" Type="http://schemas.openxmlformats.org/officeDocument/2006/relationships/hyperlink" Target="https://www.dropbox.com/scl/fi/7bgyseizbj84coc0gfx4r/Screenshot-2026-02-26-at-10.47.50-AM.png?rlkey=npvrrwrj18zldcznd9d30jp5u&amp;st=5pmvvp5r&amp;dl=0" TargetMode="External"/><Relationship Id="rId1973" Type="http://schemas.openxmlformats.org/officeDocument/2006/relationships/hyperlink" Target="https://www.dropbox.com/scl/fi/rbh0wcrqviwasx4w78s7w/main-38.jpg?rlkey=mgp1oa4kppn0yk876dj70lyne&amp;st=cui0m6y1&amp;dl=0" TargetMode="External"/><Relationship Id="rId1974" Type="http://schemas.openxmlformats.org/officeDocument/2006/relationships/hyperlink" Target="https://www.dropbox.com/scl/fi/7bgyseizbj84coc0gfx4r/Screenshot-2026-02-26-at-10.47.50-AM.png?rlkey=npvrrwrj18zldcznd9d30jp5u&amp;st=5pmvvp5r&amp;dl=0" TargetMode="External"/><Relationship Id="rId1975" Type="http://schemas.openxmlformats.org/officeDocument/2006/relationships/hyperlink" Target="https://www.dropbox.com/scl/fi/rbh0wcrqviwasx4w78s7w/main-38.jpg?rlkey=mgp1oa4kppn0yk876dj70lyne&amp;st=cui0m6y1&amp;dl=0" TargetMode="External"/><Relationship Id="rId1976" Type="http://schemas.openxmlformats.org/officeDocument/2006/relationships/hyperlink" Target="https://www.dropbox.com/scl/fi/7bgyseizbj84coc0gfx4r/Screenshot-2026-02-26-at-10.47.50-AM.png?rlkey=npvrrwrj18zldcznd9d30jp5u&amp;st=5pmvvp5r&amp;dl=0" TargetMode="External"/><Relationship Id="rId1977" Type="http://schemas.openxmlformats.org/officeDocument/2006/relationships/hyperlink" Target="https://www.dropbox.com/scl/fi/guf64hwheaeilccot66hj/29WattsPropertyGroup-rized-2.jpg?rlkey=utmj48flqw40pq0rj5mg4x9rj&amp;st=6x4vs39m&amp;dl=0" TargetMode="External"/><Relationship Id="rId1978" Type="http://schemas.openxmlformats.org/officeDocument/2006/relationships/hyperlink" Target="https://www.dropbox.com/scl/fi/1x29aw54e4edtk0hm015f/callumdocker1_250980835427060_6484774798024970311_WPG-Logo-FA-Large6.png?rlkey=eey590gmv2lrjmul08ph1wxuw&amp;st=0v9wtr3r&amp;dl=0" TargetMode="External"/><Relationship Id="rId1979" Type="http://schemas.openxmlformats.org/officeDocument/2006/relationships/hyperlink" Target="https://www.dropbox.com/scl/fi/guf64hwheaeilccot66hj/29WattsPropertyGroup-rized-2.jpg?rlkey=utmj48flqw40pq0rj5mg4x9rj&amp;st=6x4vs39m&amp;dl=0" TargetMode="External"/><Relationship Id="rId1970" Type="http://schemas.openxmlformats.org/officeDocument/2006/relationships/hyperlink" Target="https://www.dropbox.com/scl/fi/7bgyseizbj84coc0gfx4r/Screenshot-2026-02-26-at-10.47.50-AM.png?rlkey=npvrrwrj18zldcznd9d30jp5u&amp;st=5pmvvp5r&amp;dl=0" TargetMode="External"/><Relationship Id="rId1971" Type="http://schemas.openxmlformats.org/officeDocument/2006/relationships/hyperlink" Target="https://www.dropbox.com/scl/fi/rbh0wcrqviwasx4w78s7w/main-38.jpg?rlkey=mgp1oa4kppn0yk876dj70lyne&amp;st=cui0m6y1&amp;dl=0" TargetMode="External"/><Relationship Id="rId1961" Type="http://schemas.openxmlformats.org/officeDocument/2006/relationships/hyperlink" Target="https://www.dropbox.com/scl/fi/rbh0wcrqviwasx4w78s7w/main-38.jpg?rlkey=mgp1oa4kppn0yk876dj70lyne&amp;st=cui0m6y1&amp;dl=0" TargetMode="External"/><Relationship Id="rId1962" Type="http://schemas.openxmlformats.org/officeDocument/2006/relationships/hyperlink" Target="https://www.dropbox.com/scl/fi/7bgyseizbj84coc0gfx4r/Screenshot-2026-02-26-at-10.47.50-AM.png?rlkey=npvrrwrj18zldcznd9d30jp5u&amp;st=5pmvvp5r&amp;dl=0" TargetMode="External"/><Relationship Id="rId1963" Type="http://schemas.openxmlformats.org/officeDocument/2006/relationships/hyperlink" Target="https://www.dropbox.com/scl/fi/rbh0wcrqviwasx4w78s7w/main-38.jpg?rlkey=mgp1oa4kppn0yk876dj70lyne&amp;st=cui0m6y1&amp;dl=0" TargetMode="External"/><Relationship Id="rId1964" Type="http://schemas.openxmlformats.org/officeDocument/2006/relationships/hyperlink" Target="https://www.dropbox.com/scl/fi/7bgyseizbj84coc0gfx4r/Screenshot-2026-02-26-at-10.47.50-AM.png?rlkey=npvrrwrj18zldcznd9d30jp5u&amp;st=5pmvvp5r&amp;dl=0" TargetMode="External"/><Relationship Id="rId1965" Type="http://schemas.openxmlformats.org/officeDocument/2006/relationships/hyperlink" Target="https://www.dropbox.com/scl/fi/rbh0wcrqviwasx4w78s7w/main-38.jpg?rlkey=mgp1oa4kppn0yk876dj70lyne&amp;st=cui0m6y1&amp;dl=0" TargetMode="External"/><Relationship Id="rId1966" Type="http://schemas.openxmlformats.org/officeDocument/2006/relationships/hyperlink" Target="https://www.dropbox.com/scl/fi/7bgyseizbj84coc0gfx4r/Screenshot-2026-02-26-at-10.47.50-AM.png?rlkey=npvrrwrj18zldcznd9d30jp5u&amp;st=5pmvvp5r&amp;dl=0" TargetMode="External"/><Relationship Id="rId1967" Type="http://schemas.openxmlformats.org/officeDocument/2006/relationships/hyperlink" Target="https://www.dropbox.com/scl/fi/rbh0wcrqviwasx4w78s7w/main-38.jpg?rlkey=mgp1oa4kppn0yk876dj70lyne&amp;st=cui0m6y1&amp;dl=0" TargetMode="External"/><Relationship Id="rId1968" Type="http://schemas.openxmlformats.org/officeDocument/2006/relationships/hyperlink" Target="https://www.dropbox.com/scl/fi/7bgyseizbj84coc0gfx4r/Screenshot-2026-02-26-at-10.47.50-AM.png?rlkey=npvrrwrj18zldcznd9d30jp5u&amp;st=5pmvvp5r&amp;dl=0" TargetMode="External"/><Relationship Id="rId1969" Type="http://schemas.openxmlformats.org/officeDocument/2006/relationships/hyperlink" Target="https://www.dropbox.com/scl/fi/rbh0wcrqviwasx4w78s7w/main-38.jpg?rlkey=mgp1oa4kppn0yk876dj70lyne&amp;st=cui0m6y1&amp;dl=0" TargetMode="External"/><Relationship Id="rId1960" Type="http://schemas.openxmlformats.org/officeDocument/2006/relationships/hyperlink" Target="https://www.dropbox.com/scl/fi/7bgyseizbj84coc0gfx4r/Screenshot-2026-02-26-at-10.47.50-AM.png?rlkey=npvrrwrj18zldcznd9d30jp5u&amp;st=5pmvvp5r&amp;dl=0" TargetMode="External"/><Relationship Id="rId1510" Type="http://schemas.openxmlformats.org/officeDocument/2006/relationships/hyperlink" Target="https://www.dropbox.com/scl/fi/rcr6gkz3vohe36sflm51i/REA-logo-v2.jpg?rlkey=gj54azu14b1uw1qa75yl6crs5&amp;st=p54fu10j&amp;dl=0" TargetMode="External"/><Relationship Id="rId1994" Type="http://schemas.openxmlformats.org/officeDocument/2006/relationships/hyperlink" Target="https://www.dropbox.com/scl/fi/hqaq6xysfrh0re0gq67m8/Southern-Living-Property-02.jpg?rlkey=byxw3hdrt64xgv7xuh6c6s570&amp;st=py9gf2l0&amp;dl=0" TargetMode="External"/><Relationship Id="rId1511" Type="http://schemas.openxmlformats.org/officeDocument/2006/relationships/hyperlink" Target="https://www.dropbox.com/scl/fi/2kmra6rwv14fetd7sku89/realstate.jpg?rlkey=2e6j75k747ellx0orw8uxtcxz&amp;st=5e1asu6v&amp;dl=0" TargetMode="External"/><Relationship Id="rId1995" Type="http://schemas.openxmlformats.org/officeDocument/2006/relationships/hyperlink" Target="https://www.dropbox.com/scl/fi/mkfm0jmqlnfm0x9cjcg63/PETER-WILLIAMS-BEST1.jpg?rlkey=sqjd20rstkkb3wsj62b17563g&amp;st=y20szpaq&amp;dl=0" TargetMode="External"/><Relationship Id="rId1512" Type="http://schemas.openxmlformats.org/officeDocument/2006/relationships/hyperlink" Target="https://www.dropbox.com/scl/fi/rcr6gkz3vohe36sflm51i/REA-logo-v2.jpg?rlkey=gj54azu14b1uw1qa75yl6crs5&amp;st=p54fu10j&amp;dl=0" TargetMode="External"/><Relationship Id="rId1996" Type="http://schemas.openxmlformats.org/officeDocument/2006/relationships/hyperlink" Target="https://www.dropbox.com/scl/fi/hqaq6xysfrh0re0gq67m8/Southern-Living-Property-02.jpg?rlkey=byxw3hdrt64xgv7xuh6c6s570&amp;st=py9gf2l0&amp;dl=0" TargetMode="External"/><Relationship Id="rId1513" Type="http://schemas.openxmlformats.org/officeDocument/2006/relationships/hyperlink" Target="https://www.dropbox.com/scl/fi/2kmra6rwv14fetd7sku89/realstate.jpg?rlkey=2e6j75k747ellx0orw8uxtcxz&amp;st=5e1asu6v&amp;dl=0" TargetMode="External"/><Relationship Id="rId1997" Type="http://schemas.openxmlformats.org/officeDocument/2006/relationships/hyperlink" Target="https://www.dropbox.com/scl/fi/mkfm0jmqlnfm0x9cjcg63/PETER-WILLIAMS-BEST1.jpg?rlkey=sqjd20rstkkb3wsj62b17563g&amp;st=y20szpaq&amp;dl=0" TargetMode="External"/><Relationship Id="rId1514" Type="http://schemas.openxmlformats.org/officeDocument/2006/relationships/hyperlink" Target="https://www.dropbox.com/scl/fi/rcr6gkz3vohe36sflm51i/REA-logo-v2.jpg?rlkey=gj54azu14b1uw1qa75yl6crs5&amp;st=p54fu10j&amp;dl=0" TargetMode="External"/><Relationship Id="rId1998" Type="http://schemas.openxmlformats.org/officeDocument/2006/relationships/hyperlink" Target="https://www.dropbox.com/scl/fi/hqaq6xysfrh0re0gq67m8/Southern-Living-Property-02.jpg?rlkey=byxw3hdrt64xgv7xuh6c6s570&amp;st=py9gf2l0&amp;dl=0" TargetMode="External"/><Relationship Id="rId1515" Type="http://schemas.openxmlformats.org/officeDocument/2006/relationships/hyperlink" Target="https://www.dropbox.com/scl/fi/2kmra6rwv14fetd7sku89/realstate.jpg?rlkey=2e6j75k747ellx0orw8uxtcxz&amp;st=5e1asu6v&amp;dl=0" TargetMode="External"/><Relationship Id="rId1999" Type="http://schemas.openxmlformats.org/officeDocument/2006/relationships/hyperlink" Target="https://www.dropbox.com/scl/fi/mkfm0jmqlnfm0x9cjcg63/PETER-WILLIAMS-BEST1.jpg?rlkey=sqjd20rstkkb3wsj62b17563g&amp;st=y20szpaq&amp;dl=0" TargetMode="External"/><Relationship Id="rId1516" Type="http://schemas.openxmlformats.org/officeDocument/2006/relationships/hyperlink" Target="https://www.dropbox.com/scl/fi/rcr6gkz3vohe36sflm51i/REA-logo-v2.jpg?rlkey=gj54azu14b1uw1qa75yl6crs5&amp;st=p54fu10j&amp;dl=0" TargetMode="External"/><Relationship Id="rId1517" Type="http://schemas.openxmlformats.org/officeDocument/2006/relationships/hyperlink" Target="https://www.dropbox.com/scl/fi/2kmra6rwv14fetd7sku89/realstate.jpg?rlkey=2e6j75k747ellx0orw8uxtcxz&amp;st=5e1asu6v&amp;dl=0" TargetMode="External"/><Relationship Id="rId1518" Type="http://schemas.openxmlformats.org/officeDocument/2006/relationships/hyperlink" Target="https://www.dropbox.com/scl/fi/rcr6gkz3vohe36sflm51i/REA-logo-v2.jpg?rlkey=gj54azu14b1uw1qa75yl6crs5&amp;st=p54fu10j&amp;dl=0" TargetMode="External"/><Relationship Id="rId1519" Type="http://schemas.openxmlformats.org/officeDocument/2006/relationships/hyperlink" Target="https://www.dropbox.com/scl/fi/2kmra6rwv14fetd7sku89/realstate.jpg?rlkey=2e6j75k747ellx0orw8uxtcxz&amp;st=5e1asu6v&amp;dl=0" TargetMode="External"/><Relationship Id="rId1990" Type="http://schemas.openxmlformats.org/officeDocument/2006/relationships/hyperlink" Target="https://www.dropbox.com/scl/fi/hqaq6xysfrh0re0gq67m8/Southern-Living-Property-02.jpg?rlkey=byxw3hdrt64xgv7xuh6c6s570&amp;st=py9gf2l0&amp;dl=0" TargetMode="External"/><Relationship Id="rId1991" Type="http://schemas.openxmlformats.org/officeDocument/2006/relationships/hyperlink" Target="https://www.dropbox.com/scl/fi/mkfm0jmqlnfm0x9cjcg63/PETER-WILLIAMS-BEST1.jpg?rlkey=sqjd20rstkkb3wsj62b17563g&amp;st=y20szpaq&amp;dl=0" TargetMode="External"/><Relationship Id="rId1992" Type="http://schemas.openxmlformats.org/officeDocument/2006/relationships/hyperlink" Target="https://www.dropbox.com/scl/fi/hqaq6xysfrh0re0gq67m8/Southern-Living-Property-02.jpg?rlkey=byxw3hdrt64xgv7xuh6c6s570&amp;st=py9gf2l0&amp;dl=0" TargetMode="External"/><Relationship Id="rId1993" Type="http://schemas.openxmlformats.org/officeDocument/2006/relationships/hyperlink" Target="https://www.dropbox.com/scl/fi/mkfm0jmqlnfm0x9cjcg63/PETER-WILLIAMS-BEST1.jpg?rlkey=sqjd20rstkkb3wsj62b17563g&amp;st=y20szpaq&amp;dl=0" TargetMode="External"/><Relationship Id="rId1983" Type="http://schemas.openxmlformats.org/officeDocument/2006/relationships/hyperlink" Target="https://www.dropbox.com/scl/fi/guf64hwheaeilccot66hj/29WattsPropertyGroup-rized-2.jpg?rlkey=utmj48flqw40pq0rj5mg4x9rj&amp;st=6x4vs39m&amp;dl=0" TargetMode="External"/><Relationship Id="rId1500" Type="http://schemas.openxmlformats.org/officeDocument/2006/relationships/hyperlink" Target="https://www.dropbox.com/scl/fi/wy7a06niqgbpie3ftos7j/Screenshot-2026-02-02-at-2.33.24-PM.png?rlkey=igi5yafrb24h4wr6z0ydwkn7g&amp;st=09q62f8n&amp;dl=0" TargetMode="External"/><Relationship Id="rId1984" Type="http://schemas.openxmlformats.org/officeDocument/2006/relationships/hyperlink" Target="https://www.dropbox.com/scl/fi/1x29aw54e4edtk0hm015f/callumdocker1_250980835427060_6484774798024970311_WPG-Logo-FA-Large6.png?rlkey=eey590gmv2lrjmul08ph1wxuw&amp;st=0v9wtr3r&amp;dl=0" TargetMode="External"/><Relationship Id="rId1501" Type="http://schemas.openxmlformats.org/officeDocument/2006/relationships/hyperlink" Target="https://www.dropbox.com/scl/fi/st7ghj8wwbhm0b82kjrdd/Brett-Sparks-Domain-Highres.jpg?rlkey=py9x7fmgiq50foijg7p3mm986&amp;st=f2uhpm7x&amp;dl=0" TargetMode="External"/><Relationship Id="rId1985" Type="http://schemas.openxmlformats.org/officeDocument/2006/relationships/hyperlink" Target="https://www.dropbox.com/scl/fi/guf64hwheaeilccot66hj/29WattsPropertyGroup-rized-2.jpg?rlkey=utmj48flqw40pq0rj5mg4x9rj&amp;st=6x4vs39m&amp;dl=0" TargetMode="External"/><Relationship Id="rId1502" Type="http://schemas.openxmlformats.org/officeDocument/2006/relationships/hyperlink" Target="https://www.dropbox.com/scl/fi/wy7a06niqgbpie3ftos7j/Screenshot-2026-02-02-at-2.33.24-PM.png?rlkey=igi5yafrb24h4wr6z0ydwkn7g&amp;st=09q62f8n&amp;dl=0" TargetMode="External"/><Relationship Id="rId1986" Type="http://schemas.openxmlformats.org/officeDocument/2006/relationships/hyperlink" Target="https://www.dropbox.com/scl/fi/1x29aw54e4edtk0hm015f/callumdocker1_250980835427060_6484774798024970311_WPG-Logo-FA-Large6.png?rlkey=eey590gmv2lrjmul08ph1wxuw&amp;st=0v9wtr3r&amp;dl=0" TargetMode="External"/><Relationship Id="rId1503" Type="http://schemas.openxmlformats.org/officeDocument/2006/relationships/hyperlink" Target="https://www.dropbox.com/scl/fi/st7ghj8wwbhm0b82kjrdd/Brett-Sparks-Domain-Highres.jpg?rlkey=py9x7fmgiq50foijg7p3mm986&amp;st=f2uhpm7x&amp;dl=0" TargetMode="External"/><Relationship Id="rId1987" Type="http://schemas.openxmlformats.org/officeDocument/2006/relationships/hyperlink" Target="https://www.dropbox.com/scl/fi/guf64hwheaeilccot66hj/29WattsPropertyGroup-rized-2.jpg?rlkey=utmj48flqw40pq0rj5mg4x9rj&amp;st=6x4vs39m&amp;dl=0" TargetMode="External"/><Relationship Id="rId1504" Type="http://schemas.openxmlformats.org/officeDocument/2006/relationships/hyperlink" Target="https://www.dropbox.com/scl/fi/wy7a06niqgbpie3ftos7j/Screenshot-2026-02-02-at-2.33.24-PM.png?rlkey=igi5yafrb24h4wr6z0ydwkn7g&amp;st=09q62f8n&amp;dl=0" TargetMode="External"/><Relationship Id="rId1988" Type="http://schemas.openxmlformats.org/officeDocument/2006/relationships/hyperlink" Target="https://www.dropbox.com/scl/fi/1x29aw54e4edtk0hm015f/callumdocker1_250980835427060_6484774798024970311_WPG-Logo-FA-Large6.png?rlkey=eey590gmv2lrjmul08ph1wxuw&amp;st=0v9wtr3r&amp;dl=0" TargetMode="External"/><Relationship Id="rId1505" Type="http://schemas.openxmlformats.org/officeDocument/2006/relationships/hyperlink" Target="https://www.dropbox.com/scl/fi/st7ghj8wwbhm0b82kjrdd/Brett-Sparks-Domain-Highres.jpg?rlkey=py9x7fmgiq50foijg7p3mm986&amp;st=f2uhpm7x&amp;dl=0" TargetMode="External"/><Relationship Id="rId1989" Type="http://schemas.openxmlformats.org/officeDocument/2006/relationships/hyperlink" Target="https://www.dropbox.com/scl/fi/mkfm0jmqlnfm0x9cjcg63/PETER-WILLIAMS-BEST1.jpg?rlkey=sqjd20rstkkb3wsj62b17563g&amp;st=y20szpaq&amp;dl=0" TargetMode="External"/><Relationship Id="rId1506" Type="http://schemas.openxmlformats.org/officeDocument/2006/relationships/hyperlink" Target="https://www.dropbox.com/scl/fi/wy7a06niqgbpie3ftos7j/Screenshot-2026-02-02-at-2.33.24-PM.png?rlkey=igi5yafrb24h4wr6z0ydwkn7g&amp;st=09q62f8n&amp;dl=0" TargetMode="External"/><Relationship Id="rId1507" Type="http://schemas.openxmlformats.org/officeDocument/2006/relationships/hyperlink" Target="https://www.dropbox.com/scl/fi/st7ghj8wwbhm0b82kjrdd/Brett-Sparks-Domain-Highres.jpg?rlkey=py9x7fmgiq50foijg7p3mm986&amp;st=f2uhpm7x&amp;dl=0" TargetMode="External"/><Relationship Id="rId1508" Type="http://schemas.openxmlformats.org/officeDocument/2006/relationships/hyperlink" Target="https://www.dropbox.com/scl/fi/wy7a06niqgbpie3ftos7j/Screenshot-2026-02-02-at-2.33.24-PM.png?rlkey=igi5yafrb24h4wr6z0ydwkn7g&amp;st=09q62f8n&amp;dl=0" TargetMode="External"/><Relationship Id="rId1509" Type="http://schemas.openxmlformats.org/officeDocument/2006/relationships/hyperlink" Target="https://www.dropbox.com/scl/fi/2kmra6rwv14fetd7sku89/realstate.jpg?rlkey=2e6j75k747ellx0orw8uxtcxz&amp;st=5e1asu6v&amp;dl=0" TargetMode="External"/><Relationship Id="rId1980" Type="http://schemas.openxmlformats.org/officeDocument/2006/relationships/hyperlink" Target="https://www.dropbox.com/scl/fi/1x29aw54e4edtk0hm015f/callumdocker1_250980835427060_6484774798024970311_WPG-Logo-FA-Large6.png?rlkey=eey590gmv2lrjmul08ph1wxuw&amp;st=0v9wtr3r&amp;dl=0" TargetMode="External"/><Relationship Id="rId1981" Type="http://schemas.openxmlformats.org/officeDocument/2006/relationships/hyperlink" Target="https://www.dropbox.com/scl/fi/guf64hwheaeilccot66hj/29WattsPropertyGroup-rized-2.jpg?rlkey=utmj48flqw40pq0rj5mg4x9rj&amp;st=6x4vs39m&amp;dl=0" TargetMode="External"/><Relationship Id="rId1982" Type="http://schemas.openxmlformats.org/officeDocument/2006/relationships/hyperlink" Target="https://www.dropbox.com/scl/fi/1x29aw54e4edtk0hm015f/callumdocker1_250980835427060_6484774798024970311_WPG-Logo-FA-Large6.png?rlkey=eey590gmv2lrjmul08ph1wxuw&amp;st=0v9wtr3r&amp;dl=0" TargetMode="External"/><Relationship Id="rId1930" Type="http://schemas.openxmlformats.org/officeDocument/2006/relationships/hyperlink" Target="https://www.dropbox.com/scl/fi/7bgyseizbj84coc0gfx4r/Screenshot-2026-02-26-at-10.47.50-AM.png?rlkey=npvrrwrj18zldcznd9d30jp5u&amp;st=5pmvvp5r&amp;dl=0" TargetMode="External"/><Relationship Id="rId1931" Type="http://schemas.openxmlformats.org/officeDocument/2006/relationships/hyperlink" Target="https://www.dropbox.com/scl/fi/rbh0wcrqviwasx4w78s7w/main-38.jpg?rlkey=mgp1oa4kppn0yk876dj70lyne&amp;st=cui0m6y1&amp;dl=0" TargetMode="External"/><Relationship Id="rId1932" Type="http://schemas.openxmlformats.org/officeDocument/2006/relationships/hyperlink" Target="https://www.dropbox.com/scl/fi/7bgyseizbj84coc0gfx4r/Screenshot-2026-02-26-at-10.47.50-AM.png?rlkey=npvrrwrj18zldcznd9d30jp5u&amp;st=5pmvvp5r&amp;dl=0" TargetMode="External"/><Relationship Id="rId1933" Type="http://schemas.openxmlformats.org/officeDocument/2006/relationships/hyperlink" Target="https://www.dropbox.com/scl/fi/rbh0wcrqviwasx4w78s7w/main-38.jpg?rlkey=mgp1oa4kppn0yk876dj70lyne&amp;st=cui0m6y1&amp;dl=0" TargetMode="External"/><Relationship Id="rId1934" Type="http://schemas.openxmlformats.org/officeDocument/2006/relationships/hyperlink" Target="https://www.dropbox.com/scl/fi/7bgyseizbj84coc0gfx4r/Screenshot-2026-02-26-at-10.47.50-AM.png?rlkey=npvrrwrj18zldcznd9d30jp5u&amp;st=5pmvvp5r&amp;dl=0" TargetMode="External"/><Relationship Id="rId1935" Type="http://schemas.openxmlformats.org/officeDocument/2006/relationships/hyperlink" Target="https://www.dropbox.com/scl/fi/rbh0wcrqviwasx4w78s7w/main-38.jpg?rlkey=mgp1oa4kppn0yk876dj70lyne&amp;st=cui0m6y1&amp;dl=0" TargetMode="External"/><Relationship Id="rId1936" Type="http://schemas.openxmlformats.org/officeDocument/2006/relationships/hyperlink" Target="https://www.dropbox.com/scl/fi/7bgyseizbj84coc0gfx4r/Screenshot-2026-02-26-at-10.47.50-AM.png?rlkey=npvrrwrj18zldcznd9d30jp5u&amp;st=5pmvvp5r&amp;dl=0" TargetMode="External"/><Relationship Id="rId1937" Type="http://schemas.openxmlformats.org/officeDocument/2006/relationships/hyperlink" Target="https://www.dropbox.com/scl/fi/rbh0wcrqviwasx4w78s7w/main-38.jpg?rlkey=mgp1oa4kppn0yk876dj70lyne&amp;st=cui0m6y1&amp;dl=0" TargetMode="External"/><Relationship Id="rId1938" Type="http://schemas.openxmlformats.org/officeDocument/2006/relationships/hyperlink" Target="https://www.dropbox.com/scl/fi/7bgyseizbj84coc0gfx4r/Screenshot-2026-02-26-at-10.47.50-AM.png?rlkey=npvrrwrj18zldcznd9d30jp5u&amp;st=5pmvvp5r&amp;dl=0" TargetMode="External"/><Relationship Id="rId1939" Type="http://schemas.openxmlformats.org/officeDocument/2006/relationships/hyperlink" Target="https://www.dropbox.com/scl/fi/rbh0wcrqviwasx4w78s7w/main-38.jpg?rlkey=mgp1oa4kppn0yk876dj70lyne&amp;st=cui0m6y1&amp;dl=0" TargetMode="External"/><Relationship Id="rId1920" Type="http://schemas.openxmlformats.org/officeDocument/2006/relationships/hyperlink" Target="https://www.dropbox.com/scl/fi/7bgyseizbj84coc0gfx4r/Screenshot-2026-02-26-at-10.47.50-AM.png?rlkey=npvrrwrj18zldcznd9d30jp5u&amp;st=5pmvvp5r&amp;dl=0" TargetMode="External"/><Relationship Id="rId1921" Type="http://schemas.openxmlformats.org/officeDocument/2006/relationships/hyperlink" Target="https://www.dropbox.com/scl/fi/rbh0wcrqviwasx4w78s7w/main-38.jpg?rlkey=mgp1oa4kppn0yk876dj70lyne&amp;st=cui0m6y1&amp;dl=0" TargetMode="External"/><Relationship Id="rId1922" Type="http://schemas.openxmlformats.org/officeDocument/2006/relationships/hyperlink" Target="https://www.dropbox.com/scl/fi/7bgyseizbj84coc0gfx4r/Screenshot-2026-02-26-at-10.47.50-AM.png?rlkey=npvrrwrj18zldcznd9d30jp5u&amp;st=5pmvvp5r&amp;dl=0" TargetMode="External"/><Relationship Id="rId1923" Type="http://schemas.openxmlformats.org/officeDocument/2006/relationships/hyperlink" Target="https://www.dropbox.com/scl/fi/rbh0wcrqviwasx4w78s7w/main-38.jpg?rlkey=mgp1oa4kppn0yk876dj70lyne&amp;st=cui0m6y1&amp;dl=0" TargetMode="External"/><Relationship Id="rId1924" Type="http://schemas.openxmlformats.org/officeDocument/2006/relationships/hyperlink" Target="https://www.dropbox.com/scl/fi/7bgyseizbj84coc0gfx4r/Screenshot-2026-02-26-at-10.47.50-AM.png?rlkey=npvrrwrj18zldcznd9d30jp5u&amp;st=5pmvvp5r&amp;dl=0" TargetMode="External"/><Relationship Id="rId1925" Type="http://schemas.openxmlformats.org/officeDocument/2006/relationships/hyperlink" Target="https://www.dropbox.com/scl/fi/rbh0wcrqviwasx4w78s7w/main-38.jpg?rlkey=mgp1oa4kppn0yk876dj70lyne&amp;st=cui0m6y1&amp;dl=0" TargetMode="External"/><Relationship Id="rId1926" Type="http://schemas.openxmlformats.org/officeDocument/2006/relationships/hyperlink" Target="https://www.dropbox.com/scl/fi/7bgyseizbj84coc0gfx4r/Screenshot-2026-02-26-at-10.47.50-AM.png?rlkey=npvrrwrj18zldcznd9d30jp5u&amp;st=5pmvvp5r&amp;dl=0" TargetMode="External"/><Relationship Id="rId1927" Type="http://schemas.openxmlformats.org/officeDocument/2006/relationships/hyperlink" Target="https://www.dropbox.com/scl/fi/rbh0wcrqviwasx4w78s7w/main-38.jpg?rlkey=mgp1oa4kppn0yk876dj70lyne&amp;st=cui0m6y1&amp;dl=0" TargetMode="External"/><Relationship Id="rId1928" Type="http://schemas.openxmlformats.org/officeDocument/2006/relationships/hyperlink" Target="https://www.dropbox.com/scl/fi/7bgyseizbj84coc0gfx4r/Screenshot-2026-02-26-at-10.47.50-AM.png?rlkey=npvrrwrj18zldcznd9d30jp5u&amp;st=5pmvvp5r&amp;dl=0" TargetMode="External"/><Relationship Id="rId1929" Type="http://schemas.openxmlformats.org/officeDocument/2006/relationships/hyperlink" Target="https://www.dropbox.com/scl/fi/rbh0wcrqviwasx4w78s7w/main-38.jpg?rlkey=mgp1oa4kppn0yk876dj70lyne&amp;st=cui0m6y1&amp;dl=0" TargetMode="External"/><Relationship Id="rId1950" Type="http://schemas.openxmlformats.org/officeDocument/2006/relationships/hyperlink" Target="https://www.dropbox.com/scl/fi/7bgyseizbj84coc0gfx4r/Screenshot-2026-02-26-at-10.47.50-AM.png?rlkey=npvrrwrj18zldcznd9d30jp5u&amp;st=5pmvvp5r&amp;dl=0" TargetMode="External"/><Relationship Id="rId1951" Type="http://schemas.openxmlformats.org/officeDocument/2006/relationships/hyperlink" Target="https://www.dropbox.com/scl/fi/rbh0wcrqviwasx4w78s7w/main-38.jpg?rlkey=mgp1oa4kppn0yk876dj70lyne&amp;st=cui0m6y1&amp;dl=0" TargetMode="External"/><Relationship Id="rId1952" Type="http://schemas.openxmlformats.org/officeDocument/2006/relationships/hyperlink" Target="https://www.dropbox.com/scl/fi/7bgyseizbj84coc0gfx4r/Screenshot-2026-02-26-at-10.47.50-AM.png?rlkey=npvrrwrj18zldcznd9d30jp5u&amp;st=5pmvvp5r&amp;dl=0" TargetMode="External"/><Relationship Id="rId1953" Type="http://schemas.openxmlformats.org/officeDocument/2006/relationships/hyperlink" Target="https://www.dropbox.com/scl/fi/rbh0wcrqviwasx4w78s7w/main-38.jpg?rlkey=mgp1oa4kppn0yk876dj70lyne&amp;st=cui0m6y1&amp;dl=0" TargetMode="External"/><Relationship Id="rId1954" Type="http://schemas.openxmlformats.org/officeDocument/2006/relationships/hyperlink" Target="https://www.dropbox.com/scl/fi/7bgyseizbj84coc0gfx4r/Screenshot-2026-02-26-at-10.47.50-AM.png?rlkey=npvrrwrj18zldcznd9d30jp5u&amp;st=5pmvvp5r&amp;dl=0" TargetMode="External"/><Relationship Id="rId1955" Type="http://schemas.openxmlformats.org/officeDocument/2006/relationships/hyperlink" Target="https://www.dropbox.com/scl/fi/rbh0wcrqviwasx4w78s7w/main-38.jpg?rlkey=mgp1oa4kppn0yk876dj70lyne&amp;st=cui0m6y1&amp;dl=0" TargetMode="External"/><Relationship Id="rId1956" Type="http://schemas.openxmlformats.org/officeDocument/2006/relationships/hyperlink" Target="https://www.dropbox.com/scl/fi/7bgyseizbj84coc0gfx4r/Screenshot-2026-02-26-at-10.47.50-AM.png?rlkey=npvrrwrj18zldcznd9d30jp5u&amp;st=5pmvvp5r&amp;dl=0" TargetMode="External"/><Relationship Id="rId1957" Type="http://schemas.openxmlformats.org/officeDocument/2006/relationships/hyperlink" Target="https://www.dropbox.com/scl/fi/rbh0wcrqviwasx4w78s7w/main-38.jpg?rlkey=mgp1oa4kppn0yk876dj70lyne&amp;st=cui0m6y1&amp;dl=0" TargetMode="External"/><Relationship Id="rId1958" Type="http://schemas.openxmlformats.org/officeDocument/2006/relationships/hyperlink" Target="https://www.dropbox.com/scl/fi/7bgyseizbj84coc0gfx4r/Screenshot-2026-02-26-at-10.47.50-AM.png?rlkey=npvrrwrj18zldcznd9d30jp5u&amp;st=5pmvvp5r&amp;dl=0" TargetMode="External"/><Relationship Id="rId1959" Type="http://schemas.openxmlformats.org/officeDocument/2006/relationships/hyperlink" Target="https://www.dropbox.com/scl/fi/rbh0wcrqviwasx4w78s7w/main-38.jpg?rlkey=mgp1oa4kppn0yk876dj70lyne&amp;st=cui0m6y1&amp;dl=0" TargetMode="External"/><Relationship Id="rId1940" Type="http://schemas.openxmlformats.org/officeDocument/2006/relationships/hyperlink" Target="https://www.dropbox.com/scl/fi/7bgyseizbj84coc0gfx4r/Screenshot-2026-02-26-at-10.47.50-AM.png?rlkey=npvrrwrj18zldcznd9d30jp5u&amp;st=5pmvvp5r&amp;dl=0" TargetMode="External"/><Relationship Id="rId1941" Type="http://schemas.openxmlformats.org/officeDocument/2006/relationships/hyperlink" Target="https://www.dropbox.com/scl/fi/rbh0wcrqviwasx4w78s7w/main-38.jpg?rlkey=mgp1oa4kppn0yk876dj70lyne&amp;st=cui0m6y1&amp;dl=0" TargetMode="External"/><Relationship Id="rId1942" Type="http://schemas.openxmlformats.org/officeDocument/2006/relationships/hyperlink" Target="https://www.dropbox.com/scl/fi/7bgyseizbj84coc0gfx4r/Screenshot-2026-02-26-at-10.47.50-AM.png?rlkey=npvrrwrj18zldcznd9d30jp5u&amp;st=5pmvvp5r&amp;dl=0" TargetMode="External"/><Relationship Id="rId1943" Type="http://schemas.openxmlformats.org/officeDocument/2006/relationships/hyperlink" Target="https://www.dropbox.com/scl/fi/rbh0wcrqviwasx4w78s7w/main-38.jpg?rlkey=mgp1oa4kppn0yk876dj70lyne&amp;st=cui0m6y1&amp;dl=0" TargetMode="External"/><Relationship Id="rId1944" Type="http://schemas.openxmlformats.org/officeDocument/2006/relationships/hyperlink" Target="https://www.dropbox.com/scl/fi/7bgyseizbj84coc0gfx4r/Screenshot-2026-02-26-at-10.47.50-AM.png?rlkey=npvrrwrj18zldcznd9d30jp5u&amp;st=5pmvvp5r&amp;dl=0" TargetMode="External"/><Relationship Id="rId1945" Type="http://schemas.openxmlformats.org/officeDocument/2006/relationships/hyperlink" Target="https://www.dropbox.com/scl/fi/rbh0wcrqviwasx4w78s7w/main-38.jpg?rlkey=mgp1oa4kppn0yk876dj70lyne&amp;st=cui0m6y1&amp;dl=0" TargetMode="External"/><Relationship Id="rId1946" Type="http://schemas.openxmlformats.org/officeDocument/2006/relationships/hyperlink" Target="https://www.dropbox.com/scl/fi/7bgyseizbj84coc0gfx4r/Screenshot-2026-02-26-at-10.47.50-AM.png?rlkey=npvrrwrj18zldcznd9d30jp5u&amp;st=5pmvvp5r&amp;dl=0" TargetMode="External"/><Relationship Id="rId1947" Type="http://schemas.openxmlformats.org/officeDocument/2006/relationships/hyperlink" Target="https://www.dropbox.com/scl/fi/rbh0wcrqviwasx4w78s7w/main-38.jpg?rlkey=mgp1oa4kppn0yk876dj70lyne&amp;st=cui0m6y1&amp;dl=0" TargetMode="External"/><Relationship Id="rId1948" Type="http://schemas.openxmlformats.org/officeDocument/2006/relationships/hyperlink" Target="https://www.dropbox.com/scl/fi/7bgyseizbj84coc0gfx4r/Screenshot-2026-02-26-at-10.47.50-AM.png?rlkey=npvrrwrj18zldcznd9d30jp5u&amp;st=5pmvvp5r&amp;dl=0" TargetMode="External"/><Relationship Id="rId1949" Type="http://schemas.openxmlformats.org/officeDocument/2006/relationships/hyperlink" Target="https://www.dropbox.com/scl/fi/rbh0wcrqviwasx4w78s7w/main-38.jpg?rlkey=mgp1oa4kppn0yk876dj70lyne&amp;st=cui0m6y1&amp;dl=0" TargetMode="External"/><Relationship Id="rId1576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577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578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579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509" Type="http://schemas.openxmlformats.org/officeDocument/2006/relationships/hyperlink" Target="https://www.dropbox.com/scl/fi/tjdo0k4hyl7hamma2syjs/main-35.jpg?rlkey=lf45mh4apndxqgvygi2aefjxn&amp;st=5wwv96qc&amp;dl=0" TargetMode="External"/><Relationship Id="rId508" Type="http://schemas.openxmlformats.org/officeDocument/2006/relationships/hyperlink" Target="https://www.dropbox.com/scl/fi/fgdyy0kj1gppoioiayi8w/PLACE.png?rlkey=pboadcqnf1x19auaso5nswo7o&amp;st=ttn556dj&amp;dl=0" TargetMode="External"/><Relationship Id="rId503" Type="http://schemas.openxmlformats.org/officeDocument/2006/relationships/hyperlink" Target="https://www.dropbox.com/scl/fi/tjdo0k4hyl7hamma2syjs/main-35.jpg?rlkey=lf45mh4apndxqgvygi2aefjxn&amp;st=5wwv96qc&amp;dl=0" TargetMode="External"/><Relationship Id="rId987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502" Type="http://schemas.openxmlformats.org/officeDocument/2006/relationships/hyperlink" Target="https://www.dropbox.com/scl/fi/fgdyy0kj1gppoioiayi8w/PLACE.png?rlkey=pboadcqnf1x19auaso5nswo7o&amp;st=ttn556dj&amp;dl=0" TargetMode="External"/><Relationship Id="rId986" Type="http://schemas.openxmlformats.org/officeDocument/2006/relationships/hyperlink" Target="https://www.dropbox.com/scl/fi/4nqrsmxac56s1snfa4k6c/jblogo-w-emoji.png?rlkey=5r605ls9unapihucsv44zign2&amp;st=qduf40c6&amp;dl=0" TargetMode="External"/><Relationship Id="rId501" Type="http://schemas.openxmlformats.org/officeDocument/2006/relationships/hyperlink" Target="https://www.dropbox.com/scl/fi/tjdo0k4hyl7hamma2syjs/main-35.jpg?rlkey=lf45mh4apndxqgvygi2aefjxn&amp;st=5wwv96qc&amp;dl=0" TargetMode="External"/><Relationship Id="rId985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500" Type="http://schemas.openxmlformats.org/officeDocument/2006/relationships/hyperlink" Target="https://www.dropbox.com/scl/fi/fgdyy0kj1gppoioiayi8w/PLACE.png?rlkey=pboadcqnf1x19auaso5nswo7o&amp;st=ttn556dj&amp;dl=0" TargetMode="External"/><Relationship Id="rId984" Type="http://schemas.openxmlformats.org/officeDocument/2006/relationships/hyperlink" Target="https://www.dropbox.com/scl/fi/4nqrsmxac56s1snfa4k6c/jblogo-w-emoji.png?rlkey=5r605ls9unapihucsv44zign2&amp;st=qduf40c6&amp;dl=0" TargetMode="External"/><Relationship Id="rId507" Type="http://schemas.openxmlformats.org/officeDocument/2006/relationships/hyperlink" Target="https://www.dropbox.com/scl/fi/tjdo0k4hyl7hamma2syjs/main-35.jpg?rlkey=lf45mh4apndxqgvygi2aefjxn&amp;st=5wwv96qc&amp;dl=0" TargetMode="External"/><Relationship Id="rId506" Type="http://schemas.openxmlformats.org/officeDocument/2006/relationships/hyperlink" Target="https://www.dropbox.com/scl/fi/fgdyy0kj1gppoioiayi8w/PLACE.png?rlkey=pboadcqnf1x19auaso5nswo7o&amp;st=ttn556dj&amp;dl=0" TargetMode="External"/><Relationship Id="rId505" Type="http://schemas.openxmlformats.org/officeDocument/2006/relationships/hyperlink" Target="https://www.dropbox.com/scl/fi/tjdo0k4hyl7hamma2syjs/main-35.jpg?rlkey=lf45mh4apndxqgvygi2aefjxn&amp;st=5wwv96qc&amp;dl=0" TargetMode="External"/><Relationship Id="rId989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504" Type="http://schemas.openxmlformats.org/officeDocument/2006/relationships/hyperlink" Target="https://www.dropbox.com/scl/fi/fgdyy0kj1gppoioiayi8w/PLACE.png?rlkey=pboadcqnf1x19auaso5nswo7o&amp;st=ttn556dj&amp;dl=0" TargetMode="External"/><Relationship Id="rId988" Type="http://schemas.openxmlformats.org/officeDocument/2006/relationships/hyperlink" Target="https://www.dropbox.com/scl/fi/4nqrsmxac56s1snfa4k6c/jblogo-w-emoji.png?rlkey=5r605ls9unapihucsv44zign2&amp;st=qduf40c6&amp;dl=0" TargetMode="External"/><Relationship Id="rId1570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571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983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1572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982" Type="http://schemas.openxmlformats.org/officeDocument/2006/relationships/hyperlink" Target="https://www.dropbox.com/scl/fi/4nqrsmxac56s1snfa4k6c/jblogo-w-emoji.png?rlkey=5r605ls9unapihucsv44zign2&amp;st=qduf40c6&amp;dl=0" TargetMode="External"/><Relationship Id="rId1573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981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1574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980" Type="http://schemas.openxmlformats.org/officeDocument/2006/relationships/hyperlink" Target="https://www.dropbox.com/scl/fi/4nqrsmxac56s1snfa4k6c/jblogo-w-emoji.png?rlkey=5r605ls9unapihucsv44zign2&amp;st=qduf40c6&amp;dl=0" TargetMode="External"/><Relationship Id="rId1575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565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566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567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568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569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976" Type="http://schemas.openxmlformats.org/officeDocument/2006/relationships/hyperlink" Target="https://www.dropbox.com/scl/fi/4nqrsmxac56s1snfa4k6c/jblogo-w-emoji.png?rlkey=5r605ls9unapihucsv44zign2&amp;st=qduf40c6&amp;dl=0" TargetMode="External"/><Relationship Id="rId975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974" Type="http://schemas.openxmlformats.org/officeDocument/2006/relationships/hyperlink" Target="https://www.dropbox.com/scl/fi/4nqrsmxac56s1snfa4k6c/jblogo-w-emoji.png?rlkey=5r605ls9unapihucsv44zign2&amp;st=qduf40c6&amp;dl=0" TargetMode="External"/><Relationship Id="rId973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979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978" Type="http://schemas.openxmlformats.org/officeDocument/2006/relationships/hyperlink" Target="https://www.dropbox.com/scl/fi/4nqrsmxac56s1snfa4k6c/jblogo-w-emoji.png?rlkey=5r605ls9unapihucsv44zign2&amp;st=qduf40c6&amp;dl=0" TargetMode="External"/><Relationship Id="rId977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1560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972" Type="http://schemas.openxmlformats.org/officeDocument/2006/relationships/hyperlink" Target="https://www.dropbox.com/scl/fi/4nqrsmxac56s1snfa4k6c/jblogo-w-emoji.png?rlkey=5r605ls9unapihucsv44zign2&amp;st=qduf40c6&amp;dl=0" TargetMode="External"/><Relationship Id="rId1561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971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1562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970" Type="http://schemas.openxmlformats.org/officeDocument/2006/relationships/hyperlink" Target="https://www.dropbox.com/scl/fi/4nqrsmxac56s1snfa4k6c/jblogo-w-emoji.png?rlkey=5r605ls9unapihucsv44zign2&amp;st=qduf40c6&amp;dl=0" TargetMode="External"/><Relationship Id="rId1563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564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114" Type="http://schemas.openxmlformats.org/officeDocument/2006/relationships/hyperlink" Target="https://www.dropbox.com/scl/fi/l70kd6bsg93eifml5mf4b/The-Agency-Logo.png?rlkey=s1w40sont5uk3dmicwvwha67t&amp;st=702jhjqz&amp;dl=0" TargetMode="External"/><Relationship Id="rId1598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115" Type="http://schemas.openxmlformats.org/officeDocument/2006/relationships/hyperlink" Target="https://www.dropbox.com/scl/fi/aqlrqakocerqp81kl393y/main-11.png?rlkey=ylzxqu0vw707dcwi30k69z28m&amp;st=mcxogv6q&amp;dl=0" TargetMode="External"/><Relationship Id="rId1599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116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117" Type="http://schemas.openxmlformats.org/officeDocument/2006/relationships/hyperlink" Target="https://www.dropbox.com/scl/fi/aqlrqakocerqp81kl393y/main-11.png?rlkey=ylzxqu0vw707dcwi30k69z28m&amp;st=mcxogv6q&amp;dl=0" TargetMode="External"/><Relationship Id="rId1118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119" Type="http://schemas.openxmlformats.org/officeDocument/2006/relationships/hyperlink" Target="https://www.dropbox.com/scl/fi/aqlrqakocerqp81kl393y/main-11.png?rlkey=ylzxqu0vw707dcwi30k69z28m&amp;st=mcxogv6q&amp;dl=0" TargetMode="External"/><Relationship Id="rId525" Type="http://schemas.openxmlformats.org/officeDocument/2006/relationships/hyperlink" Target="https://www.dropbox.com/scl/fi/znhn925we1hwcbfdjva0a/main-5.jpg?rlkey=fqhijidhf7fmbhpdvuvzv11j4&amp;st=glcsszsb&amp;dl=0" TargetMode="External"/><Relationship Id="rId524" Type="http://schemas.openxmlformats.org/officeDocument/2006/relationships/hyperlink" Target="https://www.dropbox.com/scl/fi/6uy8t91pbw9wopvoms0a9/place_logo_white.webp?rlkey=yft7rddaogv93huvmsrf1v24r&amp;st=vrnar0lo&amp;dl=0" TargetMode="External"/><Relationship Id="rId523" Type="http://schemas.openxmlformats.org/officeDocument/2006/relationships/hyperlink" Target="https://www.dropbox.com/scl/fi/znhn925we1hwcbfdjva0a/main-5.jpg?rlkey=fqhijidhf7fmbhpdvuvzv11j4&amp;st=glcsszsb&amp;dl=0" TargetMode="External"/><Relationship Id="rId522" Type="http://schemas.openxmlformats.org/officeDocument/2006/relationships/hyperlink" Target="https://www.dropbox.com/scl/fi/6uy8t91pbw9wopvoms0a9/place_logo_white.webp?rlkey=yft7rddaogv93huvmsrf1v24r&amp;st=vrnar0lo&amp;dl=0" TargetMode="External"/><Relationship Id="rId529" Type="http://schemas.openxmlformats.org/officeDocument/2006/relationships/hyperlink" Target="https://www.dropbox.com/scl/fi/znhn925we1hwcbfdjva0a/main-5.jpg?rlkey=fqhijidhf7fmbhpdvuvzv11j4&amp;st=glcsszsb&amp;dl=0" TargetMode="External"/><Relationship Id="rId528" Type="http://schemas.openxmlformats.org/officeDocument/2006/relationships/hyperlink" Target="https://www.dropbox.com/scl/fi/6uy8t91pbw9wopvoms0a9/place_logo_white.webp?rlkey=yft7rddaogv93huvmsrf1v24r&amp;st=vrnar0lo&amp;dl=0" TargetMode="External"/><Relationship Id="rId527" Type="http://schemas.openxmlformats.org/officeDocument/2006/relationships/hyperlink" Target="https://www.dropbox.com/scl/fi/znhn925we1hwcbfdjva0a/main-5.jpg?rlkey=fqhijidhf7fmbhpdvuvzv11j4&amp;st=glcsszsb&amp;dl=0" TargetMode="External"/><Relationship Id="rId526" Type="http://schemas.openxmlformats.org/officeDocument/2006/relationships/hyperlink" Target="https://www.dropbox.com/scl/fi/6uy8t91pbw9wopvoms0a9/place_logo_white.webp?rlkey=yft7rddaogv93huvmsrf1v24r&amp;st=vrnar0lo&amp;dl=0" TargetMode="External"/><Relationship Id="rId1590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591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592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593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521" Type="http://schemas.openxmlformats.org/officeDocument/2006/relationships/hyperlink" Target="https://www.dropbox.com/scl/fi/znhn925we1hwcbfdjva0a/main-5.jpg?rlkey=fqhijidhf7fmbhpdvuvzv11j4&amp;st=glcsszsb&amp;dl=0" TargetMode="External"/><Relationship Id="rId1110" Type="http://schemas.openxmlformats.org/officeDocument/2006/relationships/hyperlink" Target="https://www.dropbox.com/scl/fi/l70kd6bsg93eifml5mf4b/The-Agency-Logo.png?rlkey=s1w40sont5uk3dmicwvwha67t&amp;st=702jhjqz&amp;dl=0" TargetMode="External"/><Relationship Id="rId1594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520" Type="http://schemas.openxmlformats.org/officeDocument/2006/relationships/hyperlink" Target="https://www.dropbox.com/scl/fi/6uy8t91pbw9wopvoms0a9/place_logo_white.webp?rlkey=yft7rddaogv93huvmsrf1v24r&amp;st=vrnar0lo&amp;dl=0" TargetMode="External"/><Relationship Id="rId1111" Type="http://schemas.openxmlformats.org/officeDocument/2006/relationships/hyperlink" Target="https://www.dropbox.com/scl/fi/63nv5zvj8zo5yniaa5iaq/4037009.jpg?rlkey=db5hl5wvats8rfe4ls2rpwlbc&amp;st=3mo2rfk3&amp;dl=0" TargetMode="External"/><Relationship Id="rId1595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112" Type="http://schemas.openxmlformats.org/officeDocument/2006/relationships/hyperlink" Target="https://www.dropbox.com/scl/fi/l70kd6bsg93eifml5mf4b/The-Agency-Logo.png?rlkey=s1w40sont5uk3dmicwvwha67t&amp;st=702jhjqz&amp;dl=0" TargetMode="External"/><Relationship Id="rId1596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113" Type="http://schemas.openxmlformats.org/officeDocument/2006/relationships/hyperlink" Target="https://www.dropbox.com/scl/fi/63nv5zvj8zo5yniaa5iaq/4037009.jpg?rlkey=db5hl5wvats8rfe4ls2rpwlbc&amp;st=3mo2rfk3&amp;dl=0" TargetMode="External"/><Relationship Id="rId1597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103" Type="http://schemas.openxmlformats.org/officeDocument/2006/relationships/hyperlink" Target="https://www.dropbox.com/scl/fi/63nv5zvj8zo5yniaa5iaq/4037009.jpg?rlkey=db5hl5wvats8rfe4ls2rpwlbc&amp;st=3mo2rfk3&amp;dl=0" TargetMode="External"/><Relationship Id="rId1587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104" Type="http://schemas.openxmlformats.org/officeDocument/2006/relationships/hyperlink" Target="https://www.dropbox.com/scl/fi/l70kd6bsg93eifml5mf4b/The-Agency-Logo.png?rlkey=s1w40sont5uk3dmicwvwha67t&amp;st=702jhjqz&amp;dl=0" TargetMode="External"/><Relationship Id="rId1588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105" Type="http://schemas.openxmlformats.org/officeDocument/2006/relationships/hyperlink" Target="https://www.dropbox.com/scl/fi/63nv5zvj8zo5yniaa5iaq/4037009.jpg?rlkey=db5hl5wvats8rfe4ls2rpwlbc&amp;st=3mo2rfk3&amp;dl=0" TargetMode="External"/><Relationship Id="rId1589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106" Type="http://schemas.openxmlformats.org/officeDocument/2006/relationships/hyperlink" Target="https://www.dropbox.com/scl/fi/l70kd6bsg93eifml5mf4b/The-Agency-Logo.png?rlkey=s1w40sont5uk3dmicwvwha67t&amp;st=702jhjqz&amp;dl=0" TargetMode="External"/><Relationship Id="rId1107" Type="http://schemas.openxmlformats.org/officeDocument/2006/relationships/hyperlink" Target="https://www.dropbox.com/scl/fi/63nv5zvj8zo5yniaa5iaq/4037009.jpg?rlkey=db5hl5wvats8rfe4ls2rpwlbc&amp;st=3mo2rfk3&amp;dl=0" TargetMode="External"/><Relationship Id="rId1108" Type="http://schemas.openxmlformats.org/officeDocument/2006/relationships/hyperlink" Target="https://www.dropbox.com/scl/fi/l70kd6bsg93eifml5mf4b/The-Agency-Logo.png?rlkey=s1w40sont5uk3dmicwvwha67t&amp;st=702jhjqz&amp;dl=0" TargetMode="External"/><Relationship Id="rId1109" Type="http://schemas.openxmlformats.org/officeDocument/2006/relationships/hyperlink" Target="https://www.dropbox.com/scl/fi/63nv5zvj8zo5yniaa5iaq/4037009.jpg?rlkey=db5hl5wvats8rfe4ls2rpwlbc&amp;st=3mo2rfk3&amp;dl=0" TargetMode="External"/><Relationship Id="rId519" Type="http://schemas.openxmlformats.org/officeDocument/2006/relationships/hyperlink" Target="https://www.dropbox.com/scl/fi/znhn925we1hwcbfdjva0a/main-5.jpg?rlkey=fqhijidhf7fmbhpdvuvzv11j4&amp;st=glcsszsb&amp;dl=0" TargetMode="External"/><Relationship Id="rId514" Type="http://schemas.openxmlformats.org/officeDocument/2006/relationships/hyperlink" Target="https://www.dropbox.com/scl/fi/6uy8t91pbw9wopvoms0a9/place_logo_white.webp?rlkey=yft7rddaogv93huvmsrf1v24r&amp;st=vrnar0lo&amp;dl=0" TargetMode="External"/><Relationship Id="rId998" Type="http://schemas.openxmlformats.org/officeDocument/2006/relationships/hyperlink" Target="https://www.dropbox.com/scl/fi/4nqrsmxac56s1snfa4k6c/jblogo-w-emoji.png?rlkey=5r605ls9unapihucsv44zign2&amp;st=qduf40c6&amp;dl=0" TargetMode="External"/><Relationship Id="rId513" Type="http://schemas.openxmlformats.org/officeDocument/2006/relationships/hyperlink" Target="https://www.dropbox.com/scl/fi/znhn925we1hwcbfdjva0a/main-5.jpg?rlkey=fqhijidhf7fmbhpdvuvzv11j4&amp;st=glcsszsb&amp;dl=0" TargetMode="External"/><Relationship Id="rId997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512" Type="http://schemas.openxmlformats.org/officeDocument/2006/relationships/hyperlink" Target="https://www.dropbox.com/scl/fi/6uy8t91pbw9wopvoms0a9/place_logo_white.webp?rlkey=yft7rddaogv93huvmsrf1v24r&amp;st=vrnar0lo&amp;dl=0" TargetMode="External"/><Relationship Id="rId996" Type="http://schemas.openxmlformats.org/officeDocument/2006/relationships/hyperlink" Target="https://www.dropbox.com/scl/fi/4nqrsmxac56s1snfa4k6c/jblogo-w-emoji.png?rlkey=5r605ls9unapihucsv44zign2&amp;st=qduf40c6&amp;dl=0" TargetMode="External"/><Relationship Id="rId511" Type="http://schemas.openxmlformats.org/officeDocument/2006/relationships/hyperlink" Target="https://www.dropbox.com/scl/fi/znhn925we1hwcbfdjva0a/main-5.jpg?rlkey=fqhijidhf7fmbhpdvuvzv11j4&amp;st=glcsszsb&amp;dl=0" TargetMode="External"/><Relationship Id="rId995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518" Type="http://schemas.openxmlformats.org/officeDocument/2006/relationships/hyperlink" Target="https://www.dropbox.com/scl/fi/6uy8t91pbw9wopvoms0a9/place_logo_white.webp?rlkey=yft7rddaogv93huvmsrf1v24r&amp;st=vrnar0lo&amp;dl=0" TargetMode="External"/><Relationship Id="rId517" Type="http://schemas.openxmlformats.org/officeDocument/2006/relationships/hyperlink" Target="https://www.dropbox.com/scl/fi/znhn925we1hwcbfdjva0a/main-5.jpg?rlkey=fqhijidhf7fmbhpdvuvzv11j4&amp;st=glcsszsb&amp;dl=0" TargetMode="External"/><Relationship Id="rId516" Type="http://schemas.openxmlformats.org/officeDocument/2006/relationships/hyperlink" Target="https://www.dropbox.com/scl/fi/6uy8t91pbw9wopvoms0a9/place_logo_white.webp?rlkey=yft7rddaogv93huvmsrf1v24r&amp;st=vrnar0lo&amp;dl=0" TargetMode="External"/><Relationship Id="rId515" Type="http://schemas.openxmlformats.org/officeDocument/2006/relationships/hyperlink" Target="https://www.dropbox.com/scl/fi/znhn925we1hwcbfdjva0a/main-5.jpg?rlkey=fqhijidhf7fmbhpdvuvzv11j4&amp;st=glcsszsb&amp;dl=0" TargetMode="External"/><Relationship Id="rId999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990" Type="http://schemas.openxmlformats.org/officeDocument/2006/relationships/hyperlink" Target="https://www.dropbox.com/scl/fi/4nqrsmxac56s1snfa4k6c/jblogo-w-emoji.png?rlkey=5r605ls9unapihucsv44zign2&amp;st=qduf40c6&amp;dl=0" TargetMode="External"/><Relationship Id="rId1580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581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582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510" Type="http://schemas.openxmlformats.org/officeDocument/2006/relationships/hyperlink" Target="https://www.dropbox.com/scl/fi/fgdyy0kj1gppoioiayi8w/PLACE.png?rlkey=pboadcqnf1x19auaso5nswo7o&amp;st=ttn556dj&amp;dl=0" TargetMode="External"/><Relationship Id="rId994" Type="http://schemas.openxmlformats.org/officeDocument/2006/relationships/hyperlink" Target="https://www.dropbox.com/scl/fi/4nqrsmxac56s1snfa4k6c/jblogo-w-emoji.png?rlkey=5r605ls9unapihucsv44zign2&amp;st=qduf40c6&amp;dl=0" TargetMode="External"/><Relationship Id="rId1583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993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1100" Type="http://schemas.openxmlformats.org/officeDocument/2006/relationships/hyperlink" Target="https://www.dropbox.com/scl/fi/l70kd6bsg93eifml5mf4b/The-Agency-Logo.png?rlkey=s1w40sont5uk3dmicwvwha67t&amp;st=702jhjqz&amp;dl=0" TargetMode="External"/><Relationship Id="rId1584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992" Type="http://schemas.openxmlformats.org/officeDocument/2006/relationships/hyperlink" Target="https://www.dropbox.com/scl/fi/4nqrsmxac56s1snfa4k6c/jblogo-w-emoji.png?rlkey=5r605ls9unapihucsv44zign2&amp;st=qduf40c6&amp;dl=0" TargetMode="External"/><Relationship Id="rId1101" Type="http://schemas.openxmlformats.org/officeDocument/2006/relationships/hyperlink" Target="https://www.dropbox.com/scl/fi/63nv5zvj8zo5yniaa5iaq/4037009.jpg?rlkey=db5hl5wvats8rfe4ls2rpwlbc&amp;st=3mo2rfk3&amp;dl=0" TargetMode="External"/><Relationship Id="rId1585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991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1102" Type="http://schemas.openxmlformats.org/officeDocument/2006/relationships/hyperlink" Target="https://www.dropbox.com/scl/fi/l70kd6bsg93eifml5mf4b/The-Agency-Logo.png?rlkey=s1w40sont5uk3dmicwvwha67t&amp;st=702jhjqz&amp;dl=0" TargetMode="External"/><Relationship Id="rId1586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532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533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534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535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536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537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538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539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949" Type="http://schemas.openxmlformats.org/officeDocument/2006/relationships/hyperlink" Target="https://www.dropbox.com/scl/fi/swbih48ons87xd6r90pvw/c0767381-7472-49c1-99d7-3ce66433da35.jpeg?rlkey=697rdwmo9wndqifaw8nrgrpso&amp;st=6toyjfbc&amp;dl=0" TargetMode="External"/><Relationship Id="rId948" Type="http://schemas.openxmlformats.org/officeDocument/2006/relationships/hyperlink" Target="https://www.dropbox.com/scl/fi/kjng67t816ywa9ljej2u1/callumdocker1_250980835427060_6458055994123790062_Screenshot-2026-02-02-113853.png?rlkey=9pyj9w69p1ml72q8adup05cya&amp;st=pxhpxkry&amp;dl=0" TargetMode="External"/><Relationship Id="rId943" Type="http://schemas.openxmlformats.org/officeDocument/2006/relationships/hyperlink" Target="https://www.dropbox.com/scl/fi/swbih48ons87xd6r90pvw/c0767381-7472-49c1-99d7-3ce66433da35.jpeg?rlkey=697rdwmo9wndqifaw8nrgrpso&amp;st=6toyjfbc&amp;dl=0" TargetMode="External"/><Relationship Id="rId942" Type="http://schemas.openxmlformats.org/officeDocument/2006/relationships/hyperlink" Target="https://www.dropbox.com/scl/fi/kjng67t816ywa9ljej2u1/callumdocker1_250980835427060_6458055994123790062_Screenshot-2026-02-02-113853.png?rlkey=9pyj9w69p1ml72q8adup05cya&amp;st=pxhpxkry&amp;dl=0" TargetMode="External"/><Relationship Id="rId941" Type="http://schemas.openxmlformats.org/officeDocument/2006/relationships/hyperlink" Target="https://www.dropbox.com/scl/fi/swbih48ons87xd6r90pvw/c0767381-7472-49c1-99d7-3ce66433da35.jpeg?rlkey=697rdwmo9wndqifaw8nrgrpso&amp;st=6toyjfbc&amp;dl=0" TargetMode="External"/><Relationship Id="rId940" Type="http://schemas.openxmlformats.org/officeDocument/2006/relationships/hyperlink" Target="https://www.dropbox.com/scl/fi/kjng67t816ywa9ljej2u1/callumdocker1_250980835427060_6458055994123790062_Screenshot-2026-02-02-113853.png?rlkey=9pyj9w69p1ml72q8adup05cya&amp;st=pxhpxkry&amp;dl=0" TargetMode="External"/><Relationship Id="rId947" Type="http://schemas.openxmlformats.org/officeDocument/2006/relationships/hyperlink" Target="https://www.dropbox.com/scl/fi/swbih48ons87xd6r90pvw/c0767381-7472-49c1-99d7-3ce66433da35.jpeg?rlkey=697rdwmo9wndqifaw8nrgrpso&amp;st=6toyjfbc&amp;dl=0" TargetMode="External"/><Relationship Id="rId946" Type="http://schemas.openxmlformats.org/officeDocument/2006/relationships/hyperlink" Target="https://www.dropbox.com/scl/fi/kjng67t816ywa9ljej2u1/callumdocker1_250980835427060_6458055994123790062_Screenshot-2026-02-02-113853.png?rlkey=9pyj9w69p1ml72q8adup05cya&amp;st=pxhpxkry&amp;dl=0" TargetMode="External"/><Relationship Id="rId945" Type="http://schemas.openxmlformats.org/officeDocument/2006/relationships/hyperlink" Target="https://www.dropbox.com/scl/fi/swbih48ons87xd6r90pvw/c0767381-7472-49c1-99d7-3ce66433da35.jpeg?rlkey=697rdwmo9wndqifaw8nrgrpso&amp;st=6toyjfbc&amp;dl=0" TargetMode="External"/><Relationship Id="rId944" Type="http://schemas.openxmlformats.org/officeDocument/2006/relationships/hyperlink" Target="https://www.dropbox.com/scl/fi/kjng67t816ywa9ljej2u1/callumdocker1_250980835427060_6458055994123790062_Screenshot-2026-02-02-113853.png?rlkey=9pyj9w69p1ml72q8adup05cya&amp;st=pxhpxkry&amp;dl=0" TargetMode="External"/><Relationship Id="rId1530" Type="http://schemas.openxmlformats.org/officeDocument/2006/relationships/hyperlink" Target="https://www.dropbox.com/scl/fi/rcr6gkz3vohe36sflm51i/REA-logo-v2.jpg?rlkey=gj54azu14b1uw1qa75yl6crs5&amp;st=p54fu10j&amp;dl=0" TargetMode="External"/><Relationship Id="rId1531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521" Type="http://schemas.openxmlformats.org/officeDocument/2006/relationships/hyperlink" Target="https://www.dropbox.com/scl/fi/2kmra6rwv14fetd7sku89/realstate.jpg?rlkey=2e6j75k747ellx0orw8uxtcxz&amp;st=5e1asu6v&amp;dl=0" TargetMode="External"/><Relationship Id="rId1522" Type="http://schemas.openxmlformats.org/officeDocument/2006/relationships/hyperlink" Target="https://www.dropbox.com/scl/fi/rcr6gkz3vohe36sflm51i/REA-logo-v2.jpg?rlkey=gj54azu14b1uw1qa75yl6crs5&amp;st=p54fu10j&amp;dl=0" TargetMode="External"/><Relationship Id="rId1523" Type="http://schemas.openxmlformats.org/officeDocument/2006/relationships/hyperlink" Target="https://www.dropbox.com/scl/fi/2kmra6rwv14fetd7sku89/realstate.jpg?rlkey=2e6j75k747ellx0orw8uxtcxz&amp;st=5e1asu6v&amp;dl=0" TargetMode="External"/><Relationship Id="rId1524" Type="http://schemas.openxmlformats.org/officeDocument/2006/relationships/hyperlink" Target="https://www.dropbox.com/scl/fi/rcr6gkz3vohe36sflm51i/REA-logo-v2.jpg?rlkey=gj54azu14b1uw1qa75yl6crs5&amp;st=p54fu10j&amp;dl=0" TargetMode="External"/><Relationship Id="rId1525" Type="http://schemas.openxmlformats.org/officeDocument/2006/relationships/hyperlink" Target="https://www.dropbox.com/scl/fi/2kmra6rwv14fetd7sku89/realstate.jpg?rlkey=2e6j75k747ellx0orw8uxtcxz&amp;st=5e1asu6v&amp;dl=0" TargetMode="External"/><Relationship Id="rId1526" Type="http://schemas.openxmlformats.org/officeDocument/2006/relationships/hyperlink" Target="https://www.dropbox.com/scl/fi/rcr6gkz3vohe36sflm51i/REA-logo-v2.jpg?rlkey=gj54azu14b1uw1qa75yl6crs5&amp;st=p54fu10j&amp;dl=0" TargetMode="External"/><Relationship Id="rId1527" Type="http://schemas.openxmlformats.org/officeDocument/2006/relationships/hyperlink" Target="https://www.dropbox.com/scl/fi/2kmra6rwv14fetd7sku89/realstate.jpg?rlkey=2e6j75k747ellx0orw8uxtcxz&amp;st=5e1asu6v&amp;dl=0" TargetMode="External"/><Relationship Id="rId1528" Type="http://schemas.openxmlformats.org/officeDocument/2006/relationships/hyperlink" Target="https://www.dropbox.com/scl/fi/rcr6gkz3vohe36sflm51i/REA-logo-v2.jpg?rlkey=gj54azu14b1uw1qa75yl6crs5&amp;st=p54fu10j&amp;dl=0" TargetMode="External"/><Relationship Id="rId1529" Type="http://schemas.openxmlformats.org/officeDocument/2006/relationships/hyperlink" Target="https://www.dropbox.com/scl/fi/2kmra6rwv14fetd7sku89/realstate.jpg?rlkey=2e6j75k747ellx0orw8uxtcxz&amp;st=5e1asu6v&amp;dl=0" TargetMode="External"/><Relationship Id="rId939" Type="http://schemas.openxmlformats.org/officeDocument/2006/relationships/hyperlink" Target="https://www.dropbox.com/scl/fi/swbih48ons87xd6r90pvw/c0767381-7472-49c1-99d7-3ce66433da35.jpeg?rlkey=697rdwmo9wndqifaw8nrgrpso&amp;st=6toyjfbc&amp;dl=0" TargetMode="External"/><Relationship Id="rId938" Type="http://schemas.openxmlformats.org/officeDocument/2006/relationships/hyperlink" Target="https://www.dropbox.com/scl/fi/kjng67t816ywa9ljej2u1/callumdocker1_250980835427060_6458055994123790062_Screenshot-2026-02-02-113853.png?rlkey=9pyj9w69p1ml72q8adup05cya&amp;st=pxhpxkry&amp;dl=0" TargetMode="External"/><Relationship Id="rId937" Type="http://schemas.openxmlformats.org/officeDocument/2006/relationships/hyperlink" Target="https://www.dropbox.com/scl/fi/swbih48ons87xd6r90pvw/c0767381-7472-49c1-99d7-3ce66433da35.jpeg?rlkey=697rdwmo9wndqifaw8nrgrpso&amp;st=6toyjfbc&amp;dl=0" TargetMode="External"/><Relationship Id="rId932" Type="http://schemas.openxmlformats.org/officeDocument/2006/relationships/hyperlink" Target="https://www.dropbox.com/scl/fi/kjng67t816ywa9ljej2u1/callumdocker1_250980835427060_6458055994123790062_Screenshot-2026-02-02-113853.png?rlkey=9pyj9w69p1ml72q8adup05cya&amp;st=pxhpxkry&amp;dl=0" TargetMode="External"/><Relationship Id="rId931" Type="http://schemas.openxmlformats.org/officeDocument/2006/relationships/hyperlink" Target="https://www.dropbox.com/scl/fi/swbih48ons87xd6r90pvw/c0767381-7472-49c1-99d7-3ce66433da35.jpeg?rlkey=697rdwmo9wndqifaw8nrgrpso&amp;st=6toyjfbc&amp;dl=0" TargetMode="External"/><Relationship Id="rId930" Type="http://schemas.openxmlformats.org/officeDocument/2006/relationships/hyperlink" Target="https://www.dropbox.com/scl/fi/kjng67t816ywa9ljej2u1/callumdocker1_250980835427060_6458055994123790062_Screenshot-2026-02-02-113853.png?rlkey=9pyj9w69p1ml72q8adup05cya&amp;st=pxhpxkry&amp;dl=0" TargetMode="External"/><Relationship Id="rId936" Type="http://schemas.openxmlformats.org/officeDocument/2006/relationships/hyperlink" Target="https://www.dropbox.com/scl/fi/kjng67t816ywa9ljej2u1/callumdocker1_250980835427060_6458055994123790062_Screenshot-2026-02-02-113853.png?rlkey=9pyj9w69p1ml72q8adup05cya&amp;st=pxhpxkry&amp;dl=0" TargetMode="External"/><Relationship Id="rId935" Type="http://schemas.openxmlformats.org/officeDocument/2006/relationships/hyperlink" Target="https://www.dropbox.com/scl/fi/swbih48ons87xd6r90pvw/c0767381-7472-49c1-99d7-3ce66433da35.jpeg?rlkey=697rdwmo9wndqifaw8nrgrpso&amp;st=6toyjfbc&amp;dl=0" TargetMode="External"/><Relationship Id="rId934" Type="http://schemas.openxmlformats.org/officeDocument/2006/relationships/hyperlink" Target="https://www.dropbox.com/scl/fi/kjng67t816ywa9ljej2u1/callumdocker1_250980835427060_6458055994123790062_Screenshot-2026-02-02-113853.png?rlkey=9pyj9w69p1ml72q8adup05cya&amp;st=pxhpxkry&amp;dl=0" TargetMode="External"/><Relationship Id="rId933" Type="http://schemas.openxmlformats.org/officeDocument/2006/relationships/hyperlink" Target="https://www.dropbox.com/scl/fi/swbih48ons87xd6r90pvw/c0767381-7472-49c1-99d7-3ce66433da35.jpeg?rlkey=697rdwmo9wndqifaw8nrgrpso&amp;st=6toyjfbc&amp;dl=0" TargetMode="External"/><Relationship Id="rId1520" Type="http://schemas.openxmlformats.org/officeDocument/2006/relationships/hyperlink" Target="https://www.dropbox.com/scl/fi/rcr6gkz3vohe36sflm51i/REA-logo-v2.jpg?rlkey=gj54azu14b1uw1qa75yl6crs5&amp;st=p54fu10j&amp;dl=0" TargetMode="External"/><Relationship Id="rId1554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555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556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557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558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559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965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964" Type="http://schemas.openxmlformats.org/officeDocument/2006/relationships/hyperlink" Target="https://www.dropbox.com/scl/fi/4nqrsmxac56s1snfa4k6c/jblogo-w-emoji.png?rlkey=5r605ls9unapihucsv44zign2&amp;st=qduf40c6&amp;dl=0" TargetMode="External"/><Relationship Id="rId963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962" Type="http://schemas.openxmlformats.org/officeDocument/2006/relationships/hyperlink" Target="https://www.dropbox.com/scl/fi/4nqrsmxac56s1snfa4k6c/jblogo-w-emoji.png?rlkey=5r605ls9unapihucsv44zign2&amp;st=qduf40c6&amp;dl=0" TargetMode="External"/><Relationship Id="rId969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968" Type="http://schemas.openxmlformats.org/officeDocument/2006/relationships/hyperlink" Target="https://www.dropbox.com/scl/fi/4nqrsmxac56s1snfa4k6c/jblogo-w-emoji.png?rlkey=5r605ls9unapihucsv44zign2&amp;st=qduf40c6&amp;dl=0" TargetMode="External"/><Relationship Id="rId967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966" Type="http://schemas.openxmlformats.org/officeDocument/2006/relationships/hyperlink" Target="https://www.dropbox.com/scl/fi/4nqrsmxac56s1snfa4k6c/jblogo-w-emoji.png?rlkey=5r605ls9unapihucsv44zign2&amp;st=qduf40c6&amp;dl=0" TargetMode="External"/><Relationship Id="rId961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1550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960" Type="http://schemas.openxmlformats.org/officeDocument/2006/relationships/hyperlink" Target="https://www.dropbox.com/scl/fi/cxjibef4zybhg4r6q08hj/Screenshot-2025-11-12-at-10.44.52-AM.png?rlkey=a9xi79089pa42i1ez9or1y310&amp;st=6ek1u725&amp;dl=0" TargetMode="External"/><Relationship Id="rId1551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552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553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543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544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545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546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547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548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549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959" Type="http://schemas.openxmlformats.org/officeDocument/2006/relationships/hyperlink" Target="https://www.dropbox.com/scl/fi/b2ed2d3f8oto34teode4x/main-15.jpg?rlkey=vafaaomizvbv6w8xwcibjh7ul&amp;st=45gnusup&amp;dl=0" TargetMode="External"/><Relationship Id="rId954" Type="http://schemas.openxmlformats.org/officeDocument/2006/relationships/hyperlink" Target="https://www.dropbox.com/scl/fi/cxjibef4zybhg4r6q08hj/Screenshot-2025-11-12-at-10.44.52-AM.png?rlkey=a9xi79089pa42i1ez9or1y310&amp;st=6ek1u725&amp;dl=0" TargetMode="External"/><Relationship Id="rId953" Type="http://schemas.openxmlformats.org/officeDocument/2006/relationships/hyperlink" Target="https://www.dropbox.com/scl/fi/b2ed2d3f8oto34teode4x/main-15.jpg?rlkey=vafaaomizvbv6w8xwcibjh7ul&amp;st=45gnusup&amp;dl=0" TargetMode="External"/><Relationship Id="rId952" Type="http://schemas.openxmlformats.org/officeDocument/2006/relationships/hyperlink" Target="https://www.dropbox.com/scl/fi/kjng67t816ywa9ljej2u1/callumdocker1_250980835427060_6458055994123790062_Screenshot-2026-02-02-113853.png?rlkey=9pyj9w69p1ml72q8adup05cya&amp;st=pxhpxkry&amp;dl=0" TargetMode="External"/><Relationship Id="rId951" Type="http://schemas.openxmlformats.org/officeDocument/2006/relationships/hyperlink" Target="https://www.dropbox.com/scl/fi/swbih48ons87xd6r90pvw/c0767381-7472-49c1-99d7-3ce66433da35.jpeg?rlkey=697rdwmo9wndqifaw8nrgrpso&amp;st=6toyjfbc&amp;dl=0" TargetMode="External"/><Relationship Id="rId958" Type="http://schemas.openxmlformats.org/officeDocument/2006/relationships/hyperlink" Target="https://www.dropbox.com/scl/fi/cxjibef4zybhg4r6q08hj/Screenshot-2025-11-12-at-10.44.52-AM.png?rlkey=a9xi79089pa42i1ez9or1y310&amp;st=6ek1u725&amp;dl=0" TargetMode="External"/><Relationship Id="rId957" Type="http://schemas.openxmlformats.org/officeDocument/2006/relationships/hyperlink" Target="https://www.dropbox.com/scl/fi/b2ed2d3f8oto34teode4x/main-15.jpg?rlkey=vafaaomizvbv6w8xwcibjh7ul&amp;st=45gnusup&amp;dl=0" TargetMode="External"/><Relationship Id="rId956" Type="http://schemas.openxmlformats.org/officeDocument/2006/relationships/hyperlink" Target="https://www.dropbox.com/scl/fi/cxjibef4zybhg4r6q08hj/Screenshot-2025-11-12-at-10.44.52-AM.png?rlkey=a9xi79089pa42i1ez9or1y310&amp;st=6ek1u725&amp;dl=0" TargetMode="External"/><Relationship Id="rId955" Type="http://schemas.openxmlformats.org/officeDocument/2006/relationships/hyperlink" Target="https://www.dropbox.com/scl/fi/b2ed2d3f8oto34teode4x/main-15.jpg?rlkey=vafaaomizvbv6w8xwcibjh7ul&amp;st=45gnusup&amp;dl=0" TargetMode="External"/><Relationship Id="rId950" Type="http://schemas.openxmlformats.org/officeDocument/2006/relationships/hyperlink" Target="https://www.dropbox.com/scl/fi/kjng67t816ywa9ljej2u1/callumdocker1_250980835427060_6458055994123790062_Screenshot-2026-02-02-113853.png?rlkey=9pyj9w69p1ml72q8adup05cya&amp;st=pxhpxkry&amp;dl=0" TargetMode="External"/><Relationship Id="rId1540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541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542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2027" Type="http://schemas.openxmlformats.org/officeDocument/2006/relationships/hyperlink" Target="https://www.dropbox.com/scl/fi/mkfm0jmqlnfm0x9cjcg63/PETER-WILLIAMS-BEST1.jpg?rlkey=sqjd20rstkkb3wsj62b17563g&amp;st=y20szpaq&amp;dl=0" TargetMode="External"/><Relationship Id="rId2028" Type="http://schemas.openxmlformats.org/officeDocument/2006/relationships/hyperlink" Target="https://www.dropbox.com/scl/fi/hqaq6xysfrh0re0gq67m8/Southern-Living-Property-02.jpg?rlkey=byxw3hdrt64xgv7xuh6c6s570&amp;st=py9gf2l0&amp;dl=0" TargetMode="External"/><Relationship Id="rId2029" Type="http://schemas.openxmlformats.org/officeDocument/2006/relationships/hyperlink" Target="https://www.dropbox.com/scl/fi/mkfm0jmqlnfm0x9cjcg63/PETER-WILLIAMS-BEST1.jpg?rlkey=sqjd20rstkkb3wsj62b17563g&amp;st=y20szpaq&amp;dl=0" TargetMode="External"/><Relationship Id="rId590" Type="http://schemas.openxmlformats.org/officeDocument/2006/relationships/hyperlink" Target="https://www.dropbox.com/scl/fi/q6bwz21ei9sq7z9xzmpys/Harcourts-Refined_LogoSet_Horizontal_BLUE_121220.png?rlkey=h8x761fhk87io9cennk0dkr43&amp;st=yt8xykg3&amp;dl=0" TargetMode="External"/><Relationship Id="rId107" Type="http://schemas.openxmlformats.org/officeDocument/2006/relationships/hyperlink" Target="https://www.dropbox.com/scl/fi/83bowvczd8a8tsnddfunk/main-16.png?rlkey=r9mdzxzrzx6r3xiza9sxkufac&amp;st=tdcznohd&amp;dl=0" TargetMode="External"/><Relationship Id="rId106" Type="http://schemas.openxmlformats.org/officeDocument/2006/relationships/hyperlink" Target="https://www.dropbox.com/scl/fi/4vt4jnef8lpebl8xf936p/download.png?rlkey=wlc3465y0p7z6e4mzgoo1l67u&amp;st=4rbn36nu&amp;dl=0" TargetMode="External"/><Relationship Id="rId105" Type="http://schemas.openxmlformats.org/officeDocument/2006/relationships/hyperlink" Target="https://www.dropbox.com/scl/fi/caxwak36qf0dop3oiwj3u/main-3.png?rlkey=t11khoyp3h4qm9nstv59itgyb&amp;st=zk7eldyi&amp;dl=0" TargetMode="External"/><Relationship Id="rId589" Type="http://schemas.openxmlformats.org/officeDocument/2006/relationships/hyperlink" Target="https://www.dropbox.com/scl/fi/g0s8i932jw013u13vy0pa/main-5.png?rlkey=d3wtwzaq0lli9vkk00rv2netg&amp;st=ccg3hz9z&amp;dl=0" TargetMode="External"/><Relationship Id="rId104" Type="http://schemas.openxmlformats.org/officeDocument/2006/relationships/hyperlink" Target="https://www.dropbox.com/scl/fi/241ekxil2iz8waw5mvwjp/Screenshot-2025-11-13-at-1.56.10-PM.png?rlkey=14bjew840h92t8i1tgeo3bcbv&amp;st=6xeeyj8i&amp;dl=0" TargetMode="External"/><Relationship Id="rId588" Type="http://schemas.openxmlformats.org/officeDocument/2006/relationships/hyperlink" Target="https://www.dropbox.com/scl/fi/q6bwz21ei9sq7z9xzmpys/Harcourts-Refined_LogoSet_Horizontal_BLUE_121220.png?rlkey=h8x761fhk87io9cennk0dkr43&amp;st=yt8xykg3&amp;dl=0" TargetMode="External"/><Relationship Id="rId109" Type="http://schemas.openxmlformats.org/officeDocument/2006/relationships/hyperlink" Target="https://www.dropbox.com/scl/fi/83bowvczd8a8tsnddfunk/main-16.png?rlkey=r9mdzxzrzx6r3xiza9sxkufac&amp;st=tdcznohd&amp;dl=0" TargetMode="External"/><Relationship Id="rId1170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08" Type="http://schemas.openxmlformats.org/officeDocument/2006/relationships/hyperlink" Target="https://www.dropbox.com/scl/fi/qhda1nmj03f746ns4rsrs/Screenshot-2025-11-13-at-11.29.05-AM.png?rlkey=8gtgng60yg2t4vaaiyyvqg5si&amp;st=72lfvner&amp;dl=0" TargetMode="External"/><Relationship Id="rId1171" Type="http://schemas.openxmlformats.org/officeDocument/2006/relationships/hyperlink" Target="https://www.dropbox.com/scl/fi/aqlrqakocerqp81kl393y/main-11.png?rlkey=ylzxqu0vw707dcwi30k69z28m&amp;st=mcxogv6q&amp;dl=0" TargetMode="External"/><Relationship Id="rId583" Type="http://schemas.openxmlformats.org/officeDocument/2006/relationships/hyperlink" Target="https://www.dropbox.com/scl/fi/uck6vz19ao4vaezspryqs/Copy-of-Headshot-1.png?rlkey=ilhr42bxq0yss1r0pbn3w23vf&amp;st=3rabfupl&amp;dl=0" TargetMode="External"/><Relationship Id="rId1172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582" Type="http://schemas.openxmlformats.org/officeDocument/2006/relationships/hyperlink" Target="https://www.dropbox.com/scl/fi/wgjmx6k33za3zzdejwk44/Freedom-Property-Icon-1-2.jpg?rlkey=q49pjeeeubzcivt0vrfyawpeu&amp;st=46x8azy0&amp;dl=0" TargetMode="External"/><Relationship Id="rId1173" Type="http://schemas.openxmlformats.org/officeDocument/2006/relationships/hyperlink" Target="https://www.dropbox.com/scl/fi/tbbrsyveggsd5ommkyf49/SQUARE-Sam-English2-01.jpg?rlkey=hij3us1qhq59qle03hpehzu96&amp;st=5qnz6dj1&amp;dl=0" TargetMode="External"/><Relationship Id="rId2020" Type="http://schemas.openxmlformats.org/officeDocument/2006/relationships/hyperlink" Target="https://www.dropbox.com/scl/fi/hqaq6xysfrh0re0gq67m8/Southern-Living-Property-02.jpg?rlkey=byxw3hdrt64xgv7xuh6c6s570&amp;st=py9gf2l0&amp;dl=0" TargetMode="External"/><Relationship Id="rId581" Type="http://schemas.openxmlformats.org/officeDocument/2006/relationships/hyperlink" Target="https://www.dropbox.com/scl/fi/uck6vz19ao4vaezspryqs/Copy-of-Headshot-1.png?rlkey=ilhr42bxq0yss1r0pbn3w23vf&amp;st=3rabfupl&amp;dl=0" TargetMode="External"/><Relationship Id="rId1174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2021" Type="http://schemas.openxmlformats.org/officeDocument/2006/relationships/hyperlink" Target="https://www.dropbox.com/scl/fi/mkfm0jmqlnfm0x9cjcg63/PETER-WILLIAMS-BEST1.jpg?rlkey=sqjd20rstkkb3wsj62b17563g&amp;st=y20szpaq&amp;dl=0" TargetMode="External"/><Relationship Id="rId580" Type="http://schemas.openxmlformats.org/officeDocument/2006/relationships/hyperlink" Target="https://www.dropbox.com/scl/fi/wgjmx6k33za3zzdejwk44/Freedom-Property-Icon-1-2.jpg?rlkey=q49pjeeeubzcivt0vrfyawpeu&amp;st=46x8azy0&amp;dl=0" TargetMode="External"/><Relationship Id="rId1175" Type="http://schemas.openxmlformats.org/officeDocument/2006/relationships/hyperlink" Target="https://www.dropbox.com/scl/fi/tbbrsyveggsd5ommkyf49/SQUARE-Sam-English2-01.jpg?rlkey=hij3us1qhq59qle03hpehzu96&amp;st=5qnz6dj1&amp;dl=0" TargetMode="External"/><Relationship Id="rId2022" Type="http://schemas.openxmlformats.org/officeDocument/2006/relationships/hyperlink" Target="https://www.dropbox.com/scl/fi/hqaq6xysfrh0re0gq67m8/Southern-Living-Property-02.jpg?rlkey=byxw3hdrt64xgv7xuh6c6s570&amp;st=py9gf2l0&amp;dl=0" TargetMode="External"/><Relationship Id="rId103" Type="http://schemas.openxmlformats.org/officeDocument/2006/relationships/hyperlink" Target="https://www.dropbox.com/scl/fi/e8tk6ur68rbxhf33dn0yi/main-24.jpg?rlkey=eegq41lguqin8z46a2im67kfx&amp;st=027wcrff&amp;dl=0" TargetMode="External"/><Relationship Id="rId587" Type="http://schemas.openxmlformats.org/officeDocument/2006/relationships/hyperlink" Target="https://www.dropbox.com/scl/fi/g0s8i932jw013u13vy0pa/main-5.png?rlkey=d3wtwzaq0lli9vkk00rv2netg&amp;st=ccg3hz9z&amp;dl=0" TargetMode="External"/><Relationship Id="rId1176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2023" Type="http://schemas.openxmlformats.org/officeDocument/2006/relationships/hyperlink" Target="https://www.dropbox.com/scl/fi/mkfm0jmqlnfm0x9cjcg63/PETER-WILLIAMS-BEST1.jpg?rlkey=sqjd20rstkkb3wsj62b17563g&amp;st=y20szpaq&amp;dl=0" TargetMode="External"/><Relationship Id="rId102" Type="http://schemas.openxmlformats.org/officeDocument/2006/relationships/hyperlink" Target="https://www.dropbox.com/scl/fi/241ekxil2iz8waw5mvwjp/Screenshot-2025-11-13-at-1.56.10-PM.png?rlkey=14bjew840h92t8i1tgeo3bcbv&amp;st=6xeeyj8i&amp;dl=0" TargetMode="External"/><Relationship Id="rId586" Type="http://schemas.openxmlformats.org/officeDocument/2006/relationships/hyperlink" Target="https://www.dropbox.com/scl/fi/q6bwz21ei9sq7z9xzmpys/Harcourts-Refined_LogoSet_Horizontal_BLUE_121220.png?rlkey=h8x761fhk87io9cennk0dkr43&amp;st=yt8xykg3&amp;dl=0" TargetMode="External"/><Relationship Id="rId1177" Type="http://schemas.openxmlformats.org/officeDocument/2006/relationships/hyperlink" Target="https://www.dropbox.com/scl/fi/tbbrsyveggsd5ommkyf49/SQUARE-Sam-English2-01.jpg?rlkey=hij3us1qhq59qle03hpehzu96&amp;st=5qnz6dj1&amp;dl=0" TargetMode="External"/><Relationship Id="rId2024" Type="http://schemas.openxmlformats.org/officeDocument/2006/relationships/hyperlink" Target="https://www.dropbox.com/scl/fi/hqaq6xysfrh0re0gq67m8/Southern-Living-Property-02.jpg?rlkey=byxw3hdrt64xgv7xuh6c6s570&amp;st=py9gf2l0&amp;dl=0" TargetMode="External"/><Relationship Id="rId101" Type="http://schemas.openxmlformats.org/officeDocument/2006/relationships/hyperlink" Target="https://www.dropbox.com/scl/fi/e8tk6ur68rbxhf33dn0yi/main-24.jpg?rlkey=eegq41lguqin8z46a2im67kfx&amp;st=027wcrff&amp;dl=0" TargetMode="External"/><Relationship Id="rId585" Type="http://schemas.openxmlformats.org/officeDocument/2006/relationships/hyperlink" Target="https://www.dropbox.com/scl/fi/g0s8i932jw013u13vy0pa/main-5.png?rlkey=d3wtwzaq0lli9vkk00rv2netg&amp;st=ccg3hz9z&amp;dl=0" TargetMode="External"/><Relationship Id="rId1178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2025" Type="http://schemas.openxmlformats.org/officeDocument/2006/relationships/hyperlink" Target="https://www.dropbox.com/scl/fi/mkfm0jmqlnfm0x9cjcg63/PETER-WILLIAMS-BEST1.jpg?rlkey=sqjd20rstkkb3wsj62b17563g&amp;st=y20szpaq&amp;dl=0" TargetMode="External"/><Relationship Id="rId100" Type="http://schemas.openxmlformats.org/officeDocument/2006/relationships/hyperlink" Target="https://www.dropbox.com/scl/fi/241ekxil2iz8waw5mvwjp/Screenshot-2025-11-13-at-1.56.10-PM.png?rlkey=14bjew840h92t8i1tgeo3bcbv&amp;st=6xeeyj8i&amp;dl=0" TargetMode="External"/><Relationship Id="rId584" Type="http://schemas.openxmlformats.org/officeDocument/2006/relationships/hyperlink" Target="https://www.dropbox.com/scl/fi/wgjmx6k33za3zzdejwk44/Freedom-Property-Icon-1-2.jpg?rlkey=q49pjeeeubzcivt0vrfyawpeu&amp;st=46x8azy0&amp;dl=0" TargetMode="External"/><Relationship Id="rId1179" Type="http://schemas.openxmlformats.org/officeDocument/2006/relationships/hyperlink" Target="https://www.dropbox.com/scl/fi/tbbrsyveggsd5ommkyf49/SQUARE-Sam-English2-01.jpg?rlkey=hij3us1qhq59qle03hpehzu96&amp;st=5qnz6dj1&amp;dl=0" TargetMode="External"/><Relationship Id="rId2026" Type="http://schemas.openxmlformats.org/officeDocument/2006/relationships/hyperlink" Target="https://www.dropbox.com/scl/fi/hqaq6xysfrh0re0gq67m8/Southern-Living-Property-02.jpg?rlkey=byxw3hdrt64xgv7xuh6c6s570&amp;st=py9gf2l0&amp;dl=0" TargetMode="External"/><Relationship Id="rId1169" Type="http://schemas.openxmlformats.org/officeDocument/2006/relationships/hyperlink" Target="https://www.dropbox.com/scl/fi/aqlrqakocerqp81kl393y/main-11.png?rlkey=ylzxqu0vw707dcwi30k69z28m&amp;st=mcxogv6q&amp;dl=0" TargetMode="External"/><Relationship Id="rId2016" Type="http://schemas.openxmlformats.org/officeDocument/2006/relationships/hyperlink" Target="https://www.dropbox.com/scl/fi/hqaq6xysfrh0re0gq67m8/Southern-Living-Property-02.jpg?rlkey=byxw3hdrt64xgv7xuh6c6s570&amp;st=py9gf2l0&amp;dl=0" TargetMode="External"/><Relationship Id="rId2017" Type="http://schemas.openxmlformats.org/officeDocument/2006/relationships/hyperlink" Target="https://www.dropbox.com/scl/fi/mkfm0jmqlnfm0x9cjcg63/PETER-WILLIAMS-BEST1.jpg?rlkey=sqjd20rstkkb3wsj62b17563g&amp;st=y20szpaq&amp;dl=0" TargetMode="External"/><Relationship Id="rId2018" Type="http://schemas.openxmlformats.org/officeDocument/2006/relationships/hyperlink" Target="https://www.dropbox.com/scl/fi/hqaq6xysfrh0re0gq67m8/Southern-Living-Property-02.jpg?rlkey=byxw3hdrt64xgv7xuh6c6s570&amp;st=py9gf2l0&amp;dl=0" TargetMode="External"/><Relationship Id="rId2019" Type="http://schemas.openxmlformats.org/officeDocument/2006/relationships/hyperlink" Target="https://www.dropbox.com/scl/fi/mkfm0jmqlnfm0x9cjcg63/PETER-WILLIAMS-BEST1.jpg?rlkey=sqjd20rstkkb3wsj62b17563g&amp;st=y20szpaq&amp;dl=0" TargetMode="External"/><Relationship Id="rId579" Type="http://schemas.openxmlformats.org/officeDocument/2006/relationships/hyperlink" Target="https://www.dropbox.com/scl/fi/uck6vz19ao4vaezspryqs/Copy-of-Headshot-1.png?rlkey=ilhr42bxq0yss1r0pbn3w23vf&amp;st=3rabfupl&amp;dl=0" TargetMode="External"/><Relationship Id="rId578" Type="http://schemas.openxmlformats.org/officeDocument/2006/relationships/hyperlink" Target="https://www.dropbox.com/scl/fi/bfhpxqdx9svt89oj75dtf/FOR-SCREEN-Supported-by-Image-Stacked-Logo-Grey.png?rlkey=a6px1rx9cou8bowvfdrctd5n7&amp;st=fp4xbfae&amp;dl=0" TargetMode="External"/><Relationship Id="rId577" Type="http://schemas.openxmlformats.org/officeDocument/2006/relationships/hyperlink" Target="https://www.dropbox.com/scl/fi/91wdwr5thijlo12m04mdo/Jamie-Rivett-Print.jpg?rlkey=mqekt6deeu0o6jxfgl8gwjln3&amp;st=iffmkb37&amp;dl=0" TargetMode="External"/><Relationship Id="rId1160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572" Type="http://schemas.openxmlformats.org/officeDocument/2006/relationships/hyperlink" Target="https://www.dropbox.com/scl/fi/bfhpxqdx9svt89oj75dtf/FOR-SCREEN-Supported-by-Image-Stacked-Logo-Grey.png?rlkey=a6px1rx9cou8bowvfdrctd5n7&amp;st=fp4xbfae&amp;dl=0" TargetMode="External"/><Relationship Id="rId1161" Type="http://schemas.openxmlformats.org/officeDocument/2006/relationships/hyperlink" Target="https://www.dropbox.com/scl/fi/aqlrqakocerqp81kl393y/main-11.png?rlkey=ylzxqu0vw707dcwi30k69z28m&amp;st=mcxogv6q&amp;dl=0" TargetMode="External"/><Relationship Id="rId571" Type="http://schemas.openxmlformats.org/officeDocument/2006/relationships/hyperlink" Target="https://www.dropbox.com/scl/fi/91wdwr5thijlo12m04mdo/Jamie-Rivett-Print.jpg?rlkey=mqekt6deeu0o6jxfgl8gwjln3&amp;st=iffmkb37&amp;dl=0" TargetMode="External"/><Relationship Id="rId1162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570" Type="http://schemas.openxmlformats.org/officeDocument/2006/relationships/hyperlink" Target="https://www.dropbox.com/scl/fi/bfhpxqdx9svt89oj75dtf/FOR-SCREEN-Supported-by-Image-Stacked-Logo-Grey.png?rlkey=a6px1rx9cou8bowvfdrctd5n7&amp;st=fp4xbfae&amp;dl=0" TargetMode="External"/><Relationship Id="rId1163" Type="http://schemas.openxmlformats.org/officeDocument/2006/relationships/hyperlink" Target="https://www.dropbox.com/scl/fi/aqlrqakocerqp81kl393y/main-11.png?rlkey=ylzxqu0vw707dcwi30k69z28m&amp;st=mcxogv6q&amp;dl=0" TargetMode="External"/><Relationship Id="rId2010" Type="http://schemas.openxmlformats.org/officeDocument/2006/relationships/hyperlink" Target="https://www.dropbox.com/scl/fi/hqaq6xysfrh0re0gq67m8/Southern-Living-Property-02.jpg?rlkey=byxw3hdrt64xgv7xuh6c6s570&amp;st=py9gf2l0&amp;dl=0" TargetMode="External"/><Relationship Id="rId1164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2011" Type="http://schemas.openxmlformats.org/officeDocument/2006/relationships/hyperlink" Target="https://www.dropbox.com/scl/fi/mkfm0jmqlnfm0x9cjcg63/PETER-WILLIAMS-BEST1.jpg?rlkey=sqjd20rstkkb3wsj62b17563g&amp;st=y20szpaq&amp;dl=0" TargetMode="External"/><Relationship Id="rId576" Type="http://schemas.openxmlformats.org/officeDocument/2006/relationships/hyperlink" Target="https://www.dropbox.com/scl/fi/bfhpxqdx9svt89oj75dtf/FOR-SCREEN-Supported-by-Image-Stacked-Logo-Grey.png?rlkey=a6px1rx9cou8bowvfdrctd5n7&amp;st=fp4xbfae&amp;dl=0" TargetMode="External"/><Relationship Id="rId1165" Type="http://schemas.openxmlformats.org/officeDocument/2006/relationships/hyperlink" Target="https://www.dropbox.com/scl/fi/aqlrqakocerqp81kl393y/main-11.png?rlkey=ylzxqu0vw707dcwi30k69z28m&amp;st=mcxogv6q&amp;dl=0" TargetMode="External"/><Relationship Id="rId2012" Type="http://schemas.openxmlformats.org/officeDocument/2006/relationships/hyperlink" Target="https://www.dropbox.com/scl/fi/hqaq6xysfrh0re0gq67m8/Southern-Living-Property-02.jpg?rlkey=byxw3hdrt64xgv7xuh6c6s570&amp;st=py9gf2l0&amp;dl=0" TargetMode="External"/><Relationship Id="rId575" Type="http://schemas.openxmlformats.org/officeDocument/2006/relationships/hyperlink" Target="https://www.dropbox.com/scl/fi/91wdwr5thijlo12m04mdo/Jamie-Rivett-Print.jpg?rlkey=mqekt6deeu0o6jxfgl8gwjln3&amp;st=iffmkb37&amp;dl=0" TargetMode="External"/><Relationship Id="rId1166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2013" Type="http://schemas.openxmlformats.org/officeDocument/2006/relationships/hyperlink" Target="https://www.dropbox.com/scl/fi/mkfm0jmqlnfm0x9cjcg63/PETER-WILLIAMS-BEST1.jpg?rlkey=sqjd20rstkkb3wsj62b17563g&amp;st=y20szpaq&amp;dl=0" TargetMode="External"/><Relationship Id="rId574" Type="http://schemas.openxmlformats.org/officeDocument/2006/relationships/hyperlink" Target="https://www.dropbox.com/scl/fi/bfhpxqdx9svt89oj75dtf/FOR-SCREEN-Supported-by-Image-Stacked-Logo-Grey.png?rlkey=a6px1rx9cou8bowvfdrctd5n7&amp;st=fp4xbfae&amp;dl=0" TargetMode="External"/><Relationship Id="rId1167" Type="http://schemas.openxmlformats.org/officeDocument/2006/relationships/hyperlink" Target="https://www.dropbox.com/scl/fi/aqlrqakocerqp81kl393y/main-11.png?rlkey=ylzxqu0vw707dcwi30k69z28m&amp;st=mcxogv6q&amp;dl=0" TargetMode="External"/><Relationship Id="rId2014" Type="http://schemas.openxmlformats.org/officeDocument/2006/relationships/hyperlink" Target="https://www.dropbox.com/scl/fi/hqaq6xysfrh0re0gq67m8/Southern-Living-Property-02.jpg?rlkey=byxw3hdrt64xgv7xuh6c6s570&amp;st=py9gf2l0&amp;dl=0" TargetMode="External"/><Relationship Id="rId573" Type="http://schemas.openxmlformats.org/officeDocument/2006/relationships/hyperlink" Target="https://www.dropbox.com/scl/fi/91wdwr5thijlo12m04mdo/Jamie-Rivett-Print.jpg?rlkey=mqekt6deeu0o6jxfgl8gwjln3&amp;st=iffmkb37&amp;dl=0" TargetMode="External"/><Relationship Id="rId1168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2015" Type="http://schemas.openxmlformats.org/officeDocument/2006/relationships/hyperlink" Target="https://www.dropbox.com/scl/fi/mkfm0jmqlnfm0x9cjcg63/PETER-WILLIAMS-BEST1.jpg?rlkey=sqjd20rstkkb3wsj62b17563g&amp;st=y20szpaq&amp;dl=0" TargetMode="External"/><Relationship Id="rId2049" Type="http://schemas.openxmlformats.org/officeDocument/2006/relationships/hyperlink" Target="https://www.dropbox.com/scl/fi/0uuuqkg4j457avu5996qk/Amit-Photo.jpg?rlkey=7dc0x8axzfuz8y54d0bbfjcbb&amp;st=p5aytzhz&amp;dl=0" TargetMode="External"/><Relationship Id="rId129" Type="http://schemas.openxmlformats.org/officeDocument/2006/relationships/hyperlink" Target="https://www.dropbox.com/scl/fi/hj13osalg2bvnc4yy1smt/main-36.jpg?rlkey=32z42unzlqwmn7y773sqfzw20&amp;st=sjx9st6y&amp;dl=0" TargetMode="External"/><Relationship Id="rId128" Type="http://schemas.openxmlformats.org/officeDocument/2006/relationships/hyperlink" Target="https://www.dropbox.com/scl/fi/ppuwasls4iwgkcmvj4pjl/Screenshot-2025-11-14-at-1.20.04-PM.png?rlkey=z5rvyea92hdd1n20frejse3r1&amp;st=sow86p3j&amp;dl=0" TargetMode="External"/><Relationship Id="rId127" Type="http://schemas.openxmlformats.org/officeDocument/2006/relationships/hyperlink" Target="https://www.dropbox.com/scl/fi/hj13osalg2bvnc4yy1smt/main-36.jpg?rlkey=32z42unzlqwmn7y773sqfzw20&amp;st=sjx9st6y&amp;dl=0" TargetMode="External"/><Relationship Id="rId126" Type="http://schemas.openxmlformats.org/officeDocument/2006/relationships/hyperlink" Target="https://www.dropbox.com/scl/fi/qhda1nmj03f746ns4rsrs/Screenshot-2025-11-13-at-11.29.05-AM.png?rlkey=8gtgng60yg2t4vaaiyyvqg5si&amp;st=72lfvner&amp;dl=0" TargetMode="External"/><Relationship Id="rId1190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1191" Type="http://schemas.openxmlformats.org/officeDocument/2006/relationships/hyperlink" Target="https://www.dropbox.com/scl/fi/tbbrsyveggsd5ommkyf49/SQUARE-Sam-English2-01.jpg?rlkey=hij3us1qhq59qle03hpehzu96&amp;st=5qnz6dj1&amp;dl=0" TargetMode="External"/><Relationship Id="rId1192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1193" Type="http://schemas.openxmlformats.org/officeDocument/2006/relationships/hyperlink" Target="https://www.dropbox.com/scl/fi/tbbrsyveggsd5ommkyf49/SQUARE-Sam-English2-01.jpg?rlkey=hij3us1qhq59qle03hpehzu96&amp;st=5qnz6dj1&amp;dl=0" TargetMode="External"/><Relationship Id="rId2040" Type="http://schemas.openxmlformats.org/officeDocument/2006/relationships/hyperlink" Target="https://www.dropbox.com/scl/fi/rczl50d5khmu53c9ujevn/HIGH-RES-Whitford_Logo.jpg?rlkey=xk6fd50ag4vrxp8v7kg3prctf&amp;st=4yoh8nbj&amp;dl=0" TargetMode="External"/><Relationship Id="rId121" Type="http://schemas.openxmlformats.org/officeDocument/2006/relationships/hyperlink" Target="https://www.dropbox.com/scl/fi/83bowvczd8a8tsnddfunk/main-16.png?rlkey=r9mdzxzrzx6r3xiza9sxkufac&amp;st=tdcznohd&amp;dl=0" TargetMode="External"/><Relationship Id="rId1194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2041" Type="http://schemas.openxmlformats.org/officeDocument/2006/relationships/hyperlink" Target="https://www.dropbox.com/scl/fi/4dxy7k7d45wlx8spm8hmt/Peter-NEW.jpg?rlkey=1aouujwljxfisl2b3e5k50ok0&amp;st=cxwwyzm3&amp;dl=0" TargetMode="External"/><Relationship Id="rId120" Type="http://schemas.openxmlformats.org/officeDocument/2006/relationships/hyperlink" Target="https://www.dropbox.com/scl/fi/qhda1nmj03f746ns4rsrs/Screenshot-2025-11-13-at-11.29.05-AM.png?rlkey=8gtgng60yg2t4vaaiyyvqg5si&amp;st=72lfvner&amp;dl=0" TargetMode="External"/><Relationship Id="rId1195" Type="http://schemas.openxmlformats.org/officeDocument/2006/relationships/hyperlink" Target="https://www.dropbox.com/scl/fi/makq2lu79sm2hlefm00sc/callumdocker1_250980835427060_6413264630216389767_PNG-Adam-Djordjevic2-01.png?rlkey=5cajxbuz16ki7cb9kkpvba5h0&amp;st=3hyacd1v&amp;dl=0" TargetMode="External"/><Relationship Id="rId2042" Type="http://schemas.openxmlformats.org/officeDocument/2006/relationships/hyperlink" Target="https://www.dropbox.com/scl/fi/rczl50d5khmu53c9ujevn/HIGH-RES-Whitford_Logo.jpg?rlkey=xk6fd50ag4vrxp8v7kg3prctf&amp;st=4yoh8nbj&amp;dl=0" TargetMode="External"/><Relationship Id="rId1196" Type="http://schemas.openxmlformats.org/officeDocument/2006/relationships/hyperlink" Target="https://www.dropbox.com/scl/fi/hwgm0fqg2ryzymb2ptdgy/callumdocker1_250980835427060_6413264630216389767_TA_Logo.png?rlkey=ms9mldyko8cxo3rbnz1qa2iok&amp;st=at42exos&amp;dl=0" TargetMode="External"/><Relationship Id="rId2043" Type="http://schemas.openxmlformats.org/officeDocument/2006/relationships/hyperlink" Target="https://www.dropbox.com/scl/fi/4dxy7k7d45wlx8spm8hmt/Peter-NEW.jpg?rlkey=1aouujwljxfisl2b3e5k50ok0&amp;st=cxwwyzm3&amp;dl=0" TargetMode="External"/><Relationship Id="rId1197" Type="http://schemas.openxmlformats.org/officeDocument/2006/relationships/hyperlink" Target="https://www.dropbox.com/scl/fi/makq2lu79sm2hlefm00sc/callumdocker1_250980835427060_6413264630216389767_PNG-Adam-Djordjevic2-01.png?rlkey=5cajxbuz16ki7cb9kkpvba5h0&amp;st=3hyacd1v&amp;dl=0" TargetMode="External"/><Relationship Id="rId2044" Type="http://schemas.openxmlformats.org/officeDocument/2006/relationships/hyperlink" Target="https://www.dropbox.com/scl/fi/rczl50d5khmu53c9ujevn/HIGH-RES-Whitford_Logo.jpg?rlkey=xk6fd50ag4vrxp8v7kg3prctf&amp;st=4yoh8nbj&amp;dl=0" TargetMode="External"/><Relationship Id="rId125" Type="http://schemas.openxmlformats.org/officeDocument/2006/relationships/hyperlink" Target="https://www.dropbox.com/scl/fi/83bowvczd8a8tsnddfunk/main-16.png?rlkey=r9mdzxzrzx6r3xiza9sxkufac&amp;st=tdcznohd&amp;dl=0" TargetMode="External"/><Relationship Id="rId1198" Type="http://schemas.openxmlformats.org/officeDocument/2006/relationships/hyperlink" Target="https://www.dropbox.com/scl/fi/hwgm0fqg2ryzymb2ptdgy/callumdocker1_250980835427060_6413264630216389767_TA_Logo.png?rlkey=ms9mldyko8cxo3rbnz1qa2iok&amp;st=at42exos&amp;dl=0" TargetMode="External"/><Relationship Id="rId2045" Type="http://schemas.openxmlformats.org/officeDocument/2006/relationships/hyperlink" Target="https://www.dropbox.com/scl/fi/4dxy7k7d45wlx8spm8hmt/Peter-NEW.jpg?rlkey=1aouujwljxfisl2b3e5k50ok0&amp;st=cxwwyzm3&amp;dl=0" TargetMode="External"/><Relationship Id="rId124" Type="http://schemas.openxmlformats.org/officeDocument/2006/relationships/hyperlink" Target="https://www.dropbox.com/scl/fi/qhda1nmj03f746ns4rsrs/Screenshot-2025-11-13-at-11.29.05-AM.png?rlkey=8gtgng60yg2t4vaaiyyvqg5si&amp;st=72lfvner&amp;dl=0" TargetMode="External"/><Relationship Id="rId1199" Type="http://schemas.openxmlformats.org/officeDocument/2006/relationships/hyperlink" Target="https://www.dropbox.com/scl/fi/makq2lu79sm2hlefm00sc/callumdocker1_250980835427060_6413264630216389767_PNG-Adam-Djordjevic2-01.png?rlkey=5cajxbuz16ki7cb9kkpvba5h0&amp;st=3hyacd1v&amp;dl=0" TargetMode="External"/><Relationship Id="rId2046" Type="http://schemas.openxmlformats.org/officeDocument/2006/relationships/hyperlink" Target="https://www.dropbox.com/scl/fi/rczl50d5khmu53c9ujevn/HIGH-RES-Whitford_Logo.jpg?rlkey=xk6fd50ag4vrxp8v7kg3prctf&amp;st=4yoh8nbj&amp;dl=0" TargetMode="External"/><Relationship Id="rId123" Type="http://schemas.openxmlformats.org/officeDocument/2006/relationships/hyperlink" Target="https://www.dropbox.com/scl/fi/83bowvczd8a8tsnddfunk/main-16.png?rlkey=r9mdzxzrzx6r3xiza9sxkufac&amp;st=tdcznohd&amp;dl=0" TargetMode="External"/><Relationship Id="rId2047" Type="http://schemas.openxmlformats.org/officeDocument/2006/relationships/hyperlink" Target="https://www.dropbox.com/scl/fi/0uuuqkg4j457avu5996qk/Amit-Photo.jpg?rlkey=7dc0x8axzfuz8y54d0bbfjcbb&amp;st=p5aytzhz&amp;dl=0" TargetMode="External"/><Relationship Id="rId122" Type="http://schemas.openxmlformats.org/officeDocument/2006/relationships/hyperlink" Target="https://www.dropbox.com/scl/fi/qhda1nmj03f746ns4rsrs/Screenshot-2025-11-13-at-11.29.05-AM.png?rlkey=8gtgng60yg2t4vaaiyyvqg5si&amp;st=72lfvner&amp;dl=0" TargetMode="External"/><Relationship Id="rId2048" Type="http://schemas.openxmlformats.org/officeDocument/2006/relationships/hyperlink" Target="https://www.dropbox.com/scl/fi/nudgw6lyqidlygbkna7lq/RW_Secondary-199-CMYK.png?rlkey=nvf8wfms5uogybu2gtqzfcxlr&amp;st=gsajyhes&amp;dl=0" TargetMode="External"/><Relationship Id="rId2038" Type="http://schemas.openxmlformats.org/officeDocument/2006/relationships/hyperlink" Target="https://www.dropbox.com/scl/fi/hqaq6xysfrh0re0gq67m8/Southern-Living-Property-02.jpg?rlkey=byxw3hdrt64xgv7xuh6c6s570&amp;st=py9gf2l0&amp;dl=0" TargetMode="External"/><Relationship Id="rId2039" Type="http://schemas.openxmlformats.org/officeDocument/2006/relationships/hyperlink" Target="https://www.dropbox.com/scl/fi/4dxy7k7d45wlx8spm8hmt/Peter-NEW.jpg?rlkey=1aouujwljxfisl2b3e5k50ok0&amp;st=cxwwyzm3&amp;dl=0" TargetMode="External"/><Relationship Id="rId118" Type="http://schemas.openxmlformats.org/officeDocument/2006/relationships/hyperlink" Target="https://www.dropbox.com/scl/fi/qhda1nmj03f746ns4rsrs/Screenshot-2025-11-13-at-11.29.05-AM.png?rlkey=8gtgng60yg2t4vaaiyyvqg5si&amp;st=72lfvner&amp;dl=0" TargetMode="External"/><Relationship Id="rId117" Type="http://schemas.openxmlformats.org/officeDocument/2006/relationships/hyperlink" Target="https://www.dropbox.com/scl/fi/83bowvczd8a8tsnddfunk/main-16.png?rlkey=r9mdzxzrzx6r3xiza9sxkufac&amp;st=tdcznohd&amp;dl=0" TargetMode="External"/><Relationship Id="rId116" Type="http://schemas.openxmlformats.org/officeDocument/2006/relationships/hyperlink" Target="https://www.dropbox.com/scl/fi/qhda1nmj03f746ns4rsrs/Screenshot-2025-11-13-at-11.29.05-AM.png?rlkey=8gtgng60yg2t4vaaiyyvqg5si&amp;st=72lfvner&amp;dl=0" TargetMode="External"/><Relationship Id="rId115" Type="http://schemas.openxmlformats.org/officeDocument/2006/relationships/hyperlink" Target="https://www.dropbox.com/scl/fi/83bowvczd8a8tsnddfunk/main-16.png?rlkey=r9mdzxzrzx6r3xiza9sxkufac&amp;st=tdcznohd&amp;dl=0" TargetMode="External"/><Relationship Id="rId599" Type="http://schemas.openxmlformats.org/officeDocument/2006/relationships/hyperlink" Target="https://www.dropbox.com/scl/fi/g0s8i932jw013u13vy0pa/main-5.png?rlkey=d3wtwzaq0lli9vkk00rv2netg&amp;st=ccg3hz9z&amp;dl=0" TargetMode="External"/><Relationship Id="rId1180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1181" Type="http://schemas.openxmlformats.org/officeDocument/2006/relationships/hyperlink" Target="https://www.dropbox.com/scl/fi/tbbrsyveggsd5ommkyf49/SQUARE-Sam-English2-01.jpg?rlkey=hij3us1qhq59qle03hpehzu96&amp;st=5qnz6dj1&amp;dl=0" TargetMode="External"/><Relationship Id="rId119" Type="http://schemas.openxmlformats.org/officeDocument/2006/relationships/hyperlink" Target="https://www.dropbox.com/scl/fi/83bowvczd8a8tsnddfunk/main-16.png?rlkey=r9mdzxzrzx6r3xiza9sxkufac&amp;st=tdcznohd&amp;dl=0" TargetMode="External"/><Relationship Id="rId1182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110" Type="http://schemas.openxmlformats.org/officeDocument/2006/relationships/hyperlink" Target="https://www.dropbox.com/scl/fi/qhda1nmj03f746ns4rsrs/Screenshot-2025-11-13-at-11.29.05-AM.png?rlkey=8gtgng60yg2t4vaaiyyvqg5si&amp;st=72lfvner&amp;dl=0" TargetMode="External"/><Relationship Id="rId594" Type="http://schemas.openxmlformats.org/officeDocument/2006/relationships/hyperlink" Target="https://www.dropbox.com/scl/fi/q6bwz21ei9sq7z9xzmpys/Harcourts-Refined_LogoSet_Horizontal_BLUE_121220.png?rlkey=h8x761fhk87io9cennk0dkr43&amp;st=yt8xykg3&amp;dl=0" TargetMode="External"/><Relationship Id="rId1183" Type="http://schemas.openxmlformats.org/officeDocument/2006/relationships/hyperlink" Target="https://www.dropbox.com/scl/fi/tbbrsyveggsd5ommkyf49/SQUARE-Sam-English2-01.jpg?rlkey=hij3us1qhq59qle03hpehzu96&amp;st=5qnz6dj1&amp;dl=0" TargetMode="External"/><Relationship Id="rId2030" Type="http://schemas.openxmlformats.org/officeDocument/2006/relationships/hyperlink" Target="https://www.dropbox.com/scl/fi/hqaq6xysfrh0re0gq67m8/Southern-Living-Property-02.jpg?rlkey=byxw3hdrt64xgv7xuh6c6s570&amp;st=py9gf2l0&amp;dl=0" TargetMode="External"/><Relationship Id="rId593" Type="http://schemas.openxmlformats.org/officeDocument/2006/relationships/hyperlink" Target="https://www.dropbox.com/scl/fi/g0s8i932jw013u13vy0pa/main-5.png?rlkey=d3wtwzaq0lli9vkk00rv2netg&amp;st=ccg3hz9z&amp;dl=0" TargetMode="External"/><Relationship Id="rId1184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2031" Type="http://schemas.openxmlformats.org/officeDocument/2006/relationships/hyperlink" Target="https://www.dropbox.com/scl/fi/mkfm0jmqlnfm0x9cjcg63/PETER-WILLIAMS-BEST1.jpg?rlkey=sqjd20rstkkb3wsj62b17563g&amp;st=y20szpaq&amp;dl=0" TargetMode="External"/><Relationship Id="rId592" Type="http://schemas.openxmlformats.org/officeDocument/2006/relationships/hyperlink" Target="https://www.dropbox.com/scl/fi/q6bwz21ei9sq7z9xzmpys/Harcourts-Refined_LogoSet_Horizontal_BLUE_121220.png?rlkey=h8x761fhk87io9cennk0dkr43&amp;st=yt8xykg3&amp;dl=0" TargetMode="External"/><Relationship Id="rId1185" Type="http://schemas.openxmlformats.org/officeDocument/2006/relationships/hyperlink" Target="https://www.dropbox.com/scl/fi/tbbrsyveggsd5ommkyf49/SQUARE-Sam-English2-01.jpg?rlkey=hij3us1qhq59qle03hpehzu96&amp;st=5qnz6dj1&amp;dl=0" TargetMode="External"/><Relationship Id="rId2032" Type="http://schemas.openxmlformats.org/officeDocument/2006/relationships/hyperlink" Target="https://www.dropbox.com/scl/fi/hqaq6xysfrh0re0gq67m8/Southern-Living-Property-02.jpg?rlkey=byxw3hdrt64xgv7xuh6c6s570&amp;st=py9gf2l0&amp;dl=0" TargetMode="External"/><Relationship Id="rId591" Type="http://schemas.openxmlformats.org/officeDocument/2006/relationships/hyperlink" Target="https://www.dropbox.com/scl/fi/g0s8i932jw013u13vy0pa/main-5.png?rlkey=d3wtwzaq0lli9vkk00rv2netg&amp;st=ccg3hz9z&amp;dl=0" TargetMode="External"/><Relationship Id="rId1186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2033" Type="http://schemas.openxmlformats.org/officeDocument/2006/relationships/hyperlink" Target="https://www.dropbox.com/scl/fi/mkfm0jmqlnfm0x9cjcg63/PETER-WILLIAMS-BEST1.jpg?rlkey=sqjd20rstkkb3wsj62b17563g&amp;st=y20szpaq&amp;dl=0" TargetMode="External"/><Relationship Id="rId114" Type="http://schemas.openxmlformats.org/officeDocument/2006/relationships/hyperlink" Target="https://www.dropbox.com/scl/fi/qhda1nmj03f746ns4rsrs/Screenshot-2025-11-13-at-11.29.05-AM.png?rlkey=8gtgng60yg2t4vaaiyyvqg5si&amp;st=72lfvner&amp;dl=0" TargetMode="External"/><Relationship Id="rId598" Type="http://schemas.openxmlformats.org/officeDocument/2006/relationships/hyperlink" Target="https://www.dropbox.com/scl/fi/q6bwz21ei9sq7z9xzmpys/Harcourts-Refined_LogoSet_Horizontal_BLUE_121220.png?rlkey=h8x761fhk87io9cennk0dkr43&amp;st=yt8xykg3&amp;dl=0" TargetMode="External"/><Relationship Id="rId1187" Type="http://schemas.openxmlformats.org/officeDocument/2006/relationships/hyperlink" Target="https://www.dropbox.com/scl/fi/tbbrsyveggsd5ommkyf49/SQUARE-Sam-English2-01.jpg?rlkey=hij3us1qhq59qle03hpehzu96&amp;st=5qnz6dj1&amp;dl=0" TargetMode="External"/><Relationship Id="rId2034" Type="http://schemas.openxmlformats.org/officeDocument/2006/relationships/hyperlink" Target="https://www.dropbox.com/scl/fi/hqaq6xysfrh0re0gq67m8/Southern-Living-Property-02.jpg?rlkey=byxw3hdrt64xgv7xuh6c6s570&amp;st=py9gf2l0&amp;dl=0" TargetMode="External"/><Relationship Id="rId113" Type="http://schemas.openxmlformats.org/officeDocument/2006/relationships/hyperlink" Target="https://www.dropbox.com/scl/fi/83bowvczd8a8tsnddfunk/main-16.png?rlkey=r9mdzxzrzx6r3xiza9sxkufac&amp;st=tdcznohd&amp;dl=0" TargetMode="External"/><Relationship Id="rId597" Type="http://schemas.openxmlformats.org/officeDocument/2006/relationships/hyperlink" Target="https://www.dropbox.com/scl/fi/g0s8i932jw013u13vy0pa/main-5.png?rlkey=d3wtwzaq0lli9vkk00rv2netg&amp;st=ccg3hz9z&amp;dl=0" TargetMode="External"/><Relationship Id="rId1188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2035" Type="http://schemas.openxmlformats.org/officeDocument/2006/relationships/hyperlink" Target="https://www.dropbox.com/scl/fi/mkfm0jmqlnfm0x9cjcg63/PETER-WILLIAMS-BEST1.jpg?rlkey=sqjd20rstkkb3wsj62b17563g&amp;st=y20szpaq&amp;dl=0" TargetMode="External"/><Relationship Id="rId112" Type="http://schemas.openxmlformats.org/officeDocument/2006/relationships/hyperlink" Target="https://www.dropbox.com/scl/fi/qhda1nmj03f746ns4rsrs/Screenshot-2025-11-13-at-11.29.05-AM.png?rlkey=8gtgng60yg2t4vaaiyyvqg5si&amp;st=72lfvner&amp;dl=0" TargetMode="External"/><Relationship Id="rId596" Type="http://schemas.openxmlformats.org/officeDocument/2006/relationships/hyperlink" Target="https://www.dropbox.com/scl/fi/q6bwz21ei9sq7z9xzmpys/Harcourts-Refined_LogoSet_Horizontal_BLUE_121220.png?rlkey=h8x761fhk87io9cennk0dkr43&amp;st=yt8xykg3&amp;dl=0" TargetMode="External"/><Relationship Id="rId1189" Type="http://schemas.openxmlformats.org/officeDocument/2006/relationships/hyperlink" Target="https://www.dropbox.com/scl/fi/tbbrsyveggsd5ommkyf49/SQUARE-Sam-English2-01.jpg?rlkey=hij3us1qhq59qle03hpehzu96&amp;st=5qnz6dj1&amp;dl=0" TargetMode="External"/><Relationship Id="rId2036" Type="http://schemas.openxmlformats.org/officeDocument/2006/relationships/hyperlink" Target="https://www.dropbox.com/scl/fi/hqaq6xysfrh0re0gq67m8/Southern-Living-Property-02.jpg?rlkey=byxw3hdrt64xgv7xuh6c6s570&amp;st=py9gf2l0&amp;dl=0" TargetMode="External"/><Relationship Id="rId111" Type="http://schemas.openxmlformats.org/officeDocument/2006/relationships/hyperlink" Target="https://www.dropbox.com/scl/fi/83bowvczd8a8tsnddfunk/main-16.png?rlkey=r9mdzxzrzx6r3xiza9sxkufac&amp;st=tdcznohd&amp;dl=0" TargetMode="External"/><Relationship Id="rId595" Type="http://schemas.openxmlformats.org/officeDocument/2006/relationships/hyperlink" Target="https://www.dropbox.com/scl/fi/g0s8i932jw013u13vy0pa/main-5.png?rlkey=d3wtwzaq0lli9vkk00rv2netg&amp;st=ccg3hz9z&amp;dl=0" TargetMode="External"/><Relationship Id="rId2037" Type="http://schemas.openxmlformats.org/officeDocument/2006/relationships/hyperlink" Target="https://www.dropbox.com/scl/fi/mkfm0jmqlnfm0x9cjcg63/PETER-WILLIAMS-BEST1.jpg?rlkey=sqjd20rstkkb3wsj62b17563g&amp;st=y20szpaq&amp;dl=0" TargetMode="External"/><Relationship Id="rId1136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137" Type="http://schemas.openxmlformats.org/officeDocument/2006/relationships/hyperlink" Target="https://www.dropbox.com/scl/fi/aqlrqakocerqp81kl393y/main-11.png?rlkey=ylzxqu0vw707dcwi30k69z28m&amp;st=mcxogv6q&amp;dl=0" TargetMode="External"/><Relationship Id="rId1138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139" Type="http://schemas.openxmlformats.org/officeDocument/2006/relationships/hyperlink" Target="https://www.dropbox.com/scl/fi/aqlrqakocerqp81kl393y/main-11.png?rlkey=ylzxqu0vw707dcwi30k69z28m&amp;st=mcxogv6q&amp;dl=0" TargetMode="External"/><Relationship Id="rId547" Type="http://schemas.openxmlformats.org/officeDocument/2006/relationships/hyperlink" Target="https://www.dropbox.com/scl/fi/91wdwr5thijlo12m04mdo/Jamie-Rivett-Print.jpg?rlkey=mqekt6deeu0o6jxfgl8gwjln3&amp;st=iffmkb37&amp;dl=0" TargetMode="External"/><Relationship Id="rId546" Type="http://schemas.openxmlformats.org/officeDocument/2006/relationships/hyperlink" Target="https://www.dropbox.com/scl/fi/2n24yo1r7fulcjbgf066y/Dark-Logo-Pink-Background-510px-96px.png?rlkey=76nppc7l7hxzm4vvsx3tvmqyx&amp;st=s36y6z7x&amp;dl=0" TargetMode="External"/><Relationship Id="rId545" Type="http://schemas.openxmlformats.org/officeDocument/2006/relationships/hyperlink" Target="https://www.dropbox.com/scl/fi/h6w224aqo7d6cilvrqlb5/ASHLEAH__2943.jpg?rlkey=jighk83us6pkcfd96bdulqfkp&amp;st=6nlzv380&amp;dl=0" TargetMode="External"/><Relationship Id="rId544" Type="http://schemas.openxmlformats.org/officeDocument/2006/relationships/hyperlink" Target="https://www.dropbox.com/scl/fi/2n24yo1r7fulcjbgf066y/Dark-Logo-Pink-Background-510px-96px.png?rlkey=76nppc7l7hxzm4vvsx3tvmqyx&amp;st=s36y6z7x&amp;dl=0" TargetMode="External"/><Relationship Id="rId549" Type="http://schemas.openxmlformats.org/officeDocument/2006/relationships/hyperlink" Target="https://www.dropbox.com/scl/fi/91wdwr5thijlo12m04mdo/Jamie-Rivett-Print.jpg?rlkey=mqekt6deeu0o6jxfgl8gwjln3&amp;st=iffmkb37&amp;dl=0" TargetMode="External"/><Relationship Id="rId548" Type="http://schemas.openxmlformats.org/officeDocument/2006/relationships/hyperlink" Target="https://www.dropbox.com/scl/fi/bfhpxqdx9svt89oj75dtf/FOR-SCREEN-Supported-by-Image-Stacked-Logo-Grey.png?rlkey=a6px1rx9cou8bowvfdrctd5n7&amp;st=fp4xbfae&amp;dl=0" TargetMode="External"/><Relationship Id="rId1130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131" Type="http://schemas.openxmlformats.org/officeDocument/2006/relationships/hyperlink" Target="https://www.dropbox.com/scl/fi/aqlrqakocerqp81kl393y/main-11.png?rlkey=ylzxqu0vw707dcwi30k69z28m&amp;st=mcxogv6q&amp;dl=0" TargetMode="External"/><Relationship Id="rId543" Type="http://schemas.openxmlformats.org/officeDocument/2006/relationships/hyperlink" Target="https://www.dropbox.com/scl/fi/h6w224aqo7d6cilvrqlb5/ASHLEAH__2943.jpg?rlkey=jighk83us6pkcfd96bdulqfkp&amp;st=6nlzv380&amp;dl=0" TargetMode="External"/><Relationship Id="rId1132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542" Type="http://schemas.openxmlformats.org/officeDocument/2006/relationships/hyperlink" Target="https://www.dropbox.com/scl/fi/2n24yo1r7fulcjbgf066y/Dark-Logo-Pink-Background-510px-96px.png?rlkey=76nppc7l7hxzm4vvsx3tvmqyx&amp;st=s36y6z7x&amp;dl=0" TargetMode="External"/><Relationship Id="rId1133" Type="http://schemas.openxmlformats.org/officeDocument/2006/relationships/hyperlink" Target="https://www.dropbox.com/scl/fi/aqlrqakocerqp81kl393y/main-11.png?rlkey=ylzxqu0vw707dcwi30k69z28m&amp;st=mcxogv6q&amp;dl=0" TargetMode="External"/><Relationship Id="rId541" Type="http://schemas.openxmlformats.org/officeDocument/2006/relationships/hyperlink" Target="https://www.dropbox.com/scl/fi/h6w224aqo7d6cilvrqlb5/ASHLEAH__2943.jpg?rlkey=jighk83us6pkcfd96bdulqfkp&amp;st=6nlzv380&amp;dl=0" TargetMode="External"/><Relationship Id="rId1134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540" Type="http://schemas.openxmlformats.org/officeDocument/2006/relationships/hyperlink" Target="https://www.dropbox.com/scl/fi/2n24yo1r7fulcjbgf066y/Dark-Logo-Pink-Background-510px-96px.png?rlkey=76nppc7l7hxzm4vvsx3tvmqyx&amp;st=s36y6z7x&amp;dl=0" TargetMode="External"/><Relationship Id="rId1135" Type="http://schemas.openxmlformats.org/officeDocument/2006/relationships/hyperlink" Target="https://www.dropbox.com/scl/fi/aqlrqakocerqp81kl393y/main-11.png?rlkey=ylzxqu0vw707dcwi30k69z28m&amp;st=mcxogv6q&amp;dl=0" TargetMode="External"/><Relationship Id="rId1125" Type="http://schemas.openxmlformats.org/officeDocument/2006/relationships/hyperlink" Target="https://www.dropbox.com/scl/fi/aqlrqakocerqp81kl393y/main-11.png?rlkey=ylzxqu0vw707dcwi30k69z28m&amp;st=mcxogv6q&amp;dl=0" TargetMode="External"/><Relationship Id="rId1126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127" Type="http://schemas.openxmlformats.org/officeDocument/2006/relationships/hyperlink" Target="https://www.dropbox.com/scl/fi/aqlrqakocerqp81kl393y/main-11.png?rlkey=ylzxqu0vw707dcwi30k69z28m&amp;st=mcxogv6q&amp;dl=0" TargetMode="External"/><Relationship Id="rId1128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129" Type="http://schemas.openxmlformats.org/officeDocument/2006/relationships/hyperlink" Target="https://www.dropbox.com/scl/fi/aqlrqakocerqp81kl393y/main-11.png?rlkey=ylzxqu0vw707dcwi30k69z28m&amp;st=mcxogv6q&amp;dl=0" TargetMode="External"/><Relationship Id="rId536" Type="http://schemas.openxmlformats.org/officeDocument/2006/relationships/hyperlink" Target="https://www.dropbox.com/scl/fi/2n24yo1r7fulcjbgf066y/Dark-Logo-Pink-Background-510px-96px.png?rlkey=76nppc7l7hxzm4vvsx3tvmqyx&amp;st=s36y6z7x&amp;dl=0" TargetMode="External"/><Relationship Id="rId535" Type="http://schemas.openxmlformats.org/officeDocument/2006/relationships/hyperlink" Target="https://www.dropbox.com/scl/fi/h6w224aqo7d6cilvrqlb5/ASHLEAH__2943.jpg?rlkey=jighk83us6pkcfd96bdulqfkp&amp;st=6nlzv380&amp;dl=0" TargetMode="External"/><Relationship Id="rId534" Type="http://schemas.openxmlformats.org/officeDocument/2006/relationships/hyperlink" Target="https://www.dropbox.com/scl/fi/6uy8t91pbw9wopvoms0a9/place_logo_white.webp?rlkey=yft7rddaogv93huvmsrf1v24r&amp;st=vrnar0lo&amp;dl=0" TargetMode="External"/><Relationship Id="rId533" Type="http://schemas.openxmlformats.org/officeDocument/2006/relationships/hyperlink" Target="https://www.dropbox.com/scl/fi/znhn925we1hwcbfdjva0a/main-5.jpg?rlkey=fqhijidhf7fmbhpdvuvzv11j4&amp;st=glcsszsb&amp;dl=0" TargetMode="External"/><Relationship Id="rId539" Type="http://schemas.openxmlformats.org/officeDocument/2006/relationships/hyperlink" Target="https://www.dropbox.com/scl/fi/h6w224aqo7d6cilvrqlb5/ASHLEAH__2943.jpg?rlkey=jighk83us6pkcfd96bdulqfkp&amp;st=6nlzv380&amp;dl=0" TargetMode="External"/><Relationship Id="rId538" Type="http://schemas.openxmlformats.org/officeDocument/2006/relationships/hyperlink" Target="https://www.dropbox.com/scl/fi/2n24yo1r7fulcjbgf066y/Dark-Logo-Pink-Background-510px-96px.png?rlkey=76nppc7l7hxzm4vvsx3tvmqyx&amp;st=s36y6z7x&amp;dl=0" TargetMode="External"/><Relationship Id="rId537" Type="http://schemas.openxmlformats.org/officeDocument/2006/relationships/hyperlink" Target="https://www.dropbox.com/scl/fi/h6w224aqo7d6cilvrqlb5/ASHLEAH__2943.jpg?rlkey=jighk83us6pkcfd96bdulqfkp&amp;st=6nlzv380&amp;dl=0" TargetMode="External"/><Relationship Id="rId1120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532" Type="http://schemas.openxmlformats.org/officeDocument/2006/relationships/hyperlink" Target="https://www.dropbox.com/scl/fi/6uy8t91pbw9wopvoms0a9/place_logo_white.webp?rlkey=yft7rddaogv93huvmsrf1v24r&amp;st=vrnar0lo&amp;dl=0" TargetMode="External"/><Relationship Id="rId1121" Type="http://schemas.openxmlformats.org/officeDocument/2006/relationships/hyperlink" Target="https://www.dropbox.com/scl/fi/aqlrqakocerqp81kl393y/main-11.png?rlkey=ylzxqu0vw707dcwi30k69z28m&amp;st=mcxogv6q&amp;dl=0" TargetMode="External"/><Relationship Id="rId531" Type="http://schemas.openxmlformats.org/officeDocument/2006/relationships/hyperlink" Target="https://www.dropbox.com/scl/fi/znhn925we1hwcbfdjva0a/main-5.jpg?rlkey=fqhijidhf7fmbhpdvuvzv11j4&amp;st=glcsszsb&amp;dl=0" TargetMode="External"/><Relationship Id="rId1122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530" Type="http://schemas.openxmlformats.org/officeDocument/2006/relationships/hyperlink" Target="https://www.dropbox.com/scl/fi/6uy8t91pbw9wopvoms0a9/place_logo_white.webp?rlkey=yft7rddaogv93huvmsrf1v24r&amp;st=vrnar0lo&amp;dl=0" TargetMode="External"/><Relationship Id="rId1123" Type="http://schemas.openxmlformats.org/officeDocument/2006/relationships/hyperlink" Target="https://www.dropbox.com/scl/fi/aqlrqakocerqp81kl393y/main-11.png?rlkey=ylzxqu0vw707dcwi30k69z28m&amp;st=mcxogv6q&amp;dl=0" TargetMode="External"/><Relationship Id="rId1124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158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2005" Type="http://schemas.openxmlformats.org/officeDocument/2006/relationships/hyperlink" Target="https://www.dropbox.com/scl/fi/mkfm0jmqlnfm0x9cjcg63/PETER-WILLIAMS-BEST1.jpg?rlkey=sqjd20rstkkb3wsj62b17563g&amp;st=y20szpaq&amp;dl=0" TargetMode="External"/><Relationship Id="rId1159" Type="http://schemas.openxmlformats.org/officeDocument/2006/relationships/hyperlink" Target="https://www.dropbox.com/scl/fi/aqlrqakocerqp81kl393y/main-11.png?rlkey=ylzxqu0vw707dcwi30k69z28m&amp;st=mcxogv6q&amp;dl=0" TargetMode="External"/><Relationship Id="rId2006" Type="http://schemas.openxmlformats.org/officeDocument/2006/relationships/hyperlink" Target="https://www.dropbox.com/scl/fi/hqaq6xysfrh0re0gq67m8/Southern-Living-Property-02.jpg?rlkey=byxw3hdrt64xgv7xuh6c6s570&amp;st=py9gf2l0&amp;dl=0" TargetMode="External"/><Relationship Id="rId2007" Type="http://schemas.openxmlformats.org/officeDocument/2006/relationships/hyperlink" Target="https://www.dropbox.com/scl/fi/mkfm0jmqlnfm0x9cjcg63/PETER-WILLIAMS-BEST1.jpg?rlkey=sqjd20rstkkb3wsj62b17563g&amp;st=y20szpaq&amp;dl=0" TargetMode="External"/><Relationship Id="rId2008" Type="http://schemas.openxmlformats.org/officeDocument/2006/relationships/hyperlink" Target="https://www.dropbox.com/scl/fi/hqaq6xysfrh0re0gq67m8/Southern-Living-Property-02.jpg?rlkey=byxw3hdrt64xgv7xuh6c6s570&amp;st=py9gf2l0&amp;dl=0" TargetMode="External"/><Relationship Id="rId2009" Type="http://schemas.openxmlformats.org/officeDocument/2006/relationships/hyperlink" Target="https://www.dropbox.com/scl/fi/mkfm0jmqlnfm0x9cjcg63/PETER-WILLIAMS-BEST1.jpg?rlkey=sqjd20rstkkb3wsj62b17563g&amp;st=y20szpaq&amp;dl=0" TargetMode="External"/><Relationship Id="rId569" Type="http://schemas.openxmlformats.org/officeDocument/2006/relationships/hyperlink" Target="https://www.dropbox.com/scl/fi/91wdwr5thijlo12m04mdo/Jamie-Rivett-Print.jpg?rlkey=mqekt6deeu0o6jxfgl8gwjln3&amp;st=iffmkb37&amp;dl=0" TargetMode="External"/><Relationship Id="rId568" Type="http://schemas.openxmlformats.org/officeDocument/2006/relationships/hyperlink" Target="https://www.dropbox.com/scl/fi/bfhpxqdx9svt89oj75dtf/FOR-SCREEN-Supported-by-Image-Stacked-Logo-Grey.png?rlkey=a6px1rx9cou8bowvfdrctd5n7&amp;st=fp4xbfae&amp;dl=0" TargetMode="External"/><Relationship Id="rId567" Type="http://schemas.openxmlformats.org/officeDocument/2006/relationships/hyperlink" Target="https://www.dropbox.com/scl/fi/91wdwr5thijlo12m04mdo/Jamie-Rivett-Print.jpg?rlkey=mqekt6deeu0o6jxfgl8gwjln3&amp;st=iffmkb37&amp;dl=0" TargetMode="External"/><Relationship Id="rId566" Type="http://schemas.openxmlformats.org/officeDocument/2006/relationships/hyperlink" Target="https://www.dropbox.com/scl/fi/bfhpxqdx9svt89oj75dtf/FOR-SCREEN-Supported-by-Image-Stacked-Logo-Grey.png?rlkey=a6px1rx9cou8bowvfdrctd5n7&amp;st=fp4xbfae&amp;dl=0" TargetMode="External"/><Relationship Id="rId561" Type="http://schemas.openxmlformats.org/officeDocument/2006/relationships/hyperlink" Target="https://www.dropbox.com/scl/fi/91wdwr5thijlo12m04mdo/Jamie-Rivett-Print.jpg?rlkey=mqekt6deeu0o6jxfgl8gwjln3&amp;st=iffmkb37&amp;dl=0" TargetMode="External"/><Relationship Id="rId1150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560" Type="http://schemas.openxmlformats.org/officeDocument/2006/relationships/hyperlink" Target="https://www.dropbox.com/scl/fi/bfhpxqdx9svt89oj75dtf/FOR-SCREEN-Supported-by-Image-Stacked-Logo-Grey.png?rlkey=a6px1rx9cou8bowvfdrctd5n7&amp;st=fp4xbfae&amp;dl=0" TargetMode="External"/><Relationship Id="rId1151" Type="http://schemas.openxmlformats.org/officeDocument/2006/relationships/hyperlink" Target="https://www.dropbox.com/scl/fi/aqlrqakocerqp81kl393y/main-11.png?rlkey=ylzxqu0vw707dcwi30k69z28m&amp;st=mcxogv6q&amp;dl=0" TargetMode="External"/><Relationship Id="rId1152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153" Type="http://schemas.openxmlformats.org/officeDocument/2006/relationships/hyperlink" Target="https://www.dropbox.com/scl/fi/aqlrqakocerqp81kl393y/main-11.png?rlkey=ylzxqu0vw707dcwi30k69z28m&amp;st=mcxogv6q&amp;dl=0" TargetMode="External"/><Relationship Id="rId2000" Type="http://schemas.openxmlformats.org/officeDocument/2006/relationships/hyperlink" Target="https://www.dropbox.com/scl/fi/hqaq6xysfrh0re0gq67m8/Southern-Living-Property-02.jpg?rlkey=byxw3hdrt64xgv7xuh6c6s570&amp;st=py9gf2l0&amp;dl=0" TargetMode="External"/><Relationship Id="rId565" Type="http://schemas.openxmlformats.org/officeDocument/2006/relationships/hyperlink" Target="https://www.dropbox.com/scl/fi/91wdwr5thijlo12m04mdo/Jamie-Rivett-Print.jpg?rlkey=mqekt6deeu0o6jxfgl8gwjln3&amp;st=iffmkb37&amp;dl=0" TargetMode="External"/><Relationship Id="rId1154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2001" Type="http://schemas.openxmlformats.org/officeDocument/2006/relationships/hyperlink" Target="https://www.dropbox.com/scl/fi/mkfm0jmqlnfm0x9cjcg63/PETER-WILLIAMS-BEST1.jpg?rlkey=sqjd20rstkkb3wsj62b17563g&amp;st=y20szpaq&amp;dl=0" TargetMode="External"/><Relationship Id="rId564" Type="http://schemas.openxmlformats.org/officeDocument/2006/relationships/hyperlink" Target="https://www.dropbox.com/scl/fi/bfhpxqdx9svt89oj75dtf/FOR-SCREEN-Supported-by-Image-Stacked-Logo-Grey.png?rlkey=a6px1rx9cou8bowvfdrctd5n7&amp;st=fp4xbfae&amp;dl=0" TargetMode="External"/><Relationship Id="rId1155" Type="http://schemas.openxmlformats.org/officeDocument/2006/relationships/hyperlink" Target="https://www.dropbox.com/scl/fi/aqlrqakocerqp81kl393y/main-11.png?rlkey=ylzxqu0vw707dcwi30k69z28m&amp;st=mcxogv6q&amp;dl=0" TargetMode="External"/><Relationship Id="rId2002" Type="http://schemas.openxmlformats.org/officeDocument/2006/relationships/hyperlink" Target="https://www.dropbox.com/scl/fi/hqaq6xysfrh0re0gq67m8/Southern-Living-Property-02.jpg?rlkey=byxw3hdrt64xgv7xuh6c6s570&amp;st=py9gf2l0&amp;dl=0" TargetMode="External"/><Relationship Id="rId563" Type="http://schemas.openxmlformats.org/officeDocument/2006/relationships/hyperlink" Target="https://www.dropbox.com/scl/fi/91wdwr5thijlo12m04mdo/Jamie-Rivett-Print.jpg?rlkey=mqekt6deeu0o6jxfgl8gwjln3&amp;st=iffmkb37&amp;dl=0" TargetMode="External"/><Relationship Id="rId1156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2003" Type="http://schemas.openxmlformats.org/officeDocument/2006/relationships/hyperlink" Target="https://www.dropbox.com/scl/fi/mkfm0jmqlnfm0x9cjcg63/PETER-WILLIAMS-BEST1.jpg?rlkey=sqjd20rstkkb3wsj62b17563g&amp;st=y20szpaq&amp;dl=0" TargetMode="External"/><Relationship Id="rId562" Type="http://schemas.openxmlformats.org/officeDocument/2006/relationships/hyperlink" Target="https://www.dropbox.com/scl/fi/bfhpxqdx9svt89oj75dtf/FOR-SCREEN-Supported-by-Image-Stacked-Logo-Grey.png?rlkey=a6px1rx9cou8bowvfdrctd5n7&amp;st=fp4xbfae&amp;dl=0" TargetMode="External"/><Relationship Id="rId1157" Type="http://schemas.openxmlformats.org/officeDocument/2006/relationships/hyperlink" Target="https://www.dropbox.com/scl/fi/aqlrqakocerqp81kl393y/main-11.png?rlkey=ylzxqu0vw707dcwi30k69z28m&amp;st=mcxogv6q&amp;dl=0" TargetMode="External"/><Relationship Id="rId2004" Type="http://schemas.openxmlformats.org/officeDocument/2006/relationships/hyperlink" Target="https://www.dropbox.com/scl/fi/hqaq6xysfrh0re0gq67m8/Southern-Living-Property-02.jpg?rlkey=byxw3hdrt64xgv7xuh6c6s570&amp;st=py9gf2l0&amp;dl=0" TargetMode="External"/><Relationship Id="rId1147" Type="http://schemas.openxmlformats.org/officeDocument/2006/relationships/hyperlink" Target="https://www.dropbox.com/scl/fi/aqlrqakocerqp81kl393y/main-11.png?rlkey=ylzxqu0vw707dcwi30k69z28m&amp;st=mcxogv6q&amp;dl=0" TargetMode="External"/><Relationship Id="rId1148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149" Type="http://schemas.openxmlformats.org/officeDocument/2006/relationships/hyperlink" Target="https://www.dropbox.com/scl/fi/aqlrqakocerqp81kl393y/main-11.png?rlkey=ylzxqu0vw707dcwi30k69z28m&amp;st=mcxogv6q&amp;dl=0" TargetMode="External"/><Relationship Id="rId558" Type="http://schemas.openxmlformats.org/officeDocument/2006/relationships/hyperlink" Target="https://www.dropbox.com/scl/fi/bfhpxqdx9svt89oj75dtf/FOR-SCREEN-Supported-by-Image-Stacked-Logo-Grey.png?rlkey=a6px1rx9cou8bowvfdrctd5n7&amp;st=fp4xbfae&amp;dl=0" TargetMode="External"/><Relationship Id="rId557" Type="http://schemas.openxmlformats.org/officeDocument/2006/relationships/hyperlink" Target="https://www.dropbox.com/scl/fi/91wdwr5thijlo12m04mdo/Jamie-Rivett-Print.jpg?rlkey=mqekt6deeu0o6jxfgl8gwjln3&amp;st=iffmkb37&amp;dl=0" TargetMode="External"/><Relationship Id="rId556" Type="http://schemas.openxmlformats.org/officeDocument/2006/relationships/hyperlink" Target="https://www.dropbox.com/scl/fi/bfhpxqdx9svt89oj75dtf/FOR-SCREEN-Supported-by-Image-Stacked-Logo-Grey.png?rlkey=a6px1rx9cou8bowvfdrctd5n7&amp;st=fp4xbfae&amp;dl=0" TargetMode="External"/><Relationship Id="rId555" Type="http://schemas.openxmlformats.org/officeDocument/2006/relationships/hyperlink" Target="https://www.dropbox.com/scl/fi/91wdwr5thijlo12m04mdo/Jamie-Rivett-Print.jpg?rlkey=mqekt6deeu0o6jxfgl8gwjln3&amp;st=iffmkb37&amp;dl=0" TargetMode="External"/><Relationship Id="rId559" Type="http://schemas.openxmlformats.org/officeDocument/2006/relationships/hyperlink" Target="https://www.dropbox.com/scl/fi/91wdwr5thijlo12m04mdo/Jamie-Rivett-Print.jpg?rlkey=mqekt6deeu0o6jxfgl8gwjln3&amp;st=iffmkb37&amp;dl=0" TargetMode="External"/><Relationship Id="rId550" Type="http://schemas.openxmlformats.org/officeDocument/2006/relationships/hyperlink" Target="https://www.dropbox.com/scl/fi/bfhpxqdx9svt89oj75dtf/FOR-SCREEN-Supported-by-Image-Stacked-Logo-Grey.png?rlkey=a6px1rx9cou8bowvfdrctd5n7&amp;st=fp4xbfae&amp;dl=0" TargetMode="External"/><Relationship Id="rId1140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141" Type="http://schemas.openxmlformats.org/officeDocument/2006/relationships/hyperlink" Target="https://www.dropbox.com/scl/fi/aqlrqakocerqp81kl393y/main-11.png?rlkey=ylzxqu0vw707dcwi30k69z28m&amp;st=mcxogv6q&amp;dl=0" TargetMode="External"/><Relationship Id="rId1142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554" Type="http://schemas.openxmlformats.org/officeDocument/2006/relationships/hyperlink" Target="https://www.dropbox.com/scl/fi/bfhpxqdx9svt89oj75dtf/FOR-SCREEN-Supported-by-Image-Stacked-Logo-Grey.png?rlkey=a6px1rx9cou8bowvfdrctd5n7&amp;st=fp4xbfae&amp;dl=0" TargetMode="External"/><Relationship Id="rId1143" Type="http://schemas.openxmlformats.org/officeDocument/2006/relationships/hyperlink" Target="https://www.dropbox.com/scl/fi/aqlrqakocerqp81kl393y/main-11.png?rlkey=ylzxqu0vw707dcwi30k69z28m&amp;st=mcxogv6q&amp;dl=0" TargetMode="External"/><Relationship Id="rId553" Type="http://schemas.openxmlformats.org/officeDocument/2006/relationships/hyperlink" Target="https://www.dropbox.com/scl/fi/91wdwr5thijlo12m04mdo/Jamie-Rivett-Print.jpg?rlkey=mqekt6deeu0o6jxfgl8gwjln3&amp;st=iffmkb37&amp;dl=0" TargetMode="External"/><Relationship Id="rId1144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552" Type="http://schemas.openxmlformats.org/officeDocument/2006/relationships/hyperlink" Target="https://www.dropbox.com/scl/fi/bfhpxqdx9svt89oj75dtf/FOR-SCREEN-Supported-by-Image-Stacked-Logo-Grey.png?rlkey=a6px1rx9cou8bowvfdrctd5n7&amp;st=fp4xbfae&amp;dl=0" TargetMode="External"/><Relationship Id="rId1145" Type="http://schemas.openxmlformats.org/officeDocument/2006/relationships/hyperlink" Target="https://www.dropbox.com/scl/fi/aqlrqakocerqp81kl393y/main-11.png?rlkey=ylzxqu0vw707dcwi30k69z28m&amp;st=mcxogv6q&amp;dl=0" TargetMode="External"/><Relationship Id="rId551" Type="http://schemas.openxmlformats.org/officeDocument/2006/relationships/hyperlink" Target="https://www.dropbox.com/scl/fi/91wdwr5thijlo12m04mdo/Jamie-Rivett-Print.jpg?rlkey=mqekt6deeu0o6jxfgl8gwjln3&amp;st=iffmkb37&amp;dl=0" TargetMode="External"/><Relationship Id="rId1146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2050" Type="http://schemas.openxmlformats.org/officeDocument/2006/relationships/hyperlink" Target="https://www.dropbox.com/scl/fi/nudgw6lyqidlygbkna7lq/RW_Secondary-199-CMYK.png?rlkey=nvf8wfms5uogybu2gtqzfcxlr&amp;st=gsajyhes&amp;dl=0" TargetMode="External"/><Relationship Id="rId2051" Type="http://schemas.openxmlformats.org/officeDocument/2006/relationships/hyperlink" Target="https://www.dropbox.com/scl/fi/0uuuqkg4j457avu5996qk/Amit-Photo.jpg?rlkey=7dc0x8axzfuz8y54d0bbfjcbb&amp;st=p5aytzhz&amp;dl=0" TargetMode="External"/><Relationship Id="rId495" Type="http://schemas.openxmlformats.org/officeDocument/2006/relationships/hyperlink" Target="https://www.dropbox.com/scl/fi/tjdo0k4hyl7hamma2syjs/main-35.jpg?rlkey=lf45mh4apndxqgvygi2aefjxn&amp;st=5wwv96qc&amp;dl=0" TargetMode="External"/><Relationship Id="rId2052" Type="http://schemas.openxmlformats.org/officeDocument/2006/relationships/hyperlink" Target="https://www.dropbox.com/scl/fi/nudgw6lyqidlygbkna7lq/RW_Secondary-199-CMYK.png?rlkey=nvf8wfms5uogybu2gtqzfcxlr&amp;st=gsajyhes&amp;dl=0" TargetMode="External"/><Relationship Id="rId494" Type="http://schemas.openxmlformats.org/officeDocument/2006/relationships/hyperlink" Target="https://www.dropbox.com/scl/fi/fgdyy0kj1gppoioiayi8w/PLACE.png?rlkey=pboadcqnf1x19auaso5nswo7o&amp;st=ttn556dj&amp;dl=0" TargetMode="External"/><Relationship Id="rId2053" Type="http://schemas.openxmlformats.org/officeDocument/2006/relationships/drawing" Target="../drawings/drawing1.xml"/><Relationship Id="rId493" Type="http://schemas.openxmlformats.org/officeDocument/2006/relationships/hyperlink" Target="https://www.dropbox.com/scl/fi/tjdo0k4hyl7hamma2syjs/main-35.jpg?rlkey=lf45mh4apndxqgvygi2aefjxn&amp;st=5wwv96qc&amp;dl=0" TargetMode="External"/><Relationship Id="rId492" Type="http://schemas.openxmlformats.org/officeDocument/2006/relationships/hyperlink" Target="https://www.dropbox.com/scl/fi/fgdyy0kj1gppoioiayi8w/PLACE.png?rlkey=pboadcqnf1x19auaso5nswo7o&amp;st=ttn556dj&amp;dl=0" TargetMode="External"/><Relationship Id="rId499" Type="http://schemas.openxmlformats.org/officeDocument/2006/relationships/hyperlink" Target="https://www.dropbox.com/scl/fi/tjdo0k4hyl7hamma2syjs/main-35.jpg?rlkey=lf45mh4apndxqgvygi2aefjxn&amp;st=5wwv96qc&amp;dl=0" TargetMode="External"/><Relationship Id="rId498" Type="http://schemas.openxmlformats.org/officeDocument/2006/relationships/hyperlink" Target="https://www.dropbox.com/scl/fi/fgdyy0kj1gppoioiayi8w/PLACE.png?rlkey=pboadcqnf1x19auaso5nswo7o&amp;st=ttn556dj&amp;dl=0" TargetMode="External"/><Relationship Id="rId497" Type="http://schemas.openxmlformats.org/officeDocument/2006/relationships/hyperlink" Target="https://www.dropbox.com/scl/fi/tjdo0k4hyl7hamma2syjs/main-35.jpg?rlkey=lf45mh4apndxqgvygi2aefjxn&amp;st=5wwv96qc&amp;dl=0" TargetMode="External"/><Relationship Id="rId496" Type="http://schemas.openxmlformats.org/officeDocument/2006/relationships/hyperlink" Target="https://www.dropbox.com/scl/fi/fgdyy0kj1gppoioiayi8w/PLACE.png?rlkey=pboadcqnf1x19auaso5nswo7o&amp;st=ttn556dj&amp;dl=0" TargetMode="External"/><Relationship Id="rId1610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611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612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613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614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615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616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907" Type="http://schemas.openxmlformats.org/officeDocument/2006/relationships/hyperlink" Target="https://www.dropbox.com/scl/fi/2dhf8kg083709zfa95ztu/IMG_6122.JPG?rlkey=hjg6jsviivubxofr9wjcem58q&amp;st=iqgbias2&amp;dl=0" TargetMode="External"/><Relationship Id="rId1617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906" Type="http://schemas.openxmlformats.org/officeDocument/2006/relationships/hyperlink" Target="https://www.dropbox.com/scl/fi/qwi9m3nvb1ic3kfr0dih1/image-property-logo.png?rlkey=skpfa9e1jb7dkrz1zaio5gnl8&amp;st=x85m0im2&amp;dl=0" TargetMode="External"/><Relationship Id="rId1618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905" Type="http://schemas.openxmlformats.org/officeDocument/2006/relationships/hyperlink" Target="https://www.dropbox.com/scl/fi/2dhf8kg083709zfa95ztu/IMG_6122.JPG?rlkey=hjg6jsviivubxofr9wjcem58q&amp;st=iqgbias2&amp;dl=0" TargetMode="External"/><Relationship Id="rId1619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904" Type="http://schemas.openxmlformats.org/officeDocument/2006/relationships/hyperlink" Target="https://www.dropbox.com/scl/fi/qwi9m3nvb1ic3kfr0dih1/image-property-logo.png?rlkey=skpfa9e1jb7dkrz1zaio5gnl8&amp;st=x85m0im2&amp;dl=0" TargetMode="External"/><Relationship Id="rId909" Type="http://schemas.openxmlformats.org/officeDocument/2006/relationships/hyperlink" Target="https://www.dropbox.com/scl/fi/2dhf8kg083709zfa95ztu/IMG_6122.JPG?rlkey=hjg6jsviivubxofr9wjcem58q&amp;st=iqgbias2&amp;dl=0" TargetMode="External"/><Relationship Id="rId908" Type="http://schemas.openxmlformats.org/officeDocument/2006/relationships/hyperlink" Target="https://www.dropbox.com/scl/fi/qwi9m3nvb1ic3kfr0dih1/image-property-logo.png?rlkey=skpfa9e1jb7dkrz1zaio5gnl8&amp;st=x85m0im2&amp;dl=0" TargetMode="External"/><Relationship Id="rId903" Type="http://schemas.openxmlformats.org/officeDocument/2006/relationships/hyperlink" Target="https://www.dropbox.com/scl/fi/2dhf8kg083709zfa95ztu/IMG_6122.JPG?rlkey=hjg6jsviivubxofr9wjcem58q&amp;st=iqgbias2&amp;dl=0" TargetMode="External"/><Relationship Id="rId902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901" Type="http://schemas.openxmlformats.org/officeDocument/2006/relationships/hyperlink" Target="https://www.dropbox.com/scl/fi/9ofo08ce63v3alevn8p9a/main-4.png?rlkey=7ym3x2f1m547znktb14ilbuw4&amp;st=7qjzfgxd&amp;dl=0" TargetMode="External"/><Relationship Id="rId900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1600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601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602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603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604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605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606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607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608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609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631" Type="http://schemas.openxmlformats.org/officeDocument/2006/relationships/hyperlink" Target="https://www.dropbox.com/scl/fi/mzu0r8307c58j32gfaxxa/Chris.jpg?rlkey=2sua3wowvn63ddggm118luvkx&amp;st=wycxw4ku&amp;dl=0" TargetMode="External"/><Relationship Id="rId1632" Type="http://schemas.openxmlformats.org/officeDocument/2006/relationships/hyperlink" Target="https://www.dropbox.com/scl/fi/qpi2w1kqi41mh19p1hmtj/Ross-Realty-600x-180x-VaultRE.jpg?rlkey=cfjiv3rks8ojmuekqizk84zt2&amp;st=jvmfae5i&amp;dl=0" TargetMode="External"/><Relationship Id="rId1633" Type="http://schemas.openxmlformats.org/officeDocument/2006/relationships/hyperlink" Target="https://www.dropbox.com/scl/fi/mzu0r8307c58j32gfaxxa/Chris.jpg?rlkey=2sua3wowvn63ddggm118luvkx&amp;st=wycxw4ku&amp;dl=0" TargetMode="External"/><Relationship Id="rId1634" Type="http://schemas.openxmlformats.org/officeDocument/2006/relationships/hyperlink" Target="https://www.dropbox.com/scl/fi/qpi2w1kqi41mh19p1hmtj/Ross-Realty-600x-180x-VaultRE.jpg?rlkey=cfjiv3rks8ojmuekqizk84zt2&amp;st=jvmfae5i&amp;dl=0" TargetMode="External"/><Relationship Id="rId1635" Type="http://schemas.openxmlformats.org/officeDocument/2006/relationships/hyperlink" Target="https://www.dropbox.com/scl/fi/mzu0r8307c58j32gfaxxa/Chris.jpg?rlkey=2sua3wowvn63ddggm118luvkx&amp;st=wycxw4ku&amp;dl=0" TargetMode="External"/><Relationship Id="rId1636" Type="http://schemas.openxmlformats.org/officeDocument/2006/relationships/hyperlink" Target="https://www.dropbox.com/scl/fi/qpi2w1kqi41mh19p1hmtj/Ross-Realty-600x-180x-VaultRE.jpg?rlkey=cfjiv3rks8ojmuekqizk84zt2&amp;st=jvmfae5i&amp;dl=0" TargetMode="External"/><Relationship Id="rId1637" Type="http://schemas.openxmlformats.org/officeDocument/2006/relationships/hyperlink" Target="https://www.dropbox.com/scl/fi/mzu0r8307c58j32gfaxxa/Chris.jpg?rlkey=2sua3wowvn63ddggm118luvkx&amp;st=wycxw4ku&amp;dl=0" TargetMode="External"/><Relationship Id="rId1638" Type="http://schemas.openxmlformats.org/officeDocument/2006/relationships/hyperlink" Target="https://www.dropbox.com/scl/fi/qpi2w1kqi41mh19p1hmtj/Ross-Realty-600x-180x-VaultRE.jpg?rlkey=cfjiv3rks8ojmuekqizk84zt2&amp;st=jvmfae5i&amp;dl=0" TargetMode="External"/><Relationship Id="rId929" Type="http://schemas.openxmlformats.org/officeDocument/2006/relationships/hyperlink" Target="https://www.dropbox.com/scl/fi/swbih48ons87xd6r90pvw/c0767381-7472-49c1-99d7-3ce66433da35.jpeg?rlkey=697rdwmo9wndqifaw8nrgrpso&amp;st=6toyjfbc&amp;dl=0" TargetMode="External"/><Relationship Id="rId1639" Type="http://schemas.openxmlformats.org/officeDocument/2006/relationships/hyperlink" Target="https://www.dropbox.com/scl/fi/mzu0r8307c58j32gfaxxa/Chris.jpg?rlkey=2sua3wowvn63ddggm118luvkx&amp;st=wycxw4ku&amp;dl=0" TargetMode="External"/><Relationship Id="rId928" Type="http://schemas.openxmlformats.org/officeDocument/2006/relationships/hyperlink" Target="https://www.dropbox.com/scl/fi/kjng67t816ywa9ljej2u1/callumdocker1_250980835427060_6458055994123790062_Screenshot-2026-02-02-113853.png?rlkey=9pyj9w69p1ml72q8adup05cya&amp;st=pxhpxkry&amp;dl=0" TargetMode="External"/><Relationship Id="rId927" Type="http://schemas.openxmlformats.org/officeDocument/2006/relationships/hyperlink" Target="https://www.dropbox.com/scl/fi/swbih48ons87xd6r90pvw/c0767381-7472-49c1-99d7-3ce66433da35.jpeg?rlkey=697rdwmo9wndqifaw8nrgrpso&amp;st=6toyjfbc&amp;dl=0" TargetMode="External"/><Relationship Id="rId926" Type="http://schemas.openxmlformats.org/officeDocument/2006/relationships/hyperlink" Target="https://www.dropbox.com/scl/fi/kjng67t816ywa9ljej2u1/callumdocker1_250980835427060_6458055994123790062_Screenshot-2026-02-02-113853.png?rlkey=9pyj9w69p1ml72q8adup05cya&amp;st=pxhpxkry&amp;dl=0" TargetMode="External"/><Relationship Id="rId921" Type="http://schemas.openxmlformats.org/officeDocument/2006/relationships/hyperlink" Target="https://www.dropbox.com/scl/fi/swbih48ons87xd6r90pvw/c0767381-7472-49c1-99d7-3ce66433da35.jpeg?rlkey=697rdwmo9wndqifaw8nrgrpso&amp;st=6toyjfbc&amp;dl=0" TargetMode="External"/><Relationship Id="rId920" Type="http://schemas.openxmlformats.org/officeDocument/2006/relationships/hyperlink" Target="https://www.dropbox.com/scl/fi/kjng67t816ywa9ljej2u1/callumdocker1_250980835427060_6458055994123790062_Screenshot-2026-02-02-113853.png?rlkey=9pyj9w69p1ml72q8adup05cya&amp;st=pxhpxkry&amp;dl=0" TargetMode="External"/><Relationship Id="rId925" Type="http://schemas.openxmlformats.org/officeDocument/2006/relationships/hyperlink" Target="https://www.dropbox.com/scl/fi/swbih48ons87xd6r90pvw/c0767381-7472-49c1-99d7-3ce66433da35.jpeg?rlkey=697rdwmo9wndqifaw8nrgrpso&amp;st=6toyjfbc&amp;dl=0" TargetMode="External"/><Relationship Id="rId924" Type="http://schemas.openxmlformats.org/officeDocument/2006/relationships/hyperlink" Target="https://www.dropbox.com/scl/fi/kjng67t816ywa9ljej2u1/callumdocker1_250980835427060_6458055994123790062_Screenshot-2026-02-02-113853.png?rlkey=9pyj9w69p1ml72q8adup05cya&amp;st=pxhpxkry&amp;dl=0" TargetMode="External"/><Relationship Id="rId923" Type="http://schemas.openxmlformats.org/officeDocument/2006/relationships/hyperlink" Target="https://www.dropbox.com/scl/fi/swbih48ons87xd6r90pvw/c0767381-7472-49c1-99d7-3ce66433da35.jpeg?rlkey=697rdwmo9wndqifaw8nrgrpso&amp;st=6toyjfbc&amp;dl=0" TargetMode="External"/><Relationship Id="rId922" Type="http://schemas.openxmlformats.org/officeDocument/2006/relationships/hyperlink" Target="https://www.dropbox.com/scl/fi/kjng67t816ywa9ljej2u1/callumdocker1_250980835427060_6458055994123790062_Screenshot-2026-02-02-113853.png?rlkey=9pyj9w69p1ml72q8adup05cya&amp;st=pxhpxkry&amp;dl=0" TargetMode="External"/><Relationship Id="rId1630" Type="http://schemas.openxmlformats.org/officeDocument/2006/relationships/hyperlink" Target="https://www.dropbox.com/scl/fi/qpi2w1kqi41mh19p1hmtj/Ross-Realty-600x-180x-VaultRE.jpg?rlkey=cfjiv3rks8ojmuekqizk84zt2&amp;st=jvmfae5i&amp;dl=0" TargetMode="External"/><Relationship Id="rId1620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621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622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623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624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625" Type="http://schemas.openxmlformats.org/officeDocument/2006/relationships/hyperlink" Target="https://www.dropbox.com/scl/fi/00nyef3q9h9mfvtd4vqwa/Corey-Pitt-Bust-Pic-Oct-2025.jpg?rlkey=dpzv38b98i7kz0w71b26imlvp&amp;st=v98amviu&amp;dl=0" TargetMode="External"/><Relationship Id="rId1626" Type="http://schemas.openxmlformats.org/officeDocument/2006/relationships/hyperlink" Target="https://www.dropbox.com/scl/fi/43fgqmyto4xhz52u32v6p/callumdocker1_250980835427060_6458158000016176947_TheAgency_Logo_Charcoal_RGB-WhiteBack.png?rlkey=wm3sp2lpaf0m283zr8za0jhh6&amp;st=erwkmrup&amp;dl=0" TargetMode="External"/><Relationship Id="rId1627" Type="http://schemas.openxmlformats.org/officeDocument/2006/relationships/hyperlink" Target="https://www.dropbox.com/scl/fi/mzu0r8307c58j32gfaxxa/Chris.jpg?rlkey=2sua3wowvn63ddggm118luvkx&amp;st=wycxw4ku&amp;dl=0" TargetMode="External"/><Relationship Id="rId918" Type="http://schemas.openxmlformats.org/officeDocument/2006/relationships/hyperlink" Target="https://www.dropbox.com/scl/fi/qwi9m3nvb1ic3kfr0dih1/image-property-logo.png?rlkey=skpfa9e1jb7dkrz1zaio5gnl8&amp;st=x85m0im2&amp;dl=0" TargetMode="External"/><Relationship Id="rId1628" Type="http://schemas.openxmlformats.org/officeDocument/2006/relationships/hyperlink" Target="https://www.dropbox.com/scl/fi/qpi2w1kqi41mh19p1hmtj/Ross-Realty-600x-180x-VaultRE.jpg?rlkey=cfjiv3rks8ojmuekqizk84zt2&amp;st=jvmfae5i&amp;dl=0" TargetMode="External"/><Relationship Id="rId917" Type="http://schemas.openxmlformats.org/officeDocument/2006/relationships/hyperlink" Target="https://www.dropbox.com/scl/fi/2dhf8kg083709zfa95ztu/IMG_6122.JPG?rlkey=hjg6jsviivubxofr9wjcem58q&amp;st=iqgbias2&amp;dl=0" TargetMode="External"/><Relationship Id="rId1629" Type="http://schemas.openxmlformats.org/officeDocument/2006/relationships/hyperlink" Target="https://www.dropbox.com/scl/fi/mzu0r8307c58j32gfaxxa/Chris.jpg?rlkey=2sua3wowvn63ddggm118luvkx&amp;st=wycxw4ku&amp;dl=0" TargetMode="External"/><Relationship Id="rId916" Type="http://schemas.openxmlformats.org/officeDocument/2006/relationships/hyperlink" Target="https://www.dropbox.com/scl/fi/qwi9m3nvb1ic3kfr0dih1/image-property-logo.png?rlkey=skpfa9e1jb7dkrz1zaio5gnl8&amp;st=x85m0im2&amp;dl=0" TargetMode="External"/><Relationship Id="rId915" Type="http://schemas.openxmlformats.org/officeDocument/2006/relationships/hyperlink" Target="https://www.dropbox.com/scl/fi/2dhf8kg083709zfa95ztu/IMG_6122.JPG?rlkey=hjg6jsviivubxofr9wjcem58q&amp;st=iqgbias2&amp;dl=0" TargetMode="External"/><Relationship Id="rId919" Type="http://schemas.openxmlformats.org/officeDocument/2006/relationships/hyperlink" Target="https://www.dropbox.com/scl/fi/swbih48ons87xd6r90pvw/c0767381-7472-49c1-99d7-3ce66433da35.jpeg?rlkey=697rdwmo9wndqifaw8nrgrpso&amp;st=6toyjfbc&amp;dl=0" TargetMode="External"/><Relationship Id="rId910" Type="http://schemas.openxmlformats.org/officeDocument/2006/relationships/hyperlink" Target="https://www.dropbox.com/scl/fi/qwi9m3nvb1ic3kfr0dih1/image-property-logo.png?rlkey=skpfa9e1jb7dkrz1zaio5gnl8&amp;st=x85m0im2&amp;dl=0" TargetMode="External"/><Relationship Id="rId914" Type="http://schemas.openxmlformats.org/officeDocument/2006/relationships/hyperlink" Target="https://www.dropbox.com/scl/fi/qwi9m3nvb1ic3kfr0dih1/image-property-logo.png?rlkey=skpfa9e1jb7dkrz1zaio5gnl8&amp;st=x85m0im2&amp;dl=0" TargetMode="External"/><Relationship Id="rId913" Type="http://schemas.openxmlformats.org/officeDocument/2006/relationships/hyperlink" Target="https://www.dropbox.com/scl/fi/2dhf8kg083709zfa95ztu/IMG_6122.JPG?rlkey=hjg6jsviivubxofr9wjcem58q&amp;st=iqgbias2&amp;dl=0" TargetMode="External"/><Relationship Id="rId912" Type="http://schemas.openxmlformats.org/officeDocument/2006/relationships/hyperlink" Target="https://www.dropbox.com/scl/fi/qwi9m3nvb1ic3kfr0dih1/image-property-logo.png?rlkey=skpfa9e1jb7dkrz1zaio5gnl8&amp;st=x85m0im2&amp;dl=0" TargetMode="External"/><Relationship Id="rId911" Type="http://schemas.openxmlformats.org/officeDocument/2006/relationships/hyperlink" Target="https://www.dropbox.com/scl/fi/2dhf8kg083709zfa95ztu/IMG_6122.JPG?rlkey=hjg6jsviivubxofr9wjcem58q&amp;st=iqgbias2&amp;dl=0" TargetMode="External"/><Relationship Id="rId1213" Type="http://schemas.openxmlformats.org/officeDocument/2006/relationships/hyperlink" Target="https://www.dropbox.com/scl/fi/tbbrsyveggsd5ommkyf49/SQUARE-Sam-English2-01.jpg?rlkey=hij3us1qhq59qle03hpehzu96&amp;st=5qnz6dj1&amp;dl=0" TargetMode="External"/><Relationship Id="rId1697" Type="http://schemas.openxmlformats.org/officeDocument/2006/relationships/hyperlink" Target="https://www.dropbox.com/scl/fi/tjk8pxotnskls0e4nmz1e/main-37.jpg?rlkey=95uysb3z6wjuj28gplcr14bvn&amp;st=1y8rdsyp&amp;dl=0" TargetMode="External"/><Relationship Id="rId1214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1698" Type="http://schemas.openxmlformats.org/officeDocument/2006/relationships/hyperlink" Target="https://www.dropbox.com/scl/fi/qlw9tarnw8k5jois3okpj/Screenshot-2026-02-09-at-2.53.59-PM.png?rlkey=3yd64j8e4xtnspa6ftwwmb5lx&amp;st=wq0hmwe8&amp;dl=0" TargetMode="External"/><Relationship Id="rId1215" Type="http://schemas.openxmlformats.org/officeDocument/2006/relationships/hyperlink" Target="https://www.dropbox.com/scl/fi/tbbrsyveggsd5ommkyf49/SQUARE-Sam-English2-01.jpg?rlkey=hij3us1qhq59qle03hpehzu96&amp;st=5qnz6dj1&amp;dl=0" TargetMode="External"/><Relationship Id="rId1699" Type="http://schemas.openxmlformats.org/officeDocument/2006/relationships/hyperlink" Target="https://www.dropbox.com/scl/fi/tjk8pxotnskls0e4nmz1e/main-37.jpg?rlkey=95uysb3z6wjuj28gplcr14bvn&amp;st=1y8rdsyp&amp;dl=0" TargetMode="External"/><Relationship Id="rId1216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1217" Type="http://schemas.openxmlformats.org/officeDocument/2006/relationships/hyperlink" Target="https://www.dropbox.com/scl/fi/tbbrsyveggsd5ommkyf49/SQUARE-Sam-English2-01.jpg?rlkey=hij3us1qhq59qle03hpehzu96&amp;st=5qnz6dj1&amp;dl=0" TargetMode="External"/><Relationship Id="rId1218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1219" Type="http://schemas.openxmlformats.org/officeDocument/2006/relationships/hyperlink" Target="https://www.dropbox.com/scl/fi/tbbrsyveggsd5ommkyf49/SQUARE-Sam-English2-01.jpg?rlkey=hij3us1qhq59qle03hpehzu96&amp;st=5qnz6dj1&amp;dl=0" TargetMode="External"/><Relationship Id="rId866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865" Type="http://schemas.openxmlformats.org/officeDocument/2006/relationships/hyperlink" Target="https://www.dropbox.com/scl/fi/zmrubze5264rblivyoaq1/iPH_Nicholl-Young_Ben_GlareReduction-1.jpg?rlkey=hj6ph3qrgr39f0zh033m4nom2&amp;st=86s1bktf&amp;dl=0" TargetMode="External"/><Relationship Id="rId864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863" Type="http://schemas.openxmlformats.org/officeDocument/2006/relationships/hyperlink" Target="https://www.dropbox.com/scl/fi/zmrubze5264rblivyoaq1/iPH_Nicholl-Young_Ben_GlareReduction-1.jpg?rlkey=hj6ph3qrgr39f0zh033m4nom2&amp;st=86s1bktf&amp;dl=0" TargetMode="External"/><Relationship Id="rId869" Type="http://schemas.openxmlformats.org/officeDocument/2006/relationships/hyperlink" Target="https://www.dropbox.com/scl/fi/r19s88pq7gfpwt9oqa6ee/Alex-Photo.png?rlkey=rzylgr4mhwqwxxg6uof995vgk&amp;st=4cyajpm1&amp;dl=0" TargetMode="External"/><Relationship Id="rId868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867" Type="http://schemas.openxmlformats.org/officeDocument/2006/relationships/hyperlink" Target="https://www.dropbox.com/scl/fi/zmrubze5264rblivyoaq1/iPH_Nicholl-Young_Ben_GlareReduction-1.jpg?rlkey=hj6ph3qrgr39f0zh033m4nom2&amp;st=86s1bktf&amp;dl=0" TargetMode="External"/><Relationship Id="rId1690" Type="http://schemas.openxmlformats.org/officeDocument/2006/relationships/hyperlink" Target="https://www.dropbox.com/scl/fi/fb2kxjjycxvz51v5mt861/callumdocker1_250980835427060_6464097188391724411_Asset-1-4x.png?rlkey=zfaqmnu4gjyittgmq3spml0ez&amp;st=pmxs1u3e&amp;dl=0" TargetMode="External"/><Relationship Id="rId1691" Type="http://schemas.openxmlformats.org/officeDocument/2006/relationships/hyperlink" Target="https://www.dropbox.com/scl/fi/1s8jsx3qeebf7aqonljez/contact_2011225.jpeg?rlkey=j6ud67i7rjg5t6foz248s4x9y&amp;st=wm53uapc&amp;dl=0" TargetMode="External"/><Relationship Id="rId1692" Type="http://schemas.openxmlformats.org/officeDocument/2006/relationships/hyperlink" Target="https://www.dropbox.com/scl/fi/fb2kxjjycxvz51v5mt861/callumdocker1_250980835427060_6464097188391724411_Asset-1-4x.png?rlkey=zfaqmnu4gjyittgmq3spml0ez&amp;st=pmxs1u3e&amp;dl=0" TargetMode="External"/><Relationship Id="rId862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1693" Type="http://schemas.openxmlformats.org/officeDocument/2006/relationships/hyperlink" Target="https://www.dropbox.com/scl/fi/1s8jsx3qeebf7aqonljez/contact_2011225.jpeg?rlkey=j6ud67i7rjg5t6foz248s4x9y&amp;st=wm53uapc&amp;dl=0" TargetMode="External"/><Relationship Id="rId861" Type="http://schemas.openxmlformats.org/officeDocument/2006/relationships/hyperlink" Target="https://www.dropbox.com/scl/fi/zmrubze5264rblivyoaq1/iPH_Nicholl-Young_Ben_GlareReduction-1.jpg?rlkey=hj6ph3qrgr39f0zh033m4nom2&amp;st=86s1bktf&amp;dl=0" TargetMode="External"/><Relationship Id="rId1210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1694" Type="http://schemas.openxmlformats.org/officeDocument/2006/relationships/hyperlink" Target="https://www.dropbox.com/scl/fi/fb2kxjjycxvz51v5mt861/callumdocker1_250980835427060_6464097188391724411_Asset-1-4x.png?rlkey=zfaqmnu4gjyittgmq3spml0ez&amp;st=pmxs1u3e&amp;dl=0" TargetMode="External"/><Relationship Id="rId860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1211" Type="http://schemas.openxmlformats.org/officeDocument/2006/relationships/hyperlink" Target="https://www.dropbox.com/scl/fi/tbbrsyveggsd5ommkyf49/SQUARE-Sam-English2-01.jpg?rlkey=hij3us1qhq59qle03hpehzu96&amp;st=5qnz6dj1&amp;dl=0" TargetMode="External"/><Relationship Id="rId1695" Type="http://schemas.openxmlformats.org/officeDocument/2006/relationships/hyperlink" Target="https://www.dropbox.com/scl/fi/tjk8pxotnskls0e4nmz1e/main-37.jpg?rlkey=95uysb3z6wjuj28gplcr14bvn&amp;st=1y8rdsyp&amp;dl=0" TargetMode="External"/><Relationship Id="rId1212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1696" Type="http://schemas.openxmlformats.org/officeDocument/2006/relationships/hyperlink" Target="https://www.dropbox.com/scl/fi/qlw9tarnw8k5jois3okpj/Screenshot-2026-02-09-at-2.53.59-PM.png?rlkey=3yd64j8e4xtnspa6ftwwmb5lx&amp;st=wq0hmwe8&amp;dl=0" TargetMode="External"/><Relationship Id="rId1202" Type="http://schemas.openxmlformats.org/officeDocument/2006/relationships/hyperlink" Target="https://www.dropbox.com/scl/fi/hwgm0fqg2ryzymb2ptdgy/callumdocker1_250980835427060_6413264630216389767_TA_Logo.png?rlkey=ms9mldyko8cxo3rbnz1qa2iok&amp;st=at42exos&amp;dl=0" TargetMode="External"/><Relationship Id="rId1686" Type="http://schemas.openxmlformats.org/officeDocument/2006/relationships/hyperlink" Target="https://www.dropbox.com/scl/fi/ok7fqeie63vu2whgvvti9/Screenshot-2026-02-05-at-1.06.14-PM.png?rlkey=ax69o2opvpwh755oxd6gyyim8&amp;st=1xggd1er&amp;dl=0" TargetMode="External"/><Relationship Id="rId1203" Type="http://schemas.openxmlformats.org/officeDocument/2006/relationships/hyperlink" Target="https://www.dropbox.com/scl/fi/tbbrsyveggsd5ommkyf49/SQUARE-Sam-English2-01.jpg?rlkey=hij3us1qhq59qle03hpehzu96&amp;st=5qnz6dj1&amp;dl=0" TargetMode="External"/><Relationship Id="rId1687" Type="http://schemas.openxmlformats.org/officeDocument/2006/relationships/hyperlink" Target="https://www.dropbox.com/scl/fi/1s8jsx3qeebf7aqonljez/contact_2011225.jpeg?rlkey=j6ud67i7rjg5t6foz248s4x9y&amp;st=wm53uapc&amp;dl=0" TargetMode="External"/><Relationship Id="rId1204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1688" Type="http://schemas.openxmlformats.org/officeDocument/2006/relationships/hyperlink" Target="https://www.dropbox.com/scl/fi/fb2kxjjycxvz51v5mt861/callumdocker1_250980835427060_6464097188391724411_Asset-1-4x.png?rlkey=zfaqmnu4gjyittgmq3spml0ez&amp;st=pmxs1u3e&amp;dl=0" TargetMode="External"/><Relationship Id="rId1205" Type="http://schemas.openxmlformats.org/officeDocument/2006/relationships/hyperlink" Target="https://www.dropbox.com/scl/fi/tbbrsyveggsd5ommkyf49/SQUARE-Sam-English2-01.jpg?rlkey=hij3us1qhq59qle03hpehzu96&amp;st=5qnz6dj1&amp;dl=0" TargetMode="External"/><Relationship Id="rId1689" Type="http://schemas.openxmlformats.org/officeDocument/2006/relationships/hyperlink" Target="https://www.dropbox.com/scl/fi/1s8jsx3qeebf7aqonljez/contact_2011225.jpeg?rlkey=j6ud67i7rjg5t6foz248s4x9y&amp;st=wm53uapc&amp;dl=0" TargetMode="External"/><Relationship Id="rId1206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1207" Type="http://schemas.openxmlformats.org/officeDocument/2006/relationships/hyperlink" Target="https://www.dropbox.com/scl/fi/tbbrsyveggsd5ommkyf49/SQUARE-Sam-English2-01.jpg?rlkey=hij3us1qhq59qle03hpehzu96&amp;st=5qnz6dj1&amp;dl=0" TargetMode="External"/><Relationship Id="rId1208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1209" Type="http://schemas.openxmlformats.org/officeDocument/2006/relationships/hyperlink" Target="https://www.dropbox.com/scl/fi/tbbrsyveggsd5ommkyf49/SQUARE-Sam-English2-01.jpg?rlkey=hij3us1qhq59qle03hpehzu96&amp;st=5qnz6dj1&amp;dl=0" TargetMode="External"/><Relationship Id="rId855" Type="http://schemas.openxmlformats.org/officeDocument/2006/relationships/hyperlink" Target="https://www.dropbox.com/scl/fi/zmrubze5264rblivyoaq1/iPH_Nicholl-Young_Ben_GlareReduction-1.jpg?rlkey=hj6ph3qrgr39f0zh033m4nom2&amp;st=86s1bktf&amp;dl=0" TargetMode="External"/><Relationship Id="rId854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853" Type="http://schemas.openxmlformats.org/officeDocument/2006/relationships/hyperlink" Target="https://www.dropbox.com/scl/fi/zmrubze5264rblivyoaq1/iPH_Nicholl-Young_Ben_GlareReduction-1.jpg?rlkey=hj6ph3qrgr39f0zh033m4nom2&amp;st=86s1bktf&amp;dl=0" TargetMode="External"/><Relationship Id="rId852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859" Type="http://schemas.openxmlformats.org/officeDocument/2006/relationships/hyperlink" Target="https://www.dropbox.com/scl/fi/zmrubze5264rblivyoaq1/iPH_Nicholl-Young_Ben_GlareReduction-1.jpg?rlkey=hj6ph3qrgr39f0zh033m4nom2&amp;st=86s1bktf&amp;dl=0" TargetMode="External"/><Relationship Id="rId858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857" Type="http://schemas.openxmlformats.org/officeDocument/2006/relationships/hyperlink" Target="https://www.dropbox.com/scl/fi/zmrubze5264rblivyoaq1/iPH_Nicholl-Young_Ben_GlareReduction-1.jpg?rlkey=hj6ph3qrgr39f0zh033m4nom2&amp;st=86s1bktf&amp;dl=0" TargetMode="External"/><Relationship Id="rId856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1680" Type="http://schemas.openxmlformats.org/officeDocument/2006/relationships/hyperlink" Target="https://www.dropbox.com/scl/fi/ok7fqeie63vu2whgvvti9/Screenshot-2026-02-05-at-1.06.14-PM.png?rlkey=ax69o2opvpwh755oxd6gyyim8&amp;st=1xggd1er&amp;dl=0" TargetMode="External"/><Relationship Id="rId1681" Type="http://schemas.openxmlformats.org/officeDocument/2006/relationships/hyperlink" Target="https://www.dropbox.com/scl/fi/57fkxj71z6rw1l2gu1g7a/4H3omLYZ.jpeg?rlkey=3ptpfqhud6k81u1u2skamd2d1&amp;st=p8kszhg2&amp;dl=0" TargetMode="External"/><Relationship Id="rId851" Type="http://schemas.openxmlformats.org/officeDocument/2006/relationships/hyperlink" Target="https://www.dropbox.com/scl/fi/zmrubze5264rblivyoaq1/iPH_Nicholl-Young_Ben_GlareReduction-1.jpg?rlkey=hj6ph3qrgr39f0zh033m4nom2&amp;st=86s1bktf&amp;dl=0" TargetMode="External"/><Relationship Id="rId1682" Type="http://schemas.openxmlformats.org/officeDocument/2006/relationships/hyperlink" Target="https://www.dropbox.com/scl/fi/ok7fqeie63vu2whgvvti9/Screenshot-2026-02-05-at-1.06.14-PM.png?rlkey=ax69o2opvpwh755oxd6gyyim8&amp;st=1xggd1er&amp;dl=0" TargetMode="External"/><Relationship Id="rId850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1683" Type="http://schemas.openxmlformats.org/officeDocument/2006/relationships/hyperlink" Target="https://www.dropbox.com/scl/fi/57fkxj71z6rw1l2gu1g7a/4H3omLYZ.jpeg?rlkey=3ptpfqhud6k81u1u2skamd2d1&amp;st=p8kszhg2&amp;dl=0" TargetMode="External"/><Relationship Id="rId1200" Type="http://schemas.openxmlformats.org/officeDocument/2006/relationships/hyperlink" Target="https://www.dropbox.com/scl/fi/hwgm0fqg2ryzymb2ptdgy/callumdocker1_250980835427060_6413264630216389767_TA_Logo.png?rlkey=ms9mldyko8cxo3rbnz1qa2iok&amp;st=at42exos&amp;dl=0" TargetMode="External"/><Relationship Id="rId1684" Type="http://schemas.openxmlformats.org/officeDocument/2006/relationships/hyperlink" Target="https://www.dropbox.com/scl/fi/ok7fqeie63vu2whgvvti9/Screenshot-2026-02-05-at-1.06.14-PM.png?rlkey=ax69o2opvpwh755oxd6gyyim8&amp;st=1xggd1er&amp;dl=0" TargetMode="External"/><Relationship Id="rId1201" Type="http://schemas.openxmlformats.org/officeDocument/2006/relationships/hyperlink" Target="https://www.dropbox.com/scl/fi/makq2lu79sm2hlefm00sc/callumdocker1_250980835427060_6413264630216389767_PNG-Adam-Djordjevic2-01.png?rlkey=5cajxbuz16ki7cb9kkpvba5h0&amp;st=3hyacd1v&amp;dl=0" TargetMode="External"/><Relationship Id="rId1685" Type="http://schemas.openxmlformats.org/officeDocument/2006/relationships/hyperlink" Target="https://www.dropbox.com/scl/fi/57fkxj71z6rw1l2gu1g7a/4H3omLYZ.jpeg?rlkey=3ptpfqhud6k81u1u2skamd2d1&amp;st=p8kszhg2&amp;dl=0" TargetMode="External"/><Relationship Id="rId1235" Type="http://schemas.openxmlformats.org/officeDocument/2006/relationships/hyperlink" Target="https://www.dropbox.com/scl/fi/5bvrsnbu7h3ugq3oku4sc/Aman-8.jpg?rlkey=prxrtszuvt4faaoyp0scijpn3&amp;st=4z2yd443&amp;dl=0" TargetMode="External"/><Relationship Id="rId1236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1237" Type="http://schemas.openxmlformats.org/officeDocument/2006/relationships/hyperlink" Target="https://www.dropbox.com/scl/fi/5bvrsnbu7h3ugq3oku4sc/Aman-8.jpg?rlkey=prxrtszuvt4faaoyp0scijpn3&amp;st=4z2yd443&amp;dl=0" TargetMode="External"/><Relationship Id="rId1238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1239" Type="http://schemas.openxmlformats.org/officeDocument/2006/relationships/hyperlink" Target="https://www.dropbox.com/scl/fi/5bvrsnbu7h3ugq3oku4sc/Aman-8.jpg?rlkey=prxrtszuvt4faaoyp0scijpn3&amp;st=4z2yd443&amp;dl=0" TargetMode="External"/><Relationship Id="rId409" Type="http://schemas.openxmlformats.org/officeDocument/2006/relationships/hyperlink" Target="https://www.dropbox.com/scl/fi/5hqrl75nr85q2ppo22fck/main.jpg?rlkey=25ovau7xwwy7fdoeu8n7qnu13&amp;st=di7cfz9i&amp;dl=0" TargetMode="External"/><Relationship Id="rId404" Type="http://schemas.openxmlformats.org/officeDocument/2006/relationships/hyperlink" Target="https://www.dropbox.com/scl/fi/acorouf92bd1d2vfoboz0/LJ_Hooker_logo.png?rlkey=dr7iv5fnr0rwu3er3hi0mfbvz&amp;st=v5tn475u&amp;dl=0" TargetMode="External"/><Relationship Id="rId888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403" Type="http://schemas.openxmlformats.org/officeDocument/2006/relationships/hyperlink" Target="https://www.dropbox.com/scl/fi/5hqrl75nr85q2ppo22fck/main.jpg?rlkey=25ovau7xwwy7fdoeu8n7qnu13&amp;st=di7cfz9i&amp;dl=0" TargetMode="External"/><Relationship Id="rId887" Type="http://schemas.openxmlformats.org/officeDocument/2006/relationships/hyperlink" Target="https://www.dropbox.com/scl/fi/r19s88pq7gfpwt9oqa6ee/Alex-Photo.png?rlkey=rzylgr4mhwqwxxg6uof995vgk&amp;st=4cyajpm1&amp;dl=0" TargetMode="External"/><Relationship Id="rId402" Type="http://schemas.openxmlformats.org/officeDocument/2006/relationships/hyperlink" Target="https://www.dropbox.com/scl/fi/acorouf92bd1d2vfoboz0/LJ_Hooker_logo.png?rlkey=dr7iv5fnr0rwu3er3hi0mfbvz&amp;st=v5tn475u&amp;dl=0" TargetMode="External"/><Relationship Id="rId886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401" Type="http://schemas.openxmlformats.org/officeDocument/2006/relationships/hyperlink" Target="https://www.dropbox.com/scl/fi/5hqrl75nr85q2ppo22fck/main.jpg?rlkey=25ovau7xwwy7fdoeu8n7qnu13&amp;st=di7cfz9i&amp;dl=0" TargetMode="External"/><Relationship Id="rId885" Type="http://schemas.openxmlformats.org/officeDocument/2006/relationships/hyperlink" Target="https://www.dropbox.com/scl/fi/r19s88pq7gfpwt9oqa6ee/Alex-Photo.png?rlkey=rzylgr4mhwqwxxg6uof995vgk&amp;st=4cyajpm1&amp;dl=0" TargetMode="External"/><Relationship Id="rId408" Type="http://schemas.openxmlformats.org/officeDocument/2006/relationships/hyperlink" Target="https://www.dropbox.com/scl/fi/acorouf92bd1d2vfoboz0/LJ_Hooker_logo.png?rlkey=dr7iv5fnr0rwu3er3hi0mfbvz&amp;st=v5tn475u&amp;dl=0" TargetMode="External"/><Relationship Id="rId407" Type="http://schemas.openxmlformats.org/officeDocument/2006/relationships/hyperlink" Target="https://www.dropbox.com/scl/fi/5hqrl75nr85q2ppo22fck/main.jpg?rlkey=25ovau7xwwy7fdoeu8n7qnu13&amp;st=di7cfz9i&amp;dl=0" TargetMode="External"/><Relationship Id="rId406" Type="http://schemas.openxmlformats.org/officeDocument/2006/relationships/hyperlink" Target="https://www.dropbox.com/scl/fi/acorouf92bd1d2vfoboz0/LJ_Hooker_logo.png?rlkey=dr7iv5fnr0rwu3er3hi0mfbvz&amp;st=v5tn475u&amp;dl=0" TargetMode="External"/><Relationship Id="rId405" Type="http://schemas.openxmlformats.org/officeDocument/2006/relationships/hyperlink" Target="https://www.dropbox.com/scl/fi/5hqrl75nr85q2ppo22fck/main.jpg?rlkey=25ovau7xwwy7fdoeu8n7qnu13&amp;st=di7cfz9i&amp;dl=0" TargetMode="External"/><Relationship Id="rId889" Type="http://schemas.openxmlformats.org/officeDocument/2006/relationships/hyperlink" Target="https://www.dropbox.com/scl/fi/0gldt4638nee2n15br98t/Adriaan-3.jpg?rlkey=bfze2f98pjzcxi3e9g7ksv1e3&amp;st=71qjj2qk&amp;dl=0" TargetMode="External"/><Relationship Id="rId880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1230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400" Type="http://schemas.openxmlformats.org/officeDocument/2006/relationships/hyperlink" Target="https://www.dropbox.com/scl/fi/acorouf92bd1d2vfoboz0/LJ_Hooker_logo.png?rlkey=dr7iv5fnr0rwu3er3hi0mfbvz&amp;st=v5tn475u&amp;dl=0" TargetMode="External"/><Relationship Id="rId884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1231" Type="http://schemas.openxmlformats.org/officeDocument/2006/relationships/hyperlink" Target="https://www.dropbox.com/scl/fi/5bvrsnbu7h3ugq3oku4sc/Aman-8.jpg?rlkey=prxrtszuvt4faaoyp0scijpn3&amp;st=4z2yd443&amp;dl=0" TargetMode="External"/><Relationship Id="rId883" Type="http://schemas.openxmlformats.org/officeDocument/2006/relationships/hyperlink" Target="https://www.dropbox.com/scl/fi/r19s88pq7gfpwt9oqa6ee/Alex-Photo.png?rlkey=rzylgr4mhwqwxxg6uof995vgk&amp;st=4cyajpm1&amp;dl=0" TargetMode="External"/><Relationship Id="rId1232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882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1233" Type="http://schemas.openxmlformats.org/officeDocument/2006/relationships/hyperlink" Target="https://www.dropbox.com/scl/fi/5bvrsnbu7h3ugq3oku4sc/Aman-8.jpg?rlkey=prxrtszuvt4faaoyp0scijpn3&amp;st=4z2yd443&amp;dl=0" TargetMode="External"/><Relationship Id="rId881" Type="http://schemas.openxmlformats.org/officeDocument/2006/relationships/hyperlink" Target="https://www.dropbox.com/scl/fi/r19s88pq7gfpwt9oqa6ee/Alex-Photo.png?rlkey=rzylgr4mhwqwxxg6uof995vgk&amp;st=4cyajpm1&amp;dl=0" TargetMode="External"/><Relationship Id="rId1234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1224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1225" Type="http://schemas.openxmlformats.org/officeDocument/2006/relationships/hyperlink" Target="https://www.dropbox.com/scl/fi/tbbrsyveggsd5ommkyf49/SQUARE-Sam-English2-01.jpg?rlkey=hij3us1qhq59qle03hpehzu96&amp;st=5qnz6dj1&amp;dl=0" TargetMode="External"/><Relationship Id="rId1226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1227" Type="http://schemas.openxmlformats.org/officeDocument/2006/relationships/hyperlink" Target="https://www.dropbox.com/scl/fi/5bvrsnbu7h3ugq3oku4sc/Aman-8.jpg?rlkey=prxrtszuvt4faaoyp0scijpn3&amp;st=4z2yd443&amp;dl=0" TargetMode="External"/><Relationship Id="rId1228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1229" Type="http://schemas.openxmlformats.org/officeDocument/2006/relationships/hyperlink" Target="https://www.dropbox.com/scl/fi/5bvrsnbu7h3ugq3oku4sc/Aman-8.jpg?rlkey=prxrtszuvt4faaoyp0scijpn3&amp;st=4z2yd443&amp;dl=0" TargetMode="External"/><Relationship Id="rId877" Type="http://schemas.openxmlformats.org/officeDocument/2006/relationships/hyperlink" Target="https://www.dropbox.com/scl/fi/r19s88pq7gfpwt9oqa6ee/Alex-Photo.png?rlkey=rzylgr4mhwqwxxg6uof995vgk&amp;st=4cyajpm1&amp;dl=0" TargetMode="External"/><Relationship Id="rId876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875" Type="http://schemas.openxmlformats.org/officeDocument/2006/relationships/hyperlink" Target="https://www.dropbox.com/scl/fi/r19s88pq7gfpwt9oqa6ee/Alex-Photo.png?rlkey=rzylgr4mhwqwxxg6uof995vgk&amp;st=4cyajpm1&amp;dl=0" TargetMode="External"/><Relationship Id="rId874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879" Type="http://schemas.openxmlformats.org/officeDocument/2006/relationships/hyperlink" Target="https://www.dropbox.com/scl/fi/r19s88pq7gfpwt9oqa6ee/Alex-Photo.png?rlkey=rzylgr4mhwqwxxg6uof995vgk&amp;st=4cyajpm1&amp;dl=0" TargetMode="External"/><Relationship Id="rId878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873" Type="http://schemas.openxmlformats.org/officeDocument/2006/relationships/hyperlink" Target="https://www.dropbox.com/scl/fi/r19s88pq7gfpwt9oqa6ee/Alex-Photo.png?rlkey=rzylgr4mhwqwxxg6uof995vgk&amp;st=4cyajpm1&amp;dl=0" TargetMode="External"/><Relationship Id="rId1220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872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1221" Type="http://schemas.openxmlformats.org/officeDocument/2006/relationships/hyperlink" Target="https://www.dropbox.com/scl/fi/tbbrsyveggsd5ommkyf49/SQUARE-Sam-English2-01.jpg?rlkey=hij3us1qhq59qle03hpehzu96&amp;st=5qnz6dj1&amp;dl=0" TargetMode="External"/><Relationship Id="rId871" Type="http://schemas.openxmlformats.org/officeDocument/2006/relationships/hyperlink" Target="https://www.dropbox.com/scl/fi/r19s88pq7gfpwt9oqa6ee/Alex-Photo.png?rlkey=rzylgr4mhwqwxxg6uof995vgk&amp;st=4cyajpm1&amp;dl=0" TargetMode="External"/><Relationship Id="rId1222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870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1223" Type="http://schemas.openxmlformats.org/officeDocument/2006/relationships/hyperlink" Target="https://www.dropbox.com/scl/fi/tbbrsyveggsd5ommkyf49/SQUARE-Sam-English2-01.jpg?rlkey=hij3us1qhq59qle03hpehzu96&amp;st=5qnz6dj1&amp;dl=0" TargetMode="External"/><Relationship Id="rId1653" Type="http://schemas.openxmlformats.org/officeDocument/2006/relationships/hyperlink" Target="https://www.dropbox.com/scl/fi/mzu0r8307c58j32gfaxxa/Chris.jpg?rlkey=2sua3wowvn63ddggm118luvkx&amp;st=wycxw4ku&amp;dl=0" TargetMode="External"/><Relationship Id="rId1654" Type="http://schemas.openxmlformats.org/officeDocument/2006/relationships/hyperlink" Target="https://www.dropbox.com/scl/fi/qpi2w1kqi41mh19p1hmtj/Ross-Realty-600x-180x-VaultRE.jpg?rlkey=cfjiv3rks8ojmuekqizk84zt2&amp;st=jvmfae5i&amp;dl=0" TargetMode="External"/><Relationship Id="rId1655" Type="http://schemas.openxmlformats.org/officeDocument/2006/relationships/hyperlink" Target="https://www.dropbox.com/scl/fi/ok1ydg3nrm279al5at8i3/Jason-B.jpg?rlkey=gp6k0s15asf31p1zw6c359iji&amp;st=1ujor7kc&amp;dl=0" TargetMode="External"/><Relationship Id="rId1656" Type="http://schemas.openxmlformats.org/officeDocument/2006/relationships/hyperlink" Target="https://www.dropbox.com/scl/fi/h9sxo8reotsczpr1zsobo/callumdocker1_250980835427060_6459770496213501318_NelsonAlexander_Logo_2018.original.png?rlkey=jugz711ixy8fo0a81agehxomn&amp;st=wc2n5fcg&amp;dl=0" TargetMode="External"/><Relationship Id="rId1657" Type="http://schemas.openxmlformats.org/officeDocument/2006/relationships/hyperlink" Target="https://www.dropbox.com/scl/fi/ok1ydg3nrm279al5at8i3/Jason-B.jpg?rlkey=gp6k0s15asf31p1zw6c359iji&amp;st=1ujor7kc&amp;dl=0" TargetMode="External"/><Relationship Id="rId1658" Type="http://schemas.openxmlformats.org/officeDocument/2006/relationships/hyperlink" Target="https://www.dropbox.com/scl/fi/h9sxo8reotsczpr1zsobo/callumdocker1_250980835427060_6459770496213501318_NelsonAlexander_Logo_2018.original.png?rlkey=jugz711ixy8fo0a81agehxomn&amp;st=wc2n5fcg&amp;dl=0" TargetMode="External"/><Relationship Id="rId1659" Type="http://schemas.openxmlformats.org/officeDocument/2006/relationships/hyperlink" Target="https://www.dropbox.com/scl/fi/ok1ydg3nrm279al5at8i3/Jason-B.jpg?rlkey=gp6k0s15asf31p1zw6c359iji&amp;st=1ujor7kc&amp;dl=0" TargetMode="External"/><Relationship Id="rId829" Type="http://schemas.openxmlformats.org/officeDocument/2006/relationships/hyperlink" Target="https://www.dropbox.com/scl/fi/24bqld6swiyx5dr3qygcp/Headshot.pdf?rlkey=w56jz3c6tu4u6cz170dwm6crc&amp;st=ngysjs5e&amp;dl=0" TargetMode="External"/><Relationship Id="rId828" Type="http://schemas.openxmlformats.org/officeDocument/2006/relationships/hyperlink" Target="https://www.dropbox.com/scl/fi/fttdu3ou5n9scdibnzal2/Screenshot-2025-10-27-at-5.24.48-PM.png?rlkey=w21vn6ttugb7kb19dz8af3oh6&amp;st=pyni8ngc&amp;dl=0" TargetMode="External"/><Relationship Id="rId827" Type="http://schemas.openxmlformats.org/officeDocument/2006/relationships/hyperlink" Target="https://www.dropbox.com/scl/fi/2yzh2y3g3u7h7385wjfap/main-11.jpg?rlkey=9gjkt85wrzes1vwqhmxaeh17e&amp;st=zyqihr8n&amp;dl=0" TargetMode="External"/><Relationship Id="rId822" Type="http://schemas.openxmlformats.org/officeDocument/2006/relationships/hyperlink" Target="https://www.dropbox.com/scl/fi/fttdu3ou5n9scdibnzal2/Screenshot-2025-10-27-at-5.24.48-PM.png?rlkey=w21vn6ttugb7kb19dz8af3oh6&amp;st=pyni8ngc&amp;dl=0" TargetMode="External"/><Relationship Id="rId821" Type="http://schemas.openxmlformats.org/officeDocument/2006/relationships/hyperlink" Target="https://www.dropbox.com/scl/fi/2yzh2y3g3u7h7385wjfap/main-11.jpg?rlkey=9gjkt85wrzes1vwqhmxaeh17e&amp;st=zyqihr8n&amp;dl=0" TargetMode="External"/><Relationship Id="rId820" Type="http://schemas.openxmlformats.org/officeDocument/2006/relationships/hyperlink" Target="https://www.dropbox.com/scl/fi/fttdu3ou5n9scdibnzal2/Screenshot-2025-10-27-at-5.24.48-PM.png?rlkey=w21vn6ttugb7kb19dz8af3oh6&amp;st=pyni8ngc&amp;dl=0" TargetMode="External"/><Relationship Id="rId826" Type="http://schemas.openxmlformats.org/officeDocument/2006/relationships/hyperlink" Target="https://www.dropbox.com/scl/fi/fttdu3ou5n9scdibnzal2/Screenshot-2025-10-27-at-5.24.48-PM.png?rlkey=w21vn6ttugb7kb19dz8af3oh6&amp;st=pyni8ngc&amp;dl=0" TargetMode="External"/><Relationship Id="rId825" Type="http://schemas.openxmlformats.org/officeDocument/2006/relationships/hyperlink" Target="https://www.dropbox.com/scl/fi/2yzh2y3g3u7h7385wjfap/main-11.jpg?rlkey=9gjkt85wrzes1vwqhmxaeh17e&amp;st=zyqihr8n&amp;dl=0" TargetMode="External"/><Relationship Id="rId824" Type="http://schemas.openxmlformats.org/officeDocument/2006/relationships/hyperlink" Target="https://www.dropbox.com/scl/fi/fttdu3ou5n9scdibnzal2/Screenshot-2025-10-27-at-5.24.48-PM.png?rlkey=w21vn6ttugb7kb19dz8af3oh6&amp;st=pyni8ngc&amp;dl=0" TargetMode="External"/><Relationship Id="rId823" Type="http://schemas.openxmlformats.org/officeDocument/2006/relationships/hyperlink" Target="https://www.dropbox.com/scl/fi/2yzh2y3g3u7h7385wjfap/main-11.jpg?rlkey=9gjkt85wrzes1vwqhmxaeh17e&amp;st=zyqihr8n&amp;dl=0" TargetMode="External"/><Relationship Id="rId1650" Type="http://schemas.openxmlformats.org/officeDocument/2006/relationships/hyperlink" Target="https://www.dropbox.com/scl/fi/qpi2w1kqi41mh19p1hmtj/Ross-Realty-600x-180x-VaultRE.jpg?rlkey=cfjiv3rks8ojmuekqizk84zt2&amp;st=jvmfae5i&amp;dl=0" TargetMode="External"/><Relationship Id="rId1651" Type="http://schemas.openxmlformats.org/officeDocument/2006/relationships/hyperlink" Target="https://www.dropbox.com/scl/fi/mzu0r8307c58j32gfaxxa/Chris.jpg?rlkey=2sua3wowvn63ddggm118luvkx&amp;st=wycxw4ku&amp;dl=0" TargetMode="External"/><Relationship Id="rId1652" Type="http://schemas.openxmlformats.org/officeDocument/2006/relationships/hyperlink" Target="https://www.dropbox.com/scl/fi/qpi2w1kqi41mh19p1hmtj/Ross-Realty-600x-180x-VaultRE.jpg?rlkey=cfjiv3rks8ojmuekqizk84zt2&amp;st=jvmfae5i&amp;dl=0" TargetMode="External"/><Relationship Id="rId1642" Type="http://schemas.openxmlformats.org/officeDocument/2006/relationships/hyperlink" Target="https://www.dropbox.com/scl/fi/qpi2w1kqi41mh19p1hmtj/Ross-Realty-600x-180x-VaultRE.jpg?rlkey=cfjiv3rks8ojmuekqizk84zt2&amp;st=jvmfae5i&amp;dl=0" TargetMode="External"/><Relationship Id="rId1643" Type="http://schemas.openxmlformats.org/officeDocument/2006/relationships/hyperlink" Target="https://www.dropbox.com/scl/fi/mzu0r8307c58j32gfaxxa/Chris.jpg?rlkey=2sua3wowvn63ddggm118luvkx&amp;st=wycxw4ku&amp;dl=0" TargetMode="External"/><Relationship Id="rId1644" Type="http://schemas.openxmlformats.org/officeDocument/2006/relationships/hyperlink" Target="https://www.dropbox.com/scl/fi/qpi2w1kqi41mh19p1hmtj/Ross-Realty-600x-180x-VaultRE.jpg?rlkey=cfjiv3rks8ojmuekqizk84zt2&amp;st=jvmfae5i&amp;dl=0" TargetMode="External"/><Relationship Id="rId1645" Type="http://schemas.openxmlformats.org/officeDocument/2006/relationships/hyperlink" Target="https://www.dropbox.com/scl/fi/mzu0r8307c58j32gfaxxa/Chris.jpg?rlkey=2sua3wowvn63ddggm118luvkx&amp;st=wycxw4ku&amp;dl=0" TargetMode="External"/><Relationship Id="rId1646" Type="http://schemas.openxmlformats.org/officeDocument/2006/relationships/hyperlink" Target="https://www.dropbox.com/scl/fi/qpi2w1kqi41mh19p1hmtj/Ross-Realty-600x-180x-VaultRE.jpg?rlkey=cfjiv3rks8ojmuekqizk84zt2&amp;st=jvmfae5i&amp;dl=0" TargetMode="External"/><Relationship Id="rId1647" Type="http://schemas.openxmlformats.org/officeDocument/2006/relationships/hyperlink" Target="https://www.dropbox.com/scl/fi/mzu0r8307c58j32gfaxxa/Chris.jpg?rlkey=2sua3wowvn63ddggm118luvkx&amp;st=wycxw4ku&amp;dl=0" TargetMode="External"/><Relationship Id="rId1648" Type="http://schemas.openxmlformats.org/officeDocument/2006/relationships/hyperlink" Target="https://www.dropbox.com/scl/fi/qpi2w1kqi41mh19p1hmtj/Ross-Realty-600x-180x-VaultRE.jpg?rlkey=cfjiv3rks8ojmuekqizk84zt2&amp;st=jvmfae5i&amp;dl=0" TargetMode="External"/><Relationship Id="rId1649" Type="http://schemas.openxmlformats.org/officeDocument/2006/relationships/hyperlink" Target="https://www.dropbox.com/scl/fi/mzu0r8307c58j32gfaxxa/Chris.jpg?rlkey=2sua3wowvn63ddggm118luvkx&amp;st=wycxw4ku&amp;dl=0" TargetMode="External"/><Relationship Id="rId819" Type="http://schemas.openxmlformats.org/officeDocument/2006/relationships/hyperlink" Target="https://www.dropbox.com/scl/fi/2yzh2y3g3u7h7385wjfap/main-11.jpg?rlkey=9gjkt85wrzes1vwqhmxaeh17e&amp;st=zyqihr8n&amp;dl=0" TargetMode="External"/><Relationship Id="rId818" Type="http://schemas.openxmlformats.org/officeDocument/2006/relationships/hyperlink" Target="https://www.dropbox.com/scl/fi/fttdu3ou5n9scdibnzal2/Screenshot-2025-10-27-at-5.24.48-PM.png?rlkey=w21vn6ttugb7kb19dz8af3oh6&amp;st=pyni8ngc&amp;dl=0" TargetMode="External"/><Relationship Id="rId817" Type="http://schemas.openxmlformats.org/officeDocument/2006/relationships/hyperlink" Target="https://www.dropbox.com/scl/fi/2yzh2y3g3u7h7385wjfap/main-11.jpg?rlkey=9gjkt85wrzes1vwqhmxaeh17e&amp;st=zyqihr8n&amp;dl=0" TargetMode="External"/><Relationship Id="rId816" Type="http://schemas.openxmlformats.org/officeDocument/2006/relationships/hyperlink" Target="https://www.dropbox.com/scl/fi/fttdu3ou5n9scdibnzal2/Screenshot-2025-10-27-at-5.24.48-PM.png?rlkey=w21vn6ttugb7kb19dz8af3oh6&amp;st=pyni8ngc&amp;dl=0" TargetMode="External"/><Relationship Id="rId811" Type="http://schemas.openxmlformats.org/officeDocument/2006/relationships/hyperlink" Target="https://www.dropbox.com/scl/fi/2yzh2y3g3u7h7385wjfap/main-11.jpg?rlkey=9gjkt85wrzes1vwqhmxaeh17e&amp;st=zyqihr8n&amp;dl=0" TargetMode="External"/><Relationship Id="rId810" Type="http://schemas.openxmlformats.org/officeDocument/2006/relationships/hyperlink" Target="https://www.dropbox.com/scl/fi/fttdu3ou5n9scdibnzal2/Screenshot-2025-10-27-at-5.24.48-PM.png?rlkey=w21vn6ttugb7kb19dz8af3oh6&amp;st=pyni8ngc&amp;dl=0" TargetMode="External"/><Relationship Id="rId815" Type="http://schemas.openxmlformats.org/officeDocument/2006/relationships/hyperlink" Target="https://www.dropbox.com/scl/fi/2yzh2y3g3u7h7385wjfap/main-11.jpg?rlkey=9gjkt85wrzes1vwqhmxaeh17e&amp;st=zyqihr8n&amp;dl=0" TargetMode="External"/><Relationship Id="rId814" Type="http://schemas.openxmlformats.org/officeDocument/2006/relationships/hyperlink" Target="https://www.dropbox.com/scl/fi/fttdu3ou5n9scdibnzal2/Screenshot-2025-10-27-at-5.24.48-PM.png?rlkey=w21vn6ttugb7kb19dz8af3oh6&amp;st=pyni8ngc&amp;dl=0" TargetMode="External"/><Relationship Id="rId813" Type="http://schemas.openxmlformats.org/officeDocument/2006/relationships/hyperlink" Target="https://www.dropbox.com/scl/fi/2yzh2y3g3u7h7385wjfap/main-11.jpg?rlkey=9gjkt85wrzes1vwqhmxaeh17e&amp;st=zyqihr8n&amp;dl=0" TargetMode="External"/><Relationship Id="rId812" Type="http://schemas.openxmlformats.org/officeDocument/2006/relationships/hyperlink" Target="https://www.dropbox.com/scl/fi/fttdu3ou5n9scdibnzal2/Screenshot-2025-10-27-at-5.24.48-PM.png?rlkey=w21vn6ttugb7kb19dz8af3oh6&amp;st=pyni8ngc&amp;dl=0" TargetMode="External"/><Relationship Id="rId1640" Type="http://schemas.openxmlformats.org/officeDocument/2006/relationships/hyperlink" Target="https://www.dropbox.com/scl/fi/qpi2w1kqi41mh19p1hmtj/Ross-Realty-600x-180x-VaultRE.jpg?rlkey=cfjiv3rks8ojmuekqizk84zt2&amp;st=jvmfae5i&amp;dl=0" TargetMode="External"/><Relationship Id="rId1641" Type="http://schemas.openxmlformats.org/officeDocument/2006/relationships/hyperlink" Target="https://www.dropbox.com/scl/fi/mzu0r8307c58j32gfaxxa/Chris.jpg?rlkey=2sua3wowvn63ddggm118luvkx&amp;st=wycxw4ku&amp;dl=0" TargetMode="External"/><Relationship Id="rId1675" Type="http://schemas.openxmlformats.org/officeDocument/2006/relationships/hyperlink" Target="https://www.dropbox.com/scl/fi/ok1ydg3nrm279al5at8i3/Jason-B.jpg?rlkey=gp6k0s15asf31p1zw6c359iji&amp;st=1ujor7kc&amp;dl=0" TargetMode="External"/><Relationship Id="rId1676" Type="http://schemas.openxmlformats.org/officeDocument/2006/relationships/hyperlink" Target="https://www.dropbox.com/scl/fi/h9sxo8reotsczpr1zsobo/callumdocker1_250980835427060_6459770496213501318_NelsonAlexander_Logo_2018.original.png?rlkey=jugz711ixy8fo0a81agehxomn&amp;st=wc2n5fcg&amp;dl=0" TargetMode="External"/><Relationship Id="rId1677" Type="http://schemas.openxmlformats.org/officeDocument/2006/relationships/hyperlink" Target="https://www.dropbox.com/scl/fi/57fkxj71z6rw1l2gu1g7a/4H3omLYZ.jpeg?rlkey=3ptpfqhud6k81u1u2skamd2d1&amp;st=p8kszhg2&amp;dl=0" TargetMode="External"/><Relationship Id="rId1678" Type="http://schemas.openxmlformats.org/officeDocument/2006/relationships/hyperlink" Target="https://www.dropbox.com/scl/fi/ok7fqeie63vu2whgvvti9/Screenshot-2026-02-05-at-1.06.14-PM.png?rlkey=ax69o2opvpwh755oxd6gyyim8&amp;st=1xggd1er&amp;dl=0" TargetMode="External"/><Relationship Id="rId1679" Type="http://schemas.openxmlformats.org/officeDocument/2006/relationships/hyperlink" Target="https://www.dropbox.com/scl/fi/57fkxj71z6rw1l2gu1g7a/4H3omLYZ.jpeg?rlkey=3ptpfqhud6k81u1u2skamd2d1&amp;st=p8kszhg2&amp;dl=0" TargetMode="External"/><Relationship Id="rId849" Type="http://schemas.openxmlformats.org/officeDocument/2006/relationships/hyperlink" Target="https://www.dropbox.com/scl/fi/zmrubze5264rblivyoaq1/iPH_Nicholl-Young_Ben_GlareReduction-1.jpg?rlkey=hj6ph3qrgr39f0zh033m4nom2&amp;st=86s1bktf&amp;dl=0" TargetMode="External"/><Relationship Id="rId844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843" Type="http://schemas.openxmlformats.org/officeDocument/2006/relationships/hyperlink" Target="https://www.dropbox.com/scl/fi/zmrubze5264rblivyoaq1/iPH_Nicholl-Young_Ben_GlareReduction-1.jpg?rlkey=hj6ph3qrgr39f0zh033m4nom2&amp;st=86s1bktf&amp;dl=0" TargetMode="External"/><Relationship Id="rId842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841" Type="http://schemas.openxmlformats.org/officeDocument/2006/relationships/hyperlink" Target="https://www.dropbox.com/scl/fi/zmrubze5264rblivyoaq1/iPH_Nicholl-Young_Ben_GlareReduction-1.jpg?rlkey=hj6ph3qrgr39f0zh033m4nom2&amp;st=86s1bktf&amp;dl=0" TargetMode="External"/><Relationship Id="rId848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847" Type="http://schemas.openxmlformats.org/officeDocument/2006/relationships/hyperlink" Target="https://www.dropbox.com/scl/fi/zmrubze5264rblivyoaq1/iPH_Nicholl-Young_Ben_GlareReduction-1.jpg?rlkey=hj6ph3qrgr39f0zh033m4nom2&amp;st=86s1bktf&amp;dl=0" TargetMode="External"/><Relationship Id="rId846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845" Type="http://schemas.openxmlformats.org/officeDocument/2006/relationships/hyperlink" Target="https://www.dropbox.com/scl/fi/zmrubze5264rblivyoaq1/iPH_Nicholl-Young_Ben_GlareReduction-1.jpg?rlkey=hj6ph3qrgr39f0zh033m4nom2&amp;st=86s1bktf&amp;dl=0" TargetMode="External"/><Relationship Id="rId1670" Type="http://schemas.openxmlformats.org/officeDocument/2006/relationships/hyperlink" Target="https://www.dropbox.com/scl/fi/h9sxo8reotsczpr1zsobo/callumdocker1_250980835427060_6459770496213501318_NelsonAlexander_Logo_2018.original.png?rlkey=jugz711ixy8fo0a81agehxomn&amp;st=wc2n5fcg&amp;dl=0" TargetMode="External"/><Relationship Id="rId840" Type="http://schemas.openxmlformats.org/officeDocument/2006/relationships/hyperlink" Target="https://www.dropbox.com/scl/fi/j2z2ncfnf08o3n868n3yf/Logo-Emblem.png?rlkey=cf0i1thyf4a7ob9aehegeug1o&amp;st=tk9b4iy9&amp;dl=0" TargetMode="External"/><Relationship Id="rId1671" Type="http://schemas.openxmlformats.org/officeDocument/2006/relationships/hyperlink" Target="https://www.dropbox.com/scl/fi/ok1ydg3nrm279al5at8i3/Jason-B.jpg?rlkey=gp6k0s15asf31p1zw6c359iji&amp;st=1ujor7kc&amp;dl=0" TargetMode="External"/><Relationship Id="rId1672" Type="http://schemas.openxmlformats.org/officeDocument/2006/relationships/hyperlink" Target="https://www.dropbox.com/scl/fi/h9sxo8reotsczpr1zsobo/callumdocker1_250980835427060_6459770496213501318_NelsonAlexander_Logo_2018.original.png?rlkey=jugz711ixy8fo0a81agehxomn&amp;st=wc2n5fcg&amp;dl=0" TargetMode="External"/><Relationship Id="rId1673" Type="http://schemas.openxmlformats.org/officeDocument/2006/relationships/hyperlink" Target="https://www.dropbox.com/scl/fi/ok1ydg3nrm279al5at8i3/Jason-B.jpg?rlkey=gp6k0s15asf31p1zw6c359iji&amp;st=1ujor7kc&amp;dl=0" TargetMode="External"/><Relationship Id="rId1674" Type="http://schemas.openxmlformats.org/officeDocument/2006/relationships/hyperlink" Target="https://www.dropbox.com/scl/fi/h9sxo8reotsczpr1zsobo/callumdocker1_250980835427060_6459770496213501318_NelsonAlexander_Logo_2018.original.png?rlkey=jugz711ixy8fo0a81agehxomn&amp;st=wc2n5fcg&amp;dl=0" TargetMode="External"/><Relationship Id="rId1664" Type="http://schemas.openxmlformats.org/officeDocument/2006/relationships/hyperlink" Target="https://www.dropbox.com/scl/fi/h9sxo8reotsczpr1zsobo/callumdocker1_250980835427060_6459770496213501318_NelsonAlexander_Logo_2018.original.png?rlkey=jugz711ixy8fo0a81agehxomn&amp;st=wc2n5fcg&amp;dl=0" TargetMode="External"/><Relationship Id="rId1665" Type="http://schemas.openxmlformats.org/officeDocument/2006/relationships/hyperlink" Target="https://www.dropbox.com/scl/fi/ok1ydg3nrm279al5at8i3/Jason-B.jpg?rlkey=gp6k0s15asf31p1zw6c359iji&amp;st=1ujor7kc&amp;dl=0" TargetMode="External"/><Relationship Id="rId1666" Type="http://schemas.openxmlformats.org/officeDocument/2006/relationships/hyperlink" Target="https://www.dropbox.com/scl/fi/h9sxo8reotsczpr1zsobo/callumdocker1_250980835427060_6459770496213501318_NelsonAlexander_Logo_2018.original.png?rlkey=jugz711ixy8fo0a81agehxomn&amp;st=wc2n5fcg&amp;dl=0" TargetMode="External"/><Relationship Id="rId1667" Type="http://schemas.openxmlformats.org/officeDocument/2006/relationships/hyperlink" Target="https://www.dropbox.com/scl/fi/ok1ydg3nrm279al5at8i3/Jason-B.jpg?rlkey=gp6k0s15asf31p1zw6c359iji&amp;st=1ujor7kc&amp;dl=0" TargetMode="External"/><Relationship Id="rId1668" Type="http://schemas.openxmlformats.org/officeDocument/2006/relationships/hyperlink" Target="https://www.dropbox.com/scl/fi/h9sxo8reotsczpr1zsobo/callumdocker1_250980835427060_6459770496213501318_NelsonAlexander_Logo_2018.original.png?rlkey=jugz711ixy8fo0a81agehxomn&amp;st=wc2n5fcg&amp;dl=0" TargetMode="External"/><Relationship Id="rId1669" Type="http://schemas.openxmlformats.org/officeDocument/2006/relationships/hyperlink" Target="https://www.dropbox.com/scl/fi/ok1ydg3nrm279al5at8i3/Jason-B.jpg?rlkey=gp6k0s15asf31p1zw6c359iji&amp;st=1ujor7kc&amp;dl=0" TargetMode="External"/><Relationship Id="rId839" Type="http://schemas.openxmlformats.org/officeDocument/2006/relationships/hyperlink" Target="https://www.dropbox.com/scl/fi/24bqld6swiyx5dr3qygcp/Headshot.pdf?rlkey=w56jz3c6tu4u6cz170dwm6crc&amp;st=ngysjs5e&amp;dl=0" TargetMode="External"/><Relationship Id="rId838" Type="http://schemas.openxmlformats.org/officeDocument/2006/relationships/hyperlink" Target="https://www.dropbox.com/scl/fi/j2z2ncfnf08o3n868n3yf/Logo-Emblem.png?rlkey=cf0i1thyf4a7ob9aehegeug1o&amp;st=tk9b4iy9&amp;dl=0" TargetMode="External"/><Relationship Id="rId833" Type="http://schemas.openxmlformats.org/officeDocument/2006/relationships/hyperlink" Target="https://www.dropbox.com/scl/fi/24bqld6swiyx5dr3qygcp/Headshot.pdf?rlkey=w56jz3c6tu4u6cz170dwm6crc&amp;st=ngysjs5e&amp;dl=0" TargetMode="External"/><Relationship Id="rId832" Type="http://schemas.openxmlformats.org/officeDocument/2006/relationships/hyperlink" Target="https://www.dropbox.com/scl/fi/j2z2ncfnf08o3n868n3yf/Logo-Emblem.png?rlkey=cf0i1thyf4a7ob9aehegeug1o&amp;st=tk9b4iy9&amp;dl=0" TargetMode="External"/><Relationship Id="rId831" Type="http://schemas.openxmlformats.org/officeDocument/2006/relationships/hyperlink" Target="https://www.dropbox.com/scl/fi/24bqld6swiyx5dr3qygcp/Headshot.pdf?rlkey=w56jz3c6tu4u6cz170dwm6crc&amp;st=ngysjs5e&amp;dl=0" TargetMode="External"/><Relationship Id="rId830" Type="http://schemas.openxmlformats.org/officeDocument/2006/relationships/hyperlink" Target="https://www.dropbox.com/scl/fi/j2z2ncfnf08o3n868n3yf/Logo-Emblem.png?rlkey=cf0i1thyf4a7ob9aehegeug1o&amp;st=tk9b4iy9&amp;dl=0" TargetMode="External"/><Relationship Id="rId837" Type="http://schemas.openxmlformats.org/officeDocument/2006/relationships/hyperlink" Target="https://www.dropbox.com/scl/fi/24bqld6swiyx5dr3qygcp/Headshot.pdf?rlkey=w56jz3c6tu4u6cz170dwm6crc&amp;st=ngysjs5e&amp;dl=0" TargetMode="External"/><Relationship Id="rId836" Type="http://schemas.openxmlformats.org/officeDocument/2006/relationships/hyperlink" Target="https://www.dropbox.com/scl/fi/j2z2ncfnf08o3n868n3yf/Logo-Emblem.png?rlkey=cf0i1thyf4a7ob9aehegeug1o&amp;st=tk9b4iy9&amp;dl=0" TargetMode="External"/><Relationship Id="rId835" Type="http://schemas.openxmlformats.org/officeDocument/2006/relationships/hyperlink" Target="https://www.dropbox.com/scl/fi/24bqld6swiyx5dr3qygcp/Headshot.pdf?rlkey=w56jz3c6tu4u6cz170dwm6crc&amp;st=ngysjs5e&amp;dl=0" TargetMode="External"/><Relationship Id="rId834" Type="http://schemas.openxmlformats.org/officeDocument/2006/relationships/hyperlink" Target="https://www.dropbox.com/scl/fi/j2z2ncfnf08o3n868n3yf/Logo-Emblem.png?rlkey=cf0i1thyf4a7ob9aehegeug1o&amp;st=tk9b4iy9&amp;dl=0" TargetMode="External"/><Relationship Id="rId1660" Type="http://schemas.openxmlformats.org/officeDocument/2006/relationships/hyperlink" Target="https://www.dropbox.com/scl/fi/h9sxo8reotsczpr1zsobo/callumdocker1_250980835427060_6459770496213501318_NelsonAlexander_Logo_2018.original.png?rlkey=jugz711ixy8fo0a81agehxomn&amp;st=wc2n5fcg&amp;dl=0" TargetMode="External"/><Relationship Id="rId1661" Type="http://schemas.openxmlformats.org/officeDocument/2006/relationships/hyperlink" Target="https://www.dropbox.com/scl/fi/ok1ydg3nrm279al5at8i3/Jason-B.jpg?rlkey=gp6k0s15asf31p1zw6c359iji&amp;st=1ujor7kc&amp;dl=0" TargetMode="External"/><Relationship Id="rId1662" Type="http://schemas.openxmlformats.org/officeDocument/2006/relationships/hyperlink" Target="https://www.dropbox.com/scl/fi/h9sxo8reotsczpr1zsobo/callumdocker1_250980835427060_6459770496213501318_NelsonAlexander_Logo_2018.original.png?rlkey=jugz711ixy8fo0a81agehxomn&amp;st=wc2n5fcg&amp;dl=0" TargetMode="External"/><Relationship Id="rId1663" Type="http://schemas.openxmlformats.org/officeDocument/2006/relationships/hyperlink" Target="https://www.dropbox.com/scl/fi/ok1ydg3nrm279al5at8i3/Jason-B.jpg?rlkey=gp6k0s15asf31p1zw6c359iji&amp;st=1ujor7kc&amp;dl=0" TargetMode="External"/><Relationship Id="rId469" Type="http://schemas.openxmlformats.org/officeDocument/2006/relationships/hyperlink" Target="https://www.dropbox.com/scl/fi/m26n12i5ly4hb9uylaewh/main-18.png?rlkey=g4twwq8zt4k3at5vbma66nadt&amp;st=wyt72ctm&amp;dl=0" TargetMode="External"/><Relationship Id="rId468" Type="http://schemas.openxmlformats.org/officeDocument/2006/relationships/hyperlink" Target="https://www.dropbox.com/scl/fi/htbobwl3hs78bjijfot8z/Screenshot-2025-11-14-at-12.58.49-PM.png?rlkey=0zr8sh4sp4106id74dff3rvra&amp;st=zrdzy2ag&amp;dl=0" TargetMode="External"/><Relationship Id="rId467" Type="http://schemas.openxmlformats.org/officeDocument/2006/relationships/hyperlink" Target="https://www.dropbox.com/scl/fi/m26n12i5ly4hb9uylaewh/main-18.png?rlkey=g4twwq8zt4k3at5vbma66nadt&amp;st=wyt72ctm&amp;dl=0" TargetMode="External"/><Relationship Id="rId1290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1291" Type="http://schemas.openxmlformats.org/officeDocument/2006/relationships/hyperlink" Target="https://www.dropbox.com/scl/fi/5akr0sshzwk22p67a9l8h/main-10.png?rlkey=wyd0x4kl9yvlxudzkzhnae4z5&amp;st=uc9v9vc0&amp;dl=0" TargetMode="External"/><Relationship Id="rId1292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462" Type="http://schemas.openxmlformats.org/officeDocument/2006/relationships/hyperlink" Target="https://www.dropbox.com/scl/fi/4ryjamzs6yy2rdlwndkxs/Burlap-BG.png?rlkey=9wqlf10g8kqat7u98y9kbyxd0&amp;st=nmwzr2u2&amp;dl=0" TargetMode="External"/><Relationship Id="rId1293" Type="http://schemas.openxmlformats.org/officeDocument/2006/relationships/hyperlink" Target="https://www.dropbox.com/scl/fi/5akr0sshzwk22p67a9l8h/main-10.png?rlkey=wyd0x4kl9yvlxudzkzhnae4z5&amp;st=uc9v9vc0&amp;dl=0" TargetMode="External"/><Relationship Id="rId461" Type="http://schemas.openxmlformats.org/officeDocument/2006/relationships/hyperlink" Target="https://www.dropbox.com/scl/fi/87s4eusr4a2e7jeqzozwi/Ethico-38.jpg?rlkey=vevzh8xp66zj86ajn2ob7q7aw&amp;st=ebj6ubs5&amp;dl=0" TargetMode="External"/><Relationship Id="rId1294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460" Type="http://schemas.openxmlformats.org/officeDocument/2006/relationships/hyperlink" Target="https://www.dropbox.com/scl/fi/4ryjamzs6yy2rdlwndkxs/Burlap-BG.png?rlkey=9wqlf10g8kqat7u98y9kbyxd0&amp;st=nmwzr2u2&amp;dl=0" TargetMode="External"/><Relationship Id="rId1295" Type="http://schemas.openxmlformats.org/officeDocument/2006/relationships/hyperlink" Target="https://www.dropbox.com/scl/fi/5akr0sshzwk22p67a9l8h/main-10.png?rlkey=wyd0x4kl9yvlxudzkzhnae4z5&amp;st=uc9v9vc0&amp;dl=0" TargetMode="External"/><Relationship Id="rId1296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466" Type="http://schemas.openxmlformats.org/officeDocument/2006/relationships/hyperlink" Target="https://www.dropbox.com/scl/fi/4ryjamzs6yy2rdlwndkxs/Burlap-BG.png?rlkey=9wqlf10g8kqat7u98y9kbyxd0&amp;st=nmwzr2u2&amp;dl=0" TargetMode="External"/><Relationship Id="rId1297" Type="http://schemas.openxmlformats.org/officeDocument/2006/relationships/hyperlink" Target="https://www.dropbox.com/scl/fi/5akr0sshzwk22p67a9l8h/main-10.png?rlkey=wyd0x4kl9yvlxudzkzhnae4z5&amp;st=uc9v9vc0&amp;dl=0" TargetMode="External"/><Relationship Id="rId465" Type="http://schemas.openxmlformats.org/officeDocument/2006/relationships/hyperlink" Target="https://www.dropbox.com/scl/fi/87s4eusr4a2e7jeqzozwi/Ethico-38.jpg?rlkey=vevzh8xp66zj86ajn2ob7q7aw&amp;st=ebj6ubs5&amp;dl=0" TargetMode="External"/><Relationship Id="rId1298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464" Type="http://schemas.openxmlformats.org/officeDocument/2006/relationships/hyperlink" Target="https://www.dropbox.com/scl/fi/4ryjamzs6yy2rdlwndkxs/Burlap-BG.png?rlkey=9wqlf10g8kqat7u98y9kbyxd0&amp;st=nmwzr2u2&amp;dl=0" TargetMode="External"/><Relationship Id="rId1299" Type="http://schemas.openxmlformats.org/officeDocument/2006/relationships/hyperlink" Target="https://www.dropbox.com/scl/fi/5akr0sshzwk22p67a9l8h/main-10.png?rlkey=wyd0x4kl9yvlxudzkzhnae4z5&amp;st=uc9v9vc0&amp;dl=0" TargetMode="External"/><Relationship Id="rId463" Type="http://schemas.openxmlformats.org/officeDocument/2006/relationships/hyperlink" Target="https://www.dropbox.com/scl/fi/87s4eusr4a2e7jeqzozwi/Ethico-38.jpg?rlkey=vevzh8xp66zj86ajn2ob7q7aw&amp;st=ebj6ubs5&amp;dl=0" TargetMode="External"/><Relationship Id="rId459" Type="http://schemas.openxmlformats.org/officeDocument/2006/relationships/hyperlink" Target="https://www.dropbox.com/scl/fi/87s4eusr4a2e7jeqzozwi/Ethico-38.jpg?rlkey=vevzh8xp66zj86ajn2ob7q7aw&amp;st=ebj6ubs5&amp;dl=0" TargetMode="External"/><Relationship Id="rId458" Type="http://schemas.openxmlformats.org/officeDocument/2006/relationships/hyperlink" Target="https://www.dropbox.com/scl/fi/4ryjamzs6yy2rdlwndkxs/Burlap-BG.png?rlkey=9wqlf10g8kqat7u98y9kbyxd0&amp;st=nmwzr2u2&amp;dl=0" TargetMode="External"/><Relationship Id="rId457" Type="http://schemas.openxmlformats.org/officeDocument/2006/relationships/hyperlink" Target="https://www.dropbox.com/scl/fi/87s4eusr4a2e7jeqzozwi/Ethico-38.jpg?rlkey=vevzh8xp66zj86ajn2ob7q7aw&amp;st=ebj6ubs5&amp;dl=0" TargetMode="External"/><Relationship Id="rId456" Type="http://schemas.openxmlformats.org/officeDocument/2006/relationships/hyperlink" Target="https://www.dropbox.com/scl/fi/6uy8t91pbw9wopvoms0a9/place_logo_white.webp?rlkey=yft7rddaogv93huvmsrf1v24r&amp;st=vrnar0lo&amp;dl=0" TargetMode="External"/><Relationship Id="rId1280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1281" Type="http://schemas.openxmlformats.org/officeDocument/2006/relationships/hyperlink" Target="https://www.dropbox.com/scl/fi/5akr0sshzwk22p67a9l8h/main-10.png?rlkey=wyd0x4kl9yvlxudzkzhnae4z5&amp;st=uc9v9vc0&amp;dl=0" TargetMode="External"/><Relationship Id="rId451" Type="http://schemas.openxmlformats.org/officeDocument/2006/relationships/hyperlink" Target="https://www.dropbox.com/scl/fi/k4u0jrm38bnirhkpwqp3f/main-18.jpg?rlkey=zzbdcwtx6qs46xvg513mq9eb9&amp;st=v7sdhd6d&amp;dl=0" TargetMode="External"/><Relationship Id="rId1282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450" Type="http://schemas.openxmlformats.org/officeDocument/2006/relationships/hyperlink" Target="https://www.dropbox.com/scl/fi/6uy8t91pbw9wopvoms0a9/place_logo_white.webp?rlkey=yft7rddaogv93huvmsrf1v24r&amp;st=vrnar0lo&amp;dl=0" TargetMode="External"/><Relationship Id="rId1283" Type="http://schemas.openxmlformats.org/officeDocument/2006/relationships/hyperlink" Target="https://www.dropbox.com/scl/fi/5akr0sshzwk22p67a9l8h/main-10.png?rlkey=wyd0x4kl9yvlxudzkzhnae4z5&amp;st=uc9v9vc0&amp;dl=0" TargetMode="External"/><Relationship Id="rId1284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1285" Type="http://schemas.openxmlformats.org/officeDocument/2006/relationships/hyperlink" Target="https://www.dropbox.com/scl/fi/5akr0sshzwk22p67a9l8h/main-10.png?rlkey=wyd0x4kl9yvlxudzkzhnae4z5&amp;st=uc9v9vc0&amp;dl=0" TargetMode="External"/><Relationship Id="rId455" Type="http://schemas.openxmlformats.org/officeDocument/2006/relationships/hyperlink" Target="https://www.dropbox.com/scl/fi/zqy12ky78t2pad9jtlhn0/main-19.jpg?rlkey=zhx585fn8vep9hc2giz9j6o9k&amp;st=0vsbf8pl&amp;dl=0" TargetMode="External"/><Relationship Id="rId1286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454" Type="http://schemas.openxmlformats.org/officeDocument/2006/relationships/hyperlink" Target="https://www.dropbox.com/scl/fi/6uy8t91pbw9wopvoms0a9/place_logo_white.webp?rlkey=yft7rddaogv93huvmsrf1v24r&amp;st=vrnar0lo&amp;dl=0" TargetMode="External"/><Relationship Id="rId1287" Type="http://schemas.openxmlformats.org/officeDocument/2006/relationships/hyperlink" Target="https://www.dropbox.com/scl/fi/5akr0sshzwk22p67a9l8h/main-10.png?rlkey=wyd0x4kl9yvlxudzkzhnae4z5&amp;st=uc9v9vc0&amp;dl=0" TargetMode="External"/><Relationship Id="rId453" Type="http://schemas.openxmlformats.org/officeDocument/2006/relationships/hyperlink" Target="https://www.dropbox.com/scl/fi/k4u0jrm38bnirhkpwqp3f/main-18.jpg?rlkey=zzbdcwtx6qs46xvg513mq9eb9&amp;st=v7sdhd6d&amp;dl=0" TargetMode="External"/><Relationship Id="rId1288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452" Type="http://schemas.openxmlformats.org/officeDocument/2006/relationships/hyperlink" Target="https://www.dropbox.com/scl/fi/6uy8t91pbw9wopvoms0a9/place_logo_white.webp?rlkey=yft7rddaogv93huvmsrf1v24r&amp;st=vrnar0lo&amp;dl=0" TargetMode="External"/><Relationship Id="rId1289" Type="http://schemas.openxmlformats.org/officeDocument/2006/relationships/hyperlink" Target="https://www.dropbox.com/scl/fi/5akr0sshzwk22p67a9l8h/main-10.png?rlkey=wyd0x4kl9yvlxudzkzhnae4z5&amp;st=uc9v9vc0&amp;dl=0" TargetMode="External"/><Relationship Id="rId491" Type="http://schemas.openxmlformats.org/officeDocument/2006/relationships/hyperlink" Target="https://www.dropbox.com/scl/fi/tjdo0k4hyl7hamma2syjs/main-35.jpg?rlkey=lf45mh4apndxqgvygi2aefjxn&amp;st=5wwv96qc&amp;dl=0" TargetMode="External"/><Relationship Id="rId490" Type="http://schemas.openxmlformats.org/officeDocument/2006/relationships/hyperlink" Target="https://www.dropbox.com/scl/fi/j2z2ncfnf08o3n868n3yf/Logo-Emblem.png?rlkey=cf0i1thyf4a7ob9aehegeug1o&amp;st=tk9b4iy9&amp;dl=0" TargetMode="External"/><Relationship Id="rId489" Type="http://schemas.openxmlformats.org/officeDocument/2006/relationships/hyperlink" Target="https://www.dropbox.com/scl/fi/60l7ph3402jh6z716t3ej/main-14.jpg?rlkey=9zksgbxgbxhg0rczz2vbm0gvc&amp;st=abw1peia&amp;dl=0" TargetMode="External"/><Relationship Id="rId484" Type="http://schemas.openxmlformats.org/officeDocument/2006/relationships/hyperlink" Target="https://www.dropbox.com/scl/fi/j2z2ncfnf08o3n868n3yf/Logo-Emblem.png?rlkey=cf0i1thyf4a7ob9aehegeug1o&amp;st=tk9b4iy9&amp;dl=0" TargetMode="External"/><Relationship Id="rId483" Type="http://schemas.openxmlformats.org/officeDocument/2006/relationships/hyperlink" Target="https://www.dropbox.com/scl/fi/60l7ph3402jh6z716t3ej/main-14.jpg?rlkey=9zksgbxgbxhg0rczz2vbm0gvc&amp;st=abw1peia&amp;dl=0" TargetMode="External"/><Relationship Id="rId482" Type="http://schemas.openxmlformats.org/officeDocument/2006/relationships/hyperlink" Target="https://www.dropbox.com/scl/fi/j2z2ncfnf08o3n868n3yf/Logo-Emblem.png?rlkey=cf0i1thyf4a7ob9aehegeug1o&amp;st=tk9b4iy9&amp;dl=0" TargetMode="External"/><Relationship Id="rId481" Type="http://schemas.openxmlformats.org/officeDocument/2006/relationships/hyperlink" Target="https://www.dropbox.com/scl/fi/60l7ph3402jh6z716t3ej/main-14.jpg?rlkey=9zksgbxgbxhg0rczz2vbm0gvc&amp;st=abw1peia&amp;dl=0" TargetMode="External"/><Relationship Id="rId488" Type="http://schemas.openxmlformats.org/officeDocument/2006/relationships/hyperlink" Target="https://www.dropbox.com/scl/fi/j2z2ncfnf08o3n868n3yf/Logo-Emblem.png?rlkey=cf0i1thyf4a7ob9aehegeug1o&amp;st=tk9b4iy9&amp;dl=0" TargetMode="External"/><Relationship Id="rId487" Type="http://schemas.openxmlformats.org/officeDocument/2006/relationships/hyperlink" Target="https://www.dropbox.com/scl/fi/60l7ph3402jh6z716t3ej/main-14.jpg?rlkey=9zksgbxgbxhg0rczz2vbm0gvc&amp;st=abw1peia&amp;dl=0" TargetMode="External"/><Relationship Id="rId486" Type="http://schemas.openxmlformats.org/officeDocument/2006/relationships/hyperlink" Target="https://www.dropbox.com/scl/fi/j2z2ncfnf08o3n868n3yf/Logo-Emblem.png?rlkey=cf0i1thyf4a7ob9aehegeug1o&amp;st=tk9b4iy9&amp;dl=0" TargetMode="External"/><Relationship Id="rId485" Type="http://schemas.openxmlformats.org/officeDocument/2006/relationships/hyperlink" Target="https://www.dropbox.com/scl/fi/60l7ph3402jh6z716t3ej/main-14.jpg?rlkey=9zksgbxgbxhg0rczz2vbm0gvc&amp;st=abw1peia&amp;dl=0" TargetMode="External"/><Relationship Id="rId480" Type="http://schemas.openxmlformats.org/officeDocument/2006/relationships/hyperlink" Target="https://www.dropbox.com/scl/fi/j2z2ncfnf08o3n868n3yf/Logo-Emblem.png?rlkey=cf0i1thyf4a7ob9aehegeug1o&amp;st=tk9b4iy9&amp;dl=0" TargetMode="External"/><Relationship Id="rId479" Type="http://schemas.openxmlformats.org/officeDocument/2006/relationships/hyperlink" Target="https://www.dropbox.com/scl/fi/60l7ph3402jh6z716t3ej/main-14.jpg?rlkey=9zksgbxgbxhg0rczz2vbm0gvc&amp;st=abw1peia&amp;dl=0" TargetMode="External"/><Relationship Id="rId478" Type="http://schemas.openxmlformats.org/officeDocument/2006/relationships/hyperlink" Target="https://www.dropbox.com/scl/fi/j2z2ncfnf08o3n868n3yf/Logo-Emblem.png?rlkey=cf0i1thyf4a7ob9aehegeug1o&amp;st=tk9b4iy9&amp;dl=0" TargetMode="External"/><Relationship Id="rId473" Type="http://schemas.openxmlformats.org/officeDocument/2006/relationships/hyperlink" Target="https://www.dropbox.com/scl/fi/60l7ph3402jh6z716t3ej/main-14.jpg?rlkey=9zksgbxgbxhg0rczz2vbm0gvc&amp;st=abw1peia&amp;dl=0" TargetMode="External"/><Relationship Id="rId472" Type="http://schemas.openxmlformats.org/officeDocument/2006/relationships/hyperlink" Target="https://www.dropbox.com/scl/fi/j2z2ncfnf08o3n868n3yf/Logo-Emblem.png?rlkey=cf0i1thyf4a7ob9aehegeug1o&amp;st=tk9b4iy9&amp;dl=0" TargetMode="External"/><Relationship Id="rId471" Type="http://schemas.openxmlformats.org/officeDocument/2006/relationships/hyperlink" Target="https://www.dropbox.com/scl/fi/60l7ph3402jh6z716t3ej/main-14.jpg?rlkey=9zksgbxgbxhg0rczz2vbm0gvc&amp;st=abw1peia&amp;dl=0" TargetMode="External"/><Relationship Id="rId470" Type="http://schemas.openxmlformats.org/officeDocument/2006/relationships/hyperlink" Target="https://www.dropbox.com/scl/fi/htbobwl3hs78bjijfot8z/Screenshot-2025-11-14-at-12.58.49-PM.png?rlkey=0zr8sh4sp4106id74dff3rvra&amp;st=zrdzy2ag&amp;dl=0" TargetMode="External"/><Relationship Id="rId477" Type="http://schemas.openxmlformats.org/officeDocument/2006/relationships/hyperlink" Target="https://www.dropbox.com/scl/fi/60l7ph3402jh6z716t3ej/main-14.jpg?rlkey=9zksgbxgbxhg0rczz2vbm0gvc&amp;st=abw1peia&amp;dl=0" TargetMode="External"/><Relationship Id="rId476" Type="http://schemas.openxmlformats.org/officeDocument/2006/relationships/hyperlink" Target="https://www.dropbox.com/scl/fi/j2z2ncfnf08o3n868n3yf/Logo-Emblem.png?rlkey=cf0i1thyf4a7ob9aehegeug1o&amp;st=tk9b4iy9&amp;dl=0" TargetMode="External"/><Relationship Id="rId475" Type="http://schemas.openxmlformats.org/officeDocument/2006/relationships/hyperlink" Target="https://www.dropbox.com/scl/fi/60l7ph3402jh6z716t3ej/main-14.jpg?rlkey=9zksgbxgbxhg0rczz2vbm0gvc&amp;st=abw1peia&amp;dl=0" TargetMode="External"/><Relationship Id="rId474" Type="http://schemas.openxmlformats.org/officeDocument/2006/relationships/hyperlink" Target="https://www.dropbox.com/scl/fi/j2z2ncfnf08o3n868n3yf/Logo-Emblem.png?rlkey=cf0i1thyf4a7ob9aehegeug1o&amp;st=tk9b4iy9&amp;dl=0" TargetMode="External"/><Relationship Id="rId1257" Type="http://schemas.openxmlformats.org/officeDocument/2006/relationships/hyperlink" Target="https://www.dropbox.com/scl/fi/5bvrsnbu7h3ugq3oku4sc/Aman-8.jpg?rlkey=prxrtszuvt4faaoyp0scijpn3&amp;st=4z2yd443&amp;dl=0" TargetMode="External"/><Relationship Id="rId1258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1259" Type="http://schemas.openxmlformats.org/officeDocument/2006/relationships/hyperlink" Target="https://www.dropbox.com/scl/fi/5bvrsnbu7h3ugq3oku4sc/Aman-8.jpg?rlkey=prxrtszuvt4faaoyp0scijpn3&amp;st=4z2yd443&amp;dl=0" TargetMode="External"/><Relationship Id="rId426" Type="http://schemas.openxmlformats.org/officeDocument/2006/relationships/hyperlink" Target="https://www.dropbox.com/scl/fi/ab713mw17fdqcryyr9hm9/Screenshot-2025-11-12-at-1.06.08-PM.png?rlkey=wzbwuubqou5rxg40z00ev1gc7&amp;st=1cs3yyub&amp;dl=0" TargetMode="External"/><Relationship Id="rId425" Type="http://schemas.openxmlformats.org/officeDocument/2006/relationships/hyperlink" Target="https://www.dropbox.com/scl/fi/mk7m42dusqd6suz16z8tq/main-15.png?rlkey=go5cy9c2p1wjj9li6v8oji7f5&amp;st=u17w5bx5&amp;dl=0" TargetMode="External"/><Relationship Id="rId424" Type="http://schemas.openxmlformats.org/officeDocument/2006/relationships/hyperlink" Target="https://www.dropbox.com/scl/fi/ab713mw17fdqcryyr9hm9/Screenshot-2025-11-12-at-1.06.08-PM.png?rlkey=wzbwuubqou5rxg40z00ev1gc7&amp;st=1cs3yyub&amp;dl=0" TargetMode="External"/><Relationship Id="rId423" Type="http://schemas.openxmlformats.org/officeDocument/2006/relationships/hyperlink" Target="https://www.dropbox.com/scl/fi/mk7m42dusqd6suz16z8tq/main-15.png?rlkey=go5cy9c2p1wjj9li6v8oji7f5&amp;st=u17w5bx5&amp;dl=0" TargetMode="External"/><Relationship Id="rId429" Type="http://schemas.openxmlformats.org/officeDocument/2006/relationships/hyperlink" Target="https://www.dropbox.com/scl/fi/mk7m42dusqd6suz16z8tq/main-15.png?rlkey=go5cy9c2p1wjj9li6v8oji7f5&amp;st=u17w5bx5&amp;dl=0" TargetMode="External"/><Relationship Id="rId428" Type="http://schemas.openxmlformats.org/officeDocument/2006/relationships/hyperlink" Target="https://www.dropbox.com/scl/fi/ab713mw17fdqcryyr9hm9/Screenshot-2025-11-12-at-1.06.08-PM.png?rlkey=wzbwuubqou5rxg40z00ev1gc7&amp;st=1cs3yyub&amp;dl=0" TargetMode="External"/><Relationship Id="rId427" Type="http://schemas.openxmlformats.org/officeDocument/2006/relationships/hyperlink" Target="https://www.dropbox.com/scl/fi/mk7m42dusqd6suz16z8tq/main-15.png?rlkey=go5cy9c2p1wjj9li6v8oji7f5&amp;st=u17w5bx5&amp;dl=0" TargetMode="External"/><Relationship Id="rId1250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1251" Type="http://schemas.openxmlformats.org/officeDocument/2006/relationships/hyperlink" Target="https://www.dropbox.com/scl/fi/5bvrsnbu7h3ugq3oku4sc/Aman-8.jpg?rlkey=prxrtszuvt4faaoyp0scijpn3&amp;st=4z2yd443&amp;dl=0" TargetMode="External"/><Relationship Id="rId1252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422" Type="http://schemas.openxmlformats.org/officeDocument/2006/relationships/hyperlink" Target="https://www.dropbox.com/scl/fi/ab713mw17fdqcryyr9hm9/Screenshot-2025-11-12-at-1.06.08-PM.png?rlkey=wzbwuubqou5rxg40z00ev1gc7&amp;st=1cs3yyub&amp;dl=0" TargetMode="External"/><Relationship Id="rId1253" Type="http://schemas.openxmlformats.org/officeDocument/2006/relationships/hyperlink" Target="https://www.dropbox.com/scl/fi/5bvrsnbu7h3ugq3oku4sc/Aman-8.jpg?rlkey=prxrtszuvt4faaoyp0scijpn3&amp;st=4z2yd443&amp;dl=0" TargetMode="External"/><Relationship Id="rId421" Type="http://schemas.openxmlformats.org/officeDocument/2006/relationships/hyperlink" Target="https://www.dropbox.com/scl/fi/mk7m42dusqd6suz16z8tq/main-15.png?rlkey=go5cy9c2p1wjj9li6v8oji7f5&amp;st=u17w5bx5&amp;dl=0" TargetMode="External"/><Relationship Id="rId1254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420" Type="http://schemas.openxmlformats.org/officeDocument/2006/relationships/hyperlink" Target="https://www.dropbox.com/scl/fi/pqwd0h6ydqbl9lqdith6u/Screenshot-2025-10-14-at-9.36.56-AM.png?rlkey=t3772eol00uq7uz060xmg657e&amp;st=x3u7yqeu&amp;dl=0" TargetMode="External"/><Relationship Id="rId1255" Type="http://schemas.openxmlformats.org/officeDocument/2006/relationships/hyperlink" Target="https://www.dropbox.com/scl/fi/5bvrsnbu7h3ugq3oku4sc/Aman-8.jpg?rlkey=prxrtszuvt4faaoyp0scijpn3&amp;st=4z2yd443&amp;dl=0" TargetMode="External"/><Relationship Id="rId1256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1246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1247" Type="http://schemas.openxmlformats.org/officeDocument/2006/relationships/hyperlink" Target="https://www.dropbox.com/scl/fi/5bvrsnbu7h3ugq3oku4sc/Aman-8.jpg?rlkey=prxrtszuvt4faaoyp0scijpn3&amp;st=4z2yd443&amp;dl=0" TargetMode="External"/><Relationship Id="rId1248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1249" Type="http://schemas.openxmlformats.org/officeDocument/2006/relationships/hyperlink" Target="https://www.dropbox.com/scl/fi/5bvrsnbu7h3ugq3oku4sc/Aman-8.jpg?rlkey=prxrtszuvt4faaoyp0scijpn3&amp;st=4z2yd443&amp;dl=0" TargetMode="External"/><Relationship Id="rId415" Type="http://schemas.openxmlformats.org/officeDocument/2006/relationships/hyperlink" Target="https://www.dropbox.com/scl/fi/zd969n4vya184cs1cnjpw/main-6.jpg?rlkey=wwu12n5n27vw76ril56yal94p&amp;st=8fdoeupe&amp;dl=0" TargetMode="External"/><Relationship Id="rId899" Type="http://schemas.openxmlformats.org/officeDocument/2006/relationships/hyperlink" Target="https://www.dropbox.com/scl/fi/9ofo08ce63v3alevn8p9a/main-4.png?rlkey=7ym3x2f1m547znktb14ilbuw4&amp;st=7qjzfgxd&amp;dl=0" TargetMode="External"/><Relationship Id="rId414" Type="http://schemas.openxmlformats.org/officeDocument/2006/relationships/hyperlink" Target="https://www.dropbox.com/scl/fi/pqwd0h6ydqbl9lqdith6u/Screenshot-2025-10-14-at-9.36.56-AM.png?rlkey=t3772eol00uq7uz060xmg657e&amp;st=x3u7yqeu&amp;dl=0" TargetMode="External"/><Relationship Id="rId898" Type="http://schemas.openxmlformats.org/officeDocument/2006/relationships/hyperlink" Target="https://www.dropbox.com/scl/fi/ags0plymf4y5fpr5mlfpy/REMAX_mastrLogotype_RGB_R.png?rlkey=9dfe6bma53ww5k4tmgeb43ean&amp;st=jam88ukj&amp;dl=0" TargetMode="External"/><Relationship Id="rId413" Type="http://schemas.openxmlformats.org/officeDocument/2006/relationships/hyperlink" Target="https://www.dropbox.com/scl/fi/zd969n4vya184cs1cnjpw/main-6.jpg?rlkey=wwu12n5n27vw76ril56yal94p&amp;st=8fdoeupe&amp;dl=0" TargetMode="External"/><Relationship Id="rId897" Type="http://schemas.openxmlformats.org/officeDocument/2006/relationships/hyperlink" Target="https://www.dropbox.com/scl/fi/0gldt4638nee2n15br98t/Adriaan-3.jpg?rlkey=bfze2f98pjzcxi3e9g7ksv1e3&amp;st=71qjj2qk&amp;dl=0" TargetMode="External"/><Relationship Id="rId412" Type="http://schemas.openxmlformats.org/officeDocument/2006/relationships/hyperlink" Target="https://www.dropbox.com/scl/fi/pqwd0h6ydqbl9lqdith6u/Screenshot-2025-10-14-at-9.36.56-AM.png?rlkey=t3772eol00uq7uz060xmg657e&amp;st=x3u7yqeu&amp;dl=0" TargetMode="External"/><Relationship Id="rId896" Type="http://schemas.openxmlformats.org/officeDocument/2006/relationships/hyperlink" Target="https://www.dropbox.com/scl/fi/ags0plymf4y5fpr5mlfpy/REMAX_mastrLogotype_RGB_R.png?rlkey=9dfe6bma53ww5k4tmgeb43ean&amp;st=jam88ukj&amp;dl=0" TargetMode="External"/><Relationship Id="rId419" Type="http://schemas.openxmlformats.org/officeDocument/2006/relationships/hyperlink" Target="https://www.dropbox.com/scl/fi/zd969n4vya184cs1cnjpw/main-6.jpg?rlkey=wwu12n5n27vw76ril56yal94p&amp;st=8fdoeupe&amp;dl=0" TargetMode="External"/><Relationship Id="rId418" Type="http://schemas.openxmlformats.org/officeDocument/2006/relationships/hyperlink" Target="https://www.dropbox.com/scl/fi/pqwd0h6ydqbl9lqdith6u/Screenshot-2025-10-14-at-9.36.56-AM.png?rlkey=t3772eol00uq7uz060xmg657e&amp;st=x3u7yqeu&amp;dl=0" TargetMode="External"/><Relationship Id="rId417" Type="http://schemas.openxmlformats.org/officeDocument/2006/relationships/hyperlink" Target="https://www.dropbox.com/scl/fi/zd969n4vya184cs1cnjpw/main-6.jpg?rlkey=wwu12n5n27vw76ril56yal94p&amp;st=8fdoeupe&amp;dl=0" TargetMode="External"/><Relationship Id="rId416" Type="http://schemas.openxmlformats.org/officeDocument/2006/relationships/hyperlink" Target="https://www.dropbox.com/scl/fi/pqwd0h6ydqbl9lqdith6u/Screenshot-2025-10-14-at-9.36.56-AM.png?rlkey=t3772eol00uq7uz060xmg657e&amp;st=x3u7yqeu&amp;dl=0" TargetMode="External"/><Relationship Id="rId891" Type="http://schemas.openxmlformats.org/officeDocument/2006/relationships/hyperlink" Target="https://www.dropbox.com/scl/fi/0gldt4638nee2n15br98t/Adriaan-3.jpg?rlkey=bfze2f98pjzcxi3e9g7ksv1e3&amp;st=71qjj2qk&amp;dl=0" TargetMode="External"/><Relationship Id="rId890" Type="http://schemas.openxmlformats.org/officeDocument/2006/relationships/hyperlink" Target="https://www.dropbox.com/scl/fi/ags0plymf4y5fpr5mlfpy/REMAX_mastrLogotype_RGB_R.png?rlkey=9dfe6bma53ww5k4tmgeb43ean&amp;st=jam88ukj&amp;dl=0" TargetMode="External"/><Relationship Id="rId1240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1241" Type="http://schemas.openxmlformats.org/officeDocument/2006/relationships/hyperlink" Target="https://www.dropbox.com/scl/fi/5bvrsnbu7h3ugq3oku4sc/Aman-8.jpg?rlkey=prxrtszuvt4faaoyp0scijpn3&amp;st=4z2yd443&amp;dl=0" TargetMode="External"/><Relationship Id="rId411" Type="http://schemas.openxmlformats.org/officeDocument/2006/relationships/hyperlink" Target="https://www.dropbox.com/scl/fi/zd969n4vya184cs1cnjpw/main-6.jpg?rlkey=wwu12n5n27vw76ril56yal94p&amp;st=8fdoeupe&amp;dl=0" TargetMode="External"/><Relationship Id="rId895" Type="http://schemas.openxmlformats.org/officeDocument/2006/relationships/hyperlink" Target="https://www.dropbox.com/scl/fi/0gldt4638nee2n15br98t/Adriaan-3.jpg?rlkey=bfze2f98pjzcxi3e9g7ksv1e3&amp;st=71qjj2qk&amp;dl=0" TargetMode="External"/><Relationship Id="rId1242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410" Type="http://schemas.openxmlformats.org/officeDocument/2006/relationships/hyperlink" Target="https://www.dropbox.com/scl/fi/acorouf92bd1d2vfoboz0/LJ_Hooker_logo.png?rlkey=dr7iv5fnr0rwu3er3hi0mfbvz&amp;st=v5tn475u&amp;dl=0" TargetMode="External"/><Relationship Id="rId894" Type="http://schemas.openxmlformats.org/officeDocument/2006/relationships/hyperlink" Target="https://www.dropbox.com/scl/fi/ags0plymf4y5fpr5mlfpy/REMAX_mastrLogotype_RGB_R.png?rlkey=9dfe6bma53ww5k4tmgeb43ean&amp;st=jam88ukj&amp;dl=0" TargetMode="External"/><Relationship Id="rId1243" Type="http://schemas.openxmlformats.org/officeDocument/2006/relationships/hyperlink" Target="https://www.dropbox.com/scl/fi/5bvrsnbu7h3ugq3oku4sc/Aman-8.jpg?rlkey=prxrtszuvt4faaoyp0scijpn3&amp;st=4z2yd443&amp;dl=0" TargetMode="External"/><Relationship Id="rId893" Type="http://schemas.openxmlformats.org/officeDocument/2006/relationships/hyperlink" Target="https://www.dropbox.com/scl/fi/0gldt4638nee2n15br98t/Adriaan-3.jpg?rlkey=bfze2f98pjzcxi3e9g7ksv1e3&amp;st=71qjj2qk&amp;dl=0" TargetMode="External"/><Relationship Id="rId1244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892" Type="http://schemas.openxmlformats.org/officeDocument/2006/relationships/hyperlink" Target="https://www.dropbox.com/scl/fi/ags0plymf4y5fpr5mlfpy/REMAX_mastrLogotype_RGB_R.png?rlkey=9dfe6bma53ww5k4tmgeb43ean&amp;st=jam88ukj&amp;dl=0" TargetMode="External"/><Relationship Id="rId1245" Type="http://schemas.openxmlformats.org/officeDocument/2006/relationships/hyperlink" Target="https://www.dropbox.com/scl/fi/5bvrsnbu7h3ugq3oku4sc/Aman-8.jpg?rlkey=prxrtszuvt4faaoyp0scijpn3&amp;st=4z2yd443&amp;dl=0" TargetMode="External"/><Relationship Id="rId1279" Type="http://schemas.openxmlformats.org/officeDocument/2006/relationships/hyperlink" Target="https://www.dropbox.com/scl/fi/5akr0sshzwk22p67a9l8h/main-10.png?rlkey=wyd0x4kl9yvlxudzkzhnae4z5&amp;st=uc9v9vc0&amp;dl=0" TargetMode="External"/><Relationship Id="rId448" Type="http://schemas.openxmlformats.org/officeDocument/2006/relationships/hyperlink" Target="https://www.dropbox.com/scl/fi/6uy8t91pbw9wopvoms0a9/place_logo_white.webp?rlkey=yft7rddaogv93huvmsrf1v24r&amp;st=vrnar0lo&amp;dl=0" TargetMode="External"/><Relationship Id="rId447" Type="http://schemas.openxmlformats.org/officeDocument/2006/relationships/hyperlink" Target="https://www.dropbox.com/scl/fi/k4u0jrm38bnirhkpwqp3f/main-18.jpg?rlkey=zzbdcwtx6qs46xvg513mq9eb9&amp;st=v7sdhd6d&amp;dl=0" TargetMode="External"/><Relationship Id="rId446" Type="http://schemas.openxmlformats.org/officeDocument/2006/relationships/hyperlink" Target="https://www.dropbox.com/scl/fi/6uy8t91pbw9wopvoms0a9/place_logo_white.webp?rlkey=yft7rddaogv93huvmsrf1v24r&amp;st=vrnar0lo&amp;dl=0" TargetMode="External"/><Relationship Id="rId445" Type="http://schemas.openxmlformats.org/officeDocument/2006/relationships/hyperlink" Target="https://www.dropbox.com/scl/fi/k4u0jrm38bnirhkpwqp3f/main-18.jpg?rlkey=zzbdcwtx6qs46xvg513mq9eb9&amp;st=v7sdhd6d&amp;dl=0" TargetMode="External"/><Relationship Id="rId449" Type="http://schemas.openxmlformats.org/officeDocument/2006/relationships/hyperlink" Target="https://www.dropbox.com/scl/fi/k4u0jrm38bnirhkpwqp3f/main-18.jpg?rlkey=zzbdcwtx6qs46xvg513mq9eb9&amp;st=v7sdhd6d&amp;dl=0" TargetMode="External"/><Relationship Id="rId1270" Type="http://schemas.openxmlformats.org/officeDocument/2006/relationships/hyperlink" Target="https://www.dropbox.com/scl/fi/7u9aqm0ug7cyqu7b9pizh/Screenshot-2025-12-23-at-11.14.51-AM.png?rlkey=gusnzmtmied8kowbq6xjx4tu1&amp;st=nmaj1uws&amp;dl=0" TargetMode="External"/><Relationship Id="rId440" Type="http://schemas.openxmlformats.org/officeDocument/2006/relationships/hyperlink" Target="https://www.dropbox.com/scl/fi/ab713mw17fdqcryyr9hm9/Screenshot-2025-11-12-at-1.06.08-PM.png?rlkey=wzbwuubqou5rxg40z00ev1gc7&amp;st=1cs3yyub&amp;dl=0" TargetMode="External"/><Relationship Id="rId1271" Type="http://schemas.openxmlformats.org/officeDocument/2006/relationships/hyperlink" Target="https://www.dropbox.com/scl/fi/mb8r3xnmyofpb0nbf06bl/main-34.jpg?rlkey=m84vd2slb841j5m7sne8v36fr&amp;st=g8wkw4vr&amp;dl=0" TargetMode="External"/><Relationship Id="rId1272" Type="http://schemas.openxmlformats.org/officeDocument/2006/relationships/hyperlink" Target="https://www.dropbox.com/scl/fi/7u9aqm0ug7cyqu7b9pizh/Screenshot-2025-12-23-at-11.14.51-AM.png?rlkey=gusnzmtmied8kowbq6xjx4tu1&amp;st=nmaj1uws&amp;dl=0" TargetMode="External"/><Relationship Id="rId1273" Type="http://schemas.openxmlformats.org/officeDocument/2006/relationships/hyperlink" Target="https://www.dropbox.com/scl/fi/mb8r3xnmyofpb0nbf06bl/main-34.jpg?rlkey=m84vd2slb841j5m7sne8v36fr&amp;st=g8wkw4vr&amp;dl=0" TargetMode="External"/><Relationship Id="rId1274" Type="http://schemas.openxmlformats.org/officeDocument/2006/relationships/hyperlink" Target="https://www.dropbox.com/scl/fi/7u9aqm0ug7cyqu7b9pizh/Screenshot-2025-12-23-at-11.14.51-AM.png?rlkey=gusnzmtmied8kowbq6xjx4tu1&amp;st=nmaj1uws&amp;dl=0" TargetMode="External"/><Relationship Id="rId444" Type="http://schemas.openxmlformats.org/officeDocument/2006/relationships/hyperlink" Target="https://www.dropbox.com/scl/fi/ab713mw17fdqcryyr9hm9/Screenshot-2025-11-12-at-1.06.08-PM.png?rlkey=wzbwuubqou5rxg40z00ev1gc7&amp;st=1cs3yyub&amp;dl=0" TargetMode="External"/><Relationship Id="rId1275" Type="http://schemas.openxmlformats.org/officeDocument/2006/relationships/hyperlink" Target="https://www.dropbox.com/scl/fi/mb8r3xnmyofpb0nbf06bl/main-34.jpg?rlkey=m84vd2slb841j5m7sne8v36fr&amp;st=g8wkw4vr&amp;dl=0" TargetMode="External"/><Relationship Id="rId443" Type="http://schemas.openxmlformats.org/officeDocument/2006/relationships/hyperlink" Target="https://www.dropbox.com/scl/fi/mk7m42dusqd6suz16z8tq/main-15.png?rlkey=go5cy9c2p1wjj9li6v8oji7f5&amp;st=u17w5bx5&amp;dl=0" TargetMode="External"/><Relationship Id="rId1276" Type="http://schemas.openxmlformats.org/officeDocument/2006/relationships/hyperlink" Target="https://www.dropbox.com/scl/fi/7u9aqm0ug7cyqu7b9pizh/Screenshot-2025-12-23-at-11.14.51-AM.png?rlkey=gusnzmtmied8kowbq6xjx4tu1&amp;st=nmaj1uws&amp;dl=0" TargetMode="External"/><Relationship Id="rId442" Type="http://schemas.openxmlformats.org/officeDocument/2006/relationships/hyperlink" Target="https://www.dropbox.com/scl/fi/ab713mw17fdqcryyr9hm9/Screenshot-2025-11-12-at-1.06.08-PM.png?rlkey=wzbwuubqou5rxg40z00ev1gc7&amp;st=1cs3yyub&amp;dl=0" TargetMode="External"/><Relationship Id="rId1277" Type="http://schemas.openxmlformats.org/officeDocument/2006/relationships/hyperlink" Target="https://www.dropbox.com/scl/fi/5akr0sshzwk22p67a9l8h/main-10.png?rlkey=wyd0x4kl9yvlxudzkzhnae4z5&amp;st=uc9v9vc0&amp;dl=0" TargetMode="External"/><Relationship Id="rId441" Type="http://schemas.openxmlformats.org/officeDocument/2006/relationships/hyperlink" Target="https://www.dropbox.com/scl/fi/mk7m42dusqd6suz16z8tq/main-15.png?rlkey=go5cy9c2p1wjj9li6v8oji7f5&amp;st=u17w5bx5&amp;dl=0" TargetMode="External"/><Relationship Id="rId1278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1268" Type="http://schemas.openxmlformats.org/officeDocument/2006/relationships/hyperlink" Target="https://www.dropbox.com/scl/fi/7u9aqm0ug7cyqu7b9pizh/Screenshot-2025-12-23-at-11.14.51-AM.png?rlkey=gusnzmtmied8kowbq6xjx4tu1&amp;st=nmaj1uws&amp;dl=0" TargetMode="External"/><Relationship Id="rId1269" Type="http://schemas.openxmlformats.org/officeDocument/2006/relationships/hyperlink" Target="https://www.dropbox.com/scl/fi/mb8r3xnmyofpb0nbf06bl/main-34.jpg?rlkey=m84vd2slb841j5m7sne8v36fr&amp;st=g8wkw4vr&amp;dl=0" TargetMode="External"/><Relationship Id="rId437" Type="http://schemas.openxmlformats.org/officeDocument/2006/relationships/hyperlink" Target="https://www.dropbox.com/scl/fi/mk7m42dusqd6suz16z8tq/main-15.png?rlkey=go5cy9c2p1wjj9li6v8oji7f5&amp;st=u17w5bx5&amp;dl=0" TargetMode="External"/><Relationship Id="rId436" Type="http://schemas.openxmlformats.org/officeDocument/2006/relationships/hyperlink" Target="https://www.dropbox.com/scl/fi/ab713mw17fdqcryyr9hm9/Screenshot-2025-11-12-at-1.06.08-PM.png?rlkey=wzbwuubqou5rxg40z00ev1gc7&amp;st=1cs3yyub&amp;dl=0" TargetMode="External"/><Relationship Id="rId435" Type="http://schemas.openxmlformats.org/officeDocument/2006/relationships/hyperlink" Target="https://www.dropbox.com/scl/fi/mk7m42dusqd6suz16z8tq/main-15.png?rlkey=go5cy9c2p1wjj9li6v8oji7f5&amp;st=u17w5bx5&amp;dl=0" TargetMode="External"/><Relationship Id="rId434" Type="http://schemas.openxmlformats.org/officeDocument/2006/relationships/hyperlink" Target="https://www.dropbox.com/scl/fi/ab713mw17fdqcryyr9hm9/Screenshot-2025-11-12-at-1.06.08-PM.png?rlkey=wzbwuubqou5rxg40z00ev1gc7&amp;st=1cs3yyub&amp;dl=0" TargetMode="External"/><Relationship Id="rId439" Type="http://schemas.openxmlformats.org/officeDocument/2006/relationships/hyperlink" Target="https://www.dropbox.com/scl/fi/mk7m42dusqd6suz16z8tq/main-15.png?rlkey=go5cy9c2p1wjj9li6v8oji7f5&amp;st=u17w5bx5&amp;dl=0" TargetMode="External"/><Relationship Id="rId438" Type="http://schemas.openxmlformats.org/officeDocument/2006/relationships/hyperlink" Target="https://www.dropbox.com/scl/fi/ab713mw17fdqcryyr9hm9/Screenshot-2025-11-12-at-1.06.08-PM.png?rlkey=wzbwuubqou5rxg40z00ev1gc7&amp;st=1cs3yyub&amp;dl=0" TargetMode="External"/><Relationship Id="rId1260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1261" Type="http://schemas.openxmlformats.org/officeDocument/2006/relationships/hyperlink" Target="https://www.dropbox.com/scl/fi/5bvrsnbu7h3ugq3oku4sc/Aman-8.jpg?rlkey=prxrtszuvt4faaoyp0scijpn3&amp;st=4z2yd443&amp;dl=0" TargetMode="External"/><Relationship Id="rId1262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1263" Type="http://schemas.openxmlformats.org/officeDocument/2006/relationships/hyperlink" Target="https://www.dropbox.com/scl/fi/mb8r3xnmyofpb0nbf06bl/main-34.jpg?rlkey=m84vd2slb841j5m7sne8v36fr&amp;st=g8wkw4vr&amp;dl=0" TargetMode="External"/><Relationship Id="rId433" Type="http://schemas.openxmlformats.org/officeDocument/2006/relationships/hyperlink" Target="https://www.dropbox.com/scl/fi/mk7m42dusqd6suz16z8tq/main-15.png?rlkey=go5cy9c2p1wjj9li6v8oji7f5&amp;st=u17w5bx5&amp;dl=0" TargetMode="External"/><Relationship Id="rId1264" Type="http://schemas.openxmlformats.org/officeDocument/2006/relationships/hyperlink" Target="https://www.dropbox.com/scl/fi/7u9aqm0ug7cyqu7b9pizh/Screenshot-2025-12-23-at-11.14.51-AM.png?rlkey=gusnzmtmied8kowbq6xjx4tu1&amp;st=nmaj1uws&amp;dl=0" TargetMode="External"/><Relationship Id="rId432" Type="http://schemas.openxmlformats.org/officeDocument/2006/relationships/hyperlink" Target="https://www.dropbox.com/scl/fi/ab713mw17fdqcryyr9hm9/Screenshot-2025-11-12-at-1.06.08-PM.png?rlkey=wzbwuubqou5rxg40z00ev1gc7&amp;st=1cs3yyub&amp;dl=0" TargetMode="External"/><Relationship Id="rId1265" Type="http://schemas.openxmlformats.org/officeDocument/2006/relationships/hyperlink" Target="https://www.dropbox.com/scl/fi/mb8r3xnmyofpb0nbf06bl/main-34.jpg?rlkey=m84vd2slb841j5m7sne8v36fr&amp;st=g8wkw4vr&amp;dl=0" TargetMode="External"/><Relationship Id="rId431" Type="http://schemas.openxmlformats.org/officeDocument/2006/relationships/hyperlink" Target="https://www.dropbox.com/scl/fi/mk7m42dusqd6suz16z8tq/main-15.png?rlkey=go5cy9c2p1wjj9li6v8oji7f5&amp;st=u17w5bx5&amp;dl=0" TargetMode="External"/><Relationship Id="rId1266" Type="http://schemas.openxmlformats.org/officeDocument/2006/relationships/hyperlink" Target="https://www.dropbox.com/scl/fi/7u9aqm0ug7cyqu7b9pizh/Screenshot-2025-12-23-at-11.14.51-AM.png?rlkey=gusnzmtmied8kowbq6xjx4tu1&amp;st=nmaj1uws&amp;dl=0" TargetMode="External"/><Relationship Id="rId430" Type="http://schemas.openxmlformats.org/officeDocument/2006/relationships/hyperlink" Target="https://www.dropbox.com/scl/fi/ab713mw17fdqcryyr9hm9/Screenshot-2025-11-12-at-1.06.08-PM.png?rlkey=wzbwuubqou5rxg40z00ev1gc7&amp;st=1cs3yyub&amp;dl=0" TargetMode="External"/><Relationship Id="rId1267" Type="http://schemas.openxmlformats.org/officeDocument/2006/relationships/hyperlink" Target="https://www.dropbox.com/scl/fi/mb8r3xnmyofpb0nbf06bl/main-34.jpg?rlkey=m84vd2slb841j5m7sne8v36fr&amp;st=g8wkw4vr&amp;dl=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ropbox.com/scl/fi/24bqld6swiyx5dr3qygcp/Headshot.pdf?rlkey=w56jz3c6tu4u6cz170dwm6crc&amp;st=ngysjs5e&amp;dl=0" TargetMode="External"/><Relationship Id="rId2" Type="http://schemas.openxmlformats.org/officeDocument/2006/relationships/hyperlink" Target="https://www.dropbox.com/scl/fi/hzg8tm75lbkpoburxz8fd/image-1.png?rlkey=bvmbv63nkmjbk5n6uogcygcju&amp;st=8kefy4fh&amp;dl=0" TargetMode="External"/><Relationship Id="rId3" Type="http://schemas.openxmlformats.org/officeDocument/2006/relationships/hyperlink" Target="https://www.dropbox.com/scl/fi/kfckhq09aer85bpfm4aqo/wayne_52.jpg?rlkey=6a1c5hvwlfhasehix49cw6v6t&amp;st=8ap1go6r&amp;dl=0" TargetMode="External"/><Relationship Id="rId4" Type="http://schemas.openxmlformats.org/officeDocument/2006/relationships/hyperlink" Target="https://www.dropbox.com/scl/fi/71e001kxm24iklqchbt38/York-Realty-Logo_001.jpg?rlkey=may87c3hgvay53uhm6h5q0py9&amp;st=ax71c7ax&amp;dl=0" TargetMode="External"/><Relationship Id="rId9" Type="http://schemas.openxmlformats.org/officeDocument/2006/relationships/hyperlink" Target="https://www.dropbox.com/scl/fi/cym9q5j67s272o8i2a3m8/DSCF8886-edited.jpg?rlkey=wmmyor3xjyy91686gzao2v6ga&amp;st=uspahxgh&amp;dl=0" TargetMode="External"/><Relationship Id="rId5" Type="http://schemas.openxmlformats.org/officeDocument/2006/relationships/hyperlink" Target="mailto:Jasmin.turpin@robina.rh.com.au" TargetMode="External"/><Relationship Id="rId6" Type="http://schemas.openxmlformats.org/officeDocument/2006/relationships/hyperlink" Target="mailto:Jasmin.turpin@robina.rh.com.au" TargetMode="External"/><Relationship Id="rId7" Type="http://schemas.openxmlformats.org/officeDocument/2006/relationships/hyperlink" Target="https://www.dropbox.com/scl/fi/cym9q5j67s272o8i2a3m8/DSCF8886-edited.jpg?rlkey=wmmyor3xjyy91686gzao2v6ga&amp;st=uspahxgh&amp;dl=0" TargetMode="External"/><Relationship Id="rId8" Type="http://schemas.openxmlformats.org/officeDocument/2006/relationships/hyperlink" Target="https://www.dropbox.com/scl/fi/ub1fzfmnftskovtg0nghk/hi-res-hess-logo-new.pdf?rlkey=b544a1wtko71yjmy724tzhtjf&amp;st=rmoybxge&amp;dl=0" TargetMode="External"/><Relationship Id="rId40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42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41" Type="http://schemas.openxmlformats.org/officeDocument/2006/relationships/hyperlink" Target="https://www.dropbox.com/scl/fi/so0ndwemjsgt3e13i3kc9/IMG_9200.jpeg?rlkey=rb446fqcu9w555sbfrgmu9jqw&amp;st=vsyafjh8&amp;dl=0" TargetMode="External"/><Relationship Id="rId44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43" Type="http://schemas.openxmlformats.org/officeDocument/2006/relationships/hyperlink" Target="https://www.dropbox.com/scl/fi/so0ndwemjsgt3e13i3kc9/IMG_9200.jpeg?rlkey=rb446fqcu9w555sbfrgmu9jqw&amp;st=vsyafjh8&amp;dl=0" TargetMode="External"/><Relationship Id="rId46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45" Type="http://schemas.openxmlformats.org/officeDocument/2006/relationships/hyperlink" Target="https://www.dropbox.com/scl/fi/so0ndwemjsgt3e13i3kc9/IMG_9200.jpeg?rlkey=rb446fqcu9w555sbfrgmu9jqw&amp;st=vsyafjh8&amp;dl=0" TargetMode="External"/><Relationship Id="rId48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47" Type="http://schemas.openxmlformats.org/officeDocument/2006/relationships/hyperlink" Target="https://www.dropbox.com/scl/fi/so0ndwemjsgt3e13i3kc9/IMG_9200.jpeg?rlkey=rb446fqcu9w555sbfrgmu9jqw&amp;st=vsyafjh8&amp;dl=0" TargetMode="External"/><Relationship Id="rId49" Type="http://schemas.openxmlformats.org/officeDocument/2006/relationships/hyperlink" Target="https://www.dropbox.com/scl/fi/so0ndwemjsgt3e13i3kc9/IMG_9200.jpeg?rlkey=rb446fqcu9w555sbfrgmu9jqw&amp;st=vsyafjh8&amp;dl=0" TargetMode="External"/><Relationship Id="rId31" Type="http://schemas.openxmlformats.org/officeDocument/2006/relationships/hyperlink" Target="https://www.dropbox.com/scl/fi/so0ndwemjsgt3e13i3kc9/IMG_9200.jpeg?rlkey=rb446fqcu9w555sbfrgmu9jqw&amp;st=vsyafjh8&amp;dl=0" TargetMode="External"/><Relationship Id="rId30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33" Type="http://schemas.openxmlformats.org/officeDocument/2006/relationships/hyperlink" Target="https://www.dropbox.com/scl/fi/so0ndwemjsgt3e13i3kc9/IMG_9200.jpeg?rlkey=rb446fqcu9w555sbfrgmu9jqw&amp;st=vsyafjh8&amp;dl=0" TargetMode="External"/><Relationship Id="rId32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35" Type="http://schemas.openxmlformats.org/officeDocument/2006/relationships/hyperlink" Target="https://www.dropbox.com/scl/fi/so0ndwemjsgt3e13i3kc9/IMG_9200.jpeg?rlkey=rb446fqcu9w555sbfrgmu9jqw&amp;st=vsyafjh8&amp;dl=0" TargetMode="External"/><Relationship Id="rId34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37" Type="http://schemas.openxmlformats.org/officeDocument/2006/relationships/hyperlink" Target="https://www.dropbox.com/scl/fi/so0ndwemjsgt3e13i3kc9/IMG_9200.jpeg?rlkey=rb446fqcu9w555sbfrgmu9jqw&amp;st=vsyafjh8&amp;dl=0" TargetMode="External"/><Relationship Id="rId36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39" Type="http://schemas.openxmlformats.org/officeDocument/2006/relationships/hyperlink" Target="https://www.dropbox.com/scl/fi/so0ndwemjsgt3e13i3kc9/IMG_9200.jpeg?rlkey=rb446fqcu9w555sbfrgmu9jqw&amp;st=vsyafjh8&amp;dl=0" TargetMode="External"/><Relationship Id="rId38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20" Type="http://schemas.openxmlformats.org/officeDocument/2006/relationships/hyperlink" Target="https://www.dropbox.com/scl/fi/d2rzufk46mw1811kp4l7p/IMG_7423.png?rlkey=eg5elwtrpiz27hgfosvu7dxoo&amp;st=h2u83mbq&amp;dl=0" TargetMode="External"/><Relationship Id="rId22" Type="http://schemas.openxmlformats.org/officeDocument/2006/relationships/hyperlink" Target="https://www.dropbox.com/scl/fi/d2rzufk46mw1811kp4l7p/IMG_7423.png?rlkey=eg5elwtrpiz27hgfosvu7dxoo&amp;st=h2u83mbq&amp;dl=0" TargetMode="External"/><Relationship Id="rId21" Type="http://schemas.openxmlformats.org/officeDocument/2006/relationships/hyperlink" Target="https://www.dropbox.com/scl/fi/dbend6g3071dalgmkmuha/IMG_5402.jpeg?rlkey=34qj4x7216fcvoewd4k3iorbd&amp;st=dkn7mmok&amp;dl=0" TargetMode="External"/><Relationship Id="rId24" Type="http://schemas.openxmlformats.org/officeDocument/2006/relationships/hyperlink" Target="https://www.dropbox.com/scl/fi/241ekxil2iz8waw5mvwjp/Screenshot-2025-11-13-at-1.56.10-PM.png?rlkey=14bjew840h92t8i1tgeo3bcbv&amp;st=6xeeyj8i&amp;dl=0" TargetMode="External"/><Relationship Id="rId23" Type="http://schemas.openxmlformats.org/officeDocument/2006/relationships/hyperlink" Target="https://www.dropbox.com/scl/fi/95blo905xblld6dkyemo2/main-17.png?rlkey=hkuudpqd4ah2ccnmd0z8f7o2b&amp;st=waf7s8sg&amp;dl=0" TargetMode="External"/><Relationship Id="rId26" Type="http://schemas.openxmlformats.org/officeDocument/2006/relationships/hyperlink" Target="https://www.dropbox.com/scl/fi/241ekxil2iz8waw5mvwjp/Screenshot-2025-11-13-at-1.56.10-PM.png?rlkey=14bjew840h92t8i1tgeo3bcbv&amp;st=6xeeyj8i&amp;dl=0" TargetMode="External"/><Relationship Id="rId25" Type="http://schemas.openxmlformats.org/officeDocument/2006/relationships/hyperlink" Target="https://www.dropbox.com/scl/fi/95blo905xblld6dkyemo2/main-17.png?rlkey=hkuudpqd4ah2ccnmd0z8f7o2b&amp;st=waf7s8sg&amp;dl=0" TargetMode="External"/><Relationship Id="rId28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27" Type="http://schemas.openxmlformats.org/officeDocument/2006/relationships/hyperlink" Target="https://www.dropbox.com/scl/fi/so0ndwemjsgt3e13i3kc9/IMG_9200.jpeg?rlkey=rb446fqcu9w555sbfrgmu9jqw&amp;st=vsyafjh8&amp;dl=0" TargetMode="External"/><Relationship Id="rId29" Type="http://schemas.openxmlformats.org/officeDocument/2006/relationships/hyperlink" Target="https://www.dropbox.com/scl/fi/so0ndwemjsgt3e13i3kc9/IMG_9200.jpeg?rlkey=rb446fqcu9w555sbfrgmu9jqw&amp;st=vsyafjh8&amp;dl=0" TargetMode="External"/><Relationship Id="rId11" Type="http://schemas.openxmlformats.org/officeDocument/2006/relationships/hyperlink" Target="https://www.dropbox.com/scl/fi/cym9q5j67s272o8i2a3m8/DSCF8886-edited.jpg?rlkey=wmmyor3xjyy91686gzao2v6ga&amp;st=uspahxgh&amp;dl=0" TargetMode="External"/><Relationship Id="rId10" Type="http://schemas.openxmlformats.org/officeDocument/2006/relationships/hyperlink" Target="https://www.dropbox.com/scl/fi/ub1fzfmnftskovtg0nghk/hi-res-hess-logo-new.pdf?rlkey=b544a1wtko71yjmy724tzhtjf&amp;st=rmoybxge&amp;dl=0" TargetMode="External"/><Relationship Id="rId13" Type="http://schemas.openxmlformats.org/officeDocument/2006/relationships/hyperlink" Target="https://www.dropbox.com/scl/fi/whtfpia0ml2nw3ulcwtz7/Andy-Cut-Out-original-Hospital.jpg?rlkey=wdd5c14wsekwlvpbdt4jkl9er&amp;st=e6wfatj8&amp;dl=0" TargetMode="External"/><Relationship Id="rId12" Type="http://schemas.openxmlformats.org/officeDocument/2006/relationships/hyperlink" Target="https://www.dropbox.com/scl/fi/ub1fzfmnftskovtg0nghk/hi-res-hess-logo-new.pdf?rlkey=b544a1wtko71yjmy724tzhtjf&amp;st=rmoybxge&amp;dl=0" TargetMode="External"/><Relationship Id="rId15" Type="http://schemas.openxmlformats.org/officeDocument/2006/relationships/hyperlink" Target="https://www.dropbox.com/scl/fi/0tp0igntrtmbqtwvu5ekj/Phil-Nicholas_2025.jpg?rlkey=wufdw7gc7ha86abner0plonjn&amp;st=tdfpbk8n&amp;dl=0" TargetMode="External"/><Relationship Id="rId14" Type="http://schemas.openxmlformats.org/officeDocument/2006/relationships/hyperlink" Target="https://www.dropbox.com/scl/fi/1v0ss09559qkcecpglg95/100-Year-logo-Blue-Text-Gold-triangle.png?rlkey=shv83e4g32uln5ha778s6uhkp&amp;st=gobuxg0g&amp;dl=0" TargetMode="External"/><Relationship Id="rId17" Type="http://schemas.openxmlformats.org/officeDocument/2006/relationships/hyperlink" Target="https://www.dropbox.com/scl/fi/dbend6g3071dalgmkmuha/IMG_5402.jpeg?rlkey=34qj4x7216fcvoewd4k3iorbd&amp;st=dkn7mmok&amp;dl=0" TargetMode="External"/><Relationship Id="rId16" Type="http://schemas.openxmlformats.org/officeDocument/2006/relationships/hyperlink" Target="https://www.dropbox.com/scl/fi/ikmqdryqed657p294ky3h/home-of-northern-beaches-NAVY-STACKED-w-LOGO-HR.png?rlkey=ag64bcuob2hptx7xw73h2ztla&amp;st=3ae14bn2&amp;dl=0" TargetMode="External"/><Relationship Id="rId19" Type="http://schemas.openxmlformats.org/officeDocument/2006/relationships/hyperlink" Target="https://www.dropbox.com/scl/fi/dbend6g3071dalgmkmuha/IMG_5402.jpeg?rlkey=34qj4x7216fcvoewd4k3iorbd&amp;st=dkn7mmok&amp;dl=0" TargetMode="External"/><Relationship Id="rId18" Type="http://schemas.openxmlformats.org/officeDocument/2006/relationships/hyperlink" Target="https://www.dropbox.com/scl/fi/d2rzufk46mw1811kp4l7p/IMG_7423.png?rlkey=eg5elwtrpiz27hgfosvu7dxoo&amp;st=h2u83mbq&amp;dl=0" TargetMode="External"/><Relationship Id="rId84" Type="http://schemas.openxmlformats.org/officeDocument/2006/relationships/hyperlink" Target="https://www.dropbox.com/scl/fi/cwo0oplj5bj5pl882i80r/TheAgency_Logo_Black.png?rlkey=lfjs8nsxhad9vf9gka484z0pj&amp;st=gc5jxu1c&amp;dl=0" TargetMode="External"/><Relationship Id="rId83" Type="http://schemas.openxmlformats.org/officeDocument/2006/relationships/hyperlink" Target="https://www.dropbox.com/scl/fi/ersez0mypes3322uaa8wp/Original57707784-copy-2.jpg?rlkey=gy8fqxaqjuc2pcfgmwxdtlzrk&amp;st=4ixx80ip&amp;dl=0" TargetMode="External"/><Relationship Id="rId86" Type="http://schemas.openxmlformats.org/officeDocument/2006/relationships/hyperlink" Target="https://www.dropbox.com/scl/fi/cwo0oplj5bj5pl882i80r/TheAgency_Logo_Black.png?rlkey=lfjs8nsxhad9vf9gka484z0pj&amp;st=gc5jxu1c&amp;dl=0" TargetMode="External"/><Relationship Id="rId85" Type="http://schemas.openxmlformats.org/officeDocument/2006/relationships/hyperlink" Target="https://www.dropbox.com/scl/fi/ersez0mypes3322uaa8wp/Original57707784-copy-2.jpg?rlkey=gy8fqxaqjuc2pcfgmwxdtlzrk&amp;st=4ixx80ip&amp;dl=0" TargetMode="External"/><Relationship Id="rId88" Type="http://schemas.openxmlformats.org/officeDocument/2006/relationships/hyperlink" Target="https://www.dropbox.com/scl/fi/cwo0oplj5bj5pl882i80r/TheAgency_Logo_Black.png?rlkey=lfjs8nsxhad9vf9gka484z0pj&amp;st=gc5jxu1c&amp;dl=0" TargetMode="External"/><Relationship Id="rId87" Type="http://schemas.openxmlformats.org/officeDocument/2006/relationships/hyperlink" Target="https://www.dropbox.com/scl/fi/ersez0mypes3322uaa8wp/Original57707784-copy-2.jpg?rlkey=gy8fqxaqjuc2pcfgmwxdtlzrk&amp;st=4ixx80ip&amp;dl=0" TargetMode="External"/><Relationship Id="rId89" Type="http://schemas.openxmlformats.org/officeDocument/2006/relationships/hyperlink" Target="https://www.dropbox.com/scl/fi/ersez0mypes3322uaa8wp/Original57707784-copy-2.jpg?rlkey=gy8fqxaqjuc2pcfgmwxdtlzrk&amp;st=4ixx80ip&amp;dl=0" TargetMode="External"/><Relationship Id="rId80" Type="http://schemas.openxmlformats.org/officeDocument/2006/relationships/hyperlink" Target="https://www.dropbox.com/scl/fi/cwo0oplj5bj5pl882i80r/TheAgency_Logo_Black.png?rlkey=lfjs8nsxhad9vf9gka484z0pj&amp;st=gc5jxu1c&amp;dl=0" TargetMode="External"/><Relationship Id="rId82" Type="http://schemas.openxmlformats.org/officeDocument/2006/relationships/hyperlink" Target="https://www.dropbox.com/scl/fi/cwo0oplj5bj5pl882i80r/TheAgency_Logo_Black.png?rlkey=lfjs8nsxhad9vf9gka484z0pj&amp;st=gc5jxu1c&amp;dl=0" TargetMode="External"/><Relationship Id="rId81" Type="http://schemas.openxmlformats.org/officeDocument/2006/relationships/hyperlink" Target="https://www.dropbox.com/scl/fi/ersez0mypes3322uaa8wp/Original57707784-copy-2.jpg?rlkey=gy8fqxaqjuc2pcfgmwxdtlzrk&amp;st=4ixx80ip&amp;dl=0" TargetMode="External"/><Relationship Id="rId73" Type="http://schemas.openxmlformats.org/officeDocument/2006/relationships/hyperlink" Target="https://www.dropbox.com/scl/fi/7edk3bq60hquhhhhpk7ry/main-16.jpg?rlkey=r0bw7cbtm3d56qhcret6y5i73&amp;st=eelnhzh7&amp;dl=0" TargetMode="External"/><Relationship Id="rId72" Type="http://schemas.openxmlformats.org/officeDocument/2006/relationships/hyperlink" Target="https://www.dropbox.com/scl/fi/abp2jjohjerbqog0fdb9z/Screenshot-2025-11-13-at-11.42.08-AM.png?rlkey=ki8zs8d2rfvy49ff9sh0y2haz&amp;st=hnembw7a&amp;dl=0" TargetMode="External"/><Relationship Id="rId75" Type="http://schemas.openxmlformats.org/officeDocument/2006/relationships/hyperlink" Target="https://www.dropbox.com/scl/fi/0uuuqkg4j457avu5996qk/Amit-Photo.jpg?rlkey=7dc0x8axzfuz8y54d0bbfjcbb&amp;st=p5aytzhz&amp;dl=0" TargetMode="External"/><Relationship Id="rId74" Type="http://schemas.openxmlformats.org/officeDocument/2006/relationships/hyperlink" Target="https://www.dropbox.com/scl/fi/abp2jjohjerbqog0fdb9z/Screenshot-2025-11-13-at-11.42.08-AM.png?rlkey=ki8zs8d2rfvy49ff9sh0y2haz&amp;st=hnembw7a&amp;dl=0" TargetMode="External"/><Relationship Id="rId77" Type="http://schemas.openxmlformats.org/officeDocument/2006/relationships/hyperlink" Target="https://www.dropbox.com/scl/fi/0uuuqkg4j457avu5996qk/Amit-Photo.jpg?rlkey=7dc0x8axzfuz8y54d0bbfjcbb&amp;st=p5aytzhz&amp;dl=0" TargetMode="External"/><Relationship Id="rId76" Type="http://schemas.openxmlformats.org/officeDocument/2006/relationships/hyperlink" Target="https://www.dropbox.com/scl/fi/nudgw6lyqidlygbkna7lq/RW_Secondary-199-CMYK.png?rlkey=nvf8wfms5uogybu2gtqzfcxlr&amp;st=gsajyhes&amp;dl=0" TargetMode="External"/><Relationship Id="rId79" Type="http://schemas.openxmlformats.org/officeDocument/2006/relationships/hyperlink" Target="https://www.dropbox.com/scl/fi/ersez0mypes3322uaa8wp/Original57707784-copy-2.jpg?rlkey=gy8fqxaqjuc2pcfgmwxdtlzrk&amp;st=4ixx80ip&amp;dl=0" TargetMode="External"/><Relationship Id="rId78" Type="http://schemas.openxmlformats.org/officeDocument/2006/relationships/hyperlink" Target="https://www.dropbox.com/scl/fi/nudgw6lyqidlygbkna7lq/RW_Secondary-199-CMYK.png?rlkey=nvf8wfms5uogybu2gtqzfcxlr&amp;st=gsajyhes&amp;dl=0" TargetMode="External"/><Relationship Id="rId71" Type="http://schemas.openxmlformats.org/officeDocument/2006/relationships/hyperlink" Target="https://www.dropbox.com/scl/fi/7edk3bq60hquhhhhpk7ry/main-16.jpg?rlkey=r0bw7cbtm3d56qhcret6y5i73&amp;st=eelnhzh7&amp;dl=0" TargetMode="External"/><Relationship Id="rId70" Type="http://schemas.openxmlformats.org/officeDocument/2006/relationships/hyperlink" Target="https://www.dropbox.com/scl/fi/abp2jjohjerbqog0fdb9z/Screenshot-2025-11-13-at-11.42.08-AM.png?rlkey=ki8zs8d2rfvy49ff9sh0y2haz&amp;st=hnembw7a&amp;dl=0" TargetMode="External"/><Relationship Id="rId62" Type="http://schemas.openxmlformats.org/officeDocument/2006/relationships/hyperlink" Target="https://www.dropbox.com/scl/fi/abp2jjohjerbqog0fdb9z/Screenshot-2025-11-13-at-11.42.08-AM.png?rlkey=ki8zs8d2rfvy49ff9sh0y2haz&amp;st=hnembw7a&amp;dl=0" TargetMode="External"/><Relationship Id="rId61" Type="http://schemas.openxmlformats.org/officeDocument/2006/relationships/hyperlink" Target="https://www.dropbox.com/scl/fi/7edk3bq60hquhhhhpk7ry/main-16.jpg?rlkey=r0bw7cbtm3d56qhcret6y5i73&amp;st=eelnhzh7&amp;dl=0" TargetMode="External"/><Relationship Id="rId64" Type="http://schemas.openxmlformats.org/officeDocument/2006/relationships/hyperlink" Target="https://www.dropbox.com/scl/fi/abp2jjohjerbqog0fdb9z/Screenshot-2025-11-13-at-11.42.08-AM.png?rlkey=ki8zs8d2rfvy49ff9sh0y2haz&amp;st=hnembw7a&amp;dl=0" TargetMode="External"/><Relationship Id="rId63" Type="http://schemas.openxmlformats.org/officeDocument/2006/relationships/hyperlink" Target="https://www.dropbox.com/scl/fi/7edk3bq60hquhhhhpk7ry/main-16.jpg?rlkey=r0bw7cbtm3d56qhcret6y5i73&amp;st=eelnhzh7&amp;dl=0" TargetMode="External"/><Relationship Id="rId66" Type="http://schemas.openxmlformats.org/officeDocument/2006/relationships/hyperlink" Target="https://www.dropbox.com/scl/fi/abp2jjohjerbqog0fdb9z/Screenshot-2025-11-13-at-11.42.08-AM.png?rlkey=ki8zs8d2rfvy49ff9sh0y2haz&amp;st=hnembw7a&amp;dl=0" TargetMode="External"/><Relationship Id="rId65" Type="http://schemas.openxmlformats.org/officeDocument/2006/relationships/hyperlink" Target="https://www.dropbox.com/scl/fi/7edk3bq60hquhhhhpk7ry/main-16.jpg?rlkey=r0bw7cbtm3d56qhcret6y5i73&amp;st=eelnhzh7&amp;dl=0" TargetMode="External"/><Relationship Id="rId68" Type="http://schemas.openxmlformats.org/officeDocument/2006/relationships/hyperlink" Target="https://www.dropbox.com/scl/fi/abp2jjohjerbqog0fdb9z/Screenshot-2025-11-13-at-11.42.08-AM.png?rlkey=ki8zs8d2rfvy49ff9sh0y2haz&amp;st=hnembw7a&amp;dl=0" TargetMode="External"/><Relationship Id="rId67" Type="http://schemas.openxmlformats.org/officeDocument/2006/relationships/hyperlink" Target="https://www.dropbox.com/scl/fi/7edk3bq60hquhhhhpk7ry/main-16.jpg?rlkey=r0bw7cbtm3d56qhcret6y5i73&amp;st=eelnhzh7&amp;dl=0" TargetMode="External"/><Relationship Id="rId60" Type="http://schemas.openxmlformats.org/officeDocument/2006/relationships/hyperlink" Target="https://www.dropbox.com/scl/fi/abp2jjohjerbqog0fdb9z/Screenshot-2025-11-13-at-11.42.08-AM.png?rlkey=ki8zs8d2rfvy49ff9sh0y2haz&amp;st=hnembw7a&amp;dl=0" TargetMode="External"/><Relationship Id="rId69" Type="http://schemas.openxmlformats.org/officeDocument/2006/relationships/hyperlink" Target="https://www.dropbox.com/scl/fi/7edk3bq60hquhhhhpk7ry/main-16.jpg?rlkey=r0bw7cbtm3d56qhcret6y5i73&amp;st=eelnhzh7&amp;dl=0" TargetMode="External"/><Relationship Id="rId51" Type="http://schemas.openxmlformats.org/officeDocument/2006/relationships/hyperlink" Target="https://www.dropbox.com/scl/fi/l4bm7otqjpgjtdrbw7zt1/Profilepic.png?rlkey=10jifs68wyvn40v22rb808cu8&amp;st=uy5zohai&amp;dl=0" TargetMode="External"/><Relationship Id="rId50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53" Type="http://schemas.openxmlformats.org/officeDocument/2006/relationships/hyperlink" Target="https://www.dropbox.com/scl/fi/f759cje17kf0ahuf959xc/main-19.png?rlkey=p0sd5qt5tyhaapydwt2m3hfou&amp;st=xohh9apg&amp;dl=0" TargetMode="External"/><Relationship Id="rId52" Type="http://schemas.openxmlformats.org/officeDocument/2006/relationships/hyperlink" Target="https://www.dropbox.com/scl/fi/by19bkvq3vv4ns8kwwsfu/RRR-Logo.PNG?rlkey=0uzfb0iyrguhxik87avirjan8&amp;st=388wxt5x&amp;dl=0" TargetMode="External"/><Relationship Id="rId55" Type="http://schemas.openxmlformats.org/officeDocument/2006/relationships/hyperlink" Target="https://www.dropbox.com/scl/fi/f759cje17kf0ahuf959xc/main-19.png?rlkey=p0sd5qt5tyhaapydwt2m3hfou&amp;st=xohh9apg&amp;dl=0" TargetMode="External"/><Relationship Id="rId54" Type="http://schemas.openxmlformats.org/officeDocument/2006/relationships/hyperlink" Target="https://www.dropbox.com/scl/fi/o6vdgevujbka6clqnmsvb/Screenshot-2025-11-14-at-1.07.04-PM.png?rlkey=yq4fw3eh24ykfjpfuefhbxmjn&amp;st=1lox38lg&amp;dl=0" TargetMode="External"/><Relationship Id="rId57" Type="http://schemas.openxmlformats.org/officeDocument/2006/relationships/hyperlink" Target="https://www.dropbox.com/scl/fi/7edk3bq60hquhhhhpk7ry/main-16.jpg?rlkey=r0bw7cbtm3d56qhcret6y5i73&amp;st=eelnhzh7&amp;dl=0" TargetMode="External"/><Relationship Id="rId56" Type="http://schemas.openxmlformats.org/officeDocument/2006/relationships/hyperlink" Target="https://www.dropbox.com/scl/fi/o6vdgevujbka6clqnmsvb/Screenshot-2025-11-14-at-1.07.04-PM.png?rlkey=yq4fw3eh24ykfjpfuefhbxmjn&amp;st=1lox38lg&amp;dl=0" TargetMode="External"/><Relationship Id="rId59" Type="http://schemas.openxmlformats.org/officeDocument/2006/relationships/hyperlink" Target="https://www.dropbox.com/scl/fi/7edk3bq60hquhhhhpk7ry/main-16.jpg?rlkey=r0bw7cbtm3d56qhcret6y5i73&amp;st=eelnhzh7&amp;dl=0" TargetMode="External"/><Relationship Id="rId58" Type="http://schemas.openxmlformats.org/officeDocument/2006/relationships/hyperlink" Target="https://www.dropbox.com/scl/fi/abp2jjohjerbqog0fdb9z/Screenshot-2025-11-13-at-11.42.08-AM.png?rlkey=ki8zs8d2rfvy49ff9sh0y2haz&amp;st=hnembw7a&amp;dl=0" TargetMode="External"/><Relationship Id="rId338" Type="http://schemas.openxmlformats.org/officeDocument/2006/relationships/hyperlink" Target="https://www.dropbox.com/scl/fi/hjv93g4f9t0m2wchg1mp8/callumdocker1_250980835427060_6415871115618417738_Future-Realty-SA-logo-dark.png?rlkey=eczf1gyta780u4nsv4dd2r3c9&amp;st=4vqlqwle&amp;dl=0" TargetMode="External"/><Relationship Id="rId337" Type="http://schemas.openxmlformats.org/officeDocument/2006/relationships/hyperlink" Target="https://www.dropbox.com/scl/fi/ogkf7pbsyctdfh7zh4b1t/Kurt-Photo-square.jpg?rlkey=yy95ko96xudg8nobnvq07tq77&amp;st=aylv77k6&amp;dl=0" TargetMode="External"/><Relationship Id="rId336" Type="http://schemas.openxmlformats.org/officeDocument/2006/relationships/hyperlink" Target="https://www.dropbox.com/scl/fi/hjv93g4f9t0m2wchg1mp8/callumdocker1_250980835427060_6415871115618417738_Future-Realty-SA-logo-dark.png?rlkey=eczf1gyta780u4nsv4dd2r3c9&amp;st=4vqlqwle&amp;dl=0" TargetMode="External"/><Relationship Id="rId335" Type="http://schemas.openxmlformats.org/officeDocument/2006/relationships/hyperlink" Target="https://www.dropbox.com/scl/fi/ogkf7pbsyctdfh7zh4b1t/Kurt-Photo-square.jpg?rlkey=yy95ko96xudg8nobnvq07tq77&amp;st=aylv77k6&amp;dl=0" TargetMode="External"/><Relationship Id="rId339" Type="http://schemas.openxmlformats.org/officeDocument/2006/relationships/drawing" Target="../drawings/drawing3.xml"/><Relationship Id="rId330" Type="http://schemas.openxmlformats.org/officeDocument/2006/relationships/hyperlink" Target="https://www.dropbox.com/scl/fi/hjv93g4f9t0m2wchg1mp8/callumdocker1_250980835427060_6415871115618417738_Future-Realty-SA-logo-dark.png?rlkey=eczf1gyta780u4nsv4dd2r3c9&amp;st=4vqlqwle&amp;dl=0" TargetMode="External"/><Relationship Id="rId334" Type="http://schemas.openxmlformats.org/officeDocument/2006/relationships/hyperlink" Target="https://www.dropbox.com/scl/fi/hjv93g4f9t0m2wchg1mp8/callumdocker1_250980835427060_6415871115618417738_Future-Realty-SA-logo-dark.png?rlkey=eczf1gyta780u4nsv4dd2r3c9&amp;st=4vqlqwle&amp;dl=0" TargetMode="External"/><Relationship Id="rId333" Type="http://schemas.openxmlformats.org/officeDocument/2006/relationships/hyperlink" Target="https://www.dropbox.com/scl/fi/ogkf7pbsyctdfh7zh4b1t/Kurt-Photo-square.jpg?rlkey=yy95ko96xudg8nobnvq07tq77&amp;st=aylv77k6&amp;dl=0" TargetMode="External"/><Relationship Id="rId332" Type="http://schemas.openxmlformats.org/officeDocument/2006/relationships/hyperlink" Target="https://www.dropbox.com/scl/fi/hjv93g4f9t0m2wchg1mp8/callumdocker1_250980835427060_6415871115618417738_Future-Realty-SA-logo-dark.png?rlkey=eczf1gyta780u4nsv4dd2r3c9&amp;st=4vqlqwle&amp;dl=0" TargetMode="External"/><Relationship Id="rId331" Type="http://schemas.openxmlformats.org/officeDocument/2006/relationships/hyperlink" Target="https://www.dropbox.com/scl/fi/ogkf7pbsyctdfh7zh4b1t/Kurt-Photo-square.jpg?rlkey=yy95ko96xudg8nobnvq07tq77&amp;st=aylv77k6&amp;dl=0" TargetMode="External"/><Relationship Id="rId95" Type="http://schemas.openxmlformats.org/officeDocument/2006/relationships/hyperlink" Target="https://www.dropbox.com/scl/fi/edni7swwt1yu25ptrhlf2/Professionals-Tamborine-Mountain_Rebrand-Team-Photos_-147-1.jpg?rlkey=o3lm59us4d33vf1app3uculkg&amp;st=i6tbpvhe&amp;dl=0" TargetMode="External"/><Relationship Id="rId94" Type="http://schemas.openxmlformats.org/officeDocument/2006/relationships/hyperlink" Target="https://www.dropbox.com/scl/fi/cwo0oplj5bj5pl882i80r/TheAgency_Logo_Black.png?rlkey=lfjs8nsxhad9vf9gka484z0pj&amp;st=gc5jxu1c&amp;dl=0" TargetMode="External"/><Relationship Id="rId97" Type="http://schemas.openxmlformats.org/officeDocument/2006/relationships/hyperlink" Target="https://www.dropbox.com/scl/fi/edni7swwt1yu25ptrhlf2/Professionals-Tamborine-Mountain_Rebrand-Team-Photos_-147-1.jpg?rlkey=o3lm59us4d33vf1app3uculkg&amp;st=i6tbpvhe&amp;dl=0" TargetMode="External"/><Relationship Id="rId96" Type="http://schemas.openxmlformats.org/officeDocument/2006/relationships/hyperlink" Target="https://www.dropbox.com/scl/fi/ci4btci26fvvchrmdtp6b/Copy-of-Press-Ads-Venkattesh-Raja-Professionals-Tamborine-Mountain-2.png?rlkey=fc6yhh3q722f1dcd0qbqav6wd&amp;st=4jwatlu6&amp;dl=0" TargetMode="External"/><Relationship Id="rId99" Type="http://schemas.openxmlformats.org/officeDocument/2006/relationships/hyperlink" Target="https://www.dropbox.com/scl/fi/edni7swwt1yu25ptrhlf2/Professionals-Tamborine-Mountain_Rebrand-Team-Photos_-147-1.jpg?rlkey=o3lm59us4d33vf1app3uculkg&amp;st=i6tbpvhe&amp;dl=0" TargetMode="External"/><Relationship Id="rId98" Type="http://schemas.openxmlformats.org/officeDocument/2006/relationships/hyperlink" Target="https://www.dropbox.com/scl/fi/ci4btci26fvvchrmdtp6b/Copy-of-Press-Ads-Venkattesh-Raja-Professionals-Tamborine-Mountain-2.png?rlkey=fc6yhh3q722f1dcd0qbqav6wd&amp;st=4jwatlu6&amp;dl=0" TargetMode="External"/><Relationship Id="rId91" Type="http://schemas.openxmlformats.org/officeDocument/2006/relationships/hyperlink" Target="https://www.dropbox.com/scl/fi/ersez0mypes3322uaa8wp/Original57707784-copy-2.jpg?rlkey=gy8fqxaqjuc2pcfgmwxdtlzrk&amp;st=4ixx80ip&amp;dl=0" TargetMode="External"/><Relationship Id="rId90" Type="http://schemas.openxmlformats.org/officeDocument/2006/relationships/hyperlink" Target="https://www.dropbox.com/scl/fi/cwo0oplj5bj5pl882i80r/TheAgency_Logo_Black.png?rlkey=lfjs8nsxhad9vf9gka484z0pj&amp;st=gc5jxu1c&amp;dl=0" TargetMode="External"/><Relationship Id="rId93" Type="http://schemas.openxmlformats.org/officeDocument/2006/relationships/hyperlink" Target="https://www.dropbox.com/scl/fi/ersez0mypes3322uaa8wp/Original57707784-copy-2.jpg?rlkey=gy8fqxaqjuc2pcfgmwxdtlzrk&amp;st=4ixx80ip&amp;dl=0" TargetMode="External"/><Relationship Id="rId92" Type="http://schemas.openxmlformats.org/officeDocument/2006/relationships/hyperlink" Target="https://www.dropbox.com/scl/fi/cwo0oplj5bj5pl882i80r/TheAgency_Logo_Black.png?rlkey=lfjs8nsxhad9vf9gka484z0pj&amp;st=gc5jxu1c&amp;dl=0" TargetMode="External"/><Relationship Id="rId305" Type="http://schemas.openxmlformats.org/officeDocument/2006/relationships/hyperlink" Target="https://www.dropbox.com/scl/fi/sm2pfpkqgaqboawhgdlli/main-14.png?rlkey=cmtgjxnw7zzo8u4gw8ix90quo&amp;st=ib8i549u&amp;dl=0" TargetMode="External"/><Relationship Id="rId304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303" Type="http://schemas.openxmlformats.org/officeDocument/2006/relationships/hyperlink" Target="https://www.dropbox.com/scl/fi/sm2pfpkqgaqboawhgdlli/main-14.png?rlkey=cmtgjxnw7zzo8u4gw8ix90quo&amp;st=ib8i549u&amp;dl=0" TargetMode="External"/><Relationship Id="rId302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309" Type="http://schemas.openxmlformats.org/officeDocument/2006/relationships/hyperlink" Target="https://www.dropbox.com/scl/fi/sm2pfpkqgaqboawhgdlli/main-14.png?rlkey=cmtgjxnw7zzo8u4gw8ix90quo&amp;st=ib8i549u&amp;dl=0" TargetMode="External"/><Relationship Id="rId308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307" Type="http://schemas.openxmlformats.org/officeDocument/2006/relationships/hyperlink" Target="https://www.dropbox.com/scl/fi/sm2pfpkqgaqboawhgdlli/main-14.png?rlkey=cmtgjxnw7zzo8u4gw8ix90quo&amp;st=ib8i549u&amp;dl=0" TargetMode="External"/><Relationship Id="rId306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301" Type="http://schemas.openxmlformats.org/officeDocument/2006/relationships/hyperlink" Target="https://www.dropbox.com/scl/fi/sm2pfpkqgaqboawhgdlli/main-14.png?rlkey=cmtgjxnw7zzo8u4gw8ix90quo&amp;st=ib8i549u&amp;dl=0" TargetMode="External"/><Relationship Id="rId300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327" Type="http://schemas.openxmlformats.org/officeDocument/2006/relationships/hyperlink" Target="https://www.dropbox.com/scl/fi/ogkf7pbsyctdfh7zh4b1t/Kurt-Photo-square.jpg?rlkey=yy95ko96xudg8nobnvq07tq77&amp;st=aylv77k6&amp;dl=0" TargetMode="External"/><Relationship Id="rId326" Type="http://schemas.openxmlformats.org/officeDocument/2006/relationships/hyperlink" Target="https://www.dropbox.com/scl/fi/hjv93g4f9t0m2wchg1mp8/callumdocker1_250980835427060_6415871115618417738_Future-Realty-SA-logo-dark.png?rlkey=eczf1gyta780u4nsv4dd2r3c9&amp;st=4vqlqwle&amp;dl=0" TargetMode="External"/><Relationship Id="rId325" Type="http://schemas.openxmlformats.org/officeDocument/2006/relationships/hyperlink" Target="https://www.dropbox.com/scl/fi/ogkf7pbsyctdfh7zh4b1t/Kurt-Photo-square.jpg?rlkey=yy95ko96xudg8nobnvq07tq77&amp;st=aylv77k6&amp;dl=0" TargetMode="External"/><Relationship Id="rId324" Type="http://schemas.openxmlformats.org/officeDocument/2006/relationships/hyperlink" Target="https://www.dropbox.com/scl/fi/hjv93g4f9t0m2wchg1mp8/callumdocker1_250980835427060_6415871115618417738_Future-Realty-SA-logo-dark.png?rlkey=eczf1gyta780u4nsv4dd2r3c9&amp;st=4vqlqwle&amp;dl=0" TargetMode="External"/><Relationship Id="rId329" Type="http://schemas.openxmlformats.org/officeDocument/2006/relationships/hyperlink" Target="https://www.dropbox.com/scl/fi/ogkf7pbsyctdfh7zh4b1t/Kurt-Photo-square.jpg?rlkey=yy95ko96xudg8nobnvq07tq77&amp;st=aylv77k6&amp;dl=0" TargetMode="External"/><Relationship Id="rId328" Type="http://schemas.openxmlformats.org/officeDocument/2006/relationships/hyperlink" Target="https://www.dropbox.com/scl/fi/hjv93g4f9t0m2wchg1mp8/callumdocker1_250980835427060_6415871115618417738_Future-Realty-SA-logo-dark.png?rlkey=eczf1gyta780u4nsv4dd2r3c9&amp;st=4vqlqwle&amp;dl=0" TargetMode="External"/><Relationship Id="rId323" Type="http://schemas.openxmlformats.org/officeDocument/2006/relationships/hyperlink" Target="https://www.dropbox.com/scl/fi/ogkf7pbsyctdfh7zh4b1t/Kurt-Photo-square.jpg?rlkey=yy95ko96xudg8nobnvq07tq77&amp;st=aylv77k6&amp;dl=0" TargetMode="External"/><Relationship Id="rId322" Type="http://schemas.openxmlformats.org/officeDocument/2006/relationships/hyperlink" Target="https://www.dropbox.com/scl/fi/hjv93g4f9t0m2wchg1mp8/callumdocker1_250980835427060_6415871115618417738_Future-Realty-SA-logo-dark.png?rlkey=eczf1gyta780u4nsv4dd2r3c9&amp;st=4vqlqwle&amp;dl=0" TargetMode="External"/><Relationship Id="rId321" Type="http://schemas.openxmlformats.org/officeDocument/2006/relationships/hyperlink" Target="https://www.dropbox.com/scl/fi/ogkf7pbsyctdfh7zh4b1t/Kurt-Photo-square.jpg?rlkey=yy95ko96xudg8nobnvq07tq77&amp;st=aylv77k6&amp;dl=0" TargetMode="External"/><Relationship Id="rId320" Type="http://schemas.openxmlformats.org/officeDocument/2006/relationships/hyperlink" Target="https://www.dropbox.com/scl/fi/wi5rzfvaanc3pizakca2i/BNEW-Real-Property-Logo.jpg?rlkey=6ngm729je3an1t1s987s7nt0n&amp;st=hf54fs57&amp;dl=0" TargetMode="External"/><Relationship Id="rId316" Type="http://schemas.openxmlformats.org/officeDocument/2006/relationships/hyperlink" Target="https://www.dropbox.com/scl/fi/wi5rzfvaanc3pizakca2i/BNEW-Real-Property-Logo.jpg?rlkey=6ngm729je3an1t1s987s7nt0n&amp;st=hf54fs57&amp;dl=0" TargetMode="External"/><Relationship Id="rId315" Type="http://schemas.openxmlformats.org/officeDocument/2006/relationships/hyperlink" Target="https://www.dropbox.com/scl/fi/r6z3e6fzlx9uwjnldpi7e/New-Photo-Ascot-Vale-2.jpg?rlkey=3u2algefthumb3ikjmtya8sc8&amp;st=adcanwbs&amp;dl=0" TargetMode="External"/><Relationship Id="rId314" Type="http://schemas.openxmlformats.org/officeDocument/2006/relationships/hyperlink" Target="https://www.dropbox.com/scl/fi/wi5rzfvaanc3pizakca2i/BNEW-Real-Property-Logo.jpg?rlkey=6ngm729je3an1t1s987s7nt0n&amp;st=hf54fs57&amp;dl=0" TargetMode="External"/><Relationship Id="rId313" Type="http://schemas.openxmlformats.org/officeDocument/2006/relationships/hyperlink" Target="https://www.dropbox.com/scl/fi/r6z3e6fzlx9uwjnldpi7e/New-Photo-Ascot-Vale-2.jpg?rlkey=3u2algefthumb3ikjmtya8sc8&amp;st=adcanwbs&amp;dl=0" TargetMode="External"/><Relationship Id="rId319" Type="http://schemas.openxmlformats.org/officeDocument/2006/relationships/hyperlink" Target="https://www.dropbox.com/scl/fi/r6z3e6fzlx9uwjnldpi7e/New-Photo-Ascot-Vale-2.jpg?rlkey=3u2algefthumb3ikjmtya8sc8&amp;st=adcanwbs&amp;dl=0" TargetMode="External"/><Relationship Id="rId318" Type="http://schemas.openxmlformats.org/officeDocument/2006/relationships/hyperlink" Target="https://www.dropbox.com/scl/fi/wi5rzfvaanc3pizakca2i/BNEW-Real-Property-Logo.jpg?rlkey=6ngm729je3an1t1s987s7nt0n&amp;st=hf54fs57&amp;dl=0" TargetMode="External"/><Relationship Id="rId317" Type="http://schemas.openxmlformats.org/officeDocument/2006/relationships/hyperlink" Target="https://www.dropbox.com/scl/fi/r6z3e6fzlx9uwjnldpi7e/New-Photo-Ascot-Vale-2.jpg?rlkey=3u2algefthumb3ikjmtya8sc8&amp;st=adcanwbs&amp;dl=0" TargetMode="External"/><Relationship Id="rId312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311" Type="http://schemas.openxmlformats.org/officeDocument/2006/relationships/hyperlink" Target="https://www.dropbox.com/scl/fi/sm2pfpkqgaqboawhgdlli/main-14.png?rlkey=cmtgjxnw7zzo8u4gw8ix90quo&amp;st=ib8i549u&amp;dl=0" TargetMode="External"/><Relationship Id="rId310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297" Type="http://schemas.openxmlformats.org/officeDocument/2006/relationships/hyperlink" Target="https://www.dropbox.com/scl/fi/sm2pfpkqgaqboawhgdlli/main-14.png?rlkey=cmtgjxnw7zzo8u4gw8ix90quo&amp;st=ib8i549u&amp;dl=0" TargetMode="External"/><Relationship Id="rId296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295" Type="http://schemas.openxmlformats.org/officeDocument/2006/relationships/hyperlink" Target="https://www.dropbox.com/scl/fi/sm2pfpkqgaqboawhgdlli/main-14.png?rlkey=cmtgjxnw7zzo8u4gw8ix90quo&amp;st=ib8i549u&amp;dl=0" TargetMode="External"/><Relationship Id="rId294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299" Type="http://schemas.openxmlformats.org/officeDocument/2006/relationships/hyperlink" Target="https://www.dropbox.com/scl/fi/sm2pfpkqgaqboawhgdlli/main-14.png?rlkey=cmtgjxnw7zzo8u4gw8ix90quo&amp;st=ib8i549u&amp;dl=0" TargetMode="External"/><Relationship Id="rId298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271" Type="http://schemas.openxmlformats.org/officeDocument/2006/relationships/hyperlink" Target="https://www.dropbox.com/scl/fi/fkbqm2gao3p7fzptop1ra/Profile-pic.jpg?rlkey=gizf5yy93et5pumrlgti2eo2d&amp;st=vu0necoe&amp;dl=0" TargetMode="External"/><Relationship Id="rId270" Type="http://schemas.openxmlformats.org/officeDocument/2006/relationships/hyperlink" Target="https://www.dropbox.com/scl/fi/9e1s0umu80lk7iut19rq6/Landscape-Logo_ReversedOnNavy_LoRes.jpg?rlkey=guoghj69afxze3vff8ll8x3y6&amp;st=oqrpm6wu&amp;dl=0" TargetMode="External"/><Relationship Id="rId269" Type="http://schemas.openxmlformats.org/officeDocument/2006/relationships/hyperlink" Target="https://www.dropbox.com/scl/fi/fkbqm2gao3p7fzptop1ra/Profile-pic.jpg?rlkey=gizf5yy93et5pumrlgti2eo2d&amp;st=vu0necoe&amp;dl=0" TargetMode="External"/><Relationship Id="rId264" Type="http://schemas.openxmlformats.org/officeDocument/2006/relationships/hyperlink" Target="https://www.dropbox.com/scl/fi/dxpgxkhimmzu3zkowq1ot/McGrath_Logo_Black-1.png?rlkey=3dugeaua7u8fpmh253tub406a&amp;st=pbx7eh9u&amp;dl=0" TargetMode="External"/><Relationship Id="rId263" Type="http://schemas.openxmlformats.org/officeDocument/2006/relationships/hyperlink" Target="https://www.dropbox.com/scl/fi/ysrebiftuehtm6mwfkrg8/McGrath-Staff-Photos-259.jpg?rlkey=5m7fevbxtwo9nvnt2g8a90l6j&amp;st=19xgql2r&amp;dl=0" TargetMode="External"/><Relationship Id="rId262" Type="http://schemas.openxmlformats.org/officeDocument/2006/relationships/hyperlink" Target="https://www.dropbox.com/scl/fi/dxpgxkhimmzu3zkowq1ot/McGrath_Logo_Black-1.png?rlkey=3dugeaua7u8fpmh253tub406a&amp;st=pbx7eh9u&amp;dl=0" TargetMode="External"/><Relationship Id="rId261" Type="http://schemas.openxmlformats.org/officeDocument/2006/relationships/hyperlink" Target="https://www.dropbox.com/scl/fi/ysrebiftuehtm6mwfkrg8/McGrath-Staff-Photos-259.jpg?rlkey=5m7fevbxtwo9nvnt2g8a90l6j&amp;st=19xgql2r&amp;dl=0" TargetMode="External"/><Relationship Id="rId268" Type="http://schemas.openxmlformats.org/officeDocument/2006/relationships/hyperlink" Target="https://www.dropbox.com/scl/fi/dxpgxkhimmzu3zkowq1ot/McGrath_Logo_Black-1.png?rlkey=3dugeaua7u8fpmh253tub406a&amp;st=pbx7eh9u&amp;dl=0" TargetMode="External"/><Relationship Id="rId267" Type="http://schemas.openxmlformats.org/officeDocument/2006/relationships/hyperlink" Target="https://www.dropbox.com/scl/fi/ysrebiftuehtm6mwfkrg8/McGrath-Staff-Photos-259.jpg?rlkey=5m7fevbxtwo9nvnt2g8a90l6j&amp;st=19xgql2r&amp;dl=0" TargetMode="External"/><Relationship Id="rId266" Type="http://schemas.openxmlformats.org/officeDocument/2006/relationships/hyperlink" Target="https://www.dropbox.com/scl/fi/dxpgxkhimmzu3zkowq1ot/McGrath_Logo_Black-1.png?rlkey=3dugeaua7u8fpmh253tub406a&amp;st=pbx7eh9u&amp;dl=0" TargetMode="External"/><Relationship Id="rId265" Type="http://schemas.openxmlformats.org/officeDocument/2006/relationships/hyperlink" Target="https://www.dropbox.com/scl/fi/ysrebiftuehtm6mwfkrg8/McGrath-Staff-Photos-259.jpg?rlkey=5m7fevbxtwo9nvnt2g8a90l6j&amp;st=19xgql2r&amp;dl=0" TargetMode="External"/><Relationship Id="rId260" Type="http://schemas.openxmlformats.org/officeDocument/2006/relationships/hyperlink" Target="https://www.dropbox.com/scl/fi/dxpgxkhimmzu3zkowq1ot/McGrath_Logo_Black-1.png?rlkey=3dugeaua7u8fpmh253tub406a&amp;st=pbx7eh9u&amp;dl=0" TargetMode="External"/><Relationship Id="rId259" Type="http://schemas.openxmlformats.org/officeDocument/2006/relationships/hyperlink" Target="https://www.dropbox.com/scl/fi/ysrebiftuehtm6mwfkrg8/McGrath-Staff-Photos-259.jpg?rlkey=5m7fevbxtwo9nvnt2g8a90l6j&amp;st=19xgql2r&amp;dl=0" TargetMode="External"/><Relationship Id="rId258" Type="http://schemas.openxmlformats.org/officeDocument/2006/relationships/hyperlink" Target="https://www.dropbox.com/scl/fi/dxpgxkhimmzu3zkowq1ot/McGrath_Logo_Black-1.png?rlkey=3dugeaua7u8fpmh253tub406a&amp;st=pbx7eh9u&amp;dl=0" TargetMode="External"/><Relationship Id="rId253" Type="http://schemas.openxmlformats.org/officeDocument/2006/relationships/hyperlink" Target="https://www.dropbox.com/scl/fi/ysrebiftuehtm6mwfkrg8/McGrath-Staff-Photos-259.jpg?rlkey=5m7fevbxtwo9nvnt2g8a90l6j&amp;st=19xgql2r&amp;dl=0" TargetMode="External"/><Relationship Id="rId252" Type="http://schemas.openxmlformats.org/officeDocument/2006/relationships/hyperlink" Target="https://www.dropbox.com/scl/fi/dxpgxkhimmzu3zkowq1ot/McGrath_Logo_Black-1.png?rlkey=3dugeaua7u8fpmh253tub406a&amp;st=pbx7eh9u&amp;dl=0" TargetMode="External"/><Relationship Id="rId251" Type="http://schemas.openxmlformats.org/officeDocument/2006/relationships/hyperlink" Target="https://www.dropbox.com/scl/fi/ysrebiftuehtm6mwfkrg8/McGrath-Staff-Photos-259.jpg?rlkey=5m7fevbxtwo9nvnt2g8a90l6j&amp;st=19xgql2r&amp;dl=0" TargetMode="External"/><Relationship Id="rId250" Type="http://schemas.openxmlformats.org/officeDocument/2006/relationships/hyperlink" Target="https://www.dropbox.com/scl/fi/dxpgxkhimmzu3zkowq1ot/McGrath_Logo_Black-1.png?rlkey=3dugeaua7u8fpmh253tub406a&amp;st=pbx7eh9u&amp;dl=0" TargetMode="External"/><Relationship Id="rId257" Type="http://schemas.openxmlformats.org/officeDocument/2006/relationships/hyperlink" Target="https://www.dropbox.com/scl/fi/ysrebiftuehtm6mwfkrg8/McGrath-Staff-Photos-259.jpg?rlkey=5m7fevbxtwo9nvnt2g8a90l6j&amp;st=19xgql2r&amp;dl=0" TargetMode="External"/><Relationship Id="rId256" Type="http://schemas.openxmlformats.org/officeDocument/2006/relationships/hyperlink" Target="https://www.dropbox.com/scl/fi/dxpgxkhimmzu3zkowq1ot/McGrath_Logo_Black-1.png?rlkey=3dugeaua7u8fpmh253tub406a&amp;st=pbx7eh9u&amp;dl=0" TargetMode="External"/><Relationship Id="rId255" Type="http://schemas.openxmlformats.org/officeDocument/2006/relationships/hyperlink" Target="https://www.dropbox.com/scl/fi/ysrebiftuehtm6mwfkrg8/McGrath-Staff-Photos-259.jpg?rlkey=5m7fevbxtwo9nvnt2g8a90l6j&amp;st=19xgql2r&amp;dl=0" TargetMode="External"/><Relationship Id="rId254" Type="http://schemas.openxmlformats.org/officeDocument/2006/relationships/hyperlink" Target="https://www.dropbox.com/scl/fi/dxpgxkhimmzu3zkowq1ot/McGrath_Logo_Black-1.png?rlkey=3dugeaua7u8fpmh253tub406a&amp;st=pbx7eh9u&amp;dl=0" TargetMode="External"/><Relationship Id="rId293" Type="http://schemas.openxmlformats.org/officeDocument/2006/relationships/hyperlink" Target="https://www.dropbox.com/scl/fi/sm2pfpkqgaqboawhgdlli/main-14.png?rlkey=cmtgjxnw7zzo8u4gw8ix90quo&amp;st=ib8i549u&amp;dl=0" TargetMode="External"/><Relationship Id="rId292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291" Type="http://schemas.openxmlformats.org/officeDocument/2006/relationships/hyperlink" Target="https://www.dropbox.com/scl/fi/sm2pfpkqgaqboawhgdlli/main-14.png?rlkey=cmtgjxnw7zzo8u4gw8ix90quo&amp;st=ib8i549u&amp;dl=0" TargetMode="External"/><Relationship Id="rId290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286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285" Type="http://schemas.openxmlformats.org/officeDocument/2006/relationships/hyperlink" Target="https://www.dropbox.com/scl/fi/sm2pfpkqgaqboawhgdlli/main-14.png?rlkey=cmtgjxnw7zzo8u4gw8ix90quo&amp;st=ib8i549u&amp;dl=0" TargetMode="External"/><Relationship Id="rId284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283" Type="http://schemas.openxmlformats.org/officeDocument/2006/relationships/hyperlink" Target="https://www.dropbox.com/scl/fi/sm2pfpkqgaqboawhgdlli/main-14.png?rlkey=cmtgjxnw7zzo8u4gw8ix90quo&amp;st=ib8i549u&amp;dl=0" TargetMode="External"/><Relationship Id="rId289" Type="http://schemas.openxmlformats.org/officeDocument/2006/relationships/hyperlink" Target="https://www.dropbox.com/scl/fi/sm2pfpkqgaqboawhgdlli/main-14.png?rlkey=cmtgjxnw7zzo8u4gw8ix90quo&amp;st=ib8i549u&amp;dl=0" TargetMode="External"/><Relationship Id="rId288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287" Type="http://schemas.openxmlformats.org/officeDocument/2006/relationships/hyperlink" Target="https://www.dropbox.com/scl/fi/sm2pfpkqgaqboawhgdlli/main-14.png?rlkey=cmtgjxnw7zzo8u4gw8ix90quo&amp;st=ib8i549u&amp;dl=0" TargetMode="External"/><Relationship Id="rId282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281" Type="http://schemas.openxmlformats.org/officeDocument/2006/relationships/hyperlink" Target="https://www.dropbox.com/scl/fi/sm2pfpkqgaqboawhgdlli/main-14.png?rlkey=cmtgjxnw7zzo8u4gw8ix90quo&amp;st=ib8i549u&amp;dl=0" TargetMode="External"/><Relationship Id="rId280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275" Type="http://schemas.openxmlformats.org/officeDocument/2006/relationships/hyperlink" Target="https://www.dropbox.com/scl/fi/fkbqm2gao3p7fzptop1ra/Profile-pic.jpg?rlkey=gizf5yy93et5pumrlgti2eo2d&amp;st=vu0necoe&amp;dl=0" TargetMode="External"/><Relationship Id="rId274" Type="http://schemas.openxmlformats.org/officeDocument/2006/relationships/hyperlink" Target="https://www.dropbox.com/scl/fi/9e1s0umu80lk7iut19rq6/Landscape-Logo_ReversedOnNavy_LoRes.jpg?rlkey=guoghj69afxze3vff8ll8x3y6&amp;st=oqrpm6wu&amp;dl=0" TargetMode="External"/><Relationship Id="rId273" Type="http://schemas.openxmlformats.org/officeDocument/2006/relationships/hyperlink" Target="https://www.dropbox.com/scl/fi/fkbqm2gao3p7fzptop1ra/Profile-pic.jpg?rlkey=gizf5yy93et5pumrlgti2eo2d&amp;st=vu0necoe&amp;dl=0" TargetMode="External"/><Relationship Id="rId272" Type="http://schemas.openxmlformats.org/officeDocument/2006/relationships/hyperlink" Target="https://www.dropbox.com/scl/fi/9e1s0umu80lk7iut19rq6/Landscape-Logo_ReversedOnNavy_LoRes.jpg?rlkey=guoghj69afxze3vff8ll8x3y6&amp;st=oqrpm6wu&amp;dl=0" TargetMode="External"/><Relationship Id="rId279" Type="http://schemas.openxmlformats.org/officeDocument/2006/relationships/hyperlink" Target="https://www.dropbox.com/scl/fi/sm2pfpkqgaqboawhgdlli/main-14.png?rlkey=cmtgjxnw7zzo8u4gw8ix90quo&amp;st=ib8i549u&amp;dl=0" TargetMode="External"/><Relationship Id="rId278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277" Type="http://schemas.openxmlformats.org/officeDocument/2006/relationships/hyperlink" Target="https://www.dropbox.com/scl/fi/sm2pfpkqgaqboawhgdlli/main-14.png?rlkey=cmtgjxnw7zzo8u4gw8ix90quo&amp;st=ib8i549u&amp;dl=0" TargetMode="External"/><Relationship Id="rId276" Type="http://schemas.openxmlformats.org/officeDocument/2006/relationships/hyperlink" Target="https://www.dropbox.com/scl/fi/9e1s0umu80lk7iut19rq6/Landscape-Logo_ReversedOnNavy_LoRes.jpg?rlkey=guoghj69afxze3vff8ll8x3y6&amp;st=oqrpm6wu&amp;dl=0" TargetMode="External"/><Relationship Id="rId228" Type="http://schemas.openxmlformats.org/officeDocument/2006/relationships/hyperlink" Target="https://www.dropbox.com/scl/fi/0k25lr05ae7i580am0fc8/One-Stop-Property-Icon.png?rlkey=5ixkchr2w4rih139kb62b6zgi&amp;st=b1fp0q4l&amp;dl=0" TargetMode="External"/><Relationship Id="rId227" Type="http://schemas.openxmlformats.org/officeDocument/2006/relationships/hyperlink" Target="https://www.dropbox.com/scl/fi/rxt524bg7snt06impyzh7/Sam-Prolist.png?rlkey=koved83cqfvnr8l7cw62pcb4x&amp;st=ez5qo44o&amp;dl=0" TargetMode="External"/><Relationship Id="rId226" Type="http://schemas.openxmlformats.org/officeDocument/2006/relationships/hyperlink" Target="https://www.dropbox.com/scl/fi/0k25lr05ae7i580am0fc8/One-Stop-Property-Icon.png?rlkey=5ixkchr2w4rih139kb62b6zgi&amp;st=b1fp0q4l&amp;dl=0" TargetMode="External"/><Relationship Id="rId225" Type="http://schemas.openxmlformats.org/officeDocument/2006/relationships/hyperlink" Target="https://www.dropbox.com/scl/fi/rxt524bg7snt06impyzh7/Sam-Prolist.png?rlkey=koved83cqfvnr8l7cw62pcb4x&amp;st=ez5qo44o&amp;dl=0" TargetMode="External"/><Relationship Id="rId229" Type="http://schemas.openxmlformats.org/officeDocument/2006/relationships/hyperlink" Target="https://www.dropbox.com/scl/fi/rxt524bg7snt06impyzh7/Sam-Prolist.png?rlkey=koved83cqfvnr8l7cw62pcb4x&amp;st=ez5qo44o&amp;dl=0" TargetMode="External"/><Relationship Id="rId220" Type="http://schemas.openxmlformats.org/officeDocument/2006/relationships/hyperlink" Target="https://www.dropbox.com/scl/fi/0k25lr05ae7i580am0fc8/One-Stop-Property-Icon.png?rlkey=5ixkchr2w4rih139kb62b6zgi&amp;st=b1fp0q4l&amp;dl=0" TargetMode="External"/><Relationship Id="rId224" Type="http://schemas.openxmlformats.org/officeDocument/2006/relationships/hyperlink" Target="https://www.dropbox.com/scl/fi/0k25lr05ae7i580am0fc8/One-Stop-Property-Icon.png?rlkey=5ixkchr2w4rih139kb62b6zgi&amp;st=b1fp0q4l&amp;dl=0" TargetMode="External"/><Relationship Id="rId223" Type="http://schemas.openxmlformats.org/officeDocument/2006/relationships/hyperlink" Target="https://www.dropbox.com/scl/fi/rxt524bg7snt06impyzh7/Sam-Prolist.png?rlkey=koved83cqfvnr8l7cw62pcb4x&amp;st=ez5qo44o&amp;dl=0" TargetMode="External"/><Relationship Id="rId222" Type="http://schemas.openxmlformats.org/officeDocument/2006/relationships/hyperlink" Target="https://www.dropbox.com/scl/fi/0k25lr05ae7i580am0fc8/One-Stop-Property-Icon.png?rlkey=5ixkchr2w4rih139kb62b6zgi&amp;st=b1fp0q4l&amp;dl=0" TargetMode="External"/><Relationship Id="rId221" Type="http://schemas.openxmlformats.org/officeDocument/2006/relationships/hyperlink" Target="https://www.dropbox.com/scl/fi/rxt524bg7snt06impyzh7/Sam-Prolist.png?rlkey=koved83cqfvnr8l7cw62pcb4x&amp;st=ez5qo44o&amp;dl=0" TargetMode="External"/><Relationship Id="rId217" Type="http://schemas.openxmlformats.org/officeDocument/2006/relationships/hyperlink" Target="https://www.dropbox.com/scl/fi/rxt524bg7snt06impyzh7/Sam-Prolist.png?rlkey=koved83cqfvnr8l7cw62pcb4x&amp;st=ez5qo44o&amp;dl=0" TargetMode="External"/><Relationship Id="rId216" Type="http://schemas.openxmlformats.org/officeDocument/2006/relationships/hyperlink" Target="https://www.dropbox.com/scl/fi/0k25lr05ae7i580am0fc8/One-Stop-Property-Icon.png?rlkey=5ixkchr2w4rih139kb62b6zgi&amp;st=b1fp0q4l&amp;dl=0" TargetMode="External"/><Relationship Id="rId215" Type="http://schemas.openxmlformats.org/officeDocument/2006/relationships/hyperlink" Target="https://www.dropbox.com/scl/fi/rxt524bg7snt06impyzh7/Sam-Prolist.png?rlkey=koved83cqfvnr8l7cw62pcb4x&amp;st=ez5qo44o&amp;dl=0" TargetMode="External"/><Relationship Id="rId214" Type="http://schemas.openxmlformats.org/officeDocument/2006/relationships/hyperlink" Target="https://www.dropbox.com/scl/fi/0k25lr05ae7i580am0fc8/One-Stop-Property-Icon.png?rlkey=5ixkchr2w4rih139kb62b6zgi&amp;st=b1fp0q4l&amp;dl=0" TargetMode="External"/><Relationship Id="rId219" Type="http://schemas.openxmlformats.org/officeDocument/2006/relationships/hyperlink" Target="https://www.dropbox.com/scl/fi/rxt524bg7snt06impyzh7/Sam-Prolist.png?rlkey=koved83cqfvnr8l7cw62pcb4x&amp;st=ez5qo44o&amp;dl=0" TargetMode="External"/><Relationship Id="rId218" Type="http://schemas.openxmlformats.org/officeDocument/2006/relationships/hyperlink" Target="https://www.dropbox.com/scl/fi/0k25lr05ae7i580am0fc8/One-Stop-Property-Icon.png?rlkey=5ixkchr2w4rih139kb62b6zgi&amp;st=b1fp0q4l&amp;dl=0" TargetMode="External"/><Relationship Id="rId213" Type="http://schemas.openxmlformats.org/officeDocument/2006/relationships/hyperlink" Target="https://www.dropbox.com/scl/fi/rxt524bg7snt06impyzh7/Sam-Prolist.png?rlkey=koved83cqfvnr8l7cw62pcb4x&amp;st=ez5qo44o&amp;dl=0" TargetMode="External"/><Relationship Id="rId212" Type="http://schemas.openxmlformats.org/officeDocument/2006/relationships/hyperlink" Target="https://www.dropbox.com/scl/fi/0k25lr05ae7i580am0fc8/One-Stop-Property-Icon.png?rlkey=5ixkchr2w4rih139kb62b6zgi&amp;st=b1fp0q4l&amp;dl=0" TargetMode="External"/><Relationship Id="rId211" Type="http://schemas.openxmlformats.org/officeDocument/2006/relationships/hyperlink" Target="https://www.dropbox.com/scl/fi/rxt524bg7snt06impyzh7/Sam-Prolist.png?rlkey=koved83cqfvnr8l7cw62pcb4x&amp;st=ez5qo44o&amp;dl=0" TargetMode="External"/><Relationship Id="rId210" Type="http://schemas.openxmlformats.org/officeDocument/2006/relationships/hyperlink" Target="https://www.dropbox.com/scl/fi/0k25lr05ae7i580am0fc8/One-Stop-Property-Icon.png?rlkey=5ixkchr2w4rih139kb62b6zgi&amp;st=b1fp0q4l&amp;dl=0" TargetMode="External"/><Relationship Id="rId249" Type="http://schemas.openxmlformats.org/officeDocument/2006/relationships/hyperlink" Target="https://www.dropbox.com/scl/fi/ysrebiftuehtm6mwfkrg8/McGrath-Staff-Photos-259.jpg?rlkey=5m7fevbxtwo9nvnt2g8a90l6j&amp;st=19xgql2r&amp;dl=0" TargetMode="External"/><Relationship Id="rId248" Type="http://schemas.openxmlformats.org/officeDocument/2006/relationships/hyperlink" Target="https://www.dropbox.com/scl/fi/dxpgxkhimmzu3zkowq1ot/McGrath_Logo_Black-1.png?rlkey=3dugeaua7u8fpmh253tub406a&amp;st=pbx7eh9u&amp;dl=0" TargetMode="External"/><Relationship Id="rId247" Type="http://schemas.openxmlformats.org/officeDocument/2006/relationships/hyperlink" Target="https://www.dropbox.com/scl/fi/ysrebiftuehtm6mwfkrg8/McGrath-Staff-Photos-259.jpg?rlkey=5m7fevbxtwo9nvnt2g8a90l6j&amp;st=19xgql2r&amp;dl=0" TargetMode="External"/><Relationship Id="rId242" Type="http://schemas.openxmlformats.org/officeDocument/2006/relationships/hyperlink" Target="https://www.dropbox.com/scl/fi/dxpgxkhimmzu3zkowq1ot/McGrath_Logo_Black-1.png?rlkey=3dugeaua7u8fpmh253tub406a&amp;st=pbx7eh9u&amp;dl=0" TargetMode="External"/><Relationship Id="rId241" Type="http://schemas.openxmlformats.org/officeDocument/2006/relationships/hyperlink" Target="https://www.dropbox.com/scl/fi/ysrebiftuehtm6mwfkrg8/McGrath-Staff-Photos-259.jpg?rlkey=5m7fevbxtwo9nvnt2g8a90l6j&amp;st=19xgql2r&amp;dl=0" TargetMode="External"/><Relationship Id="rId240" Type="http://schemas.openxmlformats.org/officeDocument/2006/relationships/hyperlink" Target="https://www.dropbox.com/scl/fi/0qmpjj45aozgx6af2th8r/Screenshot-2026-02-03-at-4.34.45-PM.png?rlkey=991rlub0nj0ceza4vwzj79gmu&amp;st=xoxh0rz9&amp;dl=0" TargetMode="External"/><Relationship Id="rId246" Type="http://schemas.openxmlformats.org/officeDocument/2006/relationships/hyperlink" Target="https://www.dropbox.com/scl/fi/dxpgxkhimmzu3zkowq1ot/McGrath_Logo_Black-1.png?rlkey=3dugeaua7u8fpmh253tub406a&amp;st=pbx7eh9u&amp;dl=0" TargetMode="External"/><Relationship Id="rId245" Type="http://schemas.openxmlformats.org/officeDocument/2006/relationships/hyperlink" Target="https://www.dropbox.com/scl/fi/ysrebiftuehtm6mwfkrg8/McGrath-Staff-Photos-259.jpg?rlkey=5m7fevbxtwo9nvnt2g8a90l6j&amp;st=19xgql2r&amp;dl=0" TargetMode="External"/><Relationship Id="rId244" Type="http://schemas.openxmlformats.org/officeDocument/2006/relationships/hyperlink" Target="https://www.dropbox.com/scl/fi/dxpgxkhimmzu3zkowq1ot/McGrath_Logo_Black-1.png?rlkey=3dugeaua7u8fpmh253tub406a&amp;st=pbx7eh9u&amp;dl=0" TargetMode="External"/><Relationship Id="rId243" Type="http://schemas.openxmlformats.org/officeDocument/2006/relationships/hyperlink" Target="https://www.dropbox.com/scl/fi/ysrebiftuehtm6mwfkrg8/McGrath-Staff-Photos-259.jpg?rlkey=5m7fevbxtwo9nvnt2g8a90l6j&amp;st=19xgql2r&amp;dl=0" TargetMode="External"/><Relationship Id="rId239" Type="http://schemas.openxmlformats.org/officeDocument/2006/relationships/hyperlink" Target="https://www.dropbox.com/scl/fi/z1vuwv1olwc0wcqwy7unx/IMG_0707.jpeg?rlkey=2ia36kgex899st93i6yo77qhw&amp;st=0hnqowc7&amp;dl=0" TargetMode="External"/><Relationship Id="rId238" Type="http://schemas.openxmlformats.org/officeDocument/2006/relationships/hyperlink" Target="https://www.dropbox.com/scl/fi/0qmpjj45aozgx6af2th8r/Screenshot-2026-02-03-at-4.34.45-PM.png?rlkey=991rlub0nj0ceza4vwzj79gmu&amp;st=xoxh0rz9&amp;dl=0" TargetMode="External"/><Relationship Id="rId237" Type="http://schemas.openxmlformats.org/officeDocument/2006/relationships/hyperlink" Target="https://www.dropbox.com/scl/fi/z1vuwv1olwc0wcqwy7unx/IMG_0707.jpeg?rlkey=2ia36kgex899st93i6yo77qhw&amp;st=0hnqowc7&amp;dl=0" TargetMode="External"/><Relationship Id="rId236" Type="http://schemas.openxmlformats.org/officeDocument/2006/relationships/hyperlink" Target="https://www.dropbox.com/scl/fi/0qmpjj45aozgx6af2th8r/Screenshot-2026-02-03-at-4.34.45-PM.png?rlkey=991rlub0nj0ceza4vwzj79gmu&amp;st=xoxh0rz9&amp;dl=0" TargetMode="External"/><Relationship Id="rId231" Type="http://schemas.openxmlformats.org/officeDocument/2006/relationships/hyperlink" Target="https://www.dropbox.com/scl/fi/z1vuwv1olwc0wcqwy7unx/IMG_0707.jpeg?rlkey=2ia36kgex899st93i6yo77qhw&amp;st=0hnqowc7&amp;dl=0" TargetMode="External"/><Relationship Id="rId230" Type="http://schemas.openxmlformats.org/officeDocument/2006/relationships/hyperlink" Target="https://www.dropbox.com/scl/fi/0k25lr05ae7i580am0fc8/One-Stop-Property-Icon.png?rlkey=5ixkchr2w4rih139kb62b6zgi&amp;st=b1fp0q4l&amp;dl=0" TargetMode="External"/><Relationship Id="rId235" Type="http://schemas.openxmlformats.org/officeDocument/2006/relationships/hyperlink" Target="https://www.dropbox.com/scl/fi/z1vuwv1olwc0wcqwy7unx/IMG_0707.jpeg?rlkey=2ia36kgex899st93i6yo77qhw&amp;st=0hnqowc7&amp;dl=0" TargetMode="External"/><Relationship Id="rId234" Type="http://schemas.openxmlformats.org/officeDocument/2006/relationships/hyperlink" Target="https://www.dropbox.com/scl/fi/0qmpjj45aozgx6af2th8r/Screenshot-2026-02-03-at-4.34.45-PM.png?rlkey=991rlub0nj0ceza4vwzj79gmu&amp;st=xoxh0rz9&amp;dl=0" TargetMode="External"/><Relationship Id="rId233" Type="http://schemas.openxmlformats.org/officeDocument/2006/relationships/hyperlink" Target="https://www.dropbox.com/scl/fi/z1vuwv1olwc0wcqwy7unx/IMG_0707.jpeg?rlkey=2ia36kgex899st93i6yo77qhw&amp;st=0hnqowc7&amp;dl=0" TargetMode="External"/><Relationship Id="rId232" Type="http://schemas.openxmlformats.org/officeDocument/2006/relationships/hyperlink" Target="https://www.dropbox.com/scl/fi/0qmpjj45aozgx6af2th8r/Screenshot-2026-02-03-at-4.34.45-PM.png?rlkey=991rlub0nj0ceza4vwzj79gmu&amp;st=xoxh0rz9&amp;dl=0" TargetMode="External"/><Relationship Id="rId206" Type="http://schemas.openxmlformats.org/officeDocument/2006/relationships/hyperlink" Target="https://www.dropbox.com/scl/fi/0k25lr05ae7i580am0fc8/One-Stop-Property-Icon.png?rlkey=5ixkchr2w4rih139kb62b6zgi&amp;st=b1fp0q4l&amp;dl=0" TargetMode="External"/><Relationship Id="rId205" Type="http://schemas.openxmlformats.org/officeDocument/2006/relationships/hyperlink" Target="https://www.dropbox.com/scl/fi/rxt524bg7snt06impyzh7/Sam-Prolist.png?rlkey=koved83cqfvnr8l7cw62pcb4x&amp;st=ez5qo44o&amp;dl=0" TargetMode="External"/><Relationship Id="rId204" Type="http://schemas.openxmlformats.org/officeDocument/2006/relationships/hyperlink" Target="https://www.dropbox.com/scl/fi/0k25lr05ae7i580am0fc8/One-Stop-Property-Icon.png?rlkey=5ixkchr2w4rih139kb62b6zgi&amp;st=b1fp0q4l&amp;dl=0" TargetMode="External"/><Relationship Id="rId203" Type="http://schemas.openxmlformats.org/officeDocument/2006/relationships/hyperlink" Target="https://www.dropbox.com/scl/fi/rxt524bg7snt06impyzh7/Sam-Prolist.png?rlkey=koved83cqfvnr8l7cw62pcb4x&amp;st=ez5qo44o&amp;dl=0" TargetMode="External"/><Relationship Id="rId209" Type="http://schemas.openxmlformats.org/officeDocument/2006/relationships/hyperlink" Target="https://www.dropbox.com/scl/fi/rxt524bg7snt06impyzh7/Sam-Prolist.png?rlkey=koved83cqfvnr8l7cw62pcb4x&amp;st=ez5qo44o&amp;dl=0" TargetMode="External"/><Relationship Id="rId208" Type="http://schemas.openxmlformats.org/officeDocument/2006/relationships/hyperlink" Target="https://www.dropbox.com/scl/fi/0k25lr05ae7i580am0fc8/One-Stop-Property-Icon.png?rlkey=5ixkchr2w4rih139kb62b6zgi&amp;st=b1fp0q4l&amp;dl=0" TargetMode="External"/><Relationship Id="rId207" Type="http://schemas.openxmlformats.org/officeDocument/2006/relationships/hyperlink" Target="https://www.dropbox.com/scl/fi/rxt524bg7snt06impyzh7/Sam-Prolist.png?rlkey=koved83cqfvnr8l7cw62pcb4x&amp;st=ez5qo44o&amp;dl=0" TargetMode="External"/><Relationship Id="rId202" Type="http://schemas.openxmlformats.org/officeDocument/2006/relationships/hyperlink" Target="https://www.dropbox.com/scl/fi/0k25lr05ae7i580am0fc8/One-Stop-Property-Icon.png?rlkey=5ixkchr2w4rih139kb62b6zgi&amp;st=b1fp0q4l&amp;dl=0" TargetMode="External"/><Relationship Id="rId201" Type="http://schemas.openxmlformats.org/officeDocument/2006/relationships/hyperlink" Target="https://www.dropbox.com/scl/fi/rxt524bg7snt06impyzh7/Sam-Prolist.png?rlkey=koved83cqfvnr8l7cw62pcb4x&amp;st=ez5qo44o&amp;dl=0" TargetMode="External"/><Relationship Id="rId200" Type="http://schemas.openxmlformats.org/officeDocument/2006/relationships/hyperlink" Target="https://www.dropbox.com/scl/fi/0k25lr05ae7i580am0fc8/One-Stop-Property-Icon.png?rlkey=5ixkchr2w4rih139kb62b6zgi&amp;st=b1fp0q4l&amp;dl=0" TargetMode="External"/><Relationship Id="rId190" Type="http://schemas.openxmlformats.org/officeDocument/2006/relationships/hyperlink" Target="https://www.dropbox.com/scl/fi/0k25lr05ae7i580am0fc8/One-Stop-Property-Icon.png?rlkey=5ixkchr2w4rih139kb62b6zgi&amp;st=b1fp0q4l&amp;dl=0" TargetMode="External"/><Relationship Id="rId194" Type="http://schemas.openxmlformats.org/officeDocument/2006/relationships/hyperlink" Target="https://www.dropbox.com/scl/fi/0k25lr05ae7i580am0fc8/One-Stop-Property-Icon.png?rlkey=5ixkchr2w4rih139kb62b6zgi&amp;st=b1fp0q4l&amp;dl=0" TargetMode="External"/><Relationship Id="rId193" Type="http://schemas.openxmlformats.org/officeDocument/2006/relationships/hyperlink" Target="https://www.dropbox.com/scl/fi/rxt524bg7snt06impyzh7/Sam-Prolist.png?rlkey=koved83cqfvnr8l7cw62pcb4x&amp;st=ez5qo44o&amp;dl=0" TargetMode="External"/><Relationship Id="rId192" Type="http://schemas.openxmlformats.org/officeDocument/2006/relationships/hyperlink" Target="https://www.dropbox.com/scl/fi/0k25lr05ae7i580am0fc8/One-Stop-Property-Icon.png?rlkey=5ixkchr2w4rih139kb62b6zgi&amp;st=b1fp0q4l&amp;dl=0" TargetMode="External"/><Relationship Id="rId191" Type="http://schemas.openxmlformats.org/officeDocument/2006/relationships/hyperlink" Target="https://www.dropbox.com/scl/fi/rxt524bg7snt06impyzh7/Sam-Prolist.png?rlkey=koved83cqfvnr8l7cw62pcb4x&amp;st=ez5qo44o&amp;dl=0" TargetMode="External"/><Relationship Id="rId187" Type="http://schemas.openxmlformats.org/officeDocument/2006/relationships/hyperlink" Target="https://www.dropbox.com/scl/fi/1d5dtob178knv8phhkkhq/liam4.jpg?rlkey=n0omry0bq89w52umn6ssjc1xj&amp;st=j3we9y2n&amp;dl=0" TargetMode="External"/><Relationship Id="rId186" Type="http://schemas.openxmlformats.org/officeDocument/2006/relationships/hyperlink" Target="https://www.dropbox.com/scl/fi/z2w0i8ad0b4hk0k4693ls/c5db29ed-b493-4019-b6ab-2b217d3af8f0.jpg?rlkey=4aqvvyzhsu1sa4i217clmxqc2&amp;st=mnetj0mw&amp;dl=0" TargetMode="External"/><Relationship Id="rId185" Type="http://schemas.openxmlformats.org/officeDocument/2006/relationships/hyperlink" Target="https://www.dropbox.com/scl/fi/1d5dtob178knv8phhkkhq/liam4.jpg?rlkey=n0omry0bq89w52umn6ssjc1xj&amp;st=j3we9y2n&amp;dl=0" TargetMode="External"/><Relationship Id="rId184" Type="http://schemas.openxmlformats.org/officeDocument/2006/relationships/hyperlink" Target="https://www.dropbox.com/scl/fi/z2w0i8ad0b4hk0k4693ls/c5db29ed-b493-4019-b6ab-2b217d3af8f0.jpg?rlkey=4aqvvyzhsu1sa4i217clmxqc2&amp;st=mnetj0mw&amp;dl=0" TargetMode="External"/><Relationship Id="rId189" Type="http://schemas.openxmlformats.org/officeDocument/2006/relationships/hyperlink" Target="https://www.dropbox.com/scl/fi/rxt524bg7snt06impyzh7/Sam-Prolist.png?rlkey=koved83cqfvnr8l7cw62pcb4x&amp;st=ez5qo44o&amp;dl=0" TargetMode="External"/><Relationship Id="rId188" Type="http://schemas.openxmlformats.org/officeDocument/2006/relationships/hyperlink" Target="https://www.dropbox.com/scl/fi/z2w0i8ad0b4hk0k4693ls/c5db29ed-b493-4019-b6ab-2b217d3af8f0.jpg?rlkey=4aqvvyzhsu1sa4i217clmxqc2&amp;st=mnetj0mw&amp;dl=0" TargetMode="External"/><Relationship Id="rId183" Type="http://schemas.openxmlformats.org/officeDocument/2006/relationships/hyperlink" Target="https://www.dropbox.com/scl/fi/1d5dtob178knv8phhkkhq/liam4.jpg?rlkey=n0omry0bq89w52umn6ssjc1xj&amp;st=j3we9y2n&amp;dl=0" TargetMode="External"/><Relationship Id="rId182" Type="http://schemas.openxmlformats.org/officeDocument/2006/relationships/hyperlink" Target="https://www.dropbox.com/scl/fi/z2w0i8ad0b4hk0k4693ls/c5db29ed-b493-4019-b6ab-2b217d3af8f0.jpg?rlkey=4aqvvyzhsu1sa4i217clmxqc2&amp;st=mnetj0mw&amp;dl=0" TargetMode="External"/><Relationship Id="rId181" Type="http://schemas.openxmlformats.org/officeDocument/2006/relationships/hyperlink" Target="https://www.dropbox.com/scl/fi/1d5dtob178knv8phhkkhq/liam4.jpg?rlkey=n0omry0bq89w52umn6ssjc1xj&amp;st=j3we9y2n&amp;dl=0" TargetMode="External"/><Relationship Id="rId180" Type="http://schemas.openxmlformats.org/officeDocument/2006/relationships/hyperlink" Target="https://www.dropbox.com/scl/fi/dugjdjt326eqt884llts8/IMG_0541.jpeg?rlkey=o7lutzr541y0jtzqxq93khu5x&amp;st=dslqv7k1&amp;dl=0" TargetMode="External"/><Relationship Id="rId176" Type="http://schemas.openxmlformats.org/officeDocument/2006/relationships/hyperlink" Target="https://www.dropbox.com/scl/fi/dugjdjt326eqt884llts8/IMG_0541.jpeg?rlkey=o7lutzr541y0jtzqxq93khu5x&amp;st=dslqv7k1&amp;dl=0" TargetMode="External"/><Relationship Id="rId175" Type="http://schemas.openxmlformats.org/officeDocument/2006/relationships/hyperlink" Target="https://www.dropbox.com/scl/fi/ll9mmnm3g3c09kzsia3hx/IMG_0540.png?rlkey=56tmpxjyxlb5ami0y9h4lqodj&amp;st=uoolxzvx&amp;dl=0" TargetMode="External"/><Relationship Id="rId174" Type="http://schemas.openxmlformats.org/officeDocument/2006/relationships/hyperlink" Target="https://www.dropbox.com/scl/fi/ux50rk5z6ameniroi2afy/Screenshot-2025-11-04-at-4.26.23-PM.png?rlkey=9yo49a791a4hder8055tx82dx&amp;st=bp0b92ek&amp;dl=0" TargetMode="External"/><Relationship Id="rId173" Type="http://schemas.openxmlformats.org/officeDocument/2006/relationships/hyperlink" Target="https://www.dropbox.com/scl/fi/fk95j3kppsanwwt57hxoc/main-13.jpg?rlkey=n39gt893dcxeirkami8h6xt25&amp;st=z9mnq2u1&amp;dl=0" TargetMode="External"/><Relationship Id="rId179" Type="http://schemas.openxmlformats.org/officeDocument/2006/relationships/hyperlink" Target="https://www.dropbox.com/scl/fi/ll9mmnm3g3c09kzsia3hx/IMG_0540.png?rlkey=56tmpxjyxlb5ami0y9h4lqodj&amp;st=uoolxzvx&amp;dl=0" TargetMode="External"/><Relationship Id="rId178" Type="http://schemas.openxmlformats.org/officeDocument/2006/relationships/hyperlink" Target="https://www.dropbox.com/scl/fi/dugjdjt326eqt884llts8/IMG_0541.jpeg?rlkey=o7lutzr541y0jtzqxq93khu5x&amp;st=dslqv7k1&amp;dl=0" TargetMode="External"/><Relationship Id="rId177" Type="http://schemas.openxmlformats.org/officeDocument/2006/relationships/hyperlink" Target="https://www.dropbox.com/scl/fi/ll9mmnm3g3c09kzsia3hx/IMG_0540.png?rlkey=56tmpxjyxlb5ami0y9h4lqodj&amp;st=uoolxzvx&amp;dl=0" TargetMode="External"/><Relationship Id="rId198" Type="http://schemas.openxmlformats.org/officeDocument/2006/relationships/hyperlink" Target="https://www.dropbox.com/scl/fi/0k25lr05ae7i580am0fc8/One-Stop-Property-Icon.png?rlkey=5ixkchr2w4rih139kb62b6zgi&amp;st=b1fp0q4l&amp;dl=0" TargetMode="External"/><Relationship Id="rId197" Type="http://schemas.openxmlformats.org/officeDocument/2006/relationships/hyperlink" Target="https://www.dropbox.com/scl/fi/rxt524bg7snt06impyzh7/Sam-Prolist.png?rlkey=koved83cqfvnr8l7cw62pcb4x&amp;st=ez5qo44o&amp;dl=0" TargetMode="External"/><Relationship Id="rId196" Type="http://schemas.openxmlformats.org/officeDocument/2006/relationships/hyperlink" Target="https://www.dropbox.com/scl/fi/0k25lr05ae7i580am0fc8/One-Stop-Property-Icon.png?rlkey=5ixkchr2w4rih139kb62b6zgi&amp;st=b1fp0q4l&amp;dl=0" TargetMode="External"/><Relationship Id="rId195" Type="http://schemas.openxmlformats.org/officeDocument/2006/relationships/hyperlink" Target="https://www.dropbox.com/scl/fi/rxt524bg7snt06impyzh7/Sam-Prolist.png?rlkey=koved83cqfvnr8l7cw62pcb4x&amp;st=ez5qo44o&amp;dl=0" TargetMode="External"/><Relationship Id="rId199" Type="http://schemas.openxmlformats.org/officeDocument/2006/relationships/hyperlink" Target="https://www.dropbox.com/scl/fi/rxt524bg7snt06impyzh7/Sam-Prolist.png?rlkey=koved83cqfvnr8l7cw62pcb4x&amp;st=ez5qo44o&amp;dl=0" TargetMode="External"/><Relationship Id="rId150" Type="http://schemas.openxmlformats.org/officeDocument/2006/relationships/hyperlink" Target="https://www.dropbox.com/scl/fi/0jma0s2wt6fpmlzq67jy3/Screenshot-2025-10-18-at-10.39.15-AM.png?rlkey=nkxop5z4f9hrg4aastgz4ij3z&amp;st=7c27dott&amp;dl=0" TargetMode="External"/><Relationship Id="rId149" Type="http://schemas.openxmlformats.org/officeDocument/2006/relationships/hyperlink" Target="https://www.dropbox.com/scl/fi/ovr5v9aa7vuaxu85toivh/main-8.jpg?rlkey=f955z5bf62rrz3144p0m0zkv0&amp;st=gmn2tht4&amp;dl=0" TargetMode="External"/><Relationship Id="rId148" Type="http://schemas.openxmlformats.org/officeDocument/2006/relationships/hyperlink" Target="https://www.dropbox.com/scl/fi/0jma0s2wt6fpmlzq67jy3/Screenshot-2025-10-18-at-10.39.15-AM.png?rlkey=nkxop5z4f9hrg4aastgz4ij3z&amp;st=7c27dott&amp;dl=0" TargetMode="External"/><Relationship Id="rId143" Type="http://schemas.openxmlformats.org/officeDocument/2006/relationships/hyperlink" Target="https://www.dropbox.com/scl/fi/silwiqzbv5m8k9u5z1b7v/Michael-Wallace-Headshot-Dark-Background.png?rlkey=8fz60cc9vwjp99kto2uuurnhe&amp;st=q2ojwctz&amp;dl=0" TargetMode="External"/><Relationship Id="rId142" Type="http://schemas.openxmlformats.org/officeDocument/2006/relationships/hyperlink" Target="https://www.dropbox.com/scl/fi/z2w0i8ad0b4hk0k4693ls/c5db29ed-b493-4019-b6ab-2b217d3af8f0.jpg?rlkey=4aqvvyzhsu1sa4i217clmxqc2&amp;st=g5ifdgqo&amp;dl=0" TargetMode="External"/><Relationship Id="rId141" Type="http://schemas.openxmlformats.org/officeDocument/2006/relationships/hyperlink" Target="https://www.dropbox.com/scl/fi/silwiqzbv5m8k9u5z1b7v/Michael-Wallace-Headshot-Dark-Background.png?rlkey=8fz60cc9vwjp99kto2uuurnhe&amp;st=q2ojwctz&amp;dl=0" TargetMode="External"/><Relationship Id="rId140" Type="http://schemas.openxmlformats.org/officeDocument/2006/relationships/hyperlink" Target="https://www.dropbox.com/scl/fi/z2w0i8ad0b4hk0k4693ls/c5db29ed-b493-4019-b6ab-2b217d3af8f0.jpg?rlkey=4aqvvyzhsu1sa4i217clmxqc2&amp;st=g5ifdgqo&amp;dl=0" TargetMode="External"/><Relationship Id="rId147" Type="http://schemas.openxmlformats.org/officeDocument/2006/relationships/hyperlink" Target="https://www.dropbox.com/scl/fi/ovr5v9aa7vuaxu85toivh/main-8.jpg?rlkey=f955z5bf62rrz3144p0m0zkv0&amp;st=gmn2tht4&amp;dl=0" TargetMode="External"/><Relationship Id="rId146" Type="http://schemas.openxmlformats.org/officeDocument/2006/relationships/hyperlink" Target="https://www.dropbox.com/scl/fi/0jma0s2wt6fpmlzq67jy3/Screenshot-2025-10-18-at-10.39.15-AM.png?rlkey=nkxop5z4f9hrg4aastgz4ij3z&amp;st=7c27dott&amp;dl=0" TargetMode="External"/><Relationship Id="rId145" Type="http://schemas.openxmlformats.org/officeDocument/2006/relationships/hyperlink" Target="https://www.dropbox.com/scl/fi/ovr5v9aa7vuaxu85toivh/main-8.jpg?rlkey=f955z5bf62rrz3144p0m0zkv0&amp;st=gmn2tht4&amp;dl=0" TargetMode="External"/><Relationship Id="rId144" Type="http://schemas.openxmlformats.org/officeDocument/2006/relationships/hyperlink" Target="https://www.dropbox.com/scl/fi/z2w0i8ad0b4hk0k4693ls/c5db29ed-b493-4019-b6ab-2b217d3af8f0.jpg?rlkey=4aqvvyzhsu1sa4i217clmxqc2&amp;st=g5ifdgqo&amp;dl=0" TargetMode="External"/><Relationship Id="rId139" Type="http://schemas.openxmlformats.org/officeDocument/2006/relationships/hyperlink" Target="https://www.dropbox.com/scl/fi/silwiqzbv5m8k9u5z1b7v/Michael-Wallace-Headshot-Dark-Background.png?rlkey=8fz60cc9vwjp99kto2uuurnhe&amp;st=q2ojwctz&amp;dl=0" TargetMode="External"/><Relationship Id="rId138" Type="http://schemas.openxmlformats.org/officeDocument/2006/relationships/hyperlink" Target="https://www.dropbox.com/scl/fi/z2w0i8ad0b4hk0k4693ls/c5db29ed-b493-4019-b6ab-2b217d3af8f0.jpg?rlkey=4aqvvyzhsu1sa4i217clmxqc2&amp;st=g5ifdgqo&amp;dl=0" TargetMode="External"/><Relationship Id="rId137" Type="http://schemas.openxmlformats.org/officeDocument/2006/relationships/hyperlink" Target="https://www.dropbox.com/scl/fi/silwiqzbv5m8k9u5z1b7v/Michael-Wallace-Headshot-Dark-Background.png?rlkey=8fz60cc9vwjp99kto2uuurnhe&amp;st=q2ojwctz&amp;dl=0" TargetMode="External"/><Relationship Id="rId132" Type="http://schemas.openxmlformats.org/officeDocument/2006/relationships/hyperlink" Target="https://www.dropbox.com/scl/fi/6qgygtcumcqzyd4ylwqwn/Screenshot-2025-11-07-233230.jpg?rlkey=qpwbik7eqg4lr8bc13ibxotxt&amp;st=a80ad90n&amp;dl=0" TargetMode="External"/><Relationship Id="rId131" Type="http://schemas.openxmlformats.org/officeDocument/2006/relationships/hyperlink" Target="https://www.dropbox.com/scl/fi/jrkxgtkua5a9oz1gwpicn/main-1.jpg?rlkey=cun2w4b98c0bvrw2djvgjsvsu&amp;st=299mfoal&amp;dl=0" TargetMode="External"/><Relationship Id="rId130" Type="http://schemas.openxmlformats.org/officeDocument/2006/relationships/hyperlink" Target="https://www.dropbox.com/scl/fi/6qgygtcumcqzyd4ylwqwn/Screenshot-2025-11-07-233230.jpg?rlkey=qpwbik7eqg4lr8bc13ibxotxt&amp;st=a80ad90n&amp;dl=0" TargetMode="External"/><Relationship Id="rId136" Type="http://schemas.openxmlformats.org/officeDocument/2006/relationships/hyperlink" Target="https://www.dropbox.com/scl/fi/z2w0i8ad0b4hk0k4693ls/c5db29ed-b493-4019-b6ab-2b217d3af8f0.jpg?rlkey=4aqvvyzhsu1sa4i217clmxqc2&amp;st=g5ifdgqo&amp;dl=0" TargetMode="External"/><Relationship Id="rId135" Type="http://schemas.openxmlformats.org/officeDocument/2006/relationships/hyperlink" Target="https://www.dropbox.com/scl/fi/silwiqzbv5m8k9u5z1b7v/Michael-Wallace-Headshot-Dark-Background.png?rlkey=8fz60cc9vwjp99kto2uuurnhe&amp;st=q2ojwctz&amp;dl=0" TargetMode="External"/><Relationship Id="rId134" Type="http://schemas.openxmlformats.org/officeDocument/2006/relationships/hyperlink" Target="https://www.dropbox.com/scl/fi/6qgygtcumcqzyd4ylwqwn/Screenshot-2025-11-07-233230.jpg?rlkey=qpwbik7eqg4lr8bc13ibxotxt&amp;st=a80ad90n&amp;dl=0" TargetMode="External"/><Relationship Id="rId133" Type="http://schemas.openxmlformats.org/officeDocument/2006/relationships/hyperlink" Target="https://www.dropbox.com/scl/fi/jrkxgtkua5a9oz1gwpicn/main-1.jpg?rlkey=cun2w4b98c0bvrw2djvgjsvsu&amp;st=299mfoal&amp;dl=0" TargetMode="External"/><Relationship Id="rId172" Type="http://schemas.openxmlformats.org/officeDocument/2006/relationships/hyperlink" Target="https://www.dropbox.com/scl/fi/ux50rk5z6ameniroi2afy/Screenshot-2025-11-04-at-4.26.23-PM.png?rlkey=9yo49a791a4hder8055tx82dx&amp;st=bp0b92ek&amp;dl=0" TargetMode="External"/><Relationship Id="rId171" Type="http://schemas.openxmlformats.org/officeDocument/2006/relationships/hyperlink" Target="https://www.dropbox.com/scl/fi/fk95j3kppsanwwt57hxoc/main-13.jpg?rlkey=n39gt893dcxeirkami8h6xt25&amp;st=z9mnq2u1&amp;dl=0" TargetMode="External"/><Relationship Id="rId170" Type="http://schemas.openxmlformats.org/officeDocument/2006/relationships/hyperlink" Target="https://www.dropbox.com/scl/fi/ux50rk5z6ameniroi2afy/Screenshot-2025-11-04-at-4.26.23-PM.png?rlkey=9yo49a791a4hder8055tx82dx&amp;st=bp0b92ek&amp;dl=0" TargetMode="External"/><Relationship Id="rId165" Type="http://schemas.openxmlformats.org/officeDocument/2006/relationships/hyperlink" Target="https://www.dropbox.com/scl/fi/ovr5v9aa7vuaxu85toivh/main-8.jpg?rlkey=f955z5bf62rrz3144p0m0zkv0&amp;st=gmn2tht4&amp;dl=0" TargetMode="External"/><Relationship Id="rId164" Type="http://schemas.openxmlformats.org/officeDocument/2006/relationships/hyperlink" Target="https://www.dropbox.com/scl/fi/0jma0s2wt6fpmlzq67jy3/Screenshot-2025-10-18-at-10.39.15-AM.png?rlkey=nkxop5z4f9hrg4aastgz4ij3z&amp;st=7c27dott&amp;dl=0" TargetMode="External"/><Relationship Id="rId163" Type="http://schemas.openxmlformats.org/officeDocument/2006/relationships/hyperlink" Target="https://www.dropbox.com/scl/fi/ovr5v9aa7vuaxu85toivh/main-8.jpg?rlkey=f955z5bf62rrz3144p0m0zkv0&amp;st=gmn2tht4&amp;dl=0" TargetMode="External"/><Relationship Id="rId162" Type="http://schemas.openxmlformats.org/officeDocument/2006/relationships/hyperlink" Target="https://www.dropbox.com/scl/fi/0jma0s2wt6fpmlzq67jy3/Screenshot-2025-10-18-at-10.39.15-AM.png?rlkey=nkxop5z4f9hrg4aastgz4ij3z&amp;st=7c27dott&amp;dl=0" TargetMode="External"/><Relationship Id="rId169" Type="http://schemas.openxmlformats.org/officeDocument/2006/relationships/hyperlink" Target="https://www.dropbox.com/scl/fi/fk95j3kppsanwwt57hxoc/main-13.jpg?rlkey=n39gt893dcxeirkami8h6xt25&amp;st=z9mnq2u1&amp;dl=0" TargetMode="External"/><Relationship Id="rId168" Type="http://schemas.openxmlformats.org/officeDocument/2006/relationships/hyperlink" Target="https://www.dropbox.com/scl/fi/ux50rk5z6ameniroi2afy/Screenshot-2025-11-04-at-4.26.23-PM.png?rlkey=9yo49a791a4hder8055tx82dx&amp;st=bp0b92ek&amp;dl=0" TargetMode="External"/><Relationship Id="rId167" Type="http://schemas.openxmlformats.org/officeDocument/2006/relationships/hyperlink" Target="https://www.dropbox.com/scl/fi/fk95j3kppsanwwt57hxoc/main-13.jpg?rlkey=n39gt893dcxeirkami8h6xt25&amp;st=z9mnq2u1&amp;dl=0" TargetMode="External"/><Relationship Id="rId166" Type="http://schemas.openxmlformats.org/officeDocument/2006/relationships/hyperlink" Target="https://www.dropbox.com/scl/fi/0jma0s2wt6fpmlzq67jy3/Screenshot-2025-10-18-at-10.39.15-AM.png?rlkey=nkxop5z4f9hrg4aastgz4ij3z&amp;st=7c27dott&amp;dl=0" TargetMode="External"/><Relationship Id="rId161" Type="http://schemas.openxmlformats.org/officeDocument/2006/relationships/hyperlink" Target="https://www.dropbox.com/scl/fi/ovr5v9aa7vuaxu85toivh/main-8.jpg?rlkey=f955z5bf62rrz3144p0m0zkv0&amp;st=gmn2tht4&amp;dl=0" TargetMode="External"/><Relationship Id="rId160" Type="http://schemas.openxmlformats.org/officeDocument/2006/relationships/hyperlink" Target="https://www.dropbox.com/scl/fi/0jma0s2wt6fpmlzq67jy3/Screenshot-2025-10-18-at-10.39.15-AM.png?rlkey=nkxop5z4f9hrg4aastgz4ij3z&amp;st=7c27dott&amp;dl=0" TargetMode="External"/><Relationship Id="rId159" Type="http://schemas.openxmlformats.org/officeDocument/2006/relationships/hyperlink" Target="https://www.dropbox.com/scl/fi/ovr5v9aa7vuaxu85toivh/main-8.jpg?rlkey=f955z5bf62rrz3144p0m0zkv0&amp;st=gmn2tht4&amp;dl=0" TargetMode="External"/><Relationship Id="rId154" Type="http://schemas.openxmlformats.org/officeDocument/2006/relationships/hyperlink" Target="https://www.dropbox.com/scl/fi/0jma0s2wt6fpmlzq67jy3/Screenshot-2025-10-18-at-10.39.15-AM.png?rlkey=nkxop5z4f9hrg4aastgz4ij3z&amp;st=7c27dott&amp;dl=0" TargetMode="External"/><Relationship Id="rId153" Type="http://schemas.openxmlformats.org/officeDocument/2006/relationships/hyperlink" Target="https://www.dropbox.com/scl/fi/ovr5v9aa7vuaxu85toivh/main-8.jpg?rlkey=f955z5bf62rrz3144p0m0zkv0&amp;st=gmn2tht4&amp;dl=0" TargetMode="External"/><Relationship Id="rId152" Type="http://schemas.openxmlformats.org/officeDocument/2006/relationships/hyperlink" Target="https://www.dropbox.com/scl/fi/0jma0s2wt6fpmlzq67jy3/Screenshot-2025-10-18-at-10.39.15-AM.png?rlkey=nkxop5z4f9hrg4aastgz4ij3z&amp;st=7c27dott&amp;dl=0" TargetMode="External"/><Relationship Id="rId151" Type="http://schemas.openxmlformats.org/officeDocument/2006/relationships/hyperlink" Target="https://www.dropbox.com/scl/fi/ovr5v9aa7vuaxu85toivh/main-8.jpg?rlkey=f955z5bf62rrz3144p0m0zkv0&amp;st=gmn2tht4&amp;dl=0" TargetMode="External"/><Relationship Id="rId158" Type="http://schemas.openxmlformats.org/officeDocument/2006/relationships/hyperlink" Target="https://www.dropbox.com/scl/fi/0jma0s2wt6fpmlzq67jy3/Screenshot-2025-10-18-at-10.39.15-AM.png?rlkey=nkxop5z4f9hrg4aastgz4ij3z&amp;st=7c27dott&amp;dl=0" TargetMode="External"/><Relationship Id="rId157" Type="http://schemas.openxmlformats.org/officeDocument/2006/relationships/hyperlink" Target="https://www.dropbox.com/scl/fi/ovr5v9aa7vuaxu85toivh/main-8.jpg?rlkey=f955z5bf62rrz3144p0m0zkv0&amp;st=gmn2tht4&amp;dl=0" TargetMode="External"/><Relationship Id="rId156" Type="http://schemas.openxmlformats.org/officeDocument/2006/relationships/hyperlink" Target="https://www.dropbox.com/scl/fi/0jma0s2wt6fpmlzq67jy3/Screenshot-2025-10-18-at-10.39.15-AM.png?rlkey=nkxop5z4f9hrg4aastgz4ij3z&amp;st=7c27dott&amp;dl=0" TargetMode="External"/><Relationship Id="rId155" Type="http://schemas.openxmlformats.org/officeDocument/2006/relationships/hyperlink" Target="https://www.dropbox.com/scl/fi/ovr5v9aa7vuaxu85toivh/main-8.jpg?rlkey=f955z5bf62rrz3144p0m0zkv0&amp;st=gmn2tht4&amp;dl=0" TargetMode="External"/><Relationship Id="rId107" Type="http://schemas.openxmlformats.org/officeDocument/2006/relationships/hyperlink" Target="https://www.dropbox.com/scl/fi/yfjqtlqecajnlyqdmbspr/Shiven_Miglani_6547.jpg?rlkey=zxsbw6s92y90neufwzzgqsmbr&amp;st=utq6z5i1&amp;dl=0" TargetMode="External"/><Relationship Id="rId106" Type="http://schemas.openxmlformats.org/officeDocument/2006/relationships/hyperlink" Target="https://www.dropbox.com/scl/fi/ci4btci26fvvchrmdtp6b/Copy-of-Press-Ads-Venkattesh-Raja-Professionals-Tamborine-Mountain-2.png?rlkey=fc6yhh3q722f1dcd0qbqav6wd&amp;st=4jwatlu6&amp;dl=0" TargetMode="External"/><Relationship Id="rId105" Type="http://schemas.openxmlformats.org/officeDocument/2006/relationships/hyperlink" Target="https://www.dropbox.com/scl/fi/edni7swwt1yu25ptrhlf2/Professionals-Tamborine-Mountain_Rebrand-Team-Photos_-147-1.jpg?rlkey=o3lm59us4d33vf1app3uculkg&amp;st=i6tbpvhe&amp;dl=0" TargetMode="External"/><Relationship Id="rId104" Type="http://schemas.openxmlformats.org/officeDocument/2006/relationships/hyperlink" Target="https://www.dropbox.com/scl/fi/ci4btci26fvvchrmdtp6b/Copy-of-Press-Ads-Venkattesh-Raja-Professionals-Tamborine-Mountain-2.png?rlkey=fc6yhh3q722f1dcd0qbqav6wd&amp;st=4jwatlu6&amp;dl=0" TargetMode="External"/><Relationship Id="rId109" Type="http://schemas.openxmlformats.org/officeDocument/2006/relationships/hyperlink" Target="https://www.dropbox.com/scl/fi/yfjqtlqecajnlyqdmbspr/Shiven_Miglani_6547.jpg?rlkey=zxsbw6s92y90neufwzzgqsmbr&amp;st=utq6z5i1&amp;dl=0" TargetMode="External"/><Relationship Id="rId108" Type="http://schemas.openxmlformats.org/officeDocument/2006/relationships/hyperlink" Target="https://www.dropbox.com/scl/fi/hmck393uf5r2rivwc6pfq/settle-logo.jpg?rlkey=6d91dg3msf99wzhh1f47fisaz&amp;st=5d737pqu&amp;dl=0" TargetMode="External"/><Relationship Id="rId103" Type="http://schemas.openxmlformats.org/officeDocument/2006/relationships/hyperlink" Target="https://www.dropbox.com/scl/fi/edni7swwt1yu25ptrhlf2/Professionals-Tamborine-Mountain_Rebrand-Team-Photos_-147-1.jpg?rlkey=o3lm59us4d33vf1app3uculkg&amp;st=i6tbpvhe&amp;dl=0" TargetMode="External"/><Relationship Id="rId102" Type="http://schemas.openxmlformats.org/officeDocument/2006/relationships/hyperlink" Target="https://www.dropbox.com/scl/fi/ci4btci26fvvchrmdtp6b/Copy-of-Press-Ads-Venkattesh-Raja-Professionals-Tamborine-Mountain-2.png?rlkey=fc6yhh3q722f1dcd0qbqav6wd&amp;st=4jwatlu6&amp;dl=0" TargetMode="External"/><Relationship Id="rId101" Type="http://schemas.openxmlformats.org/officeDocument/2006/relationships/hyperlink" Target="https://www.dropbox.com/scl/fi/edni7swwt1yu25ptrhlf2/Professionals-Tamborine-Mountain_Rebrand-Team-Photos_-147-1.jpg?rlkey=o3lm59us4d33vf1app3uculkg&amp;st=i6tbpvhe&amp;dl=0" TargetMode="External"/><Relationship Id="rId100" Type="http://schemas.openxmlformats.org/officeDocument/2006/relationships/hyperlink" Target="https://www.dropbox.com/scl/fi/ci4btci26fvvchrmdtp6b/Copy-of-Press-Ads-Venkattesh-Raja-Professionals-Tamborine-Mountain-2.png?rlkey=fc6yhh3q722f1dcd0qbqav6wd&amp;st=4jwatlu6&amp;dl=0" TargetMode="External"/><Relationship Id="rId129" Type="http://schemas.openxmlformats.org/officeDocument/2006/relationships/hyperlink" Target="https://www.dropbox.com/scl/fi/jrkxgtkua5a9oz1gwpicn/main-1.jpg?rlkey=cun2w4b98c0bvrw2djvgjsvsu&amp;st=299mfoal&amp;dl=0" TargetMode="External"/><Relationship Id="rId128" Type="http://schemas.openxmlformats.org/officeDocument/2006/relationships/hyperlink" Target="https://www.dropbox.com/scl/fi/6qgygtcumcqzyd4ylwqwn/Screenshot-2025-11-07-233230.jpg?rlkey=qpwbik7eqg4lr8bc13ibxotxt&amp;st=a80ad90n&amp;dl=0" TargetMode="External"/><Relationship Id="rId127" Type="http://schemas.openxmlformats.org/officeDocument/2006/relationships/hyperlink" Target="https://www.dropbox.com/scl/fi/jrkxgtkua5a9oz1gwpicn/main-1.jpg?rlkey=cun2w4b98c0bvrw2djvgjsvsu&amp;st=299mfoal&amp;dl=0" TargetMode="External"/><Relationship Id="rId126" Type="http://schemas.openxmlformats.org/officeDocument/2006/relationships/hyperlink" Target="https://www.dropbox.com/scl/fi/6qgygtcumcqzyd4ylwqwn/Screenshot-2025-11-07-233230.jpg?rlkey=qpwbik7eqg4lr8bc13ibxotxt&amp;st=a80ad90n&amp;dl=0" TargetMode="External"/><Relationship Id="rId121" Type="http://schemas.openxmlformats.org/officeDocument/2006/relationships/hyperlink" Target="https://www.dropbox.com/scl/fi/yfjqtlqecajnlyqdmbspr/Shiven_Miglani_6547.jpg?rlkey=zxsbw6s92y90neufwzzgqsmbr&amp;st=utq6z5i1&amp;dl=0" TargetMode="External"/><Relationship Id="rId120" Type="http://schemas.openxmlformats.org/officeDocument/2006/relationships/hyperlink" Target="https://www.dropbox.com/scl/fi/hmck393uf5r2rivwc6pfq/settle-logo.jpg?rlkey=6d91dg3msf99wzhh1f47fisaz&amp;st=5d737pqu&amp;dl=0" TargetMode="External"/><Relationship Id="rId125" Type="http://schemas.openxmlformats.org/officeDocument/2006/relationships/hyperlink" Target="https://www.dropbox.com/scl/fi/jrkxgtkua5a9oz1gwpicn/main-1.jpg?rlkey=cun2w4b98c0bvrw2djvgjsvsu&amp;st=299mfoal&amp;dl=0" TargetMode="External"/><Relationship Id="rId124" Type="http://schemas.openxmlformats.org/officeDocument/2006/relationships/hyperlink" Target="https://www.dropbox.com/scl/fi/hmck393uf5r2rivwc6pfq/settle-logo.jpg?rlkey=6d91dg3msf99wzhh1f47fisaz&amp;st=5d737pqu&amp;dl=0" TargetMode="External"/><Relationship Id="rId123" Type="http://schemas.openxmlformats.org/officeDocument/2006/relationships/hyperlink" Target="https://www.dropbox.com/scl/fi/yfjqtlqecajnlyqdmbspr/Shiven_Miglani_6547.jpg?rlkey=zxsbw6s92y90neufwzzgqsmbr&amp;st=utq6z5i1&amp;dl=0" TargetMode="External"/><Relationship Id="rId122" Type="http://schemas.openxmlformats.org/officeDocument/2006/relationships/hyperlink" Target="https://www.dropbox.com/scl/fi/hmck393uf5r2rivwc6pfq/settle-logo.jpg?rlkey=6d91dg3msf99wzhh1f47fisaz&amp;st=5d737pqu&amp;dl=0" TargetMode="External"/><Relationship Id="rId118" Type="http://schemas.openxmlformats.org/officeDocument/2006/relationships/hyperlink" Target="https://www.dropbox.com/scl/fi/hmck393uf5r2rivwc6pfq/settle-logo.jpg?rlkey=6d91dg3msf99wzhh1f47fisaz&amp;st=5d737pqu&amp;dl=0" TargetMode="External"/><Relationship Id="rId117" Type="http://schemas.openxmlformats.org/officeDocument/2006/relationships/hyperlink" Target="https://www.dropbox.com/scl/fi/yfjqtlqecajnlyqdmbspr/Shiven_Miglani_6547.jpg?rlkey=zxsbw6s92y90neufwzzgqsmbr&amp;st=utq6z5i1&amp;dl=0" TargetMode="External"/><Relationship Id="rId116" Type="http://schemas.openxmlformats.org/officeDocument/2006/relationships/hyperlink" Target="https://www.dropbox.com/scl/fi/hmck393uf5r2rivwc6pfq/settle-logo.jpg?rlkey=6d91dg3msf99wzhh1f47fisaz&amp;st=5d737pqu&amp;dl=0" TargetMode="External"/><Relationship Id="rId115" Type="http://schemas.openxmlformats.org/officeDocument/2006/relationships/hyperlink" Target="https://www.dropbox.com/scl/fi/yfjqtlqecajnlyqdmbspr/Shiven_Miglani_6547.jpg?rlkey=zxsbw6s92y90neufwzzgqsmbr&amp;st=utq6z5i1&amp;dl=0" TargetMode="External"/><Relationship Id="rId119" Type="http://schemas.openxmlformats.org/officeDocument/2006/relationships/hyperlink" Target="https://www.dropbox.com/scl/fi/yfjqtlqecajnlyqdmbspr/Shiven_Miglani_6547.jpg?rlkey=zxsbw6s92y90neufwzzgqsmbr&amp;st=utq6z5i1&amp;dl=0" TargetMode="External"/><Relationship Id="rId110" Type="http://schemas.openxmlformats.org/officeDocument/2006/relationships/hyperlink" Target="https://www.dropbox.com/scl/fi/hmck393uf5r2rivwc6pfq/settle-logo.jpg?rlkey=6d91dg3msf99wzhh1f47fisaz&amp;st=5d737pqu&amp;dl=0" TargetMode="External"/><Relationship Id="rId114" Type="http://schemas.openxmlformats.org/officeDocument/2006/relationships/hyperlink" Target="https://www.dropbox.com/scl/fi/hmck393uf5r2rivwc6pfq/settle-logo.jpg?rlkey=6d91dg3msf99wzhh1f47fisaz&amp;st=5d737pqu&amp;dl=0" TargetMode="External"/><Relationship Id="rId113" Type="http://schemas.openxmlformats.org/officeDocument/2006/relationships/hyperlink" Target="https://www.dropbox.com/scl/fi/yfjqtlqecajnlyqdmbspr/Shiven_Miglani_6547.jpg?rlkey=zxsbw6s92y90neufwzzgqsmbr&amp;st=utq6z5i1&amp;dl=0" TargetMode="External"/><Relationship Id="rId112" Type="http://schemas.openxmlformats.org/officeDocument/2006/relationships/hyperlink" Target="https://www.dropbox.com/scl/fi/hmck393uf5r2rivwc6pfq/settle-logo.jpg?rlkey=6d91dg3msf99wzhh1f47fisaz&amp;st=5d737pqu&amp;dl=0" TargetMode="External"/><Relationship Id="rId111" Type="http://schemas.openxmlformats.org/officeDocument/2006/relationships/hyperlink" Target="https://www.dropbox.com/scl/fi/yfjqtlqecajnlyqdmbspr/Shiven_Miglani_6547.jpg?rlkey=zxsbw6s92y90neufwzzgqsmbr&amp;st=utq6z5i1&amp;dl=0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32.63"/>
    <col customWidth="1" min="4" max="4" width="5.38"/>
    <col customWidth="1" min="5" max="5" width="21.13"/>
    <col customWidth="1" min="6" max="6" width="16.13"/>
    <col customWidth="1" min="7" max="7" width="9.88"/>
    <col customWidth="1" min="8" max="8" width="12.75"/>
    <col customWidth="1" min="9" max="9" width="8.63"/>
    <col customWidth="1" min="10" max="10" width="4.75"/>
    <col customWidth="1" min="11" max="11" width="10.5"/>
    <col customWidth="1" min="12" max="12" width="8.13"/>
    <col customWidth="1" min="13" max="13" width="20.25"/>
    <col customWidth="1" min="14" max="14" width="12.63"/>
    <col customWidth="1" min="15" max="15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>
      <c r="A2" s="3" t="s">
        <v>43</v>
      </c>
      <c r="B2" s="3" t="s">
        <v>44</v>
      </c>
      <c r="C2" s="4" t="s">
        <v>45</v>
      </c>
      <c r="D2" s="3" t="s">
        <v>46</v>
      </c>
      <c r="E2" s="3" t="s">
        <v>47</v>
      </c>
      <c r="F2" s="5">
        <v>45999.0</v>
      </c>
      <c r="H2" s="3" t="s">
        <v>48</v>
      </c>
      <c r="I2" s="3" t="s">
        <v>49</v>
      </c>
      <c r="J2" s="3">
        <v>4.0</v>
      </c>
      <c r="K2" s="3" t="s">
        <v>50</v>
      </c>
      <c r="L2" s="3" t="s">
        <v>51</v>
      </c>
      <c r="M2" s="3" t="s">
        <v>52</v>
      </c>
      <c r="N2" s="6" t="s">
        <v>53</v>
      </c>
      <c r="O2" s="6" t="s">
        <v>54</v>
      </c>
      <c r="P2" s="3">
        <v>2795.0</v>
      </c>
      <c r="Q2" s="7"/>
      <c r="R2" s="3">
        <v>0.0</v>
      </c>
    </row>
    <row r="3">
      <c r="A3" s="3" t="s">
        <v>55</v>
      </c>
      <c r="B3" s="3" t="s">
        <v>56</v>
      </c>
      <c r="C3" s="4" t="s">
        <v>57</v>
      </c>
      <c r="D3" s="3" t="s">
        <v>46</v>
      </c>
      <c r="E3" s="3" t="s">
        <v>58</v>
      </c>
      <c r="F3" s="5">
        <v>45999.0</v>
      </c>
      <c r="H3" s="3" t="s">
        <v>48</v>
      </c>
      <c r="I3" s="3" t="s">
        <v>49</v>
      </c>
      <c r="J3" s="3">
        <v>4.0</v>
      </c>
      <c r="K3" s="3" t="s">
        <v>50</v>
      </c>
      <c r="L3" s="3" t="s">
        <v>51</v>
      </c>
      <c r="M3" s="3" t="s">
        <v>59</v>
      </c>
      <c r="N3" s="6" t="s">
        <v>53</v>
      </c>
      <c r="O3" s="6" t="s">
        <v>54</v>
      </c>
      <c r="P3" s="8">
        <v>872.0</v>
      </c>
      <c r="Q3" s="7" t="s">
        <v>60</v>
      </c>
      <c r="R3" s="3">
        <v>0.0</v>
      </c>
    </row>
    <row r="4">
      <c r="A4" s="3" t="s">
        <v>61</v>
      </c>
      <c r="B4" s="3" t="s">
        <v>62</v>
      </c>
      <c r="C4" s="4" t="s">
        <v>45</v>
      </c>
      <c r="D4" s="3" t="s">
        <v>46</v>
      </c>
      <c r="E4" s="3" t="s">
        <v>63</v>
      </c>
      <c r="F4" s="5">
        <v>45999.0</v>
      </c>
      <c r="H4" s="3" t="s">
        <v>48</v>
      </c>
      <c r="I4" s="3" t="s">
        <v>49</v>
      </c>
      <c r="J4" s="3">
        <v>4.0</v>
      </c>
      <c r="K4" s="3" t="s">
        <v>50</v>
      </c>
      <c r="L4" s="3" t="s">
        <v>51</v>
      </c>
      <c r="M4" s="3" t="s">
        <v>59</v>
      </c>
      <c r="N4" s="6" t="s">
        <v>53</v>
      </c>
      <c r="O4" s="6" t="s">
        <v>54</v>
      </c>
      <c r="P4" s="8">
        <v>2478.0</v>
      </c>
      <c r="Q4" s="7" t="s">
        <v>60</v>
      </c>
      <c r="R4" s="3">
        <v>0.0</v>
      </c>
    </row>
    <row r="5">
      <c r="A5" s="3" t="s">
        <v>64</v>
      </c>
      <c r="B5" s="3" t="s">
        <v>65</v>
      </c>
      <c r="C5" s="3" t="s">
        <v>66</v>
      </c>
      <c r="D5" s="3" t="s">
        <v>46</v>
      </c>
      <c r="E5" s="3" t="s">
        <v>67</v>
      </c>
      <c r="F5" s="5">
        <v>45727.0</v>
      </c>
      <c r="H5" s="3" t="s">
        <v>48</v>
      </c>
      <c r="I5" s="3" t="s">
        <v>49</v>
      </c>
      <c r="J5" s="3">
        <v>4.0</v>
      </c>
      <c r="K5" s="3" t="s">
        <v>50</v>
      </c>
      <c r="L5" s="3" t="s">
        <v>51</v>
      </c>
      <c r="M5" s="3" t="s">
        <v>52</v>
      </c>
      <c r="N5" s="6" t="s">
        <v>53</v>
      </c>
      <c r="O5" s="6" t="s">
        <v>54</v>
      </c>
      <c r="P5" s="3">
        <v>2104.0</v>
      </c>
      <c r="Q5" s="3">
        <v>1.0</v>
      </c>
      <c r="R5" s="3">
        <v>0.0</v>
      </c>
    </row>
    <row r="6">
      <c r="A6" s="3" t="s">
        <v>64</v>
      </c>
      <c r="B6" s="3" t="s">
        <v>65</v>
      </c>
      <c r="C6" s="3" t="s">
        <v>66</v>
      </c>
      <c r="D6" s="3" t="s">
        <v>46</v>
      </c>
      <c r="E6" s="3" t="s">
        <v>68</v>
      </c>
      <c r="F6" s="5">
        <v>45727.0</v>
      </c>
      <c r="H6" s="3" t="s">
        <v>48</v>
      </c>
      <c r="I6" s="3" t="s">
        <v>49</v>
      </c>
      <c r="J6" s="3">
        <v>4.0</v>
      </c>
      <c r="K6" s="3" t="s">
        <v>50</v>
      </c>
      <c r="L6" s="3" t="s">
        <v>51</v>
      </c>
      <c r="M6" s="3" t="s">
        <v>52</v>
      </c>
      <c r="N6" s="6" t="s">
        <v>53</v>
      </c>
      <c r="O6" s="6" t="s">
        <v>54</v>
      </c>
      <c r="P6" s="3">
        <v>2105.0</v>
      </c>
      <c r="Q6" s="7" t="s">
        <v>60</v>
      </c>
    </row>
    <row r="7">
      <c r="A7" s="3" t="s">
        <v>69</v>
      </c>
      <c r="B7" s="3" t="s">
        <v>70</v>
      </c>
      <c r="C7" s="3" t="s">
        <v>71</v>
      </c>
      <c r="D7" s="3" t="s">
        <v>46</v>
      </c>
      <c r="E7" s="3" t="s">
        <v>72</v>
      </c>
      <c r="F7" s="5">
        <v>45730.0</v>
      </c>
      <c r="H7" s="3" t="s">
        <v>48</v>
      </c>
      <c r="I7" s="3" t="s">
        <v>49</v>
      </c>
      <c r="J7" s="3">
        <v>34.0</v>
      </c>
      <c r="K7" s="3" t="s">
        <v>73</v>
      </c>
      <c r="L7" s="3" t="s">
        <v>74</v>
      </c>
      <c r="M7" s="3" t="s">
        <v>52</v>
      </c>
      <c r="N7" s="6" t="s">
        <v>75</v>
      </c>
      <c r="O7" s="6" t="s">
        <v>54</v>
      </c>
      <c r="P7" s="3">
        <v>2107.0</v>
      </c>
      <c r="Q7" s="3">
        <v>1.0</v>
      </c>
      <c r="R7" s="3">
        <v>0.0</v>
      </c>
    </row>
    <row r="8">
      <c r="A8" s="3" t="s">
        <v>69</v>
      </c>
      <c r="B8" s="3" t="s">
        <v>70</v>
      </c>
      <c r="C8" s="3" t="s">
        <v>71</v>
      </c>
      <c r="D8" s="3" t="s">
        <v>46</v>
      </c>
      <c r="E8" s="3" t="s">
        <v>76</v>
      </c>
      <c r="F8" s="5">
        <v>45730.0</v>
      </c>
      <c r="H8" s="3" t="s">
        <v>48</v>
      </c>
      <c r="I8" s="3" t="s">
        <v>49</v>
      </c>
      <c r="J8" s="3">
        <v>34.0</v>
      </c>
      <c r="K8" s="3" t="s">
        <v>73</v>
      </c>
      <c r="L8" s="3" t="s">
        <v>74</v>
      </c>
      <c r="M8" s="3" t="s">
        <v>52</v>
      </c>
      <c r="N8" s="6" t="s">
        <v>75</v>
      </c>
      <c r="O8" s="6" t="s">
        <v>54</v>
      </c>
      <c r="P8" s="3">
        <v>2107.0</v>
      </c>
      <c r="Q8" s="7" t="s">
        <v>60</v>
      </c>
      <c r="U8" s="3" t="s">
        <v>77</v>
      </c>
    </row>
    <row r="9">
      <c r="A9" s="3" t="s">
        <v>69</v>
      </c>
      <c r="B9" s="3" t="s">
        <v>70</v>
      </c>
      <c r="C9" s="3" t="s">
        <v>71</v>
      </c>
      <c r="D9" s="3" t="s">
        <v>46</v>
      </c>
      <c r="E9" s="3" t="s">
        <v>78</v>
      </c>
      <c r="F9" s="5">
        <v>45730.0</v>
      </c>
      <c r="H9" s="3" t="s">
        <v>48</v>
      </c>
      <c r="I9" s="3" t="s">
        <v>49</v>
      </c>
      <c r="J9" s="3">
        <v>3.0</v>
      </c>
      <c r="K9" s="3" t="s">
        <v>79</v>
      </c>
      <c r="L9" s="3" t="s">
        <v>80</v>
      </c>
      <c r="M9" s="3" t="s">
        <v>52</v>
      </c>
      <c r="N9" s="6" t="s">
        <v>75</v>
      </c>
      <c r="O9" s="6" t="s">
        <v>54</v>
      </c>
      <c r="P9" s="3">
        <v>2108.0</v>
      </c>
      <c r="Q9" s="7" t="s">
        <v>60</v>
      </c>
    </row>
    <row r="10">
      <c r="A10" s="3" t="s">
        <v>81</v>
      </c>
      <c r="B10" s="3" t="s">
        <v>82</v>
      </c>
      <c r="C10" s="4" t="s">
        <v>83</v>
      </c>
      <c r="D10" s="3" t="s">
        <v>46</v>
      </c>
      <c r="E10" s="3" t="s">
        <v>84</v>
      </c>
      <c r="F10" s="5">
        <v>45730.0</v>
      </c>
      <c r="H10" s="3" t="s">
        <v>48</v>
      </c>
      <c r="I10" s="3" t="s">
        <v>49</v>
      </c>
      <c r="J10" s="3">
        <v>5.0</v>
      </c>
      <c r="K10" s="3" t="s">
        <v>85</v>
      </c>
      <c r="L10" s="3" t="s">
        <v>86</v>
      </c>
      <c r="M10" s="3" t="s">
        <v>87</v>
      </c>
      <c r="N10" s="9" t="s">
        <v>88</v>
      </c>
      <c r="O10" s="6" t="s">
        <v>89</v>
      </c>
      <c r="P10" s="3">
        <v>2087.0</v>
      </c>
      <c r="Q10" s="3">
        <v>1.0</v>
      </c>
      <c r="R10" s="3"/>
    </row>
    <row r="11">
      <c r="A11" s="3" t="s">
        <v>81</v>
      </c>
      <c r="B11" s="3" t="s">
        <v>82</v>
      </c>
      <c r="C11" s="4" t="s">
        <v>83</v>
      </c>
      <c r="D11" s="3" t="s">
        <v>46</v>
      </c>
      <c r="E11" s="3" t="s">
        <v>90</v>
      </c>
      <c r="F11" s="5">
        <v>45730.0</v>
      </c>
      <c r="H11" s="3" t="s">
        <v>48</v>
      </c>
      <c r="I11" s="3" t="s">
        <v>49</v>
      </c>
      <c r="J11" s="3">
        <v>5.0</v>
      </c>
      <c r="K11" s="3" t="s">
        <v>85</v>
      </c>
      <c r="L11" s="3" t="s">
        <v>86</v>
      </c>
      <c r="M11" s="3" t="s">
        <v>87</v>
      </c>
      <c r="N11" s="6" t="s">
        <v>88</v>
      </c>
      <c r="O11" s="6" t="s">
        <v>89</v>
      </c>
      <c r="P11" s="3">
        <v>2085.0</v>
      </c>
      <c r="Q11" s="7" t="s">
        <v>60</v>
      </c>
      <c r="R11" s="3"/>
    </row>
    <row r="12">
      <c r="A12" s="3" t="s">
        <v>81</v>
      </c>
      <c r="B12" s="3" t="s">
        <v>82</v>
      </c>
      <c r="C12" s="4" t="s">
        <v>83</v>
      </c>
      <c r="D12" s="3" t="s">
        <v>46</v>
      </c>
      <c r="E12" s="3" t="s">
        <v>91</v>
      </c>
      <c r="F12" s="5">
        <v>45730.0</v>
      </c>
      <c r="H12" s="3" t="s">
        <v>48</v>
      </c>
      <c r="I12" s="3" t="s">
        <v>49</v>
      </c>
      <c r="J12" s="3">
        <v>5.0</v>
      </c>
      <c r="K12" s="3" t="s">
        <v>85</v>
      </c>
      <c r="L12" s="3" t="s">
        <v>86</v>
      </c>
      <c r="M12" s="3" t="s">
        <v>87</v>
      </c>
      <c r="N12" s="6" t="s">
        <v>88</v>
      </c>
      <c r="O12" s="6" t="s">
        <v>89</v>
      </c>
      <c r="P12" s="3">
        <v>2086.0</v>
      </c>
      <c r="Q12" s="7" t="s">
        <v>60</v>
      </c>
      <c r="R12" s="3"/>
    </row>
    <row r="13">
      <c r="A13" s="3" t="s">
        <v>81</v>
      </c>
      <c r="B13" s="3" t="s">
        <v>82</v>
      </c>
      <c r="C13" s="4" t="s">
        <v>83</v>
      </c>
      <c r="D13" s="3" t="s">
        <v>46</v>
      </c>
      <c r="E13" s="3" t="s">
        <v>92</v>
      </c>
      <c r="F13" s="5">
        <v>45730.0</v>
      </c>
      <c r="H13" s="3" t="s">
        <v>48</v>
      </c>
      <c r="I13" s="3" t="s">
        <v>49</v>
      </c>
      <c r="J13" s="3">
        <v>5.0</v>
      </c>
      <c r="K13" s="3" t="s">
        <v>85</v>
      </c>
      <c r="L13" s="3" t="s">
        <v>86</v>
      </c>
      <c r="M13" s="3" t="s">
        <v>87</v>
      </c>
      <c r="N13" s="6" t="s">
        <v>88</v>
      </c>
      <c r="O13" s="6" t="s">
        <v>89</v>
      </c>
      <c r="P13" s="3">
        <v>2087.0</v>
      </c>
      <c r="Q13" s="7" t="s">
        <v>60</v>
      </c>
      <c r="R13" s="3"/>
    </row>
    <row r="14">
      <c r="A14" s="3" t="s">
        <v>81</v>
      </c>
      <c r="B14" s="3" t="s">
        <v>82</v>
      </c>
      <c r="C14" s="4" t="s">
        <v>83</v>
      </c>
      <c r="D14" s="3" t="s">
        <v>46</v>
      </c>
      <c r="E14" s="3" t="s">
        <v>93</v>
      </c>
      <c r="F14" s="5">
        <v>45730.0</v>
      </c>
      <c r="H14" s="3" t="s">
        <v>48</v>
      </c>
      <c r="I14" s="3" t="s">
        <v>49</v>
      </c>
      <c r="J14" s="3">
        <v>1.0</v>
      </c>
      <c r="K14" s="3" t="s">
        <v>86</v>
      </c>
      <c r="L14" s="3" t="s">
        <v>86</v>
      </c>
      <c r="M14" s="3" t="s">
        <v>87</v>
      </c>
      <c r="N14" s="6" t="s">
        <v>88</v>
      </c>
      <c r="O14" s="6" t="s">
        <v>89</v>
      </c>
      <c r="P14" s="3">
        <v>2087.0</v>
      </c>
      <c r="Q14" s="7" t="s">
        <v>60</v>
      </c>
      <c r="R14" s="3"/>
    </row>
    <row r="15">
      <c r="A15" s="3" t="s">
        <v>94</v>
      </c>
      <c r="B15" s="3" t="s">
        <v>95</v>
      </c>
      <c r="C15" s="10" t="s">
        <v>96</v>
      </c>
      <c r="D15" s="3" t="s">
        <v>46</v>
      </c>
      <c r="E15" s="3" t="s">
        <v>97</v>
      </c>
      <c r="F15" s="5">
        <v>45730.0</v>
      </c>
      <c r="H15" s="3" t="s">
        <v>48</v>
      </c>
      <c r="I15" s="3" t="s">
        <v>49</v>
      </c>
      <c r="J15" s="3">
        <v>2.0</v>
      </c>
      <c r="K15" s="3" t="s">
        <v>98</v>
      </c>
      <c r="L15" s="3" t="s">
        <v>86</v>
      </c>
      <c r="M15" s="3" t="s">
        <v>99</v>
      </c>
      <c r="N15" s="6" t="s">
        <v>100</v>
      </c>
      <c r="O15" s="6" t="s">
        <v>101</v>
      </c>
      <c r="P15" s="3">
        <v>2099.0</v>
      </c>
      <c r="Q15" s="3">
        <v>1.0</v>
      </c>
      <c r="R15" s="3"/>
      <c r="W15" s="11"/>
    </row>
    <row r="16">
      <c r="A16" s="3" t="s">
        <v>102</v>
      </c>
      <c r="B16" s="3" t="s">
        <v>103</v>
      </c>
      <c r="C16" s="3" t="s">
        <v>104</v>
      </c>
      <c r="D16" s="3" t="s">
        <v>46</v>
      </c>
      <c r="E16" s="3" t="s">
        <v>105</v>
      </c>
      <c r="F16" s="5">
        <v>45730.0</v>
      </c>
      <c r="H16" s="3" t="s">
        <v>48</v>
      </c>
      <c r="I16" s="3"/>
      <c r="J16" s="3"/>
      <c r="K16" s="3"/>
      <c r="L16" s="3"/>
      <c r="M16" s="3"/>
      <c r="N16" s="3"/>
      <c r="O16" s="3"/>
      <c r="P16" s="3">
        <v>2016.0</v>
      </c>
      <c r="Q16" s="7" t="s">
        <v>60</v>
      </c>
      <c r="R16" s="3">
        <v>0.0</v>
      </c>
    </row>
    <row r="17">
      <c r="A17" s="3" t="s">
        <v>106</v>
      </c>
      <c r="B17" s="3" t="s">
        <v>107</v>
      </c>
      <c r="C17" s="3" t="s">
        <v>108</v>
      </c>
      <c r="D17" s="3" t="s">
        <v>46</v>
      </c>
      <c r="E17" s="3" t="s">
        <v>109</v>
      </c>
      <c r="F17" s="5">
        <v>45740.0</v>
      </c>
      <c r="H17" s="3" t="s">
        <v>110</v>
      </c>
      <c r="I17" s="3" t="s">
        <v>49</v>
      </c>
      <c r="J17" s="3">
        <v>51.0</v>
      </c>
      <c r="K17" s="3" t="s">
        <v>111</v>
      </c>
      <c r="L17" s="3" t="s">
        <v>112</v>
      </c>
      <c r="M17" s="3" t="s">
        <v>113</v>
      </c>
      <c r="N17" s="6" t="s">
        <v>114</v>
      </c>
      <c r="O17" s="6" t="s">
        <v>115</v>
      </c>
      <c r="P17" s="3">
        <v>2021.0</v>
      </c>
      <c r="Q17" s="3">
        <v>1.0</v>
      </c>
      <c r="R17" s="3">
        <v>0.0</v>
      </c>
    </row>
    <row r="18">
      <c r="A18" s="3" t="s">
        <v>106</v>
      </c>
      <c r="B18" s="3" t="s">
        <v>107</v>
      </c>
      <c r="C18" s="3" t="s">
        <v>108</v>
      </c>
      <c r="D18" s="3" t="s">
        <v>46</v>
      </c>
      <c r="E18" s="3" t="s">
        <v>116</v>
      </c>
      <c r="F18" s="5">
        <v>45740.0</v>
      </c>
      <c r="H18" s="3" t="s">
        <v>110</v>
      </c>
      <c r="I18" s="3" t="s">
        <v>49</v>
      </c>
      <c r="J18" s="3">
        <v>18.0</v>
      </c>
      <c r="K18" s="3" t="s">
        <v>117</v>
      </c>
      <c r="L18" s="3" t="s">
        <v>118</v>
      </c>
      <c r="M18" s="3" t="s">
        <v>113</v>
      </c>
      <c r="N18" s="6" t="s">
        <v>114</v>
      </c>
      <c r="O18" s="6" t="s">
        <v>115</v>
      </c>
      <c r="P18" s="3">
        <v>2025.0</v>
      </c>
      <c r="Q18" s="7" t="s">
        <v>60</v>
      </c>
    </row>
    <row r="19">
      <c r="A19" s="3" t="s">
        <v>106</v>
      </c>
      <c r="B19" s="3" t="s">
        <v>107</v>
      </c>
      <c r="C19" s="3" t="s">
        <v>108</v>
      </c>
      <c r="D19" s="3" t="s">
        <v>46</v>
      </c>
      <c r="E19" s="3" t="s">
        <v>119</v>
      </c>
      <c r="F19" s="7" t="s">
        <v>60</v>
      </c>
      <c r="H19" s="3" t="s">
        <v>110</v>
      </c>
      <c r="I19" s="3" t="s">
        <v>49</v>
      </c>
      <c r="J19" s="3">
        <v>18.0</v>
      </c>
      <c r="K19" s="3" t="s">
        <v>117</v>
      </c>
      <c r="L19" s="3" t="s">
        <v>118</v>
      </c>
      <c r="M19" s="3" t="s">
        <v>113</v>
      </c>
      <c r="N19" s="6" t="s">
        <v>114</v>
      </c>
      <c r="O19" s="6" t="s">
        <v>115</v>
      </c>
      <c r="P19" s="3">
        <v>2026.0</v>
      </c>
      <c r="Q19" s="7" t="s">
        <v>60</v>
      </c>
    </row>
    <row r="20">
      <c r="A20" s="3" t="s">
        <v>106</v>
      </c>
      <c r="B20" s="3" t="s">
        <v>107</v>
      </c>
      <c r="C20" s="3" t="s">
        <v>108</v>
      </c>
      <c r="D20" s="3" t="s">
        <v>46</v>
      </c>
      <c r="E20" s="3" t="s">
        <v>120</v>
      </c>
      <c r="F20" s="7" t="s">
        <v>60</v>
      </c>
      <c r="H20" s="3" t="s">
        <v>110</v>
      </c>
      <c r="I20" s="3" t="s">
        <v>49</v>
      </c>
      <c r="J20" s="3">
        <v>18.0</v>
      </c>
      <c r="K20" s="3" t="s">
        <v>117</v>
      </c>
      <c r="L20" s="3" t="s">
        <v>118</v>
      </c>
      <c r="M20" s="3" t="s">
        <v>113</v>
      </c>
      <c r="N20" s="6" t="s">
        <v>114</v>
      </c>
      <c r="O20" s="6" t="s">
        <v>115</v>
      </c>
      <c r="P20" s="3">
        <v>2026.0</v>
      </c>
      <c r="Q20" s="7" t="s">
        <v>60</v>
      </c>
    </row>
    <row r="21">
      <c r="A21" s="3" t="s">
        <v>106</v>
      </c>
      <c r="B21" s="3" t="s">
        <v>107</v>
      </c>
      <c r="C21" s="3" t="s">
        <v>108</v>
      </c>
      <c r="D21" s="3" t="s">
        <v>46</v>
      </c>
      <c r="E21" s="3" t="s">
        <v>121</v>
      </c>
      <c r="F21" s="7" t="s">
        <v>60</v>
      </c>
      <c r="H21" s="3" t="s">
        <v>110</v>
      </c>
      <c r="I21" s="3" t="s">
        <v>49</v>
      </c>
      <c r="J21" s="3">
        <v>18.0</v>
      </c>
      <c r="K21" s="3" t="s">
        <v>117</v>
      </c>
      <c r="L21" s="3" t="s">
        <v>118</v>
      </c>
      <c r="M21" s="3" t="s">
        <v>113</v>
      </c>
      <c r="N21" s="6" t="s">
        <v>114</v>
      </c>
      <c r="O21" s="6" t="s">
        <v>115</v>
      </c>
      <c r="P21" s="3">
        <v>2026.0</v>
      </c>
      <c r="Q21" s="7" t="s">
        <v>60</v>
      </c>
    </row>
    <row r="22">
      <c r="A22" s="3" t="s">
        <v>106</v>
      </c>
      <c r="B22" s="3" t="s">
        <v>107</v>
      </c>
      <c r="C22" s="3" t="s">
        <v>108</v>
      </c>
      <c r="D22" s="3" t="s">
        <v>46</v>
      </c>
      <c r="E22" s="3" t="s">
        <v>122</v>
      </c>
      <c r="F22" s="7" t="s">
        <v>60</v>
      </c>
      <c r="H22" s="3" t="s">
        <v>110</v>
      </c>
      <c r="I22" s="3" t="s">
        <v>49</v>
      </c>
      <c r="J22" s="3">
        <v>18.0</v>
      </c>
      <c r="K22" s="3" t="s">
        <v>117</v>
      </c>
      <c r="L22" s="3" t="s">
        <v>118</v>
      </c>
      <c r="M22" s="3" t="s">
        <v>113</v>
      </c>
      <c r="N22" s="6" t="s">
        <v>114</v>
      </c>
      <c r="O22" s="6" t="s">
        <v>115</v>
      </c>
      <c r="P22" s="3">
        <v>2022.0</v>
      </c>
      <c r="Q22" s="7" t="s">
        <v>60</v>
      </c>
    </row>
    <row r="23">
      <c r="A23" s="3" t="s">
        <v>106</v>
      </c>
      <c r="B23" s="3" t="s">
        <v>107</v>
      </c>
      <c r="C23" s="3" t="s">
        <v>108</v>
      </c>
      <c r="D23" s="3" t="s">
        <v>46</v>
      </c>
      <c r="E23" s="3" t="s">
        <v>123</v>
      </c>
      <c r="F23" s="7" t="s">
        <v>60</v>
      </c>
      <c r="H23" s="3" t="s">
        <v>110</v>
      </c>
      <c r="I23" s="3" t="s">
        <v>49</v>
      </c>
      <c r="J23" s="3">
        <v>18.0</v>
      </c>
      <c r="K23" s="3" t="s">
        <v>117</v>
      </c>
      <c r="L23" s="3" t="s">
        <v>118</v>
      </c>
      <c r="M23" s="3" t="s">
        <v>113</v>
      </c>
      <c r="N23" s="6" t="s">
        <v>114</v>
      </c>
      <c r="O23" s="6" t="s">
        <v>115</v>
      </c>
      <c r="P23" s="3">
        <v>2028.0</v>
      </c>
      <c r="Q23" s="7" t="s">
        <v>60</v>
      </c>
    </row>
    <row r="24">
      <c r="A24" s="3" t="s">
        <v>106</v>
      </c>
      <c r="B24" s="3" t="s">
        <v>107</v>
      </c>
      <c r="C24" s="3" t="s">
        <v>108</v>
      </c>
      <c r="D24" s="3" t="s">
        <v>46</v>
      </c>
      <c r="E24" s="3" t="s">
        <v>124</v>
      </c>
      <c r="F24" s="7" t="s">
        <v>60</v>
      </c>
      <c r="H24" s="3" t="s">
        <v>110</v>
      </c>
      <c r="I24" s="3" t="s">
        <v>49</v>
      </c>
      <c r="J24" s="3">
        <v>18.0</v>
      </c>
      <c r="K24" s="3" t="s">
        <v>117</v>
      </c>
      <c r="L24" s="3" t="s">
        <v>118</v>
      </c>
      <c r="M24" s="3" t="s">
        <v>113</v>
      </c>
      <c r="N24" s="6" t="s">
        <v>114</v>
      </c>
      <c r="O24" s="6" t="s">
        <v>115</v>
      </c>
      <c r="P24" s="3">
        <v>2023.0</v>
      </c>
      <c r="Q24" s="7" t="s">
        <v>60</v>
      </c>
    </row>
    <row r="25">
      <c r="A25" s="3" t="s">
        <v>106</v>
      </c>
      <c r="B25" s="3" t="s">
        <v>107</v>
      </c>
      <c r="C25" s="3" t="s">
        <v>108</v>
      </c>
      <c r="D25" s="3" t="s">
        <v>46</v>
      </c>
      <c r="E25" s="3" t="s">
        <v>125</v>
      </c>
      <c r="F25" s="7" t="s">
        <v>60</v>
      </c>
      <c r="H25" s="3" t="s">
        <v>110</v>
      </c>
      <c r="I25" s="3" t="s">
        <v>49</v>
      </c>
      <c r="J25" s="3">
        <v>18.0</v>
      </c>
      <c r="K25" s="3" t="s">
        <v>117</v>
      </c>
      <c r="L25" s="3" t="s">
        <v>118</v>
      </c>
      <c r="M25" s="3" t="s">
        <v>113</v>
      </c>
      <c r="N25" s="6" t="s">
        <v>114</v>
      </c>
      <c r="O25" s="6" t="s">
        <v>115</v>
      </c>
      <c r="P25" s="3">
        <v>2021.0</v>
      </c>
      <c r="Q25" s="7" t="s">
        <v>60</v>
      </c>
    </row>
    <row r="26">
      <c r="A26" s="3" t="s">
        <v>126</v>
      </c>
      <c r="B26" s="3" t="s">
        <v>127</v>
      </c>
      <c r="C26" s="3" t="s">
        <v>128</v>
      </c>
      <c r="D26" s="3" t="s">
        <v>46</v>
      </c>
      <c r="E26" s="3" t="s">
        <v>129</v>
      </c>
      <c r="F26" s="5">
        <v>45743.0</v>
      </c>
      <c r="H26" s="3" t="s">
        <v>48</v>
      </c>
      <c r="I26" s="3" t="s">
        <v>49</v>
      </c>
      <c r="J26" s="3">
        <v>18.0</v>
      </c>
      <c r="K26" s="3" t="s">
        <v>130</v>
      </c>
      <c r="L26" s="3" t="s">
        <v>86</v>
      </c>
      <c r="M26" s="3" t="s">
        <v>52</v>
      </c>
      <c r="N26" s="6" t="s">
        <v>131</v>
      </c>
      <c r="O26" s="6" t="s">
        <v>54</v>
      </c>
      <c r="P26" s="3">
        <v>2107.0</v>
      </c>
      <c r="Q26" s="3">
        <v>1.0</v>
      </c>
      <c r="R26" s="3">
        <v>0.0</v>
      </c>
    </row>
    <row r="27">
      <c r="A27" s="3" t="s">
        <v>132</v>
      </c>
      <c r="B27" s="3" t="s">
        <v>133</v>
      </c>
      <c r="C27" s="3" t="s">
        <v>134</v>
      </c>
      <c r="D27" s="3" t="s">
        <v>46</v>
      </c>
      <c r="E27" s="3" t="s">
        <v>135</v>
      </c>
      <c r="F27" s="5">
        <v>45764.0</v>
      </c>
      <c r="G27" s="12" t="s">
        <v>136</v>
      </c>
      <c r="H27" s="3" t="s">
        <v>48</v>
      </c>
      <c r="I27" s="3" t="s">
        <v>49</v>
      </c>
      <c r="J27" s="3">
        <v>19.0</v>
      </c>
      <c r="K27" s="3" t="s">
        <v>137</v>
      </c>
      <c r="L27" s="3" t="s">
        <v>138</v>
      </c>
      <c r="M27" s="3" t="s">
        <v>139</v>
      </c>
      <c r="N27" s="6" t="s">
        <v>140</v>
      </c>
      <c r="O27" s="6" t="s">
        <v>141</v>
      </c>
      <c r="P27" s="3">
        <v>2099.0</v>
      </c>
      <c r="Q27" s="3">
        <v>1.0</v>
      </c>
      <c r="R27" s="13">
        <v>53.9</v>
      </c>
    </row>
    <row r="28">
      <c r="A28" s="3" t="s">
        <v>132</v>
      </c>
      <c r="B28" s="3" t="s">
        <v>133</v>
      </c>
      <c r="C28" s="3" t="s">
        <v>134</v>
      </c>
      <c r="D28" s="3" t="s">
        <v>46</v>
      </c>
      <c r="E28" s="3" t="s">
        <v>142</v>
      </c>
      <c r="F28" s="7" t="s">
        <v>60</v>
      </c>
      <c r="H28" s="3" t="s">
        <v>48</v>
      </c>
      <c r="I28" s="3" t="s">
        <v>49</v>
      </c>
      <c r="J28" s="3">
        <v>2.0</v>
      </c>
      <c r="K28" s="3" t="s">
        <v>143</v>
      </c>
      <c r="L28" s="3" t="s">
        <v>138</v>
      </c>
      <c r="M28" s="3" t="s">
        <v>139</v>
      </c>
      <c r="N28" s="6" t="s">
        <v>140</v>
      </c>
      <c r="O28" s="6" t="s">
        <v>141</v>
      </c>
      <c r="P28" s="3">
        <v>2100.0</v>
      </c>
      <c r="Q28" s="3">
        <v>1.0</v>
      </c>
      <c r="R28" s="13">
        <v>53.9</v>
      </c>
    </row>
    <row r="29">
      <c r="A29" s="3" t="s">
        <v>144</v>
      </c>
      <c r="B29" s="3" t="s">
        <v>145</v>
      </c>
      <c r="C29" s="3" t="s">
        <v>146</v>
      </c>
      <c r="D29" s="3" t="s">
        <v>46</v>
      </c>
      <c r="E29" s="3" t="s">
        <v>147</v>
      </c>
      <c r="F29" s="5">
        <v>45986.0</v>
      </c>
      <c r="H29" s="3" t="s">
        <v>48</v>
      </c>
      <c r="I29" s="3" t="s">
        <v>49</v>
      </c>
      <c r="J29" s="3">
        <v>9.0</v>
      </c>
      <c r="K29" s="3" t="s">
        <v>148</v>
      </c>
      <c r="L29" s="3" t="s">
        <v>149</v>
      </c>
      <c r="M29" s="3" t="s">
        <v>150</v>
      </c>
      <c r="N29" s="6" t="s">
        <v>151</v>
      </c>
      <c r="O29" s="6" t="s">
        <v>152</v>
      </c>
      <c r="P29" s="3">
        <v>2099.0</v>
      </c>
      <c r="Q29" s="3">
        <v>1.0</v>
      </c>
      <c r="R29" s="3">
        <v>0.0</v>
      </c>
    </row>
    <row r="30">
      <c r="A30" s="3" t="s">
        <v>153</v>
      </c>
      <c r="B30" s="3" t="s">
        <v>154</v>
      </c>
      <c r="C30" s="3" t="s">
        <v>155</v>
      </c>
      <c r="D30" s="3" t="s">
        <v>46</v>
      </c>
      <c r="E30" s="3" t="s">
        <v>156</v>
      </c>
      <c r="F30" s="5">
        <v>45762.0</v>
      </c>
      <c r="H30" s="3" t="s">
        <v>48</v>
      </c>
      <c r="I30" s="3" t="s">
        <v>49</v>
      </c>
      <c r="J30" s="3">
        <v>47.0</v>
      </c>
      <c r="K30" s="3" t="s">
        <v>157</v>
      </c>
      <c r="L30" s="3" t="s">
        <v>158</v>
      </c>
      <c r="M30" s="3" t="s">
        <v>139</v>
      </c>
      <c r="N30" s="6" t="s">
        <v>159</v>
      </c>
      <c r="O30" s="6" t="s">
        <v>141</v>
      </c>
      <c r="P30" s="3">
        <v>2096.0</v>
      </c>
      <c r="Q30" s="3">
        <v>1.0</v>
      </c>
      <c r="R30" s="3">
        <v>0.0</v>
      </c>
    </row>
    <row r="31">
      <c r="A31" s="3" t="s">
        <v>160</v>
      </c>
      <c r="B31" s="3" t="s">
        <v>161</v>
      </c>
      <c r="C31" s="3" t="s">
        <v>162</v>
      </c>
      <c r="D31" s="3" t="s">
        <v>46</v>
      </c>
      <c r="E31" s="3" t="s">
        <v>163</v>
      </c>
      <c r="F31" s="5">
        <v>45756.0</v>
      </c>
      <c r="G31" s="12" t="s">
        <v>136</v>
      </c>
      <c r="H31" s="3" t="s">
        <v>48</v>
      </c>
      <c r="I31" s="3" t="s">
        <v>49</v>
      </c>
      <c r="J31" s="3">
        <v>3.0</v>
      </c>
      <c r="K31" s="3" t="s">
        <v>164</v>
      </c>
      <c r="L31" s="3" t="s">
        <v>165</v>
      </c>
      <c r="M31" s="3" t="s">
        <v>166</v>
      </c>
      <c r="N31" s="6" t="s">
        <v>167</v>
      </c>
      <c r="O31" s="6" t="s">
        <v>168</v>
      </c>
      <c r="P31" s="3">
        <v>2750.0</v>
      </c>
      <c r="Q31" s="3">
        <v>1.0</v>
      </c>
      <c r="R31" s="13">
        <v>53.9</v>
      </c>
    </row>
    <row r="32">
      <c r="A32" s="3" t="s">
        <v>160</v>
      </c>
      <c r="B32" s="3" t="s">
        <v>161</v>
      </c>
      <c r="C32" s="3" t="s">
        <v>162</v>
      </c>
      <c r="D32" s="3" t="s">
        <v>46</v>
      </c>
      <c r="E32" s="3" t="s">
        <v>169</v>
      </c>
      <c r="F32" s="7" t="s">
        <v>60</v>
      </c>
      <c r="H32" s="3" t="s">
        <v>48</v>
      </c>
      <c r="I32" s="3" t="s">
        <v>49</v>
      </c>
      <c r="J32" s="3">
        <v>3.0</v>
      </c>
      <c r="K32" s="3" t="s">
        <v>164</v>
      </c>
      <c r="L32" s="3" t="s">
        <v>165</v>
      </c>
      <c r="M32" s="3" t="s">
        <v>166</v>
      </c>
      <c r="N32" s="6" t="s">
        <v>167</v>
      </c>
      <c r="O32" s="6" t="s">
        <v>168</v>
      </c>
      <c r="P32" s="3">
        <v>2747.0</v>
      </c>
      <c r="Q32" s="7" t="s">
        <v>60</v>
      </c>
    </row>
    <row r="33" ht="16.5" customHeight="1">
      <c r="A33" s="3" t="s">
        <v>160</v>
      </c>
      <c r="B33" s="3" t="s">
        <v>161</v>
      </c>
      <c r="C33" s="3" t="s">
        <v>162</v>
      </c>
      <c r="D33" s="3" t="s">
        <v>46</v>
      </c>
      <c r="E33" s="3" t="s">
        <v>170</v>
      </c>
      <c r="F33" s="7" t="s">
        <v>60</v>
      </c>
      <c r="H33" s="3" t="s">
        <v>48</v>
      </c>
      <c r="I33" s="3" t="s">
        <v>49</v>
      </c>
      <c r="J33" s="3">
        <v>3.0</v>
      </c>
      <c r="K33" s="3" t="s">
        <v>164</v>
      </c>
      <c r="L33" s="3" t="s">
        <v>165</v>
      </c>
      <c r="M33" s="3" t="s">
        <v>166</v>
      </c>
      <c r="N33" s="6" t="s">
        <v>167</v>
      </c>
      <c r="O33" s="6" t="s">
        <v>168</v>
      </c>
      <c r="P33" s="3">
        <v>2750.0</v>
      </c>
      <c r="Q33" s="7" t="s">
        <v>60</v>
      </c>
    </row>
    <row r="34" ht="16.5" customHeight="1">
      <c r="A34" s="3" t="s">
        <v>160</v>
      </c>
      <c r="B34" s="3" t="s">
        <v>161</v>
      </c>
      <c r="C34" s="3" t="s">
        <v>162</v>
      </c>
      <c r="D34" s="3" t="s">
        <v>46</v>
      </c>
      <c r="E34" s="3" t="s">
        <v>171</v>
      </c>
      <c r="F34" s="7" t="s">
        <v>60</v>
      </c>
      <c r="H34" s="3" t="s">
        <v>48</v>
      </c>
      <c r="I34" s="3" t="s">
        <v>49</v>
      </c>
      <c r="J34" s="3">
        <v>3.0</v>
      </c>
      <c r="K34" s="3" t="s">
        <v>164</v>
      </c>
      <c r="L34" s="3" t="s">
        <v>165</v>
      </c>
      <c r="M34" s="3" t="s">
        <v>166</v>
      </c>
      <c r="N34" s="6" t="s">
        <v>167</v>
      </c>
      <c r="O34" s="6" t="s">
        <v>168</v>
      </c>
      <c r="P34" s="3">
        <v>2747.0</v>
      </c>
      <c r="Q34" s="7" t="s">
        <v>60</v>
      </c>
    </row>
    <row r="35" ht="16.5" customHeight="1">
      <c r="A35" s="3" t="s">
        <v>160</v>
      </c>
      <c r="B35" s="3" t="s">
        <v>161</v>
      </c>
      <c r="C35" s="3" t="s">
        <v>162</v>
      </c>
      <c r="D35" s="3" t="s">
        <v>46</v>
      </c>
      <c r="E35" s="3" t="s">
        <v>172</v>
      </c>
      <c r="F35" s="7" t="s">
        <v>60</v>
      </c>
      <c r="H35" s="3" t="s">
        <v>48</v>
      </c>
      <c r="I35" s="3" t="s">
        <v>49</v>
      </c>
      <c r="J35" s="3">
        <v>3.0</v>
      </c>
      <c r="K35" s="3" t="s">
        <v>164</v>
      </c>
      <c r="L35" s="3" t="s">
        <v>165</v>
      </c>
      <c r="M35" s="3" t="s">
        <v>166</v>
      </c>
      <c r="N35" s="6" t="s">
        <v>167</v>
      </c>
      <c r="O35" s="6" t="s">
        <v>168</v>
      </c>
      <c r="P35" s="3">
        <v>2747.0</v>
      </c>
      <c r="Q35" s="7" t="s">
        <v>60</v>
      </c>
    </row>
    <row r="36" ht="16.5" customHeight="1">
      <c r="A36" s="3" t="s">
        <v>160</v>
      </c>
      <c r="B36" s="3" t="s">
        <v>161</v>
      </c>
      <c r="C36" s="3" t="s">
        <v>162</v>
      </c>
      <c r="D36" s="3" t="s">
        <v>46</v>
      </c>
      <c r="E36" s="3" t="s">
        <v>173</v>
      </c>
      <c r="F36" s="7" t="s">
        <v>60</v>
      </c>
      <c r="H36" s="3" t="s">
        <v>48</v>
      </c>
      <c r="I36" s="3" t="s">
        <v>49</v>
      </c>
      <c r="J36" s="3">
        <v>3.0</v>
      </c>
      <c r="K36" s="3" t="s">
        <v>164</v>
      </c>
      <c r="L36" s="3" t="s">
        <v>165</v>
      </c>
      <c r="M36" s="3" t="s">
        <v>166</v>
      </c>
      <c r="N36" s="6" t="s">
        <v>167</v>
      </c>
      <c r="O36" s="6" t="s">
        <v>168</v>
      </c>
      <c r="P36" s="3">
        <v>2774.0</v>
      </c>
      <c r="Q36" s="7" t="s">
        <v>60</v>
      </c>
    </row>
    <row r="37" ht="16.5" customHeight="1">
      <c r="A37" s="3" t="s">
        <v>160</v>
      </c>
      <c r="B37" s="3" t="s">
        <v>161</v>
      </c>
      <c r="C37" s="3" t="s">
        <v>162</v>
      </c>
      <c r="D37" s="3" t="s">
        <v>46</v>
      </c>
      <c r="E37" s="3" t="s">
        <v>174</v>
      </c>
      <c r="F37" s="7" t="s">
        <v>60</v>
      </c>
      <c r="H37" s="3" t="s">
        <v>48</v>
      </c>
      <c r="I37" s="3" t="s">
        <v>49</v>
      </c>
      <c r="J37" s="3">
        <v>3.0</v>
      </c>
      <c r="K37" s="3" t="s">
        <v>164</v>
      </c>
      <c r="L37" s="3" t="s">
        <v>165</v>
      </c>
      <c r="M37" s="3" t="s">
        <v>166</v>
      </c>
      <c r="N37" s="6" t="s">
        <v>167</v>
      </c>
      <c r="O37" s="6" t="s">
        <v>168</v>
      </c>
      <c r="P37" s="3">
        <v>2774.0</v>
      </c>
      <c r="Q37" s="7" t="s">
        <v>60</v>
      </c>
    </row>
    <row r="38" ht="16.5" customHeight="1">
      <c r="A38" s="3" t="s">
        <v>160</v>
      </c>
      <c r="B38" s="3" t="s">
        <v>161</v>
      </c>
      <c r="C38" s="3" t="s">
        <v>162</v>
      </c>
      <c r="D38" s="3" t="s">
        <v>46</v>
      </c>
      <c r="E38" s="3" t="s">
        <v>175</v>
      </c>
      <c r="F38" s="7" t="s">
        <v>60</v>
      </c>
      <c r="H38" s="3" t="s">
        <v>48</v>
      </c>
      <c r="I38" s="3" t="s">
        <v>49</v>
      </c>
      <c r="J38" s="3">
        <v>3.0</v>
      </c>
      <c r="K38" s="3" t="s">
        <v>164</v>
      </c>
      <c r="L38" s="3" t="s">
        <v>165</v>
      </c>
      <c r="M38" s="3" t="s">
        <v>166</v>
      </c>
      <c r="N38" s="6" t="s">
        <v>167</v>
      </c>
      <c r="O38" s="6" t="s">
        <v>168</v>
      </c>
      <c r="P38" s="3">
        <v>2774.0</v>
      </c>
      <c r="Q38" s="7" t="s">
        <v>60</v>
      </c>
    </row>
    <row r="39" ht="16.5" customHeight="1">
      <c r="A39" s="3" t="s">
        <v>160</v>
      </c>
      <c r="B39" s="3" t="s">
        <v>161</v>
      </c>
      <c r="C39" s="3" t="s">
        <v>162</v>
      </c>
      <c r="D39" s="3" t="s">
        <v>46</v>
      </c>
      <c r="E39" s="3" t="s">
        <v>176</v>
      </c>
      <c r="F39" s="7" t="s">
        <v>60</v>
      </c>
      <c r="H39" s="3" t="s">
        <v>48</v>
      </c>
      <c r="I39" s="3" t="s">
        <v>49</v>
      </c>
      <c r="J39" s="3">
        <v>3.0</v>
      </c>
      <c r="K39" s="3" t="s">
        <v>164</v>
      </c>
      <c r="L39" s="3" t="s">
        <v>165</v>
      </c>
      <c r="M39" s="3" t="s">
        <v>166</v>
      </c>
      <c r="N39" s="6" t="s">
        <v>167</v>
      </c>
      <c r="O39" s="6" t="s">
        <v>168</v>
      </c>
      <c r="P39" s="3">
        <v>2750.0</v>
      </c>
      <c r="Q39" s="7" t="s">
        <v>60</v>
      </c>
    </row>
    <row r="40" ht="16.5" customHeight="1">
      <c r="A40" s="3" t="s">
        <v>160</v>
      </c>
      <c r="B40" s="3" t="s">
        <v>161</v>
      </c>
      <c r="C40" s="3" t="s">
        <v>162</v>
      </c>
      <c r="D40" s="3" t="s">
        <v>46</v>
      </c>
      <c r="E40" s="3" t="s">
        <v>177</v>
      </c>
      <c r="F40" s="7" t="s">
        <v>60</v>
      </c>
      <c r="H40" s="3" t="s">
        <v>48</v>
      </c>
      <c r="I40" s="3" t="s">
        <v>49</v>
      </c>
      <c r="J40" s="3">
        <v>3.0</v>
      </c>
      <c r="K40" s="3" t="s">
        <v>164</v>
      </c>
      <c r="L40" s="3" t="s">
        <v>165</v>
      </c>
      <c r="M40" s="3" t="s">
        <v>166</v>
      </c>
      <c r="N40" s="6" t="s">
        <v>167</v>
      </c>
      <c r="O40" s="6" t="s">
        <v>168</v>
      </c>
      <c r="P40" s="3">
        <v>2759.0</v>
      </c>
      <c r="Q40" s="7" t="s">
        <v>60</v>
      </c>
    </row>
    <row r="41" ht="16.5" customHeight="1">
      <c r="A41" s="3" t="s">
        <v>160</v>
      </c>
      <c r="B41" s="3" t="s">
        <v>161</v>
      </c>
      <c r="C41" s="3" t="s">
        <v>162</v>
      </c>
      <c r="D41" s="3" t="s">
        <v>46</v>
      </c>
      <c r="E41" s="3" t="s">
        <v>178</v>
      </c>
      <c r="F41" s="7" t="s">
        <v>60</v>
      </c>
      <c r="H41" s="3" t="s">
        <v>48</v>
      </c>
      <c r="I41" s="3" t="s">
        <v>49</v>
      </c>
      <c r="J41" s="3">
        <v>1.0</v>
      </c>
      <c r="K41" s="3" t="s">
        <v>165</v>
      </c>
      <c r="L41" s="3" t="s">
        <v>165</v>
      </c>
      <c r="M41" s="3" t="s">
        <v>166</v>
      </c>
      <c r="N41" s="6" t="s">
        <v>167</v>
      </c>
      <c r="O41" s="6" t="s">
        <v>168</v>
      </c>
      <c r="P41" s="3">
        <v>2752.0</v>
      </c>
      <c r="Q41" s="7" t="s">
        <v>60</v>
      </c>
    </row>
    <row r="42" ht="16.5" customHeight="1">
      <c r="A42" s="3" t="s">
        <v>160</v>
      </c>
      <c r="B42" s="3" t="s">
        <v>161</v>
      </c>
      <c r="C42" s="3" t="s">
        <v>162</v>
      </c>
      <c r="D42" s="3" t="s">
        <v>46</v>
      </c>
      <c r="E42" s="3" t="s">
        <v>179</v>
      </c>
      <c r="F42" s="7" t="s">
        <v>60</v>
      </c>
      <c r="H42" s="3" t="s">
        <v>48</v>
      </c>
      <c r="I42" s="3" t="s">
        <v>49</v>
      </c>
      <c r="J42" s="3">
        <v>1.0</v>
      </c>
      <c r="K42" s="3" t="s">
        <v>165</v>
      </c>
      <c r="L42" s="3" t="s">
        <v>165</v>
      </c>
      <c r="M42" s="3" t="s">
        <v>166</v>
      </c>
      <c r="N42" s="6" t="s">
        <v>167</v>
      </c>
      <c r="O42" s="6" t="s">
        <v>168</v>
      </c>
      <c r="P42" s="3">
        <v>2770.0</v>
      </c>
      <c r="Q42" s="7" t="s">
        <v>60</v>
      </c>
    </row>
    <row r="43" ht="16.5" customHeight="1">
      <c r="A43" s="3" t="s">
        <v>160</v>
      </c>
      <c r="B43" s="3" t="s">
        <v>161</v>
      </c>
      <c r="C43" s="3" t="s">
        <v>162</v>
      </c>
      <c r="D43" s="3" t="s">
        <v>46</v>
      </c>
      <c r="E43" s="3" t="s">
        <v>180</v>
      </c>
      <c r="F43" s="7" t="s">
        <v>60</v>
      </c>
      <c r="H43" s="3" t="s">
        <v>48</v>
      </c>
      <c r="I43" s="3" t="s">
        <v>49</v>
      </c>
      <c r="J43" s="3">
        <v>1.0</v>
      </c>
      <c r="K43" s="3" t="s">
        <v>165</v>
      </c>
      <c r="L43" s="3" t="s">
        <v>165</v>
      </c>
      <c r="M43" s="3" t="s">
        <v>166</v>
      </c>
      <c r="N43" s="6" t="s">
        <v>167</v>
      </c>
      <c r="O43" s="6" t="s">
        <v>168</v>
      </c>
      <c r="P43" s="3">
        <v>2750.0</v>
      </c>
      <c r="Q43" s="7" t="s">
        <v>60</v>
      </c>
    </row>
    <row r="44" ht="16.5" customHeight="1">
      <c r="A44" s="3" t="s">
        <v>160</v>
      </c>
      <c r="B44" s="3" t="s">
        <v>161</v>
      </c>
      <c r="C44" s="3" t="s">
        <v>162</v>
      </c>
      <c r="D44" s="3" t="s">
        <v>46</v>
      </c>
      <c r="E44" s="3" t="s">
        <v>181</v>
      </c>
      <c r="F44" s="7" t="s">
        <v>60</v>
      </c>
      <c r="H44" s="3" t="s">
        <v>48</v>
      </c>
      <c r="I44" s="3" t="s">
        <v>49</v>
      </c>
      <c r="J44" s="3">
        <v>1.0</v>
      </c>
      <c r="K44" s="3" t="s">
        <v>165</v>
      </c>
      <c r="L44" s="3" t="s">
        <v>165</v>
      </c>
      <c r="M44" s="3" t="s">
        <v>166</v>
      </c>
      <c r="N44" s="6" t="s">
        <v>167</v>
      </c>
      <c r="O44" s="6" t="s">
        <v>168</v>
      </c>
      <c r="P44" s="3">
        <v>2770.0</v>
      </c>
      <c r="Q44" s="7" t="s">
        <v>60</v>
      </c>
    </row>
    <row r="45">
      <c r="A45" s="3" t="s">
        <v>182</v>
      </c>
      <c r="B45" s="3" t="s">
        <v>183</v>
      </c>
      <c r="C45" s="3" t="s">
        <v>184</v>
      </c>
      <c r="D45" s="3" t="s">
        <v>46</v>
      </c>
      <c r="E45" s="3" t="s">
        <v>185</v>
      </c>
      <c r="F45" s="14">
        <v>45778.0</v>
      </c>
      <c r="G45" s="12" t="s">
        <v>136</v>
      </c>
      <c r="H45" s="3" t="s">
        <v>48</v>
      </c>
      <c r="I45" s="3" t="s">
        <v>49</v>
      </c>
      <c r="J45" s="3">
        <v>44.0</v>
      </c>
      <c r="K45" s="3" t="s">
        <v>186</v>
      </c>
      <c r="L45" s="3" t="s">
        <v>187</v>
      </c>
      <c r="M45" s="3" t="s">
        <v>188</v>
      </c>
      <c r="N45" s="6" t="s">
        <v>189</v>
      </c>
      <c r="O45" s="6" t="s">
        <v>190</v>
      </c>
      <c r="P45" s="3">
        <v>2206.0</v>
      </c>
      <c r="Q45" s="3">
        <v>1.0</v>
      </c>
      <c r="R45" s="13">
        <v>53.9</v>
      </c>
    </row>
    <row r="46">
      <c r="A46" s="3" t="s">
        <v>182</v>
      </c>
      <c r="B46" s="3" t="s">
        <v>183</v>
      </c>
      <c r="C46" s="3" t="s">
        <v>184</v>
      </c>
      <c r="D46" s="3" t="s">
        <v>46</v>
      </c>
      <c r="E46" s="3" t="s">
        <v>191</v>
      </c>
      <c r="F46" s="7" t="s">
        <v>60</v>
      </c>
      <c r="H46" s="3" t="s">
        <v>48</v>
      </c>
      <c r="I46" s="3" t="s">
        <v>49</v>
      </c>
      <c r="J46" s="3">
        <v>14.0</v>
      </c>
      <c r="K46" s="3" t="s">
        <v>192</v>
      </c>
      <c r="L46" s="3" t="s">
        <v>187</v>
      </c>
      <c r="M46" s="3" t="s">
        <v>188</v>
      </c>
      <c r="N46" s="6" t="s">
        <v>189</v>
      </c>
      <c r="O46" s="6" t="s">
        <v>190</v>
      </c>
      <c r="P46" s="3">
        <v>2206.0</v>
      </c>
      <c r="Q46" s="7" t="s">
        <v>60</v>
      </c>
    </row>
    <row r="47">
      <c r="A47" s="3" t="s">
        <v>182</v>
      </c>
      <c r="B47" s="3" t="s">
        <v>183</v>
      </c>
      <c r="C47" s="3" t="s">
        <v>184</v>
      </c>
      <c r="D47" s="3" t="s">
        <v>46</v>
      </c>
      <c r="E47" s="3" t="s">
        <v>193</v>
      </c>
      <c r="F47" s="7" t="s">
        <v>60</v>
      </c>
      <c r="H47" s="3" t="s">
        <v>48</v>
      </c>
      <c r="I47" s="3" t="s">
        <v>49</v>
      </c>
      <c r="J47" s="3">
        <v>14.0</v>
      </c>
      <c r="K47" s="3" t="s">
        <v>192</v>
      </c>
      <c r="L47" s="3" t="s">
        <v>187</v>
      </c>
      <c r="M47" s="3" t="s">
        <v>188</v>
      </c>
      <c r="N47" s="6" t="s">
        <v>189</v>
      </c>
      <c r="O47" s="6" t="s">
        <v>190</v>
      </c>
      <c r="P47" s="3">
        <v>2203.0</v>
      </c>
      <c r="Q47" s="7" t="s">
        <v>60</v>
      </c>
    </row>
    <row r="48">
      <c r="A48" s="3" t="s">
        <v>182</v>
      </c>
      <c r="B48" s="3" t="s">
        <v>183</v>
      </c>
      <c r="C48" s="3" t="s">
        <v>184</v>
      </c>
      <c r="D48" s="3" t="s">
        <v>46</v>
      </c>
      <c r="E48" s="3" t="s">
        <v>194</v>
      </c>
      <c r="F48" s="7" t="s">
        <v>60</v>
      </c>
      <c r="H48" s="3" t="s">
        <v>48</v>
      </c>
      <c r="I48" s="3" t="s">
        <v>49</v>
      </c>
      <c r="J48" s="3">
        <v>14.0</v>
      </c>
      <c r="K48" s="3" t="s">
        <v>192</v>
      </c>
      <c r="L48" s="3" t="s">
        <v>187</v>
      </c>
      <c r="M48" s="3" t="s">
        <v>188</v>
      </c>
      <c r="N48" s="6" t="s">
        <v>189</v>
      </c>
      <c r="O48" s="6" t="s">
        <v>190</v>
      </c>
      <c r="P48" s="3">
        <v>2196.0</v>
      </c>
      <c r="Q48" s="7" t="s">
        <v>60</v>
      </c>
    </row>
    <row r="49">
      <c r="A49" s="3" t="s">
        <v>182</v>
      </c>
      <c r="B49" s="3" t="s">
        <v>183</v>
      </c>
      <c r="C49" s="3" t="s">
        <v>184</v>
      </c>
      <c r="D49" s="3" t="s">
        <v>46</v>
      </c>
      <c r="E49" s="3" t="s">
        <v>195</v>
      </c>
      <c r="F49" s="7" t="s">
        <v>60</v>
      </c>
      <c r="H49" s="3" t="s">
        <v>48</v>
      </c>
      <c r="I49" s="3" t="s">
        <v>49</v>
      </c>
      <c r="J49" s="3">
        <v>14.0</v>
      </c>
      <c r="K49" s="3" t="s">
        <v>192</v>
      </c>
      <c r="L49" s="3" t="s">
        <v>187</v>
      </c>
      <c r="M49" s="3" t="s">
        <v>188</v>
      </c>
      <c r="N49" s="6" t="s">
        <v>189</v>
      </c>
      <c r="O49" s="6" t="s">
        <v>190</v>
      </c>
      <c r="P49" s="3">
        <v>2195.0</v>
      </c>
      <c r="Q49" s="7" t="s">
        <v>60</v>
      </c>
    </row>
    <row r="50">
      <c r="A50" s="3" t="s">
        <v>182</v>
      </c>
      <c r="B50" s="3" t="s">
        <v>183</v>
      </c>
      <c r="C50" s="3" t="s">
        <v>184</v>
      </c>
      <c r="D50" s="3" t="s">
        <v>46</v>
      </c>
      <c r="E50" s="3" t="s">
        <v>196</v>
      </c>
      <c r="F50" s="7" t="s">
        <v>60</v>
      </c>
      <c r="H50" s="3" t="s">
        <v>48</v>
      </c>
      <c r="I50" s="3" t="s">
        <v>49</v>
      </c>
      <c r="J50" s="3">
        <v>14.0</v>
      </c>
      <c r="K50" s="3" t="s">
        <v>192</v>
      </c>
      <c r="L50" s="3" t="s">
        <v>187</v>
      </c>
      <c r="M50" s="3" t="s">
        <v>188</v>
      </c>
      <c r="N50" s="6" t="s">
        <v>189</v>
      </c>
      <c r="O50" s="6" t="s">
        <v>190</v>
      </c>
      <c r="P50" s="3">
        <v>2193.0</v>
      </c>
      <c r="Q50" s="7" t="s">
        <v>60</v>
      </c>
    </row>
    <row r="51">
      <c r="A51" s="15" t="s">
        <v>182</v>
      </c>
      <c r="B51" s="15" t="s">
        <v>183</v>
      </c>
      <c r="C51" s="15" t="s">
        <v>184</v>
      </c>
      <c r="D51" s="15" t="s">
        <v>46</v>
      </c>
      <c r="E51" s="3" t="s">
        <v>197</v>
      </c>
      <c r="F51" s="16" t="s">
        <v>60</v>
      </c>
      <c r="G51" s="17"/>
      <c r="H51" s="15" t="s">
        <v>48</v>
      </c>
      <c r="I51" s="15" t="s">
        <v>49</v>
      </c>
      <c r="J51" s="18">
        <v>2.0</v>
      </c>
      <c r="K51" s="19" t="s">
        <v>198</v>
      </c>
      <c r="L51" s="15" t="s">
        <v>187</v>
      </c>
      <c r="M51" s="15" t="s">
        <v>188</v>
      </c>
      <c r="N51" s="20" t="s">
        <v>189</v>
      </c>
      <c r="O51" s="20" t="s">
        <v>190</v>
      </c>
      <c r="P51" s="18">
        <v>2207.0</v>
      </c>
      <c r="Q51" s="21" t="s">
        <v>60</v>
      </c>
      <c r="R51" s="15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</row>
    <row r="52">
      <c r="A52" s="15" t="s">
        <v>182</v>
      </c>
      <c r="B52" s="15" t="s">
        <v>183</v>
      </c>
      <c r="C52" s="15" t="s">
        <v>184</v>
      </c>
      <c r="D52" s="15" t="s">
        <v>46</v>
      </c>
      <c r="E52" s="3" t="s">
        <v>199</v>
      </c>
      <c r="F52" s="16" t="s">
        <v>60</v>
      </c>
      <c r="G52" s="17"/>
      <c r="H52" s="15" t="s">
        <v>48</v>
      </c>
      <c r="I52" s="15" t="s">
        <v>49</v>
      </c>
      <c r="J52" s="18">
        <v>2.0</v>
      </c>
      <c r="K52" s="19" t="s">
        <v>198</v>
      </c>
      <c r="L52" s="15" t="s">
        <v>187</v>
      </c>
      <c r="M52" s="15" t="s">
        <v>188</v>
      </c>
      <c r="N52" s="20" t="s">
        <v>189</v>
      </c>
      <c r="O52" s="20" t="s">
        <v>190</v>
      </c>
      <c r="P52" s="18">
        <v>2207.0</v>
      </c>
      <c r="Q52" s="21" t="s">
        <v>60</v>
      </c>
      <c r="R52" s="15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</row>
    <row r="53">
      <c r="A53" s="15" t="s">
        <v>182</v>
      </c>
      <c r="B53" s="15" t="s">
        <v>183</v>
      </c>
      <c r="C53" s="15" t="s">
        <v>184</v>
      </c>
      <c r="D53" s="15" t="s">
        <v>46</v>
      </c>
      <c r="E53" s="3" t="s">
        <v>200</v>
      </c>
      <c r="F53" s="16" t="s">
        <v>60</v>
      </c>
      <c r="G53" s="17"/>
      <c r="H53" s="15" t="s">
        <v>48</v>
      </c>
      <c r="I53" s="15" t="s">
        <v>49</v>
      </c>
      <c r="J53" s="18">
        <v>2.0</v>
      </c>
      <c r="K53" s="19" t="s">
        <v>198</v>
      </c>
      <c r="L53" s="15" t="s">
        <v>187</v>
      </c>
      <c r="M53" s="15" t="s">
        <v>188</v>
      </c>
      <c r="N53" s="20" t="s">
        <v>189</v>
      </c>
      <c r="O53" s="20" t="s">
        <v>190</v>
      </c>
      <c r="P53" s="18">
        <v>2207.0</v>
      </c>
      <c r="Q53" s="21" t="s">
        <v>60</v>
      </c>
      <c r="R53" s="15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</row>
    <row r="54">
      <c r="A54" s="15" t="s">
        <v>182</v>
      </c>
      <c r="B54" s="15" t="s">
        <v>183</v>
      </c>
      <c r="C54" s="15" t="s">
        <v>184</v>
      </c>
      <c r="D54" s="15" t="s">
        <v>46</v>
      </c>
      <c r="E54" s="3" t="s">
        <v>201</v>
      </c>
      <c r="F54" s="16" t="s">
        <v>60</v>
      </c>
      <c r="G54" s="17"/>
      <c r="H54" s="15" t="s">
        <v>48</v>
      </c>
      <c r="I54" s="15" t="s">
        <v>49</v>
      </c>
      <c r="J54" s="18">
        <v>2.0</v>
      </c>
      <c r="K54" s="19" t="s">
        <v>198</v>
      </c>
      <c r="L54" s="15" t="s">
        <v>187</v>
      </c>
      <c r="M54" s="15" t="s">
        <v>188</v>
      </c>
      <c r="N54" s="20" t="s">
        <v>189</v>
      </c>
      <c r="O54" s="20" t="s">
        <v>190</v>
      </c>
      <c r="P54" s="18">
        <v>2207.0</v>
      </c>
      <c r="Q54" s="21" t="s">
        <v>60</v>
      </c>
      <c r="R54" s="15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</row>
    <row r="55">
      <c r="A55" s="22" t="s">
        <v>202</v>
      </c>
      <c r="B55" s="23" t="s">
        <v>203</v>
      </c>
      <c r="C55" s="3" t="s">
        <v>204</v>
      </c>
      <c r="D55" s="19" t="s">
        <v>46</v>
      </c>
      <c r="E55" s="3" t="s">
        <v>205</v>
      </c>
      <c r="F55" s="5">
        <v>45790.0</v>
      </c>
      <c r="H55" s="3" t="s">
        <v>48</v>
      </c>
      <c r="I55" s="3" t="s">
        <v>49</v>
      </c>
      <c r="J55" s="3">
        <v>7.0</v>
      </c>
      <c r="K55" s="3" t="s">
        <v>149</v>
      </c>
      <c r="L55" s="3" t="s">
        <v>206</v>
      </c>
      <c r="M55" s="3" t="s">
        <v>207</v>
      </c>
      <c r="N55" s="6" t="s">
        <v>208</v>
      </c>
      <c r="O55" s="6" t="s">
        <v>209</v>
      </c>
      <c r="P55" s="3">
        <v>2011.0</v>
      </c>
      <c r="Q55" s="7" t="s">
        <v>60</v>
      </c>
      <c r="R55" s="3">
        <v>0.0</v>
      </c>
    </row>
    <row r="56">
      <c r="A56" s="19" t="s">
        <v>210</v>
      </c>
      <c r="B56" s="23" t="s">
        <v>211</v>
      </c>
      <c r="C56" s="3" t="s">
        <v>212</v>
      </c>
      <c r="D56" s="19" t="s">
        <v>46</v>
      </c>
      <c r="E56" s="3" t="s">
        <v>213</v>
      </c>
      <c r="F56" s="5">
        <v>45792.0</v>
      </c>
      <c r="G56" s="24" t="s">
        <v>214</v>
      </c>
      <c r="H56" s="3" t="s">
        <v>48</v>
      </c>
      <c r="I56" s="3" t="s">
        <v>49</v>
      </c>
      <c r="J56" s="3">
        <v>6.0</v>
      </c>
      <c r="K56" s="3" t="s">
        <v>215</v>
      </c>
      <c r="L56" s="3" t="s">
        <v>216</v>
      </c>
      <c r="M56" s="3" t="s">
        <v>217</v>
      </c>
      <c r="N56" s="6" t="s">
        <v>218</v>
      </c>
      <c r="O56" s="6" t="s">
        <v>219</v>
      </c>
      <c r="P56" s="3">
        <v>2517.0</v>
      </c>
      <c r="Q56" s="3">
        <v>1.0</v>
      </c>
      <c r="R56" s="3">
        <v>383.9</v>
      </c>
    </row>
    <row r="57">
      <c r="A57" s="19" t="s">
        <v>210</v>
      </c>
      <c r="B57" s="23" t="s">
        <v>211</v>
      </c>
      <c r="C57" s="3" t="s">
        <v>212</v>
      </c>
      <c r="D57" s="19" t="s">
        <v>46</v>
      </c>
      <c r="E57" s="3" t="s">
        <v>220</v>
      </c>
      <c r="F57" s="7" t="s">
        <v>60</v>
      </c>
      <c r="H57" s="3" t="s">
        <v>48</v>
      </c>
      <c r="I57" s="3" t="s">
        <v>49</v>
      </c>
      <c r="J57" s="3">
        <v>6.0</v>
      </c>
      <c r="K57" s="3" t="s">
        <v>215</v>
      </c>
      <c r="L57" s="3" t="s">
        <v>216</v>
      </c>
      <c r="M57" s="3" t="s">
        <v>217</v>
      </c>
      <c r="N57" s="6" t="s">
        <v>218</v>
      </c>
      <c r="O57" s="6" t="s">
        <v>219</v>
      </c>
      <c r="P57" s="3">
        <v>2516.0</v>
      </c>
      <c r="Q57" s="7" t="s">
        <v>60</v>
      </c>
    </row>
    <row r="58">
      <c r="A58" s="19" t="s">
        <v>210</v>
      </c>
      <c r="B58" s="23" t="s">
        <v>211</v>
      </c>
      <c r="C58" s="3" t="s">
        <v>212</v>
      </c>
      <c r="D58" s="19" t="s">
        <v>46</v>
      </c>
      <c r="E58" s="3" t="s">
        <v>221</v>
      </c>
      <c r="F58" s="7" t="s">
        <v>60</v>
      </c>
      <c r="H58" s="3" t="s">
        <v>48</v>
      </c>
      <c r="I58" s="3" t="s">
        <v>49</v>
      </c>
      <c r="J58" s="3">
        <v>6.0</v>
      </c>
      <c r="K58" s="3" t="s">
        <v>215</v>
      </c>
      <c r="L58" s="3" t="s">
        <v>216</v>
      </c>
      <c r="M58" s="3" t="s">
        <v>217</v>
      </c>
      <c r="N58" s="6" t="s">
        <v>218</v>
      </c>
      <c r="O58" s="6" t="s">
        <v>219</v>
      </c>
      <c r="P58" s="3">
        <v>2517.0</v>
      </c>
      <c r="Q58" s="7" t="s">
        <v>60</v>
      </c>
    </row>
    <row r="59">
      <c r="A59" s="19" t="s">
        <v>210</v>
      </c>
      <c r="B59" s="23" t="s">
        <v>211</v>
      </c>
      <c r="C59" s="3" t="s">
        <v>212</v>
      </c>
      <c r="D59" s="19" t="s">
        <v>46</v>
      </c>
      <c r="E59" s="3" t="s">
        <v>222</v>
      </c>
      <c r="F59" s="7" t="s">
        <v>60</v>
      </c>
      <c r="H59" s="3" t="s">
        <v>48</v>
      </c>
      <c r="I59" s="3" t="s">
        <v>49</v>
      </c>
      <c r="J59" s="3">
        <v>6.0</v>
      </c>
      <c r="K59" s="3" t="s">
        <v>215</v>
      </c>
      <c r="L59" s="3" t="s">
        <v>216</v>
      </c>
      <c r="M59" s="3" t="s">
        <v>217</v>
      </c>
      <c r="N59" s="6" t="s">
        <v>218</v>
      </c>
      <c r="O59" s="6" t="s">
        <v>219</v>
      </c>
      <c r="P59" s="3">
        <v>2518.0</v>
      </c>
      <c r="Q59" s="7" t="s">
        <v>60</v>
      </c>
    </row>
    <row r="60">
      <c r="A60" s="19" t="s">
        <v>210</v>
      </c>
      <c r="B60" s="23" t="s">
        <v>211</v>
      </c>
      <c r="C60" s="3" t="s">
        <v>212</v>
      </c>
      <c r="D60" s="19" t="s">
        <v>46</v>
      </c>
      <c r="E60" s="3" t="s">
        <v>223</v>
      </c>
      <c r="F60" s="7" t="s">
        <v>60</v>
      </c>
      <c r="H60" s="3" t="s">
        <v>48</v>
      </c>
      <c r="I60" s="3" t="s">
        <v>49</v>
      </c>
      <c r="J60" s="3">
        <v>6.0</v>
      </c>
      <c r="K60" s="3" t="s">
        <v>215</v>
      </c>
      <c r="L60" s="3" t="s">
        <v>216</v>
      </c>
      <c r="M60" s="3" t="s">
        <v>217</v>
      </c>
      <c r="N60" s="6" t="s">
        <v>218</v>
      </c>
      <c r="O60" s="6" t="s">
        <v>219</v>
      </c>
      <c r="P60" s="3">
        <v>2518.0</v>
      </c>
      <c r="Q60" s="7" t="s">
        <v>60</v>
      </c>
    </row>
    <row r="61">
      <c r="A61" s="19" t="s">
        <v>210</v>
      </c>
      <c r="B61" s="23" t="s">
        <v>211</v>
      </c>
      <c r="C61" s="3" t="s">
        <v>212</v>
      </c>
      <c r="D61" s="19" t="s">
        <v>46</v>
      </c>
      <c r="E61" s="3" t="s">
        <v>224</v>
      </c>
      <c r="F61" s="7" t="s">
        <v>60</v>
      </c>
      <c r="H61" s="3" t="s">
        <v>48</v>
      </c>
      <c r="I61" s="3" t="s">
        <v>49</v>
      </c>
      <c r="J61" s="3">
        <v>6.0</v>
      </c>
      <c r="K61" s="3" t="s">
        <v>215</v>
      </c>
      <c r="L61" s="3" t="s">
        <v>216</v>
      </c>
      <c r="M61" s="3" t="s">
        <v>217</v>
      </c>
      <c r="N61" s="6" t="s">
        <v>218</v>
      </c>
      <c r="O61" s="6" t="s">
        <v>219</v>
      </c>
      <c r="P61" s="3">
        <v>2518.0</v>
      </c>
      <c r="Q61" s="7" t="s">
        <v>60</v>
      </c>
    </row>
    <row r="62">
      <c r="A62" s="19" t="s">
        <v>210</v>
      </c>
      <c r="B62" s="23" t="s">
        <v>211</v>
      </c>
      <c r="C62" s="3" t="s">
        <v>212</v>
      </c>
      <c r="D62" s="19" t="s">
        <v>46</v>
      </c>
      <c r="E62" s="3" t="s">
        <v>225</v>
      </c>
      <c r="F62" s="7" t="s">
        <v>60</v>
      </c>
      <c r="H62" s="3" t="s">
        <v>48</v>
      </c>
      <c r="I62" s="3" t="s">
        <v>49</v>
      </c>
      <c r="J62" s="3">
        <v>6.0</v>
      </c>
      <c r="K62" s="3" t="s">
        <v>215</v>
      </c>
      <c r="L62" s="3" t="s">
        <v>216</v>
      </c>
      <c r="M62" s="3" t="s">
        <v>217</v>
      </c>
      <c r="N62" s="6" t="s">
        <v>218</v>
      </c>
      <c r="O62" s="6" t="s">
        <v>219</v>
      </c>
      <c r="P62" s="3">
        <v>2518.0</v>
      </c>
      <c r="Q62" s="7" t="s">
        <v>60</v>
      </c>
    </row>
    <row r="63">
      <c r="A63" s="19" t="s">
        <v>210</v>
      </c>
      <c r="B63" s="23" t="s">
        <v>211</v>
      </c>
      <c r="C63" s="3" t="s">
        <v>212</v>
      </c>
      <c r="D63" s="19" t="s">
        <v>46</v>
      </c>
      <c r="E63" s="3" t="s">
        <v>226</v>
      </c>
      <c r="F63" s="7" t="s">
        <v>60</v>
      </c>
      <c r="H63" s="3" t="s">
        <v>48</v>
      </c>
      <c r="I63" s="3" t="s">
        <v>49</v>
      </c>
      <c r="J63" s="3">
        <v>6.0</v>
      </c>
      <c r="K63" s="3" t="s">
        <v>215</v>
      </c>
      <c r="L63" s="3" t="s">
        <v>216</v>
      </c>
      <c r="M63" s="3" t="s">
        <v>217</v>
      </c>
      <c r="N63" s="6" t="s">
        <v>218</v>
      </c>
      <c r="O63" s="6" t="s">
        <v>219</v>
      </c>
      <c r="P63" s="3">
        <v>2515.0</v>
      </c>
      <c r="Q63" s="7" t="s">
        <v>60</v>
      </c>
    </row>
    <row r="64">
      <c r="A64" s="19" t="s">
        <v>210</v>
      </c>
      <c r="B64" s="23" t="s">
        <v>211</v>
      </c>
      <c r="C64" s="3" t="s">
        <v>212</v>
      </c>
      <c r="D64" s="19" t="s">
        <v>46</v>
      </c>
      <c r="E64" s="3" t="s">
        <v>227</v>
      </c>
      <c r="F64" s="7" t="s">
        <v>60</v>
      </c>
      <c r="H64" s="3" t="s">
        <v>48</v>
      </c>
      <c r="I64" s="3" t="s">
        <v>49</v>
      </c>
      <c r="J64" s="3">
        <v>6.0</v>
      </c>
      <c r="K64" s="3" t="s">
        <v>215</v>
      </c>
      <c r="L64" s="3" t="s">
        <v>216</v>
      </c>
      <c r="M64" s="3" t="s">
        <v>217</v>
      </c>
      <c r="N64" s="6" t="s">
        <v>218</v>
      </c>
      <c r="O64" s="6" t="s">
        <v>219</v>
      </c>
      <c r="P64" s="3">
        <v>2518.0</v>
      </c>
      <c r="Q64" s="7" t="s">
        <v>60</v>
      </c>
    </row>
    <row r="65">
      <c r="A65" s="19" t="s">
        <v>210</v>
      </c>
      <c r="B65" s="23" t="s">
        <v>211</v>
      </c>
      <c r="C65" s="3" t="s">
        <v>212</v>
      </c>
      <c r="D65" s="19" t="s">
        <v>46</v>
      </c>
      <c r="E65" s="3" t="s">
        <v>228</v>
      </c>
      <c r="F65" s="7" t="s">
        <v>60</v>
      </c>
      <c r="H65" s="3" t="s">
        <v>48</v>
      </c>
      <c r="I65" s="3" t="s">
        <v>49</v>
      </c>
      <c r="J65" s="3">
        <v>1.0</v>
      </c>
      <c r="K65" s="3" t="s">
        <v>216</v>
      </c>
      <c r="L65" s="3" t="s">
        <v>216</v>
      </c>
      <c r="M65" s="3" t="s">
        <v>217</v>
      </c>
      <c r="N65" s="6" t="s">
        <v>218</v>
      </c>
      <c r="O65" s="6" t="s">
        <v>219</v>
      </c>
      <c r="P65" s="3">
        <v>2515.0</v>
      </c>
      <c r="Q65" s="7" t="s">
        <v>60</v>
      </c>
    </row>
    <row r="66">
      <c r="A66" s="3" t="s">
        <v>229</v>
      </c>
      <c r="B66" s="3" t="s">
        <v>230</v>
      </c>
      <c r="C66" s="3" t="s">
        <v>231</v>
      </c>
      <c r="D66" s="3" t="s">
        <v>46</v>
      </c>
      <c r="E66" s="3" t="s">
        <v>232</v>
      </c>
      <c r="F66" s="5">
        <v>45771.0</v>
      </c>
      <c r="G66" s="12" t="s">
        <v>136</v>
      </c>
      <c r="H66" s="3" t="s">
        <v>110</v>
      </c>
      <c r="I66" s="3" t="s">
        <v>49</v>
      </c>
      <c r="J66" s="3">
        <v>58.0</v>
      </c>
      <c r="K66" s="3" t="s">
        <v>130</v>
      </c>
      <c r="L66" s="25" t="s">
        <v>233</v>
      </c>
      <c r="M66" s="3" t="s">
        <v>234</v>
      </c>
      <c r="N66" s="6" t="s">
        <v>235</v>
      </c>
      <c r="O66" s="6" t="s">
        <v>236</v>
      </c>
      <c r="P66" s="3">
        <v>2318.0</v>
      </c>
      <c r="Q66" s="3">
        <v>1.0</v>
      </c>
      <c r="R66" s="13">
        <v>185.9</v>
      </c>
    </row>
    <row r="67">
      <c r="A67" s="3" t="s">
        <v>229</v>
      </c>
      <c r="B67" s="3" t="s">
        <v>230</v>
      </c>
      <c r="C67" s="3" t="s">
        <v>231</v>
      </c>
      <c r="D67" s="3" t="s">
        <v>46</v>
      </c>
      <c r="E67" s="3" t="s">
        <v>237</v>
      </c>
      <c r="F67" s="7" t="s">
        <v>60</v>
      </c>
      <c r="H67" s="3" t="s">
        <v>110</v>
      </c>
      <c r="I67" s="3" t="s">
        <v>49</v>
      </c>
      <c r="J67" s="3">
        <v>3.0</v>
      </c>
      <c r="K67" s="3" t="s">
        <v>238</v>
      </c>
      <c r="L67" s="25" t="s">
        <v>233</v>
      </c>
      <c r="M67" s="3" t="s">
        <v>234</v>
      </c>
      <c r="N67" s="6" t="s">
        <v>235</v>
      </c>
      <c r="O67" s="6" t="s">
        <v>236</v>
      </c>
      <c r="P67" s="3">
        <v>2295.0</v>
      </c>
      <c r="Q67" s="7" t="s">
        <v>60</v>
      </c>
    </row>
    <row r="68">
      <c r="A68" s="3" t="s">
        <v>229</v>
      </c>
      <c r="B68" s="3" t="s">
        <v>230</v>
      </c>
      <c r="C68" s="3" t="s">
        <v>231</v>
      </c>
      <c r="D68" s="3" t="s">
        <v>46</v>
      </c>
      <c r="E68" s="3" t="s">
        <v>239</v>
      </c>
      <c r="F68" s="7" t="s">
        <v>60</v>
      </c>
      <c r="H68" s="3" t="s">
        <v>110</v>
      </c>
      <c r="I68" s="3" t="s">
        <v>49</v>
      </c>
      <c r="J68" s="3">
        <v>2.0</v>
      </c>
      <c r="K68" s="3" t="s">
        <v>240</v>
      </c>
      <c r="L68" s="25" t="s">
        <v>233</v>
      </c>
      <c r="M68" s="3" t="s">
        <v>234</v>
      </c>
      <c r="N68" s="6" t="s">
        <v>235</v>
      </c>
      <c r="O68" s="6" t="s">
        <v>236</v>
      </c>
      <c r="P68" s="3">
        <v>2318.0</v>
      </c>
      <c r="Q68" s="7" t="s">
        <v>60</v>
      </c>
    </row>
    <row r="69" ht="16.5" customHeight="1">
      <c r="A69" s="3" t="s">
        <v>241</v>
      </c>
      <c r="B69" s="3" t="s">
        <v>242</v>
      </c>
      <c r="C69" s="3" t="s">
        <v>243</v>
      </c>
      <c r="D69" s="3" t="s">
        <v>46</v>
      </c>
      <c r="E69" s="3" t="s">
        <v>244</v>
      </c>
      <c r="F69" s="14">
        <v>45840.0</v>
      </c>
      <c r="G69" s="12" t="s">
        <v>136</v>
      </c>
      <c r="H69" s="3" t="s">
        <v>48</v>
      </c>
      <c r="I69" s="3" t="s">
        <v>49</v>
      </c>
      <c r="J69" s="3">
        <v>22.0</v>
      </c>
      <c r="K69" s="3" t="s">
        <v>245</v>
      </c>
      <c r="L69" s="3" t="s">
        <v>246</v>
      </c>
      <c r="M69" s="3" t="s">
        <v>150</v>
      </c>
      <c r="N69" s="6" t="s">
        <v>247</v>
      </c>
      <c r="O69" s="6" t="s">
        <v>152</v>
      </c>
      <c r="P69" s="3">
        <v>2101.0</v>
      </c>
      <c r="Q69" s="3">
        <v>1.0</v>
      </c>
      <c r="R69" s="3">
        <v>328.9</v>
      </c>
    </row>
    <row r="70">
      <c r="A70" s="3" t="s">
        <v>241</v>
      </c>
      <c r="B70" s="3" t="s">
        <v>242</v>
      </c>
      <c r="C70" s="3" t="s">
        <v>243</v>
      </c>
      <c r="D70" s="3" t="s">
        <v>46</v>
      </c>
      <c r="E70" s="3" t="s">
        <v>248</v>
      </c>
      <c r="F70" s="7" t="s">
        <v>60</v>
      </c>
      <c r="H70" s="3" t="s">
        <v>48</v>
      </c>
      <c r="I70" s="3" t="s">
        <v>49</v>
      </c>
      <c r="J70" s="3">
        <v>12.0</v>
      </c>
      <c r="K70" s="3" t="s">
        <v>249</v>
      </c>
      <c r="L70" s="3" t="s">
        <v>246</v>
      </c>
      <c r="M70" s="3" t="s">
        <v>150</v>
      </c>
      <c r="N70" s="6" t="s">
        <v>247</v>
      </c>
      <c r="O70" s="6" t="s">
        <v>152</v>
      </c>
      <c r="P70" s="3">
        <v>2101.0</v>
      </c>
      <c r="Q70" s="7" t="s">
        <v>60</v>
      </c>
    </row>
    <row r="71">
      <c r="A71" s="3" t="s">
        <v>241</v>
      </c>
      <c r="B71" s="3" t="s">
        <v>242</v>
      </c>
      <c r="C71" s="3" t="s">
        <v>243</v>
      </c>
      <c r="D71" s="3" t="s">
        <v>46</v>
      </c>
      <c r="E71" s="3" t="s">
        <v>250</v>
      </c>
      <c r="F71" s="7" t="s">
        <v>60</v>
      </c>
      <c r="H71" s="3" t="s">
        <v>48</v>
      </c>
      <c r="I71" s="3" t="s">
        <v>49</v>
      </c>
      <c r="J71" s="3">
        <v>8.0</v>
      </c>
      <c r="K71" s="3" t="s">
        <v>251</v>
      </c>
      <c r="L71" s="3" t="s">
        <v>246</v>
      </c>
      <c r="M71" s="3" t="s">
        <v>150</v>
      </c>
      <c r="N71" s="6" t="s">
        <v>247</v>
      </c>
      <c r="O71" s="6" t="s">
        <v>152</v>
      </c>
      <c r="P71" s="3">
        <v>2101.0</v>
      </c>
      <c r="Q71" s="7" t="s">
        <v>60</v>
      </c>
    </row>
    <row r="72">
      <c r="A72" s="3" t="s">
        <v>241</v>
      </c>
      <c r="B72" s="3" t="s">
        <v>242</v>
      </c>
      <c r="C72" s="3" t="s">
        <v>243</v>
      </c>
      <c r="D72" s="3" t="s">
        <v>46</v>
      </c>
      <c r="E72" s="3" t="s">
        <v>252</v>
      </c>
      <c r="F72" s="7" t="s">
        <v>60</v>
      </c>
      <c r="H72" s="3" t="s">
        <v>48</v>
      </c>
      <c r="I72" s="3" t="s">
        <v>49</v>
      </c>
      <c r="J72" s="3">
        <v>6.0</v>
      </c>
      <c r="K72" s="3" t="s">
        <v>253</v>
      </c>
      <c r="L72" s="3" t="s">
        <v>246</v>
      </c>
      <c r="M72" s="3" t="s">
        <v>150</v>
      </c>
      <c r="N72" s="6" t="s">
        <v>247</v>
      </c>
      <c r="O72" s="6" t="s">
        <v>152</v>
      </c>
      <c r="P72" s="3">
        <v>2097.0</v>
      </c>
      <c r="Q72" s="7" t="s">
        <v>60</v>
      </c>
    </row>
    <row r="73">
      <c r="A73" s="3" t="s">
        <v>241</v>
      </c>
      <c r="B73" s="3" t="s">
        <v>242</v>
      </c>
      <c r="C73" s="3" t="s">
        <v>243</v>
      </c>
      <c r="D73" s="3" t="s">
        <v>46</v>
      </c>
      <c r="E73" s="3" t="s">
        <v>254</v>
      </c>
      <c r="F73" s="7" t="s">
        <v>60</v>
      </c>
      <c r="H73" s="3" t="s">
        <v>48</v>
      </c>
      <c r="I73" s="3" t="s">
        <v>49</v>
      </c>
      <c r="J73" s="3">
        <v>6.0</v>
      </c>
      <c r="K73" s="3" t="s">
        <v>253</v>
      </c>
      <c r="L73" s="3" t="s">
        <v>246</v>
      </c>
      <c r="M73" s="3" t="s">
        <v>150</v>
      </c>
      <c r="N73" s="6" t="s">
        <v>247</v>
      </c>
      <c r="O73" s="6" t="s">
        <v>152</v>
      </c>
      <c r="P73" s="3">
        <v>2097.0</v>
      </c>
      <c r="Q73" s="7" t="s">
        <v>60</v>
      </c>
    </row>
    <row r="74">
      <c r="A74" s="3" t="s">
        <v>241</v>
      </c>
      <c r="B74" s="3" t="s">
        <v>242</v>
      </c>
      <c r="C74" s="3" t="s">
        <v>243</v>
      </c>
      <c r="D74" s="3" t="s">
        <v>46</v>
      </c>
      <c r="E74" s="3" t="s">
        <v>255</v>
      </c>
      <c r="F74" s="7" t="s">
        <v>60</v>
      </c>
      <c r="H74" s="3" t="s">
        <v>48</v>
      </c>
      <c r="I74" s="3" t="s">
        <v>49</v>
      </c>
      <c r="J74" s="3">
        <v>6.0</v>
      </c>
      <c r="K74" s="3" t="s">
        <v>253</v>
      </c>
      <c r="L74" s="3" t="s">
        <v>246</v>
      </c>
      <c r="M74" s="3" t="s">
        <v>150</v>
      </c>
      <c r="N74" s="6" t="s">
        <v>247</v>
      </c>
      <c r="O74" s="6" t="s">
        <v>152</v>
      </c>
      <c r="P74" s="3">
        <v>2097.0</v>
      </c>
      <c r="Q74" s="7" t="s">
        <v>60</v>
      </c>
    </row>
    <row r="75">
      <c r="A75" s="3" t="s">
        <v>256</v>
      </c>
      <c r="B75" s="23" t="s">
        <v>257</v>
      </c>
      <c r="C75" s="3" t="s">
        <v>258</v>
      </c>
      <c r="D75" s="3" t="s">
        <v>46</v>
      </c>
      <c r="E75" s="3" t="s">
        <v>259</v>
      </c>
      <c r="F75" s="5">
        <v>45901.0</v>
      </c>
      <c r="G75" s="12" t="s">
        <v>260</v>
      </c>
      <c r="H75" s="3" t="s">
        <v>48</v>
      </c>
      <c r="I75" s="3" t="s">
        <v>49</v>
      </c>
      <c r="J75" s="3">
        <v>5.0</v>
      </c>
      <c r="K75" s="3" t="s">
        <v>261</v>
      </c>
      <c r="L75" s="3" t="s">
        <v>262</v>
      </c>
      <c r="M75" s="3" t="s">
        <v>263</v>
      </c>
      <c r="N75" s="6" t="s">
        <v>264</v>
      </c>
      <c r="O75" s="6" t="s">
        <v>265</v>
      </c>
      <c r="P75" s="3">
        <v>2570.0</v>
      </c>
      <c r="Q75" s="3">
        <v>1.0</v>
      </c>
      <c r="R75" s="3">
        <v>299.0</v>
      </c>
    </row>
    <row r="76">
      <c r="A76" s="3" t="s">
        <v>256</v>
      </c>
      <c r="B76" s="23" t="s">
        <v>257</v>
      </c>
      <c r="C76" s="3" t="s">
        <v>258</v>
      </c>
      <c r="D76" s="3" t="s">
        <v>46</v>
      </c>
      <c r="E76" s="3" t="s">
        <v>266</v>
      </c>
      <c r="F76" s="7" t="s">
        <v>60</v>
      </c>
      <c r="H76" s="3" t="s">
        <v>48</v>
      </c>
      <c r="I76" s="3" t="s">
        <v>49</v>
      </c>
      <c r="J76" s="3">
        <v>1.0</v>
      </c>
      <c r="K76" s="3" t="s">
        <v>262</v>
      </c>
      <c r="L76" s="3" t="s">
        <v>262</v>
      </c>
      <c r="M76" s="3" t="s">
        <v>263</v>
      </c>
      <c r="N76" s="6" t="s">
        <v>264</v>
      </c>
      <c r="O76" s="6" t="s">
        <v>265</v>
      </c>
      <c r="P76" s="3">
        <v>2567.0</v>
      </c>
      <c r="Q76" s="7" t="s">
        <v>60</v>
      </c>
    </row>
    <row r="77">
      <c r="A77" s="3" t="s">
        <v>256</v>
      </c>
      <c r="B77" s="23" t="s">
        <v>257</v>
      </c>
      <c r="C77" s="3" t="s">
        <v>258</v>
      </c>
      <c r="D77" s="3" t="s">
        <v>46</v>
      </c>
      <c r="E77" s="3" t="s">
        <v>267</v>
      </c>
      <c r="F77" s="7" t="s">
        <v>60</v>
      </c>
      <c r="H77" s="3" t="s">
        <v>48</v>
      </c>
      <c r="I77" s="3" t="s">
        <v>49</v>
      </c>
      <c r="J77" s="3">
        <v>1.0</v>
      </c>
      <c r="K77" s="3" t="s">
        <v>262</v>
      </c>
      <c r="L77" s="3" t="s">
        <v>262</v>
      </c>
      <c r="M77" s="3" t="s">
        <v>263</v>
      </c>
      <c r="N77" s="6" t="s">
        <v>264</v>
      </c>
      <c r="O77" s="6" t="s">
        <v>265</v>
      </c>
      <c r="P77" s="3">
        <v>2570.0</v>
      </c>
      <c r="Q77" s="7" t="s">
        <v>60</v>
      </c>
    </row>
    <row r="78">
      <c r="A78" s="3" t="s">
        <v>256</v>
      </c>
      <c r="B78" s="23" t="s">
        <v>257</v>
      </c>
      <c r="C78" s="3" t="s">
        <v>258</v>
      </c>
      <c r="D78" s="3" t="s">
        <v>46</v>
      </c>
      <c r="E78" s="3" t="s">
        <v>268</v>
      </c>
      <c r="F78" s="7" t="s">
        <v>60</v>
      </c>
      <c r="H78" s="3" t="s">
        <v>48</v>
      </c>
      <c r="I78" s="3" t="s">
        <v>49</v>
      </c>
      <c r="J78" s="3">
        <v>1.0</v>
      </c>
      <c r="K78" s="3" t="s">
        <v>262</v>
      </c>
      <c r="L78" s="3" t="s">
        <v>262</v>
      </c>
      <c r="M78" s="3" t="s">
        <v>263</v>
      </c>
      <c r="N78" s="6" t="s">
        <v>264</v>
      </c>
      <c r="O78" s="6" t="s">
        <v>265</v>
      </c>
      <c r="P78" s="3">
        <v>2570.0</v>
      </c>
      <c r="Q78" s="7" t="s">
        <v>60</v>
      </c>
    </row>
    <row r="79">
      <c r="A79" s="3" t="s">
        <v>256</v>
      </c>
      <c r="B79" s="23" t="s">
        <v>257</v>
      </c>
      <c r="C79" s="3" t="s">
        <v>258</v>
      </c>
      <c r="D79" s="3" t="s">
        <v>46</v>
      </c>
      <c r="E79" s="3" t="s">
        <v>269</v>
      </c>
      <c r="F79" s="7" t="s">
        <v>60</v>
      </c>
      <c r="H79" s="3" t="s">
        <v>48</v>
      </c>
      <c r="I79" s="3" t="s">
        <v>49</v>
      </c>
      <c r="J79" s="3">
        <v>1.0</v>
      </c>
      <c r="K79" s="3" t="s">
        <v>262</v>
      </c>
      <c r="L79" s="3" t="s">
        <v>262</v>
      </c>
      <c r="M79" s="3" t="s">
        <v>263</v>
      </c>
      <c r="N79" s="6" t="s">
        <v>264</v>
      </c>
      <c r="O79" s="6" t="s">
        <v>265</v>
      </c>
      <c r="P79" s="3">
        <v>2570.0</v>
      </c>
      <c r="Q79" s="7" t="s">
        <v>60</v>
      </c>
    </row>
    <row r="80">
      <c r="A80" s="3" t="s">
        <v>256</v>
      </c>
      <c r="B80" s="23" t="s">
        <v>257</v>
      </c>
      <c r="C80" s="3" t="s">
        <v>258</v>
      </c>
      <c r="D80" s="3" t="s">
        <v>46</v>
      </c>
      <c r="E80" s="3" t="s">
        <v>270</v>
      </c>
      <c r="F80" s="7" t="s">
        <v>60</v>
      </c>
      <c r="H80" s="3" t="s">
        <v>48</v>
      </c>
      <c r="I80" s="3" t="s">
        <v>49</v>
      </c>
      <c r="J80" s="3">
        <v>3.0</v>
      </c>
      <c r="K80" s="3" t="s">
        <v>271</v>
      </c>
      <c r="L80" s="3" t="s">
        <v>272</v>
      </c>
      <c r="M80" s="3" t="s">
        <v>263</v>
      </c>
      <c r="N80" s="6" t="s">
        <v>264</v>
      </c>
      <c r="O80" s="6" t="s">
        <v>265</v>
      </c>
      <c r="P80" s="3">
        <v>2570.0</v>
      </c>
      <c r="Q80" s="7" t="s">
        <v>60</v>
      </c>
    </row>
    <row r="81">
      <c r="A81" s="3" t="s">
        <v>256</v>
      </c>
      <c r="B81" s="23" t="s">
        <v>257</v>
      </c>
      <c r="C81" s="3" t="s">
        <v>258</v>
      </c>
      <c r="D81" s="3" t="s">
        <v>46</v>
      </c>
      <c r="E81" s="3" t="s">
        <v>273</v>
      </c>
      <c r="F81" s="7" t="s">
        <v>60</v>
      </c>
      <c r="H81" s="3" t="s">
        <v>48</v>
      </c>
      <c r="I81" s="3" t="s">
        <v>49</v>
      </c>
      <c r="J81" s="3">
        <v>1.0</v>
      </c>
      <c r="K81" s="3" t="s">
        <v>272</v>
      </c>
      <c r="L81" s="3" t="s">
        <v>272</v>
      </c>
      <c r="M81" s="3" t="s">
        <v>263</v>
      </c>
      <c r="N81" s="6" t="s">
        <v>264</v>
      </c>
      <c r="O81" s="6" t="s">
        <v>265</v>
      </c>
      <c r="P81" s="3">
        <v>2565.0</v>
      </c>
      <c r="Q81" s="7" t="s">
        <v>60</v>
      </c>
    </row>
    <row r="82">
      <c r="A82" s="3" t="s">
        <v>256</v>
      </c>
      <c r="B82" s="23" t="s">
        <v>257</v>
      </c>
      <c r="C82" s="3" t="s">
        <v>258</v>
      </c>
      <c r="D82" s="3" t="s">
        <v>46</v>
      </c>
      <c r="E82" s="3" t="s">
        <v>274</v>
      </c>
      <c r="F82" s="7" t="s">
        <v>60</v>
      </c>
      <c r="H82" s="3" t="s">
        <v>48</v>
      </c>
      <c r="I82" s="3" t="s">
        <v>49</v>
      </c>
      <c r="J82" s="3">
        <v>1.0</v>
      </c>
      <c r="K82" s="3" t="s">
        <v>272</v>
      </c>
      <c r="L82" s="3" t="s">
        <v>272</v>
      </c>
      <c r="M82" s="3" t="s">
        <v>263</v>
      </c>
      <c r="N82" s="6" t="s">
        <v>264</v>
      </c>
      <c r="O82" s="6" t="s">
        <v>265</v>
      </c>
      <c r="P82" s="3">
        <v>2570.0</v>
      </c>
      <c r="Q82" s="7" t="s">
        <v>60</v>
      </c>
    </row>
    <row r="83">
      <c r="A83" s="3" t="s">
        <v>256</v>
      </c>
      <c r="B83" s="23" t="s">
        <v>257</v>
      </c>
      <c r="C83" s="3" t="s">
        <v>258</v>
      </c>
      <c r="D83" s="3" t="s">
        <v>46</v>
      </c>
      <c r="E83" s="3" t="s">
        <v>275</v>
      </c>
      <c r="F83" s="7" t="s">
        <v>60</v>
      </c>
      <c r="H83" s="3" t="s">
        <v>48</v>
      </c>
      <c r="I83" s="3" t="s">
        <v>49</v>
      </c>
      <c r="J83" s="3">
        <v>1.0</v>
      </c>
      <c r="K83" s="3" t="s">
        <v>272</v>
      </c>
      <c r="L83" s="3" t="s">
        <v>272</v>
      </c>
      <c r="M83" s="3" t="s">
        <v>263</v>
      </c>
      <c r="N83" s="6" t="s">
        <v>264</v>
      </c>
      <c r="O83" s="6" t="s">
        <v>265</v>
      </c>
      <c r="P83" s="3">
        <v>2566.0</v>
      </c>
      <c r="Q83" s="7" t="s">
        <v>60</v>
      </c>
    </row>
    <row r="84">
      <c r="A84" s="3" t="s">
        <v>256</v>
      </c>
      <c r="B84" s="23" t="s">
        <v>257</v>
      </c>
      <c r="C84" s="3" t="s">
        <v>258</v>
      </c>
      <c r="D84" s="3" t="s">
        <v>46</v>
      </c>
      <c r="E84" s="3" t="s">
        <v>276</v>
      </c>
      <c r="F84" s="7" t="s">
        <v>60</v>
      </c>
      <c r="H84" s="3" t="s">
        <v>48</v>
      </c>
      <c r="I84" s="3" t="s">
        <v>49</v>
      </c>
      <c r="J84" s="3">
        <v>1.0</v>
      </c>
      <c r="K84" s="3" t="s">
        <v>272</v>
      </c>
      <c r="L84" s="3" t="s">
        <v>272</v>
      </c>
      <c r="M84" s="3" t="s">
        <v>263</v>
      </c>
      <c r="N84" s="6" t="s">
        <v>264</v>
      </c>
      <c r="O84" s="6" t="s">
        <v>265</v>
      </c>
      <c r="P84" s="3">
        <v>2565.0</v>
      </c>
      <c r="Q84" s="7" t="s">
        <v>60</v>
      </c>
    </row>
    <row r="85">
      <c r="A85" s="19" t="s">
        <v>277</v>
      </c>
      <c r="B85" s="19" t="s">
        <v>278</v>
      </c>
      <c r="C85" s="19" t="s">
        <v>279</v>
      </c>
      <c r="D85" s="19" t="s">
        <v>46</v>
      </c>
      <c r="E85" s="3" t="s">
        <v>280</v>
      </c>
      <c r="F85" s="5">
        <v>45944.0</v>
      </c>
      <c r="G85" s="26" t="s">
        <v>214</v>
      </c>
      <c r="H85" s="19" t="s">
        <v>48</v>
      </c>
      <c r="I85" s="3" t="s">
        <v>49</v>
      </c>
      <c r="J85" s="3">
        <v>3.0</v>
      </c>
      <c r="K85" s="3" t="s">
        <v>281</v>
      </c>
      <c r="L85" s="3" t="s">
        <v>282</v>
      </c>
      <c r="M85" s="3" t="s">
        <v>283</v>
      </c>
      <c r="N85" s="6" t="s">
        <v>284</v>
      </c>
      <c r="O85" s="6" t="s">
        <v>285</v>
      </c>
      <c r="P85" s="3">
        <v>2284.0</v>
      </c>
      <c r="Q85" s="3">
        <v>2.0</v>
      </c>
      <c r="R85" s="3">
        <v>383.9</v>
      </c>
    </row>
    <row r="86">
      <c r="A86" s="19" t="s">
        <v>277</v>
      </c>
      <c r="B86" s="19" t="s">
        <v>278</v>
      </c>
      <c r="C86" s="19" t="s">
        <v>279</v>
      </c>
      <c r="D86" s="19" t="s">
        <v>46</v>
      </c>
      <c r="E86" s="3" t="s">
        <v>286</v>
      </c>
      <c r="F86" s="7" t="s">
        <v>60</v>
      </c>
      <c r="H86" s="19" t="s">
        <v>48</v>
      </c>
      <c r="I86" s="3" t="s">
        <v>49</v>
      </c>
      <c r="J86" s="3">
        <v>1.0</v>
      </c>
      <c r="K86" s="3" t="s">
        <v>282</v>
      </c>
      <c r="L86" s="3" t="s">
        <v>282</v>
      </c>
      <c r="M86" s="3" t="s">
        <v>283</v>
      </c>
      <c r="N86" s="6" t="s">
        <v>284</v>
      </c>
      <c r="O86" s="6" t="s">
        <v>285</v>
      </c>
      <c r="P86" s="3">
        <v>2284.0</v>
      </c>
      <c r="Q86" s="7" t="s">
        <v>60</v>
      </c>
    </row>
    <row r="87">
      <c r="A87" s="19" t="s">
        <v>277</v>
      </c>
      <c r="B87" s="19" t="s">
        <v>278</v>
      </c>
      <c r="C87" s="19" t="s">
        <v>279</v>
      </c>
      <c r="D87" s="19" t="s">
        <v>46</v>
      </c>
      <c r="E87" s="3" t="s">
        <v>287</v>
      </c>
      <c r="F87" s="7" t="s">
        <v>60</v>
      </c>
      <c r="H87" s="19" t="s">
        <v>48</v>
      </c>
      <c r="I87" s="3" t="s">
        <v>49</v>
      </c>
      <c r="J87" s="3">
        <v>2.0</v>
      </c>
      <c r="K87" s="3" t="s">
        <v>288</v>
      </c>
      <c r="L87" s="3" t="s">
        <v>282</v>
      </c>
      <c r="M87" s="3" t="s">
        <v>283</v>
      </c>
      <c r="N87" s="6" t="s">
        <v>284</v>
      </c>
      <c r="O87" s="6" t="s">
        <v>285</v>
      </c>
      <c r="P87" s="3">
        <v>2280.0</v>
      </c>
      <c r="Q87" s="7" t="s">
        <v>60</v>
      </c>
    </row>
    <row r="88">
      <c r="A88" s="19" t="s">
        <v>277</v>
      </c>
      <c r="B88" s="19" t="s">
        <v>278</v>
      </c>
      <c r="C88" s="19" t="s">
        <v>279</v>
      </c>
      <c r="D88" s="19" t="s">
        <v>46</v>
      </c>
      <c r="E88" s="3" t="s">
        <v>289</v>
      </c>
      <c r="F88" s="7" t="s">
        <v>60</v>
      </c>
      <c r="H88" s="19" t="s">
        <v>48</v>
      </c>
      <c r="I88" s="3" t="s">
        <v>49</v>
      </c>
      <c r="J88" s="3">
        <v>2.0</v>
      </c>
      <c r="K88" s="3" t="s">
        <v>288</v>
      </c>
      <c r="L88" s="3" t="s">
        <v>282</v>
      </c>
      <c r="M88" s="3" t="s">
        <v>283</v>
      </c>
      <c r="N88" s="6" t="s">
        <v>284</v>
      </c>
      <c r="O88" s="6" t="s">
        <v>285</v>
      </c>
      <c r="P88" s="3">
        <v>2280.0</v>
      </c>
      <c r="Q88" s="7" t="s">
        <v>60</v>
      </c>
    </row>
    <row r="89">
      <c r="A89" s="19" t="s">
        <v>277</v>
      </c>
      <c r="B89" s="19" t="s">
        <v>278</v>
      </c>
      <c r="C89" s="19" t="s">
        <v>279</v>
      </c>
      <c r="D89" s="19" t="s">
        <v>46</v>
      </c>
      <c r="E89" s="3" t="s">
        <v>290</v>
      </c>
      <c r="F89" s="7" t="s">
        <v>60</v>
      </c>
      <c r="H89" s="19" t="s">
        <v>48</v>
      </c>
      <c r="I89" s="3" t="s">
        <v>49</v>
      </c>
      <c r="J89" s="3">
        <v>1.0</v>
      </c>
      <c r="K89" s="3" t="s">
        <v>282</v>
      </c>
      <c r="L89" s="3" t="s">
        <v>282</v>
      </c>
      <c r="M89" s="3" t="s">
        <v>283</v>
      </c>
      <c r="N89" s="6" t="s">
        <v>284</v>
      </c>
      <c r="O89" s="6" t="s">
        <v>285</v>
      </c>
      <c r="P89" s="3">
        <v>2290.0</v>
      </c>
      <c r="Q89" s="7" t="s">
        <v>60</v>
      </c>
    </row>
    <row r="90">
      <c r="A90" s="19" t="s">
        <v>277</v>
      </c>
      <c r="B90" s="19" t="s">
        <v>278</v>
      </c>
      <c r="C90" s="19" t="s">
        <v>279</v>
      </c>
      <c r="D90" s="19" t="s">
        <v>46</v>
      </c>
      <c r="E90" s="3" t="s">
        <v>291</v>
      </c>
      <c r="F90" s="7" t="s">
        <v>60</v>
      </c>
      <c r="H90" s="19" t="s">
        <v>48</v>
      </c>
      <c r="I90" s="3" t="s">
        <v>49</v>
      </c>
      <c r="J90" s="3">
        <v>1.0</v>
      </c>
      <c r="K90" s="3" t="s">
        <v>282</v>
      </c>
      <c r="L90" s="3" t="s">
        <v>282</v>
      </c>
      <c r="M90" s="3" t="s">
        <v>283</v>
      </c>
      <c r="N90" s="6" t="s">
        <v>284</v>
      </c>
      <c r="O90" s="6" t="s">
        <v>285</v>
      </c>
      <c r="P90" s="3">
        <v>2282.0</v>
      </c>
      <c r="Q90" s="7" t="s">
        <v>60</v>
      </c>
    </row>
    <row r="91">
      <c r="A91" s="19" t="s">
        <v>277</v>
      </c>
      <c r="B91" s="19" t="s">
        <v>278</v>
      </c>
      <c r="C91" s="19" t="s">
        <v>279</v>
      </c>
      <c r="D91" s="19" t="s">
        <v>46</v>
      </c>
      <c r="E91" s="27" t="s">
        <v>292</v>
      </c>
      <c r="F91" s="7" t="s">
        <v>60</v>
      </c>
      <c r="H91" s="19" t="s">
        <v>48</v>
      </c>
      <c r="I91" s="3" t="s">
        <v>49</v>
      </c>
      <c r="J91" s="3">
        <v>1.0</v>
      </c>
      <c r="K91" s="3" t="s">
        <v>282</v>
      </c>
      <c r="L91" s="3" t="s">
        <v>282</v>
      </c>
      <c r="M91" s="3" t="s">
        <v>283</v>
      </c>
      <c r="N91" s="6" t="s">
        <v>284</v>
      </c>
      <c r="O91" s="6" t="s">
        <v>285</v>
      </c>
      <c r="P91" s="3">
        <v>2283.0</v>
      </c>
      <c r="Q91" s="7" t="s">
        <v>60</v>
      </c>
    </row>
    <row r="92">
      <c r="A92" s="3" t="s">
        <v>293</v>
      </c>
      <c r="B92" s="3" t="s">
        <v>294</v>
      </c>
      <c r="C92" s="19" t="s">
        <v>295</v>
      </c>
      <c r="D92" s="19" t="s">
        <v>46</v>
      </c>
      <c r="E92" s="3" t="s">
        <v>296</v>
      </c>
      <c r="F92" s="14">
        <v>46000.0</v>
      </c>
      <c r="G92" s="12" t="s">
        <v>136</v>
      </c>
      <c r="H92" s="19" t="s">
        <v>48</v>
      </c>
      <c r="I92" s="3" t="s">
        <v>49</v>
      </c>
      <c r="J92" s="3">
        <v>7.0</v>
      </c>
      <c r="K92" s="3" t="s">
        <v>297</v>
      </c>
      <c r="L92" s="3" t="s">
        <v>298</v>
      </c>
      <c r="M92" s="3" t="s">
        <v>299</v>
      </c>
      <c r="N92" s="6" t="s">
        <v>300</v>
      </c>
      <c r="O92" s="6" t="s">
        <v>301</v>
      </c>
      <c r="P92" s="3">
        <v>2756.0</v>
      </c>
      <c r="Q92" s="3">
        <v>1.0</v>
      </c>
      <c r="R92" s="3">
        <v>328.9</v>
      </c>
    </row>
    <row r="93">
      <c r="A93" s="3" t="s">
        <v>293</v>
      </c>
      <c r="B93" s="3" t="s">
        <v>294</v>
      </c>
      <c r="C93" s="19" t="s">
        <v>295</v>
      </c>
      <c r="D93" s="19" t="s">
        <v>46</v>
      </c>
      <c r="E93" s="3" t="s">
        <v>302</v>
      </c>
      <c r="F93" s="7" t="s">
        <v>60</v>
      </c>
      <c r="H93" s="19" t="s">
        <v>48</v>
      </c>
      <c r="I93" s="3" t="s">
        <v>49</v>
      </c>
      <c r="J93" s="3">
        <v>19.0</v>
      </c>
      <c r="K93" s="3" t="s">
        <v>303</v>
      </c>
      <c r="L93" s="3" t="s">
        <v>304</v>
      </c>
      <c r="M93" s="3" t="s">
        <v>299</v>
      </c>
      <c r="N93" s="6" t="s">
        <v>300</v>
      </c>
      <c r="O93" s="6" t="s">
        <v>301</v>
      </c>
      <c r="P93" s="3">
        <v>2756.0</v>
      </c>
      <c r="Q93" s="7" t="s">
        <v>60</v>
      </c>
    </row>
    <row r="94">
      <c r="A94" s="3" t="s">
        <v>293</v>
      </c>
      <c r="B94" s="3" t="s">
        <v>294</v>
      </c>
      <c r="C94" s="19" t="s">
        <v>295</v>
      </c>
      <c r="D94" s="19" t="s">
        <v>46</v>
      </c>
      <c r="E94" s="3" t="s">
        <v>305</v>
      </c>
      <c r="F94" s="7" t="s">
        <v>60</v>
      </c>
      <c r="H94" s="19" t="s">
        <v>48</v>
      </c>
      <c r="I94" s="3" t="s">
        <v>49</v>
      </c>
      <c r="J94" s="3">
        <v>19.0</v>
      </c>
      <c r="K94" s="3" t="s">
        <v>303</v>
      </c>
      <c r="L94" s="3" t="s">
        <v>304</v>
      </c>
      <c r="M94" s="3" t="s">
        <v>299</v>
      </c>
      <c r="N94" s="6" t="s">
        <v>300</v>
      </c>
      <c r="O94" s="6" t="s">
        <v>301</v>
      </c>
      <c r="P94" s="3">
        <v>2756.0</v>
      </c>
      <c r="Q94" s="7" t="s">
        <v>60</v>
      </c>
    </row>
    <row r="95">
      <c r="A95" s="3" t="s">
        <v>293</v>
      </c>
      <c r="B95" s="3" t="s">
        <v>294</v>
      </c>
      <c r="C95" s="19" t="s">
        <v>295</v>
      </c>
      <c r="D95" s="19" t="s">
        <v>46</v>
      </c>
      <c r="E95" s="3" t="s">
        <v>306</v>
      </c>
      <c r="F95" s="7" t="s">
        <v>60</v>
      </c>
      <c r="H95" s="19" t="s">
        <v>48</v>
      </c>
      <c r="I95" s="3" t="s">
        <v>49</v>
      </c>
      <c r="J95" s="3">
        <v>5.0</v>
      </c>
      <c r="K95" s="3" t="s">
        <v>149</v>
      </c>
      <c r="L95" s="3" t="s">
        <v>307</v>
      </c>
      <c r="M95" s="3" t="s">
        <v>299</v>
      </c>
      <c r="N95" s="6" t="s">
        <v>300</v>
      </c>
      <c r="O95" s="6" t="s">
        <v>301</v>
      </c>
      <c r="P95" s="3">
        <v>2753.0</v>
      </c>
      <c r="Q95" s="3">
        <v>1.0</v>
      </c>
      <c r="R95" s="3">
        <v>328.9</v>
      </c>
    </row>
    <row r="96">
      <c r="A96" s="3" t="s">
        <v>293</v>
      </c>
      <c r="B96" s="3" t="s">
        <v>294</v>
      </c>
      <c r="C96" s="19" t="s">
        <v>295</v>
      </c>
      <c r="D96" s="19" t="s">
        <v>46</v>
      </c>
      <c r="E96" s="3" t="s">
        <v>308</v>
      </c>
      <c r="F96" s="14">
        <v>46030.0</v>
      </c>
      <c r="G96" s="12" t="s">
        <v>136</v>
      </c>
      <c r="H96" s="19" t="s">
        <v>48</v>
      </c>
      <c r="I96" s="3" t="s">
        <v>49</v>
      </c>
      <c r="J96" s="3">
        <v>5.0</v>
      </c>
      <c r="K96" s="3" t="s">
        <v>149</v>
      </c>
      <c r="L96" s="3" t="s">
        <v>307</v>
      </c>
      <c r="M96" s="3" t="s">
        <v>299</v>
      </c>
      <c r="N96" s="6" t="s">
        <v>300</v>
      </c>
      <c r="O96" s="6" t="s">
        <v>301</v>
      </c>
      <c r="P96" s="3">
        <v>2753.0</v>
      </c>
      <c r="Q96" s="7" t="s">
        <v>60</v>
      </c>
    </row>
    <row r="97">
      <c r="A97" s="3" t="s">
        <v>293</v>
      </c>
      <c r="B97" s="3" t="s">
        <v>294</v>
      </c>
      <c r="C97" s="19" t="s">
        <v>295</v>
      </c>
      <c r="D97" s="19" t="s">
        <v>46</v>
      </c>
      <c r="E97" s="3" t="s">
        <v>309</v>
      </c>
      <c r="F97" s="7" t="s">
        <v>60</v>
      </c>
      <c r="H97" s="19" t="s">
        <v>48</v>
      </c>
      <c r="I97" s="3" t="s">
        <v>49</v>
      </c>
      <c r="J97" s="3">
        <v>5.0</v>
      </c>
      <c r="K97" s="3" t="s">
        <v>149</v>
      </c>
      <c r="L97" s="3" t="s">
        <v>307</v>
      </c>
      <c r="M97" s="3" t="s">
        <v>299</v>
      </c>
      <c r="N97" s="6" t="s">
        <v>300</v>
      </c>
      <c r="O97" s="9" t="s">
        <v>301</v>
      </c>
      <c r="P97" s="3">
        <v>2754.0</v>
      </c>
      <c r="Q97" s="7" t="s">
        <v>60</v>
      </c>
    </row>
    <row r="98">
      <c r="A98" s="3" t="s">
        <v>293</v>
      </c>
      <c r="B98" s="3" t="s">
        <v>294</v>
      </c>
      <c r="C98" s="19" t="s">
        <v>295</v>
      </c>
      <c r="D98" s="19" t="s">
        <v>46</v>
      </c>
      <c r="E98" s="3" t="s">
        <v>310</v>
      </c>
      <c r="F98" s="7" t="s">
        <v>60</v>
      </c>
      <c r="H98" s="19" t="s">
        <v>48</v>
      </c>
      <c r="I98" s="3" t="s">
        <v>49</v>
      </c>
      <c r="J98" s="3">
        <v>5.0</v>
      </c>
      <c r="K98" s="3" t="s">
        <v>149</v>
      </c>
      <c r="L98" s="3" t="s">
        <v>307</v>
      </c>
      <c r="M98" s="3" t="s">
        <v>299</v>
      </c>
      <c r="N98" s="6" t="s">
        <v>300</v>
      </c>
      <c r="O98" s="6" t="s">
        <v>301</v>
      </c>
      <c r="P98" s="3">
        <v>2754.0</v>
      </c>
      <c r="Q98" s="7" t="s">
        <v>60</v>
      </c>
    </row>
    <row r="99">
      <c r="A99" s="3" t="s">
        <v>293</v>
      </c>
      <c r="B99" s="3" t="s">
        <v>294</v>
      </c>
      <c r="C99" s="19" t="s">
        <v>295</v>
      </c>
      <c r="D99" s="19" t="s">
        <v>46</v>
      </c>
      <c r="E99" s="3" t="s">
        <v>311</v>
      </c>
      <c r="F99" s="7" t="s">
        <v>60</v>
      </c>
      <c r="H99" s="19" t="s">
        <v>48</v>
      </c>
      <c r="I99" s="3" t="s">
        <v>49</v>
      </c>
      <c r="J99" s="3">
        <v>5.0</v>
      </c>
      <c r="K99" s="3" t="s">
        <v>149</v>
      </c>
      <c r="L99" s="3" t="s">
        <v>307</v>
      </c>
      <c r="M99" s="3" t="s">
        <v>299</v>
      </c>
      <c r="N99" s="6" t="s">
        <v>300</v>
      </c>
      <c r="O99" s="6" t="s">
        <v>301</v>
      </c>
      <c r="P99" s="3">
        <v>2754.0</v>
      </c>
      <c r="Q99" s="7" t="s">
        <v>60</v>
      </c>
    </row>
    <row r="100">
      <c r="A100" s="3" t="s">
        <v>293</v>
      </c>
      <c r="B100" s="3" t="s">
        <v>294</v>
      </c>
      <c r="C100" s="19" t="s">
        <v>295</v>
      </c>
      <c r="D100" s="19" t="s">
        <v>46</v>
      </c>
      <c r="E100" s="3" t="s">
        <v>312</v>
      </c>
      <c r="F100" s="7" t="s">
        <v>60</v>
      </c>
      <c r="H100" s="19" t="s">
        <v>48</v>
      </c>
      <c r="I100" s="3" t="s">
        <v>49</v>
      </c>
      <c r="J100" s="3">
        <v>5.0</v>
      </c>
      <c r="K100" s="3" t="s">
        <v>149</v>
      </c>
      <c r="L100" s="3" t="s">
        <v>307</v>
      </c>
      <c r="M100" s="3" t="s">
        <v>299</v>
      </c>
      <c r="N100" s="6" t="s">
        <v>300</v>
      </c>
      <c r="O100" s="6" t="s">
        <v>301</v>
      </c>
      <c r="P100" s="3">
        <v>2754.0</v>
      </c>
      <c r="Q100" s="7" t="s">
        <v>60</v>
      </c>
    </row>
    <row r="101">
      <c r="A101" s="3" t="s">
        <v>293</v>
      </c>
      <c r="B101" s="3" t="s">
        <v>294</v>
      </c>
      <c r="C101" s="19" t="s">
        <v>295</v>
      </c>
      <c r="D101" s="19" t="s">
        <v>46</v>
      </c>
      <c r="E101" s="3" t="s">
        <v>313</v>
      </c>
      <c r="F101" s="7" t="s">
        <v>60</v>
      </c>
      <c r="H101" s="19" t="s">
        <v>48</v>
      </c>
      <c r="I101" s="3" t="s">
        <v>49</v>
      </c>
      <c r="J101" s="3">
        <v>5.0</v>
      </c>
      <c r="K101" s="3" t="s">
        <v>149</v>
      </c>
      <c r="L101" s="3" t="s">
        <v>307</v>
      </c>
      <c r="M101" s="3" t="s">
        <v>299</v>
      </c>
      <c r="N101" s="6" t="s">
        <v>300</v>
      </c>
      <c r="O101" s="6" t="s">
        <v>301</v>
      </c>
      <c r="P101" s="3">
        <v>2758.0</v>
      </c>
      <c r="Q101" s="7" t="s">
        <v>60</v>
      </c>
    </row>
    <row r="102">
      <c r="A102" s="3" t="s">
        <v>293</v>
      </c>
      <c r="B102" s="3" t="s">
        <v>294</v>
      </c>
      <c r="C102" s="19" t="s">
        <v>295</v>
      </c>
      <c r="D102" s="19" t="s">
        <v>46</v>
      </c>
      <c r="E102" s="3" t="s">
        <v>314</v>
      </c>
      <c r="F102" s="7" t="s">
        <v>60</v>
      </c>
      <c r="H102" s="19" t="s">
        <v>48</v>
      </c>
      <c r="I102" s="3" t="s">
        <v>49</v>
      </c>
      <c r="J102" s="3">
        <v>5.0</v>
      </c>
      <c r="K102" s="3" t="s">
        <v>149</v>
      </c>
      <c r="L102" s="3" t="s">
        <v>307</v>
      </c>
      <c r="M102" s="3" t="s">
        <v>299</v>
      </c>
      <c r="N102" s="6" t="s">
        <v>300</v>
      </c>
      <c r="O102" s="6" t="s">
        <v>301</v>
      </c>
      <c r="P102" s="3">
        <v>2758.0</v>
      </c>
      <c r="Q102" s="7" t="s">
        <v>60</v>
      </c>
    </row>
    <row r="103">
      <c r="A103" s="3" t="s">
        <v>293</v>
      </c>
      <c r="B103" s="3" t="s">
        <v>294</v>
      </c>
      <c r="C103" s="19" t="s">
        <v>295</v>
      </c>
      <c r="D103" s="19" t="s">
        <v>46</v>
      </c>
      <c r="E103" s="3" t="s">
        <v>315</v>
      </c>
      <c r="F103" s="7" t="s">
        <v>60</v>
      </c>
      <c r="H103" s="19" t="s">
        <v>48</v>
      </c>
      <c r="I103" s="3" t="s">
        <v>49</v>
      </c>
      <c r="J103" s="3">
        <v>5.0</v>
      </c>
      <c r="K103" s="3" t="s">
        <v>149</v>
      </c>
      <c r="L103" s="3" t="s">
        <v>307</v>
      </c>
      <c r="M103" s="3" t="s">
        <v>299</v>
      </c>
      <c r="N103" s="6" t="s">
        <v>300</v>
      </c>
      <c r="O103" s="6" t="s">
        <v>301</v>
      </c>
      <c r="P103" s="3">
        <v>2756.0</v>
      </c>
      <c r="Q103" s="7" t="s">
        <v>60</v>
      </c>
    </row>
    <row r="104">
      <c r="A104" s="3" t="s">
        <v>293</v>
      </c>
      <c r="B104" s="3" t="s">
        <v>294</v>
      </c>
      <c r="C104" s="19" t="s">
        <v>295</v>
      </c>
      <c r="D104" s="19" t="s">
        <v>46</v>
      </c>
      <c r="E104" s="3" t="s">
        <v>316</v>
      </c>
      <c r="F104" s="7" t="s">
        <v>60</v>
      </c>
      <c r="H104" s="19" t="s">
        <v>48</v>
      </c>
      <c r="I104" s="3" t="s">
        <v>49</v>
      </c>
      <c r="J104" s="3">
        <v>5.0</v>
      </c>
      <c r="K104" s="3" t="s">
        <v>149</v>
      </c>
      <c r="L104" s="3" t="s">
        <v>307</v>
      </c>
      <c r="M104" s="3" t="s">
        <v>299</v>
      </c>
      <c r="N104" s="6" t="s">
        <v>300</v>
      </c>
      <c r="O104" s="6" t="s">
        <v>301</v>
      </c>
      <c r="P104" s="3">
        <v>2756.0</v>
      </c>
      <c r="Q104" s="7" t="s">
        <v>60</v>
      </c>
    </row>
    <row r="105">
      <c r="A105" s="3" t="s">
        <v>293</v>
      </c>
      <c r="B105" s="3" t="s">
        <v>294</v>
      </c>
      <c r="C105" s="19" t="s">
        <v>295</v>
      </c>
      <c r="D105" s="19" t="s">
        <v>46</v>
      </c>
      <c r="E105" s="3" t="s">
        <v>317</v>
      </c>
      <c r="F105" s="7" t="s">
        <v>60</v>
      </c>
      <c r="H105" s="19" t="s">
        <v>48</v>
      </c>
      <c r="I105" s="3" t="s">
        <v>49</v>
      </c>
      <c r="J105" s="3">
        <v>2.0</v>
      </c>
      <c r="K105" s="28" t="s">
        <v>318</v>
      </c>
      <c r="L105" s="3" t="s">
        <v>307</v>
      </c>
      <c r="M105" s="3" t="s">
        <v>299</v>
      </c>
      <c r="N105" s="6" t="s">
        <v>300</v>
      </c>
      <c r="O105" s="6" t="s">
        <v>301</v>
      </c>
      <c r="P105" s="3">
        <v>2765.0</v>
      </c>
      <c r="Q105" s="7" t="s">
        <v>60</v>
      </c>
    </row>
    <row r="106">
      <c r="A106" s="3" t="s">
        <v>293</v>
      </c>
      <c r="B106" s="3" t="s">
        <v>294</v>
      </c>
      <c r="C106" s="19" t="s">
        <v>295</v>
      </c>
      <c r="D106" s="19" t="s">
        <v>46</v>
      </c>
      <c r="E106" s="3" t="s">
        <v>319</v>
      </c>
      <c r="F106" s="7" t="s">
        <v>60</v>
      </c>
      <c r="H106" s="19" t="s">
        <v>48</v>
      </c>
      <c r="I106" s="3" t="s">
        <v>49</v>
      </c>
      <c r="J106" s="3">
        <v>2.0</v>
      </c>
      <c r="K106" s="28" t="s">
        <v>318</v>
      </c>
      <c r="L106" s="3" t="s">
        <v>307</v>
      </c>
      <c r="M106" s="3" t="s">
        <v>299</v>
      </c>
      <c r="N106" s="6" t="s">
        <v>300</v>
      </c>
      <c r="O106" s="6" t="s">
        <v>301</v>
      </c>
      <c r="P106" s="3">
        <v>2756.0</v>
      </c>
      <c r="Q106" s="7" t="s">
        <v>60</v>
      </c>
    </row>
    <row r="107">
      <c r="A107" s="19" t="s">
        <v>320</v>
      </c>
      <c r="B107" s="19" t="s">
        <v>321</v>
      </c>
      <c r="C107" s="19" t="s">
        <v>322</v>
      </c>
      <c r="D107" s="19" t="s">
        <v>46</v>
      </c>
      <c r="E107" s="3" t="s">
        <v>323</v>
      </c>
      <c r="F107" s="5">
        <v>45982.0</v>
      </c>
      <c r="G107" s="24" t="s">
        <v>214</v>
      </c>
      <c r="H107" s="19" t="s">
        <v>48</v>
      </c>
      <c r="I107" s="19" t="s">
        <v>49</v>
      </c>
      <c r="J107" s="18">
        <v>4.0</v>
      </c>
      <c r="K107" s="19" t="s">
        <v>324</v>
      </c>
      <c r="L107" s="19" t="s">
        <v>325</v>
      </c>
      <c r="M107" s="19" t="s">
        <v>326</v>
      </c>
      <c r="N107" s="29" t="s">
        <v>327</v>
      </c>
      <c r="O107" s="29" t="s">
        <v>328</v>
      </c>
      <c r="P107" s="19">
        <v>2303.0</v>
      </c>
      <c r="Q107" s="19">
        <v>2.0</v>
      </c>
      <c r="R107" s="3">
        <v>383.9</v>
      </c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</row>
    <row r="108">
      <c r="A108" s="19" t="s">
        <v>320</v>
      </c>
      <c r="B108" s="19" t="s">
        <v>321</v>
      </c>
      <c r="C108" s="19" t="s">
        <v>322</v>
      </c>
      <c r="D108" s="19" t="s">
        <v>46</v>
      </c>
      <c r="E108" s="3" t="s">
        <v>329</v>
      </c>
      <c r="F108" s="7" t="s">
        <v>60</v>
      </c>
      <c r="H108" s="19" t="s">
        <v>48</v>
      </c>
      <c r="I108" s="19" t="s">
        <v>49</v>
      </c>
      <c r="J108" s="18">
        <v>4.0</v>
      </c>
      <c r="K108" s="19" t="s">
        <v>324</v>
      </c>
      <c r="L108" s="19" t="s">
        <v>325</v>
      </c>
      <c r="M108" s="19" t="s">
        <v>326</v>
      </c>
      <c r="N108" s="29" t="s">
        <v>327</v>
      </c>
      <c r="O108" s="29" t="s">
        <v>328</v>
      </c>
      <c r="P108" s="19">
        <v>2289.0</v>
      </c>
      <c r="Q108" s="7" t="s">
        <v>60</v>
      </c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</row>
    <row r="109">
      <c r="A109" s="19" t="s">
        <v>320</v>
      </c>
      <c r="B109" s="19" t="s">
        <v>321</v>
      </c>
      <c r="C109" s="19" t="s">
        <v>322</v>
      </c>
      <c r="D109" s="19" t="s">
        <v>46</v>
      </c>
      <c r="E109" s="3" t="s">
        <v>330</v>
      </c>
      <c r="F109" s="7" t="s">
        <v>60</v>
      </c>
      <c r="H109" s="19" t="s">
        <v>48</v>
      </c>
      <c r="I109" s="19" t="s">
        <v>49</v>
      </c>
      <c r="J109" s="18">
        <v>4.0</v>
      </c>
      <c r="K109" s="19" t="s">
        <v>324</v>
      </c>
      <c r="L109" s="19" t="s">
        <v>325</v>
      </c>
      <c r="M109" s="19" t="s">
        <v>326</v>
      </c>
      <c r="N109" s="29" t="s">
        <v>327</v>
      </c>
      <c r="O109" s="29" t="s">
        <v>328</v>
      </c>
      <c r="P109" s="19">
        <v>2291.0</v>
      </c>
      <c r="Q109" s="7" t="s">
        <v>60</v>
      </c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</row>
    <row r="110" ht="15.0" customHeight="1">
      <c r="A110" s="19" t="s">
        <v>320</v>
      </c>
      <c r="B110" s="19" t="s">
        <v>321</v>
      </c>
      <c r="C110" s="19" t="s">
        <v>322</v>
      </c>
      <c r="D110" s="19" t="s">
        <v>46</v>
      </c>
      <c r="E110" s="3" t="s">
        <v>331</v>
      </c>
      <c r="F110" s="7" t="s">
        <v>60</v>
      </c>
      <c r="H110" s="19" t="s">
        <v>48</v>
      </c>
      <c r="I110" s="19" t="s">
        <v>49</v>
      </c>
      <c r="J110" s="18">
        <v>4.0</v>
      </c>
      <c r="K110" s="19" t="s">
        <v>324</v>
      </c>
      <c r="L110" s="19" t="s">
        <v>325</v>
      </c>
      <c r="M110" s="19" t="s">
        <v>326</v>
      </c>
      <c r="N110" s="29" t="s">
        <v>327</v>
      </c>
      <c r="O110" s="29" t="s">
        <v>328</v>
      </c>
      <c r="P110" s="19">
        <v>2291.0</v>
      </c>
      <c r="Q110" s="7" t="s">
        <v>60</v>
      </c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</row>
    <row r="111" ht="15.0" customHeight="1">
      <c r="A111" s="19" t="s">
        <v>320</v>
      </c>
      <c r="B111" s="19" t="s">
        <v>321</v>
      </c>
      <c r="C111" s="19" t="s">
        <v>322</v>
      </c>
      <c r="D111" s="19" t="s">
        <v>46</v>
      </c>
      <c r="E111" s="3" t="s">
        <v>332</v>
      </c>
      <c r="F111" s="7" t="s">
        <v>60</v>
      </c>
      <c r="H111" s="19" t="s">
        <v>48</v>
      </c>
      <c r="I111" s="19" t="s">
        <v>49</v>
      </c>
      <c r="J111" s="18">
        <v>2.0</v>
      </c>
      <c r="K111" s="19" t="s">
        <v>333</v>
      </c>
      <c r="L111" s="19" t="s">
        <v>325</v>
      </c>
      <c r="M111" s="19" t="s">
        <v>326</v>
      </c>
      <c r="N111" s="29" t="s">
        <v>327</v>
      </c>
      <c r="O111" s="29" t="s">
        <v>328</v>
      </c>
      <c r="P111" s="19">
        <v>2289.0</v>
      </c>
      <c r="Q111" s="7" t="s">
        <v>60</v>
      </c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</row>
    <row r="112">
      <c r="A112" s="19" t="s">
        <v>320</v>
      </c>
      <c r="B112" s="19" t="s">
        <v>321</v>
      </c>
      <c r="C112" s="19" t="s">
        <v>322</v>
      </c>
      <c r="D112" s="3" t="s">
        <v>46</v>
      </c>
      <c r="E112" s="3" t="s">
        <v>334</v>
      </c>
      <c r="F112" s="7" t="s">
        <v>60</v>
      </c>
      <c r="H112" s="15" t="s">
        <v>48</v>
      </c>
      <c r="I112" s="3" t="s">
        <v>49</v>
      </c>
      <c r="J112" s="18">
        <v>2.0</v>
      </c>
      <c r="K112" s="19" t="s">
        <v>333</v>
      </c>
      <c r="L112" s="19" t="s">
        <v>325</v>
      </c>
      <c r="M112" s="19" t="s">
        <v>326</v>
      </c>
      <c r="N112" s="29" t="s">
        <v>327</v>
      </c>
      <c r="O112" s="29" t="s">
        <v>328</v>
      </c>
      <c r="P112" s="3">
        <v>2299.0</v>
      </c>
      <c r="Q112" s="3">
        <v>2.0</v>
      </c>
    </row>
    <row r="113">
      <c r="A113" s="19" t="s">
        <v>320</v>
      </c>
      <c r="B113" s="19" t="s">
        <v>321</v>
      </c>
      <c r="C113" s="19" t="s">
        <v>322</v>
      </c>
      <c r="D113" s="3" t="s">
        <v>46</v>
      </c>
      <c r="E113" s="3" t="s">
        <v>335</v>
      </c>
      <c r="F113" s="7" t="s">
        <v>60</v>
      </c>
      <c r="H113" s="15" t="s">
        <v>48</v>
      </c>
      <c r="I113" s="3" t="s">
        <v>49</v>
      </c>
      <c r="J113" s="18">
        <v>2.0</v>
      </c>
      <c r="K113" s="19" t="s">
        <v>333</v>
      </c>
      <c r="L113" s="19" t="s">
        <v>325</v>
      </c>
      <c r="M113" s="19" t="s">
        <v>326</v>
      </c>
      <c r="N113" s="29" t="s">
        <v>327</v>
      </c>
      <c r="O113" s="29" t="s">
        <v>328</v>
      </c>
      <c r="P113" s="3">
        <v>2305.0</v>
      </c>
      <c r="Q113" s="7" t="s">
        <v>60</v>
      </c>
    </row>
    <row r="114">
      <c r="A114" s="19" t="s">
        <v>320</v>
      </c>
      <c r="B114" s="19" t="s">
        <v>321</v>
      </c>
      <c r="C114" s="19" t="s">
        <v>322</v>
      </c>
      <c r="D114" s="3" t="s">
        <v>46</v>
      </c>
      <c r="E114" s="3" t="s">
        <v>336</v>
      </c>
      <c r="F114" s="7" t="s">
        <v>60</v>
      </c>
      <c r="H114" s="15" t="s">
        <v>48</v>
      </c>
      <c r="I114" s="3" t="s">
        <v>49</v>
      </c>
      <c r="J114" s="18">
        <v>2.0</v>
      </c>
      <c r="K114" s="19" t="s">
        <v>333</v>
      </c>
      <c r="L114" s="19" t="s">
        <v>325</v>
      </c>
      <c r="M114" s="19" t="s">
        <v>326</v>
      </c>
      <c r="N114" s="29" t="s">
        <v>327</v>
      </c>
      <c r="O114" s="29" t="s">
        <v>328</v>
      </c>
      <c r="P114" s="3">
        <v>2304.0</v>
      </c>
      <c r="Q114" s="7" t="s">
        <v>60</v>
      </c>
    </row>
    <row r="115">
      <c r="A115" s="19" t="s">
        <v>320</v>
      </c>
      <c r="B115" s="19" t="s">
        <v>321</v>
      </c>
      <c r="C115" s="19" t="s">
        <v>322</v>
      </c>
      <c r="D115" s="3" t="s">
        <v>46</v>
      </c>
      <c r="E115" s="3" t="s">
        <v>337</v>
      </c>
      <c r="F115" s="7" t="s">
        <v>60</v>
      </c>
      <c r="H115" s="15" t="s">
        <v>48</v>
      </c>
      <c r="I115" s="3" t="s">
        <v>49</v>
      </c>
      <c r="J115" s="18">
        <v>2.0</v>
      </c>
      <c r="K115" s="19" t="s">
        <v>333</v>
      </c>
      <c r="L115" s="19" t="s">
        <v>325</v>
      </c>
      <c r="M115" s="19" t="s">
        <v>326</v>
      </c>
      <c r="N115" s="29" t="s">
        <v>327</v>
      </c>
      <c r="O115" s="29" t="s">
        <v>328</v>
      </c>
      <c r="P115" s="3">
        <v>2305.0</v>
      </c>
      <c r="Q115" s="7" t="s">
        <v>60</v>
      </c>
    </row>
    <row r="116">
      <c r="A116" s="19" t="s">
        <v>338</v>
      </c>
      <c r="B116" s="19" t="s">
        <v>339</v>
      </c>
      <c r="C116" s="19" t="s">
        <v>340</v>
      </c>
      <c r="D116" s="19" t="s">
        <v>46</v>
      </c>
      <c r="E116" s="3" t="s">
        <v>341</v>
      </c>
      <c r="F116" s="5">
        <v>45982.0</v>
      </c>
      <c r="G116" s="24" t="s">
        <v>214</v>
      </c>
      <c r="H116" s="19" t="s">
        <v>48</v>
      </c>
      <c r="I116" s="19" t="s">
        <v>49</v>
      </c>
      <c r="J116" s="18">
        <v>14.0</v>
      </c>
      <c r="K116" s="19" t="s">
        <v>342</v>
      </c>
      <c r="L116" s="19" t="s">
        <v>343</v>
      </c>
      <c r="M116" s="19" t="s">
        <v>344</v>
      </c>
      <c r="N116" s="29" t="s">
        <v>345</v>
      </c>
      <c r="O116" s="6" t="s">
        <v>152</v>
      </c>
      <c r="P116" s="19">
        <v>2050.0</v>
      </c>
      <c r="Q116" s="19">
        <v>2.0</v>
      </c>
      <c r="R116" s="3">
        <v>383.9</v>
      </c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</row>
    <row r="117">
      <c r="A117" s="19" t="s">
        <v>338</v>
      </c>
      <c r="B117" s="19" t="s">
        <v>339</v>
      </c>
      <c r="C117" s="19" t="s">
        <v>340</v>
      </c>
      <c r="D117" s="19" t="s">
        <v>46</v>
      </c>
      <c r="E117" s="3" t="s">
        <v>346</v>
      </c>
      <c r="F117" s="7" t="s">
        <v>60</v>
      </c>
      <c r="H117" s="19" t="s">
        <v>48</v>
      </c>
      <c r="I117" s="19" t="s">
        <v>49</v>
      </c>
      <c r="J117" s="18">
        <v>14.0</v>
      </c>
      <c r="K117" s="19" t="s">
        <v>342</v>
      </c>
      <c r="L117" s="19" t="s">
        <v>343</v>
      </c>
      <c r="M117" s="19" t="s">
        <v>344</v>
      </c>
      <c r="N117" s="29" t="s">
        <v>345</v>
      </c>
      <c r="O117" s="6" t="s">
        <v>152</v>
      </c>
      <c r="P117" s="19">
        <v>2038.0</v>
      </c>
      <c r="Q117" s="7" t="s">
        <v>60</v>
      </c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</row>
    <row r="118">
      <c r="A118" s="19" t="s">
        <v>338</v>
      </c>
      <c r="B118" s="19" t="s">
        <v>339</v>
      </c>
      <c r="C118" s="19" t="s">
        <v>340</v>
      </c>
      <c r="D118" s="19" t="s">
        <v>46</v>
      </c>
      <c r="E118" s="3" t="s">
        <v>347</v>
      </c>
      <c r="F118" s="7" t="s">
        <v>60</v>
      </c>
      <c r="H118" s="19" t="s">
        <v>48</v>
      </c>
      <c r="I118" s="19" t="s">
        <v>49</v>
      </c>
      <c r="J118" s="18">
        <v>14.0</v>
      </c>
      <c r="K118" s="19" t="s">
        <v>342</v>
      </c>
      <c r="L118" s="19" t="s">
        <v>343</v>
      </c>
      <c r="M118" s="19" t="s">
        <v>344</v>
      </c>
      <c r="N118" s="29" t="s">
        <v>345</v>
      </c>
      <c r="O118" s="6" t="s">
        <v>152</v>
      </c>
      <c r="P118" s="19">
        <v>2040.0</v>
      </c>
      <c r="Q118" s="7" t="s">
        <v>60</v>
      </c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</row>
    <row r="119">
      <c r="A119" s="19" t="s">
        <v>338</v>
      </c>
      <c r="B119" s="19" t="s">
        <v>339</v>
      </c>
      <c r="C119" s="19" t="s">
        <v>340</v>
      </c>
      <c r="D119" s="19" t="s">
        <v>46</v>
      </c>
      <c r="E119" s="3" t="s">
        <v>348</v>
      </c>
      <c r="F119" s="7" t="s">
        <v>60</v>
      </c>
      <c r="H119" s="17" t="s">
        <v>48</v>
      </c>
      <c r="I119" s="19" t="s">
        <v>49</v>
      </c>
      <c r="J119" s="18">
        <v>14.0</v>
      </c>
      <c r="K119" s="19" t="s">
        <v>342</v>
      </c>
      <c r="L119" s="19" t="s">
        <v>343</v>
      </c>
      <c r="M119" s="19" t="s">
        <v>344</v>
      </c>
      <c r="N119" s="29" t="s">
        <v>345</v>
      </c>
      <c r="O119" s="6" t="s">
        <v>152</v>
      </c>
      <c r="P119" s="19">
        <v>2040.0</v>
      </c>
      <c r="Q119" s="7" t="s">
        <v>60</v>
      </c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</row>
    <row r="120">
      <c r="A120" s="19" t="s">
        <v>338</v>
      </c>
      <c r="B120" s="19" t="s">
        <v>339</v>
      </c>
      <c r="C120" s="19" t="s">
        <v>340</v>
      </c>
      <c r="D120" s="19" t="s">
        <v>46</v>
      </c>
      <c r="E120" s="3" t="s">
        <v>349</v>
      </c>
      <c r="F120" s="7" t="s">
        <v>60</v>
      </c>
      <c r="H120" s="19" t="s">
        <v>48</v>
      </c>
      <c r="I120" s="19" t="s">
        <v>49</v>
      </c>
      <c r="J120" s="18">
        <v>14.0</v>
      </c>
      <c r="K120" s="19" t="s">
        <v>342</v>
      </c>
      <c r="L120" s="19" t="s">
        <v>343</v>
      </c>
      <c r="M120" s="19" t="s">
        <v>344</v>
      </c>
      <c r="N120" s="29" t="s">
        <v>345</v>
      </c>
      <c r="O120" s="6" t="s">
        <v>152</v>
      </c>
      <c r="P120" s="19">
        <v>2039.0</v>
      </c>
      <c r="Q120" s="7" t="s">
        <v>60</v>
      </c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</row>
    <row r="121">
      <c r="A121" s="19" t="s">
        <v>338</v>
      </c>
      <c r="B121" s="19" t="s">
        <v>339</v>
      </c>
      <c r="C121" s="19" t="s">
        <v>340</v>
      </c>
      <c r="D121" s="19" t="s">
        <v>46</v>
      </c>
      <c r="E121" s="3" t="s">
        <v>350</v>
      </c>
      <c r="F121" s="7" t="s">
        <v>60</v>
      </c>
      <c r="H121" s="19" t="s">
        <v>48</v>
      </c>
      <c r="I121" s="19" t="s">
        <v>49</v>
      </c>
      <c r="J121" s="18">
        <v>14.0</v>
      </c>
      <c r="K121" s="19" t="s">
        <v>342</v>
      </c>
      <c r="L121" s="19" t="s">
        <v>343</v>
      </c>
      <c r="M121" s="19" t="s">
        <v>344</v>
      </c>
      <c r="N121" s="29" t="s">
        <v>345</v>
      </c>
      <c r="O121" s="6" t="s">
        <v>152</v>
      </c>
      <c r="P121" s="19">
        <v>2045.0</v>
      </c>
      <c r="Q121" s="7" t="s">
        <v>60</v>
      </c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</row>
    <row r="122">
      <c r="A122" s="19" t="s">
        <v>338</v>
      </c>
      <c r="B122" s="19" t="s">
        <v>339</v>
      </c>
      <c r="C122" s="19" t="s">
        <v>340</v>
      </c>
      <c r="D122" s="19" t="s">
        <v>46</v>
      </c>
      <c r="E122" s="3" t="s">
        <v>351</v>
      </c>
      <c r="F122" s="7" t="s">
        <v>60</v>
      </c>
      <c r="H122" s="19" t="s">
        <v>48</v>
      </c>
      <c r="I122" s="19" t="s">
        <v>49</v>
      </c>
      <c r="J122" s="18">
        <v>3.0</v>
      </c>
      <c r="K122" s="19" t="s">
        <v>352</v>
      </c>
      <c r="L122" s="19" t="s">
        <v>343</v>
      </c>
      <c r="M122" s="19" t="s">
        <v>344</v>
      </c>
      <c r="N122" s="29" t="s">
        <v>345</v>
      </c>
      <c r="O122" s="6" t="s">
        <v>152</v>
      </c>
      <c r="P122" s="19">
        <v>2048.0</v>
      </c>
      <c r="Q122" s="7" t="s">
        <v>60</v>
      </c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</row>
    <row r="123">
      <c r="A123" s="3" t="s">
        <v>353</v>
      </c>
      <c r="B123" s="3" t="s">
        <v>354</v>
      </c>
      <c r="C123" s="3" t="s">
        <v>355</v>
      </c>
      <c r="D123" s="3" t="s">
        <v>356</v>
      </c>
      <c r="E123" s="3" t="s">
        <v>357</v>
      </c>
      <c r="F123" s="30" t="s">
        <v>358</v>
      </c>
      <c r="G123" s="12" t="s">
        <v>136</v>
      </c>
      <c r="H123" s="3" t="s">
        <v>48</v>
      </c>
      <c r="I123" s="3" t="s">
        <v>49</v>
      </c>
      <c r="J123" s="3">
        <v>34.0</v>
      </c>
      <c r="K123" s="3" t="s">
        <v>359</v>
      </c>
      <c r="L123" s="3" t="s">
        <v>360</v>
      </c>
      <c r="M123" s="3" t="s">
        <v>361</v>
      </c>
      <c r="N123" s="6" t="s">
        <v>362</v>
      </c>
      <c r="O123" s="6" t="s">
        <v>363</v>
      </c>
      <c r="P123" s="3">
        <v>6038.0</v>
      </c>
      <c r="Q123" s="3">
        <v>1.0</v>
      </c>
      <c r="R123" s="13">
        <v>215.6</v>
      </c>
    </row>
    <row r="124">
      <c r="A124" s="3" t="s">
        <v>353</v>
      </c>
      <c r="B124" s="3" t="s">
        <v>354</v>
      </c>
      <c r="C124" s="3" t="s">
        <v>355</v>
      </c>
      <c r="D124" s="3" t="s">
        <v>356</v>
      </c>
      <c r="E124" s="3" t="s">
        <v>364</v>
      </c>
      <c r="F124" s="30" t="s">
        <v>358</v>
      </c>
      <c r="G124" s="12" t="s">
        <v>136</v>
      </c>
      <c r="H124" s="3" t="s">
        <v>48</v>
      </c>
      <c r="I124" s="3" t="s">
        <v>49</v>
      </c>
      <c r="J124" s="3">
        <v>34.0</v>
      </c>
      <c r="K124" s="3" t="s">
        <v>359</v>
      </c>
      <c r="L124" s="3" t="s">
        <v>360</v>
      </c>
      <c r="M124" s="3" t="s">
        <v>361</v>
      </c>
      <c r="N124" s="6" t="s">
        <v>362</v>
      </c>
      <c r="O124" s="6" t="s">
        <v>363</v>
      </c>
      <c r="P124" s="3">
        <v>6034.0</v>
      </c>
      <c r="Q124" s="7" t="s">
        <v>60</v>
      </c>
    </row>
    <row r="125">
      <c r="A125" s="3" t="s">
        <v>353</v>
      </c>
      <c r="B125" s="3" t="s">
        <v>354</v>
      </c>
      <c r="C125" s="3" t="s">
        <v>355</v>
      </c>
      <c r="D125" s="3" t="s">
        <v>356</v>
      </c>
      <c r="E125" s="3" t="s">
        <v>365</v>
      </c>
      <c r="F125" s="30" t="s">
        <v>358</v>
      </c>
      <c r="G125" s="12" t="s">
        <v>136</v>
      </c>
      <c r="H125" s="3" t="s">
        <v>48</v>
      </c>
      <c r="I125" s="3" t="s">
        <v>49</v>
      </c>
      <c r="J125" s="3">
        <v>34.0</v>
      </c>
      <c r="K125" s="3" t="s">
        <v>359</v>
      </c>
      <c r="L125" s="3" t="s">
        <v>360</v>
      </c>
      <c r="M125" s="3" t="s">
        <v>361</v>
      </c>
      <c r="N125" s="6" t="s">
        <v>362</v>
      </c>
      <c r="O125" s="6" t="s">
        <v>363</v>
      </c>
      <c r="P125" s="3">
        <v>6036.0</v>
      </c>
      <c r="Q125" s="7" t="s">
        <v>60</v>
      </c>
    </row>
    <row r="126">
      <c r="A126" s="3" t="s">
        <v>353</v>
      </c>
      <c r="B126" s="3" t="s">
        <v>354</v>
      </c>
      <c r="C126" s="3" t="s">
        <v>355</v>
      </c>
      <c r="D126" s="3" t="s">
        <v>356</v>
      </c>
      <c r="E126" s="3" t="s">
        <v>366</v>
      </c>
      <c r="F126" s="30" t="s">
        <v>358</v>
      </c>
      <c r="G126" s="12" t="s">
        <v>136</v>
      </c>
      <c r="H126" s="3" t="s">
        <v>48</v>
      </c>
      <c r="I126" s="3" t="s">
        <v>49</v>
      </c>
      <c r="J126" s="3">
        <v>34.0</v>
      </c>
      <c r="K126" s="3" t="s">
        <v>359</v>
      </c>
      <c r="L126" s="3" t="s">
        <v>360</v>
      </c>
      <c r="M126" s="3" t="s">
        <v>361</v>
      </c>
      <c r="N126" s="6" t="s">
        <v>362</v>
      </c>
      <c r="O126" s="6" t="s">
        <v>363</v>
      </c>
      <c r="P126" s="3">
        <v>6030.0</v>
      </c>
      <c r="Q126" s="7" t="s">
        <v>60</v>
      </c>
    </row>
    <row r="127">
      <c r="A127" s="3" t="s">
        <v>353</v>
      </c>
      <c r="B127" s="3" t="s">
        <v>354</v>
      </c>
      <c r="C127" s="3" t="s">
        <v>355</v>
      </c>
      <c r="D127" s="3" t="s">
        <v>356</v>
      </c>
      <c r="E127" s="3" t="s">
        <v>367</v>
      </c>
      <c r="F127" s="30" t="s">
        <v>358</v>
      </c>
      <c r="G127" s="12" t="s">
        <v>136</v>
      </c>
      <c r="H127" s="3" t="s">
        <v>48</v>
      </c>
      <c r="I127" s="3" t="s">
        <v>49</v>
      </c>
      <c r="J127" s="3">
        <v>34.0</v>
      </c>
      <c r="K127" s="3" t="s">
        <v>359</v>
      </c>
      <c r="L127" s="3" t="s">
        <v>360</v>
      </c>
      <c r="M127" s="3" t="s">
        <v>361</v>
      </c>
      <c r="N127" s="6" t="s">
        <v>362</v>
      </c>
      <c r="O127" s="6" t="s">
        <v>363</v>
      </c>
      <c r="P127" s="3">
        <v>6030.0</v>
      </c>
      <c r="Q127" s="7" t="s">
        <v>60</v>
      </c>
    </row>
    <row r="128">
      <c r="A128" s="3" t="s">
        <v>353</v>
      </c>
      <c r="B128" s="3" t="s">
        <v>354</v>
      </c>
      <c r="C128" s="3" t="s">
        <v>355</v>
      </c>
      <c r="D128" s="3" t="s">
        <v>356</v>
      </c>
      <c r="E128" s="3" t="s">
        <v>368</v>
      </c>
      <c r="F128" s="7" t="s">
        <v>60</v>
      </c>
      <c r="H128" s="3" t="s">
        <v>48</v>
      </c>
      <c r="I128" s="3" t="s">
        <v>49</v>
      </c>
      <c r="J128" s="3">
        <v>34.0</v>
      </c>
      <c r="K128" s="3" t="s">
        <v>359</v>
      </c>
      <c r="L128" s="3" t="s">
        <v>360</v>
      </c>
      <c r="M128" s="3" t="s">
        <v>361</v>
      </c>
      <c r="N128" s="6" t="s">
        <v>362</v>
      </c>
      <c r="O128" s="6" t="s">
        <v>363</v>
      </c>
      <c r="P128" s="3">
        <v>6030.0</v>
      </c>
      <c r="Q128" s="7" t="s">
        <v>60</v>
      </c>
    </row>
    <row r="129">
      <c r="A129" s="3" t="s">
        <v>353</v>
      </c>
      <c r="B129" s="3" t="s">
        <v>354</v>
      </c>
      <c r="C129" s="3" t="s">
        <v>355</v>
      </c>
      <c r="D129" s="3" t="s">
        <v>356</v>
      </c>
      <c r="E129" s="3" t="s">
        <v>369</v>
      </c>
      <c r="F129" s="7" t="s">
        <v>60</v>
      </c>
      <c r="H129" s="3" t="s">
        <v>48</v>
      </c>
      <c r="I129" s="3" t="s">
        <v>49</v>
      </c>
      <c r="J129" s="3">
        <v>34.0</v>
      </c>
      <c r="K129" s="3" t="s">
        <v>359</v>
      </c>
      <c r="L129" s="3" t="s">
        <v>360</v>
      </c>
      <c r="M129" s="3" t="s">
        <v>361</v>
      </c>
      <c r="N129" s="6" t="s">
        <v>362</v>
      </c>
      <c r="O129" s="6" t="s">
        <v>363</v>
      </c>
      <c r="P129" s="3">
        <v>6030.0</v>
      </c>
      <c r="Q129" s="7" t="s">
        <v>60</v>
      </c>
    </row>
    <row r="130">
      <c r="A130" s="3" t="s">
        <v>353</v>
      </c>
      <c r="B130" s="3" t="s">
        <v>354</v>
      </c>
      <c r="C130" s="3" t="s">
        <v>355</v>
      </c>
      <c r="D130" s="3" t="s">
        <v>356</v>
      </c>
      <c r="E130" s="3" t="s">
        <v>370</v>
      </c>
      <c r="F130" s="7" t="s">
        <v>60</v>
      </c>
      <c r="H130" s="3" t="s">
        <v>48</v>
      </c>
      <c r="I130" s="3" t="s">
        <v>49</v>
      </c>
      <c r="J130" s="3">
        <v>34.0</v>
      </c>
      <c r="K130" s="3" t="s">
        <v>359</v>
      </c>
      <c r="L130" s="3" t="s">
        <v>360</v>
      </c>
      <c r="M130" s="3" t="s">
        <v>361</v>
      </c>
      <c r="N130" s="6" t="s">
        <v>362</v>
      </c>
      <c r="O130" s="6" t="s">
        <v>363</v>
      </c>
      <c r="P130" s="3">
        <v>6030.0</v>
      </c>
      <c r="Q130" s="7" t="s">
        <v>60</v>
      </c>
    </row>
    <row r="131">
      <c r="A131" s="3" t="s">
        <v>353</v>
      </c>
      <c r="B131" s="3" t="s">
        <v>354</v>
      </c>
      <c r="C131" s="3" t="s">
        <v>355</v>
      </c>
      <c r="D131" s="3" t="s">
        <v>356</v>
      </c>
      <c r="E131" s="3" t="s">
        <v>371</v>
      </c>
      <c r="F131" s="7" t="s">
        <v>60</v>
      </c>
      <c r="H131" s="3" t="s">
        <v>48</v>
      </c>
      <c r="I131" s="3" t="s">
        <v>49</v>
      </c>
      <c r="J131" s="3">
        <v>34.0</v>
      </c>
      <c r="K131" s="3" t="s">
        <v>359</v>
      </c>
      <c r="L131" s="3" t="s">
        <v>360</v>
      </c>
      <c r="M131" s="3" t="s">
        <v>361</v>
      </c>
      <c r="N131" s="6" t="s">
        <v>362</v>
      </c>
      <c r="O131" s="6" t="s">
        <v>363</v>
      </c>
      <c r="P131" s="3">
        <v>6028.0</v>
      </c>
      <c r="Q131" s="7" t="s">
        <v>60</v>
      </c>
    </row>
    <row r="132">
      <c r="A132" s="3" t="s">
        <v>353</v>
      </c>
      <c r="B132" s="3" t="s">
        <v>354</v>
      </c>
      <c r="C132" s="3" t="s">
        <v>355</v>
      </c>
      <c r="D132" s="3" t="s">
        <v>356</v>
      </c>
      <c r="E132" s="3" t="s">
        <v>372</v>
      </c>
      <c r="F132" s="7" t="s">
        <v>60</v>
      </c>
      <c r="H132" s="3" t="s">
        <v>48</v>
      </c>
      <c r="I132" s="3" t="s">
        <v>49</v>
      </c>
      <c r="J132" s="3">
        <v>5.0</v>
      </c>
      <c r="K132" s="3" t="s">
        <v>373</v>
      </c>
      <c r="L132" s="3" t="s">
        <v>360</v>
      </c>
      <c r="M132" s="3" t="s">
        <v>361</v>
      </c>
      <c r="N132" s="6" t="s">
        <v>362</v>
      </c>
      <c r="O132" s="6" t="s">
        <v>363</v>
      </c>
      <c r="P132" s="3">
        <v>6028.0</v>
      </c>
      <c r="Q132" s="7" t="s">
        <v>60</v>
      </c>
    </row>
    <row r="133">
      <c r="A133" s="3" t="s">
        <v>353</v>
      </c>
      <c r="B133" s="3" t="s">
        <v>354</v>
      </c>
      <c r="C133" s="3" t="s">
        <v>355</v>
      </c>
      <c r="D133" s="3" t="s">
        <v>356</v>
      </c>
      <c r="E133" s="3" t="s">
        <v>374</v>
      </c>
      <c r="F133" s="7" t="s">
        <v>60</v>
      </c>
      <c r="H133" s="3" t="s">
        <v>48</v>
      </c>
      <c r="I133" s="3" t="s">
        <v>49</v>
      </c>
      <c r="J133" s="3">
        <v>5.0</v>
      </c>
      <c r="K133" s="3" t="s">
        <v>373</v>
      </c>
      <c r="L133" s="3" t="s">
        <v>360</v>
      </c>
      <c r="M133" s="3" t="s">
        <v>361</v>
      </c>
      <c r="N133" s="6" t="s">
        <v>362</v>
      </c>
      <c r="O133" s="6" t="s">
        <v>363</v>
      </c>
      <c r="P133" s="3">
        <v>6028.0</v>
      </c>
      <c r="Q133" s="7" t="s">
        <v>60</v>
      </c>
      <c r="S133" s="31"/>
    </row>
    <row r="134">
      <c r="A134" s="3" t="s">
        <v>353</v>
      </c>
      <c r="B134" s="3" t="s">
        <v>354</v>
      </c>
      <c r="C134" s="3" t="s">
        <v>355</v>
      </c>
      <c r="D134" s="3" t="s">
        <v>356</v>
      </c>
      <c r="E134" s="3" t="s">
        <v>375</v>
      </c>
      <c r="F134" s="7" t="s">
        <v>60</v>
      </c>
      <c r="H134" s="3" t="s">
        <v>48</v>
      </c>
      <c r="I134" s="3" t="s">
        <v>49</v>
      </c>
      <c r="J134" s="3">
        <v>5.0</v>
      </c>
      <c r="K134" s="3" t="s">
        <v>373</v>
      </c>
      <c r="L134" s="3" t="s">
        <v>360</v>
      </c>
      <c r="M134" s="3" t="s">
        <v>361</v>
      </c>
      <c r="N134" s="6" t="s">
        <v>362</v>
      </c>
      <c r="O134" s="6" t="s">
        <v>363</v>
      </c>
      <c r="P134" s="3">
        <v>6028.0</v>
      </c>
      <c r="Q134" s="7" t="s">
        <v>60</v>
      </c>
    </row>
    <row r="135">
      <c r="A135" s="3" t="s">
        <v>353</v>
      </c>
      <c r="B135" s="3" t="s">
        <v>354</v>
      </c>
      <c r="C135" s="3" t="s">
        <v>355</v>
      </c>
      <c r="D135" s="3" t="s">
        <v>356</v>
      </c>
      <c r="E135" s="3" t="s">
        <v>376</v>
      </c>
      <c r="F135" s="7" t="s">
        <v>60</v>
      </c>
      <c r="H135" s="3" t="s">
        <v>48</v>
      </c>
      <c r="I135" s="3" t="s">
        <v>49</v>
      </c>
      <c r="J135" s="3">
        <v>5.0</v>
      </c>
      <c r="K135" s="3" t="s">
        <v>373</v>
      </c>
      <c r="L135" s="3" t="s">
        <v>360</v>
      </c>
      <c r="M135" s="3" t="s">
        <v>361</v>
      </c>
      <c r="N135" s="6" t="s">
        <v>362</v>
      </c>
      <c r="O135" s="6" t="s">
        <v>363</v>
      </c>
      <c r="P135" s="3">
        <v>6036.0</v>
      </c>
      <c r="Q135" s="7" t="s">
        <v>60</v>
      </c>
      <c r="S135" s="31"/>
    </row>
    <row r="136">
      <c r="A136" s="3" t="s">
        <v>353</v>
      </c>
      <c r="B136" s="3" t="s">
        <v>354</v>
      </c>
      <c r="C136" s="3" t="s">
        <v>355</v>
      </c>
      <c r="D136" s="3" t="s">
        <v>356</v>
      </c>
      <c r="E136" s="3" t="s">
        <v>377</v>
      </c>
      <c r="F136" s="7" t="s">
        <v>60</v>
      </c>
      <c r="H136" s="3" t="s">
        <v>48</v>
      </c>
      <c r="I136" s="3" t="s">
        <v>49</v>
      </c>
      <c r="J136" s="3">
        <v>5.0</v>
      </c>
      <c r="K136" s="3" t="s">
        <v>373</v>
      </c>
      <c r="L136" s="3" t="s">
        <v>360</v>
      </c>
      <c r="M136" s="3" t="s">
        <v>361</v>
      </c>
      <c r="N136" s="6" t="s">
        <v>362</v>
      </c>
      <c r="O136" s="6" t="s">
        <v>363</v>
      </c>
      <c r="P136" s="3">
        <v>6031.0</v>
      </c>
      <c r="Q136" s="7" t="s">
        <v>60</v>
      </c>
      <c r="S136" s="31"/>
    </row>
    <row r="137">
      <c r="A137" s="3" t="s">
        <v>353</v>
      </c>
      <c r="B137" s="3" t="s">
        <v>354</v>
      </c>
      <c r="C137" s="3" t="s">
        <v>355</v>
      </c>
      <c r="D137" s="3" t="s">
        <v>356</v>
      </c>
      <c r="E137" s="3" t="s">
        <v>378</v>
      </c>
      <c r="F137" s="7" t="s">
        <v>60</v>
      </c>
      <c r="H137" s="3" t="s">
        <v>48</v>
      </c>
      <c r="I137" s="3" t="s">
        <v>49</v>
      </c>
      <c r="J137" s="3">
        <v>5.0</v>
      </c>
      <c r="K137" s="3" t="s">
        <v>373</v>
      </c>
      <c r="L137" s="3" t="s">
        <v>360</v>
      </c>
      <c r="M137" s="3" t="s">
        <v>361</v>
      </c>
      <c r="N137" s="6" t="s">
        <v>362</v>
      </c>
      <c r="O137" s="6" t="s">
        <v>363</v>
      </c>
      <c r="P137" s="3">
        <v>6030.0</v>
      </c>
      <c r="Q137" s="7" t="s">
        <v>60</v>
      </c>
      <c r="S137" s="31"/>
    </row>
    <row r="138">
      <c r="A138" s="3" t="s">
        <v>353</v>
      </c>
      <c r="B138" s="3" t="s">
        <v>354</v>
      </c>
      <c r="C138" s="3" t="s">
        <v>355</v>
      </c>
      <c r="D138" s="3" t="s">
        <v>356</v>
      </c>
      <c r="E138" s="3" t="s">
        <v>379</v>
      </c>
      <c r="F138" s="7" t="s">
        <v>60</v>
      </c>
      <c r="H138" s="3" t="s">
        <v>48</v>
      </c>
      <c r="I138" s="3" t="s">
        <v>49</v>
      </c>
      <c r="J138" s="3">
        <v>5.0</v>
      </c>
      <c r="K138" s="3" t="s">
        <v>373</v>
      </c>
      <c r="L138" s="3" t="s">
        <v>360</v>
      </c>
      <c r="M138" s="3" t="s">
        <v>361</v>
      </c>
      <c r="N138" s="6" t="s">
        <v>362</v>
      </c>
      <c r="O138" s="6" t="s">
        <v>363</v>
      </c>
      <c r="P138" s="3">
        <v>6027.0</v>
      </c>
      <c r="Q138" s="7" t="s">
        <v>60</v>
      </c>
      <c r="S138" s="31"/>
    </row>
    <row r="139">
      <c r="A139" s="32" t="s">
        <v>380</v>
      </c>
      <c r="B139" s="3" t="s">
        <v>381</v>
      </c>
      <c r="C139" s="3" t="s">
        <v>382</v>
      </c>
      <c r="D139" s="3" t="s">
        <v>356</v>
      </c>
      <c r="E139" s="3" t="s">
        <v>383</v>
      </c>
      <c r="F139" s="14">
        <v>45846.0</v>
      </c>
      <c r="H139" s="3" t="s">
        <v>48</v>
      </c>
      <c r="I139" s="3" t="s">
        <v>49</v>
      </c>
      <c r="J139" s="3">
        <v>2.0</v>
      </c>
      <c r="K139" s="3" t="s">
        <v>216</v>
      </c>
      <c r="L139" s="3" t="s">
        <v>384</v>
      </c>
      <c r="M139" s="3" t="s">
        <v>385</v>
      </c>
      <c r="N139" s="6" t="s">
        <v>386</v>
      </c>
      <c r="O139" s="6" t="s">
        <v>387</v>
      </c>
      <c r="P139" s="3">
        <v>6035.0</v>
      </c>
      <c r="Q139" s="7" t="s">
        <v>60</v>
      </c>
      <c r="R139" s="3">
        <v>0.0</v>
      </c>
      <c r="S139" s="3" t="s">
        <v>388</v>
      </c>
    </row>
    <row r="140">
      <c r="A140" s="32" t="s">
        <v>380</v>
      </c>
      <c r="B140" s="3" t="s">
        <v>381</v>
      </c>
      <c r="C140" s="3" t="s">
        <v>382</v>
      </c>
      <c r="D140" s="3" t="s">
        <v>356</v>
      </c>
      <c r="E140" s="3" t="s">
        <v>389</v>
      </c>
      <c r="F140" s="7" t="s">
        <v>60</v>
      </c>
      <c r="H140" s="3" t="s">
        <v>48</v>
      </c>
      <c r="I140" s="3" t="s">
        <v>49</v>
      </c>
      <c r="J140" s="3">
        <v>2.0</v>
      </c>
      <c r="K140" s="3" t="s">
        <v>216</v>
      </c>
      <c r="L140" s="3" t="s">
        <v>384</v>
      </c>
      <c r="M140" s="3" t="s">
        <v>385</v>
      </c>
      <c r="N140" s="6" t="s">
        <v>386</v>
      </c>
      <c r="O140" s="6" t="s">
        <v>387</v>
      </c>
      <c r="P140" s="3">
        <v>6037.0</v>
      </c>
      <c r="Q140" s="7" t="s">
        <v>60</v>
      </c>
      <c r="S140" s="3" t="s">
        <v>388</v>
      </c>
    </row>
    <row r="141">
      <c r="A141" s="3" t="s">
        <v>390</v>
      </c>
      <c r="B141" s="3" t="s">
        <v>391</v>
      </c>
      <c r="C141" s="3" t="s">
        <v>392</v>
      </c>
      <c r="D141" s="3" t="s">
        <v>356</v>
      </c>
      <c r="E141" s="3" t="s">
        <v>393</v>
      </c>
      <c r="F141" s="14">
        <v>45846.0</v>
      </c>
      <c r="G141" s="24" t="s">
        <v>214</v>
      </c>
      <c r="H141" s="3" t="s">
        <v>48</v>
      </c>
      <c r="I141" s="3" t="s">
        <v>49</v>
      </c>
      <c r="J141" s="3">
        <v>3.0</v>
      </c>
      <c r="K141" s="3" t="s">
        <v>394</v>
      </c>
      <c r="L141" s="3" t="s">
        <v>395</v>
      </c>
      <c r="M141" s="3" t="s">
        <v>396</v>
      </c>
      <c r="N141" s="6" t="s">
        <v>397</v>
      </c>
      <c r="O141" s="6" t="s">
        <v>398</v>
      </c>
      <c r="P141" s="3">
        <v>6210.0</v>
      </c>
      <c r="Q141" s="3">
        <v>1.0</v>
      </c>
      <c r="R141" s="3">
        <v>199.0</v>
      </c>
      <c r="S141" s="3" t="s">
        <v>399</v>
      </c>
    </row>
    <row r="142">
      <c r="A142" s="3" t="s">
        <v>390</v>
      </c>
      <c r="B142" s="3" t="s">
        <v>391</v>
      </c>
      <c r="C142" s="3" t="s">
        <v>392</v>
      </c>
      <c r="D142" s="3" t="s">
        <v>356</v>
      </c>
      <c r="E142" s="3" t="s">
        <v>400</v>
      </c>
      <c r="F142" s="7" t="s">
        <v>60</v>
      </c>
      <c r="H142" s="3" t="s">
        <v>48</v>
      </c>
      <c r="I142" s="3" t="s">
        <v>49</v>
      </c>
      <c r="J142" s="3">
        <v>3.0</v>
      </c>
      <c r="K142" s="3" t="s">
        <v>394</v>
      </c>
      <c r="L142" s="3" t="s">
        <v>395</v>
      </c>
      <c r="M142" s="3" t="s">
        <v>396</v>
      </c>
      <c r="N142" s="6" t="s">
        <v>397</v>
      </c>
      <c r="O142" s="6" t="s">
        <v>398</v>
      </c>
      <c r="P142" s="3">
        <v>6210.0</v>
      </c>
      <c r="Q142" s="7" t="s">
        <v>60</v>
      </c>
    </row>
    <row r="143">
      <c r="A143" s="3" t="s">
        <v>390</v>
      </c>
      <c r="B143" s="3" t="s">
        <v>391</v>
      </c>
      <c r="C143" s="3" t="s">
        <v>392</v>
      </c>
      <c r="D143" s="3" t="s">
        <v>356</v>
      </c>
      <c r="E143" s="3" t="s">
        <v>401</v>
      </c>
      <c r="F143" s="7" t="s">
        <v>60</v>
      </c>
      <c r="H143" s="3" t="s">
        <v>48</v>
      </c>
      <c r="I143" s="3" t="s">
        <v>49</v>
      </c>
      <c r="J143" s="3">
        <v>3.0</v>
      </c>
      <c r="K143" s="3" t="s">
        <v>394</v>
      </c>
      <c r="L143" s="3" t="s">
        <v>395</v>
      </c>
      <c r="M143" s="3" t="s">
        <v>396</v>
      </c>
      <c r="N143" s="6" t="s">
        <v>397</v>
      </c>
      <c r="O143" s="6" t="s">
        <v>398</v>
      </c>
      <c r="P143" s="3">
        <v>6210.0</v>
      </c>
      <c r="Q143" s="7" t="s">
        <v>60</v>
      </c>
    </row>
    <row r="144">
      <c r="A144" s="3" t="s">
        <v>390</v>
      </c>
      <c r="B144" s="3" t="s">
        <v>391</v>
      </c>
      <c r="C144" s="3" t="s">
        <v>392</v>
      </c>
      <c r="D144" s="3" t="s">
        <v>356</v>
      </c>
      <c r="E144" s="3" t="s">
        <v>402</v>
      </c>
      <c r="F144" s="7" t="s">
        <v>60</v>
      </c>
      <c r="H144" s="3" t="s">
        <v>48</v>
      </c>
      <c r="I144" s="3" t="s">
        <v>49</v>
      </c>
      <c r="J144" s="3">
        <v>3.0</v>
      </c>
      <c r="K144" s="3" t="s">
        <v>394</v>
      </c>
      <c r="L144" s="3" t="s">
        <v>395</v>
      </c>
      <c r="M144" s="3" t="s">
        <v>396</v>
      </c>
      <c r="N144" s="6" t="s">
        <v>397</v>
      </c>
      <c r="O144" s="6" t="s">
        <v>398</v>
      </c>
      <c r="P144" s="3">
        <v>6210.0</v>
      </c>
      <c r="Q144" s="7" t="s">
        <v>60</v>
      </c>
    </row>
    <row r="145">
      <c r="A145" s="3" t="s">
        <v>390</v>
      </c>
      <c r="B145" s="3" t="s">
        <v>391</v>
      </c>
      <c r="C145" s="3" t="s">
        <v>392</v>
      </c>
      <c r="D145" s="3" t="s">
        <v>356</v>
      </c>
      <c r="E145" s="3" t="s">
        <v>403</v>
      </c>
      <c r="F145" s="7" t="s">
        <v>60</v>
      </c>
      <c r="H145" s="3" t="s">
        <v>48</v>
      </c>
      <c r="I145" s="3" t="s">
        <v>49</v>
      </c>
      <c r="J145" s="3">
        <v>3.0</v>
      </c>
      <c r="K145" s="3" t="s">
        <v>394</v>
      </c>
      <c r="L145" s="3" t="s">
        <v>395</v>
      </c>
      <c r="M145" s="3" t="s">
        <v>396</v>
      </c>
      <c r="N145" s="6" t="s">
        <v>397</v>
      </c>
      <c r="O145" s="6" t="s">
        <v>398</v>
      </c>
      <c r="P145" s="3">
        <v>6210.0</v>
      </c>
      <c r="Q145" s="7" t="s">
        <v>60</v>
      </c>
    </row>
    <row r="146">
      <c r="A146" s="3" t="s">
        <v>390</v>
      </c>
      <c r="B146" s="3" t="s">
        <v>391</v>
      </c>
      <c r="C146" s="3" t="s">
        <v>392</v>
      </c>
      <c r="D146" s="3" t="s">
        <v>356</v>
      </c>
      <c r="E146" s="3" t="s">
        <v>404</v>
      </c>
      <c r="F146" s="7" t="s">
        <v>60</v>
      </c>
      <c r="H146" s="3" t="s">
        <v>48</v>
      </c>
      <c r="I146" s="3" t="s">
        <v>49</v>
      </c>
      <c r="J146" s="3">
        <v>3.0</v>
      </c>
      <c r="K146" s="3" t="s">
        <v>394</v>
      </c>
      <c r="L146" s="3" t="s">
        <v>395</v>
      </c>
      <c r="M146" s="3" t="s">
        <v>396</v>
      </c>
      <c r="N146" s="6" t="s">
        <v>397</v>
      </c>
      <c r="O146" s="6" t="s">
        <v>398</v>
      </c>
      <c r="P146" s="3">
        <v>6209.0</v>
      </c>
      <c r="Q146" s="7" t="s">
        <v>60</v>
      </c>
    </row>
    <row r="147">
      <c r="A147" s="3" t="s">
        <v>390</v>
      </c>
      <c r="B147" s="3" t="s">
        <v>391</v>
      </c>
      <c r="C147" s="3" t="s">
        <v>392</v>
      </c>
      <c r="D147" s="3" t="s">
        <v>356</v>
      </c>
      <c r="E147" s="3" t="s">
        <v>405</v>
      </c>
      <c r="F147" s="7" t="s">
        <v>60</v>
      </c>
      <c r="H147" s="3" t="s">
        <v>48</v>
      </c>
      <c r="I147" s="3" t="s">
        <v>49</v>
      </c>
      <c r="J147" s="3">
        <v>3.0</v>
      </c>
      <c r="K147" s="3" t="s">
        <v>394</v>
      </c>
      <c r="L147" s="3" t="s">
        <v>395</v>
      </c>
      <c r="M147" s="3" t="s">
        <v>396</v>
      </c>
      <c r="N147" s="6" t="s">
        <v>397</v>
      </c>
      <c r="O147" s="6" t="s">
        <v>398</v>
      </c>
      <c r="P147" s="3">
        <v>6210.0</v>
      </c>
      <c r="Q147" s="7" t="s">
        <v>60</v>
      </c>
    </row>
    <row r="148">
      <c r="A148" s="3" t="s">
        <v>390</v>
      </c>
      <c r="B148" s="3" t="s">
        <v>391</v>
      </c>
      <c r="C148" s="3" t="s">
        <v>392</v>
      </c>
      <c r="D148" s="3" t="s">
        <v>356</v>
      </c>
      <c r="E148" s="3" t="s">
        <v>406</v>
      </c>
      <c r="F148" s="7" t="s">
        <v>60</v>
      </c>
      <c r="H148" s="3" t="s">
        <v>48</v>
      </c>
      <c r="I148" s="3" t="s">
        <v>49</v>
      </c>
      <c r="J148" s="3">
        <v>3.0</v>
      </c>
      <c r="K148" s="3" t="s">
        <v>394</v>
      </c>
      <c r="L148" s="3" t="s">
        <v>395</v>
      </c>
      <c r="M148" s="3" t="s">
        <v>396</v>
      </c>
      <c r="N148" s="6" t="s">
        <v>397</v>
      </c>
      <c r="O148" s="6" t="s">
        <v>398</v>
      </c>
      <c r="P148" s="3">
        <v>6180.0</v>
      </c>
      <c r="Q148" s="7" t="s">
        <v>60</v>
      </c>
    </row>
    <row r="149">
      <c r="A149" s="3" t="s">
        <v>390</v>
      </c>
      <c r="B149" s="3" t="s">
        <v>391</v>
      </c>
      <c r="C149" s="3" t="s">
        <v>392</v>
      </c>
      <c r="D149" s="3" t="s">
        <v>356</v>
      </c>
      <c r="E149" s="15" t="s">
        <v>407</v>
      </c>
      <c r="F149" s="7" t="s">
        <v>60</v>
      </c>
      <c r="H149" s="3" t="s">
        <v>48</v>
      </c>
      <c r="I149" s="3" t="s">
        <v>49</v>
      </c>
      <c r="J149" s="3">
        <v>3.0</v>
      </c>
      <c r="K149" s="3" t="s">
        <v>394</v>
      </c>
      <c r="L149" s="3" t="s">
        <v>395</v>
      </c>
      <c r="M149" s="3" t="s">
        <v>396</v>
      </c>
      <c r="N149" s="6" t="s">
        <v>397</v>
      </c>
      <c r="O149" s="6" t="s">
        <v>398</v>
      </c>
      <c r="P149" s="3">
        <v>6174.0</v>
      </c>
      <c r="Q149" s="7" t="s">
        <v>60</v>
      </c>
    </row>
    <row r="150">
      <c r="A150" s="3" t="s">
        <v>390</v>
      </c>
      <c r="B150" s="3" t="s">
        <v>391</v>
      </c>
      <c r="C150" s="3" t="s">
        <v>392</v>
      </c>
      <c r="D150" s="3" t="s">
        <v>356</v>
      </c>
      <c r="E150" s="3" t="s">
        <v>408</v>
      </c>
      <c r="F150" s="7" t="s">
        <v>60</v>
      </c>
      <c r="H150" s="3" t="s">
        <v>48</v>
      </c>
      <c r="I150" s="3" t="s">
        <v>49</v>
      </c>
      <c r="J150" s="3">
        <v>3.0</v>
      </c>
      <c r="K150" s="3" t="s">
        <v>394</v>
      </c>
      <c r="L150" s="3" t="s">
        <v>395</v>
      </c>
      <c r="M150" s="3" t="s">
        <v>396</v>
      </c>
      <c r="N150" s="6" t="s">
        <v>397</v>
      </c>
      <c r="O150" s="6" t="s">
        <v>398</v>
      </c>
      <c r="P150" s="3">
        <v>6174.0</v>
      </c>
      <c r="Q150" s="7" t="s">
        <v>60</v>
      </c>
    </row>
    <row r="151">
      <c r="A151" s="3" t="s">
        <v>409</v>
      </c>
      <c r="B151" s="3" t="s">
        <v>410</v>
      </c>
      <c r="C151" s="19" t="s">
        <v>411</v>
      </c>
      <c r="D151" s="3" t="s">
        <v>356</v>
      </c>
      <c r="E151" s="3" t="s">
        <v>412</v>
      </c>
      <c r="F151" s="5">
        <v>45918.0</v>
      </c>
      <c r="G151" s="12" t="s">
        <v>260</v>
      </c>
      <c r="H151" s="19" t="s">
        <v>48</v>
      </c>
      <c r="I151" s="3" t="s">
        <v>49</v>
      </c>
      <c r="J151" s="3">
        <v>16.0</v>
      </c>
      <c r="K151" s="3" t="s">
        <v>413</v>
      </c>
      <c r="L151" s="3" t="s">
        <v>272</v>
      </c>
      <c r="M151" s="3" t="s">
        <v>414</v>
      </c>
      <c r="N151" s="6" t="s">
        <v>415</v>
      </c>
      <c r="O151" s="6" t="s">
        <v>416</v>
      </c>
      <c r="P151" s="3">
        <v>6107.0</v>
      </c>
      <c r="Q151" s="3">
        <v>1.0</v>
      </c>
      <c r="R151" s="3">
        <v>328.9</v>
      </c>
    </row>
    <row r="152">
      <c r="A152" s="3" t="s">
        <v>409</v>
      </c>
      <c r="B152" s="3" t="s">
        <v>410</v>
      </c>
      <c r="C152" s="19" t="s">
        <v>411</v>
      </c>
      <c r="D152" s="3" t="s">
        <v>356</v>
      </c>
      <c r="E152" s="3" t="s">
        <v>417</v>
      </c>
      <c r="F152" s="7" t="s">
        <v>60</v>
      </c>
      <c r="H152" s="19" t="s">
        <v>48</v>
      </c>
      <c r="I152" s="3" t="s">
        <v>49</v>
      </c>
      <c r="J152" s="3">
        <v>1.0</v>
      </c>
      <c r="K152" s="3" t="s">
        <v>272</v>
      </c>
      <c r="L152" s="3" t="s">
        <v>272</v>
      </c>
      <c r="M152" s="3" t="s">
        <v>414</v>
      </c>
      <c r="N152" s="6" t="s">
        <v>415</v>
      </c>
      <c r="O152" s="6" t="s">
        <v>416</v>
      </c>
      <c r="P152" s="3">
        <v>6076.0</v>
      </c>
      <c r="Q152" s="7" t="s">
        <v>60</v>
      </c>
    </row>
    <row r="153">
      <c r="A153" s="3" t="s">
        <v>409</v>
      </c>
      <c r="B153" s="3" t="s">
        <v>410</v>
      </c>
      <c r="C153" s="19" t="s">
        <v>411</v>
      </c>
      <c r="D153" s="3" t="s">
        <v>356</v>
      </c>
      <c r="E153" s="3" t="s">
        <v>418</v>
      </c>
      <c r="F153" s="7" t="s">
        <v>60</v>
      </c>
      <c r="H153" s="19" t="s">
        <v>48</v>
      </c>
      <c r="I153" s="3" t="s">
        <v>49</v>
      </c>
      <c r="J153" s="3">
        <v>6.0</v>
      </c>
      <c r="K153" s="3" t="s">
        <v>419</v>
      </c>
      <c r="L153" s="3" t="s">
        <v>272</v>
      </c>
      <c r="M153" s="3" t="s">
        <v>414</v>
      </c>
      <c r="N153" s="6" t="s">
        <v>415</v>
      </c>
      <c r="O153" s="6" t="s">
        <v>416</v>
      </c>
      <c r="P153" s="3">
        <v>6107.0</v>
      </c>
      <c r="Q153" s="7" t="s">
        <v>60</v>
      </c>
    </row>
    <row r="154">
      <c r="A154" s="3" t="s">
        <v>409</v>
      </c>
      <c r="B154" s="3" t="s">
        <v>410</v>
      </c>
      <c r="C154" s="19" t="s">
        <v>411</v>
      </c>
      <c r="D154" s="3" t="s">
        <v>356</v>
      </c>
      <c r="E154" s="3" t="s">
        <v>420</v>
      </c>
      <c r="F154" s="7" t="s">
        <v>60</v>
      </c>
      <c r="H154" s="19" t="s">
        <v>48</v>
      </c>
      <c r="I154" s="3" t="s">
        <v>49</v>
      </c>
      <c r="J154" s="3">
        <v>6.0</v>
      </c>
      <c r="K154" s="3" t="s">
        <v>419</v>
      </c>
      <c r="L154" s="3" t="s">
        <v>272</v>
      </c>
      <c r="M154" s="3" t="s">
        <v>414</v>
      </c>
      <c r="N154" s="6" t="s">
        <v>415</v>
      </c>
      <c r="O154" s="6" t="s">
        <v>416</v>
      </c>
      <c r="P154" s="3">
        <v>6155.0</v>
      </c>
      <c r="Q154" s="7" t="s">
        <v>60</v>
      </c>
    </row>
    <row r="155">
      <c r="A155" s="3" t="s">
        <v>409</v>
      </c>
      <c r="B155" s="3" t="s">
        <v>410</v>
      </c>
      <c r="C155" s="19" t="s">
        <v>411</v>
      </c>
      <c r="D155" s="3" t="s">
        <v>356</v>
      </c>
      <c r="E155" s="3" t="s">
        <v>421</v>
      </c>
      <c r="F155" s="7" t="s">
        <v>60</v>
      </c>
      <c r="H155" s="19" t="s">
        <v>48</v>
      </c>
      <c r="I155" s="3" t="s">
        <v>49</v>
      </c>
      <c r="J155" s="3">
        <v>4.0</v>
      </c>
      <c r="K155" s="3" t="s">
        <v>422</v>
      </c>
      <c r="L155" s="3" t="s">
        <v>423</v>
      </c>
      <c r="M155" s="3" t="s">
        <v>414</v>
      </c>
      <c r="N155" s="6" t="s">
        <v>415</v>
      </c>
      <c r="O155" s="6" t="s">
        <v>416</v>
      </c>
      <c r="P155" s="3">
        <v>6152.0</v>
      </c>
      <c r="Q155" s="7" t="s">
        <v>60</v>
      </c>
    </row>
    <row r="156">
      <c r="A156" s="3" t="s">
        <v>409</v>
      </c>
      <c r="B156" s="3" t="s">
        <v>410</v>
      </c>
      <c r="C156" s="19" t="s">
        <v>411</v>
      </c>
      <c r="D156" s="3" t="s">
        <v>356</v>
      </c>
      <c r="E156" s="3" t="s">
        <v>424</v>
      </c>
      <c r="F156" s="7" t="s">
        <v>60</v>
      </c>
      <c r="H156" s="19" t="s">
        <v>48</v>
      </c>
      <c r="I156" s="3" t="s">
        <v>49</v>
      </c>
      <c r="J156" s="3">
        <v>4.0</v>
      </c>
      <c r="K156" s="3" t="s">
        <v>422</v>
      </c>
      <c r="L156" s="3" t="s">
        <v>423</v>
      </c>
      <c r="M156" s="3" t="s">
        <v>414</v>
      </c>
      <c r="N156" s="6" t="s">
        <v>415</v>
      </c>
      <c r="O156" s="6" t="s">
        <v>416</v>
      </c>
      <c r="P156" s="3">
        <v>6147.0</v>
      </c>
      <c r="Q156" s="7" t="s">
        <v>60</v>
      </c>
    </row>
    <row r="157">
      <c r="A157" s="3" t="s">
        <v>409</v>
      </c>
      <c r="B157" s="3" t="s">
        <v>410</v>
      </c>
      <c r="C157" s="19" t="s">
        <v>411</v>
      </c>
      <c r="D157" s="3" t="s">
        <v>356</v>
      </c>
      <c r="E157" s="3" t="s">
        <v>425</v>
      </c>
      <c r="F157" s="7" t="s">
        <v>60</v>
      </c>
      <c r="H157" s="19" t="s">
        <v>48</v>
      </c>
      <c r="I157" s="3" t="s">
        <v>49</v>
      </c>
      <c r="J157" s="3">
        <v>4.0</v>
      </c>
      <c r="K157" s="3" t="s">
        <v>422</v>
      </c>
      <c r="L157" s="3" t="s">
        <v>423</v>
      </c>
      <c r="M157" s="3" t="s">
        <v>414</v>
      </c>
      <c r="N157" s="6" t="s">
        <v>415</v>
      </c>
      <c r="O157" s="6" t="s">
        <v>416</v>
      </c>
      <c r="P157" s="3">
        <v>6102.0</v>
      </c>
      <c r="Q157" s="7" t="s">
        <v>60</v>
      </c>
    </row>
    <row r="158">
      <c r="A158" s="3" t="s">
        <v>409</v>
      </c>
      <c r="B158" s="3" t="s">
        <v>410</v>
      </c>
      <c r="C158" s="19" t="s">
        <v>411</v>
      </c>
      <c r="D158" s="3" t="s">
        <v>356</v>
      </c>
      <c r="E158" s="3" t="s">
        <v>426</v>
      </c>
      <c r="F158" s="7" t="s">
        <v>60</v>
      </c>
      <c r="H158" s="19" t="s">
        <v>48</v>
      </c>
      <c r="I158" s="3" t="s">
        <v>49</v>
      </c>
      <c r="J158" s="3">
        <v>4.0</v>
      </c>
      <c r="K158" s="3" t="s">
        <v>422</v>
      </c>
      <c r="L158" s="3" t="s">
        <v>423</v>
      </c>
      <c r="M158" s="3" t="s">
        <v>414</v>
      </c>
      <c r="N158" s="6" t="s">
        <v>415</v>
      </c>
      <c r="O158" s="6" t="s">
        <v>416</v>
      </c>
      <c r="P158" s="3">
        <v>6147.0</v>
      </c>
      <c r="Q158" s="7" t="s">
        <v>60</v>
      </c>
    </row>
    <row r="159">
      <c r="A159" s="3" t="s">
        <v>409</v>
      </c>
      <c r="B159" s="3" t="s">
        <v>410</v>
      </c>
      <c r="C159" s="19" t="s">
        <v>411</v>
      </c>
      <c r="D159" s="3" t="s">
        <v>356</v>
      </c>
      <c r="E159" s="3" t="s">
        <v>427</v>
      </c>
      <c r="F159" s="7" t="s">
        <v>60</v>
      </c>
      <c r="H159" s="19" t="s">
        <v>48</v>
      </c>
      <c r="I159" s="3" t="s">
        <v>49</v>
      </c>
      <c r="J159" s="3">
        <v>4.0</v>
      </c>
      <c r="K159" s="3" t="s">
        <v>422</v>
      </c>
      <c r="L159" s="3" t="s">
        <v>423</v>
      </c>
      <c r="M159" s="3" t="s">
        <v>414</v>
      </c>
      <c r="N159" s="6" t="s">
        <v>415</v>
      </c>
      <c r="O159" s="6" t="s">
        <v>416</v>
      </c>
      <c r="P159" s="3">
        <v>6102.0</v>
      </c>
      <c r="Q159" s="7" t="s">
        <v>60</v>
      </c>
    </row>
    <row r="160">
      <c r="A160" s="3" t="s">
        <v>409</v>
      </c>
      <c r="B160" s="3" t="s">
        <v>410</v>
      </c>
      <c r="C160" s="19" t="s">
        <v>411</v>
      </c>
      <c r="D160" s="3" t="s">
        <v>356</v>
      </c>
      <c r="E160" s="3" t="s">
        <v>428</v>
      </c>
      <c r="F160" s="7" t="s">
        <v>60</v>
      </c>
      <c r="H160" s="19" t="s">
        <v>48</v>
      </c>
      <c r="I160" s="3" t="s">
        <v>49</v>
      </c>
      <c r="J160" s="3">
        <v>4.0</v>
      </c>
      <c r="K160" s="3" t="s">
        <v>422</v>
      </c>
      <c r="L160" s="3" t="s">
        <v>423</v>
      </c>
      <c r="M160" s="3" t="s">
        <v>414</v>
      </c>
      <c r="N160" s="6" t="s">
        <v>415</v>
      </c>
      <c r="O160" s="6" t="s">
        <v>416</v>
      </c>
      <c r="P160" s="3">
        <v>6107.0</v>
      </c>
      <c r="Q160" s="7" t="s">
        <v>60</v>
      </c>
    </row>
    <row r="161">
      <c r="A161" s="3" t="s">
        <v>409</v>
      </c>
      <c r="B161" s="3" t="s">
        <v>410</v>
      </c>
      <c r="C161" s="19" t="s">
        <v>411</v>
      </c>
      <c r="D161" s="3" t="s">
        <v>356</v>
      </c>
      <c r="E161" s="3" t="s">
        <v>429</v>
      </c>
      <c r="F161" s="7" t="s">
        <v>60</v>
      </c>
      <c r="H161" s="19" t="s">
        <v>48</v>
      </c>
      <c r="I161" s="3" t="s">
        <v>49</v>
      </c>
      <c r="J161" s="3">
        <v>2.0</v>
      </c>
      <c r="K161" s="3" t="s">
        <v>430</v>
      </c>
      <c r="L161" s="3" t="s">
        <v>423</v>
      </c>
      <c r="M161" s="3" t="s">
        <v>414</v>
      </c>
      <c r="N161" s="6" t="s">
        <v>415</v>
      </c>
      <c r="O161" s="6" t="s">
        <v>416</v>
      </c>
      <c r="P161" s="3">
        <v>6149.0</v>
      </c>
      <c r="Q161" s="7" t="s">
        <v>60</v>
      </c>
    </row>
    <row r="162">
      <c r="A162" s="3" t="s">
        <v>409</v>
      </c>
      <c r="B162" s="3" t="s">
        <v>410</v>
      </c>
      <c r="C162" s="19" t="s">
        <v>411</v>
      </c>
      <c r="D162" s="3" t="s">
        <v>356</v>
      </c>
      <c r="E162" s="3" t="s">
        <v>431</v>
      </c>
      <c r="F162" s="7" t="s">
        <v>60</v>
      </c>
      <c r="H162" s="19" t="s">
        <v>48</v>
      </c>
      <c r="I162" s="3" t="s">
        <v>49</v>
      </c>
      <c r="J162" s="3">
        <v>2.0</v>
      </c>
      <c r="K162" s="3" t="s">
        <v>430</v>
      </c>
      <c r="L162" s="3" t="s">
        <v>423</v>
      </c>
      <c r="M162" s="3" t="s">
        <v>414</v>
      </c>
      <c r="N162" s="6" t="s">
        <v>415</v>
      </c>
      <c r="O162" s="6" t="s">
        <v>416</v>
      </c>
      <c r="P162" s="3">
        <v>6071.0</v>
      </c>
      <c r="Q162" s="7" t="s">
        <v>60</v>
      </c>
    </row>
    <row r="163">
      <c r="A163" s="3" t="s">
        <v>409</v>
      </c>
      <c r="B163" s="3" t="s">
        <v>410</v>
      </c>
      <c r="C163" s="19" t="s">
        <v>411</v>
      </c>
      <c r="D163" s="3" t="s">
        <v>356</v>
      </c>
      <c r="E163" s="3" t="s">
        <v>432</v>
      </c>
      <c r="F163" s="7" t="s">
        <v>60</v>
      </c>
      <c r="H163" s="19" t="s">
        <v>48</v>
      </c>
      <c r="I163" s="3" t="s">
        <v>49</v>
      </c>
      <c r="J163" s="3">
        <v>2.0</v>
      </c>
      <c r="K163" s="3" t="s">
        <v>430</v>
      </c>
      <c r="L163" s="3" t="s">
        <v>423</v>
      </c>
      <c r="M163" s="3" t="s">
        <v>414</v>
      </c>
      <c r="N163" s="6" t="s">
        <v>415</v>
      </c>
      <c r="O163" s="6" t="s">
        <v>416</v>
      </c>
      <c r="P163" s="3">
        <v>6071.0</v>
      </c>
      <c r="Q163" s="7" t="s">
        <v>60</v>
      </c>
    </row>
    <row r="164">
      <c r="A164" s="3" t="s">
        <v>409</v>
      </c>
      <c r="B164" s="3" t="s">
        <v>410</v>
      </c>
      <c r="C164" s="19" t="s">
        <v>411</v>
      </c>
      <c r="D164" s="3" t="s">
        <v>356</v>
      </c>
      <c r="E164" s="3" t="s">
        <v>433</v>
      </c>
      <c r="F164" s="7" t="s">
        <v>60</v>
      </c>
      <c r="H164" s="19" t="s">
        <v>48</v>
      </c>
      <c r="I164" s="3" t="s">
        <v>49</v>
      </c>
      <c r="J164" s="3">
        <v>1.0</v>
      </c>
      <c r="K164" s="3" t="s">
        <v>423</v>
      </c>
      <c r="L164" s="3" t="s">
        <v>423</v>
      </c>
      <c r="M164" s="3" t="s">
        <v>414</v>
      </c>
      <c r="N164" s="6" t="s">
        <v>415</v>
      </c>
      <c r="O164" s="6" t="s">
        <v>416</v>
      </c>
      <c r="P164" s="3">
        <v>6101.0</v>
      </c>
      <c r="Q164" s="7" t="s">
        <v>60</v>
      </c>
    </row>
    <row r="165">
      <c r="A165" s="3" t="s">
        <v>409</v>
      </c>
      <c r="B165" s="3" t="s">
        <v>410</v>
      </c>
      <c r="C165" s="19" t="s">
        <v>411</v>
      </c>
      <c r="D165" s="3" t="s">
        <v>356</v>
      </c>
      <c r="E165" s="3" t="s">
        <v>434</v>
      </c>
      <c r="F165" s="7" t="s">
        <v>60</v>
      </c>
      <c r="H165" s="19" t="s">
        <v>48</v>
      </c>
      <c r="I165" s="3" t="s">
        <v>49</v>
      </c>
      <c r="J165" s="3">
        <v>1.0</v>
      </c>
      <c r="K165" s="3" t="s">
        <v>423</v>
      </c>
      <c r="L165" s="3" t="s">
        <v>423</v>
      </c>
      <c r="M165" s="3" t="s">
        <v>414</v>
      </c>
      <c r="N165" s="6" t="s">
        <v>415</v>
      </c>
      <c r="O165" s="6" t="s">
        <v>416</v>
      </c>
      <c r="P165" s="3">
        <v>6147.0</v>
      </c>
      <c r="Q165" s="7" t="s">
        <v>60</v>
      </c>
    </row>
    <row r="166">
      <c r="A166" s="3" t="s">
        <v>409</v>
      </c>
      <c r="B166" s="3" t="s">
        <v>410</v>
      </c>
      <c r="C166" s="19" t="s">
        <v>411</v>
      </c>
      <c r="D166" s="3" t="s">
        <v>356</v>
      </c>
      <c r="E166" s="3" t="s">
        <v>435</v>
      </c>
      <c r="F166" s="7" t="s">
        <v>60</v>
      </c>
      <c r="H166" s="19" t="s">
        <v>48</v>
      </c>
      <c r="I166" s="3" t="s">
        <v>49</v>
      </c>
      <c r="J166" s="3">
        <v>1.0</v>
      </c>
      <c r="K166" s="3" t="s">
        <v>423</v>
      </c>
      <c r="L166" s="3" t="s">
        <v>423</v>
      </c>
      <c r="M166" s="3" t="s">
        <v>414</v>
      </c>
      <c r="N166" s="6" t="s">
        <v>415</v>
      </c>
      <c r="O166" s="6" t="s">
        <v>416</v>
      </c>
      <c r="P166" s="3">
        <v>6153.0</v>
      </c>
      <c r="Q166" s="7" t="s">
        <v>60</v>
      </c>
    </row>
    <row r="167">
      <c r="A167" s="3" t="s">
        <v>409</v>
      </c>
      <c r="B167" s="3" t="s">
        <v>410</v>
      </c>
      <c r="C167" s="19" t="s">
        <v>411</v>
      </c>
      <c r="D167" s="3" t="s">
        <v>356</v>
      </c>
      <c r="E167" s="3" t="s">
        <v>436</v>
      </c>
      <c r="F167" s="7" t="s">
        <v>60</v>
      </c>
      <c r="H167" s="19" t="s">
        <v>48</v>
      </c>
      <c r="I167" s="3" t="s">
        <v>49</v>
      </c>
      <c r="J167" s="3">
        <v>1.0</v>
      </c>
      <c r="K167" s="3" t="s">
        <v>423</v>
      </c>
      <c r="L167" s="3" t="s">
        <v>423</v>
      </c>
      <c r="M167" s="3" t="s">
        <v>414</v>
      </c>
      <c r="N167" s="6" t="s">
        <v>415</v>
      </c>
      <c r="O167" s="6" t="s">
        <v>416</v>
      </c>
      <c r="P167" s="3">
        <v>6057.0</v>
      </c>
      <c r="Q167" s="7" t="s">
        <v>60</v>
      </c>
    </row>
    <row r="168">
      <c r="A168" s="3" t="s">
        <v>409</v>
      </c>
      <c r="B168" s="3" t="s">
        <v>410</v>
      </c>
      <c r="C168" s="19" t="s">
        <v>411</v>
      </c>
      <c r="D168" s="3" t="s">
        <v>356</v>
      </c>
      <c r="E168" s="3" t="s">
        <v>437</v>
      </c>
      <c r="F168" s="7" t="s">
        <v>60</v>
      </c>
      <c r="H168" s="19" t="s">
        <v>48</v>
      </c>
      <c r="I168" s="3" t="s">
        <v>49</v>
      </c>
      <c r="J168" s="3">
        <v>1.0</v>
      </c>
      <c r="K168" s="3" t="s">
        <v>423</v>
      </c>
      <c r="L168" s="3" t="s">
        <v>423</v>
      </c>
      <c r="M168" s="3" t="s">
        <v>414</v>
      </c>
      <c r="N168" s="6" t="s">
        <v>415</v>
      </c>
      <c r="O168" s="6" t="s">
        <v>416</v>
      </c>
      <c r="P168" s="3">
        <v>6101.0</v>
      </c>
      <c r="Q168" s="7" t="s">
        <v>60</v>
      </c>
    </row>
    <row r="169">
      <c r="A169" s="19" t="s">
        <v>438</v>
      </c>
      <c r="B169" s="3" t="s">
        <v>439</v>
      </c>
      <c r="C169" s="19" t="s">
        <v>440</v>
      </c>
      <c r="D169" s="3" t="s">
        <v>356</v>
      </c>
      <c r="E169" s="3" t="s">
        <v>441</v>
      </c>
      <c r="F169" s="5">
        <v>45918.0</v>
      </c>
      <c r="G169" s="12" t="s">
        <v>260</v>
      </c>
      <c r="H169" s="19" t="s">
        <v>48</v>
      </c>
      <c r="I169" s="3" t="s">
        <v>49</v>
      </c>
      <c r="J169" s="3">
        <v>4.0</v>
      </c>
      <c r="K169" s="3" t="s">
        <v>442</v>
      </c>
      <c r="L169" s="3" t="s">
        <v>443</v>
      </c>
      <c r="M169" s="3" t="s">
        <v>414</v>
      </c>
      <c r="N169" s="6" t="s">
        <v>444</v>
      </c>
      <c r="O169" s="6" t="s">
        <v>416</v>
      </c>
      <c r="P169" s="3">
        <v>6110.0</v>
      </c>
      <c r="Q169" s="3">
        <v>1.0</v>
      </c>
      <c r="R169" s="3">
        <v>328.9</v>
      </c>
    </row>
    <row r="170">
      <c r="A170" s="19" t="s">
        <v>438</v>
      </c>
      <c r="B170" s="3" t="s">
        <v>439</v>
      </c>
      <c r="C170" s="19" t="s">
        <v>440</v>
      </c>
      <c r="D170" s="3" t="s">
        <v>356</v>
      </c>
      <c r="E170" s="3" t="s">
        <v>445</v>
      </c>
      <c r="F170" s="7" t="s">
        <v>60</v>
      </c>
      <c r="G170" s="3"/>
      <c r="H170" s="19" t="s">
        <v>48</v>
      </c>
      <c r="I170" s="3" t="s">
        <v>49</v>
      </c>
      <c r="J170" s="3">
        <v>1.0</v>
      </c>
      <c r="K170" s="3" t="s">
        <v>443</v>
      </c>
      <c r="L170" s="3" t="s">
        <v>443</v>
      </c>
      <c r="M170" s="3" t="s">
        <v>414</v>
      </c>
      <c r="N170" s="6" t="s">
        <v>444</v>
      </c>
      <c r="O170" s="6" t="s">
        <v>416</v>
      </c>
      <c r="P170" s="3">
        <v>6122.0</v>
      </c>
      <c r="Q170" s="7" t="s">
        <v>60</v>
      </c>
    </row>
    <row r="171">
      <c r="A171" s="19" t="s">
        <v>438</v>
      </c>
      <c r="B171" s="3" t="s">
        <v>439</v>
      </c>
      <c r="C171" s="19" t="s">
        <v>440</v>
      </c>
      <c r="D171" s="3" t="s">
        <v>356</v>
      </c>
      <c r="E171" s="3" t="s">
        <v>446</v>
      </c>
      <c r="F171" s="7" t="s">
        <v>60</v>
      </c>
      <c r="G171" s="3"/>
      <c r="H171" s="19" t="s">
        <v>48</v>
      </c>
      <c r="I171" s="3" t="s">
        <v>49</v>
      </c>
      <c r="J171" s="3">
        <v>1.0</v>
      </c>
      <c r="K171" s="3" t="s">
        <v>443</v>
      </c>
      <c r="L171" s="3" t="s">
        <v>443</v>
      </c>
      <c r="M171" s="3" t="s">
        <v>414</v>
      </c>
      <c r="N171" s="6" t="s">
        <v>444</v>
      </c>
      <c r="O171" s="6" t="s">
        <v>416</v>
      </c>
      <c r="P171" s="3">
        <v>6110.0</v>
      </c>
      <c r="Q171" s="7" t="s">
        <v>60</v>
      </c>
    </row>
    <row r="172">
      <c r="A172" s="19" t="s">
        <v>438</v>
      </c>
      <c r="B172" s="3" t="s">
        <v>439</v>
      </c>
      <c r="C172" s="19" t="s">
        <v>440</v>
      </c>
      <c r="D172" s="3" t="s">
        <v>356</v>
      </c>
      <c r="E172" s="3" t="s">
        <v>447</v>
      </c>
      <c r="F172" s="7" t="s">
        <v>60</v>
      </c>
      <c r="G172" s="3"/>
      <c r="H172" s="19" t="s">
        <v>48</v>
      </c>
      <c r="I172" s="3" t="s">
        <v>49</v>
      </c>
      <c r="J172" s="3">
        <v>4.0</v>
      </c>
      <c r="K172" s="3" t="s">
        <v>448</v>
      </c>
      <c r="L172" s="3" t="s">
        <v>443</v>
      </c>
      <c r="M172" s="3" t="s">
        <v>414</v>
      </c>
      <c r="N172" s="6" t="s">
        <v>444</v>
      </c>
      <c r="O172" s="6" t="s">
        <v>416</v>
      </c>
      <c r="P172" s="3">
        <v>6110.0</v>
      </c>
      <c r="Q172" s="7" t="s">
        <v>60</v>
      </c>
    </row>
    <row r="173">
      <c r="A173" s="19" t="s">
        <v>438</v>
      </c>
      <c r="B173" s="3" t="s">
        <v>439</v>
      </c>
      <c r="C173" s="19" t="s">
        <v>440</v>
      </c>
      <c r="D173" s="3" t="s">
        <v>356</v>
      </c>
      <c r="E173" s="3" t="s">
        <v>449</v>
      </c>
      <c r="F173" s="7" t="s">
        <v>60</v>
      </c>
      <c r="G173" s="3"/>
      <c r="H173" s="19" t="s">
        <v>48</v>
      </c>
      <c r="I173" s="3" t="s">
        <v>49</v>
      </c>
      <c r="J173" s="3">
        <v>1.0</v>
      </c>
      <c r="K173" s="3" t="s">
        <v>443</v>
      </c>
      <c r="L173" s="3" t="s">
        <v>443</v>
      </c>
      <c r="M173" s="3" t="s">
        <v>414</v>
      </c>
      <c r="N173" s="6" t="s">
        <v>444</v>
      </c>
      <c r="O173" s="6" t="s">
        <v>416</v>
      </c>
      <c r="P173" s="3">
        <v>6155.0</v>
      </c>
      <c r="Q173" s="7" t="s">
        <v>60</v>
      </c>
    </row>
    <row r="174">
      <c r="A174" s="19" t="s">
        <v>438</v>
      </c>
      <c r="B174" s="3" t="s">
        <v>439</v>
      </c>
      <c r="C174" s="19" t="s">
        <v>440</v>
      </c>
      <c r="D174" s="3" t="s">
        <v>356</v>
      </c>
      <c r="E174" s="3" t="s">
        <v>450</v>
      </c>
      <c r="F174" s="7" t="s">
        <v>60</v>
      </c>
      <c r="G174" s="3"/>
      <c r="H174" s="19" t="s">
        <v>48</v>
      </c>
      <c r="I174" s="3" t="s">
        <v>49</v>
      </c>
      <c r="J174" s="3">
        <v>1.0</v>
      </c>
      <c r="K174" s="3" t="s">
        <v>443</v>
      </c>
      <c r="L174" s="3" t="s">
        <v>443</v>
      </c>
      <c r="M174" s="3" t="s">
        <v>414</v>
      </c>
      <c r="N174" s="6" t="s">
        <v>444</v>
      </c>
      <c r="O174" s="6" t="s">
        <v>416</v>
      </c>
      <c r="P174" s="3">
        <v>6108.0</v>
      </c>
      <c r="Q174" s="7" t="s">
        <v>60</v>
      </c>
    </row>
    <row r="175">
      <c r="A175" s="19" t="s">
        <v>438</v>
      </c>
      <c r="B175" s="3" t="s">
        <v>439</v>
      </c>
      <c r="C175" s="19" t="s">
        <v>440</v>
      </c>
      <c r="D175" s="3" t="s">
        <v>356</v>
      </c>
      <c r="E175" s="3" t="s">
        <v>451</v>
      </c>
      <c r="F175" s="7" t="s">
        <v>60</v>
      </c>
      <c r="G175" s="3"/>
      <c r="H175" s="19" t="s">
        <v>48</v>
      </c>
      <c r="I175" s="3" t="s">
        <v>49</v>
      </c>
      <c r="J175" s="3">
        <v>1.0</v>
      </c>
      <c r="K175" s="3" t="s">
        <v>443</v>
      </c>
      <c r="L175" s="3" t="s">
        <v>443</v>
      </c>
      <c r="M175" s="3" t="s">
        <v>414</v>
      </c>
      <c r="N175" s="6" t="s">
        <v>444</v>
      </c>
      <c r="O175" s="6" t="s">
        <v>416</v>
      </c>
      <c r="P175" s="3">
        <v>6112.0</v>
      </c>
      <c r="Q175" s="7" t="s">
        <v>60</v>
      </c>
    </row>
    <row r="176">
      <c r="A176" s="19" t="s">
        <v>438</v>
      </c>
      <c r="B176" s="3" t="s">
        <v>439</v>
      </c>
      <c r="C176" s="19" t="s">
        <v>440</v>
      </c>
      <c r="D176" s="3" t="s">
        <v>356</v>
      </c>
      <c r="E176" s="3" t="s">
        <v>452</v>
      </c>
      <c r="F176" s="7" t="s">
        <v>60</v>
      </c>
      <c r="G176" s="3"/>
      <c r="H176" s="19" t="s">
        <v>48</v>
      </c>
      <c r="I176" s="3" t="s">
        <v>49</v>
      </c>
      <c r="J176" s="3">
        <v>1.0</v>
      </c>
      <c r="K176" s="3" t="s">
        <v>443</v>
      </c>
      <c r="L176" s="3" t="s">
        <v>443</v>
      </c>
      <c r="M176" s="3" t="s">
        <v>414</v>
      </c>
      <c r="N176" s="6" t="s">
        <v>444</v>
      </c>
      <c r="O176" s="6" t="s">
        <v>416</v>
      </c>
      <c r="P176" s="3">
        <v>6110.0</v>
      </c>
      <c r="Q176" s="7" t="s">
        <v>60</v>
      </c>
    </row>
    <row r="177">
      <c r="A177" s="19" t="s">
        <v>438</v>
      </c>
      <c r="B177" s="3" t="s">
        <v>439</v>
      </c>
      <c r="C177" s="19" t="s">
        <v>440</v>
      </c>
      <c r="D177" s="3" t="s">
        <v>356</v>
      </c>
      <c r="E177" s="3" t="s">
        <v>453</v>
      </c>
      <c r="F177" s="7" t="s">
        <v>60</v>
      </c>
      <c r="G177" s="3"/>
      <c r="H177" s="19" t="s">
        <v>48</v>
      </c>
      <c r="I177" s="3" t="s">
        <v>49</v>
      </c>
      <c r="J177" s="3">
        <v>1.0</v>
      </c>
      <c r="K177" s="3" t="s">
        <v>443</v>
      </c>
      <c r="L177" s="3" t="s">
        <v>443</v>
      </c>
      <c r="M177" s="3" t="s">
        <v>414</v>
      </c>
      <c r="N177" s="6" t="s">
        <v>444</v>
      </c>
      <c r="O177" s="6" t="s">
        <v>416</v>
      </c>
      <c r="P177" s="3">
        <v>6164.0</v>
      </c>
      <c r="Q177" s="7" t="s">
        <v>60</v>
      </c>
    </row>
    <row r="178">
      <c r="A178" s="3" t="s">
        <v>454</v>
      </c>
      <c r="B178" s="3" t="s">
        <v>455</v>
      </c>
      <c r="C178" s="3" t="s">
        <v>456</v>
      </c>
      <c r="D178" s="3" t="s">
        <v>457</v>
      </c>
      <c r="E178" s="3" t="s">
        <v>458</v>
      </c>
      <c r="F178" s="5">
        <v>45761.0</v>
      </c>
      <c r="G178" s="12" t="s">
        <v>136</v>
      </c>
      <c r="H178" s="3" t="s">
        <v>110</v>
      </c>
      <c r="I178" s="3" t="s">
        <v>49</v>
      </c>
      <c r="J178" s="3">
        <v>5.0</v>
      </c>
      <c r="K178" s="3" t="s">
        <v>459</v>
      </c>
      <c r="L178" s="3" t="s">
        <v>460</v>
      </c>
      <c r="M178" s="3" t="s">
        <v>461</v>
      </c>
      <c r="N178" s="6" t="s">
        <v>462</v>
      </c>
      <c r="O178" s="6" t="s">
        <v>463</v>
      </c>
      <c r="P178" s="3">
        <v>5085.0</v>
      </c>
      <c r="Q178" s="3">
        <v>1.0</v>
      </c>
      <c r="R178" s="3">
        <v>144.31</v>
      </c>
    </row>
    <row r="179">
      <c r="A179" s="3" t="s">
        <v>454</v>
      </c>
      <c r="B179" s="3" t="s">
        <v>455</v>
      </c>
      <c r="C179" s="3" t="s">
        <v>456</v>
      </c>
      <c r="D179" s="3" t="s">
        <v>457</v>
      </c>
      <c r="E179" s="3" t="s">
        <v>464</v>
      </c>
      <c r="F179" s="5">
        <v>45761.0</v>
      </c>
      <c r="G179" s="12" t="s">
        <v>136</v>
      </c>
      <c r="H179" s="3" t="s">
        <v>110</v>
      </c>
      <c r="I179" s="3" t="s">
        <v>49</v>
      </c>
      <c r="J179" s="3">
        <v>5.0</v>
      </c>
      <c r="K179" s="3" t="s">
        <v>459</v>
      </c>
      <c r="L179" s="3" t="s">
        <v>460</v>
      </c>
      <c r="M179" s="3" t="s">
        <v>461</v>
      </c>
      <c r="N179" s="6" t="s">
        <v>462</v>
      </c>
      <c r="O179" s="6" t="s">
        <v>463</v>
      </c>
      <c r="P179" s="3">
        <v>5085.0</v>
      </c>
      <c r="Q179" s="7" t="s">
        <v>60</v>
      </c>
      <c r="R179" s="3">
        <v>53.9</v>
      </c>
    </row>
    <row r="180">
      <c r="A180" s="3" t="s">
        <v>454</v>
      </c>
      <c r="B180" s="3" t="s">
        <v>455</v>
      </c>
      <c r="C180" s="3" t="s">
        <v>456</v>
      </c>
      <c r="D180" s="3" t="s">
        <v>457</v>
      </c>
      <c r="E180" s="3" t="s">
        <v>465</v>
      </c>
      <c r="F180" s="7" t="s">
        <v>60</v>
      </c>
      <c r="H180" s="3" t="s">
        <v>110</v>
      </c>
      <c r="I180" s="3" t="s">
        <v>49</v>
      </c>
      <c r="J180" s="3">
        <v>5.0</v>
      </c>
      <c r="K180" s="3" t="s">
        <v>459</v>
      </c>
      <c r="L180" s="3" t="s">
        <v>460</v>
      </c>
      <c r="M180" s="3" t="s">
        <v>461</v>
      </c>
      <c r="N180" s="6" t="s">
        <v>462</v>
      </c>
      <c r="O180" s="6" t="s">
        <v>463</v>
      </c>
      <c r="P180" s="3">
        <v>5096.0</v>
      </c>
      <c r="Q180" s="7" t="s">
        <v>60</v>
      </c>
    </row>
    <row r="181">
      <c r="A181" s="3" t="s">
        <v>454</v>
      </c>
      <c r="B181" s="3" t="s">
        <v>455</v>
      </c>
      <c r="C181" s="3" t="s">
        <v>456</v>
      </c>
      <c r="D181" s="3" t="s">
        <v>457</v>
      </c>
      <c r="E181" s="3" t="s">
        <v>466</v>
      </c>
      <c r="F181" s="7" t="s">
        <v>60</v>
      </c>
      <c r="H181" s="3" t="s">
        <v>110</v>
      </c>
      <c r="I181" s="3" t="s">
        <v>49</v>
      </c>
      <c r="J181" s="3">
        <v>5.0</v>
      </c>
      <c r="K181" s="3" t="s">
        <v>459</v>
      </c>
      <c r="L181" s="3" t="s">
        <v>460</v>
      </c>
      <c r="M181" s="3" t="s">
        <v>461</v>
      </c>
      <c r="N181" s="6" t="s">
        <v>462</v>
      </c>
      <c r="O181" s="6" t="s">
        <v>463</v>
      </c>
      <c r="P181" s="3">
        <v>5097.0</v>
      </c>
      <c r="Q181" s="7" t="s">
        <v>60</v>
      </c>
    </row>
    <row r="182">
      <c r="A182" s="3" t="s">
        <v>454</v>
      </c>
      <c r="B182" s="3" t="s">
        <v>455</v>
      </c>
      <c r="C182" s="3" t="s">
        <v>456</v>
      </c>
      <c r="D182" s="3" t="s">
        <v>457</v>
      </c>
      <c r="E182" s="3" t="s">
        <v>467</v>
      </c>
      <c r="F182" s="7" t="s">
        <v>60</v>
      </c>
      <c r="H182" s="3" t="s">
        <v>110</v>
      </c>
      <c r="I182" s="3" t="s">
        <v>49</v>
      </c>
      <c r="J182" s="3">
        <v>5.0</v>
      </c>
      <c r="K182" s="3" t="s">
        <v>459</v>
      </c>
      <c r="L182" s="3" t="s">
        <v>460</v>
      </c>
      <c r="M182" s="3" t="s">
        <v>461</v>
      </c>
      <c r="N182" s="6" t="s">
        <v>462</v>
      </c>
      <c r="O182" s="6" t="s">
        <v>463</v>
      </c>
      <c r="P182" s="3">
        <v>5097.0</v>
      </c>
      <c r="Q182" s="7" t="s">
        <v>60</v>
      </c>
    </row>
    <row r="183">
      <c r="A183" s="3" t="s">
        <v>454</v>
      </c>
      <c r="B183" s="3" t="s">
        <v>455</v>
      </c>
      <c r="C183" s="3" t="s">
        <v>456</v>
      </c>
      <c r="D183" s="3" t="s">
        <v>457</v>
      </c>
      <c r="E183" s="3" t="s">
        <v>468</v>
      </c>
      <c r="F183" s="7" t="s">
        <v>60</v>
      </c>
      <c r="H183" s="3" t="s">
        <v>110</v>
      </c>
      <c r="I183" s="3" t="s">
        <v>49</v>
      </c>
      <c r="J183" s="3">
        <v>5.0</v>
      </c>
      <c r="K183" s="3" t="s">
        <v>459</v>
      </c>
      <c r="L183" s="3" t="s">
        <v>460</v>
      </c>
      <c r="M183" s="3" t="s">
        <v>461</v>
      </c>
      <c r="N183" s="6" t="s">
        <v>462</v>
      </c>
      <c r="O183" s="6" t="s">
        <v>463</v>
      </c>
      <c r="P183" s="3">
        <v>5086.0</v>
      </c>
      <c r="Q183" s="7" t="s">
        <v>60</v>
      </c>
    </row>
    <row r="184">
      <c r="A184" s="19" t="s">
        <v>469</v>
      </c>
      <c r="B184" s="19" t="s">
        <v>470</v>
      </c>
      <c r="C184" s="19" t="s">
        <v>471</v>
      </c>
      <c r="D184" s="19" t="s">
        <v>472</v>
      </c>
      <c r="E184" s="3" t="s">
        <v>473</v>
      </c>
      <c r="F184" s="14">
        <v>45875.0</v>
      </c>
      <c r="G184" s="24" t="s">
        <v>214</v>
      </c>
      <c r="H184" s="19" t="s">
        <v>48</v>
      </c>
      <c r="I184" s="3" t="s">
        <v>49</v>
      </c>
      <c r="J184" s="3">
        <v>1.0</v>
      </c>
      <c r="K184" s="3" t="s">
        <v>474</v>
      </c>
      <c r="L184" s="3" t="s">
        <v>474</v>
      </c>
      <c r="M184" s="3" t="s">
        <v>475</v>
      </c>
      <c r="N184" s="6" t="s">
        <v>476</v>
      </c>
      <c r="O184" s="6" t="s">
        <v>477</v>
      </c>
      <c r="P184" s="3">
        <v>3930.0</v>
      </c>
      <c r="Q184" s="3">
        <v>2.0</v>
      </c>
      <c r="R184" s="3">
        <v>383.9</v>
      </c>
    </row>
    <row r="185">
      <c r="A185" s="19" t="s">
        <v>469</v>
      </c>
      <c r="B185" s="19" t="s">
        <v>470</v>
      </c>
      <c r="C185" s="19" t="s">
        <v>471</v>
      </c>
      <c r="D185" s="19" t="s">
        <v>472</v>
      </c>
      <c r="E185" s="3" t="s">
        <v>478</v>
      </c>
      <c r="F185" s="7" t="s">
        <v>60</v>
      </c>
      <c r="H185" s="19" t="s">
        <v>48</v>
      </c>
      <c r="I185" s="3" t="s">
        <v>49</v>
      </c>
      <c r="J185" s="3">
        <v>1.0</v>
      </c>
      <c r="K185" s="3" t="s">
        <v>474</v>
      </c>
      <c r="L185" s="3" t="s">
        <v>474</v>
      </c>
      <c r="M185" s="3" t="s">
        <v>475</v>
      </c>
      <c r="N185" s="6" t="s">
        <v>476</v>
      </c>
      <c r="O185" s="6" t="s">
        <v>477</v>
      </c>
      <c r="P185" s="3">
        <v>3912.0</v>
      </c>
      <c r="Q185" s="7" t="s">
        <v>60</v>
      </c>
    </row>
    <row r="186">
      <c r="A186" s="19" t="s">
        <v>469</v>
      </c>
      <c r="B186" s="19" t="s">
        <v>470</v>
      </c>
      <c r="C186" s="19" t="s">
        <v>471</v>
      </c>
      <c r="D186" s="19" t="s">
        <v>472</v>
      </c>
      <c r="E186" s="3" t="s">
        <v>479</v>
      </c>
      <c r="F186" s="7" t="s">
        <v>60</v>
      </c>
      <c r="H186" s="19" t="s">
        <v>48</v>
      </c>
      <c r="I186" s="3" t="s">
        <v>49</v>
      </c>
      <c r="J186" s="3">
        <v>1.0</v>
      </c>
      <c r="K186" s="3" t="s">
        <v>474</v>
      </c>
      <c r="L186" s="3" t="s">
        <v>474</v>
      </c>
      <c r="M186" s="3" t="s">
        <v>475</v>
      </c>
      <c r="N186" s="6" t="s">
        <v>476</v>
      </c>
      <c r="O186" s="6" t="s">
        <v>477</v>
      </c>
      <c r="P186" s="3">
        <v>3931.0</v>
      </c>
      <c r="Q186" s="7" t="s">
        <v>60</v>
      </c>
    </row>
    <row r="187">
      <c r="A187" s="19" t="s">
        <v>469</v>
      </c>
      <c r="B187" s="19" t="s">
        <v>470</v>
      </c>
      <c r="C187" s="19" t="s">
        <v>471</v>
      </c>
      <c r="D187" s="19" t="s">
        <v>472</v>
      </c>
      <c r="E187" s="3" t="s">
        <v>480</v>
      </c>
      <c r="F187" s="7" t="s">
        <v>60</v>
      </c>
      <c r="H187" s="19" t="s">
        <v>48</v>
      </c>
      <c r="I187" s="3" t="s">
        <v>49</v>
      </c>
      <c r="J187" s="3">
        <v>1.0</v>
      </c>
      <c r="K187" s="3" t="s">
        <v>474</v>
      </c>
      <c r="L187" s="3" t="s">
        <v>474</v>
      </c>
      <c r="M187" s="3" t="s">
        <v>475</v>
      </c>
      <c r="N187" s="6" t="s">
        <v>476</v>
      </c>
      <c r="O187" s="6" t="s">
        <v>477</v>
      </c>
      <c r="P187" s="3">
        <v>3918.0</v>
      </c>
      <c r="Q187" s="7" t="s">
        <v>60</v>
      </c>
    </row>
    <row r="188">
      <c r="A188" s="19" t="s">
        <v>469</v>
      </c>
      <c r="B188" s="19" t="s">
        <v>470</v>
      </c>
      <c r="C188" s="19" t="s">
        <v>471</v>
      </c>
      <c r="D188" s="19" t="s">
        <v>472</v>
      </c>
      <c r="E188" s="3" t="s">
        <v>481</v>
      </c>
      <c r="F188" s="7" t="s">
        <v>60</v>
      </c>
      <c r="H188" s="19" t="s">
        <v>48</v>
      </c>
      <c r="I188" s="3" t="s">
        <v>49</v>
      </c>
      <c r="J188" s="3">
        <v>1.0</v>
      </c>
      <c r="K188" s="3" t="s">
        <v>474</v>
      </c>
      <c r="L188" s="3" t="s">
        <v>474</v>
      </c>
      <c r="M188" s="3" t="s">
        <v>475</v>
      </c>
      <c r="N188" s="6" t="s">
        <v>476</v>
      </c>
      <c r="O188" s="6" t="s">
        <v>477</v>
      </c>
      <c r="P188" s="3">
        <v>3934.0</v>
      </c>
      <c r="Q188" s="7" t="s">
        <v>60</v>
      </c>
    </row>
    <row r="189">
      <c r="A189" s="19" t="s">
        <v>469</v>
      </c>
      <c r="B189" s="19" t="s">
        <v>470</v>
      </c>
      <c r="C189" s="19" t="s">
        <v>471</v>
      </c>
      <c r="D189" s="19" t="s">
        <v>472</v>
      </c>
      <c r="E189" s="3" t="s">
        <v>482</v>
      </c>
      <c r="F189" s="7" t="s">
        <v>60</v>
      </c>
      <c r="H189" s="19" t="s">
        <v>48</v>
      </c>
      <c r="I189" s="3" t="s">
        <v>49</v>
      </c>
      <c r="J189" s="3">
        <v>1.0</v>
      </c>
      <c r="K189" s="3" t="s">
        <v>474</v>
      </c>
      <c r="L189" s="3" t="s">
        <v>474</v>
      </c>
      <c r="M189" s="3" t="s">
        <v>475</v>
      </c>
      <c r="N189" s="6" t="s">
        <v>476</v>
      </c>
      <c r="O189" s="6" t="s">
        <v>477</v>
      </c>
      <c r="P189" s="3">
        <v>3936.0</v>
      </c>
      <c r="Q189" s="7" t="s">
        <v>60</v>
      </c>
    </row>
    <row r="190">
      <c r="A190" s="19" t="s">
        <v>469</v>
      </c>
      <c r="B190" s="19" t="s">
        <v>470</v>
      </c>
      <c r="C190" s="19" t="s">
        <v>471</v>
      </c>
      <c r="D190" s="19" t="s">
        <v>472</v>
      </c>
      <c r="E190" s="3" t="s">
        <v>483</v>
      </c>
      <c r="F190" s="7" t="s">
        <v>60</v>
      </c>
      <c r="H190" s="19" t="s">
        <v>48</v>
      </c>
      <c r="I190" s="3" t="s">
        <v>49</v>
      </c>
      <c r="J190" s="3">
        <v>1.0</v>
      </c>
      <c r="K190" s="3" t="s">
        <v>474</v>
      </c>
      <c r="L190" s="3" t="s">
        <v>474</v>
      </c>
      <c r="M190" s="3" t="s">
        <v>475</v>
      </c>
      <c r="N190" s="6" t="s">
        <v>476</v>
      </c>
      <c r="O190" s="6" t="s">
        <v>477</v>
      </c>
      <c r="P190" s="3">
        <v>3936.0</v>
      </c>
      <c r="Q190" s="7" t="s">
        <v>60</v>
      </c>
    </row>
    <row r="191">
      <c r="A191" s="19" t="s">
        <v>469</v>
      </c>
      <c r="B191" s="19" t="s">
        <v>470</v>
      </c>
      <c r="C191" s="19" t="s">
        <v>471</v>
      </c>
      <c r="D191" s="19" t="s">
        <v>472</v>
      </c>
      <c r="E191" s="3" t="s">
        <v>484</v>
      </c>
      <c r="F191" s="7" t="s">
        <v>60</v>
      </c>
      <c r="H191" s="19" t="s">
        <v>48</v>
      </c>
      <c r="I191" s="3" t="s">
        <v>49</v>
      </c>
      <c r="J191" s="3">
        <v>1.0</v>
      </c>
      <c r="K191" s="3" t="s">
        <v>474</v>
      </c>
      <c r="L191" s="3" t="s">
        <v>474</v>
      </c>
      <c r="M191" s="3" t="s">
        <v>475</v>
      </c>
      <c r="N191" s="6" t="s">
        <v>476</v>
      </c>
      <c r="O191" s="6" t="s">
        <v>477</v>
      </c>
      <c r="P191" s="3">
        <v>3199.0</v>
      </c>
      <c r="Q191" s="7" t="s">
        <v>60</v>
      </c>
      <c r="R191" s="3">
        <v>383.9</v>
      </c>
    </row>
    <row r="192">
      <c r="A192" s="19" t="s">
        <v>469</v>
      </c>
      <c r="B192" s="19" t="s">
        <v>470</v>
      </c>
      <c r="C192" s="19" t="s">
        <v>471</v>
      </c>
      <c r="D192" s="19" t="s">
        <v>472</v>
      </c>
      <c r="E192" s="3" t="s">
        <v>485</v>
      </c>
      <c r="F192" s="7" t="s">
        <v>60</v>
      </c>
      <c r="H192" s="19" t="s">
        <v>48</v>
      </c>
      <c r="I192" s="3" t="s">
        <v>49</v>
      </c>
      <c r="J192" s="3">
        <v>1.0</v>
      </c>
      <c r="K192" s="3" t="s">
        <v>474</v>
      </c>
      <c r="L192" s="3" t="s">
        <v>474</v>
      </c>
      <c r="M192" s="3" t="s">
        <v>475</v>
      </c>
      <c r="N192" s="6" t="s">
        <v>476</v>
      </c>
      <c r="O192" s="6" t="s">
        <v>477</v>
      </c>
      <c r="P192" s="3">
        <v>3199.0</v>
      </c>
      <c r="Q192" s="7" t="s">
        <v>60</v>
      </c>
    </row>
    <row r="193">
      <c r="A193" s="19" t="s">
        <v>469</v>
      </c>
      <c r="B193" s="19" t="s">
        <v>470</v>
      </c>
      <c r="C193" s="19" t="s">
        <v>471</v>
      </c>
      <c r="D193" s="19" t="s">
        <v>472</v>
      </c>
      <c r="E193" s="3" t="s">
        <v>486</v>
      </c>
      <c r="F193" s="7" t="s">
        <v>60</v>
      </c>
      <c r="H193" s="19" t="s">
        <v>48</v>
      </c>
      <c r="I193" s="3" t="s">
        <v>49</v>
      </c>
      <c r="J193" s="3">
        <v>1.0</v>
      </c>
      <c r="K193" s="3" t="s">
        <v>474</v>
      </c>
      <c r="L193" s="3" t="s">
        <v>474</v>
      </c>
      <c r="M193" s="3" t="s">
        <v>475</v>
      </c>
      <c r="N193" s="6" t="s">
        <v>476</v>
      </c>
      <c r="O193" s="6" t="s">
        <v>477</v>
      </c>
      <c r="P193" s="3">
        <v>3910.0</v>
      </c>
      <c r="Q193" s="7" t="s">
        <v>60</v>
      </c>
    </row>
    <row r="194">
      <c r="A194" s="19" t="s">
        <v>487</v>
      </c>
      <c r="B194" s="19" t="s">
        <v>488</v>
      </c>
      <c r="C194" s="19" t="s">
        <v>489</v>
      </c>
      <c r="D194" s="19" t="s">
        <v>472</v>
      </c>
      <c r="E194" s="3" t="s">
        <v>490</v>
      </c>
      <c r="F194" s="33">
        <v>45849.0</v>
      </c>
      <c r="G194" s="24" t="s">
        <v>214</v>
      </c>
      <c r="H194" s="19" t="s">
        <v>48</v>
      </c>
      <c r="I194" s="3" t="s">
        <v>49</v>
      </c>
      <c r="J194" s="3">
        <v>10.0</v>
      </c>
      <c r="K194" s="3" t="s">
        <v>491</v>
      </c>
      <c r="L194" s="3" t="s">
        <v>492</v>
      </c>
      <c r="M194" s="3" t="s">
        <v>493</v>
      </c>
      <c r="N194" s="6" t="s">
        <v>494</v>
      </c>
      <c r="O194" s="6" t="s">
        <v>495</v>
      </c>
      <c r="P194" s="3">
        <v>3806.0</v>
      </c>
      <c r="Q194" s="3">
        <v>1.0</v>
      </c>
      <c r="R194" s="3">
        <v>383.9</v>
      </c>
    </row>
    <row r="195">
      <c r="A195" s="19" t="s">
        <v>487</v>
      </c>
      <c r="B195" s="19" t="s">
        <v>488</v>
      </c>
      <c r="C195" s="19" t="s">
        <v>489</v>
      </c>
      <c r="D195" s="19" t="s">
        <v>472</v>
      </c>
      <c r="E195" s="3" t="s">
        <v>496</v>
      </c>
      <c r="F195" s="7" t="s">
        <v>60</v>
      </c>
      <c r="H195" s="19" t="s">
        <v>48</v>
      </c>
      <c r="I195" s="3" t="s">
        <v>49</v>
      </c>
      <c r="J195" s="3">
        <v>5.0</v>
      </c>
      <c r="K195" s="3" t="s">
        <v>149</v>
      </c>
      <c r="L195" s="3" t="s">
        <v>492</v>
      </c>
      <c r="M195" s="3" t="s">
        <v>493</v>
      </c>
      <c r="N195" s="6" t="s">
        <v>494</v>
      </c>
      <c r="O195" s="6" t="s">
        <v>495</v>
      </c>
      <c r="P195" s="3">
        <v>3805.0</v>
      </c>
      <c r="Q195" s="7" t="s">
        <v>60</v>
      </c>
    </row>
    <row r="196">
      <c r="A196" s="19" t="s">
        <v>487</v>
      </c>
      <c r="B196" s="19" t="s">
        <v>488</v>
      </c>
      <c r="C196" s="19" t="s">
        <v>489</v>
      </c>
      <c r="D196" s="19" t="s">
        <v>472</v>
      </c>
      <c r="E196" s="3" t="s">
        <v>497</v>
      </c>
      <c r="F196" s="7" t="s">
        <v>60</v>
      </c>
      <c r="H196" s="19" t="s">
        <v>48</v>
      </c>
      <c r="I196" s="3" t="s">
        <v>49</v>
      </c>
      <c r="J196" s="3">
        <v>5.0</v>
      </c>
      <c r="K196" s="3" t="s">
        <v>149</v>
      </c>
      <c r="L196" s="3" t="s">
        <v>492</v>
      </c>
      <c r="M196" s="3" t="s">
        <v>493</v>
      </c>
      <c r="N196" s="6" t="s">
        <v>494</v>
      </c>
      <c r="O196" s="6" t="s">
        <v>495</v>
      </c>
      <c r="P196" s="3">
        <v>3804.0</v>
      </c>
      <c r="Q196" s="7" t="s">
        <v>60</v>
      </c>
    </row>
    <row r="197">
      <c r="A197" s="15" t="s">
        <v>487</v>
      </c>
      <c r="B197" s="19" t="s">
        <v>488</v>
      </c>
      <c r="C197" s="15" t="s">
        <v>489</v>
      </c>
      <c r="D197" s="15" t="s">
        <v>472</v>
      </c>
      <c r="E197" s="3" t="s">
        <v>498</v>
      </c>
      <c r="F197" s="16" t="s">
        <v>60</v>
      </c>
      <c r="G197" s="15"/>
      <c r="H197" s="15" t="s">
        <v>48</v>
      </c>
      <c r="I197" s="15" t="s">
        <v>49</v>
      </c>
      <c r="J197" s="34">
        <v>5.0</v>
      </c>
      <c r="K197" s="15" t="s">
        <v>149</v>
      </c>
      <c r="L197" s="15" t="s">
        <v>492</v>
      </c>
      <c r="M197" s="15" t="s">
        <v>493</v>
      </c>
      <c r="N197" s="20" t="s">
        <v>494</v>
      </c>
      <c r="O197" s="20" t="s">
        <v>495</v>
      </c>
      <c r="P197" s="3">
        <v>3804.0</v>
      </c>
      <c r="Q197" s="21" t="s">
        <v>60</v>
      </c>
      <c r="R197" s="15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</row>
    <row r="198">
      <c r="A198" s="15" t="s">
        <v>487</v>
      </c>
      <c r="B198" s="15" t="s">
        <v>488</v>
      </c>
      <c r="C198" s="15" t="s">
        <v>489</v>
      </c>
      <c r="D198" s="15" t="s">
        <v>472</v>
      </c>
      <c r="E198" s="3" t="s">
        <v>499</v>
      </c>
      <c r="F198" s="16" t="s">
        <v>60</v>
      </c>
      <c r="G198" s="15"/>
      <c r="H198" s="15" t="s">
        <v>48</v>
      </c>
      <c r="I198" s="15" t="s">
        <v>49</v>
      </c>
      <c r="J198" s="34">
        <v>5.0</v>
      </c>
      <c r="K198" s="15" t="s">
        <v>149</v>
      </c>
      <c r="L198" s="15" t="s">
        <v>492</v>
      </c>
      <c r="M198" s="15" t="s">
        <v>493</v>
      </c>
      <c r="N198" s="20" t="s">
        <v>494</v>
      </c>
      <c r="O198" s="20" t="s">
        <v>495</v>
      </c>
      <c r="P198" s="18">
        <v>3805.0</v>
      </c>
      <c r="Q198" s="21" t="s">
        <v>60</v>
      </c>
      <c r="R198" s="15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</row>
    <row r="199">
      <c r="A199" s="15" t="s">
        <v>487</v>
      </c>
      <c r="B199" s="15" t="s">
        <v>488</v>
      </c>
      <c r="C199" s="15" t="s">
        <v>489</v>
      </c>
      <c r="D199" s="15" t="s">
        <v>472</v>
      </c>
      <c r="E199" s="3" t="s">
        <v>500</v>
      </c>
      <c r="F199" s="16" t="s">
        <v>60</v>
      </c>
      <c r="G199" s="15"/>
      <c r="H199" s="15" t="s">
        <v>48</v>
      </c>
      <c r="I199" s="15" t="s">
        <v>49</v>
      </c>
      <c r="J199" s="18">
        <v>2.0</v>
      </c>
      <c r="K199" s="19" t="s">
        <v>501</v>
      </c>
      <c r="L199" s="15" t="s">
        <v>492</v>
      </c>
      <c r="M199" s="15" t="s">
        <v>493</v>
      </c>
      <c r="N199" s="20" t="s">
        <v>494</v>
      </c>
      <c r="O199" s="20" t="s">
        <v>495</v>
      </c>
      <c r="P199" s="18">
        <v>3178.0</v>
      </c>
      <c r="Q199" s="21" t="s">
        <v>60</v>
      </c>
      <c r="R199" s="15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</row>
    <row r="200">
      <c r="A200" s="19" t="s">
        <v>502</v>
      </c>
      <c r="B200" s="19" t="s">
        <v>503</v>
      </c>
      <c r="C200" s="19" t="s">
        <v>504</v>
      </c>
      <c r="D200" s="19" t="s">
        <v>472</v>
      </c>
      <c r="E200" s="3" t="s">
        <v>505</v>
      </c>
      <c r="F200" s="5">
        <v>45897.0</v>
      </c>
      <c r="G200" s="26" t="s">
        <v>214</v>
      </c>
      <c r="H200" s="15" t="s">
        <v>48</v>
      </c>
      <c r="I200" s="3" t="s">
        <v>49</v>
      </c>
      <c r="J200" s="3">
        <v>6.0</v>
      </c>
      <c r="K200" s="3" t="s">
        <v>112</v>
      </c>
      <c r="L200" s="3" t="s">
        <v>506</v>
      </c>
      <c r="M200" s="3" t="s">
        <v>361</v>
      </c>
      <c r="N200" s="6" t="s">
        <v>507</v>
      </c>
      <c r="O200" s="6" t="s">
        <v>363</v>
      </c>
      <c r="P200" s="3">
        <v>3977.0</v>
      </c>
      <c r="Q200" s="3">
        <v>2.0</v>
      </c>
      <c r="R200" s="3">
        <v>383.9</v>
      </c>
    </row>
    <row r="201">
      <c r="A201" s="19" t="s">
        <v>502</v>
      </c>
      <c r="B201" s="19" t="s">
        <v>503</v>
      </c>
      <c r="C201" s="19" t="s">
        <v>504</v>
      </c>
      <c r="D201" s="19" t="s">
        <v>472</v>
      </c>
      <c r="E201" s="3" t="s">
        <v>508</v>
      </c>
      <c r="F201" s="7" t="s">
        <v>60</v>
      </c>
      <c r="H201" s="15" t="s">
        <v>48</v>
      </c>
      <c r="I201" s="3" t="s">
        <v>49</v>
      </c>
      <c r="J201" s="3">
        <v>6.0</v>
      </c>
      <c r="K201" s="3" t="s">
        <v>112</v>
      </c>
      <c r="L201" s="3" t="s">
        <v>506</v>
      </c>
      <c r="M201" s="3" t="s">
        <v>361</v>
      </c>
      <c r="N201" s="6" t="s">
        <v>507</v>
      </c>
      <c r="O201" s="6" t="s">
        <v>363</v>
      </c>
      <c r="P201" s="3">
        <v>3977.0</v>
      </c>
      <c r="Q201" s="7" t="s">
        <v>60</v>
      </c>
    </row>
    <row r="202">
      <c r="A202" s="19" t="s">
        <v>502</v>
      </c>
      <c r="B202" s="19" t="s">
        <v>503</v>
      </c>
      <c r="C202" s="19" t="s">
        <v>504</v>
      </c>
      <c r="D202" s="19" t="s">
        <v>472</v>
      </c>
      <c r="E202" s="3" t="s">
        <v>509</v>
      </c>
      <c r="F202" s="7" t="s">
        <v>60</v>
      </c>
      <c r="H202" s="15" t="s">
        <v>48</v>
      </c>
      <c r="I202" s="3" t="s">
        <v>49</v>
      </c>
      <c r="J202" s="3">
        <v>6.0</v>
      </c>
      <c r="K202" s="3" t="s">
        <v>112</v>
      </c>
      <c r="L202" s="3" t="s">
        <v>506</v>
      </c>
      <c r="M202" s="3" t="s">
        <v>361</v>
      </c>
      <c r="N202" s="6" t="s">
        <v>507</v>
      </c>
      <c r="O202" s="6" t="s">
        <v>363</v>
      </c>
      <c r="P202" s="3">
        <v>3978.0</v>
      </c>
      <c r="Q202" s="7" t="s">
        <v>60</v>
      </c>
    </row>
    <row r="203">
      <c r="A203" s="19" t="s">
        <v>502</v>
      </c>
      <c r="B203" s="19" t="s">
        <v>503</v>
      </c>
      <c r="C203" s="19" t="s">
        <v>504</v>
      </c>
      <c r="D203" s="19" t="s">
        <v>472</v>
      </c>
      <c r="E203" s="3" t="s">
        <v>510</v>
      </c>
      <c r="F203" s="7" t="s">
        <v>60</v>
      </c>
      <c r="H203" s="15" t="s">
        <v>48</v>
      </c>
      <c r="I203" s="3" t="s">
        <v>49</v>
      </c>
      <c r="J203" s="3">
        <v>6.0</v>
      </c>
      <c r="K203" s="3" t="s">
        <v>112</v>
      </c>
      <c r="L203" s="3" t="s">
        <v>506</v>
      </c>
      <c r="M203" s="3" t="s">
        <v>361</v>
      </c>
      <c r="N203" s="6" t="s">
        <v>507</v>
      </c>
      <c r="O203" s="6" t="s">
        <v>363</v>
      </c>
      <c r="P203" s="3">
        <v>3977.0</v>
      </c>
      <c r="Q203" s="7" t="s">
        <v>60</v>
      </c>
    </row>
    <row r="204">
      <c r="A204" s="19" t="s">
        <v>502</v>
      </c>
      <c r="B204" s="19" t="s">
        <v>503</v>
      </c>
      <c r="C204" s="19" t="s">
        <v>504</v>
      </c>
      <c r="D204" s="19" t="s">
        <v>472</v>
      </c>
      <c r="E204" s="3" t="s">
        <v>511</v>
      </c>
      <c r="F204" s="7" t="s">
        <v>60</v>
      </c>
      <c r="H204" s="15" t="s">
        <v>48</v>
      </c>
      <c r="I204" s="3" t="s">
        <v>49</v>
      </c>
      <c r="J204" s="3">
        <v>6.0</v>
      </c>
      <c r="K204" s="3" t="s">
        <v>112</v>
      </c>
      <c r="L204" s="3" t="s">
        <v>506</v>
      </c>
      <c r="M204" s="3" t="s">
        <v>361</v>
      </c>
      <c r="N204" s="6" t="s">
        <v>507</v>
      </c>
      <c r="O204" s="6" t="s">
        <v>363</v>
      </c>
      <c r="P204" s="3">
        <v>3977.0</v>
      </c>
      <c r="Q204" s="7" t="s">
        <v>60</v>
      </c>
    </row>
    <row r="205">
      <c r="A205" s="19" t="s">
        <v>502</v>
      </c>
      <c r="B205" s="19" t="s">
        <v>503</v>
      </c>
      <c r="C205" s="19" t="s">
        <v>504</v>
      </c>
      <c r="D205" s="19" t="s">
        <v>472</v>
      </c>
      <c r="E205" s="3" t="s">
        <v>512</v>
      </c>
      <c r="F205" s="7" t="s">
        <v>60</v>
      </c>
      <c r="H205" s="15" t="s">
        <v>48</v>
      </c>
      <c r="I205" s="3" t="s">
        <v>49</v>
      </c>
      <c r="J205" s="3">
        <v>6.0</v>
      </c>
      <c r="K205" s="3" t="s">
        <v>112</v>
      </c>
      <c r="L205" s="3" t="s">
        <v>506</v>
      </c>
      <c r="M205" s="3" t="s">
        <v>361</v>
      </c>
      <c r="N205" s="6" t="s">
        <v>507</v>
      </c>
      <c r="O205" s="6" t="s">
        <v>363</v>
      </c>
      <c r="P205" s="3">
        <v>3977.0</v>
      </c>
      <c r="Q205" s="7" t="s">
        <v>60</v>
      </c>
    </row>
    <row r="206">
      <c r="A206" s="19" t="s">
        <v>502</v>
      </c>
      <c r="B206" s="19" t="s">
        <v>503</v>
      </c>
      <c r="C206" s="19" t="s">
        <v>504</v>
      </c>
      <c r="D206" s="19" t="s">
        <v>472</v>
      </c>
      <c r="E206" s="3" t="s">
        <v>513</v>
      </c>
      <c r="F206" s="7" t="s">
        <v>60</v>
      </c>
      <c r="H206" s="15" t="s">
        <v>48</v>
      </c>
      <c r="I206" s="3" t="s">
        <v>49</v>
      </c>
      <c r="J206" s="3">
        <v>6.0</v>
      </c>
      <c r="K206" s="3" t="s">
        <v>112</v>
      </c>
      <c r="L206" s="3" t="s">
        <v>506</v>
      </c>
      <c r="M206" s="3" t="s">
        <v>361</v>
      </c>
      <c r="N206" s="6" t="s">
        <v>507</v>
      </c>
      <c r="O206" s="6" t="s">
        <v>363</v>
      </c>
      <c r="P206" s="3">
        <v>3977.0</v>
      </c>
      <c r="Q206" s="7" t="s">
        <v>60</v>
      </c>
    </row>
    <row r="207">
      <c r="A207" s="19" t="s">
        <v>502</v>
      </c>
      <c r="B207" s="19" t="s">
        <v>503</v>
      </c>
      <c r="C207" s="19" t="s">
        <v>504</v>
      </c>
      <c r="D207" s="19" t="s">
        <v>472</v>
      </c>
      <c r="E207" s="3" t="s">
        <v>514</v>
      </c>
      <c r="F207" s="7" t="s">
        <v>60</v>
      </c>
      <c r="H207" s="15" t="s">
        <v>48</v>
      </c>
      <c r="I207" s="3" t="s">
        <v>49</v>
      </c>
      <c r="J207" s="3">
        <v>6.0</v>
      </c>
      <c r="K207" s="3" t="s">
        <v>112</v>
      </c>
      <c r="L207" s="3" t="s">
        <v>506</v>
      </c>
      <c r="M207" s="3" t="s">
        <v>361</v>
      </c>
      <c r="N207" s="6" t="s">
        <v>507</v>
      </c>
      <c r="O207" s="6" t="s">
        <v>363</v>
      </c>
      <c r="P207" s="3">
        <v>3977.0</v>
      </c>
      <c r="Q207" s="7" t="s">
        <v>60</v>
      </c>
    </row>
    <row r="208">
      <c r="A208" s="19" t="s">
        <v>515</v>
      </c>
      <c r="B208" s="19" t="s">
        <v>516</v>
      </c>
      <c r="C208" s="19" t="s">
        <v>517</v>
      </c>
      <c r="D208" s="19" t="s">
        <v>472</v>
      </c>
      <c r="E208" s="3" t="s">
        <v>518</v>
      </c>
      <c r="F208" s="5">
        <v>45898.0</v>
      </c>
      <c r="G208" s="26" t="s">
        <v>214</v>
      </c>
      <c r="H208" s="15" t="s">
        <v>48</v>
      </c>
      <c r="I208" s="3" t="s">
        <v>49</v>
      </c>
      <c r="J208" s="3">
        <v>11.0</v>
      </c>
      <c r="K208" s="3" t="s">
        <v>352</v>
      </c>
      <c r="L208" s="3" t="s">
        <v>443</v>
      </c>
      <c r="M208" s="3" t="s">
        <v>519</v>
      </c>
      <c r="N208" s="6" t="s">
        <v>520</v>
      </c>
      <c r="O208" s="6" t="s">
        <v>521</v>
      </c>
      <c r="P208" s="3">
        <v>3064.0</v>
      </c>
      <c r="Q208" s="3">
        <v>2.0</v>
      </c>
      <c r="R208" s="3">
        <v>383.9</v>
      </c>
    </row>
    <row r="209">
      <c r="A209" s="19" t="s">
        <v>515</v>
      </c>
      <c r="B209" s="19" t="s">
        <v>516</v>
      </c>
      <c r="C209" s="19" t="s">
        <v>517</v>
      </c>
      <c r="D209" s="19" t="s">
        <v>472</v>
      </c>
      <c r="E209" s="3" t="s">
        <v>522</v>
      </c>
      <c r="F209" s="7" t="s">
        <v>60</v>
      </c>
      <c r="H209" s="15" t="s">
        <v>48</v>
      </c>
      <c r="I209" s="3" t="s">
        <v>49</v>
      </c>
      <c r="J209" s="3">
        <v>4.0</v>
      </c>
      <c r="K209" s="3" t="s">
        <v>523</v>
      </c>
      <c r="L209" s="3" t="s">
        <v>443</v>
      </c>
      <c r="M209" s="3" t="s">
        <v>519</v>
      </c>
      <c r="N209" s="6" t="s">
        <v>520</v>
      </c>
      <c r="O209" s="6" t="s">
        <v>521</v>
      </c>
      <c r="P209" s="3">
        <v>3064.0</v>
      </c>
      <c r="Q209" s="7" t="s">
        <v>60</v>
      </c>
    </row>
    <row r="210">
      <c r="A210" s="19" t="s">
        <v>515</v>
      </c>
      <c r="B210" s="19" t="s">
        <v>516</v>
      </c>
      <c r="C210" s="19" t="s">
        <v>517</v>
      </c>
      <c r="D210" s="19" t="s">
        <v>472</v>
      </c>
      <c r="E210" s="3" t="s">
        <v>524</v>
      </c>
      <c r="F210" s="7" t="s">
        <v>60</v>
      </c>
      <c r="H210" s="15" t="s">
        <v>48</v>
      </c>
      <c r="I210" s="3" t="s">
        <v>49</v>
      </c>
      <c r="J210" s="3">
        <v>4.0</v>
      </c>
      <c r="K210" s="3" t="s">
        <v>523</v>
      </c>
      <c r="L210" s="3" t="s">
        <v>443</v>
      </c>
      <c r="M210" s="3" t="s">
        <v>519</v>
      </c>
      <c r="N210" s="6" t="s">
        <v>520</v>
      </c>
      <c r="O210" s="6" t="s">
        <v>521</v>
      </c>
      <c r="P210" s="3">
        <v>3064.0</v>
      </c>
      <c r="Q210" s="7" t="s">
        <v>60</v>
      </c>
    </row>
    <row r="211">
      <c r="A211" s="19" t="s">
        <v>515</v>
      </c>
      <c r="B211" s="19" t="s">
        <v>516</v>
      </c>
      <c r="C211" s="19" t="s">
        <v>517</v>
      </c>
      <c r="D211" s="19" t="s">
        <v>472</v>
      </c>
      <c r="E211" s="3" t="s">
        <v>525</v>
      </c>
      <c r="F211" s="7" t="s">
        <v>60</v>
      </c>
      <c r="H211" s="15" t="s">
        <v>48</v>
      </c>
      <c r="I211" s="3" t="s">
        <v>49</v>
      </c>
      <c r="J211" s="3">
        <v>4.0</v>
      </c>
      <c r="K211" s="3" t="s">
        <v>523</v>
      </c>
      <c r="L211" s="3" t="s">
        <v>443</v>
      </c>
      <c r="M211" s="3" t="s">
        <v>519</v>
      </c>
      <c r="N211" s="6" t="s">
        <v>520</v>
      </c>
      <c r="O211" s="6" t="s">
        <v>521</v>
      </c>
      <c r="P211" s="3">
        <v>3059.0</v>
      </c>
      <c r="Q211" s="7" t="s">
        <v>60</v>
      </c>
    </row>
    <row r="212">
      <c r="A212" s="19" t="s">
        <v>515</v>
      </c>
      <c r="B212" s="19" t="s">
        <v>516</v>
      </c>
      <c r="C212" s="19" t="s">
        <v>517</v>
      </c>
      <c r="D212" s="19" t="s">
        <v>472</v>
      </c>
      <c r="E212" s="3" t="s">
        <v>526</v>
      </c>
      <c r="F212" s="7" t="s">
        <v>60</v>
      </c>
      <c r="H212" s="15" t="s">
        <v>48</v>
      </c>
      <c r="I212" s="3" t="s">
        <v>49</v>
      </c>
      <c r="J212" s="3">
        <v>1.0</v>
      </c>
      <c r="K212" s="3" t="s">
        <v>527</v>
      </c>
      <c r="L212" s="3" t="s">
        <v>527</v>
      </c>
      <c r="M212" s="3" t="s">
        <v>519</v>
      </c>
      <c r="N212" s="6" t="s">
        <v>520</v>
      </c>
      <c r="O212" s="6" t="s">
        <v>521</v>
      </c>
      <c r="P212" s="3">
        <v>3049.0</v>
      </c>
      <c r="Q212" s="7" t="s">
        <v>60</v>
      </c>
    </row>
    <row r="213">
      <c r="A213" s="3" t="s">
        <v>528</v>
      </c>
      <c r="B213" s="3" t="s">
        <v>529</v>
      </c>
      <c r="C213" s="3" t="s">
        <v>530</v>
      </c>
      <c r="D213" s="3" t="s">
        <v>531</v>
      </c>
      <c r="E213" s="3" t="s">
        <v>532</v>
      </c>
      <c r="F213" s="14">
        <v>45778.0</v>
      </c>
      <c r="G213" s="12" t="s">
        <v>136</v>
      </c>
      <c r="H213" s="3" t="s">
        <v>48</v>
      </c>
      <c r="I213" s="3" t="s">
        <v>49</v>
      </c>
      <c r="J213" s="3">
        <v>6.0</v>
      </c>
      <c r="K213" s="3" t="s">
        <v>533</v>
      </c>
      <c r="L213" s="3" t="s">
        <v>534</v>
      </c>
      <c r="M213" s="3" t="s">
        <v>535</v>
      </c>
      <c r="N213" s="6" t="s">
        <v>536</v>
      </c>
      <c r="O213" s="6" t="s">
        <v>537</v>
      </c>
      <c r="P213" s="3">
        <v>4280.0</v>
      </c>
      <c r="Q213" s="3">
        <v>1.0</v>
      </c>
      <c r="R213" s="13">
        <v>53.9</v>
      </c>
    </row>
    <row r="214">
      <c r="A214" s="3" t="s">
        <v>528</v>
      </c>
      <c r="B214" s="3" t="s">
        <v>529</v>
      </c>
      <c r="C214" s="3" t="s">
        <v>530</v>
      </c>
      <c r="D214" s="3" t="s">
        <v>531</v>
      </c>
      <c r="E214" s="3" t="s">
        <v>538</v>
      </c>
      <c r="F214" s="14">
        <v>45778.0</v>
      </c>
      <c r="G214" s="12" t="s">
        <v>136</v>
      </c>
      <c r="H214" s="3" t="s">
        <v>48</v>
      </c>
      <c r="I214" s="3" t="s">
        <v>49</v>
      </c>
      <c r="J214" s="3">
        <v>6.0</v>
      </c>
      <c r="K214" s="3" t="s">
        <v>533</v>
      </c>
      <c r="L214" s="3" t="s">
        <v>534</v>
      </c>
      <c r="M214" s="3" t="s">
        <v>535</v>
      </c>
      <c r="N214" s="6" t="s">
        <v>536</v>
      </c>
      <c r="O214" s="6" t="s">
        <v>537</v>
      </c>
      <c r="P214" s="3">
        <v>4280.0</v>
      </c>
      <c r="Q214" s="7" t="s">
        <v>60</v>
      </c>
      <c r="R214" s="13">
        <v>53.9</v>
      </c>
    </row>
    <row r="215">
      <c r="A215" s="3" t="s">
        <v>528</v>
      </c>
      <c r="B215" s="3" t="s">
        <v>529</v>
      </c>
      <c r="C215" s="3" t="s">
        <v>530</v>
      </c>
      <c r="D215" s="3" t="s">
        <v>531</v>
      </c>
      <c r="E215" s="3" t="s">
        <v>539</v>
      </c>
      <c r="F215" s="14">
        <v>45778.0</v>
      </c>
      <c r="G215" s="12" t="s">
        <v>136</v>
      </c>
      <c r="H215" s="3" t="s">
        <v>48</v>
      </c>
      <c r="I215" s="3" t="s">
        <v>49</v>
      </c>
      <c r="J215" s="3">
        <v>4.0</v>
      </c>
      <c r="K215" s="3" t="s">
        <v>149</v>
      </c>
      <c r="L215" s="3" t="s">
        <v>534</v>
      </c>
      <c r="M215" s="3" t="s">
        <v>535</v>
      </c>
      <c r="N215" s="6" t="s">
        <v>536</v>
      </c>
      <c r="O215" s="6" t="s">
        <v>537</v>
      </c>
      <c r="P215" s="3">
        <v>4117.0</v>
      </c>
      <c r="Q215" s="7" t="s">
        <v>60</v>
      </c>
      <c r="R215" s="13">
        <v>53.9</v>
      </c>
    </row>
    <row r="216">
      <c r="A216" s="3" t="s">
        <v>528</v>
      </c>
      <c r="B216" s="3" t="s">
        <v>529</v>
      </c>
      <c r="C216" s="3" t="s">
        <v>530</v>
      </c>
      <c r="D216" s="3" t="s">
        <v>531</v>
      </c>
      <c r="E216" s="3" t="s">
        <v>540</v>
      </c>
      <c r="F216" s="14">
        <v>45778.0</v>
      </c>
      <c r="G216" s="12" t="s">
        <v>136</v>
      </c>
      <c r="H216" s="3" t="s">
        <v>48</v>
      </c>
      <c r="I216" s="3" t="s">
        <v>49</v>
      </c>
      <c r="J216" s="3">
        <v>6.0</v>
      </c>
      <c r="K216" s="3" t="s">
        <v>533</v>
      </c>
      <c r="L216" s="3" t="s">
        <v>534</v>
      </c>
      <c r="M216" s="3" t="s">
        <v>535</v>
      </c>
      <c r="N216" s="6" t="s">
        <v>536</v>
      </c>
      <c r="O216" s="6" t="s">
        <v>537</v>
      </c>
      <c r="P216" s="3">
        <v>4116.0</v>
      </c>
      <c r="Q216" s="7" t="s">
        <v>60</v>
      </c>
      <c r="R216" s="13">
        <v>53.9</v>
      </c>
    </row>
    <row r="217">
      <c r="A217" s="3" t="s">
        <v>528</v>
      </c>
      <c r="B217" s="3" t="s">
        <v>529</v>
      </c>
      <c r="C217" s="3" t="s">
        <v>530</v>
      </c>
      <c r="D217" s="3" t="s">
        <v>531</v>
      </c>
      <c r="E217" s="3" t="s">
        <v>541</v>
      </c>
      <c r="F217" s="14">
        <v>45778.0</v>
      </c>
      <c r="G217" s="12" t="s">
        <v>136</v>
      </c>
      <c r="H217" s="3" t="s">
        <v>48</v>
      </c>
      <c r="I217" s="3" t="s">
        <v>49</v>
      </c>
      <c r="J217" s="3">
        <v>14.0</v>
      </c>
      <c r="K217" s="3" t="s">
        <v>542</v>
      </c>
      <c r="L217" s="3" t="s">
        <v>534</v>
      </c>
      <c r="M217" s="3" t="s">
        <v>535</v>
      </c>
      <c r="N217" s="6" t="s">
        <v>536</v>
      </c>
      <c r="O217" s="6" t="s">
        <v>537</v>
      </c>
      <c r="P217" s="3">
        <v>4124.0</v>
      </c>
      <c r="Q217" s="7" t="s">
        <v>60</v>
      </c>
      <c r="R217" s="13">
        <v>53.9</v>
      </c>
    </row>
    <row r="218">
      <c r="A218" s="3" t="s">
        <v>528</v>
      </c>
      <c r="B218" s="3" t="s">
        <v>529</v>
      </c>
      <c r="C218" s="3" t="s">
        <v>530</v>
      </c>
      <c r="D218" s="3" t="s">
        <v>531</v>
      </c>
      <c r="E218" s="3" t="s">
        <v>543</v>
      </c>
      <c r="F218" s="7" t="s">
        <v>60</v>
      </c>
      <c r="H218" s="3" t="s">
        <v>48</v>
      </c>
      <c r="I218" s="3" t="s">
        <v>49</v>
      </c>
      <c r="J218" s="3">
        <v>24.0</v>
      </c>
      <c r="K218" s="3" t="s">
        <v>544</v>
      </c>
      <c r="L218" s="3" t="s">
        <v>534</v>
      </c>
      <c r="M218" s="3" t="s">
        <v>535</v>
      </c>
      <c r="N218" s="6" t="s">
        <v>536</v>
      </c>
      <c r="O218" s="6" t="s">
        <v>537</v>
      </c>
      <c r="P218" s="3">
        <v>4280.0</v>
      </c>
      <c r="Q218" s="7" t="s">
        <v>60</v>
      </c>
    </row>
    <row r="219">
      <c r="A219" s="3" t="s">
        <v>528</v>
      </c>
      <c r="B219" s="3" t="s">
        <v>529</v>
      </c>
      <c r="C219" s="3" t="s">
        <v>530</v>
      </c>
      <c r="D219" s="3" t="s">
        <v>531</v>
      </c>
      <c r="E219" s="3" t="s">
        <v>545</v>
      </c>
      <c r="F219" s="7" t="s">
        <v>60</v>
      </c>
      <c r="H219" s="3" t="s">
        <v>48</v>
      </c>
      <c r="I219" s="3" t="s">
        <v>49</v>
      </c>
      <c r="J219" s="3">
        <v>24.0</v>
      </c>
      <c r="K219" s="3" t="s">
        <v>544</v>
      </c>
      <c r="L219" s="3" t="s">
        <v>534</v>
      </c>
      <c r="M219" s="3" t="s">
        <v>535</v>
      </c>
      <c r="N219" s="6" t="s">
        <v>536</v>
      </c>
      <c r="O219" s="6" t="s">
        <v>537</v>
      </c>
      <c r="P219" s="3">
        <v>4280.0</v>
      </c>
      <c r="Q219" s="7" t="s">
        <v>60</v>
      </c>
    </row>
    <row r="220">
      <c r="A220" s="3" t="s">
        <v>528</v>
      </c>
      <c r="B220" s="3" t="s">
        <v>529</v>
      </c>
      <c r="C220" s="3" t="s">
        <v>530</v>
      </c>
      <c r="D220" s="3" t="s">
        <v>531</v>
      </c>
      <c r="E220" s="3" t="s">
        <v>546</v>
      </c>
      <c r="F220" s="7" t="s">
        <v>60</v>
      </c>
      <c r="H220" s="3" t="s">
        <v>48</v>
      </c>
      <c r="I220" s="3" t="s">
        <v>49</v>
      </c>
      <c r="J220" s="3">
        <v>5.0</v>
      </c>
      <c r="K220" s="3" t="s">
        <v>261</v>
      </c>
      <c r="L220" s="3" t="s">
        <v>547</v>
      </c>
      <c r="M220" s="3" t="s">
        <v>535</v>
      </c>
      <c r="N220" s="6" t="s">
        <v>536</v>
      </c>
      <c r="O220" s="6" t="s">
        <v>537</v>
      </c>
      <c r="P220" s="3">
        <v>4118.0</v>
      </c>
      <c r="Q220" s="7" t="s">
        <v>60</v>
      </c>
    </row>
    <row r="221">
      <c r="A221" s="3" t="s">
        <v>528</v>
      </c>
      <c r="B221" s="3" t="s">
        <v>529</v>
      </c>
      <c r="C221" s="3" t="s">
        <v>530</v>
      </c>
      <c r="D221" s="3" t="s">
        <v>531</v>
      </c>
      <c r="E221" s="3" t="s">
        <v>548</v>
      </c>
      <c r="F221" s="7" t="s">
        <v>60</v>
      </c>
      <c r="H221" s="3" t="s">
        <v>48</v>
      </c>
      <c r="I221" s="3" t="s">
        <v>49</v>
      </c>
      <c r="J221" s="3">
        <v>5.0</v>
      </c>
      <c r="K221" s="3" t="s">
        <v>261</v>
      </c>
      <c r="L221" s="3" t="s">
        <v>547</v>
      </c>
      <c r="M221" s="3" t="s">
        <v>535</v>
      </c>
      <c r="N221" s="6" t="s">
        <v>536</v>
      </c>
      <c r="O221" s="6" t="s">
        <v>537</v>
      </c>
      <c r="P221" s="3">
        <v>4124.0</v>
      </c>
      <c r="Q221" s="7" t="s">
        <v>60</v>
      </c>
    </row>
    <row r="222">
      <c r="A222" s="3" t="s">
        <v>528</v>
      </c>
      <c r="B222" s="3" t="s">
        <v>529</v>
      </c>
      <c r="C222" s="3" t="s">
        <v>530</v>
      </c>
      <c r="D222" s="3" t="s">
        <v>531</v>
      </c>
      <c r="E222" s="3" t="s">
        <v>549</v>
      </c>
      <c r="F222" s="7" t="s">
        <v>60</v>
      </c>
      <c r="H222" s="3" t="s">
        <v>48</v>
      </c>
      <c r="I222" s="3" t="s">
        <v>49</v>
      </c>
      <c r="J222" s="3">
        <v>5.0</v>
      </c>
      <c r="K222" s="3" t="s">
        <v>261</v>
      </c>
      <c r="L222" s="3" t="s">
        <v>547</v>
      </c>
      <c r="M222" s="3" t="s">
        <v>535</v>
      </c>
      <c r="N222" s="6" t="s">
        <v>536</v>
      </c>
      <c r="O222" s="6" t="s">
        <v>537</v>
      </c>
      <c r="P222" s="3">
        <v>4125.0</v>
      </c>
      <c r="Q222" s="7" t="s">
        <v>60</v>
      </c>
    </row>
    <row r="223">
      <c r="A223" s="3" t="s">
        <v>528</v>
      </c>
      <c r="B223" s="3" t="s">
        <v>529</v>
      </c>
      <c r="C223" s="3" t="s">
        <v>530</v>
      </c>
      <c r="D223" s="3" t="s">
        <v>531</v>
      </c>
      <c r="E223" s="3" t="s">
        <v>550</v>
      </c>
      <c r="F223" s="7" t="s">
        <v>60</v>
      </c>
      <c r="H223" s="3" t="s">
        <v>48</v>
      </c>
      <c r="I223" s="3" t="s">
        <v>49</v>
      </c>
      <c r="J223" s="3">
        <v>3.0</v>
      </c>
      <c r="K223" s="3" t="s">
        <v>246</v>
      </c>
      <c r="L223" s="3" t="s">
        <v>547</v>
      </c>
      <c r="M223" s="3" t="s">
        <v>535</v>
      </c>
      <c r="N223" s="6" t="s">
        <v>536</v>
      </c>
      <c r="O223" s="6" t="s">
        <v>537</v>
      </c>
      <c r="P223" s="3">
        <v>4118.0</v>
      </c>
      <c r="Q223" s="7" t="s">
        <v>60</v>
      </c>
    </row>
    <row r="224">
      <c r="A224" s="3" t="s">
        <v>528</v>
      </c>
      <c r="B224" s="3" t="s">
        <v>529</v>
      </c>
      <c r="C224" s="3" t="s">
        <v>530</v>
      </c>
      <c r="D224" s="3" t="s">
        <v>531</v>
      </c>
      <c r="E224" s="3" t="s">
        <v>551</v>
      </c>
      <c r="F224" s="7" t="s">
        <v>60</v>
      </c>
      <c r="H224" s="3" t="s">
        <v>48</v>
      </c>
      <c r="I224" s="3" t="s">
        <v>49</v>
      </c>
      <c r="J224" s="3">
        <v>3.0</v>
      </c>
      <c r="K224" s="3" t="s">
        <v>246</v>
      </c>
      <c r="L224" s="3" t="s">
        <v>547</v>
      </c>
      <c r="M224" s="3" t="s">
        <v>535</v>
      </c>
      <c r="N224" s="6" t="s">
        <v>536</v>
      </c>
      <c r="O224" s="6" t="s">
        <v>537</v>
      </c>
      <c r="P224" s="3">
        <v>4128.0</v>
      </c>
      <c r="Q224" s="7" t="s">
        <v>60</v>
      </c>
    </row>
    <row r="225">
      <c r="A225" s="3" t="s">
        <v>552</v>
      </c>
      <c r="B225" s="3" t="s">
        <v>553</v>
      </c>
      <c r="C225" s="3" t="s">
        <v>554</v>
      </c>
      <c r="D225" s="3" t="s">
        <v>531</v>
      </c>
      <c r="E225" s="3" t="s">
        <v>555</v>
      </c>
      <c r="F225" s="30" t="s">
        <v>556</v>
      </c>
      <c r="G225" s="12" t="s">
        <v>136</v>
      </c>
      <c r="H225" s="3" t="s">
        <v>110</v>
      </c>
      <c r="I225" s="3" t="s">
        <v>49</v>
      </c>
      <c r="J225" s="3">
        <v>54.0</v>
      </c>
      <c r="K225" s="3" t="s">
        <v>557</v>
      </c>
      <c r="L225" s="3" t="s">
        <v>187</v>
      </c>
      <c r="M225" s="3" t="s">
        <v>558</v>
      </c>
      <c r="N225" s="6" t="s">
        <v>559</v>
      </c>
      <c r="O225" s="9" t="s">
        <v>560</v>
      </c>
      <c r="P225" s="3">
        <v>4005.0</v>
      </c>
      <c r="Q225" s="3">
        <v>1.0</v>
      </c>
      <c r="R225" s="13">
        <v>316.0</v>
      </c>
    </row>
    <row r="226">
      <c r="A226" s="3" t="s">
        <v>552</v>
      </c>
      <c r="B226" s="3" t="s">
        <v>553</v>
      </c>
      <c r="C226" s="3" t="s">
        <v>554</v>
      </c>
      <c r="D226" s="3" t="s">
        <v>531</v>
      </c>
      <c r="E226" s="3" t="s">
        <v>561</v>
      </c>
      <c r="F226" s="30" t="s">
        <v>556</v>
      </c>
      <c r="G226" s="12" t="s">
        <v>136</v>
      </c>
      <c r="H226" s="3" t="s">
        <v>48</v>
      </c>
      <c r="I226" s="3" t="s">
        <v>49</v>
      </c>
      <c r="J226" s="3">
        <v>39.0</v>
      </c>
      <c r="K226" s="3" t="s">
        <v>562</v>
      </c>
      <c r="L226" s="3" t="s">
        <v>187</v>
      </c>
      <c r="M226" s="3" t="s">
        <v>558</v>
      </c>
      <c r="N226" s="6" t="s">
        <v>559</v>
      </c>
      <c r="O226" s="9" t="s">
        <v>560</v>
      </c>
      <c r="P226" s="3">
        <v>4005.0</v>
      </c>
      <c r="Q226" s="7" t="s">
        <v>60</v>
      </c>
    </row>
    <row r="227">
      <c r="A227" s="3" t="s">
        <v>552</v>
      </c>
      <c r="B227" s="3" t="s">
        <v>553</v>
      </c>
      <c r="C227" s="3" t="s">
        <v>554</v>
      </c>
      <c r="D227" s="3" t="s">
        <v>531</v>
      </c>
      <c r="E227" s="3" t="s">
        <v>563</v>
      </c>
      <c r="F227" s="30" t="s">
        <v>556</v>
      </c>
      <c r="G227" s="12" t="s">
        <v>136</v>
      </c>
      <c r="H227" s="3" t="s">
        <v>48</v>
      </c>
      <c r="I227" s="3" t="s">
        <v>49</v>
      </c>
      <c r="J227" s="3">
        <v>39.0</v>
      </c>
      <c r="K227" s="3" t="s">
        <v>562</v>
      </c>
      <c r="L227" s="3" t="s">
        <v>187</v>
      </c>
      <c r="M227" s="3" t="s">
        <v>558</v>
      </c>
      <c r="N227" s="6" t="s">
        <v>559</v>
      </c>
      <c r="O227" s="9" t="s">
        <v>560</v>
      </c>
      <c r="P227" s="3">
        <v>4006.0</v>
      </c>
      <c r="Q227" s="7" t="s">
        <v>60</v>
      </c>
    </row>
    <row r="228">
      <c r="A228" s="3" t="s">
        <v>552</v>
      </c>
      <c r="B228" s="3" t="s">
        <v>553</v>
      </c>
      <c r="C228" s="3" t="s">
        <v>554</v>
      </c>
      <c r="D228" s="3" t="s">
        <v>531</v>
      </c>
      <c r="E228" s="3" t="s">
        <v>564</v>
      </c>
      <c r="F228" s="7" t="s">
        <v>60</v>
      </c>
      <c r="H228" s="3" t="s">
        <v>48</v>
      </c>
      <c r="I228" s="3" t="s">
        <v>49</v>
      </c>
      <c r="J228" s="3">
        <v>9.0</v>
      </c>
      <c r="K228" s="3" t="s">
        <v>565</v>
      </c>
      <c r="L228" s="3" t="s">
        <v>187</v>
      </c>
      <c r="M228" s="3" t="s">
        <v>558</v>
      </c>
      <c r="N228" s="6" t="s">
        <v>559</v>
      </c>
      <c r="O228" s="9" t="s">
        <v>560</v>
      </c>
      <c r="P228" s="3">
        <v>4172.0</v>
      </c>
      <c r="Q228" s="7" t="s">
        <v>60</v>
      </c>
    </row>
    <row r="229">
      <c r="A229" s="3" t="s">
        <v>552</v>
      </c>
      <c r="B229" s="3" t="s">
        <v>553</v>
      </c>
      <c r="C229" s="3" t="s">
        <v>554</v>
      </c>
      <c r="D229" s="3" t="s">
        <v>531</v>
      </c>
      <c r="E229" s="3" t="s">
        <v>566</v>
      </c>
      <c r="F229" s="7" t="s">
        <v>60</v>
      </c>
      <c r="H229" s="3" t="s">
        <v>48</v>
      </c>
      <c r="I229" s="3" t="s">
        <v>49</v>
      </c>
      <c r="J229" s="3">
        <v>3.0</v>
      </c>
      <c r="K229" s="3" t="s">
        <v>567</v>
      </c>
      <c r="L229" s="3" t="s">
        <v>187</v>
      </c>
      <c r="M229" s="3" t="s">
        <v>558</v>
      </c>
      <c r="N229" s="6" t="s">
        <v>559</v>
      </c>
      <c r="O229" s="9" t="s">
        <v>560</v>
      </c>
      <c r="P229" s="3">
        <v>4000.0</v>
      </c>
      <c r="Q229" s="7" t="s">
        <v>60</v>
      </c>
    </row>
    <row r="230">
      <c r="A230" s="3" t="s">
        <v>568</v>
      </c>
      <c r="B230" s="35" t="s">
        <v>553</v>
      </c>
      <c r="C230" s="3" t="s">
        <v>554</v>
      </c>
      <c r="D230" s="3" t="s">
        <v>531</v>
      </c>
      <c r="E230" s="3" t="s">
        <v>569</v>
      </c>
      <c r="F230" s="30" t="s">
        <v>556</v>
      </c>
      <c r="G230" s="12" t="s">
        <v>136</v>
      </c>
      <c r="H230" s="3" t="s">
        <v>48</v>
      </c>
      <c r="I230" s="3" t="s">
        <v>49</v>
      </c>
      <c r="J230" s="3">
        <v>65.0</v>
      </c>
      <c r="K230" s="3" t="s">
        <v>570</v>
      </c>
      <c r="L230" s="3" t="s">
        <v>571</v>
      </c>
      <c r="M230" s="3" t="s">
        <v>558</v>
      </c>
      <c r="N230" s="6" t="s">
        <v>572</v>
      </c>
      <c r="O230" s="9" t="s">
        <v>560</v>
      </c>
      <c r="P230" s="3">
        <v>4006.0</v>
      </c>
      <c r="Q230" s="7" t="s">
        <v>60</v>
      </c>
    </row>
    <row r="231">
      <c r="A231" s="3" t="s">
        <v>573</v>
      </c>
      <c r="B231" s="3" t="s">
        <v>574</v>
      </c>
      <c r="C231" s="3" t="s">
        <v>575</v>
      </c>
      <c r="D231" s="3" t="s">
        <v>531</v>
      </c>
      <c r="E231" s="3" t="s">
        <v>576</v>
      </c>
      <c r="F231" s="5">
        <v>45755.0</v>
      </c>
      <c r="G231" s="12" t="s">
        <v>136</v>
      </c>
      <c r="H231" s="3" t="s">
        <v>48</v>
      </c>
      <c r="I231" s="3" t="s">
        <v>49</v>
      </c>
      <c r="J231" s="3">
        <v>18.0</v>
      </c>
      <c r="K231" s="3" t="s">
        <v>577</v>
      </c>
      <c r="L231" s="3" t="s">
        <v>578</v>
      </c>
      <c r="M231" s="3" t="s">
        <v>579</v>
      </c>
      <c r="N231" s="6" t="s">
        <v>580</v>
      </c>
      <c r="O231" s="6" t="s">
        <v>581</v>
      </c>
      <c r="P231" s="3">
        <v>4017.0</v>
      </c>
      <c r="Q231" s="3">
        <v>1.0</v>
      </c>
      <c r="R231" s="13">
        <v>155.83</v>
      </c>
    </row>
    <row r="232">
      <c r="A232" s="3" t="s">
        <v>573</v>
      </c>
      <c r="B232" s="3" t="s">
        <v>574</v>
      </c>
      <c r="C232" s="3" t="s">
        <v>575</v>
      </c>
      <c r="D232" s="3" t="s">
        <v>531</v>
      </c>
      <c r="E232" s="3" t="s">
        <v>582</v>
      </c>
      <c r="F232" s="5">
        <v>45755.0</v>
      </c>
      <c r="G232" s="12" t="s">
        <v>136</v>
      </c>
      <c r="H232" s="3" t="s">
        <v>48</v>
      </c>
      <c r="I232" s="3" t="s">
        <v>49</v>
      </c>
      <c r="J232" s="3">
        <v>18.0</v>
      </c>
      <c r="K232" s="3" t="s">
        <v>577</v>
      </c>
      <c r="L232" s="3" t="s">
        <v>578</v>
      </c>
      <c r="M232" s="3" t="s">
        <v>579</v>
      </c>
      <c r="N232" s="6" t="s">
        <v>580</v>
      </c>
      <c r="O232" s="6" t="s">
        <v>581</v>
      </c>
      <c r="P232" s="3">
        <v>4017.0</v>
      </c>
      <c r="Q232" s="7" t="s">
        <v>60</v>
      </c>
    </row>
    <row r="233">
      <c r="A233" s="3" t="s">
        <v>573</v>
      </c>
      <c r="B233" s="3" t="s">
        <v>574</v>
      </c>
      <c r="C233" s="3" t="s">
        <v>575</v>
      </c>
      <c r="D233" s="3" t="s">
        <v>531</v>
      </c>
      <c r="E233" s="3" t="s">
        <v>583</v>
      </c>
      <c r="F233" s="5">
        <v>45755.0</v>
      </c>
      <c r="G233" s="12" t="s">
        <v>136</v>
      </c>
      <c r="H233" s="3" t="s">
        <v>48</v>
      </c>
      <c r="I233" s="3" t="s">
        <v>49</v>
      </c>
      <c r="J233" s="3">
        <v>18.0</v>
      </c>
      <c r="K233" s="3" t="s">
        <v>577</v>
      </c>
      <c r="L233" s="3" t="s">
        <v>578</v>
      </c>
      <c r="M233" s="3" t="s">
        <v>579</v>
      </c>
      <c r="N233" s="6" t="s">
        <v>580</v>
      </c>
      <c r="O233" s="6" t="s">
        <v>581</v>
      </c>
      <c r="P233" s="3">
        <v>4017.0</v>
      </c>
      <c r="Q233" s="7" t="s">
        <v>60</v>
      </c>
    </row>
    <row r="234">
      <c r="A234" s="3" t="s">
        <v>573</v>
      </c>
      <c r="B234" s="3" t="s">
        <v>574</v>
      </c>
      <c r="C234" s="3" t="s">
        <v>575</v>
      </c>
      <c r="D234" s="3" t="s">
        <v>531</v>
      </c>
      <c r="E234" s="3" t="s">
        <v>584</v>
      </c>
      <c r="F234" s="5">
        <v>45755.0</v>
      </c>
      <c r="G234" s="12" t="s">
        <v>136</v>
      </c>
      <c r="H234" s="3" t="s">
        <v>48</v>
      </c>
      <c r="I234" s="3" t="s">
        <v>49</v>
      </c>
      <c r="J234" s="3">
        <v>18.0</v>
      </c>
      <c r="K234" s="3" t="s">
        <v>577</v>
      </c>
      <c r="L234" s="3" t="s">
        <v>578</v>
      </c>
      <c r="M234" s="3" t="s">
        <v>579</v>
      </c>
      <c r="N234" s="6" t="s">
        <v>580</v>
      </c>
      <c r="O234" s="6" t="s">
        <v>581</v>
      </c>
      <c r="P234" s="3">
        <v>4017.0</v>
      </c>
      <c r="Q234" s="7" t="s">
        <v>60</v>
      </c>
    </row>
    <row r="235">
      <c r="A235" s="3" t="s">
        <v>573</v>
      </c>
      <c r="B235" s="3" t="s">
        <v>574</v>
      </c>
      <c r="C235" s="3" t="s">
        <v>575</v>
      </c>
      <c r="D235" s="3" t="s">
        <v>531</v>
      </c>
      <c r="E235" s="3" t="s">
        <v>585</v>
      </c>
      <c r="F235" s="36" t="s">
        <v>60</v>
      </c>
      <c r="H235" s="3" t="s">
        <v>48</v>
      </c>
      <c r="I235" s="3" t="s">
        <v>49</v>
      </c>
      <c r="J235" s="3">
        <v>18.0</v>
      </c>
      <c r="K235" s="3" t="s">
        <v>577</v>
      </c>
      <c r="L235" s="3" t="s">
        <v>578</v>
      </c>
      <c r="M235" s="3" t="s">
        <v>579</v>
      </c>
      <c r="N235" s="6" t="s">
        <v>580</v>
      </c>
      <c r="O235" s="6" t="s">
        <v>581</v>
      </c>
      <c r="P235" s="3">
        <v>4020.0</v>
      </c>
      <c r="Q235" s="36" t="s">
        <v>60</v>
      </c>
    </row>
    <row r="236">
      <c r="A236" s="3" t="s">
        <v>586</v>
      </c>
      <c r="B236" s="3" t="s">
        <v>587</v>
      </c>
      <c r="C236" s="3" t="s">
        <v>588</v>
      </c>
      <c r="D236" s="3" t="s">
        <v>531</v>
      </c>
      <c r="E236" s="3" t="s">
        <v>589</v>
      </c>
      <c r="F236" s="5">
        <v>45756.0</v>
      </c>
      <c r="G236" s="12" t="s">
        <v>136</v>
      </c>
      <c r="H236" s="3" t="s">
        <v>48</v>
      </c>
      <c r="I236" s="3" t="s">
        <v>49</v>
      </c>
      <c r="J236" s="3">
        <v>4.0</v>
      </c>
      <c r="K236" s="3" t="s">
        <v>590</v>
      </c>
      <c r="L236" s="3" t="s">
        <v>591</v>
      </c>
      <c r="M236" s="3" t="s">
        <v>592</v>
      </c>
      <c r="N236" s="6" t="s">
        <v>593</v>
      </c>
      <c r="O236" s="6" t="s">
        <v>594</v>
      </c>
      <c r="P236" s="3">
        <v>4500.0</v>
      </c>
      <c r="Q236" s="3">
        <v>1.0</v>
      </c>
      <c r="R236" s="13">
        <v>53.9</v>
      </c>
    </row>
    <row r="237">
      <c r="A237" s="3" t="s">
        <v>586</v>
      </c>
      <c r="B237" s="3" t="s">
        <v>587</v>
      </c>
      <c r="C237" s="3" t="s">
        <v>588</v>
      </c>
      <c r="D237" s="3" t="s">
        <v>531</v>
      </c>
      <c r="E237" s="3" t="s">
        <v>595</v>
      </c>
      <c r="F237" s="36" t="s">
        <v>60</v>
      </c>
      <c r="H237" s="3" t="s">
        <v>48</v>
      </c>
      <c r="I237" s="3" t="s">
        <v>49</v>
      </c>
      <c r="J237" s="3">
        <v>4.0</v>
      </c>
      <c r="K237" s="3" t="s">
        <v>590</v>
      </c>
      <c r="L237" s="3" t="s">
        <v>591</v>
      </c>
      <c r="M237" s="3" t="s">
        <v>592</v>
      </c>
      <c r="N237" s="6" t="s">
        <v>593</v>
      </c>
      <c r="O237" s="6" t="s">
        <v>594</v>
      </c>
      <c r="P237" s="3">
        <v>4500.0</v>
      </c>
      <c r="Q237" s="36" t="s">
        <v>60</v>
      </c>
    </row>
    <row r="238">
      <c r="A238" s="3" t="s">
        <v>596</v>
      </c>
      <c r="B238" s="3" t="s">
        <v>597</v>
      </c>
      <c r="C238" s="3" t="s">
        <v>598</v>
      </c>
      <c r="D238" s="3" t="s">
        <v>531</v>
      </c>
      <c r="E238" s="3" t="s">
        <v>599</v>
      </c>
      <c r="F238" s="5">
        <v>45777.0</v>
      </c>
      <c r="G238" s="12" t="s">
        <v>136</v>
      </c>
      <c r="H238" s="3" t="s">
        <v>48</v>
      </c>
      <c r="I238" s="3" t="s">
        <v>49</v>
      </c>
      <c r="J238" s="3">
        <v>74.0</v>
      </c>
      <c r="K238" s="3" t="s">
        <v>600</v>
      </c>
      <c r="L238" s="3" t="s">
        <v>601</v>
      </c>
      <c r="M238" s="3" t="s">
        <v>535</v>
      </c>
      <c r="N238" s="6" t="s">
        <v>602</v>
      </c>
      <c r="O238" s="6" t="s">
        <v>603</v>
      </c>
      <c r="P238" s="3">
        <v>4207.0</v>
      </c>
      <c r="Q238" s="3">
        <v>1.0</v>
      </c>
      <c r="R238" s="13">
        <v>53.9</v>
      </c>
    </row>
    <row r="239">
      <c r="A239" s="3" t="s">
        <v>596</v>
      </c>
      <c r="B239" s="3" t="s">
        <v>597</v>
      </c>
      <c r="C239" s="3" t="s">
        <v>598</v>
      </c>
      <c r="D239" s="3" t="s">
        <v>531</v>
      </c>
      <c r="E239" s="3" t="s">
        <v>604</v>
      </c>
      <c r="F239" s="36" t="s">
        <v>60</v>
      </c>
      <c r="H239" s="3" t="s">
        <v>48</v>
      </c>
      <c r="I239" s="3" t="s">
        <v>49</v>
      </c>
      <c r="J239" s="3">
        <v>2.0</v>
      </c>
      <c r="K239" s="3" t="s">
        <v>605</v>
      </c>
      <c r="L239" s="3" t="s">
        <v>601</v>
      </c>
      <c r="M239" s="3" t="s">
        <v>535</v>
      </c>
      <c r="N239" s="6" t="s">
        <v>602</v>
      </c>
      <c r="O239" s="6" t="s">
        <v>603</v>
      </c>
      <c r="P239" s="3">
        <v>4207.0</v>
      </c>
      <c r="Q239" s="7" t="s">
        <v>60</v>
      </c>
    </row>
    <row r="240">
      <c r="A240" s="3" t="s">
        <v>596</v>
      </c>
      <c r="B240" s="3" t="s">
        <v>597</v>
      </c>
      <c r="C240" s="3" t="s">
        <v>598</v>
      </c>
      <c r="D240" s="3" t="s">
        <v>531</v>
      </c>
      <c r="E240" s="3" t="s">
        <v>606</v>
      </c>
      <c r="F240" s="36" t="s">
        <v>60</v>
      </c>
      <c r="H240" s="3" t="s">
        <v>48</v>
      </c>
      <c r="I240" s="3" t="s">
        <v>49</v>
      </c>
      <c r="J240" s="3">
        <v>2.0</v>
      </c>
      <c r="K240" s="3" t="s">
        <v>605</v>
      </c>
      <c r="L240" s="3" t="s">
        <v>601</v>
      </c>
      <c r="M240" s="3" t="s">
        <v>535</v>
      </c>
      <c r="N240" s="6" t="s">
        <v>602</v>
      </c>
      <c r="O240" s="6" t="s">
        <v>603</v>
      </c>
      <c r="P240" s="3">
        <v>4207.0</v>
      </c>
      <c r="Q240" s="7" t="s">
        <v>60</v>
      </c>
    </row>
    <row r="241">
      <c r="A241" s="3" t="s">
        <v>596</v>
      </c>
      <c r="B241" s="3" t="s">
        <v>597</v>
      </c>
      <c r="C241" s="3" t="s">
        <v>598</v>
      </c>
      <c r="D241" s="3" t="s">
        <v>531</v>
      </c>
      <c r="E241" s="3" t="s">
        <v>607</v>
      </c>
      <c r="F241" s="36" t="s">
        <v>60</v>
      </c>
      <c r="H241" s="3" t="s">
        <v>48</v>
      </c>
      <c r="I241" s="3" t="s">
        <v>49</v>
      </c>
      <c r="J241" s="3">
        <v>1.0</v>
      </c>
      <c r="K241" s="3" t="s">
        <v>601</v>
      </c>
      <c r="L241" s="3" t="s">
        <v>601</v>
      </c>
      <c r="M241" s="3" t="s">
        <v>535</v>
      </c>
      <c r="N241" s="6" t="s">
        <v>602</v>
      </c>
      <c r="O241" s="6" t="s">
        <v>603</v>
      </c>
      <c r="P241" s="3">
        <v>4207.0</v>
      </c>
      <c r="Q241" s="7" t="s">
        <v>60</v>
      </c>
    </row>
    <row r="242">
      <c r="A242" s="3" t="s">
        <v>596</v>
      </c>
      <c r="B242" s="3" t="s">
        <v>597</v>
      </c>
      <c r="C242" s="3" t="s">
        <v>598</v>
      </c>
      <c r="D242" s="3" t="s">
        <v>531</v>
      </c>
      <c r="E242" s="3" t="s">
        <v>608</v>
      </c>
      <c r="F242" s="36" t="s">
        <v>60</v>
      </c>
      <c r="H242" s="3" t="s">
        <v>48</v>
      </c>
      <c r="I242" s="3" t="s">
        <v>49</v>
      </c>
      <c r="J242" s="3">
        <v>1.0</v>
      </c>
      <c r="K242" s="3" t="s">
        <v>601</v>
      </c>
      <c r="L242" s="3" t="s">
        <v>601</v>
      </c>
      <c r="M242" s="3" t="s">
        <v>535</v>
      </c>
      <c r="N242" s="6" t="s">
        <v>602</v>
      </c>
      <c r="O242" s="6" t="s">
        <v>603</v>
      </c>
      <c r="P242" s="3">
        <v>4207.0</v>
      </c>
      <c r="Q242" s="7" t="s">
        <v>60</v>
      </c>
    </row>
    <row r="243">
      <c r="A243" s="3" t="s">
        <v>596</v>
      </c>
      <c r="B243" s="3" t="s">
        <v>597</v>
      </c>
      <c r="C243" s="3" t="s">
        <v>598</v>
      </c>
      <c r="D243" s="3" t="s">
        <v>531</v>
      </c>
      <c r="E243" s="3" t="s">
        <v>609</v>
      </c>
      <c r="F243" s="36" t="s">
        <v>60</v>
      </c>
      <c r="H243" s="3" t="s">
        <v>48</v>
      </c>
      <c r="I243" s="3" t="s">
        <v>49</v>
      </c>
      <c r="J243" s="3">
        <v>1.0</v>
      </c>
      <c r="K243" s="3" t="s">
        <v>601</v>
      </c>
      <c r="L243" s="3" t="s">
        <v>601</v>
      </c>
      <c r="M243" s="3" t="s">
        <v>535</v>
      </c>
      <c r="N243" s="6" t="s">
        <v>602</v>
      </c>
      <c r="O243" s="6" t="s">
        <v>603</v>
      </c>
      <c r="P243" s="3">
        <v>4133.0</v>
      </c>
      <c r="Q243" s="7" t="s">
        <v>60</v>
      </c>
    </row>
    <row r="244">
      <c r="A244" s="3" t="s">
        <v>596</v>
      </c>
      <c r="B244" s="3" t="s">
        <v>597</v>
      </c>
      <c r="C244" s="3" t="s">
        <v>598</v>
      </c>
      <c r="D244" s="3" t="s">
        <v>531</v>
      </c>
      <c r="E244" s="3" t="s">
        <v>610</v>
      </c>
      <c r="F244" s="36" t="s">
        <v>60</v>
      </c>
      <c r="H244" s="3" t="s">
        <v>48</v>
      </c>
      <c r="I244" s="3" t="s">
        <v>49</v>
      </c>
      <c r="J244" s="3">
        <v>1.0</v>
      </c>
      <c r="K244" s="3" t="s">
        <v>601</v>
      </c>
      <c r="L244" s="3" t="s">
        <v>601</v>
      </c>
      <c r="M244" s="3" t="s">
        <v>535</v>
      </c>
      <c r="N244" s="6" t="s">
        <v>602</v>
      </c>
      <c r="O244" s="6" t="s">
        <v>603</v>
      </c>
      <c r="P244" s="3">
        <v>4205.0</v>
      </c>
      <c r="Q244" s="7" t="s">
        <v>60</v>
      </c>
    </row>
    <row r="245">
      <c r="A245" s="3" t="s">
        <v>596</v>
      </c>
      <c r="B245" s="3" t="s">
        <v>597</v>
      </c>
      <c r="C245" s="3" t="s">
        <v>598</v>
      </c>
      <c r="D245" s="3" t="s">
        <v>531</v>
      </c>
      <c r="E245" s="3" t="s">
        <v>611</v>
      </c>
      <c r="F245" s="36" t="s">
        <v>60</v>
      </c>
      <c r="H245" s="3" t="s">
        <v>48</v>
      </c>
      <c r="I245" s="3" t="s">
        <v>49</v>
      </c>
      <c r="J245" s="3">
        <v>1.0</v>
      </c>
      <c r="K245" s="3" t="s">
        <v>601</v>
      </c>
      <c r="L245" s="3" t="s">
        <v>601</v>
      </c>
      <c r="M245" s="3" t="s">
        <v>535</v>
      </c>
      <c r="N245" s="6" t="s">
        <v>602</v>
      </c>
      <c r="O245" s="6" t="s">
        <v>603</v>
      </c>
      <c r="P245" s="3">
        <v>4128.0</v>
      </c>
      <c r="Q245" s="7" t="s">
        <v>60</v>
      </c>
    </row>
    <row r="246">
      <c r="A246" s="3" t="s">
        <v>596</v>
      </c>
      <c r="B246" s="3" t="s">
        <v>597</v>
      </c>
      <c r="C246" s="3" t="s">
        <v>598</v>
      </c>
      <c r="D246" s="3" t="s">
        <v>531</v>
      </c>
      <c r="E246" s="3" t="s">
        <v>612</v>
      </c>
      <c r="F246" s="36" t="s">
        <v>60</v>
      </c>
      <c r="H246" s="3" t="s">
        <v>48</v>
      </c>
      <c r="I246" s="3" t="s">
        <v>49</v>
      </c>
      <c r="J246" s="3">
        <v>1.0</v>
      </c>
      <c r="K246" s="3" t="s">
        <v>601</v>
      </c>
      <c r="L246" s="3" t="s">
        <v>601</v>
      </c>
      <c r="M246" s="3" t="s">
        <v>535</v>
      </c>
      <c r="N246" s="6" t="s">
        <v>602</v>
      </c>
      <c r="O246" s="6" t="s">
        <v>603</v>
      </c>
      <c r="P246" s="3">
        <v>4207.0</v>
      </c>
      <c r="Q246" s="7" t="s">
        <v>60</v>
      </c>
    </row>
    <row r="247">
      <c r="A247" s="3" t="s">
        <v>596</v>
      </c>
      <c r="B247" s="3" t="s">
        <v>597</v>
      </c>
      <c r="C247" s="3" t="s">
        <v>598</v>
      </c>
      <c r="D247" s="3" t="s">
        <v>531</v>
      </c>
      <c r="E247" s="27" t="s">
        <v>613</v>
      </c>
      <c r="F247" s="36" t="s">
        <v>60</v>
      </c>
      <c r="H247" s="3" t="s">
        <v>48</v>
      </c>
      <c r="I247" s="3" t="s">
        <v>49</v>
      </c>
      <c r="J247" s="3">
        <v>1.0</v>
      </c>
      <c r="K247" s="3" t="s">
        <v>601</v>
      </c>
      <c r="L247" s="3" t="s">
        <v>601</v>
      </c>
      <c r="M247" s="3" t="s">
        <v>535</v>
      </c>
      <c r="N247" s="6" t="s">
        <v>602</v>
      </c>
      <c r="O247" s="6" t="s">
        <v>603</v>
      </c>
      <c r="P247" s="3">
        <v>4207.0</v>
      </c>
      <c r="Q247" s="7" t="s">
        <v>60</v>
      </c>
    </row>
    <row r="248">
      <c r="A248" s="3" t="s">
        <v>614</v>
      </c>
      <c r="B248" s="3" t="s">
        <v>615</v>
      </c>
      <c r="C248" s="3" t="s">
        <v>616</v>
      </c>
      <c r="D248" s="3" t="s">
        <v>531</v>
      </c>
      <c r="E248" s="3" t="s">
        <v>617</v>
      </c>
      <c r="F248" s="14">
        <v>45843.0</v>
      </c>
      <c r="G248" s="24" t="s">
        <v>214</v>
      </c>
      <c r="H248" s="3" t="s">
        <v>48</v>
      </c>
      <c r="I248" s="3" t="s">
        <v>49</v>
      </c>
      <c r="J248" s="3">
        <v>1.0</v>
      </c>
      <c r="K248" s="3" t="s">
        <v>618</v>
      </c>
      <c r="L248" s="3" t="s">
        <v>618</v>
      </c>
      <c r="M248" s="3" t="s">
        <v>619</v>
      </c>
      <c r="N248" s="6" t="s">
        <v>620</v>
      </c>
      <c r="O248" s="6" t="s">
        <v>621</v>
      </c>
      <c r="P248" s="3">
        <v>4511.0</v>
      </c>
      <c r="Q248" s="3">
        <v>1.0</v>
      </c>
      <c r="R248" s="3">
        <v>383.9</v>
      </c>
    </row>
    <row r="249">
      <c r="A249" s="3" t="s">
        <v>614</v>
      </c>
      <c r="B249" s="3" t="s">
        <v>615</v>
      </c>
      <c r="C249" s="3" t="s">
        <v>616</v>
      </c>
      <c r="D249" s="3" t="s">
        <v>531</v>
      </c>
      <c r="E249" s="3" t="s">
        <v>622</v>
      </c>
      <c r="F249" s="36" t="s">
        <v>60</v>
      </c>
      <c r="H249" s="3" t="s">
        <v>48</v>
      </c>
      <c r="I249" s="3" t="s">
        <v>49</v>
      </c>
      <c r="J249" s="3">
        <v>1.0</v>
      </c>
      <c r="K249" s="3" t="s">
        <v>618</v>
      </c>
      <c r="L249" s="3" t="s">
        <v>618</v>
      </c>
      <c r="M249" s="3" t="s">
        <v>619</v>
      </c>
      <c r="N249" s="6" t="s">
        <v>620</v>
      </c>
      <c r="O249" s="6" t="s">
        <v>621</v>
      </c>
      <c r="P249" s="3">
        <v>4510.0</v>
      </c>
      <c r="Q249" s="7" t="s">
        <v>60</v>
      </c>
    </row>
    <row r="250">
      <c r="A250" s="3" t="s">
        <v>614</v>
      </c>
      <c r="B250" s="3" t="s">
        <v>615</v>
      </c>
      <c r="C250" s="3" t="s">
        <v>616</v>
      </c>
      <c r="D250" s="3" t="s">
        <v>531</v>
      </c>
      <c r="E250" s="3" t="s">
        <v>623</v>
      </c>
      <c r="F250" s="36" t="s">
        <v>60</v>
      </c>
      <c r="H250" s="3" t="s">
        <v>48</v>
      </c>
      <c r="I250" s="3" t="s">
        <v>49</v>
      </c>
      <c r="J250" s="3">
        <v>1.0</v>
      </c>
      <c r="K250" s="3" t="s">
        <v>618</v>
      </c>
      <c r="L250" s="3" t="s">
        <v>618</v>
      </c>
      <c r="M250" s="3" t="s">
        <v>619</v>
      </c>
      <c r="N250" s="6" t="s">
        <v>620</v>
      </c>
      <c r="O250" s="6" t="s">
        <v>621</v>
      </c>
      <c r="P250" s="3">
        <v>4511.0</v>
      </c>
      <c r="Q250" s="7" t="s">
        <v>60</v>
      </c>
    </row>
    <row r="251">
      <c r="A251" s="3" t="s">
        <v>614</v>
      </c>
      <c r="B251" s="3" t="s">
        <v>615</v>
      </c>
      <c r="C251" s="3" t="s">
        <v>616</v>
      </c>
      <c r="D251" s="3" t="s">
        <v>531</v>
      </c>
      <c r="E251" s="3" t="s">
        <v>624</v>
      </c>
      <c r="F251" s="36" t="s">
        <v>60</v>
      </c>
      <c r="H251" s="3" t="s">
        <v>48</v>
      </c>
      <c r="I251" s="3" t="s">
        <v>49</v>
      </c>
      <c r="J251" s="3">
        <v>1.0</v>
      </c>
      <c r="K251" s="3" t="s">
        <v>618</v>
      </c>
      <c r="L251" s="3" t="s">
        <v>618</v>
      </c>
      <c r="M251" s="3" t="s">
        <v>619</v>
      </c>
      <c r="N251" s="6" t="s">
        <v>620</v>
      </c>
      <c r="O251" s="6" t="s">
        <v>621</v>
      </c>
      <c r="P251" s="3">
        <v>4507.0</v>
      </c>
      <c r="Q251" s="7" t="s">
        <v>60</v>
      </c>
    </row>
    <row r="252">
      <c r="A252" s="3" t="s">
        <v>614</v>
      </c>
      <c r="B252" s="3" t="s">
        <v>615</v>
      </c>
      <c r="C252" s="3" t="s">
        <v>616</v>
      </c>
      <c r="D252" s="3" t="s">
        <v>531</v>
      </c>
      <c r="E252" s="3" t="s">
        <v>625</v>
      </c>
      <c r="F252" s="36" t="s">
        <v>60</v>
      </c>
      <c r="H252" s="3" t="s">
        <v>48</v>
      </c>
      <c r="I252" s="3" t="s">
        <v>49</v>
      </c>
      <c r="J252" s="3">
        <v>1.0</v>
      </c>
      <c r="K252" s="3" t="s">
        <v>618</v>
      </c>
      <c r="L252" s="3" t="s">
        <v>618</v>
      </c>
      <c r="M252" s="3" t="s">
        <v>619</v>
      </c>
      <c r="N252" s="6" t="s">
        <v>620</v>
      </c>
      <c r="O252" s="6" t="s">
        <v>621</v>
      </c>
      <c r="P252" s="3">
        <v>4507.0</v>
      </c>
      <c r="Q252" s="7" t="s">
        <v>60</v>
      </c>
    </row>
    <row r="253">
      <c r="A253" s="3" t="s">
        <v>614</v>
      </c>
      <c r="B253" s="3" t="s">
        <v>615</v>
      </c>
      <c r="C253" s="3" t="s">
        <v>616</v>
      </c>
      <c r="D253" s="3" t="s">
        <v>531</v>
      </c>
      <c r="E253" s="3" t="s">
        <v>626</v>
      </c>
      <c r="F253" s="36" t="s">
        <v>60</v>
      </c>
      <c r="H253" s="3" t="s">
        <v>48</v>
      </c>
      <c r="I253" s="3" t="s">
        <v>49</v>
      </c>
      <c r="J253" s="3">
        <v>1.0</v>
      </c>
      <c r="K253" s="3" t="s">
        <v>618</v>
      </c>
      <c r="L253" s="3" t="s">
        <v>618</v>
      </c>
      <c r="M253" s="3" t="s">
        <v>619</v>
      </c>
      <c r="N253" s="6" t="s">
        <v>620</v>
      </c>
      <c r="O253" s="6" t="s">
        <v>621</v>
      </c>
      <c r="P253" s="3">
        <v>4507.0</v>
      </c>
      <c r="Q253" s="7" t="s">
        <v>60</v>
      </c>
    </row>
    <row r="254">
      <c r="A254" s="3" t="s">
        <v>614</v>
      </c>
      <c r="B254" s="3" t="s">
        <v>615</v>
      </c>
      <c r="C254" s="3" t="s">
        <v>616</v>
      </c>
      <c r="D254" s="3" t="s">
        <v>531</v>
      </c>
      <c r="E254" s="3" t="s">
        <v>627</v>
      </c>
      <c r="F254" s="36" t="s">
        <v>60</v>
      </c>
      <c r="H254" s="3" t="s">
        <v>48</v>
      </c>
      <c r="I254" s="3" t="s">
        <v>49</v>
      </c>
      <c r="J254" s="3">
        <v>1.0</v>
      </c>
      <c r="K254" s="3" t="s">
        <v>618</v>
      </c>
      <c r="L254" s="3" t="s">
        <v>618</v>
      </c>
      <c r="M254" s="3" t="s">
        <v>619</v>
      </c>
      <c r="N254" s="6" t="s">
        <v>620</v>
      </c>
      <c r="O254" s="6" t="s">
        <v>621</v>
      </c>
      <c r="P254" s="3">
        <v>4511.0</v>
      </c>
      <c r="Q254" s="7" t="s">
        <v>60</v>
      </c>
    </row>
    <row r="255">
      <c r="A255" s="3" t="s">
        <v>614</v>
      </c>
      <c r="B255" s="3" t="s">
        <v>615</v>
      </c>
      <c r="C255" s="3" t="s">
        <v>616</v>
      </c>
      <c r="D255" s="3" t="s">
        <v>531</v>
      </c>
      <c r="E255" s="3" t="s">
        <v>628</v>
      </c>
      <c r="F255" s="36" t="s">
        <v>60</v>
      </c>
      <c r="H255" s="3" t="s">
        <v>48</v>
      </c>
      <c r="I255" s="3" t="s">
        <v>49</v>
      </c>
      <c r="J255" s="3">
        <v>1.0</v>
      </c>
      <c r="K255" s="3" t="s">
        <v>618</v>
      </c>
      <c r="L255" s="3" t="s">
        <v>618</v>
      </c>
      <c r="M255" s="3" t="s">
        <v>619</v>
      </c>
      <c r="N255" s="6" t="s">
        <v>620</v>
      </c>
      <c r="O255" s="6" t="s">
        <v>621</v>
      </c>
      <c r="P255" s="3">
        <v>4510.0</v>
      </c>
      <c r="Q255" s="7" t="s">
        <v>60</v>
      </c>
    </row>
    <row r="256">
      <c r="A256" s="3" t="s">
        <v>614</v>
      </c>
      <c r="B256" s="3" t="s">
        <v>615</v>
      </c>
      <c r="C256" s="3" t="s">
        <v>616</v>
      </c>
      <c r="D256" s="3" t="s">
        <v>531</v>
      </c>
      <c r="E256" s="3" t="s">
        <v>629</v>
      </c>
      <c r="F256" s="36" t="s">
        <v>60</v>
      </c>
      <c r="H256" s="3" t="s">
        <v>48</v>
      </c>
      <c r="I256" s="3" t="s">
        <v>49</v>
      </c>
      <c r="J256" s="3">
        <v>1.0</v>
      </c>
      <c r="K256" s="3" t="s">
        <v>618</v>
      </c>
      <c r="L256" s="3" t="s">
        <v>618</v>
      </c>
      <c r="M256" s="3" t="s">
        <v>619</v>
      </c>
      <c r="N256" s="6" t="s">
        <v>620</v>
      </c>
      <c r="O256" s="6" t="s">
        <v>621</v>
      </c>
      <c r="P256" s="3">
        <v>4510.0</v>
      </c>
      <c r="Q256" s="7" t="s">
        <v>60</v>
      </c>
    </row>
    <row r="257">
      <c r="A257" s="3" t="s">
        <v>614</v>
      </c>
      <c r="B257" s="3" t="s">
        <v>615</v>
      </c>
      <c r="C257" s="3" t="s">
        <v>616</v>
      </c>
      <c r="D257" s="3" t="s">
        <v>531</v>
      </c>
      <c r="E257" s="3" t="s">
        <v>630</v>
      </c>
      <c r="F257" s="36" t="s">
        <v>60</v>
      </c>
      <c r="H257" s="3" t="s">
        <v>48</v>
      </c>
      <c r="I257" s="3" t="s">
        <v>49</v>
      </c>
      <c r="J257" s="3">
        <v>1.0</v>
      </c>
      <c r="K257" s="3" t="s">
        <v>618</v>
      </c>
      <c r="L257" s="3" t="s">
        <v>618</v>
      </c>
      <c r="M257" s="3" t="s">
        <v>619</v>
      </c>
      <c r="N257" s="6" t="s">
        <v>620</v>
      </c>
      <c r="O257" s="6" t="s">
        <v>621</v>
      </c>
      <c r="P257" s="3">
        <v>4510.0</v>
      </c>
      <c r="Q257" s="7" t="s">
        <v>60</v>
      </c>
    </row>
    <row r="258">
      <c r="A258" s="19" t="s">
        <v>631</v>
      </c>
      <c r="B258" s="19" t="s">
        <v>632</v>
      </c>
      <c r="C258" s="19" t="s">
        <v>633</v>
      </c>
      <c r="D258" s="19" t="s">
        <v>531</v>
      </c>
      <c r="E258" s="3" t="s">
        <v>634</v>
      </c>
      <c r="F258" s="7" t="s">
        <v>60</v>
      </c>
      <c r="H258" s="19" t="s">
        <v>48</v>
      </c>
      <c r="I258" s="3" t="s">
        <v>49</v>
      </c>
      <c r="J258" s="3">
        <v>6.0</v>
      </c>
      <c r="K258" s="3" t="s">
        <v>635</v>
      </c>
      <c r="L258" s="3" t="s">
        <v>272</v>
      </c>
      <c r="M258" s="3" t="s">
        <v>558</v>
      </c>
      <c r="N258" s="6" t="s">
        <v>636</v>
      </c>
      <c r="O258" s="6" t="s">
        <v>560</v>
      </c>
      <c r="P258" s="3">
        <v>4065.0</v>
      </c>
      <c r="Q258" s="7" t="s">
        <v>60</v>
      </c>
    </row>
    <row r="259">
      <c r="A259" s="19" t="s">
        <v>631</v>
      </c>
      <c r="B259" s="19" t="s">
        <v>632</v>
      </c>
      <c r="C259" s="19" t="s">
        <v>633</v>
      </c>
      <c r="D259" s="19" t="s">
        <v>531</v>
      </c>
      <c r="E259" s="3" t="s">
        <v>637</v>
      </c>
      <c r="F259" s="7" t="s">
        <v>60</v>
      </c>
      <c r="H259" s="19" t="s">
        <v>48</v>
      </c>
      <c r="I259" s="3" t="s">
        <v>49</v>
      </c>
      <c r="J259" s="3">
        <v>6.0</v>
      </c>
      <c r="K259" s="3" t="s">
        <v>635</v>
      </c>
      <c r="L259" s="3" t="s">
        <v>272</v>
      </c>
      <c r="M259" s="3" t="s">
        <v>558</v>
      </c>
      <c r="N259" s="6" t="s">
        <v>636</v>
      </c>
      <c r="O259" s="6" t="s">
        <v>560</v>
      </c>
      <c r="P259" s="3">
        <v>4059.0</v>
      </c>
      <c r="Q259" s="7" t="s">
        <v>60</v>
      </c>
    </row>
    <row r="260">
      <c r="A260" s="19" t="s">
        <v>631</v>
      </c>
      <c r="B260" s="19" t="s">
        <v>632</v>
      </c>
      <c r="C260" s="19" t="s">
        <v>633</v>
      </c>
      <c r="D260" s="19" t="s">
        <v>531</v>
      </c>
      <c r="E260" s="3" t="s">
        <v>638</v>
      </c>
      <c r="F260" s="7" t="s">
        <v>60</v>
      </c>
      <c r="H260" s="19" t="s">
        <v>48</v>
      </c>
      <c r="I260" s="3" t="s">
        <v>49</v>
      </c>
      <c r="J260" s="3">
        <v>3.0</v>
      </c>
      <c r="K260" s="3" t="s">
        <v>639</v>
      </c>
      <c r="L260" s="3" t="s">
        <v>272</v>
      </c>
      <c r="M260" s="3" t="s">
        <v>558</v>
      </c>
      <c r="N260" s="6" t="s">
        <v>636</v>
      </c>
      <c r="O260" s="6" t="s">
        <v>560</v>
      </c>
      <c r="P260" s="3">
        <v>4060.0</v>
      </c>
      <c r="Q260" s="7" t="s">
        <v>60</v>
      </c>
    </row>
    <row r="261">
      <c r="A261" s="19" t="s">
        <v>631</v>
      </c>
      <c r="B261" s="19" t="s">
        <v>632</v>
      </c>
      <c r="C261" s="19" t="s">
        <v>633</v>
      </c>
      <c r="D261" s="19" t="s">
        <v>531</v>
      </c>
      <c r="E261" s="3" t="s">
        <v>640</v>
      </c>
      <c r="F261" s="5">
        <v>45881.0</v>
      </c>
      <c r="G261" s="24" t="s">
        <v>214</v>
      </c>
      <c r="H261" s="19" t="s">
        <v>48</v>
      </c>
      <c r="I261" s="3" t="s">
        <v>49</v>
      </c>
      <c r="J261" s="3">
        <v>6.0</v>
      </c>
      <c r="K261" s="3" t="s">
        <v>635</v>
      </c>
      <c r="L261" s="3" t="s">
        <v>272</v>
      </c>
      <c r="M261" s="3" t="s">
        <v>558</v>
      </c>
      <c r="N261" s="6" t="s">
        <v>636</v>
      </c>
      <c r="O261" s="6" t="s">
        <v>560</v>
      </c>
      <c r="P261" s="3">
        <v>4066.0</v>
      </c>
      <c r="Q261" s="7" t="s">
        <v>60</v>
      </c>
      <c r="R261" s="3">
        <v>383.9</v>
      </c>
    </row>
    <row r="262">
      <c r="A262" s="19" t="s">
        <v>631</v>
      </c>
      <c r="B262" s="19" t="s">
        <v>632</v>
      </c>
      <c r="C262" s="19" t="s">
        <v>633</v>
      </c>
      <c r="D262" s="19" t="s">
        <v>531</v>
      </c>
      <c r="E262" s="3" t="s">
        <v>641</v>
      </c>
      <c r="F262" s="7" t="s">
        <v>60</v>
      </c>
      <c r="H262" s="19" t="s">
        <v>48</v>
      </c>
      <c r="I262" s="3" t="s">
        <v>49</v>
      </c>
      <c r="J262" s="3">
        <v>1.0</v>
      </c>
      <c r="K262" s="3" t="s">
        <v>642</v>
      </c>
      <c r="L262" s="3" t="s">
        <v>642</v>
      </c>
      <c r="M262" s="3" t="s">
        <v>558</v>
      </c>
      <c r="N262" s="6" t="s">
        <v>636</v>
      </c>
      <c r="O262" s="6" t="s">
        <v>560</v>
      </c>
      <c r="P262" s="3">
        <v>4067.0</v>
      </c>
      <c r="Q262" s="7" t="s">
        <v>60</v>
      </c>
    </row>
    <row r="263">
      <c r="A263" s="19" t="s">
        <v>631</v>
      </c>
      <c r="B263" s="19" t="s">
        <v>632</v>
      </c>
      <c r="C263" s="19" t="s">
        <v>633</v>
      </c>
      <c r="D263" s="19" t="s">
        <v>531</v>
      </c>
      <c r="E263" s="3" t="s">
        <v>643</v>
      </c>
      <c r="F263" s="7" t="s">
        <v>60</v>
      </c>
      <c r="H263" s="19" t="s">
        <v>48</v>
      </c>
      <c r="I263" s="3" t="s">
        <v>49</v>
      </c>
      <c r="J263" s="3">
        <v>1.0</v>
      </c>
      <c r="K263" s="3" t="s">
        <v>642</v>
      </c>
      <c r="L263" s="3" t="s">
        <v>642</v>
      </c>
      <c r="M263" s="3" t="s">
        <v>558</v>
      </c>
      <c r="N263" s="6" t="s">
        <v>636</v>
      </c>
      <c r="O263" s="6" t="s">
        <v>560</v>
      </c>
      <c r="P263" s="3">
        <v>4068.0</v>
      </c>
      <c r="Q263" s="7" t="s">
        <v>60</v>
      </c>
    </row>
    <row r="264">
      <c r="A264" s="19" t="s">
        <v>631</v>
      </c>
      <c r="B264" s="19" t="s">
        <v>632</v>
      </c>
      <c r="C264" s="19" t="s">
        <v>633</v>
      </c>
      <c r="D264" s="19" t="s">
        <v>531</v>
      </c>
      <c r="E264" s="3" t="s">
        <v>644</v>
      </c>
      <c r="F264" s="7" t="s">
        <v>60</v>
      </c>
      <c r="H264" s="19" t="s">
        <v>48</v>
      </c>
      <c r="I264" s="3" t="s">
        <v>49</v>
      </c>
      <c r="J264" s="3">
        <v>1.0</v>
      </c>
      <c r="K264" s="3" t="s">
        <v>642</v>
      </c>
      <c r="L264" s="3" t="s">
        <v>642</v>
      </c>
      <c r="M264" s="3" t="s">
        <v>558</v>
      </c>
      <c r="N264" s="6" t="s">
        <v>636</v>
      </c>
      <c r="O264" s="6" t="s">
        <v>560</v>
      </c>
      <c r="P264" s="3">
        <v>4068.0</v>
      </c>
      <c r="Q264" s="7" t="s">
        <v>60</v>
      </c>
    </row>
    <row r="265">
      <c r="A265" s="19" t="s">
        <v>631</v>
      </c>
      <c r="B265" s="19" t="s">
        <v>632</v>
      </c>
      <c r="C265" s="19" t="s">
        <v>633</v>
      </c>
      <c r="D265" s="19" t="s">
        <v>531</v>
      </c>
      <c r="E265" s="3" t="s">
        <v>645</v>
      </c>
      <c r="F265" s="7" t="s">
        <v>60</v>
      </c>
      <c r="H265" s="19" t="s">
        <v>48</v>
      </c>
      <c r="I265" s="3" t="s">
        <v>49</v>
      </c>
      <c r="J265" s="3">
        <v>1.0</v>
      </c>
      <c r="K265" s="3" t="s">
        <v>642</v>
      </c>
      <c r="L265" s="3" t="s">
        <v>642</v>
      </c>
      <c r="M265" s="3" t="s">
        <v>558</v>
      </c>
      <c r="N265" s="6" t="s">
        <v>636</v>
      </c>
      <c r="O265" s="6" t="s">
        <v>560</v>
      </c>
      <c r="P265" s="3">
        <v>4069.0</v>
      </c>
      <c r="Q265" s="7" t="s">
        <v>60</v>
      </c>
    </row>
    <row r="266">
      <c r="A266" s="19" t="s">
        <v>631</v>
      </c>
      <c r="B266" s="19" t="s">
        <v>632</v>
      </c>
      <c r="C266" s="19" t="s">
        <v>633</v>
      </c>
      <c r="D266" s="19" t="s">
        <v>531</v>
      </c>
      <c r="E266" s="3" t="s">
        <v>646</v>
      </c>
      <c r="F266" s="7" t="s">
        <v>60</v>
      </c>
      <c r="H266" s="19" t="s">
        <v>48</v>
      </c>
      <c r="I266" s="3" t="s">
        <v>49</v>
      </c>
      <c r="J266" s="3">
        <v>1.0</v>
      </c>
      <c r="K266" s="3" t="s">
        <v>642</v>
      </c>
      <c r="L266" s="3" t="s">
        <v>642</v>
      </c>
      <c r="M266" s="3" t="s">
        <v>558</v>
      </c>
      <c r="N266" s="6" t="s">
        <v>636</v>
      </c>
      <c r="O266" s="6" t="s">
        <v>560</v>
      </c>
      <c r="P266" s="3">
        <v>4059.0</v>
      </c>
      <c r="Q266" s="7" t="s">
        <v>60</v>
      </c>
    </row>
    <row r="267">
      <c r="A267" s="19" t="s">
        <v>631</v>
      </c>
      <c r="B267" s="19" t="s">
        <v>632</v>
      </c>
      <c r="C267" s="19" t="s">
        <v>633</v>
      </c>
      <c r="D267" s="19" t="s">
        <v>531</v>
      </c>
      <c r="E267" s="3" t="s">
        <v>647</v>
      </c>
      <c r="F267" s="7" t="s">
        <v>60</v>
      </c>
      <c r="H267" s="19" t="s">
        <v>48</v>
      </c>
      <c r="I267" s="3" t="s">
        <v>49</v>
      </c>
      <c r="J267" s="3">
        <v>1.0</v>
      </c>
      <c r="K267" s="3" t="s">
        <v>642</v>
      </c>
      <c r="L267" s="3" t="s">
        <v>642</v>
      </c>
      <c r="M267" s="3" t="s">
        <v>558</v>
      </c>
      <c r="N267" s="6" t="s">
        <v>636</v>
      </c>
      <c r="O267" s="6" t="s">
        <v>560</v>
      </c>
      <c r="P267" s="3">
        <v>4073.0</v>
      </c>
      <c r="Q267" s="7" t="s">
        <v>60</v>
      </c>
    </row>
    <row r="268">
      <c r="A268" s="19" t="s">
        <v>631</v>
      </c>
      <c r="B268" s="19" t="s">
        <v>632</v>
      </c>
      <c r="C268" s="19" t="s">
        <v>633</v>
      </c>
      <c r="D268" s="19" t="s">
        <v>531</v>
      </c>
      <c r="E268" s="3" t="s">
        <v>648</v>
      </c>
      <c r="F268" s="7" t="s">
        <v>60</v>
      </c>
      <c r="H268" s="19" t="s">
        <v>48</v>
      </c>
      <c r="I268" s="3" t="s">
        <v>49</v>
      </c>
      <c r="J268" s="3">
        <v>1.0</v>
      </c>
      <c r="K268" s="3" t="s">
        <v>642</v>
      </c>
      <c r="L268" s="3" t="s">
        <v>642</v>
      </c>
      <c r="M268" s="3" t="s">
        <v>558</v>
      </c>
      <c r="N268" s="6" t="s">
        <v>636</v>
      </c>
      <c r="O268" s="6" t="s">
        <v>560</v>
      </c>
      <c r="P268" s="3">
        <v>4066.0</v>
      </c>
      <c r="Q268" s="7" t="s">
        <v>60</v>
      </c>
    </row>
    <row r="269">
      <c r="A269" s="19" t="s">
        <v>631</v>
      </c>
      <c r="B269" s="19" t="s">
        <v>632</v>
      </c>
      <c r="C269" s="19" t="s">
        <v>633</v>
      </c>
      <c r="D269" s="19" t="s">
        <v>531</v>
      </c>
      <c r="E269" s="3" t="s">
        <v>649</v>
      </c>
      <c r="F269" s="7" t="s">
        <v>60</v>
      </c>
      <c r="H269" s="19" t="s">
        <v>48</v>
      </c>
      <c r="I269" s="3" t="s">
        <v>49</v>
      </c>
      <c r="J269" s="3">
        <v>1.0</v>
      </c>
      <c r="K269" s="3" t="s">
        <v>642</v>
      </c>
      <c r="L269" s="3" t="s">
        <v>642</v>
      </c>
      <c r="M269" s="3" t="s">
        <v>558</v>
      </c>
      <c r="N269" s="6" t="s">
        <v>636</v>
      </c>
      <c r="O269" s="6" t="s">
        <v>560</v>
      </c>
      <c r="P269" s="3">
        <v>4069.0</v>
      </c>
      <c r="Q269" s="7" t="s">
        <v>60</v>
      </c>
    </row>
    <row r="270">
      <c r="A270" s="22" t="s">
        <v>650</v>
      </c>
      <c r="B270" s="19" t="s">
        <v>651</v>
      </c>
      <c r="C270" s="19" t="s">
        <v>652</v>
      </c>
      <c r="D270" s="19" t="s">
        <v>531</v>
      </c>
      <c r="E270" s="3" t="s">
        <v>653</v>
      </c>
      <c r="F270" s="14">
        <v>45870.0</v>
      </c>
      <c r="G270" s="24" t="s">
        <v>214</v>
      </c>
      <c r="H270" s="19" t="s">
        <v>48</v>
      </c>
      <c r="I270" s="3" t="s">
        <v>49</v>
      </c>
      <c r="J270" s="3">
        <v>2.0</v>
      </c>
      <c r="K270" s="3" t="s">
        <v>654</v>
      </c>
      <c r="L270" s="3" t="s">
        <v>655</v>
      </c>
      <c r="M270" s="3" t="s">
        <v>656</v>
      </c>
      <c r="N270" s="6" t="s">
        <v>657</v>
      </c>
      <c r="O270" s="6" t="s">
        <v>658</v>
      </c>
      <c r="P270" s="3">
        <v>4300.0</v>
      </c>
      <c r="Q270" s="3">
        <v>2.0</v>
      </c>
      <c r="R270" s="3">
        <v>383.9</v>
      </c>
    </row>
    <row r="271">
      <c r="A271" s="22" t="s">
        <v>650</v>
      </c>
      <c r="B271" s="19" t="s">
        <v>651</v>
      </c>
      <c r="C271" s="19" t="s">
        <v>652</v>
      </c>
      <c r="D271" s="19" t="s">
        <v>531</v>
      </c>
      <c r="E271" s="3" t="s">
        <v>659</v>
      </c>
      <c r="F271" s="7" t="s">
        <v>60</v>
      </c>
      <c r="H271" s="19" t="s">
        <v>48</v>
      </c>
      <c r="I271" s="3" t="s">
        <v>49</v>
      </c>
      <c r="J271" s="3">
        <v>2.0</v>
      </c>
      <c r="K271" s="3" t="s">
        <v>654</v>
      </c>
      <c r="L271" s="3" t="s">
        <v>655</v>
      </c>
      <c r="M271" s="3" t="s">
        <v>656</v>
      </c>
      <c r="N271" s="6" t="s">
        <v>657</v>
      </c>
      <c r="O271" s="6" t="s">
        <v>658</v>
      </c>
      <c r="P271" s="3">
        <v>4300.0</v>
      </c>
      <c r="Q271" s="7" t="s">
        <v>60</v>
      </c>
    </row>
    <row r="272" ht="15.0" customHeight="1">
      <c r="A272" s="22" t="s">
        <v>650</v>
      </c>
      <c r="B272" s="19" t="s">
        <v>651</v>
      </c>
      <c r="C272" s="19" t="s">
        <v>652</v>
      </c>
      <c r="D272" s="19" t="s">
        <v>531</v>
      </c>
      <c r="E272" s="3" t="s">
        <v>660</v>
      </c>
      <c r="F272" s="7" t="s">
        <v>60</v>
      </c>
      <c r="H272" s="19" t="s">
        <v>48</v>
      </c>
      <c r="I272" s="3" t="s">
        <v>49</v>
      </c>
      <c r="J272" s="3">
        <v>1.0</v>
      </c>
      <c r="K272" s="3" t="s">
        <v>534</v>
      </c>
      <c r="L272" s="3" t="s">
        <v>534</v>
      </c>
      <c r="M272" s="3" t="s">
        <v>656</v>
      </c>
      <c r="N272" s="6" t="s">
        <v>657</v>
      </c>
      <c r="O272" s="6" t="s">
        <v>658</v>
      </c>
      <c r="P272" s="3">
        <v>4306.0</v>
      </c>
      <c r="Q272" s="7" t="s">
        <v>60</v>
      </c>
    </row>
    <row r="273" ht="15.0" customHeight="1">
      <c r="A273" s="22" t="s">
        <v>650</v>
      </c>
      <c r="B273" s="19" t="s">
        <v>651</v>
      </c>
      <c r="C273" s="19" t="s">
        <v>652</v>
      </c>
      <c r="D273" s="19" t="s">
        <v>531</v>
      </c>
      <c r="E273" s="3" t="s">
        <v>661</v>
      </c>
      <c r="F273" s="7" t="s">
        <v>60</v>
      </c>
      <c r="H273" s="19" t="s">
        <v>48</v>
      </c>
      <c r="I273" s="3" t="s">
        <v>49</v>
      </c>
      <c r="J273" s="3">
        <v>1.0</v>
      </c>
      <c r="K273" s="3" t="s">
        <v>534</v>
      </c>
      <c r="L273" s="3" t="s">
        <v>534</v>
      </c>
      <c r="M273" s="3" t="s">
        <v>656</v>
      </c>
      <c r="N273" s="6" t="s">
        <v>657</v>
      </c>
      <c r="O273" s="6" t="s">
        <v>658</v>
      </c>
      <c r="P273" s="3">
        <v>4301.0</v>
      </c>
      <c r="Q273" s="7" t="s">
        <v>60</v>
      </c>
    </row>
    <row r="274" ht="15.0" customHeight="1">
      <c r="A274" s="22" t="s">
        <v>650</v>
      </c>
      <c r="B274" s="19" t="s">
        <v>651</v>
      </c>
      <c r="C274" s="19" t="s">
        <v>652</v>
      </c>
      <c r="D274" s="19" t="s">
        <v>531</v>
      </c>
      <c r="E274" s="3" t="s">
        <v>662</v>
      </c>
      <c r="F274" s="7" t="s">
        <v>60</v>
      </c>
      <c r="H274" s="19" t="s">
        <v>48</v>
      </c>
      <c r="I274" s="3" t="s">
        <v>49</v>
      </c>
      <c r="J274" s="3">
        <v>1.0</v>
      </c>
      <c r="K274" s="3" t="s">
        <v>534</v>
      </c>
      <c r="L274" s="3" t="s">
        <v>534</v>
      </c>
      <c r="M274" s="3" t="s">
        <v>656</v>
      </c>
      <c r="N274" s="6" t="s">
        <v>657</v>
      </c>
      <c r="O274" s="6" t="s">
        <v>658</v>
      </c>
      <c r="P274" s="3">
        <v>4301.0</v>
      </c>
      <c r="Q274" s="7" t="s">
        <v>60</v>
      </c>
    </row>
    <row r="275" ht="15.0" customHeight="1">
      <c r="A275" s="22" t="s">
        <v>650</v>
      </c>
      <c r="B275" s="19" t="s">
        <v>651</v>
      </c>
      <c r="C275" s="19" t="s">
        <v>652</v>
      </c>
      <c r="D275" s="19" t="s">
        <v>531</v>
      </c>
      <c r="E275" s="3" t="s">
        <v>663</v>
      </c>
      <c r="F275" s="7" t="s">
        <v>60</v>
      </c>
      <c r="H275" s="19" t="s">
        <v>48</v>
      </c>
      <c r="I275" s="3" t="s">
        <v>49</v>
      </c>
      <c r="J275" s="3">
        <v>1.0</v>
      </c>
      <c r="K275" s="3" t="s">
        <v>534</v>
      </c>
      <c r="L275" s="3" t="s">
        <v>534</v>
      </c>
      <c r="M275" s="3" t="s">
        <v>656</v>
      </c>
      <c r="N275" s="6" t="s">
        <v>657</v>
      </c>
      <c r="O275" s="6" t="s">
        <v>658</v>
      </c>
      <c r="P275" s="3">
        <v>4300.0</v>
      </c>
      <c r="Q275" s="7" t="s">
        <v>60</v>
      </c>
    </row>
    <row r="276">
      <c r="A276" s="19" t="s">
        <v>664</v>
      </c>
      <c r="B276" s="19" t="s">
        <v>665</v>
      </c>
      <c r="C276" s="19" t="s">
        <v>666</v>
      </c>
      <c r="D276" s="19" t="s">
        <v>531</v>
      </c>
      <c r="E276" s="3" t="s">
        <v>667</v>
      </c>
      <c r="F276" s="5">
        <v>45973.0</v>
      </c>
      <c r="G276" s="24" t="s">
        <v>214</v>
      </c>
      <c r="H276" s="19" t="s">
        <v>48</v>
      </c>
      <c r="I276" s="3" t="s">
        <v>49</v>
      </c>
      <c r="J276" s="3">
        <v>3.0</v>
      </c>
      <c r="K276" s="3" t="s">
        <v>343</v>
      </c>
      <c r="L276" s="3" t="s">
        <v>668</v>
      </c>
      <c r="M276" s="3" t="s">
        <v>669</v>
      </c>
      <c r="N276" s="6" t="s">
        <v>670</v>
      </c>
      <c r="O276" s="6" t="s">
        <v>671</v>
      </c>
      <c r="P276" s="3">
        <v>4120.0</v>
      </c>
      <c r="Q276" s="3">
        <v>2.0</v>
      </c>
      <c r="R276" s="3">
        <v>383.9</v>
      </c>
    </row>
    <row r="277">
      <c r="A277" s="19" t="s">
        <v>664</v>
      </c>
      <c r="B277" s="19" t="s">
        <v>665</v>
      </c>
      <c r="C277" s="19" t="s">
        <v>666</v>
      </c>
      <c r="D277" s="19" t="s">
        <v>531</v>
      </c>
      <c r="E277" s="3" t="s">
        <v>672</v>
      </c>
      <c r="F277" s="7" t="s">
        <v>60</v>
      </c>
      <c r="H277" s="19" t="s">
        <v>48</v>
      </c>
      <c r="I277" s="3" t="s">
        <v>49</v>
      </c>
      <c r="J277" s="3">
        <v>1.0</v>
      </c>
      <c r="K277" s="3" t="s">
        <v>668</v>
      </c>
      <c r="L277" s="3" t="s">
        <v>668</v>
      </c>
      <c r="M277" s="3" t="s">
        <v>669</v>
      </c>
      <c r="N277" s="6" t="s">
        <v>670</v>
      </c>
      <c r="O277" s="6" t="s">
        <v>671</v>
      </c>
      <c r="P277" s="3">
        <v>4103.0</v>
      </c>
      <c r="Q277" s="7" t="s">
        <v>60</v>
      </c>
    </row>
    <row r="278">
      <c r="A278" s="19" t="s">
        <v>664</v>
      </c>
      <c r="B278" s="19" t="s">
        <v>665</v>
      </c>
      <c r="C278" s="19" t="s">
        <v>666</v>
      </c>
      <c r="D278" s="19" t="s">
        <v>531</v>
      </c>
      <c r="E278" s="3" t="s">
        <v>673</v>
      </c>
      <c r="F278" s="7" t="s">
        <v>60</v>
      </c>
      <c r="H278" s="19" t="s">
        <v>48</v>
      </c>
      <c r="I278" s="3" t="s">
        <v>49</v>
      </c>
      <c r="J278" s="3">
        <v>1.0</v>
      </c>
      <c r="K278" s="3" t="s">
        <v>668</v>
      </c>
      <c r="L278" s="3" t="s">
        <v>668</v>
      </c>
      <c r="M278" s="3" t="s">
        <v>669</v>
      </c>
      <c r="N278" s="6" t="s">
        <v>670</v>
      </c>
      <c r="O278" s="6" t="s">
        <v>671</v>
      </c>
      <c r="P278" s="3">
        <v>4103.0</v>
      </c>
      <c r="Q278" s="7" t="s">
        <v>60</v>
      </c>
    </row>
    <row r="279">
      <c r="A279" s="19" t="s">
        <v>664</v>
      </c>
      <c r="B279" s="19" t="s">
        <v>665</v>
      </c>
      <c r="C279" s="19" t="s">
        <v>666</v>
      </c>
      <c r="D279" s="19" t="s">
        <v>531</v>
      </c>
      <c r="E279" s="3" t="s">
        <v>674</v>
      </c>
      <c r="F279" s="7" t="s">
        <v>60</v>
      </c>
      <c r="H279" s="19" t="s">
        <v>48</v>
      </c>
      <c r="I279" s="3" t="s">
        <v>49</v>
      </c>
      <c r="J279" s="3">
        <v>1.0</v>
      </c>
      <c r="K279" s="3" t="s">
        <v>668</v>
      </c>
      <c r="L279" s="3" t="s">
        <v>668</v>
      </c>
      <c r="M279" s="3" t="s">
        <v>669</v>
      </c>
      <c r="N279" s="6" t="s">
        <v>670</v>
      </c>
      <c r="O279" s="6" t="s">
        <v>671</v>
      </c>
      <c r="P279" s="3">
        <v>4120.0</v>
      </c>
      <c r="Q279" s="7" t="s">
        <v>60</v>
      </c>
    </row>
    <row r="280">
      <c r="A280" s="19" t="s">
        <v>664</v>
      </c>
      <c r="B280" s="19" t="s">
        <v>665</v>
      </c>
      <c r="C280" s="19" t="s">
        <v>666</v>
      </c>
      <c r="D280" s="19" t="s">
        <v>531</v>
      </c>
      <c r="E280" s="3" t="s">
        <v>675</v>
      </c>
      <c r="F280" s="7" t="s">
        <v>60</v>
      </c>
      <c r="H280" s="19" t="s">
        <v>48</v>
      </c>
      <c r="I280" s="3" t="s">
        <v>49</v>
      </c>
      <c r="J280" s="3">
        <v>1.0</v>
      </c>
      <c r="K280" s="3" t="s">
        <v>668</v>
      </c>
      <c r="L280" s="3" t="s">
        <v>668</v>
      </c>
      <c r="M280" s="3" t="s">
        <v>669</v>
      </c>
      <c r="N280" s="6" t="s">
        <v>670</v>
      </c>
      <c r="O280" s="6" t="s">
        <v>671</v>
      </c>
      <c r="P280" s="3">
        <v>4151.0</v>
      </c>
      <c r="Q280" s="7" t="s">
        <v>60</v>
      </c>
    </row>
    <row r="281">
      <c r="A281" s="19" t="s">
        <v>664</v>
      </c>
      <c r="B281" s="19" t="s">
        <v>665</v>
      </c>
      <c r="C281" s="19" t="s">
        <v>666</v>
      </c>
      <c r="D281" s="19" t="s">
        <v>531</v>
      </c>
      <c r="E281" s="3" t="s">
        <v>676</v>
      </c>
      <c r="F281" s="7" t="s">
        <v>60</v>
      </c>
      <c r="H281" s="19" t="s">
        <v>48</v>
      </c>
      <c r="I281" s="3" t="s">
        <v>49</v>
      </c>
      <c r="J281" s="3">
        <v>1.0</v>
      </c>
      <c r="K281" s="3" t="s">
        <v>668</v>
      </c>
      <c r="L281" s="3" t="s">
        <v>668</v>
      </c>
      <c r="M281" s="3" t="s">
        <v>669</v>
      </c>
      <c r="N281" s="6" t="s">
        <v>670</v>
      </c>
      <c r="O281" s="6" t="s">
        <v>671</v>
      </c>
      <c r="P281" s="3">
        <v>4121.0</v>
      </c>
      <c r="Q281" s="7" t="s">
        <v>60</v>
      </c>
    </row>
    <row r="282">
      <c r="A282" s="19" t="s">
        <v>664</v>
      </c>
      <c r="B282" s="19" t="s">
        <v>665</v>
      </c>
      <c r="C282" s="19" t="s">
        <v>666</v>
      </c>
      <c r="D282" s="19" t="s">
        <v>531</v>
      </c>
      <c r="E282" s="3" t="s">
        <v>677</v>
      </c>
      <c r="F282" s="7" t="s">
        <v>60</v>
      </c>
      <c r="H282" s="19" t="s">
        <v>48</v>
      </c>
      <c r="I282" s="3" t="s">
        <v>49</v>
      </c>
      <c r="J282" s="3">
        <v>1.0</v>
      </c>
      <c r="K282" s="3" t="s">
        <v>668</v>
      </c>
      <c r="L282" s="3" t="s">
        <v>668</v>
      </c>
      <c r="M282" s="3" t="s">
        <v>669</v>
      </c>
      <c r="N282" s="6" t="s">
        <v>670</v>
      </c>
      <c r="O282" s="6" t="s">
        <v>671</v>
      </c>
      <c r="P282" s="3">
        <v>4113.0</v>
      </c>
      <c r="Q282" s="7" t="s">
        <v>60</v>
      </c>
    </row>
    <row r="283">
      <c r="A283" s="19" t="s">
        <v>664</v>
      </c>
      <c r="B283" s="19" t="s">
        <v>665</v>
      </c>
      <c r="C283" s="19" t="s">
        <v>666</v>
      </c>
      <c r="D283" s="19" t="s">
        <v>531</v>
      </c>
      <c r="E283" s="3" t="s">
        <v>678</v>
      </c>
      <c r="F283" s="7" t="s">
        <v>60</v>
      </c>
      <c r="H283" s="19" t="s">
        <v>48</v>
      </c>
      <c r="I283" s="3" t="s">
        <v>49</v>
      </c>
      <c r="J283" s="3">
        <v>1.0</v>
      </c>
      <c r="K283" s="3" t="s">
        <v>668</v>
      </c>
      <c r="L283" s="3" t="s">
        <v>668</v>
      </c>
      <c r="M283" s="3" t="s">
        <v>669</v>
      </c>
      <c r="N283" s="6" t="s">
        <v>670</v>
      </c>
      <c r="O283" s="6" t="s">
        <v>671</v>
      </c>
      <c r="P283" s="3">
        <v>4113.0</v>
      </c>
      <c r="Q283" s="7" t="s">
        <v>60</v>
      </c>
    </row>
    <row r="284">
      <c r="A284" s="19" t="s">
        <v>664</v>
      </c>
      <c r="B284" s="19" t="s">
        <v>665</v>
      </c>
      <c r="C284" s="19" t="s">
        <v>666</v>
      </c>
      <c r="D284" s="19" t="s">
        <v>531</v>
      </c>
      <c r="E284" s="3" t="s">
        <v>679</v>
      </c>
      <c r="F284" s="7" t="s">
        <v>60</v>
      </c>
      <c r="H284" s="19" t="s">
        <v>48</v>
      </c>
      <c r="I284" s="3" t="s">
        <v>49</v>
      </c>
      <c r="J284" s="3">
        <v>1.0</v>
      </c>
      <c r="K284" s="3" t="s">
        <v>668</v>
      </c>
      <c r="L284" s="3" t="s">
        <v>668</v>
      </c>
      <c r="M284" s="3" t="s">
        <v>669</v>
      </c>
      <c r="N284" s="6" t="s">
        <v>670</v>
      </c>
      <c r="O284" s="6" t="s">
        <v>671</v>
      </c>
      <c r="P284" s="3">
        <v>4109.0</v>
      </c>
      <c r="Q284" s="7" t="s">
        <v>60</v>
      </c>
    </row>
    <row r="285">
      <c r="A285" s="19" t="s">
        <v>664</v>
      </c>
      <c r="B285" s="19" t="s">
        <v>665</v>
      </c>
      <c r="C285" s="19" t="s">
        <v>666</v>
      </c>
      <c r="D285" s="19" t="s">
        <v>531</v>
      </c>
      <c r="E285" s="3" t="s">
        <v>680</v>
      </c>
      <c r="F285" s="7" t="s">
        <v>60</v>
      </c>
      <c r="H285" s="19" t="s">
        <v>48</v>
      </c>
      <c r="I285" s="3" t="s">
        <v>49</v>
      </c>
      <c r="J285" s="3">
        <v>1.0</v>
      </c>
      <c r="K285" s="3" t="s">
        <v>668</v>
      </c>
      <c r="L285" s="3" t="s">
        <v>668</v>
      </c>
      <c r="M285" s="3" t="s">
        <v>669</v>
      </c>
      <c r="N285" s="6" t="s">
        <v>670</v>
      </c>
      <c r="O285" s="6" t="s">
        <v>671</v>
      </c>
      <c r="P285" s="3">
        <v>4109.0</v>
      </c>
      <c r="Q285" s="7" t="s">
        <v>60</v>
      </c>
    </row>
    <row r="286">
      <c r="A286" s="19" t="s">
        <v>664</v>
      </c>
      <c r="B286" s="19" t="s">
        <v>665</v>
      </c>
      <c r="C286" s="19" t="s">
        <v>666</v>
      </c>
      <c r="D286" s="19" t="s">
        <v>531</v>
      </c>
      <c r="E286" s="3" t="s">
        <v>681</v>
      </c>
      <c r="F286" s="7" t="s">
        <v>60</v>
      </c>
      <c r="H286" s="19" t="s">
        <v>48</v>
      </c>
      <c r="I286" s="3" t="s">
        <v>49</v>
      </c>
      <c r="J286" s="3">
        <v>1.0</v>
      </c>
      <c r="K286" s="3" t="s">
        <v>668</v>
      </c>
      <c r="L286" s="3" t="s">
        <v>668</v>
      </c>
      <c r="M286" s="3" t="s">
        <v>669</v>
      </c>
      <c r="N286" s="6" t="s">
        <v>670</v>
      </c>
      <c r="O286" s="6" t="s">
        <v>671</v>
      </c>
      <c r="P286" s="3">
        <v>4112.0</v>
      </c>
      <c r="Q286" s="7" t="s">
        <v>60</v>
      </c>
    </row>
    <row r="287">
      <c r="A287" s="19" t="s">
        <v>664</v>
      </c>
      <c r="B287" s="19" t="s">
        <v>665</v>
      </c>
      <c r="C287" s="19" t="s">
        <v>666</v>
      </c>
      <c r="D287" s="19" t="s">
        <v>531</v>
      </c>
      <c r="E287" s="3" t="s">
        <v>682</v>
      </c>
      <c r="F287" s="7" t="s">
        <v>60</v>
      </c>
      <c r="H287" s="19" t="s">
        <v>48</v>
      </c>
      <c r="I287" s="3" t="s">
        <v>49</v>
      </c>
      <c r="J287" s="3">
        <v>1.0</v>
      </c>
      <c r="K287" s="3" t="s">
        <v>668</v>
      </c>
      <c r="L287" s="3" t="s">
        <v>668</v>
      </c>
      <c r="M287" s="3" t="s">
        <v>669</v>
      </c>
      <c r="N287" s="6" t="s">
        <v>670</v>
      </c>
      <c r="O287" s="6" t="s">
        <v>671</v>
      </c>
      <c r="P287" s="3">
        <v>4105.0</v>
      </c>
      <c r="Q287" s="7" t="s">
        <v>60</v>
      </c>
    </row>
    <row r="288">
      <c r="A288" s="19" t="s">
        <v>664</v>
      </c>
      <c r="B288" s="19" t="s">
        <v>665</v>
      </c>
      <c r="C288" s="19" t="s">
        <v>666</v>
      </c>
      <c r="D288" s="19" t="s">
        <v>531</v>
      </c>
      <c r="E288" s="3" t="s">
        <v>683</v>
      </c>
      <c r="F288" s="7" t="s">
        <v>60</v>
      </c>
      <c r="H288" s="19" t="s">
        <v>48</v>
      </c>
      <c r="I288" s="3" t="s">
        <v>49</v>
      </c>
      <c r="J288" s="3">
        <v>1.0</v>
      </c>
      <c r="K288" s="3" t="s">
        <v>668</v>
      </c>
      <c r="L288" s="3" t="s">
        <v>668</v>
      </c>
      <c r="M288" s="3" t="s">
        <v>669</v>
      </c>
      <c r="N288" s="6" t="s">
        <v>670</v>
      </c>
      <c r="O288" s="6" t="s">
        <v>671</v>
      </c>
      <c r="P288" s="3">
        <v>4123.0</v>
      </c>
      <c r="Q288" s="7" t="s">
        <v>60</v>
      </c>
    </row>
    <row r="289">
      <c r="A289" s="19" t="s">
        <v>664</v>
      </c>
      <c r="B289" s="19" t="s">
        <v>665</v>
      </c>
      <c r="C289" s="19" t="s">
        <v>666</v>
      </c>
      <c r="D289" s="19" t="s">
        <v>531</v>
      </c>
      <c r="E289" s="3" t="s">
        <v>684</v>
      </c>
      <c r="F289" s="7" t="s">
        <v>60</v>
      </c>
      <c r="H289" s="19" t="s">
        <v>48</v>
      </c>
      <c r="I289" s="3" t="s">
        <v>49</v>
      </c>
      <c r="J289" s="3">
        <v>1.0</v>
      </c>
      <c r="K289" s="3" t="s">
        <v>668</v>
      </c>
      <c r="L289" s="3" t="s">
        <v>668</v>
      </c>
      <c r="M289" s="3" t="s">
        <v>669</v>
      </c>
      <c r="N289" s="6" t="s">
        <v>670</v>
      </c>
      <c r="O289" s="6" t="s">
        <v>671</v>
      </c>
      <c r="P289" s="3">
        <v>4102.0</v>
      </c>
      <c r="Q289" s="7" t="s">
        <v>60</v>
      </c>
    </row>
    <row r="290">
      <c r="A290" s="19" t="s">
        <v>664</v>
      </c>
      <c r="B290" s="19" t="s">
        <v>665</v>
      </c>
      <c r="C290" s="19" t="s">
        <v>666</v>
      </c>
      <c r="D290" s="19" t="s">
        <v>531</v>
      </c>
      <c r="E290" s="3" t="s">
        <v>685</v>
      </c>
      <c r="F290" s="7" t="s">
        <v>60</v>
      </c>
      <c r="H290" s="19" t="s">
        <v>48</v>
      </c>
      <c r="I290" s="3" t="s">
        <v>49</v>
      </c>
      <c r="J290" s="3">
        <v>1.0</v>
      </c>
      <c r="K290" s="3" t="s">
        <v>668</v>
      </c>
      <c r="L290" s="3" t="s">
        <v>668</v>
      </c>
      <c r="M290" s="3" t="s">
        <v>669</v>
      </c>
      <c r="N290" s="6" t="s">
        <v>670</v>
      </c>
      <c r="O290" s="6" t="s">
        <v>671</v>
      </c>
      <c r="P290" s="3">
        <v>4170.0</v>
      </c>
      <c r="Q290" s="7" t="s">
        <v>60</v>
      </c>
    </row>
    <row r="291">
      <c r="A291" s="19" t="s">
        <v>664</v>
      </c>
      <c r="B291" s="19" t="s">
        <v>665</v>
      </c>
      <c r="C291" s="19" t="s">
        <v>666</v>
      </c>
      <c r="D291" s="19" t="s">
        <v>531</v>
      </c>
      <c r="E291" s="3" t="s">
        <v>686</v>
      </c>
      <c r="F291" s="7" t="s">
        <v>60</v>
      </c>
      <c r="H291" s="19" t="s">
        <v>48</v>
      </c>
      <c r="I291" s="3" t="s">
        <v>49</v>
      </c>
      <c r="J291" s="3">
        <v>1.0</v>
      </c>
      <c r="K291" s="3" t="s">
        <v>668</v>
      </c>
      <c r="L291" s="3" t="s">
        <v>668</v>
      </c>
      <c r="M291" s="3" t="s">
        <v>669</v>
      </c>
      <c r="N291" s="6" t="s">
        <v>670</v>
      </c>
      <c r="O291" s="6" t="s">
        <v>671</v>
      </c>
      <c r="P291" s="3">
        <v>4113.0</v>
      </c>
      <c r="Q291" s="7" t="s">
        <v>60</v>
      </c>
    </row>
    <row r="292">
      <c r="A292" s="19" t="s">
        <v>687</v>
      </c>
      <c r="B292" s="19" t="s">
        <v>688</v>
      </c>
      <c r="C292" s="19" t="s">
        <v>689</v>
      </c>
      <c r="D292" s="19" t="s">
        <v>531</v>
      </c>
      <c r="E292" s="3" t="s">
        <v>690</v>
      </c>
      <c r="F292" s="5">
        <v>45896.0</v>
      </c>
      <c r="G292" s="24" t="s">
        <v>214</v>
      </c>
      <c r="H292" s="19" t="s">
        <v>48</v>
      </c>
      <c r="I292" s="3" t="s">
        <v>49</v>
      </c>
      <c r="J292" s="3">
        <v>5.0</v>
      </c>
      <c r="K292" s="3" t="s">
        <v>691</v>
      </c>
      <c r="L292" s="3" t="s">
        <v>692</v>
      </c>
      <c r="M292" s="3" t="s">
        <v>693</v>
      </c>
      <c r="N292" s="6" t="s">
        <v>694</v>
      </c>
      <c r="O292" s="6" t="s">
        <v>695</v>
      </c>
      <c r="P292" s="3">
        <v>4157.0</v>
      </c>
      <c r="Q292" s="3">
        <v>2.0</v>
      </c>
      <c r="R292" s="3">
        <v>383.9</v>
      </c>
    </row>
    <row r="293">
      <c r="A293" s="19" t="s">
        <v>687</v>
      </c>
      <c r="B293" s="19" t="s">
        <v>688</v>
      </c>
      <c r="C293" s="19" t="s">
        <v>689</v>
      </c>
      <c r="D293" s="19" t="s">
        <v>531</v>
      </c>
      <c r="E293" s="3" t="s">
        <v>696</v>
      </c>
      <c r="F293" s="7" t="s">
        <v>60</v>
      </c>
      <c r="H293" s="19" t="s">
        <v>48</v>
      </c>
      <c r="I293" s="3" t="s">
        <v>49</v>
      </c>
      <c r="J293" s="3">
        <v>1.0</v>
      </c>
      <c r="K293" s="3" t="s">
        <v>692</v>
      </c>
      <c r="L293" s="3" t="s">
        <v>692</v>
      </c>
      <c r="M293" s="3" t="s">
        <v>693</v>
      </c>
      <c r="N293" s="6" t="s">
        <v>694</v>
      </c>
      <c r="O293" s="6" t="s">
        <v>695</v>
      </c>
      <c r="P293" s="3">
        <v>4161.0</v>
      </c>
      <c r="Q293" s="7" t="s">
        <v>60</v>
      </c>
    </row>
    <row r="294">
      <c r="A294" s="19" t="s">
        <v>687</v>
      </c>
      <c r="B294" s="19" t="s">
        <v>688</v>
      </c>
      <c r="C294" s="19" t="s">
        <v>689</v>
      </c>
      <c r="D294" s="19" t="s">
        <v>531</v>
      </c>
      <c r="E294" s="3" t="s">
        <v>697</v>
      </c>
      <c r="F294" s="7" t="s">
        <v>60</v>
      </c>
      <c r="H294" s="19" t="s">
        <v>48</v>
      </c>
      <c r="I294" s="3" t="s">
        <v>49</v>
      </c>
      <c r="J294" s="3">
        <v>1.0</v>
      </c>
      <c r="K294" s="3" t="s">
        <v>692</v>
      </c>
      <c r="L294" s="3" t="s">
        <v>692</v>
      </c>
      <c r="M294" s="3" t="s">
        <v>693</v>
      </c>
      <c r="N294" s="6" t="s">
        <v>694</v>
      </c>
      <c r="O294" s="6" t="s">
        <v>695</v>
      </c>
      <c r="P294" s="3">
        <v>4157.0</v>
      </c>
      <c r="Q294" s="7" t="s">
        <v>60</v>
      </c>
    </row>
    <row r="295">
      <c r="A295" s="19" t="s">
        <v>698</v>
      </c>
      <c r="B295" s="19" t="s">
        <v>699</v>
      </c>
      <c r="C295" s="19" t="s">
        <v>700</v>
      </c>
      <c r="D295" s="19" t="s">
        <v>531</v>
      </c>
      <c r="E295" s="3" t="s">
        <v>701</v>
      </c>
      <c r="F295" s="14">
        <v>45905.0</v>
      </c>
      <c r="G295" s="24" t="s">
        <v>214</v>
      </c>
      <c r="H295" s="19" t="s">
        <v>48</v>
      </c>
      <c r="I295" s="3" t="s">
        <v>49</v>
      </c>
      <c r="J295" s="3">
        <v>1.0</v>
      </c>
      <c r="K295" s="3" t="s">
        <v>702</v>
      </c>
      <c r="L295" s="3" t="s">
        <v>702</v>
      </c>
      <c r="M295" s="3" t="s">
        <v>703</v>
      </c>
      <c r="N295" s="6" t="s">
        <v>704</v>
      </c>
      <c r="O295" s="6" t="s">
        <v>705</v>
      </c>
      <c r="P295" s="3">
        <v>4270.0</v>
      </c>
      <c r="Q295" s="3">
        <v>2.0</v>
      </c>
      <c r="R295" s="3">
        <v>383.9</v>
      </c>
    </row>
    <row r="296">
      <c r="A296" s="19" t="s">
        <v>698</v>
      </c>
      <c r="B296" s="19" t="s">
        <v>699</v>
      </c>
      <c r="C296" s="19" t="s">
        <v>700</v>
      </c>
      <c r="D296" s="19" t="s">
        <v>531</v>
      </c>
      <c r="E296" s="3" t="s">
        <v>706</v>
      </c>
      <c r="F296" s="7" t="s">
        <v>60</v>
      </c>
      <c r="H296" s="19" t="s">
        <v>48</v>
      </c>
      <c r="I296" s="3" t="s">
        <v>49</v>
      </c>
      <c r="J296" s="3">
        <v>1.0</v>
      </c>
      <c r="K296" s="3" t="s">
        <v>702</v>
      </c>
      <c r="L296" s="3" t="s">
        <v>702</v>
      </c>
      <c r="M296" s="3" t="s">
        <v>703</v>
      </c>
      <c r="N296" s="6" t="s">
        <v>704</v>
      </c>
      <c r="O296" s="6" t="s">
        <v>705</v>
      </c>
      <c r="P296" s="3">
        <v>4285.0</v>
      </c>
      <c r="Q296" s="7" t="s">
        <v>60</v>
      </c>
    </row>
    <row r="297">
      <c r="A297" s="19" t="s">
        <v>698</v>
      </c>
      <c r="B297" s="19" t="s">
        <v>699</v>
      </c>
      <c r="C297" s="19" t="s">
        <v>700</v>
      </c>
      <c r="D297" s="19" t="s">
        <v>531</v>
      </c>
      <c r="E297" s="3" t="s">
        <v>707</v>
      </c>
      <c r="F297" s="7" t="s">
        <v>60</v>
      </c>
      <c r="H297" s="19" t="s">
        <v>48</v>
      </c>
      <c r="I297" s="3" t="s">
        <v>49</v>
      </c>
      <c r="J297" s="3">
        <v>1.0</v>
      </c>
      <c r="K297" s="3" t="s">
        <v>702</v>
      </c>
      <c r="L297" s="3" t="s">
        <v>702</v>
      </c>
      <c r="M297" s="3" t="s">
        <v>703</v>
      </c>
      <c r="N297" s="6" t="s">
        <v>704</v>
      </c>
      <c r="O297" s="6" t="s">
        <v>705</v>
      </c>
      <c r="P297" s="3">
        <v>4275.0</v>
      </c>
      <c r="Q297" s="7" t="s">
        <v>60</v>
      </c>
    </row>
    <row r="298">
      <c r="A298" s="19" t="s">
        <v>698</v>
      </c>
      <c r="B298" s="19" t="s">
        <v>699</v>
      </c>
      <c r="C298" s="19" t="s">
        <v>700</v>
      </c>
      <c r="D298" s="19" t="s">
        <v>531</v>
      </c>
      <c r="E298" s="3" t="s">
        <v>708</v>
      </c>
      <c r="F298" s="7" t="s">
        <v>60</v>
      </c>
      <c r="H298" s="19" t="s">
        <v>48</v>
      </c>
      <c r="I298" s="3" t="s">
        <v>49</v>
      </c>
      <c r="J298" s="3">
        <v>1.0</v>
      </c>
      <c r="K298" s="3" t="s">
        <v>702</v>
      </c>
      <c r="L298" s="3" t="s">
        <v>702</v>
      </c>
      <c r="M298" s="3" t="s">
        <v>703</v>
      </c>
      <c r="N298" s="6" t="s">
        <v>704</v>
      </c>
      <c r="O298" s="6" t="s">
        <v>705</v>
      </c>
      <c r="P298" s="3">
        <v>4275.0</v>
      </c>
      <c r="Q298" s="7" t="s">
        <v>60</v>
      </c>
    </row>
    <row r="299">
      <c r="A299" s="19" t="s">
        <v>698</v>
      </c>
      <c r="B299" s="19" t="s">
        <v>699</v>
      </c>
      <c r="C299" s="19" t="s">
        <v>700</v>
      </c>
      <c r="D299" s="19" t="s">
        <v>531</v>
      </c>
      <c r="E299" s="3" t="s">
        <v>709</v>
      </c>
      <c r="F299" s="7" t="s">
        <v>60</v>
      </c>
      <c r="H299" s="19" t="s">
        <v>48</v>
      </c>
      <c r="I299" s="3" t="s">
        <v>49</v>
      </c>
      <c r="J299" s="3">
        <v>1.0</v>
      </c>
      <c r="K299" s="3" t="s">
        <v>702</v>
      </c>
      <c r="L299" s="3" t="s">
        <v>702</v>
      </c>
      <c r="M299" s="3" t="s">
        <v>703</v>
      </c>
      <c r="N299" s="6" t="s">
        <v>704</v>
      </c>
      <c r="O299" s="6" t="s">
        <v>705</v>
      </c>
      <c r="P299" s="3">
        <v>4285.0</v>
      </c>
      <c r="Q299" s="7" t="s">
        <v>60</v>
      </c>
    </row>
    <row r="300">
      <c r="A300" s="19" t="s">
        <v>698</v>
      </c>
      <c r="B300" s="19" t="s">
        <v>699</v>
      </c>
      <c r="C300" s="19" t="s">
        <v>700</v>
      </c>
      <c r="D300" s="19" t="s">
        <v>531</v>
      </c>
      <c r="E300" s="3" t="s">
        <v>710</v>
      </c>
      <c r="F300" s="7" t="s">
        <v>60</v>
      </c>
      <c r="H300" s="19" t="s">
        <v>48</v>
      </c>
      <c r="I300" s="3" t="s">
        <v>49</v>
      </c>
      <c r="J300" s="3">
        <v>1.0</v>
      </c>
      <c r="K300" s="3" t="s">
        <v>702</v>
      </c>
      <c r="L300" s="3" t="s">
        <v>702</v>
      </c>
      <c r="M300" s="3" t="s">
        <v>703</v>
      </c>
      <c r="N300" s="6" t="s">
        <v>704</v>
      </c>
      <c r="O300" s="6" t="s">
        <v>705</v>
      </c>
      <c r="P300" s="3">
        <v>4272.0</v>
      </c>
      <c r="Q300" s="7" t="s">
        <v>60</v>
      </c>
    </row>
    <row r="301">
      <c r="A301" s="19" t="s">
        <v>698</v>
      </c>
      <c r="B301" s="19" t="s">
        <v>699</v>
      </c>
      <c r="C301" s="19" t="s">
        <v>700</v>
      </c>
      <c r="D301" s="19" t="s">
        <v>531</v>
      </c>
      <c r="E301" s="3" t="s">
        <v>711</v>
      </c>
      <c r="F301" s="7" t="s">
        <v>60</v>
      </c>
      <c r="H301" s="19" t="s">
        <v>48</v>
      </c>
      <c r="I301" s="3" t="s">
        <v>49</v>
      </c>
      <c r="J301" s="3">
        <v>1.0</v>
      </c>
      <c r="K301" s="3" t="s">
        <v>702</v>
      </c>
      <c r="L301" s="3" t="s">
        <v>702</v>
      </c>
      <c r="M301" s="3" t="s">
        <v>703</v>
      </c>
      <c r="N301" s="6" t="s">
        <v>704</v>
      </c>
      <c r="O301" s="6" t="s">
        <v>705</v>
      </c>
      <c r="P301" s="3">
        <v>4285.0</v>
      </c>
      <c r="Q301" s="7" t="s">
        <v>60</v>
      </c>
    </row>
    <row r="302">
      <c r="A302" s="19" t="s">
        <v>698</v>
      </c>
      <c r="B302" s="19" t="s">
        <v>699</v>
      </c>
      <c r="C302" s="19" t="s">
        <v>700</v>
      </c>
      <c r="D302" s="19" t="s">
        <v>531</v>
      </c>
      <c r="E302" s="3" t="s">
        <v>712</v>
      </c>
      <c r="F302" s="7" t="s">
        <v>60</v>
      </c>
      <c r="H302" s="19" t="s">
        <v>48</v>
      </c>
      <c r="I302" s="3" t="s">
        <v>49</v>
      </c>
      <c r="J302" s="3">
        <v>1.0</v>
      </c>
      <c r="K302" s="3" t="s">
        <v>702</v>
      </c>
      <c r="L302" s="3" t="s">
        <v>702</v>
      </c>
      <c r="M302" s="3" t="s">
        <v>703</v>
      </c>
      <c r="N302" s="6" t="s">
        <v>704</v>
      </c>
      <c r="O302" s="6" t="s">
        <v>705</v>
      </c>
      <c r="P302" s="3">
        <v>4285.0</v>
      </c>
      <c r="Q302" s="7" t="s">
        <v>60</v>
      </c>
    </row>
    <row r="303">
      <c r="A303" s="19" t="s">
        <v>698</v>
      </c>
      <c r="B303" s="19" t="s">
        <v>699</v>
      </c>
      <c r="C303" s="19" t="s">
        <v>700</v>
      </c>
      <c r="D303" s="19" t="s">
        <v>531</v>
      </c>
      <c r="E303" s="27" t="s">
        <v>713</v>
      </c>
      <c r="F303" s="7" t="s">
        <v>60</v>
      </c>
      <c r="H303" s="19" t="s">
        <v>48</v>
      </c>
      <c r="I303" s="3" t="s">
        <v>49</v>
      </c>
      <c r="J303" s="3">
        <v>1.0</v>
      </c>
      <c r="K303" s="3" t="s">
        <v>702</v>
      </c>
      <c r="L303" s="3" t="s">
        <v>702</v>
      </c>
      <c r="M303" s="3" t="s">
        <v>703</v>
      </c>
      <c r="N303" s="6" t="s">
        <v>704</v>
      </c>
      <c r="O303" s="6" t="s">
        <v>705</v>
      </c>
      <c r="P303" s="3">
        <v>4211.0</v>
      </c>
      <c r="Q303" s="7" t="s">
        <v>60</v>
      </c>
    </row>
    <row r="304">
      <c r="A304" s="19" t="s">
        <v>714</v>
      </c>
      <c r="B304" s="19" t="s">
        <v>715</v>
      </c>
      <c r="C304" s="19" t="s">
        <v>716</v>
      </c>
      <c r="D304" s="19" t="s">
        <v>531</v>
      </c>
      <c r="E304" s="3" t="s">
        <v>717</v>
      </c>
      <c r="F304" s="14">
        <v>45908.0</v>
      </c>
      <c r="G304" s="26" t="s">
        <v>214</v>
      </c>
      <c r="H304" s="19" t="s">
        <v>48</v>
      </c>
      <c r="I304" s="3" t="s">
        <v>49</v>
      </c>
      <c r="J304" s="3">
        <v>1.0</v>
      </c>
      <c r="K304" s="3" t="s">
        <v>718</v>
      </c>
      <c r="L304" s="3" t="s">
        <v>718</v>
      </c>
      <c r="M304" s="3" t="s">
        <v>719</v>
      </c>
      <c r="N304" s="6" t="s">
        <v>720</v>
      </c>
      <c r="O304" s="6" t="s">
        <v>721</v>
      </c>
      <c r="P304" s="3">
        <v>4031.0</v>
      </c>
      <c r="Q304" s="3">
        <v>2.0</v>
      </c>
      <c r="R304" s="3">
        <v>383.9</v>
      </c>
    </row>
    <row r="305">
      <c r="A305" s="19" t="s">
        <v>714</v>
      </c>
      <c r="B305" s="19" t="s">
        <v>715</v>
      </c>
      <c r="C305" s="19" t="s">
        <v>716</v>
      </c>
      <c r="D305" s="19" t="s">
        <v>531</v>
      </c>
      <c r="E305" s="3" t="s">
        <v>302</v>
      </c>
      <c r="F305" s="7" t="s">
        <v>60</v>
      </c>
      <c r="H305" s="19" t="s">
        <v>48</v>
      </c>
      <c r="I305" s="3" t="s">
        <v>49</v>
      </c>
      <c r="J305" s="3">
        <v>1.0</v>
      </c>
      <c r="K305" s="3" t="s">
        <v>718</v>
      </c>
      <c r="L305" s="3" t="s">
        <v>718</v>
      </c>
      <c r="M305" s="3" t="s">
        <v>719</v>
      </c>
      <c r="N305" s="6" t="s">
        <v>720</v>
      </c>
      <c r="O305" s="6" t="s">
        <v>721</v>
      </c>
      <c r="P305" s="3">
        <v>4030.0</v>
      </c>
      <c r="Q305" s="7" t="s">
        <v>60</v>
      </c>
    </row>
    <row r="306">
      <c r="A306" s="19" t="s">
        <v>714</v>
      </c>
      <c r="B306" s="19" t="s">
        <v>715</v>
      </c>
      <c r="C306" s="19" t="s">
        <v>716</v>
      </c>
      <c r="D306" s="19" t="s">
        <v>531</v>
      </c>
      <c r="E306" s="3" t="s">
        <v>722</v>
      </c>
      <c r="F306" s="7" t="s">
        <v>60</v>
      </c>
      <c r="H306" s="19" t="s">
        <v>48</v>
      </c>
      <c r="I306" s="3" t="s">
        <v>49</v>
      </c>
      <c r="J306" s="3">
        <v>1.0</v>
      </c>
      <c r="K306" s="3" t="s">
        <v>718</v>
      </c>
      <c r="L306" s="3" t="s">
        <v>718</v>
      </c>
      <c r="M306" s="3" t="s">
        <v>719</v>
      </c>
      <c r="N306" s="6" t="s">
        <v>720</v>
      </c>
      <c r="O306" s="6" t="s">
        <v>721</v>
      </c>
      <c r="P306" s="3">
        <v>4030.0</v>
      </c>
      <c r="Q306" s="7" t="s">
        <v>60</v>
      </c>
    </row>
    <row r="307">
      <c r="A307" s="19" t="s">
        <v>714</v>
      </c>
      <c r="B307" s="19" t="s">
        <v>715</v>
      </c>
      <c r="C307" s="19" t="s">
        <v>716</v>
      </c>
      <c r="D307" s="19" t="s">
        <v>531</v>
      </c>
      <c r="E307" s="3" t="s">
        <v>723</v>
      </c>
      <c r="F307" s="7" t="s">
        <v>60</v>
      </c>
      <c r="H307" s="19" t="s">
        <v>48</v>
      </c>
      <c r="I307" s="3" t="s">
        <v>49</v>
      </c>
      <c r="J307" s="3">
        <v>1.0</v>
      </c>
      <c r="K307" s="3" t="s">
        <v>718</v>
      </c>
      <c r="L307" s="3" t="s">
        <v>718</v>
      </c>
      <c r="M307" s="3" t="s">
        <v>719</v>
      </c>
      <c r="N307" s="6" t="s">
        <v>720</v>
      </c>
      <c r="O307" s="6" t="s">
        <v>721</v>
      </c>
      <c r="P307" s="3">
        <v>4011.0</v>
      </c>
      <c r="Q307" s="7" t="s">
        <v>60</v>
      </c>
    </row>
    <row r="308">
      <c r="A308" s="19" t="s">
        <v>714</v>
      </c>
      <c r="B308" s="19" t="s">
        <v>715</v>
      </c>
      <c r="C308" s="19" t="s">
        <v>716</v>
      </c>
      <c r="D308" s="19" t="s">
        <v>531</v>
      </c>
      <c r="E308" s="3" t="s">
        <v>724</v>
      </c>
      <c r="F308" s="7" t="s">
        <v>60</v>
      </c>
      <c r="H308" s="19" t="s">
        <v>48</v>
      </c>
      <c r="I308" s="3" t="s">
        <v>49</v>
      </c>
      <c r="J308" s="3">
        <v>1.0</v>
      </c>
      <c r="K308" s="3" t="s">
        <v>718</v>
      </c>
      <c r="L308" s="3" t="s">
        <v>718</v>
      </c>
      <c r="M308" s="3" t="s">
        <v>719</v>
      </c>
      <c r="N308" s="6" t="s">
        <v>720</v>
      </c>
      <c r="O308" s="6" t="s">
        <v>721</v>
      </c>
      <c r="P308" s="3">
        <v>4030.0</v>
      </c>
      <c r="Q308" s="7" t="s">
        <v>60</v>
      </c>
    </row>
    <row r="309">
      <c r="A309" s="19" t="s">
        <v>714</v>
      </c>
      <c r="B309" s="19" t="s">
        <v>715</v>
      </c>
      <c r="C309" s="19" t="s">
        <v>716</v>
      </c>
      <c r="D309" s="19" t="s">
        <v>531</v>
      </c>
      <c r="E309" s="3" t="s">
        <v>725</v>
      </c>
      <c r="F309" s="7" t="s">
        <v>60</v>
      </c>
      <c r="H309" s="19" t="s">
        <v>48</v>
      </c>
      <c r="I309" s="3" t="s">
        <v>49</v>
      </c>
      <c r="J309" s="3">
        <v>1.0</v>
      </c>
      <c r="K309" s="3" t="s">
        <v>718</v>
      </c>
      <c r="L309" s="3" t="s">
        <v>718</v>
      </c>
      <c r="M309" s="3" t="s">
        <v>719</v>
      </c>
      <c r="N309" s="6" t="s">
        <v>720</v>
      </c>
      <c r="O309" s="6" t="s">
        <v>721</v>
      </c>
      <c r="P309" s="3">
        <v>4012.0</v>
      </c>
      <c r="Q309" s="7" t="s">
        <v>60</v>
      </c>
    </row>
    <row r="310">
      <c r="A310" s="19" t="s">
        <v>714</v>
      </c>
      <c r="B310" s="19" t="s">
        <v>715</v>
      </c>
      <c r="C310" s="19" t="s">
        <v>716</v>
      </c>
      <c r="D310" s="19" t="s">
        <v>531</v>
      </c>
      <c r="E310" s="3" t="s">
        <v>726</v>
      </c>
      <c r="F310" s="7" t="s">
        <v>60</v>
      </c>
      <c r="H310" s="19" t="s">
        <v>48</v>
      </c>
      <c r="I310" s="3" t="s">
        <v>49</v>
      </c>
      <c r="J310" s="3">
        <v>1.0</v>
      </c>
      <c r="K310" s="3" t="s">
        <v>718</v>
      </c>
      <c r="L310" s="3" t="s">
        <v>718</v>
      </c>
      <c r="M310" s="3" t="s">
        <v>719</v>
      </c>
      <c r="N310" s="6" t="s">
        <v>720</v>
      </c>
      <c r="O310" s="6" t="s">
        <v>721</v>
      </c>
      <c r="P310" s="3">
        <v>4012.0</v>
      </c>
      <c r="Q310" s="7" t="s">
        <v>60</v>
      </c>
    </row>
    <row r="311">
      <c r="A311" s="19" t="s">
        <v>714</v>
      </c>
      <c r="B311" s="19" t="s">
        <v>715</v>
      </c>
      <c r="C311" s="19" t="s">
        <v>716</v>
      </c>
      <c r="D311" s="19" t="s">
        <v>531</v>
      </c>
      <c r="E311" s="3" t="s">
        <v>727</v>
      </c>
      <c r="F311" s="7" t="s">
        <v>60</v>
      </c>
      <c r="H311" s="19" t="s">
        <v>48</v>
      </c>
      <c r="I311" s="3" t="s">
        <v>49</v>
      </c>
      <c r="J311" s="3">
        <v>1.0</v>
      </c>
      <c r="K311" s="3" t="s">
        <v>718</v>
      </c>
      <c r="L311" s="3" t="s">
        <v>718</v>
      </c>
      <c r="M311" s="3" t="s">
        <v>719</v>
      </c>
      <c r="N311" s="6" t="s">
        <v>720</v>
      </c>
      <c r="O311" s="6" t="s">
        <v>721</v>
      </c>
      <c r="P311" s="3">
        <v>4032.0</v>
      </c>
      <c r="Q311" s="7" t="s">
        <v>60</v>
      </c>
    </row>
    <row r="312">
      <c r="A312" s="19" t="s">
        <v>714</v>
      </c>
      <c r="B312" s="19" t="s">
        <v>715</v>
      </c>
      <c r="C312" s="19" t="s">
        <v>716</v>
      </c>
      <c r="D312" s="19" t="s">
        <v>531</v>
      </c>
      <c r="E312" s="3" t="s">
        <v>728</v>
      </c>
      <c r="F312" s="7" t="s">
        <v>60</v>
      </c>
      <c r="H312" s="19" t="s">
        <v>48</v>
      </c>
      <c r="I312" s="3" t="s">
        <v>49</v>
      </c>
      <c r="J312" s="3">
        <v>1.0</v>
      </c>
      <c r="K312" s="3" t="s">
        <v>718</v>
      </c>
      <c r="L312" s="3" t="s">
        <v>718</v>
      </c>
      <c r="M312" s="3" t="s">
        <v>719</v>
      </c>
      <c r="N312" s="6" t="s">
        <v>720</v>
      </c>
      <c r="O312" s="6" t="s">
        <v>721</v>
      </c>
      <c r="P312" s="3">
        <v>4051.0</v>
      </c>
      <c r="Q312" s="7" t="s">
        <v>60</v>
      </c>
    </row>
    <row r="313">
      <c r="A313" s="19" t="s">
        <v>714</v>
      </c>
      <c r="B313" s="19" t="s">
        <v>715</v>
      </c>
      <c r="C313" s="19" t="s">
        <v>716</v>
      </c>
      <c r="D313" s="19" t="s">
        <v>531</v>
      </c>
      <c r="E313" s="3" t="s">
        <v>729</v>
      </c>
      <c r="F313" s="7" t="s">
        <v>60</v>
      </c>
      <c r="H313" s="19" t="s">
        <v>48</v>
      </c>
      <c r="I313" s="3" t="s">
        <v>49</v>
      </c>
      <c r="J313" s="3">
        <v>1.0</v>
      </c>
      <c r="K313" s="3" t="s">
        <v>718</v>
      </c>
      <c r="L313" s="3" t="s">
        <v>718</v>
      </c>
      <c r="M313" s="3" t="s">
        <v>719</v>
      </c>
      <c r="N313" s="6" t="s">
        <v>720</v>
      </c>
      <c r="O313" s="6" t="s">
        <v>721</v>
      </c>
      <c r="P313" s="3">
        <v>4031.0</v>
      </c>
      <c r="Q313" s="7" t="s">
        <v>60</v>
      </c>
    </row>
    <row r="314">
      <c r="A314" s="19" t="s">
        <v>714</v>
      </c>
      <c r="B314" s="19" t="s">
        <v>715</v>
      </c>
      <c r="C314" s="19" t="s">
        <v>716</v>
      </c>
      <c r="D314" s="19" t="s">
        <v>531</v>
      </c>
      <c r="E314" s="3" t="s">
        <v>730</v>
      </c>
      <c r="F314" s="7" t="s">
        <v>60</v>
      </c>
      <c r="H314" s="19" t="s">
        <v>48</v>
      </c>
      <c r="I314" s="3" t="s">
        <v>49</v>
      </c>
      <c r="J314" s="3">
        <v>1.0</v>
      </c>
      <c r="K314" s="3" t="s">
        <v>718</v>
      </c>
      <c r="L314" s="3" t="s">
        <v>718</v>
      </c>
      <c r="M314" s="3" t="s">
        <v>719</v>
      </c>
      <c r="N314" s="6" t="s">
        <v>720</v>
      </c>
      <c r="O314" s="6" t="s">
        <v>721</v>
      </c>
      <c r="P314" s="3">
        <v>4051.0</v>
      </c>
      <c r="Q314" s="7" t="s">
        <v>60</v>
      </c>
    </row>
    <row r="315">
      <c r="A315" s="19" t="s">
        <v>714</v>
      </c>
      <c r="B315" s="19" t="s">
        <v>715</v>
      </c>
      <c r="C315" s="19" t="s">
        <v>716</v>
      </c>
      <c r="D315" s="19" t="s">
        <v>531</v>
      </c>
      <c r="E315" s="3" t="s">
        <v>731</v>
      </c>
      <c r="F315" s="7" t="s">
        <v>60</v>
      </c>
      <c r="H315" s="19" t="s">
        <v>48</v>
      </c>
      <c r="I315" s="3" t="s">
        <v>49</v>
      </c>
      <c r="J315" s="3">
        <v>1.0</v>
      </c>
      <c r="K315" s="3" t="s">
        <v>718</v>
      </c>
      <c r="L315" s="3" t="s">
        <v>718</v>
      </c>
      <c r="M315" s="3" t="s">
        <v>719</v>
      </c>
      <c r="N315" s="6" t="s">
        <v>720</v>
      </c>
      <c r="O315" s="6" t="s">
        <v>721</v>
      </c>
      <c r="P315" s="3">
        <v>4030.0</v>
      </c>
      <c r="Q315" s="7" t="s">
        <v>60</v>
      </c>
    </row>
    <row r="316">
      <c r="A316" s="19" t="s">
        <v>714</v>
      </c>
      <c r="B316" s="19" t="s">
        <v>715</v>
      </c>
      <c r="C316" s="19" t="s">
        <v>716</v>
      </c>
      <c r="D316" s="19" t="s">
        <v>531</v>
      </c>
      <c r="E316" s="3" t="s">
        <v>732</v>
      </c>
      <c r="F316" s="7" t="s">
        <v>60</v>
      </c>
      <c r="H316" s="19" t="s">
        <v>48</v>
      </c>
      <c r="I316" s="3" t="s">
        <v>49</v>
      </c>
      <c r="J316" s="3">
        <v>1.0</v>
      </c>
      <c r="K316" s="3" t="s">
        <v>718</v>
      </c>
      <c r="L316" s="3" t="s">
        <v>718</v>
      </c>
      <c r="M316" s="3" t="s">
        <v>719</v>
      </c>
      <c r="N316" s="6" t="s">
        <v>720</v>
      </c>
      <c r="O316" s="6" t="s">
        <v>721</v>
      </c>
      <c r="P316" s="3">
        <v>4034.0</v>
      </c>
      <c r="Q316" s="7" t="s">
        <v>60</v>
      </c>
    </row>
    <row r="317">
      <c r="A317" s="17" t="s">
        <v>733</v>
      </c>
      <c r="B317" s="19" t="s">
        <v>734</v>
      </c>
      <c r="C317" s="19" t="s">
        <v>735</v>
      </c>
      <c r="D317" s="19" t="s">
        <v>531</v>
      </c>
      <c r="E317" s="3" t="s">
        <v>736</v>
      </c>
      <c r="F317" s="14">
        <v>45909.0</v>
      </c>
      <c r="G317" s="24" t="s">
        <v>214</v>
      </c>
      <c r="H317" s="19" t="s">
        <v>48</v>
      </c>
      <c r="I317" s="19" t="s">
        <v>49</v>
      </c>
      <c r="J317" s="19">
        <v>4.0</v>
      </c>
      <c r="K317" s="19" t="s">
        <v>737</v>
      </c>
      <c r="L317" s="19" t="s">
        <v>738</v>
      </c>
      <c r="M317" s="19" t="s">
        <v>669</v>
      </c>
      <c r="N317" s="37" t="s">
        <v>739</v>
      </c>
      <c r="O317" s="37" t="s">
        <v>740</v>
      </c>
      <c r="P317" s="3">
        <v>4164.0</v>
      </c>
      <c r="Q317" s="3">
        <v>2.0</v>
      </c>
      <c r="R317" s="3">
        <v>383.9</v>
      </c>
    </row>
    <row r="318">
      <c r="A318" s="17" t="s">
        <v>733</v>
      </c>
      <c r="B318" s="19" t="s">
        <v>734</v>
      </c>
      <c r="C318" s="17" t="s">
        <v>735</v>
      </c>
      <c r="D318" s="17" t="s">
        <v>531</v>
      </c>
      <c r="E318" s="3" t="s">
        <v>741</v>
      </c>
      <c r="F318" s="7" t="s">
        <v>60</v>
      </c>
      <c r="H318" s="17" t="s">
        <v>48</v>
      </c>
      <c r="I318" s="19" t="s">
        <v>49</v>
      </c>
      <c r="J318" s="19">
        <v>4.0</v>
      </c>
      <c r="K318" s="19" t="s">
        <v>737</v>
      </c>
      <c r="L318" s="19" t="s">
        <v>738</v>
      </c>
      <c r="M318" s="19" t="s">
        <v>669</v>
      </c>
      <c r="N318" s="37" t="s">
        <v>739</v>
      </c>
      <c r="O318" s="37" t="s">
        <v>740</v>
      </c>
      <c r="P318" s="19">
        <v>4165.0</v>
      </c>
      <c r="Q318" s="7" t="s">
        <v>60</v>
      </c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</row>
    <row r="319">
      <c r="A319" s="17" t="s">
        <v>733</v>
      </c>
      <c r="B319" s="19" t="s">
        <v>734</v>
      </c>
      <c r="C319" s="17" t="s">
        <v>735</v>
      </c>
      <c r="D319" s="17" t="s">
        <v>531</v>
      </c>
      <c r="E319" s="3" t="s">
        <v>742</v>
      </c>
      <c r="F319" s="7" t="s">
        <v>60</v>
      </c>
      <c r="H319" s="17" t="s">
        <v>48</v>
      </c>
      <c r="I319" s="19" t="s">
        <v>49</v>
      </c>
      <c r="J319" s="19">
        <v>4.0</v>
      </c>
      <c r="K319" s="19" t="s">
        <v>737</v>
      </c>
      <c r="L319" s="19" t="s">
        <v>738</v>
      </c>
      <c r="M319" s="19" t="s">
        <v>669</v>
      </c>
      <c r="N319" s="37" t="s">
        <v>739</v>
      </c>
      <c r="O319" s="37" t="s">
        <v>740</v>
      </c>
      <c r="P319" s="19">
        <v>4165.0</v>
      </c>
      <c r="Q319" s="7" t="s">
        <v>60</v>
      </c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</row>
    <row r="320">
      <c r="A320" s="19" t="s">
        <v>743</v>
      </c>
      <c r="B320" s="19" t="s">
        <v>744</v>
      </c>
      <c r="C320" s="19" t="s">
        <v>745</v>
      </c>
      <c r="D320" s="19" t="s">
        <v>531</v>
      </c>
      <c r="E320" s="3" t="s">
        <v>746</v>
      </c>
      <c r="F320" s="5">
        <v>45926.0</v>
      </c>
      <c r="G320" s="24" t="s">
        <v>214</v>
      </c>
      <c r="H320" s="19" t="s">
        <v>48</v>
      </c>
      <c r="I320" s="3" t="s">
        <v>49</v>
      </c>
      <c r="J320" s="3">
        <v>2.0</v>
      </c>
      <c r="K320" s="3" t="s">
        <v>747</v>
      </c>
      <c r="L320" s="3" t="s">
        <v>748</v>
      </c>
      <c r="M320" s="3" t="s">
        <v>749</v>
      </c>
      <c r="N320" s="6" t="s">
        <v>750</v>
      </c>
      <c r="O320" s="6" t="s">
        <v>751</v>
      </c>
      <c r="P320" s="3">
        <v>4508.0</v>
      </c>
      <c r="Q320" s="19">
        <v>2.0</v>
      </c>
      <c r="R320" s="3">
        <v>383.9</v>
      </c>
    </row>
    <row r="321">
      <c r="A321" s="19" t="s">
        <v>752</v>
      </c>
      <c r="B321" s="19" t="s">
        <v>753</v>
      </c>
      <c r="C321" s="19" t="s">
        <v>754</v>
      </c>
      <c r="D321" s="19" t="s">
        <v>531</v>
      </c>
      <c r="E321" s="3" t="s">
        <v>755</v>
      </c>
      <c r="F321" s="14">
        <v>45939.0</v>
      </c>
      <c r="G321" s="24" t="s">
        <v>214</v>
      </c>
      <c r="H321" s="19" t="s">
        <v>48</v>
      </c>
      <c r="I321" s="3" t="s">
        <v>49</v>
      </c>
      <c r="J321" s="3">
        <v>9.0</v>
      </c>
      <c r="K321" s="3" t="s">
        <v>756</v>
      </c>
      <c r="L321" s="3" t="s">
        <v>757</v>
      </c>
      <c r="M321" s="3" t="s">
        <v>758</v>
      </c>
      <c r="N321" s="6" t="s">
        <v>759</v>
      </c>
      <c r="O321" s="6" t="s">
        <v>760</v>
      </c>
      <c r="P321" s="3">
        <v>4034.0</v>
      </c>
      <c r="Q321" s="3">
        <v>2.0</v>
      </c>
      <c r="R321" s="3">
        <v>383.9</v>
      </c>
    </row>
    <row r="322">
      <c r="A322" s="19" t="s">
        <v>752</v>
      </c>
      <c r="B322" s="19" t="s">
        <v>753</v>
      </c>
      <c r="C322" s="19" t="s">
        <v>754</v>
      </c>
      <c r="D322" s="19" t="s">
        <v>531</v>
      </c>
      <c r="E322" s="3" t="s">
        <v>761</v>
      </c>
      <c r="F322" s="7" t="s">
        <v>60</v>
      </c>
      <c r="H322" s="19" t="s">
        <v>48</v>
      </c>
      <c r="I322" s="3" t="s">
        <v>49</v>
      </c>
      <c r="J322" s="3">
        <v>2.0</v>
      </c>
      <c r="K322" s="3" t="s">
        <v>288</v>
      </c>
      <c r="L322" s="3" t="s">
        <v>757</v>
      </c>
      <c r="M322" s="3" t="s">
        <v>758</v>
      </c>
      <c r="N322" s="6" t="s">
        <v>759</v>
      </c>
      <c r="O322" s="6" t="s">
        <v>760</v>
      </c>
      <c r="P322" s="3">
        <v>4018.0</v>
      </c>
      <c r="Q322" s="7" t="s">
        <v>60</v>
      </c>
    </row>
    <row r="323">
      <c r="A323" s="19" t="s">
        <v>752</v>
      </c>
      <c r="B323" s="19" t="s">
        <v>753</v>
      </c>
      <c r="C323" s="19" t="s">
        <v>754</v>
      </c>
      <c r="D323" s="19" t="s">
        <v>531</v>
      </c>
      <c r="E323" s="3" t="s">
        <v>762</v>
      </c>
      <c r="F323" s="7" t="s">
        <v>60</v>
      </c>
      <c r="H323" s="19" t="s">
        <v>48</v>
      </c>
      <c r="I323" s="3" t="s">
        <v>49</v>
      </c>
      <c r="J323" s="3">
        <v>2.0</v>
      </c>
      <c r="K323" s="3" t="s">
        <v>288</v>
      </c>
      <c r="L323" s="3" t="s">
        <v>757</v>
      </c>
      <c r="M323" s="3" t="s">
        <v>758</v>
      </c>
      <c r="N323" s="6" t="s">
        <v>759</v>
      </c>
      <c r="O323" s="6" t="s">
        <v>760</v>
      </c>
      <c r="P323" s="3">
        <v>4014.0</v>
      </c>
      <c r="Q323" s="7" t="s">
        <v>60</v>
      </c>
    </row>
    <row r="324">
      <c r="A324" s="19" t="s">
        <v>752</v>
      </c>
      <c r="B324" s="19" t="s">
        <v>753</v>
      </c>
      <c r="C324" s="19" t="s">
        <v>754</v>
      </c>
      <c r="D324" s="19" t="s">
        <v>531</v>
      </c>
      <c r="E324" s="3" t="s">
        <v>763</v>
      </c>
      <c r="F324" s="7" t="s">
        <v>60</v>
      </c>
      <c r="H324" s="19" t="s">
        <v>48</v>
      </c>
      <c r="I324" s="3" t="s">
        <v>49</v>
      </c>
      <c r="J324" s="3">
        <v>2.0</v>
      </c>
      <c r="K324" s="3" t="s">
        <v>288</v>
      </c>
      <c r="L324" s="3" t="s">
        <v>757</v>
      </c>
      <c r="M324" s="3" t="s">
        <v>758</v>
      </c>
      <c r="N324" s="6" t="s">
        <v>759</v>
      </c>
      <c r="O324" s="6" t="s">
        <v>760</v>
      </c>
      <c r="P324" s="3">
        <v>4018.0</v>
      </c>
      <c r="Q324" s="7" t="s">
        <v>60</v>
      </c>
    </row>
    <row r="325">
      <c r="A325" s="19" t="s">
        <v>752</v>
      </c>
      <c r="B325" s="19" t="s">
        <v>753</v>
      </c>
      <c r="C325" s="19" t="s">
        <v>754</v>
      </c>
      <c r="D325" s="19" t="s">
        <v>531</v>
      </c>
      <c r="E325" s="3" t="s">
        <v>764</v>
      </c>
      <c r="F325" s="7" t="s">
        <v>60</v>
      </c>
      <c r="H325" s="19" t="s">
        <v>48</v>
      </c>
      <c r="I325" s="3" t="s">
        <v>49</v>
      </c>
      <c r="J325" s="3">
        <v>2.0</v>
      </c>
      <c r="K325" s="3" t="s">
        <v>288</v>
      </c>
      <c r="L325" s="3" t="s">
        <v>757</v>
      </c>
      <c r="M325" s="3" t="s">
        <v>758</v>
      </c>
      <c r="N325" s="6" t="s">
        <v>759</v>
      </c>
      <c r="O325" s="6" t="s">
        <v>760</v>
      </c>
      <c r="P325" s="3">
        <v>4017.0</v>
      </c>
      <c r="Q325" s="7" t="s">
        <v>60</v>
      </c>
    </row>
    <row r="326">
      <c r="A326" s="19" t="s">
        <v>752</v>
      </c>
      <c r="B326" s="19" t="s">
        <v>753</v>
      </c>
      <c r="C326" s="19" t="s">
        <v>754</v>
      </c>
      <c r="D326" s="19" t="s">
        <v>531</v>
      </c>
      <c r="E326" s="3" t="s">
        <v>765</v>
      </c>
      <c r="F326" s="7" t="s">
        <v>60</v>
      </c>
      <c r="H326" s="19" t="s">
        <v>48</v>
      </c>
      <c r="I326" s="3" t="s">
        <v>49</v>
      </c>
      <c r="J326" s="3">
        <v>2.0</v>
      </c>
      <c r="K326" s="3" t="s">
        <v>288</v>
      </c>
      <c r="L326" s="3" t="s">
        <v>757</v>
      </c>
      <c r="M326" s="3" t="s">
        <v>758</v>
      </c>
      <c r="N326" s="6" t="s">
        <v>759</v>
      </c>
      <c r="O326" s="6" t="s">
        <v>760</v>
      </c>
      <c r="P326" s="3">
        <v>4036.0</v>
      </c>
      <c r="Q326" s="7" t="s">
        <v>60</v>
      </c>
    </row>
    <row r="327">
      <c r="A327" s="19" t="s">
        <v>752</v>
      </c>
      <c r="B327" s="19" t="s">
        <v>753</v>
      </c>
      <c r="C327" s="19" t="s">
        <v>754</v>
      </c>
      <c r="D327" s="19" t="s">
        <v>531</v>
      </c>
      <c r="E327" s="3" t="s">
        <v>464</v>
      </c>
      <c r="F327" s="7" t="s">
        <v>60</v>
      </c>
      <c r="H327" s="19" t="s">
        <v>48</v>
      </c>
      <c r="I327" s="3" t="s">
        <v>49</v>
      </c>
      <c r="J327" s="3">
        <v>2.0</v>
      </c>
      <c r="K327" s="3" t="s">
        <v>288</v>
      </c>
      <c r="L327" s="3" t="s">
        <v>757</v>
      </c>
      <c r="M327" s="3" t="s">
        <v>758</v>
      </c>
      <c r="N327" s="6" t="s">
        <v>759</v>
      </c>
      <c r="O327" s="6" t="s">
        <v>760</v>
      </c>
      <c r="P327" s="3">
        <v>4013.0</v>
      </c>
      <c r="Q327" s="7" t="s">
        <v>60</v>
      </c>
    </row>
    <row r="328">
      <c r="A328" s="19" t="s">
        <v>752</v>
      </c>
      <c r="B328" s="19" t="s">
        <v>753</v>
      </c>
      <c r="C328" s="19" t="s">
        <v>754</v>
      </c>
      <c r="D328" s="19" t="s">
        <v>531</v>
      </c>
      <c r="E328" s="3" t="s">
        <v>766</v>
      </c>
      <c r="F328" s="7" t="s">
        <v>60</v>
      </c>
      <c r="H328" s="19" t="s">
        <v>48</v>
      </c>
      <c r="I328" s="3" t="s">
        <v>49</v>
      </c>
      <c r="J328" s="3">
        <v>2.0</v>
      </c>
      <c r="K328" s="3" t="s">
        <v>288</v>
      </c>
      <c r="L328" s="3" t="s">
        <v>757</v>
      </c>
      <c r="M328" s="3" t="s">
        <v>758</v>
      </c>
      <c r="N328" s="6" t="s">
        <v>759</v>
      </c>
      <c r="O328" s="6" t="s">
        <v>760</v>
      </c>
      <c r="P328" s="3">
        <v>4034.0</v>
      </c>
      <c r="Q328" s="7" t="s">
        <v>60</v>
      </c>
    </row>
    <row r="329">
      <c r="A329" s="19" t="s">
        <v>752</v>
      </c>
      <c r="B329" s="19" t="s">
        <v>753</v>
      </c>
      <c r="C329" s="19" t="s">
        <v>754</v>
      </c>
      <c r="D329" s="19" t="s">
        <v>531</v>
      </c>
      <c r="E329" s="3" t="s">
        <v>767</v>
      </c>
      <c r="F329" s="7" t="s">
        <v>60</v>
      </c>
      <c r="H329" s="19" t="s">
        <v>48</v>
      </c>
      <c r="I329" s="3" t="s">
        <v>49</v>
      </c>
      <c r="J329" s="3">
        <v>2.0</v>
      </c>
      <c r="K329" s="3" t="s">
        <v>288</v>
      </c>
      <c r="L329" s="3" t="s">
        <v>757</v>
      </c>
      <c r="M329" s="3" t="s">
        <v>758</v>
      </c>
      <c r="N329" s="6" t="s">
        <v>759</v>
      </c>
      <c r="O329" s="6" t="s">
        <v>760</v>
      </c>
      <c r="P329" s="3">
        <v>4035.0</v>
      </c>
      <c r="Q329" s="7" t="s">
        <v>60</v>
      </c>
    </row>
    <row r="330">
      <c r="A330" s="19" t="s">
        <v>752</v>
      </c>
      <c r="B330" s="19" t="s">
        <v>753</v>
      </c>
      <c r="C330" s="19" t="s">
        <v>754</v>
      </c>
      <c r="D330" s="19" t="s">
        <v>531</v>
      </c>
      <c r="E330" s="3" t="s">
        <v>768</v>
      </c>
      <c r="F330" s="7" t="s">
        <v>60</v>
      </c>
      <c r="H330" s="19" t="s">
        <v>48</v>
      </c>
      <c r="I330" s="3" t="s">
        <v>49</v>
      </c>
      <c r="J330" s="3">
        <v>2.0</v>
      </c>
      <c r="K330" s="3" t="s">
        <v>288</v>
      </c>
      <c r="L330" s="3" t="s">
        <v>757</v>
      </c>
      <c r="M330" s="3" t="s">
        <v>758</v>
      </c>
      <c r="N330" s="6" t="s">
        <v>759</v>
      </c>
      <c r="O330" s="6" t="s">
        <v>760</v>
      </c>
      <c r="P330" s="3">
        <v>4034.0</v>
      </c>
      <c r="Q330" s="7" t="s">
        <v>60</v>
      </c>
    </row>
    <row r="331">
      <c r="A331" s="3" t="s">
        <v>769</v>
      </c>
      <c r="B331" s="3" t="s">
        <v>770</v>
      </c>
      <c r="C331" s="3" t="s">
        <v>771</v>
      </c>
      <c r="D331" s="3" t="s">
        <v>531</v>
      </c>
      <c r="E331" s="3" t="s">
        <v>772</v>
      </c>
      <c r="F331" s="5">
        <v>45947.0</v>
      </c>
      <c r="G331" s="24" t="s">
        <v>214</v>
      </c>
      <c r="H331" s="19" t="s">
        <v>48</v>
      </c>
      <c r="I331" s="3" t="s">
        <v>49</v>
      </c>
      <c r="J331" s="3">
        <v>6.0</v>
      </c>
      <c r="K331" s="3" t="s">
        <v>773</v>
      </c>
      <c r="L331" s="3" t="s">
        <v>747</v>
      </c>
      <c r="M331" s="3" t="s">
        <v>774</v>
      </c>
      <c r="N331" s="6" t="s">
        <v>775</v>
      </c>
      <c r="O331" s="6" t="s">
        <v>776</v>
      </c>
      <c r="P331" s="38">
        <v>4159.0</v>
      </c>
      <c r="Q331" s="3">
        <v>2.0</v>
      </c>
      <c r="R331" s="3">
        <v>383.9</v>
      </c>
    </row>
    <row r="332">
      <c r="A332" s="3" t="s">
        <v>769</v>
      </c>
      <c r="B332" s="3" t="s">
        <v>770</v>
      </c>
      <c r="C332" s="3" t="s">
        <v>771</v>
      </c>
      <c r="D332" s="3" t="s">
        <v>531</v>
      </c>
      <c r="E332" s="3" t="s">
        <v>777</v>
      </c>
      <c r="F332" s="7" t="s">
        <v>60</v>
      </c>
      <c r="H332" s="19" t="s">
        <v>48</v>
      </c>
      <c r="I332" s="3" t="s">
        <v>49</v>
      </c>
      <c r="J332" s="3">
        <v>6.0</v>
      </c>
      <c r="K332" s="3" t="s">
        <v>773</v>
      </c>
      <c r="L332" s="3" t="s">
        <v>747</v>
      </c>
      <c r="M332" s="3" t="s">
        <v>774</v>
      </c>
      <c r="N332" s="6" t="s">
        <v>775</v>
      </c>
      <c r="O332" s="6" t="s">
        <v>776</v>
      </c>
      <c r="P332" s="3">
        <v>4158.0</v>
      </c>
      <c r="Q332" s="7" t="s">
        <v>60</v>
      </c>
    </row>
    <row r="333">
      <c r="A333" s="3" t="s">
        <v>769</v>
      </c>
      <c r="B333" s="3" t="s">
        <v>770</v>
      </c>
      <c r="C333" s="3" t="s">
        <v>771</v>
      </c>
      <c r="D333" s="3" t="s">
        <v>531</v>
      </c>
      <c r="E333" s="3" t="s">
        <v>778</v>
      </c>
      <c r="F333" s="7" t="s">
        <v>60</v>
      </c>
      <c r="H333" s="19" t="s">
        <v>48</v>
      </c>
      <c r="I333" s="3" t="s">
        <v>49</v>
      </c>
      <c r="J333" s="3">
        <v>6.0</v>
      </c>
      <c r="K333" s="3" t="s">
        <v>773</v>
      </c>
      <c r="L333" s="3" t="s">
        <v>747</v>
      </c>
      <c r="M333" s="3" t="s">
        <v>774</v>
      </c>
      <c r="N333" s="6" t="s">
        <v>775</v>
      </c>
      <c r="O333" s="6" t="s">
        <v>776</v>
      </c>
      <c r="P333" s="3">
        <v>4160.0</v>
      </c>
      <c r="Q333" s="7" t="s">
        <v>60</v>
      </c>
    </row>
    <row r="334">
      <c r="A334" s="3" t="s">
        <v>769</v>
      </c>
      <c r="B334" s="3" t="s">
        <v>770</v>
      </c>
      <c r="C334" s="3" t="s">
        <v>771</v>
      </c>
      <c r="D334" s="3" t="s">
        <v>531</v>
      </c>
      <c r="E334" s="3" t="s">
        <v>779</v>
      </c>
      <c r="F334" s="7" t="s">
        <v>60</v>
      </c>
      <c r="H334" s="19" t="s">
        <v>48</v>
      </c>
      <c r="I334" s="3" t="s">
        <v>49</v>
      </c>
      <c r="J334" s="3">
        <v>6.0</v>
      </c>
      <c r="K334" s="3" t="s">
        <v>773</v>
      </c>
      <c r="L334" s="3" t="s">
        <v>747</v>
      </c>
      <c r="M334" s="3" t="s">
        <v>774</v>
      </c>
      <c r="N334" s="6" t="s">
        <v>775</v>
      </c>
      <c r="O334" s="6" t="s">
        <v>776</v>
      </c>
      <c r="P334" s="3">
        <v>4163.0</v>
      </c>
      <c r="Q334" s="7" t="s">
        <v>60</v>
      </c>
    </row>
    <row r="335">
      <c r="A335" s="3" t="s">
        <v>769</v>
      </c>
      <c r="B335" s="3" t="s">
        <v>770</v>
      </c>
      <c r="C335" s="3" t="s">
        <v>771</v>
      </c>
      <c r="D335" s="3" t="s">
        <v>531</v>
      </c>
      <c r="E335" s="3" t="s">
        <v>780</v>
      </c>
      <c r="F335" s="7" t="s">
        <v>60</v>
      </c>
      <c r="H335" s="19" t="s">
        <v>48</v>
      </c>
      <c r="I335" s="3" t="s">
        <v>49</v>
      </c>
      <c r="J335" s="3">
        <v>6.0</v>
      </c>
      <c r="K335" s="3" t="s">
        <v>773</v>
      </c>
      <c r="L335" s="3" t="s">
        <v>747</v>
      </c>
      <c r="M335" s="3" t="s">
        <v>774</v>
      </c>
      <c r="N335" s="6" t="s">
        <v>775</v>
      </c>
      <c r="O335" s="6" t="s">
        <v>776</v>
      </c>
      <c r="P335" s="3">
        <v>4179.0</v>
      </c>
      <c r="Q335" s="7" t="s">
        <v>60</v>
      </c>
    </row>
    <row r="336">
      <c r="A336" s="3" t="s">
        <v>769</v>
      </c>
      <c r="B336" s="3" t="s">
        <v>770</v>
      </c>
      <c r="C336" s="3" t="s">
        <v>771</v>
      </c>
      <c r="D336" s="3" t="s">
        <v>531</v>
      </c>
      <c r="E336" s="3" t="s">
        <v>781</v>
      </c>
      <c r="F336" s="7" t="s">
        <v>60</v>
      </c>
      <c r="H336" s="19" t="s">
        <v>48</v>
      </c>
      <c r="I336" s="3" t="s">
        <v>49</v>
      </c>
      <c r="J336" s="3">
        <v>6.0</v>
      </c>
      <c r="K336" s="3" t="s">
        <v>773</v>
      </c>
      <c r="L336" s="3" t="s">
        <v>747</v>
      </c>
      <c r="M336" s="3" t="s">
        <v>774</v>
      </c>
      <c r="N336" s="6" t="s">
        <v>775</v>
      </c>
      <c r="O336" s="6" t="s">
        <v>776</v>
      </c>
      <c r="P336" s="3">
        <v>4179.0</v>
      </c>
      <c r="Q336" s="7" t="s">
        <v>60</v>
      </c>
    </row>
    <row r="337">
      <c r="A337" s="3" t="s">
        <v>769</v>
      </c>
      <c r="B337" s="3" t="s">
        <v>770</v>
      </c>
      <c r="C337" s="3" t="s">
        <v>771</v>
      </c>
      <c r="D337" s="3" t="s">
        <v>531</v>
      </c>
      <c r="E337" s="3" t="s">
        <v>782</v>
      </c>
      <c r="F337" s="7" t="s">
        <v>60</v>
      </c>
      <c r="H337" s="19" t="s">
        <v>48</v>
      </c>
      <c r="I337" s="3" t="s">
        <v>49</v>
      </c>
      <c r="J337" s="3">
        <v>2.0</v>
      </c>
      <c r="K337" s="3" t="s">
        <v>442</v>
      </c>
      <c r="L337" s="3" t="s">
        <v>747</v>
      </c>
      <c r="M337" s="3" t="s">
        <v>774</v>
      </c>
      <c r="N337" s="6" t="s">
        <v>775</v>
      </c>
      <c r="O337" s="6" t="s">
        <v>776</v>
      </c>
      <c r="P337" s="3">
        <v>4178.0</v>
      </c>
      <c r="Q337" s="7" t="s">
        <v>60</v>
      </c>
    </row>
    <row r="338">
      <c r="A338" s="3" t="s">
        <v>769</v>
      </c>
      <c r="B338" s="3" t="s">
        <v>770</v>
      </c>
      <c r="C338" s="3" t="s">
        <v>771</v>
      </c>
      <c r="D338" s="3" t="s">
        <v>531</v>
      </c>
      <c r="E338" s="3" t="s">
        <v>783</v>
      </c>
      <c r="F338" s="7" t="s">
        <v>60</v>
      </c>
      <c r="H338" s="19" t="s">
        <v>48</v>
      </c>
      <c r="I338" s="3" t="s">
        <v>49</v>
      </c>
      <c r="J338" s="3">
        <v>2.0</v>
      </c>
      <c r="K338" s="3" t="s">
        <v>442</v>
      </c>
      <c r="L338" s="3" t="s">
        <v>747</v>
      </c>
      <c r="M338" s="3" t="s">
        <v>774</v>
      </c>
      <c r="N338" s="6" t="s">
        <v>775</v>
      </c>
      <c r="O338" s="6" t="s">
        <v>776</v>
      </c>
      <c r="P338" s="3">
        <v>4178.0</v>
      </c>
      <c r="Q338" s="7" t="s">
        <v>60</v>
      </c>
    </row>
    <row r="339">
      <c r="A339" s="3" t="s">
        <v>769</v>
      </c>
      <c r="B339" s="3" t="s">
        <v>770</v>
      </c>
      <c r="C339" s="3" t="s">
        <v>771</v>
      </c>
      <c r="D339" s="3" t="s">
        <v>531</v>
      </c>
      <c r="E339" s="3" t="s">
        <v>784</v>
      </c>
      <c r="F339" s="7" t="s">
        <v>60</v>
      </c>
      <c r="H339" s="19" t="s">
        <v>48</v>
      </c>
      <c r="I339" s="3" t="s">
        <v>49</v>
      </c>
      <c r="J339" s="3">
        <v>2.0</v>
      </c>
      <c r="K339" s="3" t="s">
        <v>442</v>
      </c>
      <c r="L339" s="3" t="s">
        <v>747</v>
      </c>
      <c r="M339" s="3" t="s">
        <v>774</v>
      </c>
      <c r="N339" s="6" t="s">
        <v>775</v>
      </c>
      <c r="O339" s="6" t="s">
        <v>776</v>
      </c>
      <c r="P339" s="3">
        <v>4160.0</v>
      </c>
      <c r="Q339" s="7" t="s">
        <v>60</v>
      </c>
    </row>
    <row r="340">
      <c r="A340" s="3" t="s">
        <v>785</v>
      </c>
      <c r="B340" s="3" t="s">
        <v>786</v>
      </c>
      <c r="C340" s="19" t="s">
        <v>787</v>
      </c>
      <c r="D340" s="19" t="s">
        <v>531</v>
      </c>
      <c r="E340" s="3" t="s">
        <v>788</v>
      </c>
      <c r="F340" s="5">
        <v>45972.0</v>
      </c>
      <c r="G340" s="24" t="s">
        <v>214</v>
      </c>
      <c r="H340" s="19" t="s">
        <v>48</v>
      </c>
      <c r="I340" s="3" t="s">
        <v>49</v>
      </c>
      <c r="J340" s="3">
        <v>7.0</v>
      </c>
      <c r="K340" s="3" t="s">
        <v>789</v>
      </c>
      <c r="L340" s="3" t="s">
        <v>790</v>
      </c>
      <c r="M340" s="3" t="s">
        <v>791</v>
      </c>
      <c r="N340" s="6" t="s">
        <v>792</v>
      </c>
      <c r="O340" s="6" t="s">
        <v>793</v>
      </c>
      <c r="P340" s="3">
        <v>4506.0</v>
      </c>
      <c r="Q340" s="3">
        <v>2.0</v>
      </c>
      <c r="R340" s="3">
        <v>383.9</v>
      </c>
    </row>
    <row r="341">
      <c r="A341" s="3" t="s">
        <v>785</v>
      </c>
      <c r="B341" s="3" t="s">
        <v>786</v>
      </c>
      <c r="C341" s="19" t="s">
        <v>787</v>
      </c>
      <c r="D341" s="19" t="s">
        <v>531</v>
      </c>
      <c r="E341" s="3" t="s">
        <v>794</v>
      </c>
      <c r="F341" s="7" t="s">
        <v>60</v>
      </c>
      <c r="H341" s="19" t="s">
        <v>48</v>
      </c>
      <c r="I341" s="3" t="s">
        <v>49</v>
      </c>
      <c r="J341" s="3">
        <v>17.0</v>
      </c>
      <c r="K341" s="3" t="s">
        <v>795</v>
      </c>
      <c r="L341" s="3" t="s">
        <v>790</v>
      </c>
      <c r="M341" s="3" t="s">
        <v>791</v>
      </c>
      <c r="N341" s="6" t="s">
        <v>792</v>
      </c>
      <c r="O341" s="6" t="s">
        <v>793</v>
      </c>
      <c r="P341" s="3">
        <v>4505.0</v>
      </c>
      <c r="Q341" s="7" t="s">
        <v>60</v>
      </c>
    </row>
    <row r="342">
      <c r="A342" s="3" t="s">
        <v>785</v>
      </c>
      <c r="B342" s="3" t="s">
        <v>786</v>
      </c>
      <c r="C342" s="19" t="s">
        <v>787</v>
      </c>
      <c r="D342" s="19" t="s">
        <v>531</v>
      </c>
      <c r="E342" s="3" t="s">
        <v>796</v>
      </c>
      <c r="F342" s="7" t="s">
        <v>60</v>
      </c>
      <c r="H342" s="19" t="s">
        <v>48</v>
      </c>
      <c r="I342" s="3" t="s">
        <v>49</v>
      </c>
      <c r="J342" s="3">
        <v>6.0</v>
      </c>
      <c r="K342" s="3" t="s">
        <v>261</v>
      </c>
      <c r="L342" s="3" t="s">
        <v>790</v>
      </c>
      <c r="M342" s="3" t="s">
        <v>791</v>
      </c>
      <c r="N342" s="6" t="s">
        <v>792</v>
      </c>
      <c r="O342" s="6" t="s">
        <v>793</v>
      </c>
      <c r="P342" s="3">
        <v>4504.0</v>
      </c>
      <c r="Q342" s="7" t="s">
        <v>60</v>
      </c>
    </row>
    <row r="343">
      <c r="A343" s="3" t="s">
        <v>785</v>
      </c>
      <c r="B343" s="3" t="s">
        <v>786</v>
      </c>
      <c r="C343" s="19" t="s">
        <v>787</v>
      </c>
      <c r="D343" s="19" t="s">
        <v>531</v>
      </c>
      <c r="E343" s="3" t="s">
        <v>797</v>
      </c>
      <c r="F343" s="7" t="s">
        <v>60</v>
      </c>
      <c r="H343" s="19" t="s">
        <v>48</v>
      </c>
      <c r="I343" s="3" t="s">
        <v>49</v>
      </c>
      <c r="J343" s="3">
        <v>2.0</v>
      </c>
      <c r="K343" s="3" t="s">
        <v>158</v>
      </c>
      <c r="L343" s="3" t="s">
        <v>790</v>
      </c>
      <c r="M343" s="3" t="s">
        <v>791</v>
      </c>
      <c r="N343" s="6" t="s">
        <v>792</v>
      </c>
      <c r="O343" s="6" t="s">
        <v>793</v>
      </c>
      <c r="P343" s="3">
        <v>4505.0</v>
      </c>
      <c r="Q343" s="7" t="s">
        <v>60</v>
      </c>
    </row>
    <row r="344">
      <c r="A344" s="3" t="s">
        <v>785</v>
      </c>
      <c r="B344" s="3" t="s">
        <v>786</v>
      </c>
      <c r="C344" s="19" t="s">
        <v>787</v>
      </c>
      <c r="D344" s="19" t="s">
        <v>531</v>
      </c>
      <c r="E344" s="3" t="s">
        <v>798</v>
      </c>
      <c r="F344" s="7" t="s">
        <v>60</v>
      </c>
      <c r="H344" s="19" t="s">
        <v>48</v>
      </c>
      <c r="I344" s="3" t="s">
        <v>49</v>
      </c>
      <c r="J344" s="3">
        <v>16.0</v>
      </c>
      <c r="K344" s="3" t="s">
        <v>799</v>
      </c>
      <c r="L344" s="3" t="s">
        <v>790</v>
      </c>
      <c r="M344" s="3" t="s">
        <v>791</v>
      </c>
      <c r="N344" s="6" t="s">
        <v>792</v>
      </c>
      <c r="O344" s="6" t="s">
        <v>793</v>
      </c>
      <c r="P344" s="3">
        <v>4510.0</v>
      </c>
      <c r="Q344" s="7" t="s">
        <v>60</v>
      </c>
    </row>
    <row r="345">
      <c r="A345" s="19" t="s">
        <v>800</v>
      </c>
      <c r="B345" s="19" t="s">
        <v>801</v>
      </c>
      <c r="C345" s="19" t="s">
        <v>802</v>
      </c>
      <c r="D345" s="19" t="s">
        <v>531</v>
      </c>
      <c r="E345" s="3" t="s">
        <v>803</v>
      </c>
      <c r="F345" s="5">
        <v>45975.0</v>
      </c>
      <c r="G345" s="24" t="s">
        <v>214</v>
      </c>
      <c r="H345" s="19" t="s">
        <v>48</v>
      </c>
      <c r="I345" s="3" t="s">
        <v>49</v>
      </c>
      <c r="J345" s="3">
        <v>2.0</v>
      </c>
      <c r="K345" s="3" t="s">
        <v>158</v>
      </c>
      <c r="L345" s="3" t="s">
        <v>804</v>
      </c>
      <c r="M345" s="3" t="s">
        <v>805</v>
      </c>
      <c r="N345" s="6" t="s">
        <v>806</v>
      </c>
      <c r="O345" s="6" t="s">
        <v>807</v>
      </c>
      <c r="P345" s="3">
        <v>4509.0</v>
      </c>
      <c r="Q345" s="3">
        <v>1.0</v>
      </c>
      <c r="R345" s="3">
        <v>383.9</v>
      </c>
    </row>
    <row r="346">
      <c r="A346" s="19" t="s">
        <v>800</v>
      </c>
      <c r="B346" s="19" t="s">
        <v>801</v>
      </c>
      <c r="C346" s="19" t="s">
        <v>802</v>
      </c>
      <c r="D346" s="19" t="s">
        <v>531</v>
      </c>
      <c r="E346" s="3" t="s">
        <v>808</v>
      </c>
      <c r="F346" s="7" t="s">
        <v>60</v>
      </c>
      <c r="H346" s="19" t="s">
        <v>48</v>
      </c>
      <c r="I346" s="3" t="s">
        <v>49</v>
      </c>
      <c r="J346" s="3">
        <v>2.0</v>
      </c>
      <c r="K346" s="3" t="s">
        <v>158</v>
      </c>
      <c r="L346" s="3" t="s">
        <v>804</v>
      </c>
      <c r="M346" s="3" t="s">
        <v>805</v>
      </c>
      <c r="N346" s="6" t="s">
        <v>806</v>
      </c>
      <c r="O346" s="6" t="s">
        <v>807</v>
      </c>
      <c r="P346" s="3">
        <v>4509.0</v>
      </c>
      <c r="Q346" s="7" t="s">
        <v>60</v>
      </c>
    </row>
    <row r="347">
      <c r="A347" s="19" t="s">
        <v>800</v>
      </c>
      <c r="B347" s="19" t="s">
        <v>801</v>
      </c>
      <c r="C347" s="19" t="s">
        <v>802</v>
      </c>
      <c r="D347" s="19" t="s">
        <v>531</v>
      </c>
      <c r="E347" s="3" t="s">
        <v>809</v>
      </c>
      <c r="F347" s="7" t="s">
        <v>60</v>
      </c>
      <c r="H347" s="19" t="s">
        <v>48</v>
      </c>
      <c r="I347" s="3" t="s">
        <v>49</v>
      </c>
      <c r="J347" s="3">
        <v>2.0</v>
      </c>
      <c r="K347" s="3" t="s">
        <v>158</v>
      </c>
      <c r="L347" s="3" t="s">
        <v>804</v>
      </c>
      <c r="M347" s="3" t="s">
        <v>805</v>
      </c>
      <c r="N347" s="6" t="s">
        <v>806</v>
      </c>
      <c r="O347" s="6" t="s">
        <v>807</v>
      </c>
      <c r="P347" s="3">
        <v>4503.0</v>
      </c>
      <c r="Q347" s="7" t="s">
        <v>60</v>
      </c>
    </row>
    <row r="348">
      <c r="A348" s="19" t="s">
        <v>800</v>
      </c>
      <c r="B348" s="19" t="s">
        <v>801</v>
      </c>
      <c r="C348" s="19" t="s">
        <v>802</v>
      </c>
      <c r="D348" s="19" t="s">
        <v>531</v>
      </c>
      <c r="E348" s="3" t="s">
        <v>810</v>
      </c>
      <c r="F348" s="7" t="s">
        <v>60</v>
      </c>
      <c r="H348" s="19" t="s">
        <v>48</v>
      </c>
      <c r="I348" s="3" t="s">
        <v>49</v>
      </c>
      <c r="J348" s="3">
        <v>2.0</v>
      </c>
      <c r="K348" s="3" t="s">
        <v>158</v>
      </c>
      <c r="L348" s="3" t="s">
        <v>804</v>
      </c>
      <c r="M348" s="3" t="s">
        <v>805</v>
      </c>
      <c r="N348" s="6" t="s">
        <v>806</v>
      </c>
      <c r="O348" s="6" t="s">
        <v>807</v>
      </c>
      <c r="P348" s="3">
        <v>4503.0</v>
      </c>
      <c r="Q348" s="7" t="s">
        <v>60</v>
      </c>
    </row>
    <row r="349">
      <c r="A349" s="19" t="s">
        <v>800</v>
      </c>
      <c r="B349" s="19" t="s">
        <v>801</v>
      </c>
      <c r="C349" s="19" t="s">
        <v>802</v>
      </c>
      <c r="D349" s="19" t="s">
        <v>531</v>
      </c>
      <c r="E349" s="3" t="s">
        <v>811</v>
      </c>
      <c r="F349" s="7" t="s">
        <v>60</v>
      </c>
      <c r="H349" s="19" t="s">
        <v>48</v>
      </c>
      <c r="I349" s="3" t="s">
        <v>49</v>
      </c>
      <c r="J349" s="3">
        <v>2.0</v>
      </c>
      <c r="K349" s="3" t="s">
        <v>158</v>
      </c>
      <c r="L349" s="3" t="s">
        <v>804</v>
      </c>
      <c r="M349" s="3" t="s">
        <v>805</v>
      </c>
      <c r="N349" s="6" t="s">
        <v>806</v>
      </c>
      <c r="O349" s="6" t="s">
        <v>807</v>
      </c>
      <c r="P349" s="3">
        <v>4503.0</v>
      </c>
      <c r="Q349" s="7" t="s">
        <v>60</v>
      </c>
    </row>
    <row r="350">
      <c r="A350" s="19" t="s">
        <v>800</v>
      </c>
      <c r="B350" s="19" t="s">
        <v>801</v>
      </c>
      <c r="C350" s="19" t="s">
        <v>802</v>
      </c>
      <c r="D350" s="19" t="s">
        <v>531</v>
      </c>
      <c r="E350" s="3" t="s">
        <v>812</v>
      </c>
      <c r="F350" s="7" t="s">
        <v>60</v>
      </c>
      <c r="H350" s="19" t="s">
        <v>48</v>
      </c>
      <c r="I350" s="3" t="s">
        <v>49</v>
      </c>
      <c r="J350" s="3">
        <v>2.0</v>
      </c>
      <c r="K350" s="3" t="s">
        <v>158</v>
      </c>
      <c r="L350" s="3" t="s">
        <v>804</v>
      </c>
      <c r="M350" s="3" t="s">
        <v>805</v>
      </c>
      <c r="N350" s="6" t="s">
        <v>806</v>
      </c>
      <c r="O350" s="6" t="s">
        <v>807</v>
      </c>
      <c r="P350" s="3">
        <v>4503.0</v>
      </c>
      <c r="Q350" s="7" t="s">
        <v>60</v>
      </c>
    </row>
    <row r="351">
      <c r="A351" s="19" t="s">
        <v>800</v>
      </c>
      <c r="B351" s="19" t="s">
        <v>801</v>
      </c>
      <c r="C351" s="19" t="s">
        <v>802</v>
      </c>
      <c r="D351" s="19" t="s">
        <v>531</v>
      </c>
      <c r="E351" s="3" t="s">
        <v>813</v>
      </c>
      <c r="F351" s="7" t="s">
        <v>60</v>
      </c>
      <c r="H351" s="19" t="s">
        <v>48</v>
      </c>
      <c r="I351" s="3" t="s">
        <v>49</v>
      </c>
      <c r="J351" s="3">
        <v>2.0</v>
      </c>
      <c r="K351" s="3" t="s">
        <v>158</v>
      </c>
      <c r="L351" s="3" t="s">
        <v>804</v>
      </c>
      <c r="M351" s="3" t="s">
        <v>805</v>
      </c>
      <c r="N351" s="6" t="s">
        <v>806</v>
      </c>
      <c r="O351" s="6" t="s">
        <v>807</v>
      </c>
      <c r="P351" s="3">
        <v>4502.0</v>
      </c>
      <c r="Q351" s="7" t="s">
        <v>60</v>
      </c>
    </row>
    <row r="352">
      <c r="A352" s="22" t="s">
        <v>814</v>
      </c>
      <c r="B352" s="19" t="s">
        <v>815</v>
      </c>
      <c r="C352" s="19" t="s">
        <v>816</v>
      </c>
      <c r="D352" s="19" t="s">
        <v>531</v>
      </c>
      <c r="E352" s="3" t="s">
        <v>817</v>
      </c>
      <c r="F352" s="33">
        <v>45860.0</v>
      </c>
      <c r="H352" s="19" t="s">
        <v>48</v>
      </c>
      <c r="I352" s="3" t="s">
        <v>49</v>
      </c>
      <c r="J352" s="3">
        <v>4.0</v>
      </c>
      <c r="K352" s="3" t="s">
        <v>818</v>
      </c>
      <c r="L352" s="3" t="s">
        <v>423</v>
      </c>
      <c r="M352" s="3" t="s">
        <v>819</v>
      </c>
      <c r="N352" s="6" t="s">
        <v>820</v>
      </c>
      <c r="O352" s="6" t="s">
        <v>821</v>
      </c>
      <c r="P352" s="3">
        <v>4285.0</v>
      </c>
      <c r="Q352" s="7" t="s">
        <v>60</v>
      </c>
    </row>
    <row r="353">
      <c r="A353" s="22" t="s">
        <v>814</v>
      </c>
      <c r="B353" s="19" t="s">
        <v>815</v>
      </c>
      <c r="C353" s="19" t="s">
        <v>816</v>
      </c>
      <c r="D353" s="19" t="s">
        <v>531</v>
      </c>
      <c r="E353" s="3" t="s">
        <v>822</v>
      </c>
      <c r="F353" s="7" t="s">
        <v>60</v>
      </c>
      <c r="H353" s="19" t="s">
        <v>48</v>
      </c>
      <c r="I353" s="3" t="s">
        <v>49</v>
      </c>
      <c r="J353" s="3">
        <v>4.0</v>
      </c>
      <c r="K353" s="3" t="s">
        <v>818</v>
      </c>
      <c r="L353" s="3" t="s">
        <v>423</v>
      </c>
      <c r="M353" s="3" t="s">
        <v>819</v>
      </c>
      <c r="N353" s="6" t="s">
        <v>820</v>
      </c>
      <c r="O353" s="6" t="s">
        <v>821</v>
      </c>
      <c r="P353" s="3">
        <v>4285.0</v>
      </c>
      <c r="Q353" s="7" t="s">
        <v>60</v>
      </c>
    </row>
    <row r="354">
      <c r="A354" s="3" t="s">
        <v>823</v>
      </c>
      <c r="B354" s="3" t="s">
        <v>824</v>
      </c>
      <c r="C354" s="19" t="s">
        <v>825</v>
      </c>
      <c r="D354" s="19" t="s">
        <v>531</v>
      </c>
      <c r="E354" s="3" t="s">
        <v>826</v>
      </c>
      <c r="F354" s="5">
        <v>45999.0</v>
      </c>
      <c r="G354" s="24" t="s">
        <v>214</v>
      </c>
      <c r="H354" s="15" t="s">
        <v>48</v>
      </c>
      <c r="I354" s="3" t="s">
        <v>49</v>
      </c>
      <c r="J354" s="3">
        <v>12.0</v>
      </c>
      <c r="K354" s="3" t="s">
        <v>827</v>
      </c>
      <c r="L354" s="3" t="s">
        <v>828</v>
      </c>
      <c r="M354" s="3" t="s">
        <v>166</v>
      </c>
      <c r="N354" s="6" t="s">
        <v>829</v>
      </c>
      <c r="O354" s="6" t="s">
        <v>830</v>
      </c>
      <c r="P354" s="3">
        <v>4078.0</v>
      </c>
      <c r="Q354" s="3">
        <v>2.0</v>
      </c>
      <c r="R354" s="3">
        <v>383.9</v>
      </c>
    </row>
    <row r="355">
      <c r="A355" s="3" t="s">
        <v>823</v>
      </c>
      <c r="B355" s="3" t="s">
        <v>824</v>
      </c>
      <c r="C355" s="19" t="s">
        <v>825</v>
      </c>
      <c r="D355" s="19" t="s">
        <v>531</v>
      </c>
      <c r="E355" s="3" t="s">
        <v>831</v>
      </c>
      <c r="F355" s="7" t="s">
        <v>60</v>
      </c>
      <c r="H355" s="15" t="s">
        <v>48</v>
      </c>
      <c r="I355" s="3" t="s">
        <v>49</v>
      </c>
      <c r="J355" s="3">
        <v>3.0</v>
      </c>
      <c r="K355" s="3" t="s">
        <v>430</v>
      </c>
      <c r="L355" s="3" t="s">
        <v>828</v>
      </c>
      <c r="M355" s="3" t="s">
        <v>166</v>
      </c>
      <c r="N355" s="6" t="s">
        <v>829</v>
      </c>
      <c r="O355" s="6" t="s">
        <v>830</v>
      </c>
      <c r="P355" s="3">
        <v>4077.0</v>
      </c>
      <c r="Q355" s="7" t="s">
        <v>60</v>
      </c>
    </row>
    <row r="356">
      <c r="A356" s="3" t="s">
        <v>823</v>
      </c>
      <c r="B356" s="3" t="s">
        <v>824</v>
      </c>
      <c r="C356" s="19" t="s">
        <v>825</v>
      </c>
      <c r="D356" s="19" t="s">
        <v>531</v>
      </c>
      <c r="E356" s="3" t="s">
        <v>832</v>
      </c>
      <c r="F356" s="7" t="s">
        <v>60</v>
      </c>
      <c r="H356" s="15" t="s">
        <v>48</v>
      </c>
      <c r="I356" s="3" t="s">
        <v>49</v>
      </c>
      <c r="J356" s="3">
        <v>3.0</v>
      </c>
      <c r="K356" s="3" t="s">
        <v>430</v>
      </c>
      <c r="L356" s="3" t="s">
        <v>828</v>
      </c>
      <c r="M356" s="3" t="s">
        <v>166</v>
      </c>
      <c r="N356" s="6" t="s">
        <v>829</v>
      </c>
      <c r="O356" s="6" t="s">
        <v>830</v>
      </c>
      <c r="P356" s="3">
        <v>4077.0</v>
      </c>
      <c r="Q356" s="7" t="s">
        <v>60</v>
      </c>
    </row>
    <row r="357">
      <c r="A357" s="3" t="s">
        <v>823</v>
      </c>
      <c r="B357" s="3" t="s">
        <v>824</v>
      </c>
      <c r="C357" s="19" t="s">
        <v>825</v>
      </c>
      <c r="D357" s="19" t="s">
        <v>531</v>
      </c>
      <c r="E357" s="3" t="s">
        <v>833</v>
      </c>
      <c r="F357" s="7" t="s">
        <v>60</v>
      </c>
      <c r="H357" s="15" t="s">
        <v>48</v>
      </c>
      <c r="I357" s="3" t="s">
        <v>49</v>
      </c>
      <c r="J357" s="3">
        <v>3.0</v>
      </c>
      <c r="K357" s="3" t="s">
        <v>430</v>
      </c>
      <c r="L357" s="3" t="s">
        <v>828</v>
      </c>
      <c r="M357" s="3" t="s">
        <v>166</v>
      </c>
      <c r="N357" s="6" t="s">
        <v>829</v>
      </c>
      <c r="O357" s="6" t="s">
        <v>830</v>
      </c>
      <c r="P357" s="3">
        <v>4110.0</v>
      </c>
      <c r="Q357" s="7" t="s">
        <v>60</v>
      </c>
    </row>
    <row r="358">
      <c r="A358" s="3" t="s">
        <v>823</v>
      </c>
      <c r="B358" s="3" t="s">
        <v>824</v>
      </c>
      <c r="C358" s="19" t="s">
        <v>825</v>
      </c>
      <c r="D358" s="19" t="s">
        <v>531</v>
      </c>
      <c r="E358" s="3" t="s">
        <v>834</v>
      </c>
      <c r="F358" s="7" t="s">
        <v>60</v>
      </c>
      <c r="H358" s="15" t="s">
        <v>48</v>
      </c>
      <c r="I358" s="3" t="s">
        <v>49</v>
      </c>
      <c r="J358" s="3">
        <v>3.0</v>
      </c>
      <c r="K358" s="3" t="s">
        <v>430</v>
      </c>
      <c r="L358" s="3" t="s">
        <v>828</v>
      </c>
      <c r="M358" s="3" t="s">
        <v>166</v>
      </c>
      <c r="N358" s="6" t="s">
        <v>829</v>
      </c>
      <c r="O358" s="6" t="s">
        <v>830</v>
      </c>
      <c r="P358" s="3">
        <v>4110.0</v>
      </c>
      <c r="Q358" s="7" t="s">
        <v>60</v>
      </c>
    </row>
    <row r="359">
      <c r="A359" s="3" t="s">
        <v>823</v>
      </c>
      <c r="B359" s="3" t="s">
        <v>824</v>
      </c>
      <c r="C359" s="19" t="s">
        <v>825</v>
      </c>
      <c r="D359" s="19" t="s">
        <v>531</v>
      </c>
      <c r="E359" s="3" t="s">
        <v>835</v>
      </c>
      <c r="F359" s="7" t="s">
        <v>60</v>
      </c>
      <c r="H359" s="15" t="s">
        <v>48</v>
      </c>
      <c r="I359" s="3" t="s">
        <v>49</v>
      </c>
      <c r="J359" s="3">
        <v>3.0</v>
      </c>
      <c r="K359" s="3" t="s">
        <v>430</v>
      </c>
      <c r="L359" s="3" t="s">
        <v>828</v>
      </c>
      <c r="M359" s="3" t="s">
        <v>166</v>
      </c>
      <c r="N359" s="6" t="s">
        <v>829</v>
      </c>
      <c r="O359" s="6" t="s">
        <v>830</v>
      </c>
      <c r="P359" s="3">
        <v>4077.0</v>
      </c>
      <c r="Q359" s="7" t="s">
        <v>60</v>
      </c>
    </row>
    <row r="360">
      <c r="A360" s="3" t="s">
        <v>823</v>
      </c>
      <c r="B360" s="3" t="s">
        <v>824</v>
      </c>
      <c r="C360" s="19" t="s">
        <v>825</v>
      </c>
      <c r="D360" s="19" t="s">
        <v>531</v>
      </c>
      <c r="E360" s="3" t="s">
        <v>836</v>
      </c>
      <c r="F360" s="7" t="s">
        <v>60</v>
      </c>
      <c r="H360" s="15" t="s">
        <v>48</v>
      </c>
      <c r="I360" s="3" t="s">
        <v>49</v>
      </c>
      <c r="J360" s="3">
        <v>3.0</v>
      </c>
      <c r="K360" s="3" t="s">
        <v>430</v>
      </c>
      <c r="L360" s="3" t="s">
        <v>828</v>
      </c>
      <c r="M360" s="3" t="s">
        <v>166</v>
      </c>
      <c r="N360" s="6" t="s">
        <v>829</v>
      </c>
      <c r="O360" s="6" t="s">
        <v>830</v>
      </c>
      <c r="P360" s="3">
        <v>4078.0</v>
      </c>
      <c r="Q360" s="7" t="s">
        <v>60</v>
      </c>
    </row>
    <row r="361">
      <c r="A361" s="3" t="s">
        <v>823</v>
      </c>
      <c r="B361" s="3" t="s">
        <v>824</v>
      </c>
      <c r="C361" s="19" t="s">
        <v>825</v>
      </c>
      <c r="D361" s="19" t="s">
        <v>531</v>
      </c>
      <c r="E361" s="3" t="s">
        <v>837</v>
      </c>
      <c r="F361" s="7" t="s">
        <v>60</v>
      </c>
      <c r="H361" s="17" t="s">
        <v>48</v>
      </c>
      <c r="I361" s="3" t="s">
        <v>49</v>
      </c>
      <c r="J361" s="3">
        <v>3.0</v>
      </c>
      <c r="K361" s="3" t="s">
        <v>430</v>
      </c>
      <c r="L361" s="3" t="s">
        <v>828</v>
      </c>
      <c r="M361" s="3" t="s">
        <v>166</v>
      </c>
      <c r="N361" s="6" t="s">
        <v>829</v>
      </c>
      <c r="O361" s="6" t="s">
        <v>830</v>
      </c>
      <c r="P361" s="3">
        <v>4077.0</v>
      </c>
      <c r="Q361" s="7" t="s">
        <v>60</v>
      </c>
    </row>
    <row r="362">
      <c r="A362" s="3" t="s">
        <v>823</v>
      </c>
      <c r="B362" s="3" t="s">
        <v>824</v>
      </c>
      <c r="C362" s="19" t="s">
        <v>825</v>
      </c>
      <c r="D362" s="19" t="s">
        <v>531</v>
      </c>
      <c r="E362" s="3" t="s">
        <v>838</v>
      </c>
      <c r="F362" s="7" t="s">
        <v>60</v>
      </c>
      <c r="H362" s="17" t="s">
        <v>48</v>
      </c>
      <c r="I362" s="3" t="s">
        <v>49</v>
      </c>
      <c r="J362" s="3">
        <v>3.0</v>
      </c>
      <c r="K362" s="3" t="s">
        <v>430</v>
      </c>
      <c r="L362" s="3" t="s">
        <v>828</v>
      </c>
      <c r="M362" s="3" t="s">
        <v>166</v>
      </c>
      <c r="N362" s="6" t="s">
        <v>829</v>
      </c>
      <c r="O362" s="6" t="s">
        <v>830</v>
      </c>
      <c r="P362" s="3">
        <v>4076.0</v>
      </c>
      <c r="Q362" s="7" t="s">
        <v>60</v>
      </c>
    </row>
    <row r="363">
      <c r="A363" s="3" t="s">
        <v>823</v>
      </c>
      <c r="B363" s="3" t="s">
        <v>824</v>
      </c>
      <c r="C363" s="19" t="s">
        <v>825</v>
      </c>
      <c r="D363" s="19" t="s">
        <v>531</v>
      </c>
      <c r="E363" s="3" t="s">
        <v>839</v>
      </c>
      <c r="F363" s="7" t="s">
        <v>60</v>
      </c>
      <c r="H363" s="17" t="s">
        <v>48</v>
      </c>
      <c r="I363" s="3" t="s">
        <v>49</v>
      </c>
      <c r="J363" s="3">
        <v>3.0</v>
      </c>
      <c r="K363" s="3" t="s">
        <v>430</v>
      </c>
      <c r="L363" s="3" t="s">
        <v>828</v>
      </c>
      <c r="M363" s="3" t="s">
        <v>166</v>
      </c>
      <c r="N363" s="6" t="s">
        <v>829</v>
      </c>
      <c r="O363" s="6" t="s">
        <v>830</v>
      </c>
      <c r="P363" s="3">
        <v>4076.0</v>
      </c>
      <c r="Q363" s="7" t="s">
        <v>60</v>
      </c>
    </row>
    <row r="364">
      <c r="A364" s="3" t="s">
        <v>823</v>
      </c>
      <c r="B364" s="3" t="s">
        <v>824</v>
      </c>
      <c r="C364" s="19" t="s">
        <v>825</v>
      </c>
      <c r="D364" s="19" t="s">
        <v>531</v>
      </c>
      <c r="E364" s="3" t="s">
        <v>840</v>
      </c>
      <c r="F364" s="7" t="s">
        <v>60</v>
      </c>
      <c r="H364" s="17" t="s">
        <v>48</v>
      </c>
      <c r="I364" s="3" t="s">
        <v>49</v>
      </c>
      <c r="J364" s="3">
        <v>3.0</v>
      </c>
      <c r="K364" s="3" t="s">
        <v>430</v>
      </c>
      <c r="L364" s="3" t="s">
        <v>828</v>
      </c>
      <c r="M364" s="3" t="s">
        <v>166</v>
      </c>
      <c r="N364" s="6" t="s">
        <v>829</v>
      </c>
      <c r="O364" s="6" t="s">
        <v>830</v>
      </c>
      <c r="P364" s="3">
        <v>4115.0</v>
      </c>
      <c r="Q364" s="7" t="s">
        <v>60</v>
      </c>
    </row>
    <row r="365">
      <c r="A365" s="3" t="s">
        <v>823</v>
      </c>
      <c r="B365" s="3" t="s">
        <v>824</v>
      </c>
      <c r="C365" s="19" t="s">
        <v>825</v>
      </c>
      <c r="D365" s="19" t="s">
        <v>531</v>
      </c>
      <c r="E365" s="3" t="s">
        <v>841</v>
      </c>
      <c r="F365" s="7" t="s">
        <v>60</v>
      </c>
      <c r="H365" s="17" t="s">
        <v>48</v>
      </c>
      <c r="I365" s="3" t="s">
        <v>49</v>
      </c>
      <c r="J365" s="3">
        <v>3.0</v>
      </c>
      <c r="K365" s="3" t="s">
        <v>430</v>
      </c>
      <c r="L365" s="3" t="s">
        <v>828</v>
      </c>
      <c r="M365" s="3" t="s">
        <v>166</v>
      </c>
      <c r="N365" s="6" t="s">
        <v>829</v>
      </c>
      <c r="O365" s="6" t="s">
        <v>830</v>
      </c>
      <c r="P365" s="3">
        <v>4115.0</v>
      </c>
      <c r="Q365" s="7" t="s">
        <v>60</v>
      </c>
    </row>
    <row r="366">
      <c r="A366" s="3" t="s">
        <v>823</v>
      </c>
      <c r="B366" s="3" t="s">
        <v>824</v>
      </c>
      <c r="C366" s="19" t="s">
        <v>825</v>
      </c>
      <c r="D366" s="19" t="s">
        <v>531</v>
      </c>
      <c r="E366" s="3" t="s">
        <v>842</v>
      </c>
      <c r="F366" s="7" t="s">
        <v>60</v>
      </c>
      <c r="H366" s="17" t="s">
        <v>48</v>
      </c>
      <c r="I366" s="3" t="s">
        <v>49</v>
      </c>
      <c r="J366" s="3">
        <v>3.0</v>
      </c>
      <c r="K366" s="3" t="s">
        <v>430</v>
      </c>
      <c r="L366" s="3" t="s">
        <v>828</v>
      </c>
      <c r="M366" s="3" t="s">
        <v>166</v>
      </c>
      <c r="N366" s="6" t="s">
        <v>829</v>
      </c>
      <c r="O366" s="6" t="s">
        <v>830</v>
      </c>
      <c r="P366" s="3">
        <v>4115.0</v>
      </c>
      <c r="Q366" s="7" t="s">
        <v>60</v>
      </c>
    </row>
    <row r="367">
      <c r="A367" s="3" t="s">
        <v>823</v>
      </c>
      <c r="B367" s="3" t="s">
        <v>824</v>
      </c>
      <c r="C367" s="19" t="s">
        <v>825</v>
      </c>
      <c r="D367" s="19" t="s">
        <v>531</v>
      </c>
      <c r="E367" s="3" t="s">
        <v>843</v>
      </c>
      <c r="F367" s="7" t="s">
        <v>60</v>
      </c>
      <c r="H367" s="17" t="s">
        <v>48</v>
      </c>
      <c r="I367" s="3" t="s">
        <v>49</v>
      </c>
      <c r="J367" s="3">
        <v>1.0</v>
      </c>
      <c r="K367" s="3" t="s">
        <v>828</v>
      </c>
      <c r="L367" s="3" t="s">
        <v>828</v>
      </c>
      <c r="M367" s="3" t="s">
        <v>166</v>
      </c>
      <c r="N367" s="6" t="s">
        <v>829</v>
      </c>
      <c r="O367" s="6" t="s">
        <v>830</v>
      </c>
      <c r="P367" s="3">
        <v>4074.0</v>
      </c>
      <c r="Q367" s="7" t="s">
        <v>60</v>
      </c>
    </row>
    <row r="368">
      <c r="A368" s="3" t="s">
        <v>823</v>
      </c>
      <c r="B368" s="3" t="s">
        <v>824</v>
      </c>
      <c r="C368" s="19" t="s">
        <v>825</v>
      </c>
      <c r="D368" s="19" t="s">
        <v>531</v>
      </c>
      <c r="E368" s="3" t="s">
        <v>844</v>
      </c>
      <c r="F368" s="7" t="s">
        <v>60</v>
      </c>
      <c r="H368" s="17" t="s">
        <v>48</v>
      </c>
      <c r="I368" s="3" t="s">
        <v>49</v>
      </c>
      <c r="J368" s="3">
        <v>1.0</v>
      </c>
      <c r="K368" s="3" t="s">
        <v>828</v>
      </c>
      <c r="L368" s="3" t="s">
        <v>828</v>
      </c>
      <c r="M368" s="3" t="s">
        <v>166</v>
      </c>
      <c r="N368" s="6" t="s">
        <v>829</v>
      </c>
      <c r="O368" s="6" t="s">
        <v>830</v>
      </c>
      <c r="P368" s="3">
        <v>4074.0</v>
      </c>
      <c r="Q368" s="7" t="s">
        <v>60</v>
      </c>
    </row>
    <row r="369">
      <c r="A369" s="3" t="s">
        <v>823</v>
      </c>
      <c r="B369" s="3" t="s">
        <v>824</v>
      </c>
      <c r="C369" s="19" t="s">
        <v>825</v>
      </c>
      <c r="D369" s="19" t="s">
        <v>531</v>
      </c>
      <c r="E369" s="27" t="s">
        <v>845</v>
      </c>
      <c r="F369" s="7" t="s">
        <v>60</v>
      </c>
      <c r="H369" s="17" t="s">
        <v>48</v>
      </c>
      <c r="I369" s="3" t="s">
        <v>49</v>
      </c>
      <c r="J369" s="3">
        <v>1.0</v>
      </c>
      <c r="K369" s="3" t="s">
        <v>828</v>
      </c>
      <c r="L369" s="3" t="s">
        <v>828</v>
      </c>
      <c r="M369" s="3" t="s">
        <v>166</v>
      </c>
      <c r="N369" s="6" t="s">
        <v>829</v>
      </c>
      <c r="O369" s="6" t="s">
        <v>830</v>
      </c>
      <c r="P369" s="3">
        <v>4115.0</v>
      </c>
      <c r="Q369" s="7" t="s">
        <v>60</v>
      </c>
    </row>
    <row r="370">
      <c r="A370" s="3" t="s">
        <v>846</v>
      </c>
      <c r="B370" s="3" t="s">
        <v>847</v>
      </c>
      <c r="C370" s="3" t="s">
        <v>848</v>
      </c>
      <c r="D370" s="3" t="s">
        <v>531</v>
      </c>
      <c r="E370" s="3" t="s">
        <v>849</v>
      </c>
      <c r="F370" s="14">
        <v>45778.0</v>
      </c>
      <c r="G370" s="12" t="s">
        <v>136</v>
      </c>
      <c r="H370" s="3" t="s">
        <v>48</v>
      </c>
      <c r="I370" s="3" t="s">
        <v>49</v>
      </c>
      <c r="J370" s="3">
        <v>3.0</v>
      </c>
      <c r="K370" s="3" t="s">
        <v>850</v>
      </c>
      <c r="L370" s="3" t="s">
        <v>851</v>
      </c>
      <c r="M370" s="3" t="s">
        <v>535</v>
      </c>
      <c r="N370" s="6" t="s">
        <v>852</v>
      </c>
      <c r="O370" s="6" t="s">
        <v>603</v>
      </c>
      <c r="P370" s="3">
        <v>4210.0</v>
      </c>
      <c r="Q370" s="3">
        <v>1.0</v>
      </c>
      <c r="R370" s="3">
        <v>53.9</v>
      </c>
    </row>
    <row r="371">
      <c r="A371" s="3" t="s">
        <v>846</v>
      </c>
      <c r="B371" s="3" t="s">
        <v>847</v>
      </c>
      <c r="C371" s="3" t="s">
        <v>848</v>
      </c>
      <c r="D371" s="3" t="s">
        <v>531</v>
      </c>
      <c r="E371" s="3" t="s">
        <v>853</v>
      </c>
      <c r="F371" s="7" t="s">
        <v>60</v>
      </c>
      <c r="H371" s="3" t="s">
        <v>48</v>
      </c>
      <c r="I371" s="3" t="s">
        <v>49</v>
      </c>
      <c r="J371" s="3">
        <v>3.0</v>
      </c>
      <c r="K371" s="3" t="s">
        <v>850</v>
      </c>
      <c r="L371" s="3" t="s">
        <v>851</v>
      </c>
      <c r="M371" s="3" t="s">
        <v>535</v>
      </c>
      <c r="N371" s="6" t="s">
        <v>852</v>
      </c>
      <c r="O371" s="6" t="s">
        <v>603</v>
      </c>
      <c r="P371" s="3">
        <v>4210.0</v>
      </c>
      <c r="Q371" s="7" t="s">
        <v>60</v>
      </c>
    </row>
    <row r="372">
      <c r="A372" s="3" t="s">
        <v>846</v>
      </c>
      <c r="B372" s="3" t="s">
        <v>847</v>
      </c>
      <c r="C372" s="3" t="s">
        <v>848</v>
      </c>
      <c r="D372" s="3" t="s">
        <v>531</v>
      </c>
      <c r="E372" s="3" t="s">
        <v>854</v>
      </c>
      <c r="F372" s="7" t="s">
        <v>60</v>
      </c>
      <c r="H372" s="3" t="s">
        <v>48</v>
      </c>
      <c r="I372" s="3" t="s">
        <v>49</v>
      </c>
      <c r="J372" s="3">
        <v>34.0</v>
      </c>
      <c r="K372" s="3" t="s">
        <v>855</v>
      </c>
      <c r="L372" s="3" t="s">
        <v>851</v>
      </c>
      <c r="M372" s="3" t="s">
        <v>535</v>
      </c>
      <c r="N372" s="6" t="s">
        <v>852</v>
      </c>
      <c r="O372" s="6" t="s">
        <v>603</v>
      </c>
      <c r="P372" s="3">
        <v>4209.0</v>
      </c>
      <c r="Q372" s="7" t="s">
        <v>60</v>
      </c>
    </row>
    <row r="373">
      <c r="A373" s="3" t="s">
        <v>846</v>
      </c>
      <c r="B373" s="3" t="s">
        <v>847</v>
      </c>
      <c r="C373" s="3" t="s">
        <v>848</v>
      </c>
      <c r="D373" s="3" t="s">
        <v>531</v>
      </c>
      <c r="E373" s="3" t="s">
        <v>856</v>
      </c>
      <c r="F373" s="7" t="s">
        <v>60</v>
      </c>
      <c r="H373" s="3" t="s">
        <v>48</v>
      </c>
      <c r="I373" s="3" t="s">
        <v>49</v>
      </c>
      <c r="J373" s="3">
        <v>3.0</v>
      </c>
      <c r="K373" s="3" t="s">
        <v>850</v>
      </c>
      <c r="L373" s="3" t="s">
        <v>851</v>
      </c>
      <c r="M373" s="3" t="s">
        <v>535</v>
      </c>
      <c r="N373" s="6" t="s">
        <v>852</v>
      </c>
      <c r="O373" s="6" t="s">
        <v>603</v>
      </c>
      <c r="P373" s="3">
        <v>4208.0</v>
      </c>
      <c r="Q373" s="7" t="s">
        <v>60</v>
      </c>
    </row>
    <row r="374">
      <c r="A374" s="3" t="s">
        <v>846</v>
      </c>
      <c r="B374" s="3" t="s">
        <v>847</v>
      </c>
      <c r="C374" s="3" t="s">
        <v>848</v>
      </c>
      <c r="D374" s="3" t="s">
        <v>531</v>
      </c>
      <c r="E374" s="3" t="s">
        <v>857</v>
      </c>
      <c r="F374" s="7" t="s">
        <v>60</v>
      </c>
      <c r="H374" s="3" t="s">
        <v>48</v>
      </c>
      <c r="I374" s="3" t="s">
        <v>49</v>
      </c>
      <c r="J374" s="3">
        <v>3.0</v>
      </c>
      <c r="K374" s="3" t="s">
        <v>850</v>
      </c>
      <c r="L374" s="3" t="s">
        <v>851</v>
      </c>
      <c r="M374" s="3" t="s">
        <v>535</v>
      </c>
      <c r="N374" s="6" t="s">
        <v>852</v>
      </c>
      <c r="O374" s="6" t="s">
        <v>603</v>
      </c>
      <c r="P374" s="3">
        <v>4212.0</v>
      </c>
      <c r="Q374" s="7" t="s">
        <v>60</v>
      </c>
    </row>
    <row r="375">
      <c r="A375" s="3" t="s">
        <v>846</v>
      </c>
      <c r="B375" s="3" t="s">
        <v>847</v>
      </c>
      <c r="C375" s="3" t="s">
        <v>848</v>
      </c>
      <c r="D375" s="3" t="s">
        <v>531</v>
      </c>
      <c r="E375" s="3" t="s">
        <v>858</v>
      </c>
      <c r="F375" s="7" t="s">
        <v>60</v>
      </c>
      <c r="H375" s="3" t="s">
        <v>48</v>
      </c>
      <c r="I375" s="3" t="s">
        <v>49</v>
      </c>
      <c r="J375" s="3">
        <v>3.0</v>
      </c>
      <c r="K375" s="3" t="s">
        <v>850</v>
      </c>
      <c r="L375" s="3" t="s">
        <v>851</v>
      </c>
      <c r="M375" s="3" t="s">
        <v>535</v>
      </c>
      <c r="N375" s="6" t="s">
        <v>852</v>
      </c>
      <c r="O375" s="6" t="s">
        <v>603</v>
      </c>
      <c r="P375" s="3">
        <v>4209.0</v>
      </c>
      <c r="Q375" s="7" t="s">
        <v>60</v>
      </c>
    </row>
    <row r="376">
      <c r="A376" s="3" t="s">
        <v>846</v>
      </c>
      <c r="B376" s="3" t="s">
        <v>847</v>
      </c>
      <c r="C376" s="3" t="s">
        <v>848</v>
      </c>
      <c r="D376" s="3" t="s">
        <v>531</v>
      </c>
      <c r="E376" s="3" t="s">
        <v>859</v>
      </c>
      <c r="F376" s="7" t="s">
        <v>60</v>
      </c>
      <c r="H376" s="3" t="s">
        <v>48</v>
      </c>
      <c r="I376" s="3" t="s">
        <v>49</v>
      </c>
      <c r="J376" s="3">
        <v>3.0</v>
      </c>
      <c r="K376" s="3" t="s">
        <v>850</v>
      </c>
      <c r="L376" s="3" t="s">
        <v>851</v>
      </c>
      <c r="M376" s="3" t="s">
        <v>535</v>
      </c>
      <c r="N376" s="6" t="s">
        <v>852</v>
      </c>
      <c r="O376" s="6" t="s">
        <v>603</v>
      </c>
      <c r="P376" s="3">
        <v>4209.0</v>
      </c>
      <c r="Q376" s="7" t="s">
        <v>60</v>
      </c>
    </row>
    <row r="377">
      <c r="A377" s="3" t="s">
        <v>846</v>
      </c>
      <c r="B377" s="3" t="s">
        <v>847</v>
      </c>
      <c r="C377" s="3" t="s">
        <v>848</v>
      </c>
      <c r="D377" s="3" t="s">
        <v>531</v>
      </c>
      <c r="E377" s="3" t="s">
        <v>860</v>
      </c>
      <c r="F377" s="7" t="s">
        <v>60</v>
      </c>
      <c r="H377" s="3" t="s">
        <v>48</v>
      </c>
      <c r="I377" s="3" t="s">
        <v>49</v>
      </c>
      <c r="J377" s="3">
        <v>3.0</v>
      </c>
      <c r="K377" s="3" t="s">
        <v>850</v>
      </c>
      <c r="L377" s="3" t="s">
        <v>851</v>
      </c>
      <c r="M377" s="3" t="s">
        <v>535</v>
      </c>
      <c r="N377" s="6" t="s">
        <v>852</v>
      </c>
      <c r="O377" s="6" t="s">
        <v>603</v>
      </c>
      <c r="P377" s="3">
        <v>4209.0</v>
      </c>
      <c r="Q377" s="7" t="s">
        <v>60</v>
      </c>
    </row>
    <row r="378">
      <c r="A378" s="3" t="s">
        <v>846</v>
      </c>
      <c r="B378" s="3" t="s">
        <v>847</v>
      </c>
      <c r="C378" s="3" t="s">
        <v>848</v>
      </c>
      <c r="D378" s="3" t="s">
        <v>531</v>
      </c>
      <c r="E378" s="3" t="s">
        <v>861</v>
      </c>
      <c r="F378" s="7" t="s">
        <v>60</v>
      </c>
      <c r="H378" s="3" t="s">
        <v>48</v>
      </c>
      <c r="I378" s="3" t="s">
        <v>49</v>
      </c>
      <c r="J378" s="3">
        <v>3.0</v>
      </c>
      <c r="K378" s="3" t="s">
        <v>850</v>
      </c>
      <c r="L378" s="3" t="s">
        <v>851</v>
      </c>
      <c r="M378" s="3" t="s">
        <v>535</v>
      </c>
      <c r="N378" s="6" t="s">
        <v>852</v>
      </c>
      <c r="O378" s="6" t="s">
        <v>603</v>
      </c>
      <c r="P378" s="3">
        <v>4208.0</v>
      </c>
      <c r="Q378" s="7" t="s">
        <v>60</v>
      </c>
    </row>
    <row r="379">
      <c r="A379" s="3" t="s">
        <v>846</v>
      </c>
      <c r="B379" s="3" t="s">
        <v>847</v>
      </c>
      <c r="C379" s="3" t="s">
        <v>848</v>
      </c>
      <c r="D379" s="3" t="s">
        <v>531</v>
      </c>
      <c r="E379" s="3" t="s">
        <v>862</v>
      </c>
      <c r="F379" s="7" t="s">
        <v>60</v>
      </c>
      <c r="H379" s="3" t="s">
        <v>48</v>
      </c>
      <c r="I379" s="3" t="s">
        <v>49</v>
      </c>
      <c r="J379" s="3">
        <v>3.0</v>
      </c>
      <c r="K379" s="3" t="s">
        <v>850</v>
      </c>
      <c r="L379" s="3" t="s">
        <v>851</v>
      </c>
      <c r="M379" s="3" t="s">
        <v>535</v>
      </c>
      <c r="N379" s="6" t="s">
        <v>852</v>
      </c>
      <c r="O379" s="6" t="s">
        <v>603</v>
      </c>
      <c r="P379" s="3">
        <v>4216.0</v>
      </c>
      <c r="Q379" s="7" t="s">
        <v>60</v>
      </c>
    </row>
    <row r="380">
      <c r="A380" s="3" t="s">
        <v>846</v>
      </c>
      <c r="B380" s="3" t="s">
        <v>847</v>
      </c>
      <c r="C380" s="3" t="s">
        <v>848</v>
      </c>
      <c r="D380" s="3" t="s">
        <v>531</v>
      </c>
      <c r="E380" s="39" t="s">
        <v>863</v>
      </c>
      <c r="F380" s="7" t="s">
        <v>60</v>
      </c>
      <c r="H380" s="3" t="s">
        <v>48</v>
      </c>
      <c r="I380" s="3" t="s">
        <v>49</v>
      </c>
      <c r="J380" s="3">
        <v>2.0</v>
      </c>
      <c r="K380" s="3" t="s">
        <v>288</v>
      </c>
      <c r="L380" s="3" t="s">
        <v>851</v>
      </c>
      <c r="M380" s="3" t="s">
        <v>535</v>
      </c>
      <c r="N380" s="6" t="s">
        <v>852</v>
      </c>
      <c r="O380" s="6" t="s">
        <v>603</v>
      </c>
      <c r="P380" s="3">
        <v>4212.0</v>
      </c>
      <c r="Q380" s="7" t="s">
        <v>60</v>
      </c>
    </row>
    <row r="381">
      <c r="A381" s="3" t="s">
        <v>864</v>
      </c>
      <c r="B381" s="3" t="s">
        <v>865</v>
      </c>
      <c r="C381" s="3" t="s">
        <v>866</v>
      </c>
      <c r="D381" s="3" t="s">
        <v>531</v>
      </c>
      <c r="E381" s="3" t="s">
        <v>867</v>
      </c>
      <c r="F381" s="5">
        <v>45760.0</v>
      </c>
      <c r="G381" s="24" t="s">
        <v>214</v>
      </c>
      <c r="H381" s="3" t="s">
        <v>110</v>
      </c>
      <c r="I381" s="3" t="s">
        <v>49</v>
      </c>
      <c r="J381" s="3">
        <v>6.0</v>
      </c>
      <c r="K381" s="3" t="s">
        <v>868</v>
      </c>
      <c r="L381" s="3" t="s">
        <v>869</v>
      </c>
      <c r="M381" s="3" t="s">
        <v>870</v>
      </c>
      <c r="N381" s="6" t="s">
        <v>871</v>
      </c>
      <c r="O381" s="6" t="s">
        <v>872</v>
      </c>
      <c r="P381" s="3">
        <v>4214.0</v>
      </c>
      <c r="Q381" s="3">
        <v>1.0</v>
      </c>
      <c r="R381" s="3">
        <v>218.9</v>
      </c>
    </row>
    <row r="382">
      <c r="A382" s="3" t="s">
        <v>873</v>
      </c>
      <c r="B382" s="3" t="s">
        <v>874</v>
      </c>
      <c r="C382" s="3" t="s">
        <v>875</v>
      </c>
      <c r="D382" s="3" t="s">
        <v>531</v>
      </c>
      <c r="E382" s="3" t="s">
        <v>876</v>
      </c>
      <c r="F382" s="14">
        <v>45846.0</v>
      </c>
      <c r="G382" s="24" t="s">
        <v>214</v>
      </c>
      <c r="H382" s="3" t="s">
        <v>48</v>
      </c>
      <c r="I382" s="3" t="s">
        <v>49</v>
      </c>
      <c r="J382" s="3">
        <v>2.0</v>
      </c>
      <c r="K382" s="3" t="s">
        <v>877</v>
      </c>
      <c r="L382" s="3" t="s">
        <v>423</v>
      </c>
      <c r="M382" s="3" t="s">
        <v>878</v>
      </c>
      <c r="N382" s="6" t="s">
        <v>879</v>
      </c>
      <c r="O382" s="6" t="s">
        <v>880</v>
      </c>
      <c r="P382" s="3">
        <v>4226.0</v>
      </c>
      <c r="Q382" s="3">
        <v>1.0</v>
      </c>
      <c r="R382" s="3">
        <v>174.5</v>
      </c>
    </row>
    <row r="383">
      <c r="A383" s="3" t="s">
        <v>873</v>
      </c>
      <c r="B383" s="3" t="s">
        <v>874</v>
      </c>
      <c r="C383" s="3" t="s">
        <v>875</v>
      </c>
      <c r="D383" s="3" t="s">
        <v>531</v>
      </c>
      <c r="E383" s="3" t="s">
        <v>881</v>
      </c>
      <c r="F383" s="14">
        <v>45846.0</v>
      </c>
      <c r="G383" s="24" t="s">
        <v>214</v>
      </c>
      <c r="H383" s="3" t="s">
        <v>48</v>
      </c>
      <c r="I383" s="3" t="s">
        <v>49</v>
      </c>
      <c r="J383" s="3">
        <v>1.0</v>
      </c>
      <c r="K383" s="3" t="s">
        <v>882</v>
      </c>
      <c r="L383" s="3" t="s">
        <v>882</v>
      </c>
      <c r="M383" s="3" t="s">
        <v>878</v>
      </c>
      <c r="N383" s="6" t="s">
        <v>879</v>
      </c>
      <c r="O383" s="6" t="s">
        <v>880</v>
      </c>
      <c r="P383" s="3">
        <v>4217.0</v>
      </c>
      <c r="Q383" s="3">
        <v>1.0</v>
      </c>
      <c r="R383" s="3">
        <v>383.9</v>
      </c>
    </row>
    <row r="384">
      <c r="A384" s="17" t="s">
        <v>873</v>
      </c>
      <c r="B384" s="17" t="s">
        <v>874</v>
      </c>
      <c r="C384" s="3" t="s">
        <v>875</v>
      </c>
      <c r="D384" s="17" t="s">
        <v>531</v>
      </c>
      <c r="E384" s="3" t="s">
        <v>883</v>
      </c>
      <c r="F384" s="7" t="s">
        <v>60</v>
      </c>
      <c r="H384" s="17" t="s">
        <v>48</v>
      </c>
      <c r="I384" s="3" t="s">
        <v>49</v>
      </c>
      <c r="J384" s="3">
        <v>1.0</v>
      </c>
      <c r="K384" s="3" t="s">
        <v>272</v>
      </c>
      <c r="L384" s="3" t="s">
        <v>272</v>
      </c>
      <c r="M384" s="3" t="s">
        <v>878</v>
      </c>
      <c r="N384" s="6" t="s">
        <v>879</v>
      </c>
      <c r="O384" s="6" t="s">
        <v>880</v>
      </c>
      <c r="P384" s="3">
        <v>4226.0</v>
      </c>
      <c r="Q384" s="7" t="s">
        <v>60</v>
      </c>
    </row>
    <row r="385">
      <c r="A385" s="17" t="s">
        <v>873</v>
      </c>
      <c r="B385" s="17" t="s">
        <v>874</v>
      </c>
      <c r="C385" s="3" t="s">
        <v>875</v>
      </c>
      <c r="D385" s="17" t="s">
        <v>531</v>
      </c>
      <c r="E385" s="3" t="s">
        <v>884</v>
      </c>
      <c r="F385" s="7" t="s">
        <v>60</v>
      </c>
      <c r="G385" s="17"/>
      <c r="H385" s="17" t="s">
        <v>48</v>
      </c>
      <c r="I385" s="3" t="s">
        <v>49</v>
      </c>
      <c r="J385" s="3">
        <v>3.0</v>
      </c>
      <c r="K385" s="3" t="s">
        <v>885</v>
      </c>
      <c r="L385" s="3" t="s">
        <v>272</v>
      </c>
      <c r="M385" s="3" t="s">
        <v>878</v>
      </c>
      <c r="N385" s="6" t="s">
        <v>879</v>
      </c>
      <c r="O385" s="6" t="s">
        <v>880</v>
      </c>
      <c r="P385" s="3">
        <v>4217.0</v>
      </c>
      <c r="Q385" s="7" t="s">
        <v>60</v>
      </c>
    </row>
    <row r="386">
      <c r="A386" s="17" t="s">
        <v>873</v>
      </c>
      <c r="B386" s="17" t="s">
        <v>874</v>
      </c>
      <c r="C386" s="3" t="s">
        <v>875</v>
      </c>
      <c r="D386" s="17" t="s">
        <v>531</v>
      </c>
      <c r="E386" s="3" t="s">
        <v>886</v>
      </c>
      <c r="F386" s="7" t="s">
        <v>60</v>
      </c>
      <c r="G386" s="17"/>
      <c r="H386" s="17" t="s">
        <v>48</v>
      </c>
      <c r="I386" s="3" t="s">
        <v>49</v>
      </c>
      <c r="J386" s="3">
        <v>3.0</v>
      </c>
      <c r="K386" s="3" t="s">
        <v>885</v>
      </c>
      <c r="L386" s="3" t="s">
        <v>272</v>
      </c>
      <c r="M386" s="3" t="s">
        <v>878</v>
      </c>
      <c r="N386" s="6" t="s">
        <v>879</v>
      </c>
      <c r="O386" s="6" t="s">
        <v>880</v>
      </c>
      <c r="P386" s="40">
        <v>4215.0</v>
      </c>
      <c r="Q386" s="7" t="s">
        <v>60</v>
      </c>
    </row>
    <row r="387">
      <c r="A387" s="17" t="s">
        <v>873</v>
      </c>
      <c r="B387" s="17" t="s">
        <v>874</v>
      </c>
      <c r="C387" s="3" t="s">
        <v>875</v>
      </c>
      <c r="D387" s="17" t="s">
        <v>531</v>
      </c>
      <c r="E387" s="3" t="s">
        <v>887</v>
      </c>
      <c r="F387" s="7" t="s">
        <v>60</v>
      </c>
      <c r="G387" s="17"/>
      <c r="H387" s="17" t="s">
        <v>48</v>
      </c>
      <c r="I387" s="3" t="s">
        <v>49</v>
      </c>
      <c r="J387" s="3">
        <v>3.0</v>
      </c>
      <c r="K387" s="3" t="s">
        <v>885</v>
      </c>
      <c r="L387" s="3" t="s">
        <v>272</v>
      </c>
      <c r="M387" s="3" t="s">
        <v>878</v>
      </c>
      <c r="N387" s="6" t="s">
        <v>879</v>
      </c>
      <c r="O387" s="6" t="s">
        <v>880</v>
      </c>
      <c r="P387" s="3">
        <v>4218.0</v>
      </c>
      <c r="Q387" s="7" t="s">
        <v>60</v>
      </c>
    </row>
    <row r="388">
      <c r="A388" s="17" t="s">
        <v>873</v>
      </c>
      <c r="B388" s="17" t="s">
        <v>874</v>
      </c>
      <c r="C388" s="3" t="s">
        <v>875</v>
      </c>
      <c r="D388" s="17" t="s">
        <v>531</v>
      </c>
      <c r="E388" s="3" t="s">
        <v>888</v>
      </c>
      <c r="F388" s="7" t="s">
        <v>60</v>
      </c>
      <c r="G388" s="17"/>
      <c r="H388" s="17" t="s">
        <v>48</v>
      </c>
      <c r="I388" s="3" t="s">
        <v>49</v>
      </c>
      <c r="J388" s="3">
        <v>3.0</v>
      </c>
      <c r="K388" s="3" t="s">
        <v>885</v>
      </c>
      <c r="L388" s="3" t="s">
        <v>272</v>
      </c>
      <c r="M388" s="3" t="s">
        <v>878</v>
      </c>
      <c r="N388" s="6" t="s">
        <v>879</v>
      </c>
      <c r="O388" s="6" t="s">
        <v>880</v>
      </c>
      <c r="P388" s="3">
        <v>4227.0</v>
      </c>
      <c r="Q388" s="7" t="s">
        <v>60</v>
      </c>
    </row>
    <row r="389">
      <c r="A389" s="17" t="s">
        <v>873</v>
      </c>
      <c r="B389" s="17" t="s">
        <v>874</v>
      </c>
      <c r="C389" s="3" t="s">
        <v>875</v>
      </c>
      <c r="D389" s="17" t="s">
        <v>531</v>
      </c>
      <c r="E389" s="3" t="s">
        <v>889</v>
      </c>
      <c r="F389" s="7" t="s">
        <v>60</v>
      </c>
      <c r="G389" s="17"/>
      <c r="H389" s="17" t="s">
        <v>48</v>
      </c>
      <c r="I389" s="3" t="s">
        <v>49</v>
      </c>
      <c r="J389" s="3">
        <v>3.0</v>
      </c>
      <c r="K389" s="3" t="s">
        <v>885</v>
      </c>
      <c r="L389" s="3" t="s">
        <v>272</v>
      </c>
      <c r="M389" s="3" t="s">
        <v>878</v>
      </c>
      <c r="N389" s="6" t="s">
        <v>879</v>
      </c>
      <c r="O389" s="6" t="s">
        <v>880</v>
      </c>
      <c r="P389" s="3">
        <v>4220.0</v>
      </c>
      <c r="Q389" s="7" t="s">
        <v>60</v>
      </c>
    </row>
    <row r="390">
      <c r="A390" s="17" t="s">
        <v>873</v>
      </c>
      <c r="B390" s="17" t="s">
        <v>874</v>
      </c>
      <c r="C390" s="3" t="s">
        <v>875</v>
      </c>
      <c r="D390" s="17" t="s">
        <v>531</v>
      </c>
      <c r="E390" s="3" t="s">
        <v>890</v>
      </c>
      <c r="F390" s="7" t="s">
        <v>60</v>
      </c>
      <c r="G390" s="17"/>
      <c r="H390" s="17" t="s">
        <v>48</v>
      </c>
      <c r="I390" s="3" t="s">
        <v>49</v>
      </c>
      <c r="J390" s="3">
        <v>3.0</v>
      </c>
      <c r="K390" s="3" t="s">
        <v>885</v>
      </c>
      <c r="L390" s="3" t="s">
        <v>272</v>
      </c>
      <c r="M390" s="3" t="s">
        <v>878</v>
      </c>
      <c r="N390" s="6" t="s">
        <v>879</v>
      </c>
      <c r="O390" s="6" t="s">
        <v>880</v>
      </c>
      <c r="P390" s="3">
        <v>4220.0</v>
      </c>
      <c r="Q390" s="7" t="s">
        <v>60</v>
      </c>
    </row>
    <row r="391">
      <c r="A391" s="17" t="s">
        <v>873</v>
      </c>
      <c r="B391" s="17" t="s">
        <v>874</v>
      </c>
      <c r="C391" s="3" t="s">
        <v>875</v>
      </c>
      <c r="D391" s="17" t="s">
        <v>531</v>
      </c>
      <c r="E391" s="3" t="s">
        <v>891</v>
      </c>
      <c r="F391" s="7" t="s">
        <v>60</v>
      </c>
      <c r="G391" s="17"/>
      <c r="H391" s="17" t="s">
        <v>48</v>
      </c>
      <c r="I391" s="3" t="s">
        <v>49</v>
      </c>
      <c r="J391" s="3">
        <v>3.0</v>
      </c>
      <c r="K391" s="3" t="s">
        <v>885</v>
      </c>
      <c r="L391" s="3" t="s">
        <v>272</v>
      </c>
      <c r="M391" s="3" t="s">
        <v>878</v>
      </c>
      <c r="N391" s="6" t="s">
        <v>879</v>
      </c>
      <c r="O391" s="6" t="s">
        <v>880</v>
      </c>
      <c r="P391" s="3">
        <v>4216.0</v>
      </c>
      <c r="Q391" s="7" t="s">
        <v>60</v>
      </c>
    </row>
    <row r="392">
      <c r="A392" s="17" t="s">
        <v>873</v>
      </c>
      <c r="B392" s="17" t="s">
        <v>874</v>
      </c>
      <c r="C392" s="3" t="s">
        <v>875</v>
      </c>
      <c r="D392" s="17" t="s">
        <v>531</v>
      </c>
      <c r="E392" s="3" t="s">
        <v>892</v>
      </c>
      <c r="F392" s="7" t="s">
        <v>60</v>
      </c>
      <c r="G392" s="17"/>
      <c r="H392" s="17" t="s">
        <v>48</v>
      </c>
      <c r="I392" s="3" t="s">
        <v>49</v>
      </c>
      <c r="J392" s="3">
        <v>1.0</v>
      </c>
      <c r="K392" s="3" t="s">
        <v>272</v>
      </c>
      <c r="L392" s="3" t="s">
        <v>272</v>
      </c>
      <c r="M392" s="3" t="s">
        <v>878</v>
      </c>
      <c r="N392" s="6" t="s">
        <v>879</v>
      </c>
      <c r="O392" s="6" t="s">
        <v>880</v>
      </c>
      <c r="P392" s="3">
        <v>4217.0</v>
      </c>
      <c r="Q392" s="7" t="s">
        <v>60</v>
      </c>
    </row>
    <row r="393">
      <c r="A393" s="17" t="s">
        <v>873</v>
      </c>
      <c r="B393" s="17" t="s">
        <v>874</v>
      </c>
      <c r="C393" s="3" t="s">
        <v>875</v>
      </c>
      <c r="D393" s="17" t="s">
        <v>531</v>
      </c>
      <c r="E393" s="3" t="s">
        <v>893</v>
      </c>
      <c r="F393" s="7" t="s">
        <v>60</v>
      </c>
      <c r="G393" s="17"/>
      <c r="H393" s="17" t="s">
        <v>48</v>
      </c>
      <c r="I393" s="3" t="s">
        <v>49</v>
      </c>
      <c r="J393" s="3">
        <v>1.0</v>
      </c>
      <c r="K393" s="3" t="s">
        <v>272</v>
      </c>
      <c r="L393" s="3" t="s">
        <v>272</v>
      </c>
      <c r="M393" s="3" t="s">
        <v>878</v>
      </c>
      <c r="N393" s="6" t="s">
        <v>879</v>
      </c>
      <c r="O393" s="6" t="s">
        <v>880</v>
      </c>
      <c r="P393" s="3">
        <v>4218.0</v>
      </c>
      <c r="Q393" s="7" t="s">
        <v>60</v>
      </c>
    </row>
    <row r="394">
      <c r="A394" s="17" t="s">
        <v>873</v>
      </c>
      <c r="B394" s="17" t="s">
        <v>874</v>
      </c>
      <c r="C394" s="3" t="s">
        <v>875</v>
      </c>
      <c r="D394" s="17" t="s">
        <v>531</v>
      </c>
      <c r="E394" s="3" t="s">
        <v>894</v>
      </c>
      <c r="F394" s="7" t="s">
        <v>60</v>
      </c>
      <c r="G394" s="17"/>
      <c r="H394" s="17" t="s">
        <v>48</v>
      </c>
      <c r="I394" s="3" t="s">
        <v>49</v>
      </c>
      <c r="J394" s="3">
        <v>1.0</v>
      </c>
      <c r="K394" s="3" t="s">
        <v>272</v>
      </c>
      <c r="L394" s="3" t="s">
        <v>272</v>
      </c>
      <c r="M394" s="3" t="s">
        <v>878</v>
      </c>
      <c r="N394" s="6" t="s">
        <v>879</v>
      </c>
      <c r="O394" s="6" t="s">
        <v>880</v>
      </c>
      <c r="P394" s="3">
        <v>4218.0</v>
      </c>
      <c r="Q394" s="7" t="s">
        <v>60</v>
      </c>
    </row>
    <row r="395">
      <c r="A395" s="19" t="s">
        <v>895</v>
      </c>
      <c r="B395" s="19" t="s">
        <v>896</v>
      </c>
      <c r="C395" s="19" t="s">
        <v>897</v>
      </c>
      <c r="D395" s="19" t="s">
        <v>531</v>
      </c>
      <c r="E395" s="3" t="s">
        <v>898</v>
      </c>
      <c r="F395" s="5">
        <v>45891.0</v>
      </c>
      <c r="G395" s="12" t="s">
        <v>136</v>
      </c>
      <c r="H395" s="19" t="s">
        <v>48</v>
      </c>
      <c r="I395" s="3" t="s">
        <v>49</v>
      </c>
      <c r="J395" s="3">
        <v>25.0</v>
      </c>
      <c r="K395" s="3" t="s">
        <v>899</v>
      </c>
      <c r="L395" s="3" t="s">
        <v>804</v>
      </c>
      <c r="M395" s="3" t="s">
        <v>900</v>
      </c>
      <c r="N395" s="6" t="s">
        <v>901</v>
      </c>
      <c r="O395" s="6" t="s">
        <v>902</v>
      </c>
      <c r="P395" s="3">
        <v>4211.0</v>
      </c>
      <c r="Q395" s="3">
        <v>1.0</v>
      </c>
      <c r="R395" s="3">
        <v>328.9</v>
      </c>
    </row>
    <row r="396">
      <c r="A396" s="19" t="s">
        <v>895</v>
      </c>
      <c r="B396" s="19" t="s">
        <v>896</v>
      </c>
      <c r="C396" s="19" t="s">
        <v>897</v>
      </c>
      <c r="D396" s="19" t="s">
        <v>531</v>
      </c>
      <c r="E396" s="3" t="s">
        <v>903</v>
      </c>
      <c r="F396" s="7" t="s">
        <v>60</v>
      </c>
      <c r="H396" s="19" t="s">
        <v>48</v>
      </c>
      <c r="I396" s="3" t="s">
        <v>49</v>
      </c>
      <c r="J396" s="3">
        <v>13.0</v>
      </c>
      <c r="K396" s="3" t="s">
        <v>904</v>
      </c>
      <c r="L396" s="3" t="s">
        <v>804</v>
      </c>
      <c r="M396" s="3" t="s">
        <v>900</v>
      </c>
      <c r="N396" s="6" t="s">
        <v>901</v>
      </c>
      <c r="O396" s="6" t="s">
        <v>902</v>
      </c>
      <c r="P396" s="3">
        <v>4211.0</v>
      </c>
      <c r="Q396" s="7" t="s">
        <v>60</v>
      </c>
    </row>
    <row r="397">
      <c r="A397" s="19" t="s">
        <v>895</v>
      </c>
      <c r="B397" s="19" t="s">
        <v>896</v>
      </c>
      <c r="C397" s="19" t="s">
        <v>897</v>
      </c>
      <c r="D397" s="19" t="s">
        <v>531</v>
      </c>
      <c r="E397" s="3" t="s">
        <v>905</v>
      </c>
      <c r="F397" s="7" t="s">
        <v>60</v>
      </c>
      <c r="H397" s="19" t="s">
        <v>48</v>
      </c>
      <c r="I397" s="3" t="s">
        <v>49</v>
      </c>
      <c r="J397" s="3">
        <v>10.0</v>
      </c>
      <c r="K397" s="3" t="s">
        <v>906</v>
      </c>
      <c r="L397" s="3" t="s">
        <v>804</v>
      </c>
      <c r="M397" s="3" t="s">
        <v>900</v>
      </c>
      <c r="N397" s="6" t="s">
        <v>901</v>
      </c>
      <c r="O397" s="6" t="s">
        <v>902</v>
      </c>
      <c r="P397" s="3">
        <v>4211.0</v>
      </c>
      <c r="Q397" s="7" t="s">
        <v>60</v>
      </c>
    </row>
    <row r="398">
      <c r="A398" s="19" t="s">
        <v>895</v>
      </c>
      <c r="B398" s="19" t="s">
        <v>896</v>
      </c>
      <c r="C398" s="19" t="s">
        <v>897</v>
      </c>
      <c r="D398" s="19" t="s">
        <v>531</v>
      </c>
      <c r="E398" s="3" t="s">
        <v>907</v>
      </c>
      <c r="F398" s="7" t="s">
        <v>60</v>
      </c>
      <c r="H398" s="19" t="s">
        <v>48</v>
      </c>
      <c r="I398" s="3" t="s">
        <v>49</v>
      </c>
      <c r="J398" s="3">
        <v>10.0</v>
      </c>
      <c r="K398" s="3" t="s">
        <v>906</v>
      </c>
      <c r="L398" s="3" t="s">
        <v>804</v>
      </c>
      <c r="M398" s="3" t="s">
        <v>900</v>
      </c>
      <c r="N398" s="6" t="s">
        <v>901</v>
      </c>
      <c r="O398" s="6" t="s">
        <v>902</v>
      </c>
      <c r="P398" s="3">
        <v>4213.0</v>
      </c>
      <c r="Q398" s="7" t="s">
        <v>60</v>
      </c>
    </row>
    <row r="399">
      <c r="A399" s="19" t="s">
        <v>895</v>
      </c>
      <c r="B399" s="19" t="s">
        <v>896</v>
      </c>
      <c r="C399" s="19" t="s">
        <v>897</v>
      </c>
      <c r="D399" s="19" t="s">
        <v>531</v>
      </c>
      <c r="E399" s="3" t="s">
        <v>908</v>
      </c>
      <c r="F399" s="7" t="s">
        <v>60</v>
      </c>
      <c r="H399" s="19" t="s">
        <v>48</v>
      </c>
      <c r="I399" s="3" t="s">
        <v>49</v>
      </c>
      <c r="J399" s="3">
        <v>2.0</v>
      </c>
      <c r="K399" s="3" t="s">
        <v>909</v>
      </c>
      <c r="L399" s="3" t="s">
        <v>804</v>
      </c>
      <c r="M399" s="3" t="s">
        <v>900</v>
      </c>
      <c r="N399" s="6" t="s">
        <v>901</v>
      </c>
      <c r="O399" s="6" t="s">
        <v>902</v>
      </c>
      <c r="P399" s="3">
        <v>4213.0</v>
      </c>
      <c r="Q399" s="7" t="s">
        <v>60</v>
      </c>
    </row>
    <row r="400">
      <c r="A400" s="19" t="s">
        <v>895</v>
      </c>
      <c r="B400" s="19" t="s">
        <v>896</v>
      </c>
      <c r="C400" s="19" t="s">
        <v>897</v>
      </c>
      <c r="D400" s="19" t="s">
        <v>531</v>
      </c>
      <c r="E400" s="3" t="s">
        <v>910</v>
      </c>
      <c r="F400" s="7" t="s">
        <v>60</v>
      </c>
      <c r="H400" s="19" t="s">
        <v>48</v>
      </c>
      <c r="I400" s="3" t="s">
        <v>49</v>
      </c>
      <c r="J400" s="3">
        <v>10.0</v>
      </c>
      <c r="K400" s="3" t="s">
        <v>906</v>
      </c>
      <c r="L400" s="3" t="s">
        <v>804</v>
      </c>
      <c r="M400" s="3" t="s">
        <v>900</v>
      </c>
      <c r="N400" s="6" t="s">
        <v>901</v>
      </c>
      <c r="O400" s="6" t="s">
        <v>902</v>
      </c>
      <c r="P400" s="3">
        <v>4211.0</v>
      </c>
      <c r="Q400" s="7" t="s">
        <v>60</v>
      </c>
    </row>
    <row r="401">
      <c r="A401" s="19" t="s">
        <v>895</v>
      </c>
      <c r="B401" s="19" t="s">
        <v>896</v>
      </c>
      <c r="C401" s="19" t="s">
        <v>897</v>
      </c>
      <c r="D401" s="19" t="s">
        <v>531</v>
      </c>
      <c r="E401" s="3" t="s">
        <v>911</v>
      </c>
      <c r="F401" s="7" t="s">
        <v>60</v>
      </c>
      <c r="H401" s="19" t="s">
        <v>48</v>
      </c>
      <c r="I401" s="3" t="s">
        <v>49</v>
      </c>
      <c r="J401" s="3">
        <v>2.0</v>
      </c>
      <c r="K401" s="3" t="s">
        <v>909</v>
      </c>
      <c r="L401" s="3" t="s">
        <v>804</v>
      </c>
      <c r="M401" s="3" t="s">
        <v>900</v>
      </c>
      <c r="N401" s="6" t="s">
        <v>901</v>
      </c>
      <c r="O401" s="6" t="s">
        <v>902</v>
      </c>
      <c r="P401" s="3">
        <v>4211.0</v>
      </c>
      <c r="Q401" s="7" t="s">
        <v>60</v>
      </c>
    </row>
    <row r="402">
      <c r="A402" s="19" t="s">
        <v>895</v>
      </c>
      <c r="B402" s="19" t="s">
        <v>896</v>
      </c>
      <c r="C402" s="19" t="s">
        <v>897</v>
      </c>
      <c r="D402" s="19" t="s">
        <v>531</v>
      </c>
      <c r="E402" s="3" t="s">
        <v>912</v>
      </c>
      <c r="F402" s="7" t="s">
        <v>60</v>
      </c>
      <c r="H402" s="19" t="s">
        <v>48</v>
      </c>
      <c r="I402" s="3" t="s">
        <v>49</v>
      </c>
      <c r="J402" s="3">
        <v>2.0</v>
      </c>
      <c r="K402" s="3" t="s">
        <v>909</v>
      </c>
      <c r="L402" s="3" t="s">
        <v>804</v>
      </c>
      <c r="M402" s="3" t="s">
        <v>900</v>
      </c>
      <c r="N402" s="6" t="s">
        <v>901</v>
      </c>
      <c r="O402" s="6" t="s">
        <v>902</v>
      </c>
      <c r="P402" s="3">
        <v>4211.0</v>
      </c>
      <c r="Q402" s="7" t="s">
        <v>60</v>
      </c>
    </row>
    <row r="403">
      <c r="A403" s="19" t="s">
        <v>895</v>
      </c>
      <c r="B403" s="19" t="s">
        <v>896</v>
      </c>
      <c r="C403" s="19" t="s">
        <v>897</v>
      </c>
      <c r="D403" s="19" t="s">
        <v>531</v>
      </c>
      <c r="E403" s="3" t="s">
        <v>913</v>
      </c>
      <c r="F403" s="7" t="s">
        <v>60</v>
      </c>
      <c r="H403" s="19" t="s">
        <v>48</v>
      </c>
      <c r="I403" s="3" t="s">
        <v>49</v>
      </c>
      <c r="J403" s="3">
        <v>2.0</v>
      </c>
      <c r="K403" s="3" t="s">
        <v>909</v>
      </c>
      <c r="L403" s="3" t="s">
        <v>804</v>
      </c>
      <c r="M403" s="3" t="s">
        <v>900</v>
      </c>
      <c r="N403" s="6" t="s">
        <v>901</v>
      </c>
      <c r="O403" s="6" t="s">
        <v>902</v>
      </c>
      <c r="P403" s="3">
        <v>4211.0</v>
      </c>
      <c r="Q403" s="7" t="s">
        <v>60</v>
      </c>
    </row>
    <row r="404">
      <c r="A404" s="19" t="s">
        <v>895</v>
      </c>
      <c r="B404" s="19" t="s">
        <v>896</v>
      </c>
      <c r="C404" s="19" t="s">
        <v>897</v>
      </c>
      <c r="D404" s="19" t="s">
        <v>531</v>
      </c>
      <c r="E404" s="3" t="s">
        <v>914</v>
      </c>
      <c r="F404" s="7" t="s">
        <v>60</v>
      </c>
      <c r="H404" s="19" t="s">
        <v>48</v>
      </c>
      <c r="I404" s="3" t="s">
        <v>49</v>
      </c>
      <c r="J404" s="3">
        <v>1.0</v>
      </c>
      <c r="K404" s="3" t="s">
        <v>804</v>
      </c>
      <c r="L404" s="3" t="s">
        <v>804</v>
      </c>
      <c r="M404" s="3" t="s">
        <v>900</v>
      </c>
      <c r="N404" s="6" t="s">
        <v>901</v>
      </c>
      <c r="O404" s="6" t="s">
        <v>902</v>
      </c>
      <c r="P404" s="3">
        <v>4213.0</v>
      </c>
      <c r="Q404" s="7" t="s">
        <v>60</v>
      </c>
    </row>
    <row r="405">
      <c r="A405" s="19" t="s">
        <v>915</v>
      </c>
      <c r="B405" s="19" t="s">
        <v>916</v>
      </c>
      <c r="C405" s="19" t="s">
        <v>917</v>
      </c>
      <c r="D405" s="19" t="s">
        <v>531</v>
      </c>
      <c r="E405" s="3" t="s">
        <v>918</v>
      </c>
      <c r="F405" s="5">
        <v>45893.0</v>
      </c>
      <c r="G405" s="24" t="s">
        <v>214</v>
      </c>
      <c r="H405" s="19" t="s">
        <v>48</v>
      </c>
      <c r="I405" s="3" t="s">
        <v>49</v>
      </c>
      <c r="J405" s="3">
        <v>2.0</v>
      </c>
      <c r="K405" s="3" t="s">
        <v>158</v>
      </c>
      <c r="L405" s="3" t="s">
        <v>492</v>
      </c>
      <c r="M405" s="3" t="s">
        <v>919</v>
      </c>
      <c r="N405" s="6" t="s">
        <v>920</v>
      </c>
      <c r="O405" s="6" t="s">
        <v>921</v>
      </c>
      <c r="P405" s="3">
        <v>4225.0</v>
      </c>
      <c r="Q405" s="3">
        <v>2.0</v>
      </c>
      <c r="R405" s="3">
        <v>383.9</v>
      </c>
    </row>
    <row r="406">
      <c r="A406" s="19" t="s">
        <v>915</v>
      </c>
      <c r="B406" s="19" t="s">
        <v>916</v>
      </c>
      <c r="C406" s="19" t="s">
        <v>917</v>
      </c>
      <c r="D406" s="19" t="s">
        <v>531</v>
      </c>
      <c r="E406" s="3" t="s">
        <v>78</v>
      </c>
      <c r="F406" s="7" t="s">
        <v>60</v>
      </c>
      <c r="H406" s="19" t="s">
        <v>48</v>
      </c>
      <c r="I406" s="3" t="s">
        <v>49</v>
      </c>
      <c r="J406" s="3">
        <v>2.0</v>
      </c>
      <c r="K406" s="3" t="s">
        <v>158</v>
      </c>
      <c r="L406" s="3" t="s">
        <v>492</v>
      </c>
      <c r="M406" s="3" t="s">
        <v>919</v>
      </c>
      <c r="N406" s="6" t="s">
        <v>920</v>
      </c>
      <c r="O406" s="6" t="s">
        <v>921</v>
      </c>
      <c r="P406" s="3">
        <v>4221.0</v>
      </c>
      <c r="Q406" s="7" t="s">
        <v>60</v>
      </c>
    </row>
    <row r="407">
      <c r="A407" s="19" t="s">
        <v>915</v>
      </c>
      <c r="B407" s="19" t="s">
        <v>916</v>
      </c>
      <c r="C407" s="19" t="s">
        <v>917</v>
      </c>
      <c r="D407" s="19" t="s">
        <v>531</v>
      </c>
      <c r="E407" s="3" t="s">
        <v>922</v>
      </c>
      <c r="F407" s="7" t="s">
        <v>60</v>
      </c>
      <c r="H407" s="19" t="s">
        <v>48</v>
      </c>
      <c r="I407" s="3" t="s">
        <v>49</v>
      </c>
      <c r="J407" s="3">
        <v>2.0</v>
      </c>
      <c r="K407" s="3" t="s">
        <v>158</v>
      </c>
      <c r="L407" s="3" t="s">
        <v>492</v>
      </c>
      <c r="M407" s="3" t="s">
        <v>919</v>
      </c>
      <c r="N407" s="6" t="s">
        <v>920</v>
      </c>
      <c r="O407" s="6" t="s">
        <v>921</v>
      </c>
      <c r="P407" s="3">
        <v>4223.0</v>
      </c>
      <c r="Q407" s="7" t="s">
        <v>60</v>
      </c>
    </row>
    <row r="408">
      <c r="A408" s="19" t="s">
        <v>915</v>
      </c>
      <c r="B408" s="19" t="s">
        <v>916</v>
      </c>
      <c r="C408" s="19" t="s">
        <v>917</v>
      </c>
      <c r="D408" s="19" t="s">
        <v>531</v>
      </c>
      <c r="E408" s="3" t="s">
        <v>923</v>
      </c>
      <c r="F408" s="7" t="s">
        <v>60</v>
      </c>
      <c r="H408" s="19" t="s">
        <v>48</v>
      </c>
      <c r="I408" s="3" t="s">
        <v>49</v>
      </c>
      <c r="J408" s="3">
        <v>2.0</v>
      </c>
      <c r="K408" s="3" t="s">
        <v>158</v>
      </c>
      <c r="L408" s="3" t="s">
        <v>492</v>
      </c>
      <c r="M408" s="3" t="s">
        <v>919</v>
      </c>
      <c r="N408" s="6" t="s">
        <v>920</v>
      </c>
      <c r="O408" s="6" t="s">
        <v>921</v>
      </c>
      <c r="P408" s="3">
        <v>4223.0</v>
      </c>
      <c r="Q408" s="7" t="s">
        <v>60</v>
      </c>
    </row>
    <row r="409">
      <c r="A409" s="19" t="s">
        <v>915</v>
      </c>
      <c r="B409" s="19" t="s">
        <v>916</v>
      </c>
      <c r="C409" s="19" t="s">
        <v>917</v>
      </c>
      <c r="D409" s="19" t="s">
        <v>531</v>
      </c>
      <c r="E409" s="3" t="s">
        <v>924</v>
      </c>
      <c r="F409" s="7" t="s">
        <v>60</v>
      </c>
      <c r="H409" s="19" t="s">
        <v>48</v>
      </c>
      <c r="I409" s="3" t="s">
        <v>49</v>
      </c>
      <c r="J409" s="3">
        <v>2.0</v>
      </c>
      <c r="K409" s="3" t="s">
        <v>158</v>
      </c>
      <c r="L409" s="3" t="s">
        <v>492</v>
      </c>
      <c r="M409" s="3" t="s">
        <v>919</v>
      </c>
      <c r="N409" s="6" t="s">
        <v>920</v>
      </c>
      <c r="O409" s="6" t="s">
        <v>921</v>
      </c>
      <c r="P409" s="3">
        <v>4224.0</v>
      </c>
      <c r="Q409" s="7" t="s">
        <v>60</v>
      </c>
    </row>
    <row r="410">
      <c r="A410" s="19" t="s">
        <v>915</v>
      </c>
      <c r="B410" s="19" t="s">
        <v>916</v>
      </c>
      <c r="C410" s="19" t="s">
        <v>917</v>
      </c>
      <c r="D410" s="19" t="s">
        <v>46</v>
      </c>
      <c r="E410" s="3" t="s">
        <v>925</v>
      </c>
      <c r="F410" s="7" t="s">
        <v>60</v>
      </c>
      <c r="H410" s="19" t="s">
        <v>48</v>
      </c>
      <c r="I410" s="3" t="s">
        <v>49</v>
      </c>
      <c r="J410" s="3">
        <v>2.0</v>
      </c>
      <c r="K410" s="3" t="s">
        <v>158</v>
      </c>
      <c r="L410" s="3" t="s">
        <v>492</v>
      </c>
      <c r="M410" s="3" t="s">
        <v>919</v>
      </c>
      <c r="N410" s="6" t="s">
        <v>920</v>
      </c>
      <c r="O410" s="6" t="s">
        <v>921</v>
      </c>
      <c r="P410" s="3">
        <v>2485.0</v>
      </c>
      <c r="Q410" s="7" t="s">
        <v>60</v>
      </c>
    </row>
    <row r="411">
      <c r="A411" s="19" t="s">
        <v>915</v>
      </c>
      <c r="B411" s="19" t="s">
        <v>916</v>
      </c>
      <c r="C411" s="19" t="s">
        <v>917</v>
      </c>
      <c r="D411" s="19" t="s">
        <v>46</v>
      </c>
      <c r="E411" s="3" t="s">
        <v>926</v>
      </c>
      <c r="F411" s="7" t="s">
        <v>60</v>
      </c>
      <c r="H411" s="19" t="s">
        <v>48</v>
      </c>
      <c r="I411" s="3" t="s">
        <v>49</v>
      </c>
      <c r="J411" s="3">
        <v>2.0</v>
      </c>
      <c r="K411" s="3" t="s">
        <v>158</v>
      </c>
      <c r="L411" s="3" t="s">
        <v>492</v>
      </c>
      <c r="M411" s="3" t="s">
        <v>919</v>
      </c>
      <c r="N411" s="6" t="s">
        <v>920</v>
      </c>
      <c r="O411" s="6" t="s">
        <v>921</v>
      </c>
      <c r="P411" s="3">
        <v>2485.0</v>
      </c>
      <c r="Q411" s="7" t="s">
        <v>60</v>
      </c>
    </row>
    <row r="412">
      <c r="A412" s="19" t="s">
        <v>915</v>
      </c>
      <c r="B412" s="19" t="s">
        <v>916</v>
      </c>
      <c r="C412" s="19" t="s">
        <v>917</v>
      </c>
      <c r="D412" s="19" t="s">
        <v>46</v>
      </c>
      <c r="E412" s="3" t="s">
        <v>927</v>
      </c>
      <c r="F412" s="7" t="s">
        <v>60</v>
      </c>
      <c r="H412" s="19" t="s">
        <v>48</v>
      </c>
      <c r="I412" s="3" t="s">
        <v>49</v>
      </c>
      <c r="J412" s="3">
        <v>2.0</v>
      </c>
      <c r="K412" s="3" t="s">
        <v>158</v>
      </c>
      <c r="L412" s="3" t="s">
        <v>492</v>
      </c>
      <c r="M412" s="3" t="s">
        <v>919</v>
      </c>
      <c r="N412" s="6" t="s">
        <v>920</v>
      </c>
      <c r="O412" s="6" t="s">
        <v>921</v>
      </c>
      <c r="P412" s="3">
        <v>2486.0</v>
      </c>
      <c r="Q412" s="7" t="s">
        <v>60</v>
      </c>
    </row>
    <row r="413">
      <c r="A413" s="19" t="s">
        <v>915</v>
      </c>
      <c r="B413" s="19" t="s">
        <v>916</v>
      </c>
      <c r="C413" s="19" t="s">
        <v>917</v>
      </c>
      <c r="D413" s="19" t="s">
        <v>531</v>
      </c>
      <c r="E413" s="3" t="s">
        <v>928</v>
      </c>
      <c r="F413" s="7" t="s">
        <v>60</v>
      </c>
      <c r="H413" s="19" t="s">
        <v>48</v>
      </c>
      <c r="I413" s="3" t="s">
        <v>49</v>
      </c>
      <c r="J413" s="3">
        <v>2.0</v>
      </c>
      <c r="K413" s="3" t="s">
        <v>158</v>
      </c>
      <c r="L413" s="3" t="s">
        <v>492</v>
      </c>
      <c r="M413" s="3" t="s">
        <v>919</v>
      </c>
      <c r="N413" s="6" t="s">
        <v>920</v>
      </c>
      <c r="O413" s="6" t="s">
        <v>921</v>
      </c>
      <c r="P413" s="3">
        <v>4221.0</v>
      </c>
      <c r="Q413" s="7" t="s">
        <v>60</v>
      </c>
    </row>
    <row r="414">
      <c r="A414" s="19" t="s">
        <v>915</v>
      </c>
      <c r="B414" s="19" t="s">
        <v>916</v>
      </c>
      <c r="C414" s="19" t="s">
        <v>917</v>
      </c>
      <c r="D414" s="19" t="s">
        <v>531</v>
      </c>
      <c r="E414" s="3" t="s">
        <v>929</v>
      </c>
      <c r="F414" s="7" t="s">
        <v>60</v>
      </c>
      <c r="H414" s="19" t="s">
        <v>48</v>
      </c>
      <c r="I414" s="3" t="s">
        <v>49</v>
      </c>
      <c r="J414" s="3">
        <v>1.0</v>
      </c>
      <c r="K414" s="3" t="s">
        <v>492</v>
      </c>
      <c r="L414" s="3" t="s">
        <v>492</v>
      </c>
      <c r="M414" s="3" t="s">
        <v>919</v>
      </c>
      <c r="N414" s="6" t="s">
        <v>920</v>
      </c>
      <c r="O414" s="6" t="s">
        <v>921</v>
      </c>
      <c r="P414" s="3">
        <v>4225.0</v>
      </c>
      <c r="Q414" s="7" t="s">
        <v>60</v>
      </c>
    </row>
    <row r="415">
      <c r="A415" s="19" t="s">
        <v>915</v>
      </c>
      <c r="B415" s="19" t="s">
        <v>916</v>
      </c>
      <c r="C415" s="19" t="s">
        <v>917</v>
      </c>
      <c r="D415" s="19" t="s">
        <v>531</v>
      </c>
      <c r="E415" s="3" t="s">
        <v>930</v>
      </c>
      <c r="F415" s="7" t="s">
        <v>60</v>
      </c>
      <c r="H415" s="19" t="s">
        <v>48</v>
      </c>
      <c r="I415" s="3" t="s">
        <v>49</v>
      </c>
      <c r="J415" s="3">
        <v>1.0</v>
      </c>
      <c r="K415" s="3" t="s">
        <v>492</v>
      </c>
      <c r="L415" s="3" t="s">
        <v>492</v>
      </c>
      <c r="M415" s="3" t="s">
        <v>919</v>
      </c>
      <c r="N415" s="6" t="s">
        <v>920</v>
      </c>
      <c r="O415" s="6" t="s">
        <v>921</v>
      </c>
      <c r="P415" s="3">
        <v>4228.0</v>
      </c>
      <c r="Q415" s="7" t="s">
        <v>60</v>
      </c>
    </row>
    <row r="416">
      <c r="A416" s="19" t="s">
        <v>915</v>
      </c>
      <c r="B416" s="19" t="s">
        <v>916</v>
      </c>
      <c r="C416" s="19" t="s">
        <v>917</v>
      </c>
      <c r="D416" s="19" t="s">
        <v>46</v>
      </c>
      <c r="E416" s="3" t="s">
        <v>931</v>
      </c>
      <c r="F416" s="7" t="s">
        <v>60</v>
      </c>
      <c r="H416" s="19" t="s">
        <v>48</v>
      </c>
      <c r="I416" s="3" t="s">
        <v>49</v>
      </c>
      <c r="J416" s="3">
        <v>1.0</v>
      </c>
      <c r="K416" s="3" t="s">
        <v>492</v>
      </c>
      <c r="L416" s="3" t="s">
        <v>492</v>
      </c>
      <c r="M416" s="3" t="s">
        <v>919</v>
      </c>
      <c r="N416" s="6" t="s">
        <v>920</v>
      </c>
      <c r="O416" s="6" t="s">
        <v>921</v>
      </c>
      <c r="P416" s="3">
        <v>2486.0</v>
      </c>
      <c r="Q416" s="7" t="s">
        <v>60</v>
      </c>
    </row>
    <row r="417">
      <c r="A417" s="19" t="s">
        <v>932</v>
      </c>
      <c r="B417" s="41" t="s">
        <v>933</v>
      </c>
      <c r="C417" s="19" t="s">
        <v>934</v>
      </c>
      <c r="D417" s="19" t="s">
        <v>531</v>
      </c>
      <c r="E417" s="3" t="s">
        <v>935</v>
      </c>
      <c r="F417" s="5">
        <v>45915.0</v>
      </c>
      <c r="G417" s="24" t="s">
        <v>214</v>
      </c>
      <c r="H417" s="19" t="s">
        <v>48</v>
      </c>
      <c r="I417" s="3" t="s">
        <v>49</v>
      </c>
      <c r="J417" s="3">
        <v>1.0</v>
      </c>
      <c r="K417" s="3" t="s">
        <v>936</v>
      </c>
      <c r="L417" s="3" t="s">
        <v>936</v>
      </c>
      <c r="M417" s="3" t="s">
        <v>535</v>
      </c>
      <c r="N417" s="6" t="s">
        <v>937</v>
      </c>
      <c r="O417" s="6" t="s">
        <v>603</v>
      </c>
      <c r="P417" s="3">
        <v>4214.0</v>
      </c>
      <c r="Q417" s="7" t="s">
        <v>60</v>
      </c>
    </row>
    <row r="418">
      <c r="A418" s="19" t="s">
        <v>932</v>
      </c>
      <c r="B418" s="41" t="s">
        <v>938</v>
      </c>
      <c r="C418" s="19" t="s">
        <v>934</v>
      </c>
      <c r="D418" s="19" t="s">
        <v>531</v>
      </c>
      <c r="E418" s="3" t="s">
        <v>939</v>
      </c>
      <c r="F418" s="7" t="s">
        <v>60</v>
      </c>
      <c r="H418" s="19" t="s">
        <v>48</v>
      </c>
      <c r="I418" s="3" t="s">
        <v>49</v>
      </c>
      <c r="J418" s="3">
        <v>1.0</v>
      </c>
      <c r="K418" s="3" t="s">
        <v>936</v>
      </c>
      <c r="L418" s="3" t="s">
        <v>936</v>
      </c>
      <c r="M418" s="3" t="s">
        <v>535</v>
      </c>
      <c r="N418" s="6" t="s">
        <v>937</v>
      </c>
      <c r="O418" s="6" t="s">
        <v>603</v>
      </c>
      <c r="P418" s="3">
        <v>4217.0</v>
      </c>
      <c r="Q418" s="3">
        <v>2.0</v>
      </c>
      <c r="R418" s="3">
        <v>383.9</v>
      </c>
    </row>
    <row r="419">
      <c r="A419" s="19" t="s">
        <v>932</v>
      </c>
      <c r="B419" s="41" t="s">
        <v>933</v>
      </c>
      <c r="C419" s="19" t="s">
        <v>934</v>
      </c>
      <c r="D419" s="19" t="s">
        <v>531</v>
      </c>
      <c r="E419" s="3" t="s">
        <v>940</v>
      </c>
      <c r="F419" s="7" t="s">
        <v>60</v>
      </c>
      <c r="H419" s="19" t="s">
        <v>48</v>
      </c>
      <c r="I419" s="3" t="s">
        <v>49</v>
      </c>
      <c r="J419" s="3">
        <v>1.0</v>
      </c>
      <c r="K419" s="3" t="s">
        <v>936</v>
      </c>
      <c r="L419" s="3" t="s">
        <v>936</v>
      </c>
      <c r="M419" s="3" t="s">
        <v>535</v>
      </c>
      <c r="N419" s="6" t="s">
        <v>937</v>
      </c>
      <c r="O419" s="6" t="s">
        <v>603</v>
      </c>
      <c r="P419" s="3">
        <v>4217.0</v>
      </c>
      <c r="Q419" s="7" t="s">
        <v>60</v>
      </c>
    </row>
    <row r="420">
      <c r="A420" s="19" t="s">
        <v>932</v>
      </c>
      <c r="B420" s="41" t="s">
        <v>933</v>
      </c>
      <c r="C420" s="19" t="s">
        <v>934</v>
      </c>
      <c r="D420" s="19" t="s">
        <v>531</v>
      </c>
      <c r="E420" s="27" t="s">
        <v>424</v>
      </c>
      <c r="F420" s="7" t="s">
        <v>60</v>
      </c>
      <c r="H420" s="19" t="s">
        <v>48</v>
      </c>
      <c r="I420" s="3" t="s">
        <v>49</v>
      </c>
      <c r="J420" s="3">
        <v>1.0</v>
      </c>
      <c r="K420" s="3" t="s">
        <v>936</v>
      </c>
      <c r="L420" s="3" t="s">
        <v>936</v>
      </c>
      <c r="M420" s="3" t="s">
        <v>535</v>
      </c>
      <c r="N420" s="6" t="s">
        <v>937</v>
      </c>
      <c r="O420" s="6" t="s">
        <v>603</v>
      </c>
      <c r="P420" s="3">
        <v>4214.0</v>
      </c>
      <c r="Q420" s="7" t="s">
        <v>60</v>
      </c>
    </row>
    <row r="421">
      <c r="A421" s="19" t="s">
        <v>932</v>
      </c>
      <c r="B421" s="41" t="s">
        <v>933</v>
      </c>
      <c r="C421" s="19" t="s">
        <v>934</v>
      </c>
      <c r="D421" s="19" t="s">
        <v>531</v>
      </c>
      <c r="E421" s="3" t="s">
        <v>941</v>
      </c>
      <c r="F421" s="7" t="s">
        <v>60</v>
      </c>
      <c r="H421" s="19" t="s">
        <v>48</v>
      </c>
      <c r="I421" s="3" t="s">
        <v>49</v>
      </c>
      <c r="J421" s="3">
        <v>1.0</v>
      </c>
      <c r="K421" s="3" t="s">
        <v>936</v>
      </c>
      <c r="L421" s="3" t="s">
        <v>936</v>
      </c>
      <c r="M421" s="3" t="s">
        <v>535</v>
      </c>
      <c r="N421" s="6" t="s">
        <v>937</v>
      </c>
      <c r="O421" s="6" t="s">
        <v>603</v>
      </c>
      <c r="P421" s="3">
        <v>4211.0</v>
      </c>
      <c r="Q421" s="7" t="s">
        <v>60</v>
      </c>
    </row>
    <row r="422">
      <c r="A422" s="19" t="s">
        <v>932</v>
      </c>
      <c r="B422" s="41" t="s">
        <v>933</v>
      </c>
      <c r="C422" s="19" t="s">
        <v>934</v>
      </c>
      <c r="D422" s="19" t="s">
        <v>531</v>
      </c>
      <c r="E422" s="3" t="s">
        <v>942</v>
      </c>
      <c r="F422" s="7" t="s">
        <v>60</v>
      </c>
      <c r="H422" s="19" t="s">
        <v>48</v>
      </c>
      <c r="I422" s="3" t="s">
        <v>49</v>
      </c>
      <c r="J422" s="3">
        <v>1.0</v>
      </c>
      <c r="K422" s="3" t="s">
        <v>936</v>
      </c>
      <c r="L422" s="3" t="s">
        <v>936</v>
      </c>
      <c r="M422" s="3" t="s">
        <v>535</v>
      </c>
      <c r="N422" s="6" t="s">
        <v>937</v>
      </c>
      <c r="O422" s="6" t="s">
        <v>603</v>
      </c>
      <c r="P422" s="3">
        <v>4216.0</v>
      </c>
      <c r="Q422" s="7" t="s">
        <v>60</v>
      </c>
    </row>
    <row r="423">
      <c r="A423" s="17" t="s">
        <v>943</v>
      </c>
      <c r="B423" s="23" t="s">
        <v>944</v>
      </c>
      <c r="C423" s="19" t="s">
        <v>945</v>
      </c>
      <c r="D423" s="19" t="s">
        <v>531</v>
      </c>
      <c r="E423" s="3" t="s">
        <v>946</v>
      </c>
      <c r="F423" s="5">
        <v>45869.0</v>
      </c>
      <c r="G423" s="24" t="s">
        <v>214</v>
      </c>
      <c r="H423" s="19" t="s">
        <v>48</v>
      </c>
      <c r="I423" s="3" t="s">
        <v>49</v>
      </c>
      <c r="J423" s="3">
        <v>2.0</v>
      </c>
      <c r="K423" s="3" t="s">
        <v>947</v>
      </c>
      <c r="L423" s="3" t="s">
        <v>948</v>
      </c>
      <c r="M423" s="3" t="s">
        <v>949</v>
      </c>
      <c r="N423" s="6" t="s">
        <v>950</v>
      </c>
      <c r="O423" s="6" t="s">
        <v>951</v>
      </c>
      <c r="P423" s="3">
        <v>4557.0</v>
      </c>
      <c r="Q423" s="3">
        <v>1.0</v>
      </c>
      <c r="R423" s="3">
        <v>698.0</v>
      </c>
    </row>
    <row r="424">
      <c r="A424" s="17" t="s">
        <v>943</v>
      </c>
      <c r="B424" s="23" t="s">
        <v>944</v>
      </c>
      <c r="C424" s="19" t="s">
        <v>945</v>
      </c>
      <c r="D424" s="19" t="s">
        <v>531</v>
      </c>
      <c r="E424" s="3" t="s">
        <v>952</v>
      </c>
      <c r="F424" s="7" t="s">
        <v>60</v>
      </c>
      <c r="H424" s="19" t="s">
        <v>48</v>
      </c>
      <c r="I424" s="3" t="s">
        <v>49</v>
      </c>
      <c r="J424" s="3">
        <v>2.0</v>
      </c>
      <c r="K424" s="3" t="s">
        <v>953</v>
      </c>
      <c r="L424" s="3" t="s">
        <v>954</v>
      </c>
      <c r="M424" s="3" t="s">
        <v>949</v>
      </c>
      <c r="N424" s="6" t="s">
        <v>950</v>
      </c>
      <c r="O424" s="6" t="s">
        <v>951</v>
      </c>
      <c r="P424" s="3">
        <v>4553.0</v>
      </c>
      <c r="Q424" s="7" t="s">
        <v>60</v>
      </c>
    </row>
    <row r="425">
      <c r="A425" s="17" t="s">
        <v>943</v>
      </c>
      <c r="B425" s="23" t="s">
        <v>944</v>
      </c>
      <c r="C425" s="19" t="s">
        <v>945</v>
      </c>
      <c r="D425" s="19" t="s">
        <v>531</v>
      </c>
      <c r="E425" s="3" t="s">
        <v>955</v>
      </c>
      <c r="F425" s="7" t="s">
        <v>60</v>
      </c>
      <c r="H425" s="19" t="s">
        <v>48</v>
      </c>
      <c r="I425" s="3" t="s">
        <v>49</v>
      </c>
      <c r="J425" s="3">
        <v>1.0</v>
      </c>
      <c r="K425" s="3" t="s">
        <v>423</v>
      </c>
      <c r="L425" s="3" t="s">
        <v>423</v>
      </c>
      <c r="M425" s="3" t="s">
        <v>949</v>
      </c>
      <c r="N425" s="6" t="s">
        <v>950</v>
      </c>
      <c r="O425" s="6" t="s">
        <v>951</v>
      </c>
      <c r="P425" s="3">
        <v>4556.0</v>
      </c>
      <c r="Q425" s="7" t="s">
        <v>60</v>
      </c>
    </row>
    <row r="426">
      <c r="A426" s="17" t="s">
        <v>943</v>
      </c>
      <c r="B426" s="23" t="s">
        <v>944</v>
      </c>
      <c r="C426" s="19" t="s">
        <v>945</v>
      </c>
      <c r="D426" s="19" t="s">
        <v>531</v>
      </c>
      <c r="E426" s="3" t="s">
        <v>956</v>
      </c>
      <c r="F426" s="7" t="s">
        <v>60</v>
      </c>
      <c r="H426" s="19" t="s">
        <v>48</v>
      </c>
      <c r="I426" s="3" t="s">
        <v>49</v>
      </c>
      <c r="J426" s="3">
        <v>2.0</v>
      </c>
      <c r="K426" s="3" t="s">
        <v>718</v>
      </c>
      <c r="L426" s="3" t="s">
        <v>757</v>
      </c>
      <c r="M426" s="3" t="s">
        <v>949</v>
      </c>
      <c r="N426" s="6" t="s">
        <v>950</v>
      </c>
      <c r="O426" s="6" t="s">
        <v>951</v>
      </c>
      <c r="P426" s="3">
        <v>4572.0</v>
      </c>
      <c r="Q426" s="7" t="s">
        <v>60</v>
      </c>
    </row>
    <row r="427">
      <c r="A427" s="17" t="s">
        <v>943</v>
      </c>
      <c r="B427" s="23" t="s">
        <v>944</v>
      </c>
      <c r="C427" s="19" t="s">
        <v>945</v>
      </c>
      <c r="D427" s="19" t="s">
        <v>531</v>
      </c>
      <c r="E427" s="3" t="s">
        <v>957</v>
      </c>
      <c r="F427" s="7" t="s">
        <v>60</v>
      </c>
      <c r="H427" s="19" t="s">
        <v>48</v>
      </c>
      <c r="I427" s="3" t="s">
        <v>49</v>
      </c>
      <c r="J427" s="3">
        <v>1.0</v>
      </c>
      <c r="K427" s="3" t="s">
        <v>958</v>
      </c>
      <c r="L427" s="3" t="s">
        <v>958</v>
      </c>
      <c r="M427" s="3" t="s">
        <v>949</v>
      </c>
      <c r="N427" s="6" t="s">
        <v>950</v>
      </c>
      <c r="O427" s="6" t="s">
        <v>951</v>
      </c>
      <c r="P427" s="3">
        <v>4575.0</v>
      </c>
      <c r="Q427" s="7" t="s">
        <v>60</v>
      </c>
    </row>
    <row r="428">
      <c r="A428" s="17" t="s">
        <v>943</v>
      </c>
      <c r="B428" s="23" t="s">
        <v>944</v>
      </c>
      <c r="C428" s="19" t="s">
        <v>945</v>
      </c>
      <c r="D428" s="19" t="s">
        <v>531</v>
      </c>
      <c r="E428" s="3" t="s">
        <v>959</v>
      </c>
      <c r="F428" s="7" t="s">
        <v>60</v>
      </c>
      <c r="H428" s="19" t="s">
        <v>48</v>
      </c>
      <c r="I428" s="3" t="s">
        <v>49</v>
      </c>
      <c r="J428" s="3">
        <v>1.0</v>
      </c>
      <c r="K428" s="3" t="s">
        <v>958</v>
      </c>
      <c r="L428" s="3" t="s">
        <v>958</v>
      </c>
      <c r="M428" s="3" t="s">
        <v>949</v>
      </c>
      <c r="N428" s="6" t="s">
        <v>950</v>
      </c>
      <c r="O428" s="6" t="s">
        <v>951</v>
      </c>
      <c r="P428" s="3">
        <v>4557.0</v>
      </c>
      <c r="Q428" s="7" t="s">
        <v>60</v>
      </c>
    </row>
    <row r="429">
      <c r="A429" s="17" t="s">
        <v>943</v>
      </c>
      <c r="B429" s="23" t="s">
        <v>944</v>
      </c>
      <c r="C429" s="19" t="s">
        <v>945</v>
      </c>
      <c r="D429" s="19" t="s">
        <v>531</v>
      </c>
      <c r="E429" s="3" t="s">
        <v>960</v>
      </c>
      <c r="F429" s="7" t="s">
        <v>60</v>
      </c>
      <c r="H429" s="19" t="s">
        <v>48</v>
      </c>
      <c r="I429" s="3" t="s">
        <v>49</v>
      </c>
      <c r="J429" s="3">
        <v>5.0</v>
      </c>
      <c r="K429" s="3" t="s">
        <v>961</v>
      </c>
      <c r="L429" s="3" t="s">
        <v>958</v>
      </c>
      <c r="M429" s="3" t="s">
        <v>949</v>
      </c>
      <c r="N429" s="6" t="s">
        <v>950</v>
      </c>
      <c r="O429" s="6" t="s">
        <v>951</v>
      </c>
      <c r="P429" s="3">
        <v>4556.0</v>
      </c>
      <c r="Q429" s="7" t="s">
        <v>60</v>
      </c>
    </row>
    <row r="430">
      <c r="A430" s="17" t="s">
        <v>943</v>
      </c>
      <c r="B430" s="23" t="s">
        <v>944</v>
      </c>
      <c r="C430" s="19" t="s">
        <v>945</v>
      </c>
      <c r="D430" s="19" t="s">
        <v>531</v>
      </c>
      <c r="E430" s="3" t="s">
        <v>962</v>
      </c>
      <c r="F430" s="7" t="s">
        <v>60</v>
      </c>
      <c r="H430" s="19" t="s">
        <v>48</v>
      </c>
      <c r="I430" s="3" t="s">
        <v>49</v>
      </c>
      <c r="J430" s="3">
        <v>5.0</v>
      </c>
      <c r="K430" s="3" t="s">
        <v>961</v>
      </c>
      <c r="L430" s="3" t="s">
        <v>958</v>
      </c>
      <c r="M430" s="3" t="s">
        <v>949</v>
      </c>
      <c r="N430" s="6" t="s">
        <v>950</v>
      </c>
      <c r="O430" s="6" t="s">
        <v>951</v>
      </c>
      <c r="P430" s="3">
        <v>4551.0</v>
      </c>
      <c r="Q430" s="7" t="s">
        <v>60</v>
      </c>
    </row>
    <row r="431">
      <c r="A431" s="17" t="s">
        <v>943</v>
      </c>
      <c r="B431" s="23" t="s">
        <v>944</v>
      </c>
      <c r="C431" s="19" t="s">
        <v>945</v>
      </c>
      <c r="D431" s="19" t="s">
        <v>531</v>
      </c>
      <c r="E431" s="3" t="s">
        <v>963</v>
      </c>
      <c r="F431" s="7" t="s">
        <v>60</v>
      </c>
      <c r="H431" s="19" t="s">
        <v>48</v>
      </c>
      <c r="I431" s="3" t="s">
        <v>49</v>
      </c>
      <c r="J431" s="3">
        <v>5.0</v>
      </c>
      <c r="K431" s="3" t="s">
        <v>961</v>
      </c>
      <c r="L431" s="3" t="s">
        <v>958</v>
      </c>
      <c r="M431" s="3" t="s">
        <v>949</v>
      </c>
      <c r="N431" s="6" t="s">
        <v>950</v>
      </c>
      <c r="O431" s="6" t="s">
        <v>951</v>
      </c>
      <c r="P431" s="3">
        <v>4575.0</v>
      </c>
      <c r="Q431" s="7" t="s">
        <v>60</v>
      </c>
    </row>
    <row r="432">
      <c r="A432" s="17" t="s">
        <v>943</v>
      </c>
      <c r="B432" s="23" t="s">
        <v>944</v>
      </c>
      <c r="C432" s="19" t="s">
        <v>945</v>
      </c>
      <c r="D432" s="19" t="s">
        <v>531</v>
      </c>
      <c r="E432" s="3" t="s">
        <v>964</v>
      </c>
      <c r="F432" s="7" t="s">
        <v>60</v>
      </c>
      <c r="H432" s="19" t="s">
        <v>48</v>
      </c>
      <c r="I432" s="3" t="s">
        <v>49</v>
      </c>
      <c r="J432" s="3">
        <v>1.0</v>
      </c>
      <c r="K432" s="3" t="s">
        <v>958</v>
      </c>
      <c r="L432" s="3" t="s">
        <v>958</v>
      </c>
      <c r="M432" s="3" t="s">
        <v>949</v>
      </c>
      <c r="N432" s="6" t="s">
        <v>950</v>
      </c>
      <c r="O432" s="6" t="s">
        <v>951</v>
      </c>
      <c r="P432" s="3">
        <v>4575.0</v>
      </c>
      <c r="Q432" s="7" t="s">
        <v>60</v>
      </c>
    </row>
    <row r="433">
      <c r="A433" s="17" t="s">
        <v>943</v>
      </c>
      <c r="B433" s="23" t="s">
        <v>944</v>
      </c>
      <c r="C433" s="19" t="s">
        <v>945</v>
      </c>
      <c r="D433" s="19" t="s">
        <v>531</v>
      </c>
      <c r="E433" s="3" t="s">
        <v>965</v>
      </c>
      <c r="F433" s="7" t="s">
        <v>60</v>
      </c>
      <c r="H433" s="19" t="s">
        <v>48</v>
      </c>
      <c r="I433" s="3" t="s">
        <v>49</v>
      </c>
      <c r="J433" s="3">
        <v>1.0</v>
      </c>
      <c r="K433" s="3" t="s">
        <v>958</v>
      </c>
      <c r="L433" s="3" t="s">
        <v>958</v>
      </c>
      <c r="M433" s="3" t="s">
        <v>949</v>
      </c>
      <c r="N433" s="6" t="s">
        <v>950</v>
      </c>
      <c r="O433" s="6" t="s">
        <v>951</v>
      </c>
      <c r="P433" s="3">
        <v>4553.0</v>
      </c>
      <c r="Q433" s="7" t="s">
        <v>60</v>
      </c>
    </row>
    <row r="434">
      <c r="A434" s="17" t="s">
        <v>943</v>
      </c>
      <c r="B434" s="23" t="s">
        <v>944</v>
      </c>
      <c r="C434" s="19" t="s">
        <v>945</v>
      </c>
      <c r="D434" s="19" t="s">
        <v>531</v>
      </c>
      <c r="E434" s="3" t="s">
        <v>966</v>
      </c>
      <c r="F434" s="7" t="s">
        <v>60</v>
      </c>
      <c r="H434" s="19" t="s">
        <v>48</v>
      </c>
      <c r="I434" s="3" t="s">
        <v>49</v>
      </c>
      <c r="J434" s="3">
        <v>1.0</v>
      </c>
      <c r="K434" s="3" t="s">
        <v>958</v>
      </c>
      <c r="L434" s="3" t="s">
        <v>958</v>
      </c>
      <c r="M434" s="3" t="s">
        <v>949</v>
      </c>
      <c r="N434" s="6" t="s">
        <v>950</v>
      </c>
      <c r="O434" s="6" t="s">
        <v>951</v>
      </c>
      <c r="P434" s="3">
        <v>4575.0</v>
      </c>
      <c r="Q434" s="7" t="s">
        <v>60</v>
      </c>
    </row>
    <row r="435">
      <c r="A435" s="17" t="s">
        <v>943</v>
      </c>
      <c r="B435" s="23" t="s">
        <v>944</v>
      </c>
      <c r="C435" s="19" t="s">
        <v>945</v>
      </c>
      <c r="D435" s="19" t="s">
        <v>531</v>
      </c>
      <c r="E435" s="3" t="s">
        <v>967</v>
      </c>
      <c r="F435" s="7" t="s">
        <v>60</v>
      </c>
      <c r="H435" s="19" t="s">
        <v>48</v>
      </c>
      <c r="I435" s="3" t="s">
        <v>49</v>
      </c>
      <c r="J435" s="3">
        <v>1.0</v>
      </c>
      <c r="K435" s="3" t="s">
        <v>958</v>
      </c>
      <c r="L435" s="3" t="s">
        <v>958</v>
      </c>
      <c r="M435" s="3" t="s">
        <v>949</v>
      </c>
      <c r="N435" s="6" t="s">
        <v>950</v>
      </c>
      <c r="O435" s="6" t="s">
        <v>951</v>
      </c>
      <c r="P435" s="3">
        <v>4575.0</v>
      </c>
      <c r="Q435" s="7" t="s">
        <v>60</v>
      </c>
    </row>
    <row r="436">
      <c r="A436" s="17" t="s">
        <v>943</v>
      </c>
      <c r="B436" s="23" t="s">
        <v>944</v>
      </c>
      <c r="C436" s="19" t="s">
        <v>945</v>
      </c>
      <c r="D436" s="19" t="s">
        <v>531</v>
      </c>
      <c r="E436" s="3" t="s">
        <v>968</v>
      </c>
      <c r="F436" s="7" t="s">
        <v>60</v>
      </c>
      <c r="H436" s="19" t="s">
        <v>48</v>
      </c>
      <c r="I436" s="3" t="s">
        <v>49</v>
      </c>
      <c r="J436" s="3">
        <v>1.0</v>
      </c>
      <c r="K436" s="3" t="s">
        <v>958</v>
      </c>
      <c r="L436" s="3" t="s">
        <v>958</v>
      </c>
      <c r="M436" s="3" t="s">
        <v>949</v>
      </c>
      <c r="N436" s="6" t="s">
        <v>950</v>
      </c>
      <c r="O436" s="6" t="s">
        <v>951</v>
      </c>
      <c r="P436" s="3">
        <v>4575.0</v>
      </c>
      <c r="Q436" s="7" t="s">
        <v>60</v>
      </c>
    </row>
    <row r="437">
      <c r="A437" s="17" t="s">
        <v>969</v>
      </c>
      <c r="B437" s="23" t="s">
        <v>970</v>
      </c>
      <c r="C437" s="3" t="s">
        <v>971</v>
      </c>
      <c r="D437" s="17" t="s">
        <v>531</v>
      </c>
      <c r="E437" s="3" t="s">
        <v>972</v>
      </c>
      <c r="F437" s="14">
        <v>45785.0</v>
      </c>
      <c r="G437" s="24" t="s">
        <v>214</v>
      </c>
      <c r="H437" s="3" t="s">
        <v>48</v>
      </c>
      <c r="I437" s="3" t="s">
        <v>49</v>
      </c>
      <c r="J437" s="3">
        <v>6.0</v>
      </c>
      <c r="K437" s="3" t="s">
        <v>973</v>
      </c>
      <c r="L437" s="3" t="s">
        <v>974</v>
      </c>
      <c r="M437" s="3" t="s">
        <v>949</v>
      </c>
      <c r="N437" s="6" t="s">
        <v>975</v>
      </c>
      <c r="O437" s="6" t="s">
        <v>951</v>
      </c>
      <c r="P437" s="3">
        <v>4556.0</v>
      </c>
      <c r="Q437" s="3">
        <v>1.0</v>
      </c>
      <c r="R437" s="3">
        <v>398.0</v>
      </c>
    </row>
    <row r="438">
      <c r="A438" s="17" t="s">
        <v>969</v>
      </c>
      <c r="B438" s="23" t="s">
        <v>970</v>
      </c>
      <c r="C438" s="3" t="s">
        <v>971</v>
      </c>
      <c r="D438" s="17" t="s">
        <v>531</v>
      </c>
      <c r="E438" s="3" t="s">
        <v>976</v>
      </c>
      <c r="F438" s="14">
        <v>45785.0</v>
      </c>
      <c r="G438" s="24" t="s">
        <v>214</v>
      </c>
      <c r="H438" s="3" t="s">
        <v>48</v>
      </c>
      <c r="I438" s="3" t="s">
        <v>49</v>
      </c>
      <c r="J438" s="3">
        <v>6.0</v>
      </c>
      <c r="K438" s="3" t="s">
        <v>973</v>
      </c>
      <c r="L438" s="3" t="s">
        <v>974</v>
      </c>
      <c r="M438" s="3" t="s">
        <v>949</v>
      </c>
      <c r="N438" s="6" t="s">
        <v>975</v>
      </c>
      <c r="O438" s="6" t="s">
        <v>951</v>
      </c>
      <c r="P438" s="3">
        <v>4558.0</v>
      </c>
      <c r="Q438" s="7" t="s">
        <v>60</v>
      </c>
    </row>
    <row r="439">
      <c r="A439" s="17" t="s">
        <v>969</v>
      </c>
      <c r="B439" s="23" t="s">
        <v>970</v>
      </c>
      <c r="C439" s="3" t="s">
        <v>971</v>
      </c>
      <c r="D439" s="17" t="s">
        <v>531</v>
      </c>
      <c r="E439" s="3" t="s">
        <v>977</v>
      </c>
      <c r="F439" s="7" t="s">
        <v>60</v>
      </c>
      <c r="H439" s="3" t="s">
        <v>48</v>
      </c>
      <c r="I439" s="3" t="s">
        <v>49</v>
      </c>
      <c r="J439" s="3">
        <v>6.0</v>
      </c>
      <c r="K439" s="3" t="s">
        <v>973</v>
      </c>
      <c r="L439" s="3" t="s">
        <v>974</v>
      </c>
      <c r="M439" s="3" t="s">
        <v>949</v>
      </c>
      <c r="N439" s="6" t="s">
        <v>975</v>
      </c>
      <c r="O439" s="6" t="s">
        <v>951</v>
      </c>
      <c r="P439" s="3">
        <v>4558.0</v>
      </c>
      <c r="Q439" s="7" t="s">
        <v>60</v>
      </c>
    </row>
    <row r="440">
      <c r="A440" s="17" t="s">
        <v>969</v>
      </c>
      <c r="B440" s="23" t="s">
        <v>970</v>
      </c>
      <c r="C440" s="3" t="s">
        <v>971</v>
      </c>
      <c r="D440" s="17" t="s">
        <v>531</v>
      </c>
      <c r="E440" s="3" t="s">
        <v>978</v>
      </c>
      <c r="F440" s="7" t="s">
        <v>60</v>
      </c>
      <c r="H440" s="3" t="s">
        <v>48</v>
      </c>
      <c r="I440" s="3" t="s">
        <v>49</v>
      </c>
      <c r="J440" s="3">
        <v>6.0</v>
      </c>
      <c r="K440" s="3" t="s">
        <v>973</v>
      </c>
      <c r="L440" s="3" t="s">
        <v>974</v>
      </c>
      <c r="M440" s="3" t="s">
        <v>949</v>
      </c>
      <c r="N440" s="6" t="s">
        <v>975</v>
      </c>
      <c r="O440" s="6" t="s">
        <v>951</v>
      </c>
      <c r="P440" s="3">
        <v>4556.0</v>
      </c>
      <c r="Q440" s="7" t="s">
        <v>60</v>
      </c>
    </row>
    <row r="441">
      <c r="A441" s="17" t="s">
        <v>969</v>
      </c>
      <c r="B441" s="23" t="s">
        <v>970</v>
      </c>
      <c r="C441" s="3" t="s">
        <v>971</v>
      </c>
      <c r="D441" s="17" t="s">
        <v>531</v>
      </c>
      <c r="E441" s="3" t="s">
        <v>979</v>
      </c>
      <c r="F441" s="7" t="s">
        <v>60</v>
      </c>
      <c r="H441" s="3" t="s">
        <v>48</v>
      </c>
      <c r="I441" s="3" t="s">
        <v>49</v>
      </c>
      <c r="J441" s="3">
        <v>2.0</v>
      </c>
      <c r="K441" s="3" t="s">
        <v>909</v>
      </c>
      <c r="L441" s="3" t="s">
        <v>974</v>
      </c>
      <c r="M441" s="3" t="s">
        <v>949</v>
      </c>
      <c r="N441" s="6" t="s">
        <v>975</v>
      </c>
      <c r="O441" s="6" t="s">
        <v>951</v>
      </c>
      <c r="P441" s="3">
        <v>4556.0</v>
      </c>
      <c r="Q441" s="7" t="s">
        <v>60</v>
      </c>
    </row>
    <row r="442">
      <c r="A442" s="17" t="s">
        <v>969</v>
      </c>
      <c r="B442" s="23" t="s">
        <v>970</v>
      </c>
      <c r="C442" s="3" t="s">
        <v>971</v>
      </c>
      <c r="D442" s="17" t="s">
        <v>531</v>
      </c>
      <c r="E442" s="3" t="s">
        <v>980</v>
      </c>
      <c r="F442" s="7" t="s">
        <v>60</v>
      </c>
      <c r="H442" s="3" t="s">
        <v>48</v>
      </c>
      <c r="I442" s="3" t="s">
        <v>49</v>
      </c>
      <c r="J442" s="3">
        <v>2.0</v>
      </c>
      <c r="K442" s="3" t="s">
        <v>909</v>
      </c>
      <c r="L442" s="3" t="s">
        <v>974</v>
      </c>
      <c r="M442" s="3" t="s">
        <v>949</v>
      </c>
      <c r="N442" s="6" t="s">
        <v>975</v>
      </c>
      <c r="O442" s="6" t="s">
        <v>951</v>
      </c>
      <c r="P442" s="3">
        <v>4556.0</v>
      </c>
      <c r="Q442" s="7" t="s">
        <v>60</v>
      </c>
    </row>
    <row r="443">
      <c r="A443" s="17" t="s">
        <v>969</v>
      </c>
      <c r="B443" s="23" t="s">
        <v>970</v>
      </c>
      <c r="C443" s="3" t="s">
        <v>971</v>
      </c>
      <c r="D443" s="17" t="s">
        <v>531</v>
      </c>
      <c r="E443" s="3" t="s">
        <v>981</v>
      </c>
      <c r="F443" s="7" t="s">
        <v>60</v>
      </c>
      <c r="H443" s="3" t="s">
        <v>48</v>
      </c>
      <c r="I443" s="3" t="s">
        <v>49</v>
      </c>
      <c r="J443" s="3">
        <v>1.0</v>
      </c>
      <c r="K443" s="3" t="s">
        <v>974</v>
      </c>
      <c r="L443" s="3" t="s">
        <v>974</v>
      </c>
      <c r="M443" s="3" t="s">
        <v>949</v>
      </c>
      <c r="N443" s="6" t="s">
        <v>975</v>
      </c>
      <c r="O443" s="6" t="s">
        <v>951</v>
      </c>
      <c r="P443" s="3">
        <v>4564.0</v>
      </c>
      <c r="Q443" s="7" t="s">
        <v>60</v>
      </c>
    </row>
    <row r="444">
      <c r="A444" s="17" t="s">
        <v>969</v>
      </c>
      <c r="B444" s="23" t="s">
        <v>970</v>
      </c>
      <c r="C444" s="3" t="s">
        <v>971</v>
      </c>
      <c r="D444" s="17" t="s">
        <v>531</v>
      </c>
      <c r="E444" s="3" t="s">
        <v>982</v>
      </c>
      <c r="F444" s="7" t="s">
        <v>60</v>
      </c>
      <c r="H444" s="3" t="s">
        <v>48</v>
      </c>
      <c r="I444" s="3" t="s">
        <v>49</v>
      </c>
      <c r="J444" s="3">
        <v>2.0</v>
      </c>
      <c r="K444" s="3" t="s">
        <v>909</v>
      </c>
      <c r="L444" s="3" t="s">
        <v>974</v>
      </c>
      <c r="M444" s="3" t="s">
        <v>949</v>
      </c>
      <c r="N444" s="6" t="s">
        <v>975</v>
      </c>
      <c r="O444" s="6" t="s">
        <v>951</v>
      </c>
      <c r="P444" s="3">
        <v>4564.0</v>
      </c>
      <c r="Q444" s="7" t="s">
        <v>60</v>
      </c>
    </row>
    <row r="445">
      <c r="A445" s="17" t="s">
        <v>969</v>
      </c>
      <c r="B445" s="23" t="s">
        <v>970</v>
      </c>
      <c r="C445" s="3" t="s">
        <v>971</v>
      </c>
      <c r="D445" s="17" t="s">
        <v>531</v>
      </c>
      <c r="E445" s="3" t="s">
        <v>983</v>
      </c>
      <c r="F445" s="7" t="s">
        <v>60</v>
      </c>
      <c r="H445" s="3" t="s">
        <v>48</v>
      </c>
      <c r="I445" s="3" t="s">
        <v>49</v>
      </c>
      <c r="J445" s="3">
        <v>2.0</v>
      </c>
      <c r="K445" s="3" t="s">
        <v>909</v>
      </c>
      <c r="L445" s="3" t="s">
        <v>974</v>
      </c>
      <c r="M445" s="3" t="s">
        <v>949</v>
      </c>
      <c r="N445" s="6" t="s">
        <v>975</v>
      </c>
      <c r="O445" s="6" t="s">
        <v>951</v>
      </c>
      <c r="P445" s="3">
        <v>4564.0</v>
      </c>
      <c r="Q445" s="7" t="s">
        <v>60</v>
      </c>
    </row>
    <row r="446">
      <c r="A446" s="17" t="s">
        <v>969</v>
      </c>
      <c r="B446" s="23" t="s">
        <v>970</v>
      </c>
      <c r="C446" s="3" t="s">
        <v>971</v>
      </c>
      <c r="D446" s="17" t="s">
        <v>531</v>
      </c>
      <c r="E446" s="3" t="s">
        <v>984</v>
      </c>
      <c r="F446" s="7" t="s">
        <v>60</v>
      </c>
      <c r="H446" s="3" t="s">
        <v>48</v>
      </c>
      <c r="I446" s="3" t="s">
        <v>49</v>
      </c>
      <c r="J446" s="3">
        <v>2.0</v>
      </c>
      <c r="K446" s="3" t="s">
        <v>909</v>
      </c>
      <c r="L446" s="3" t="s">
        <v>974</v>
      </c>
      <c r="M446" s="3" t="s">
        <v>949</v>
      </c>
      <c r="N446" s="6" t="s">
        <v>975</v>
      </c>
      <c r="O446" s="6" t="s">
        <v>951</v>
      </c>
      <c r="P446" s="3">
        <v>4555.0</v>
      </c>
      <c r="Q446" s="7" t="s">
        <v>60</v>
      </c>
    </row>
    <row r="447">
      <c r="A447" s="19" t="s">
        <v>985</v>
      </c>
      <c r="B447" s="23" t="s">
        <v>986</v>
      </c>
      <c r="C447" s="3" t="s">
        <v>987</v>
      </c>
      <c r="D447" s="19" t="s">
        <v>531</v>
      </c>
      <c r="E447" s="3" t="s">
        <v>988</v>
      </c>
      <c r="F447" s="5">
        <v>45792.0</v>
      </c>
      <c r="G447" s="3"/>
      <c r="H447" s="3" t="s">
        <v>48</v>
      </c>
      <c r="I447" s="3" t="s">
        <v>49</v>
      </c>
      <c r="J447" s="3">
        <v>18.0</v>
      </c>
      <c r="K447" s="28" t="s">
        <v>989</v>
      </c>
      <c r="L447" s="3" t="s">
        <v>990</v>
      </c>
      <c r="M447" s="3" t="s">
        <v>991</v>
      </c>
      <c r="N447" s="42" t="s">
        <v>992</v>
      </c>
      <c r="O447" s="6" t="s">
        <v>993</v>
      </c>
      <c r="P447" s="3">
        <v>4560.0</v>
      </c>
      <c r="Q447" s="3">
        <v>1.0</v>
      </c>
      <c r="R447" s="3">
        <v>383.9</v>
      </c>
    </row>
    <row r="448">
      <c r="A448" s="19" t="s">
        <v>985</v>
      </c>
      <c r="B448" s="23" t="s">
        <v>986</v>
      </c>
      <c r="C448" s="3" t="s">
        <v>987</v>
      </c>
      <c r="D448" s="19" t="s">
        <v>531</v>
      </c>
      <c r="E448" s="3" t="s">
        <v>994</v>
      </c>
      <c r="F448" s="36" t="s">
        <v>60</v>
      </c>
      <c r="H448" s="3" t="s">
        <v>48</v>
      </c>
      <c r="I448" s="3" t="s">
        <v>49</v>
      </c>
      <c r="J448" s="3">
        <v>9.0</v>
      </c>
      <c r="K448" s="3" t="s">
        <v>565</v>
      </c>
      <c r="L448" s="3" t="s">
        <v>995</v>
      </c>
      <c r="M448" s="3" t="s">
        <v>991</v>
      </c>
      <c r="N448" s="42" t="s">
        <v>992</v>
      </c>
      <c r="O448" s="6" t="s">
        <v>993</v>
      </c>
      <c r="P448" s="3">
        <v>4560.0</v>
      </c>
      <c r="Q448" s="7" t="s">
        <v>60</v>
      </c>
    </row>
    <row r="449">
      <c r="A449" s="19" t="s">
        <v>985</v>
      </c>
      <c r="B449" s="23" t="s">
        <v>986</v>
      </c>
      <c r="C449" s="3" t="s">
        <v>987</v>
      </c>
      <c r="D449" s="19" t="s">
        <v>531</v>
      </c>
      <c r="E449" s="3" t="s">
        <v>996</v>
      </c>
      <c r="F449" s="36" t="s">
        <v>60</v>
      </c>
      <c r="H449" s="3" t="s">
        <v>48</v>
      </c>
      <c r="I449" s="3" t="s">
        <v>49</v>
      </c>
      <c r="J449" s="3">
        <v>5.0</v>
      </c>
      <c r="K449" s="3" t="s">
        <v>997</v>
      </c>
      <c r="L449" s="3" t="s">
        <v>995</v>
      </c>
      <c r="M449" s="3" t="s">
        <v>991</v>
      </c>
      <c r="N449" s="42" t="s">
        <v>992</v>
      </c>
      <c r="O449" s="6" t="s">
        <v>993</v>
      </c>
      <c r="P449" s="3">
        <v>4560.0</v>
      </c>
      <c r="Q449" s="7" t="s">
        <v>60</v>
      </c>
    </row>
    <row r="450">
      <c r="A450" s="19" t="s">
        <v>985</v>
      </c>
      <c r="B450" s="23" t="s">
        <v>986</v>
      </c>
      <c r="C450" s="3" t="s">
        <v>987</v>
      </c>
      <c r="D450" s="19" t="s">
        <v>531</v>
      </c>
      <c r="E450" s="3" t="s">
        <v>998</v>
      </c>
      <c r="F450" s="36" t="s">
        <v>60</v>
      </c>
      <c r="H450" s="3" t="s">
        <v>48</v>
      </c>
      <c r="I450" s="3" t="s">
        <v>49</v>
      </c>
      <c r="J450" s="3">
        <v>5.0</v>
      </c>
      <c r="K450" s="3" t="s">
        <v>997</v>
      </c>
      <c r="L450" s="3" t="s">
        <v>995</v>
      </c>
      <c r="M450" s="3" t="s">
        <v>991</v>
      </c>
      <c r="N450" s="42" t="s">
        <v>992</v>
      </c>
      <c r="O450" s="6" t="s">
        <v>993</v>
      </c>
      <c r="P450" s="3">
        <v>4561.0</v>
      </c>
      <c r="Q450" s="7" t="s">
        <v>60</v>
      </c>
    </row>
    <row r="451">
      <c r="A451" s="19" t="s">
        <v>985</v>
      </c>
      <c r="B451" s="23" t="s">
        <v>986</v>
      </c>
      <c r="C451" s="3" t="s">
        <v>987</v>
      </c>
      <c r="D451" s="19" t="s">
        <v>531</v>
      </c>
      <c r="E451" s="3" t="s">
        <v>999</v>
      </c>
      <c r="F451" s="36" t="s">
        <v>60</v>
      </c>
      <c r="H451" s="3" t="s">
        <v>48</v>
      </c>
      <c r="I451" s="3" t="s">
        <v>49</v>
      </c>
      <c r="J451" s="3">
        <v>2.0</v>
      </c>
      <c r="K451" s="3" t="s">
        <v>1000</v>
      </c>
      <c r="L451" s="3" t="s">
        <v>995</v>
      </c>
      <c r="M451" s="3" t="s">
        <v>991</v>
      </c>
      <c r="N451" s="42" t="s">
        <v>992</v>
      </c>
      <c r="O451" s="6" t="s">
        <v>993</v>
      </c>
      <c r="P451" s="3">
        <v>4560.0</v>
      </c>
      <c r="Q451" s="7" t="s">
        <v>60</v>
      </c>
    </row>
    <row r="452">
      <c r="A452" s="19" t="s">
        <v>1001</v>
      </c>
      <c r="B452" s="19" t="s">
        <v>1002</v>
      </c>
      <c r="C452" s="19" t="s">
        <v>1003</v>
      </c>
      <c r="D452" s="19" t="s">
        <v>531</v>
      </c>
      <c r="E452" s="3" t="s">
        <v>1004</v>
      </c>
      <c r="F452" s="14">
        <v>45870.0</v>
      </c>
      <c r="G452" s="24" t="s">
        <v>214</v>
      </c>
      <c r="H452" s="19" t="s">
        <v>48</v>
      </c>
      <c r="I452" s="3" t="s">
        <v>49</v>
      </c>
      <c r="J452" s="3">
        <v>2.0</v>
      </c>
      <c r="K452" s="3" t="s">
        <v>1005</v>
      </c>
      <c r="L452" s="3" t="s">
        <v>718</v>
      </c>
      <c r="M452" s="3" t="s">
        <v>949</v>
      </c>
      <c r="N452" s="6" t="s">
        <v>1006</v>
      </c>
      <c r="O452" s="6" t="s">
        <v>951</v>
      </c>
      <c r="P452" s="3">
        <v>4555.0</v>
      </c>
      <c r="Q452" s="3">
        <v>1.0</v>
      </c>
      <c r="R452" s="3">
        <v>383.9</v>
      </c>
    </row>
    <row r="453">
      <c r="A453" s="19" t="s">
        <v>1001</v>
      </c>
      <c r="B453" s="19" t="s">
        <v>1002</v>
      </c>
      <c r="C453" s="19" t="s">
        <v>1003</v>
      </c>
      <c r="D453" s="19" t="s">
        <v>531</v>
      </c>
      <c r="E453" s="3" t="s">
        <v>1007</v>
      </c>
      <c r="F453" s="36" t="s">
        <v>60</v>
      </c>
      <c r="H453" s="19" t="s">
        <v>48</v>
      </c>
      <c r="I453" s="3" t="s">
        <v>49</v>
      </c>
      <c r="J453" s="3">
        <v>2.0</v>
      </c>
      <c r="K453" s="3" t="s">
        <v>1005</v>
      </c>
      <c r="L453" s="3" t="s">
        <v>718</v>
      </c>
      <c r="M453" s="3" t="s">
        <v>949</v>
      </c>
      <c r="N453" s="6" t="s">
        <v>1006</v>
      </c>
      <c r="O453" s="6" t="s">
        <v>951</v>
      </c>
      <c r="P453" s="3">
        <v>4555.0</v>
      </c>
      <c r="Q453" s="7" t="s">
        <v>60</v>
      </c>
    </row>
    <row r="454">
      <c r="A454" s="19" t="s">
        <v>1008</v>
      </c>
      <c r="B454" s="19" t="s">
        <v>1009</v>
      </c>
      <c r="C454" s="19" t="s">
        <v>1010</v>
      </c>
      <c r="D454" s="19" t="s">
        <v>531</v>
      </c>
      <c r="E454" s="3" t="s">
        <v>1011</v>
      </c>
      <c r="F454" s="5">
        <v>45895.0</v>
      </c>
      <c r="G454" s="24" t="s">
        <v>214</v>
      </c>
      <c r="H454" s="19" t="s">
        <v>48</v>
      </c>
      <c r="I454" s="3" t="s">
        <v>49</v>
      </c>
      <c r="J454" s="3">
        <v>2.0</v>
      </c>
      <c r="K454" s="3" t="s">
        <v>737</v>
      </c>
      <c r="L454" s="3" t="s">
        <v>1012</v>
      </c>
      <c r="M454" s="3" t="s">
        <v>669</v>
      </c>
      <c r="N454" s="6" t="s">
        <v>1013</v>
      </c>
      <c r="O454" s="6" t="s">
        <v>1014</v>
      </c>
      <c r="P454" s="3">
        <v>4573.0</v>
      </c>
      <c r="Q454" s="3">
        <v>2.0</v>
      </c>
      <c r="R454" s="3">
        <v>383.9</v>
      </c>
    </row>
    <row r="455">
      <c r="A455" s="19" t="s">
        <v>1008</v>
      </c>
      <c r="B455" s="19" t="s">
        <v>1009</v>
      </c>
      <c r="C455" s="19" t="s">
        <v>1010</v>
      </c>
      <c r="D455" s="19" t="s">
        <v>531</v>
      </c>
      <c r="E455" s="3" t="s">
        <v>1015</v>
      </c>
      <c r="F455" s="36" t="s">
        <v>60</v>
      </c>
      <c r="H455" s="19" t="s">
        <v>48</v>
      </c>
      <c r="I455" s="3" t="s">
        <v>49</v>
      </c>
      <c r="J455" s="3">
        <v>2.0</v>
      </c>
      <c r="K455" s="3" t="s">
        <v>737</v>
      </c>
      <c r="L455" s="3" t="s">
        <v>1012</v>
      </c>
      <c r="M455" s="3" t="s">
        <v>669</v>
      </c>
      <c r="N455" s="6" t="s">
        <v>1013</v>
      </c>
      <c r="O455" s="6" t="s">
        <v>1014</v>
      </c>
      <c r="P455" s="3">
        <v>4573.0</v>
      </c>
      <c r="Q455" s="7" t="s">
        <v>60</v>
      </c>
    </row>
    <row r="456">
      <c r="A456" s="19" t="s">
        <v>1008</v>
      </c>
      <c r="B456" s="19" t="s">
        <v>1009</v>
      </c>
      <c r="C456" s="19" t="s">
        <v>1010</v>
      </c>
      <c r="D456" s="19" t="s">
        <v>531</v>
      </c>
      <c r="E456" s="3" t="s">
        <v>1016</v>
      </c>
      <c r="F456" s="7" t="s">
        <v>60</v>
      </c>
      <c r="H456" s="19" t="s">
        <v>48</v>
      </c>
      <c r="I456" s="3" t="s">
        <v>49</v>
      </c>
      <c r="J456" s="3">
        <v>1.0</v>
      </c>
      <c r="K456" s="3" t="s">
        <v>1012</v>
      </c>
      <c r="L456" s="3" t="s">
        <v>1012</v>
      </c>
      <c r="M456" s="3" t="s">
        <v>669</v>
      </c>
      <c r="N456" s="6" t="s">
        <v>1013</v>
      </c>
      <c r="O456" s="6" t="s">
        <v>1014</v>
      </c>
      <c r="P456" s="3">
        <v>4562.0</v>
      </c>
      <c r="Q456" s="7" t="s">
        <v>60</v>
      </c>
    </row>
    <row r="457">
      <c r="A457" s="19" t="s">
        <v>1008</v>
      </c>
      <c r="B457" s="19" t="s">
        <v>1009</v>
      </c>
      <c r="C457" s="19" t="s">
        <v>1010</v>
      </c>
      <c r="D457" s="19" t="s">
        <v>531</v>
      </c>
      <c r="E457" s="27" t="s">
        <v>1017</v>
      </c>
      <c r="F457" s="7" t="s">
        <v>60</v>
      </c>
      <c r="H457" s="19" t="s">
        <v>48</v>
      </c>
      <c r="I457" s="3" t="s">
        <v>49</v>
      </c>
      <c r="J457" s="3">
        <v>1.0</v>
      </c>
      <c r="K457" s="3" t="s">
        <v>1012</v>
      </c>
      <c r="L457" s="3" t="s">
        <v>1012</v>
      </c>
      <c r="M457" s="3" t="s">
        <v>669</v>
      </c>
      <c r="N457" s="6" t="s">
        <v>1013</v>
      </c>
      <c r="O457" s="6" t="s">
        <v>1014</v>
      </c>
      <c r="P457" s="30">
        <v>4109.0</v>
      </c>
      <c r="Q457" s="7" t="s">
        <v>60</v>
      </c>
    </row>
    <row r="458">
      <c r="A458" s="19" t="s">
        <v>1008</v>
      </c>
      <c r="B458" s="19" t="s">
        <v>1009</v>
      </c>
      <c r="C458" s="19" t="s">
        <v>1010</v>
      </c>
      <c r="D458" s="19" t="s">
        <v>531</v>
      </c>
      <c r="E458" s="3" t="s">
        <v>1018</v>
      </c>
      <c r="F458" s="7" t="s">
        <v>60</v>
      </c>
      <c r="H458" s="19" t="s">
        <v>48</v>
      </c>
      <c r="I458" s="3" t="s">
        <v>49</v>
      </c>
      <c r="J458" s="3">
        <v>1.0</v>
      </c>
      <c r="K458" s="3" t="s">
        <v>1012</v>
      </c>
      <c r="L458" s="3" t="s">
        <v>1012</v>
      </c>
      <c r="M458" s="3" t="s">
        <v>669</v>
      </c>
      <c r="N458" s="6" t="s">
        <v>1013</v>
      </c>
      <c r="O458" s="6" t="s">
        <v>1014</v>
      </c>
      <c r="P458" s="3">
        <v>4573.0</v>
      </c>
      <c r="Q458" s="7" t="s">
        <v>60</v>
      </c>
    </row>
    <row r="459">
      <c r="A459" s="19" t="s">
        <v>1008</v>
      </c>
      <c r="B459" s="19" t="s">
        <v>1009</v>
      </c>
      <c r="C459" s="19" t="s">
        <v>1010</v>
      </c>
      <c r="D459" s="19" t="s">
        <v>531</v>
      </c>
      <c r="E459" s="3" t="s">
        <v>1019</v>
      </c>
      <c r="F459" s="7" t="s">
        <v>60</v>
      </c>
      <c r="H459" s="19" t="s">
        <v>48</v>
      </c>
      <c r="I459" s="3" t="s">
        <v>49</v>
      </c>
      <c r="J459" s="3">
        <v>1.0</v>
      </c>
      <c r="K459" s="3" t="s">
        <v>1012</v>
      </c>
      <c r="L459" s="3" t="s">
        <v>1012</v>
      </c>
      <c r="M459" s="3" t="s">
        <v>669</v>
      </c>
      <c r="N459" s="6" t="s">
        <v>1013</v>
      </c>
      <c r="O459" s="6" t="s">
        <v>1014</v>
      </c>
      <c r="P459" s="3">
        <v>4573.0</v>
      </c>
      <c r="Q459" s="7" t="s">
        <v>60</v>
      </c>
    </row>
    <row r="460">
      <c r="A460" s="19" t="s">
        <v>1008</v>
      </c>
      <c r="B460" s="19" t="s">
        <v>1009</v>
      </c>
      <c r="C460" s="19" t="s">
        <v>1010</v>
      </c>
      <c r="D460" s="19" t="s">
        <v>531</v>
      </c>
      <c r="E460" s="3" t="s">
        <v>1020</v>
      </c>
      <c r="F460" s="7" t="s">
        <v>60</v>
      </c>
      <c r="H460" s="19" t="s">
        <v>48</v>
      </c>
      <c r="I460" s="3" t="s">
        <v>49</v>
      </c>
      <c r="J460" s="3">
        <v>1.0</v>
      </c>
      <c r="K460" s="3" t="s">
        <v>1012</v>
      </c>
      <c r="L460" s="3" t="s">
        <v>1012</v>
      </c>
      <c r="M460" s="3" t="s">
        <v>669</v>
      </c>
      <c r="N460" s="6" t="s">
        <v>1013</v>
      </c>
      <c r="O460" s="6" t="s">
        <v>1014</v>
      </c>
      <c r="P460" s="3">
        <v>4573.0</v>
      </c>
      <c r="Q460" s="7" t="s">
        <v>60</v>
      </c>
    </row>
    <row r="461">
      <c r="A461" s="19" t="s">
        <v>1008</v>
      </c>
      <c r="B461" s="19" t="s">
        <v>1009</v>
      </c>
      <c r="C461" s="19" t="s">
        <v>1010</v>
      </c>
      <c r="D461" s="19" t="s">
        <v>531</v>
      </c>
      <c r="E461" s="3" t="s">
        <v>1021</v>
      </c>
      <c r="F461" s="7" t="s">
        <v>60</v>
      </c>
      <c r="H461" s="19" t="s">
        <v>48</v>
      </c>
      <c r="I461" s="3" t="s">
        <v>49</v>
      </c>
      <c r="J461" s="3">
        <v>1.0</v>
      </c>
      <c r="K461" s="3" t="s">
        <v>1012</v>
      </c>
      <c r="L461" s="3" t="s">
        <v>1012</v>
      </c>
      <c r="M461" s="3" t="s">
        <v>669</v>
      </c>
      <c r="N461" s="6" t="s">
        <v>1013</v>
      </c>
      <c r="O461" s="6" t="s">
        <v>1014</v>
      </c>
      <c r="P461" s="3">
        <v>4561.0</v>
      </c>
      <c r="Q461" s="7" t="s">
        <v>60</v>
      </c>
    </row>
    <row r="462">
      <c r="A462" s="3" t="s">
        <v>1022</v>
      </c>
      <c r="B462" s="3" t="s">
        <v>1023</v>
      </c>
      <c r="C462" s="3" t="s">
        <v>1024</v>
      </c>
      <c r="D462" s="3" t="s">
        <v>531</v>
      </c>
      <c r="E462" s="3" t="s">
        <v>1025</v>
      </c>
      <c r="F462" s="14">
        <v>46055.0</v>
      </c>
      <c r="G462" s="26" t="s">
        <v>214</v>
      </c>
      <c r="H462" s="15" t="s">
        <v>48</v>
      </c>
      <c r="I462" s="3" t="s">
        <v>49</v>
      </c>
      <c r="J462" s="3">
        <v>2.0</v>
      </c>
      <c r="K462" s="3" t="s">
        <v>1026</v>
      </c>
      <c r="L462" s="3" t="s">
        <v>423</v>
      </c>
      <c r="M462" s="3" t="s">
        <v>900</v>
      </c>
      <c r="N462" s="6" t="s">
        <v>1027</v>
      </c>
      <c r="O462" s="6" t="s">
        <v>1028</v>
      </c>
      <c r="P462" s="3">
        <v>4551.0</v>
      </c>
      <c r="Q462" s="3">
        <v>2.0</v>
      </c>
      <c r="R462" s="3">
        <v>383.9</v>
      </c>
    </row>
    <row r="463">
      <c r="A463" s="3" t="s">
        <v>1022</v>
      </c>
      <c r="B463" s="3" t="s">
        <v>1023</v>
      </c>
      <c r="C463" s="3" t="s">
        <v>1024</v>
      </c>
      <c r="D463" s="3" t="s">
        <v>531</v>
      </c>
      <c r="E463" s="3" t="s">
        <v>1029</v>
      </c>
      <c r="F463" s="7" t="s">
        <v>60</v>
      </c>
      <c r="G463" s="15"/>
      <c r="H463" s="15" t="s">
        <v>48</v>
      </c>
      <c r="I463" s="3" t="s">
        <v>49</v>
      </c>
      <c r="J463" s="3">
        <v>2.0</v>
      </c>
      <c r="K463" s="3" t="s">
        <v>1026</v>
      </c>
      <c r="L463" s="3" t="s">
        <v>423</v>
      </c>
      <c r="M463" s="3" t="s">
        <v>900</v>
      </c>
      <c r="N463" s="6" t="s">
        <v>1027</v>
      </c>
      <c r="O463" s="6" t="s">
        <v>1028</v>
      </c>
      <c r="P463" s="3">
        <v>4551.0</v>
      </c>
      <c r="Q463" s="7" t="s">
        <v>60</v>
      </c>
      <c r="R463" s="3"/>
    </row>
    <row r="464">
      <c r="A464" s="3" t="s">
        <v>1022</v>
      </c>
      <c r="B464" s="3" t="s">
        <v>1023</v>
      </c>
      <c r="C464" s="3" t="s">
        <v>1024</v>
      </c>
      <c r="D464" s="3" t="s">
        <v>531</v>
      </c>
      <c r="E464" s="3" t="s">
        <v>1030</v>
      </c>
      <c r="F464" s="7" t="s">
        <v>60</v>
      </c>
      <c r="G464" s="15"/>
      <c r="H464" s="15" t="s">
        <v>48</v>
      </c>
      <c r="I464" s="3" t="s">
        <v>49</v>
      </c>
      <c r="J464" s="3">
        <v>2.0</v>
      </c>
      <c r="K464" s="3" t="s">
        <v>1026</v>
      </c>
      <c r="L464" s="3" t="s">
        <v>423</v>
      </c>
      <c r="M464" s="3" t="s">
        <v>900</v>
      </c>
      <c r="N464" s="6" t="s">
        <v>1027</v>
      </c>
      <c r="O464" s="6" t="s">
        <v>1028</v>
      </c>
      <c r="P464" s="3">
        <v>4551.0</v>
      </c>
      <c r="Q464" s="7" t="s">
        <v>60</v>
      </c>
      <c r="R464" s="3"/>
    </row>
    <row r="465">
      <c r="A465" s="3" t="s">
        <v>1022</v>
      </c>
      <c r="B465" s="3" t="s">
        <v>1023</v>
      </c>
      <c r="C465" s="3" t="s">
        <v>1024</v>
      </c>
      <c r="D465" s="3" t="s">
        <v>531</v>
      </c>
      <c r="E465" s="3" t="s">
        <v>1031</v>
      </c>
      <c r="F465" s="7" t="s">
        <v>60</v>
      </c>
      <c r="G465" s="15"/>
      <c r="H465" s="15" t="s">
        <v>48</v>
      </c>
      <c r="I465" s="3" t="s">
        <v>49</v>
      </c>
      <c r="J465" s="3">
        <v>2.0</v>
      </c>
      <c r="K465" s="3" t="s">
        <v>1026</v>
      </c>
      <c r="L465" s="3" t="s">
        <v>423</v>
      </c>
      <c r="M465" s="3" t="s">
        <v>900</v>
      </c>
      <c r="N465" s="6" t="s">
        <v>1027</v>
      </c>
      <c r="O465" s="6" t="s">
        <v>1028</v>
      </c>
      <c r="P465" s="3">
        <v>4551.0</v>
      </c>
      <c r="Q465" s="7" t="s">
        <v>60</v>
      </c>
      <c r="R465" s="3"/>
    </row>
    <row r="466">
      <c r="A466" s="3" t="s">
        <v>1022</v>
      </c>
      <c r="B466" s="3" t="s">
        <v>1023</v>
      </c>
      <c r="C466" s="3" t="s">
        <v>1024</v>
      </c>
      <c r="D466" s="3" t="s">
        <v>531</v>
      </c>
      <c r="E466" s="3" t="s">
        <v>1032</v>
      </c>
      <c r="F466" s="7" t="s">
        <v>60</v>
      </c>
      <c r="G466" s="15"/>
      <c r="H466" s="15" t="s">
        <v>48</v>
      </c>
      <c r="I466" s="3" t="s">
        <v>49</v>
      </c>
      <c r="J466" s="3">
        <v>2.0</v>
      </c>
      <c r="K466" s="3" t="s">
        <v>1026</v>
      </c>
      <c r="L466" s="3" t="s">
        <v>423</v>
      </c>
      <c r="M466" s="3" t="s">
        <v>900</v>
      </c>
      <c r="N466" s="6" t="s">
        <v>1027</v>
      </c>
      <c r="O466" s="6" t="s">
        <v>1028</v>
      </c>
      <c r="P466" s="3">
        <v>4551.0</v>
      </c>
      <c r="Q466" s="7" t="s">
        <v>60</v>
      </c>
      <c r="R466" s="3"/>
    </row>
    <row r="467">
      <c r="A467" s="3" t="s">
        <v>1022</v>
      </c>
      <c r="B467" s="3" t="s">
        <v>1023</v>
      </c>
      <c r="C467" s="3" t="s">
        <v>1024</v>
      </c>
      <c r="D467" s="3" t="s">
        <v>531</v>
      </c>
      <c r="E467" s="3" t="s">
        <v>1033</v>
      </c>
      <c r="F467" s="7" t="s">
        <v>60</v>
      </c>
      <c r="G467" s="15"/>
      <c r="H467" s="15" t="s">
        <v>48</v>
      </c>
      <c r="I467" s="3" t="s">
        <v>49</v>
      </c>
      <c r="J467" s="3">
        <v>2.0</v>
      </c>
      <c r="K467" s="3" t="s">
        <v>1026</v>
      </c>
      <c r="L467" s="3" t="s">
        <v>423</v>
      </c>
      <c r="M467" s="3" t="s">
        <v>900</v>
      </c>
      <c r="N467" s="6" t="s">
        <v>1027</v>
      </c>
      <c r="O467" s="6" t="s">
        <v>1028</v>
      </c>
      <c r="P467" s="3">
        <v>4551.0</v>
      </c>
      <c r="Q467" s="7" t="s">
        <v>60</v>
      </c>
      <c r="R467" s="3"/>
    </row>
    <row r="468">
      <c r="A468" s="3" t="s">
        <v>1022</v>
      </c>
      <c r="B468" s="3" t="s">
        <v>1023</v>
      </c>
      <c r="C468" s="3" t="s">
        <v>1024</v>
      </c>
      <c r="D468" s="3" t="s">
        <v>531</v>
      </c>
      <c r="E468" s="3" t="s">
        <v>1034</v>
      </c>
      <c r="F468" s="7" t="s">
        <v>60</v>
      </c>
      <c r="G468" s="15"/>
      <c r="H468" s="15" t="s">
        <v>48</v>
      </c>
      <c r="I468" s="3" t="s">
        <v>49</v>
      </c>
      <c r="J468" s="3">
        <v>2.0</v>
      </c>
      <c r="K468" s="3" t="s">
        <v>1026</v>
      </c>
      <c r="L468" s="3" t="s">
        <v>423</v>
      </c>
      <c r="M468" s="3" t="s">
        <v>900</v>
      </c>
      <c r="N468" s="6" t="s">
        <v>1027</v>
      </c>
      <c r="O468" s="6" t="s">
        <v>1028</v>
      </c>
      <c r="P468" s="3">
        <v>4551.0</v>
      </c>
      <c r="Q468" s="7" t="s">
        <v>60</v>
      </c>
      <c r="R468" s="3"/>
    </row>
    <row r="469">
      <c r="A469" s="3" t="s">
        <v>1022</v>
      </c>
      <c r="B469" s="3" t="s">
        <v>1023</v>
      </c>
      <c r="C469" s="3" t="s">
        <v>1024</v>
      </c>
      <c r="D469" s="3" t="s">
        <v>531</v>
      </c>
      <c r="E469" s="3" t="s">
        <v>1035</v>
      </c>
      <c r="F469" s="7" t="s">
        <v>60</v>
      </c>
      <c r="G469" s="15"/>
      <c r="H469" s="15" t="s">
        <v>48</v>
      </c>
      <c r="I469" s="3" t="s">
        <v>49</v>
      </c>
      <c r="J469" s="3">
        <v>2.0</v>
      </c>
      <c r="K469" s="3" t="s">
        <v>1026</v>
      </c>
      <c r="L469" s="3" t="s">
        <v>423</v>
      </c>
      <c r="M469" s="3" t="s">
        <v>900</v>
      </c>
      <c r="N469" s="6" t="s">
        <v>1027</v>
      </c>
      <c r="O469" s="6" t="s">
        <v>1028</v>
      </c>
      <c r="P469" s="3">
        <v>4551.0</v>
      </c>
      <c r="Q469" s="7" t="s">
        <v>60</v>
      </c>
      <c r="R469" s="3"/>
    </row>
    <row r="470">
      <c r="A470" s="3" t="s">
        <v>1022</v>
      </c>
      <c r="B470" s="3" t="s">
        <v>1023</v>
      </c>
      <c r="C470" s="3" t="s">
        <v>1024</v>
      </c>
      <c r="D470" s="3" t="s">
        <v>531</v>
      </c>
      <c r="E470" s="3" t="s">
        <v>1036</v>
      </c>
      <c r="F470" s="7" t="s">
        <v>60</v>
      </c>
      <c r="G470" s="15"/>
      <c r="H470" s="15" t="s">
        <v>48</v>
      </c>
      <c r="I470" s="3" t="s">
        <v>49</v>
      </c>
      <c r="J470" s="3">
        <v>2.0</v>
      </c>
      <c r="K470" s="3" t="s">
        <v>1026</v>
      </c>
      <c r="L470" s="3" t="s">
        <v>423</v>
      </c>
      <c r="M470" s="3" t="s">
        <v>900</v>
      </c>
      <c r="N470" s="6" t="s">
        <v>1027</v>
      </c>
      <c r="O470" s="6" t="s">
        <v>1028</v>
      </c>
      <c r="P470" s="3">
        <v>4551.0</v>
      </c>
      <c r="Q470" s="7" t="s">
        <v>60</v>
      </c>
      <c r="R470" s="3"/>
    </row>
    <row r="471">
      <c r="A471" s="3" t="s">
        <v>1022</v>
      </c>
      <c r="B471" s="3" t="s">
        <v>1023</v>
      </c>
      <c r="C471" s="3" t="s">
        <v>1024</v>
      </c>
      <c r="D471" s="3" t="s">
        <v>531</v>
      </c>
      <c r="E471" s="3" t="s">
        <v>1037</v>
      </c>
      <c r="F471" s="7" t="s">
        <v>60</v>
      </c>
      <c r="G471" s="15"/>
      <c r="H471" s="15" t="s">
        <v>48</v>
      </c>
      <c r="I471" s="3" t="s">
        <v>49</v>
      </c>
      <c r="J471" s="3">
        <v>2.0</v>
      </c>
      <c r="K471" s="3" t="s">
        <v>1026</v>
      </c>
      <c r="L471" s="3" t="s">
        <v>423</v>
      </c>
      <c r="M471" s="3" t="s">
        <v>900</v>
      </c>
      <c r="N471" s="6" t="s">
        <v>1027</v>
      </c>
      <c r="O471" s="6" t="s">
        <v>1028</v>
      </c>
      <c r="P471" s="3">
        <v>4551.0</v>
      </c>
      <c r="Q471" s="7" t="s">
        <v>60</v>
      </c>
      <c r="R471" s="3"/>
    </row>
    <row r="472">
      <c r="A472" s="3" t="s">
        <v>1022</v>
      </c>
      <c r="B472" s="3" t="s">
        <v>1023</v>
      </c>
      <c r="C472" s="3" t="s">
        <v>1024</v>
      </c>
      <c r="D472" s="3" t="s">
        <v>531</v>
      </c>
      <c r="E472" s="3" t="s">
        <v>1038</v>
      </c>
      <c r="F472" s="7" t="s">
        <v>60</v>
      </c>
      <c r="G472" s="15"/>
      <c r="H472" s="15" t="s">
        <v>48</v>
      </c>
      <c r="I472" s="3" t="s">
        <v>49</v>
      </c>
      <c r="J472" s="3">
        <v>2.0</v>
      </c>
      <c r="K472" s="3" t="s">
        <v>1026</v>
      </c>
      <c r="L472" s="3" t="s">
        <v>423</v>
      </c>
      <c r="M472" s="3" t="s">
        <v>900</v>
      </c>
      <c r="N472" s="6" t="s">
        <v>1027</v>
      </c>
      <c r="O472" s="6" t="s">
        <v>1028</v>
      </c>
      <c r="P472" s="3">
        <v>4551.0</v>
      </c>
      <c r="Q472" s="7" t="s">
        <v>60</v>
      </c>
      <c r="R472" s="3"/>
    </row>
    <row r="473">
      <c r="A473" s="3" t="s">
        <v>1022</v>
      </c>
      <c r="B473" s="3" t="s">
        <v>1023</v>
      </c>
      <c r="C473" s="3" t="s">
        <v>1024</v>
      </c>
      <c r="D473" s="3" t="s">
        <v>531</v>
      </c>
      <c r="E473" s="3" t="s">
        <v>1039</v>
      </c>
      <c r="F473" s="7" t="s">
        <v>60</v>
      </c>
      <c r="G473" s="15"/>
      <c r="H473" s="15" t="s">
        <v>48</v>
      </c>
      <c r="I473" s="3" t="s">
        <v>49</v>
      </c>
      <c r="J473" s="3">
        <v>2.0</v>
      </c>
      <c r="K473" s="3" t="s">
        <v>1026</v>
      </c>
      <c r="L473" s="3" t="s">
        <v>423</v>
      </c>
      <c r="M473" s="3" t="s">
        <v>900</v>
      </c>
      <c r="N473" s="6" t="s">
        <v>1027</v>
      </c>
      <c r="O473" s="6" t="s">
        <v>1028</v>
      </c>
      <c r="P473" s="3">
        <v>4551.0</v>
      </c>
      <c r="Q473" s="7" t="s">
        <v>60</v>
      </c>
      <c r="R473" s="3"/>
    </row>
    <row r="474">
      <c r="A474" s="3" t="s">
        <v>1022</v>
      </c>
      <c r="B474" s="3" t="s">
        <v>1023</v>
      </c>
      <c r="C474" s="3" t="s">
        <v>1024</v>
      </c>
      <c r="D474" s="3" t="s">
        <v>531</v>
      </c>
      <c r="E474" s="3" t="s">
        <v>1040</v>
      </c>
      <c r="F474" s="7" t="s">
        <v>60</v>
      </c>
      <c r="G474" s="15"/>
      <c r="H474" s="15" t="s">
        <v>48</v>
      </c>
      <c r="I474" s="3" t="s">
        <v>49</v>
      </c>
      <c r="J474" s="3">
        <v>2.0</v>
      </c>
      <c r="K474" s="3" t="s">
        <v>1026</v>
      </c>
      <c r="L474" s="3" t="s">
        <v>423</v>
      </c>
      <c r="M474" s="3" t="s">
        <v>900</v>
      </c>
      <c r="N474" s="6" t="s">
        <v>1027</v>
      </c>
      <c r="O474" s="6" t="s">
        <v>1028</v>
      </c>
      <c r="P474" s="3">
        <v>4551.0</v>
      </c>
      <c r="Q474" s="7" t="s">
        <v>60</v>
      </c>
      <c r="R474" s="3"/>
    </row>
    <row r="475">
      <c r="A475" s="3" t="s">
        <v>1022</v>
      </c>
      <c r="B475" s="3" t="s">
        <v>1023</v>
      </c>
      <c r="C475" s="3" t="s">
        <v>1024</v>
      </c>
      <c r="D475" s="3" t="s">
        <v>531</v>
      </c>
      <c r="E475" s="3" t="s">
        <v>1041</v>
      </c>
      <c r="F475" s="7" t="s">
        <v>60</v>
      </c>
      <c r="G475" s="15"/>
      <c r="H475" s="15" t="s">
        <v>48</v>
      </c>
      <c r="I475" s="3" t="s">
        <v>49</v>
      </c>
      <c r="J475" s="3">
        <v>2.0</v>
      </c>
      <c r="K475" s="3" t="s">
        <v>1026</v>
      </c>
      <c r="L475" s="3" t="s">
        <v>423</v>
      </c>
      <c r="M475" s="3" t="s">
        <v>900</v>
      </c>
      <c r="N475" s="6" t="s">
        <v>1027</v>
      </c>
      <c r="O475" s="6" t="s">
        <v>1028</v>
      </c>
      <c r="P475" s="3">
        <v>4551.0</v>
      </c>
      <c r="Q475" s="7" t="s">
        <v>60</v>
      </c>
      <c r="R475" s="3"/>
    </row>
    <row r="476">
      <c r="A476" s="3" t="s">
        <v>1022</v>
      </c>
      <c r="B476" s="3" t="s">
        <v>1023</v>
      </c>
      <c r="C476" s="3" t="s">
        <v>1024</v>
      </c>
      <c r="D476" s="3" t="s">
        <v>531</v>
      </c>
      <c r="E476" s="3" t="s">
        <v>1042</v>
      </c>
      <c r="F476" s="7" t="s">
        <v>60</v>
      </c>
      <c r="G476" s="15"/>
      <c r="H476" s="15" t="s">
        <v>48</v>
      </c>
      <c r="I476" s="3" t="s">
        <v>49</v>
      </c>
      <c r="J476" s="3">
        <v>2.0</v>
      </c>
      <c r="K476" s="3" t="s">
        <v>1026</v>
      </c>
      <c r="L476" s="3" t="s">
        <v>423</v>
      </c>
      <c r="M476" s="3" t="s">
        <v>900</v>
      </c>
      <c r="N476" s="6" t="s">
        <v>1027</v>
      </c>
      <c r="O476" s="6" t="s">
        <v>1028</v>
      </c>
      <c r="P476" s="3">
        <v>4551.0</v>
      </c>
      <c r="Q476" s="7" t="s">
        <v>60</v>
      </c>
      <c r="R476" s="3"/>
    </row>
    <row r="477">
      <c r="A477" s="3" t="s">
        <v>1022</v>
      </c>
      <c r="B477" s="3" t="s">
        <v>1023</v>
      </c>
      <c r="C477" s="3" t="s">
        <v>1024</v>
      </c>
      <c r="D477" s="3" t="s">
        <v>531</v>
      </c>
      <c r="E477" s="3" t="s">
        <v>1043</v>
      </c>
      <c r="F477" s="7" t="s">
        <v>60</v>
      </c>
      <c r="G477" s="15"/>
      <c r="H477" s="15" t="s">
        <v>48</v>
      </c>
      <c r="I477" s="3" t="s">
        <v>49</v>
      </c>
      <c r="J477" s="3">
        <v>1.0</v>
      </c>
      <c r="K477" s="3" t="s">
        <v>423</v>
      </c>
      <c r="L477" s="3" t="s">
        <v>423</v>
      </c>
      <c r="M477" s="3" t="s">
        <v>900</v>
      </c>
      <c r="N477" s="6" t="s">
        <v>1027</v>
      </c>
      <c r="O477" s="6" t="s">
        <v>1028</v>
      </c>
      <c r="P477" s="3">
        <v>4519.0</v>
      </c>
      <c r="Q477" s="7" t="s">
        <v>60</v>
      </c>
      <c r="R477" s="3"/>
    </row>
    <row r="478">
      <c r="A478" s="3" t="s">
        <v>1022</v>
      </c>
      <c r="B478" s="3" t="s">
        <v>1023</v>
      </c>
      <c r="C478" s="3" t="s">
        <v>1024</v>
      </c>
      <c r="D478" s="3" t="s">
        <v>531</v>
      </c>
      <c r="E478" s="3" t="s">
        <v>1044</v>
      </c>
      <c r="F478" s="7" t="s">
        <v>60</v>
      </c>
      <c r="G478" s="15"/>
      <c r="H478" s="15" t="s">
        <v>48</v>
      </c>
      <c r="I478" s="3" t="s">
        <v>49</v>
      </c>
      <c r="J478" s="3">
        <v>1.0</v>
      </c>
      <c r="K478" s="3" t="s">
        <v>423</v>
      </c>
      <c r="L478" s="3" t="s">
        <v>423</v>
      </c>
      <c r="M478" s="3" t="s">
        <v>900</v>
      </c>
      <c r="N478" s="6" t="s">
        <v>1027</v>
      </c>
      <c r="O478" s="6" t="s">
        <v>1028</v>
      </c>
      <c r="P478" s="30">
        <v>4553.0</v>
      </c>
      <c r="Q478" s="7" t="s">
        <v>60</v>
      </c>
      <c r="R478" s="3"/>
    </row>
    <row r="479">
      <c r="A479" s="19" t="s">
        <v>1045</v>
      </c>
      <c r="B479" s="19" t="s">
        <v>1046</v>
      </c>
      <c r="C479" s="19" t="s">
        <v>1047</v>
      </c>
      <c r="D479" s="15" t="s">
        <v>531</v>
      </c>
      <c r="E479" s="3" t="s">
        <v>1048</v>
      </c>
      <c r="F479" s="5">
        <v>45973.0</v>
      </c>
      <c r="G479" s="24" t="s">
        <v>214</v>
      </c>
      <c r="H479" s="15" t="s">
        <v>48</v>
      </c>
      <c r="I479" s="3" t="s">
        <v>49</v>
      </c>
      <c r="J479" s="3">
        <v>6.0</v>
      </c>
      <c r="K479" s="3" t="s">
        <v>491</v>
      </c>
      <c r="L479" s="3" t="s">
        <v>747</v>
      </c>
      <c r="M479" s="3" t="s">
        <v>1049</v>
      </c>
      <c r="N479" s="6" t="s">
        <v>1050</v>
      </c>
      <c r="O479" s="6" t="s">
        <v>1051</v>
      </c>
      <c r="P479" s="3">
        <v>4565.0</v>
      </c>
      <c r="Q479" s="3">
        <v>1.0</v>
      </c>
      <c r="R479" s="3">
        <v>383.9</v>
      </c>
    </row>
    <row r="480">
      <c r="A480" s="19" t="s">
        <v>1045</v>
      </c>
      <c r="B480" s="19" t="s">
        <v>1046</v>
      </c>
      <c r="C480" s="19" t="s">
        <v>1047</v>
      </c>
      <c r="D480" s="15" t="s">
        <v>531</v>
      </c>
      <c r="E480" s="3" t="s">
        <v>1052</v>
      </c>
      <c r="F480" s="16" t="s">
        <v>60</v>
      </c>
      <c r="G480" s="15"/>
      <c r="H480" s="15" t="s">
        <v>48</v>
      </c>
      <c r="I480" s="3" t="s">
        <v>49</v>
      </c>
      <c r="J480" s="3">
        <v>6.0</v>
      </c>
      <c r="K480" s="3" t="s">
        <v>491</v>
      </c>
      <c r="L480" s="3" t="s">
        <v>747</v>
      </c>
      <c r="M480" s="3" t="s">
        <v>1049</v>
      </c>
      <c r="N480" s="6" t="s">
        <v>1050</v>
      </c>
      <c r="O480" s="6" t="s">
        <v>1051</v>
      </c>
      <c r="P480" s="3">
        <v>4565.0</v>
      </c>
      <c r="Q480" s="7" t="s">
        <v>60</v>
      </c>
    </row>
    <row r="481">
      <c r="A481" s="19" t="s">
        <v>1045</v>
      </c>
      <c r="B481" s="19" t="s">
        <v>1046</v>
      </c>
      <c r="C481" s="19" t="s">
        <v>1047</v>
      </c>
      <c r="D481" s="15" t="s">
        <v>531</v>
      </c>
      <c r="E481" s="3" t="s">
        <v>1053</v>
      </c>
      <c r="F481" s="16" t="s">
        <v>60</v>
      </c>
      <c r="G481" s="15"/>
      <c r="H481" s="15" t="s">
        <v>48</v>
      </c>
      <c r="I481" s="3" t="s">
        <v>49</v>
      </c>
      <c r="J481" s="3">
        <v>6.0</v>
      </c>
      <c r="K481" s="3" t="s">
        <v>491</v>
      </c>
      <c r="L481" s="3" t="s">
        <v>747</v>
      </c>
      <c r="M481" s="3" t="s">
        <v>1049</v>
      </c>
      <c r="N481" s="6" t="s">
        <v>1050</v>
      </c>
      <c r="O481" s="6" t="s">
        <v>1051</v>
      </c>
      <c r="P481" s="3">
        <v>4565.0</v>
      </c>
      <c r="Q481" s="7" t="s">
        <v>60</v>
      </c>
    </row>
    <row r="482">
      <c r="A482" s="19" t="s">
        <v>1045</v>
      </c>
      <c r="B482" s="19" t="s">
        <v>1046</v>
      </c>
      <c r="C482" s="19" t="s">
        <v>1047</v>
      </c>
      <c r="D482" s="15" t="s">
        <v>531</v>
      </c>
      <c r="E482" s="3" t="s">
        <v>1054</v>
      </c>
      <c r="F482" s="16" t="s">
        <v>60</v>
      </c>
      <c r="G482" s="15"/>
      <c r="H482" s="15" t="s">
        <v>48</v>
      </c>
      <c r="I482" s="3" t="s">
        <v>49</v>
      </c>
      <c r="J482" s="3">
        <v>1.0</v>
      </c>
      <c r="K482" s="3" t="s">
        <v>747</v>
      </c>
      <c r="L482" s="3" t="s">
        <v>747</v>
      </c>
      <c r="M482" s="3" t="s">
        <v>1049</v>
      </c>
      <c r="N482" s="6" t="s">
        <v>1050</v>
      </c>
      <c r="O482" s="6" t="s">
        <v>1051</v>
      </c>
      <c r="P482" s="3">
        <v>4563.0</v>
      </c>
      <c r="Q482" s="7" t="s">
        <v>60</v>
      </c>
    </row>
    <row r="483">
      <c r="A483" s="19" t="s">
        <v>1055</v>
      </c>
      <c r="B483" s="19" t="s">
        <v>1056</v>
      </c>
      <c r="C483" s="19" t="s">
        <v>1057</v>
      </c>
      <c r="D483" s="19" t="s">
        <v>531</v>
      </c>
      <c r="E483" s="3" t="s">
        <v>1058</v>
      </c>
      <c r="F483" s="14">
        <v>45876.0</v>
      </c>
      <c r="G483" s="24" t="s">
        <v>214</v>
      </c>
      <c r="H483" s="19" t="s">
        <v>48</v>
      </c>
      <c r="I483" s="3" t="s">
        <v>49</v>
      </c>
      <c r="J483" s="3">
        <v>5.0</v>
      </c>
      <c r="K483" s="3" t="s">
        <v>1059</v>
      </c>
      <c r="L483" s="3" t="s">
        <v>1060</v>
      </c>
      <c r="M483" s="3" t="s">
        <v>1061</v>
      </c>
      <c r="N483" s="6" t="s">
        <v>1062</v>
      </c>
      <c r="O483" s="6" t="s">
        <v>1063</v>
      </c>
      <c r="P483" s="3">
        <v>4680.0</v>
      </c>
      <c r="Q483" s="3">
        <v>2.0</v>
      </c>
      <c r="R483" s="3">
        <v>383.9</v>
      </c>
    </row>
    <row r="484">
      <c r="A484" s="19" t="s">
        <v>1055</v>
      </c>
      <c r="B484" s="19" t="s">
        <v>1056</v>
      </c>
      <c r="C484" s="19" t="s">
        <v>1057</v>
      </c>
      <c r="D484" s="19" t="s">
        <v>531</v>
      </c>
      <c r="E484" s="3" t="s">
        <v>1064</v>
      </c>
      <c r="F484" s="7" t="s">
        <v>60</v>
      </c>
      <c r="H484" s="19" t="s">
        <v>48</v>
      </c>
      <c r="I484" s="3" t="s">
        <v>49</v>
      </c>
      <c r="J484" s="3">
        <v>5.0</v>
      </c>
      <c r="K484" s="3" t="s">
        <v>1059</v>
      </c>
      <c r="L484" s="3" t="s">
        <v>1060</v>
      </c>
      <c r="M484" s="3" t="s">
        <v>1061</v>
      </c>
      <c r="N484" s="6" t="s">
        <v>1062</v>
      </c>
      <c r="O484" s="6" t="s">
        <v>1063</v>
      </c>
      <c r="P484" s="3">
        <v>4680.0</v>
      </c>
      <c r="Q484" s="7" t="s">
        <v>60</v>
      </c>
    </row>
    <row r="485">
      <c r="A485" s="19" t="s">
        <v>1055</v>
      </c>
      <c r="B485" s="19" t="s">
        <v>1056</v>
      </c>
      <c r="C485" s="19" t="s">
        <v>1057</v>
      </c>
      <c r="D485" s="19" t="s">
        <v>531</v>
      </c>
      <c r="E485" s="3" t="s">
        <v>1065</v>
      </c>
      <c r="F485" s="7" t="s">
        <v>60</v>
      </c>
      <c r="H485" s="19" t="s">
        <v>48</v>
      </c>
      <c r="I485" s="3" t="s">
        <v>49</v>
      </c>
      <c r="J485" s="3">
        <v>5.0</v>
      </c>
      <c r="K485" s="3" t="s">
        <v>1059</v>
      </c>
      <c r="L485" s="3" t="s">
        <v>1060</v>
      </c>
      <c r="M485" s="3" t="s">
        <v>1061</v>
      </c>
      <c r="N485" s="6" t="s">
        <v>1062</v>
      </c>
      <c r="O485" s="6" t="s">
        <v>1063</v>
      </c>
      <c r="P485" s="3">
        <v>4680.0</v>
      </c>
      <c r="Q485" s="7" t="s">
        <v>60</v>
      </c>
    </row>
    <row r="486">
      <c r="A486" s="19" t="s">
        <v>1055</v>
      </c>
      <c r="B486" s="19" t="s">
        <v>1056</v>
      </c>
      <c r="C486" s="19" t="s">
        <v>1057</v>
      </c>
      <c r="D486" s="19" t="s">
        <v>531</v>
      </c>
      <c r="E486" s="3" t="s">
        <v>1066</v>
      </c>
      <c r="F486" s="7" t="s">
        <v>60</v>
      </c>
      <c r="H486" s="19" t="s">
        <v>48</v>
      </c>
      <c r="I486" s="3" t="s">
        <v>49</v>
      </c>
      <c r="J486" s="3">
        <v>5.0</v>
      </c>
      <c r="K486" s="3" t="s">
        <v>1059</v>
      </c>
      <c r="L486" s="3" t="s">
        <v>1060</v>
      </c>
      <c r="M486" s="3" t="s">
        <v>1061</v>
      </c>
      <c r="N486" s="6" t="s">
        <v>1062</v>
      </c>
      <c r="O486" s="6" t="s">
        <v>1063</v>
      </c>
      <c r="P486" s="3">
        <v>4680.0</v>
      </c>
      <c r="Q486" s="7" t="s">
        <v>60</v>
      </c>
    </row>
    <row r="487">
      <c r="A487" s="19" t="s">
        <v>1055</v>
      </c>
      <c r="B487" s="19" t="s">
        <v>1056</v>
      </c>
      <c r="C487" s="19" t="s">
        <v>1057</v>
      </c>
      <c r="D487" s="19" t="s">
        <v>531</v>
      </c>
      <c r="E487" s="3" t="s">
        <v>1067</v>
      </c>
      <c r="F487" s="7" t="s">
        <v>60</v>
      </c>
      <c r="H487" s="19" t="s">
        <v>48</v>
      </c>
      <c r="I487" s="3" t="s">
        <v>49</v>
      </c>
      <c r="J487" s="3">
        <v>5.0</v>
      </c>
      <c r="K487" s="3" t="s">
        <v>1059</v>
      </c>
      <c r="L487" s="3" t="s">
        <v>1060</v>
      </c>
      <c r="M487" s="3" t="s">
        <v>1061</v>
      </c>
      <c r="N487" s="6" t="s">
        <v>1062</v>
      </c>
      <c r="O487" s="6" t="s">
        <v>1063</v>
      </c>
      <c r="P487" s="3">
        <v>4680.0</v>
      </c>
      <c r="Q487" s="7" t="s">
        <v>60</v>
      </c>
    </row>
    <row r="488">
      <c r="A488" s="19" t="s">
        <v>1055</v>
      </c>
      <c r="B488" s="19" t="s">
        <v>1056</v>
      </c>
      <c r="C488" s="19" t="s">
        <v>1057</v>
      </c>
      <c r="D488" s="19" t="s">
        <v>531</v>
      </c>
      <c r="E488" s="3" t="s">
        <v>1068</v>
      </c>
      <c r="F488" s="7" t="s">
        <v>60</v>
      </c>
      <c r="H488" s="19" t="s">
        <v>48</v>
      </c>
      <c r="I488" s="3" t="s">
        <v>49</v>
      </c>
      <c r="J488" s="3">
        <v>5.0</v>
      </c>
      <c r="K488" s="3" t="s">
        <v>1059</v>
      </c>
      <c r="L488" s="3" t="s">
        <v>1060</v>
      </c>
      <c r="M488" s="3" t="s">
        <v>1061</v>
      </c>
      <c r="N488" s="6" t="s">
        <v>1062</v>
      </c>
      <c r="O488" s="6" t="s">
        <v>1063</v>
      </c>
      <c r="P488" s="3">
        <v>4680.0</v>
      </c>
      <c r="Q488" s="7" t="s">
        <v>60</v>
      </c>
    </row>
    <row r="489">
      <c r="A489" s="19" t="s">
        <v>1055</v>
      </c>
      <c r="B489" s="19" t="s">
        <v>1056</v>
      </c>
      <c r="C489" s="19" t="s">
        <v>1057</v>
      </c>
      <c r="D489" s="19" t="s">
        <v>531</v>
      </c>
      <c r="E489" s="3" t="s">
        <v>1069</v>
      </c>
      <c r="F489" s="7" t="s">
        <v>60</v>
      </c>
      <c r="H489" s="19" t="s">
        <v>48</v>
      </c>
      <c r="I489" s="3" t="s">
        <v>49</v>
      </c>
      <c r="J489" s="3">
        <v>5.0</v>
      </c>
      <c r="K489" s="3" t="s">
        <v>1059</v>
      </c>
      <c r="L489" s="3" t="s">
        <v>1060</v>
      </c>
      <c r="M489" s="3" t="s">
        <v>1061</v>
      </c>
      <c r="N489" s="6" t="s">
        <v>1062</v>
      </c>
      <c r="O489" s="6" t="s">
        <v>1063</v>
      </c>
      <c r="P489" s="3">
        <v>4680.0</v>
      </c>
      <c r="Q489" s="7" t="s">
        <v>60</v>
      </c>
    </row>
    <row r="490">
      <c r="A490" s="19" t="s">
        <v>1055</v>
      </c>
      <c r="B490" s="19" t="s">
        <v>1056</v>
      </c>
      <c r="C490" s="19" t="s">
        <v>1057</v>
      </c>
      <c r="D490" s="19" t="s">
        <v>531</v>
      </c>
      <c r="E490" s="3" t="s">
        <v>1070</v>
      </c>
      <c r="F490" s="7" t="s">
        <v>60</v>
      </c>
      <c r="H490" s="19" t="s">
        <v>48</v>
      </c>
      <c r="I490" s="3" t="s">
        <v>49</v>
      </c>
      <c r="J490" s="3">
        <v>5.0</v>
      </c>
      <c r="K490" s="3" t="s">
        <v>1059</v>
      </c>
      <c r="L490" s="3" t="s">
        <v>1060</v>
      </c>
      <c r="M490" s="3" t="s">
        <v>1061</v>
      </c>
      <c r="N490" s="6" t="s">
        <v>1062</v>
      </c>
      <c r="O490" s="6" t="s">
        <v>1063</v>
      </c>
      <c r="P490" s="3">
        <v>4680.0</v>
      </c>
      <c r="Q490" s="7" t="s">
        <v>60</v>
      </c>
    </row>
    <row r="491">
      <c r="A491" s="19" t="s">
        <v>1055</v>
      </c>
      <c r="B491" s="19" t="s">
        <v>1056</v>
      </c>
      <c r="C491" s="19" t="s">
        <v>1057</v>
      </c>
      <c r="D491" s="19" t="s">
        <v>531</v>
      </c>
      <c r="E491" s="3" t="s">
        <v>1071</v>
      </c>
      <c r="F491" s="7" t="s">
        <v>60</v>
      </c>
      <c r="H491" s="19" t="s">
        <v>48</v>
      </c>
      <c r="I491" s="3" t="s">
        <v>49</v>
      </c>
      <c r="J491" s="3">
        <v>5.0</v>
      </c>
      <c r="K491" s="3" t="s">
        <v>1059</v>
      </c>
      <c r="L491" s="3" t="s">
        <v>1060</v>
      </c>
      <c r="M491" s="3" t="s">
        <v>1061</v>
      </c>
      <c r="N491" s="6" t="s">
        <v>1062</v>
      </c>
      <c r="O491" s="6" t="s">
        <v>1063</v>
      </c>
      <c r="P491" s="3">
        <v>4680.0</v>
      </c>
      <c r="Q491" s="7" t="s">
        <v>60</v>
      </c>
    </row>
    <row r="492">
      <c r="A492" s="19" t="s">
        <v>1055</v>
      </c>
      <c r="B492" s="19" t="s">
        <v>1056</v>
      </c>
      <c r="C492" s="19" t="s">
        <v>1057</v>
      </c>
      <c r="D492" s="19" t="s">
        <v>531</v>
      </c>
      <c r="E492" s="3" t="s">
        <v>1072</v>
      </c>
      <c r="F492" s="7" t="s">
        <v>60</v>
      </c>
      <c r="H492" s="19" t="s">
        <v>48</v>
      </c>
      <c r="I492" s="3" t="s">
        <v>49</v>
      </c>
      <c r="J492" s="3">
        <v>5.0</v>
      </c>
      <c r="K492" s="3" t="s">
        <v>1059</v>
      </c>
      <c r="L492" s="3" t="s">
        <v>1060</v>
      </c>
      <c r="M492" s="3" t="s">
        <v>1061</v>
      </c>
      <c r="N492" s="6" t="s">
        <v>1062</v>
      </c>
      <c r="O492" s="6" t="s">
        <v>1063</v>
      </c>
      <c r="P492" s="3">
        <v>4680.0</v>
      </c>
      <c r="Q492" s="7" t="s">
        <v>60</v>
      </c>
    </row>
    <row r="493">
      <c r="A493" s="19" t="s">
        <v>1055</v>
      </c>
      <c r="B493" s="19" t="s">
        <v>1056</v>
      </c>
      <c r="C493" s="19" t="s">
        <v>1057</v>
      </c>
      <c r="D493" s="19" t="s">
        <v>531</v>
      </c>
      <c r="E493" s="3" t="s">
        <v>1073</v>
      </c>
      <c r="F493" s="7" t="s">
        <v>60</v>
      </c>
      <c r="H493" s="19" t="s">
        <v>48</v>
      </c>
      <c r="I493" s="3" t="s">
        <v>49</v>
      </c>
      <c r="J493" s="3">
        <v>5.0</v>
      </c>
      <c r="K493" s="3" t="s">
        <v>1059</v>
      </c>
      <c r="L493" s="3" t="s">
        <v>1060</v>
      </c>
      <c r="M493" s="3" t="s">
        <v>1061</v>
      </c>
      <c r="N493" s="6" t="s">
        <v>1062</v>
      </c>
      <c r="O493" s="6" t="s">
        <v>1063</v>
      </c>
      <c r="P493" s="3">
        <v>4680.0</v>
      </c>
      <c r="Q493" s="7" t="s">
        <v>60</v>
      </c>
    </row>
    <row r="494">
      <c r="A494" s="19" t="s">
        <v>1055</v>
      </c>
      <c r="B494" s="19" t="s">
        <v>1056</v>
      </c>
      <c r="C494" s="19" t="s">
        <v>1057</v>
      </c>
      <c r="D494" s="19" t="s">
        <v>531</v>
      </c>
      <c r="E494" s="3" t="s">
        <v>1074</v>
      </c>
      <c r="F494" s="7" t="s">
        <v>60</v>
      </c>
      <c r="H494" s="19" t="s">
        <v>48</v>
      </c>
      <c r="I494" s="3" t="s">
        <v>49</v>
      </c>
      <c r="J494" s="3">
        <v>5.0</v>
      </c>
      <c r="K494" s="3" t="s">
        <v>1059</v>
      </c>
      <c r="L494" s="3" t="s">
        <v>1060</v>
      </c>
      <c r="M494" s="3" t="s">
        <v>1061</v>
      </c>
      <c r="N494" s="6" t="s">
        <v>1062</v>
      </c>
      <c r="O494" s="6" t="s">
        <v>1063</v>
      </c>
      <c r="P494" s="3">
        <v>4680.0</v>
      </c>
      <c r="Q494" s="7" t="s">
        <v>60</v>
      </c>
    </row>
    <row r="495">
      <c r="A495" s="19" t="s">
        <v>1055</v>
      </c>
      <c r="B495" s="19" t="s">
        <v>1056</v>
      </c>
      <c r="C495" s="19" t="s">
        <v>1057</v>
      </c>
      <c r="D495" s="19" t="s">
        <v>531</v>
      </c>
      <c r="E495" s="3" t="s">
        <v>1075</v>
      </c>
      <c r="F495" s="7" t="s">
        <v>60</v>
      </c>
      <c r="H495" s="19" t="s">
        <v>48</v>
      </c>
      <c r="I495" s="3" t="s">
        <v>49</v>
      </c>
      <c r="J495" s="3">
        <v>5.0</v>
      </c>
      <c r="K495" s="3" t="s">
        <v>1059</v>
      </c>
      <c r="L495" s="3" t="s">
        <v>1060</v>
      </c>
      <c r="M495" s="3" t="s">
        <v>1061</v>
      </c>
      <c r="N495" s="6" t="s">
        <v>1062</v>
      </c>
      <c r="O495" s="6" t="s">
        <v>1063</v>
      </c>
      <c r="P495" s="3">
        <v>4680.0</v>
      </c>
      <c r="Q495" s="7" t="s">
        <v>60</v>
      </c>
    </row>
    <row r="496">
      <c r="A496" s="19" t="s">
        <v>1055</v>
      </c>
      <c r="B496" s="19" t="s">
        <v>1056</v>
      </c>
      <c r="C496" s="19" t="s">
        <v>1057</v>
      </c>
      <c r="D496" s="19" t="s">
        <v>531</v>
      </c>
      <c r="E496" s="3" t="s">
        <v>1076</v>
      </c>
      <c r="F496" s="7" t="s">
        <v>60</v>
      </c>
      <c r="H496" s="19" t="s">
        <v>48</v>
      </c>
      <c r="I496" s="3" t="s">
        <v>49</v>
      </c>
      <c r="J496" s="3">
        <v>5.0</v>
      </c>
      <c r="K496" s="3" t="s">
        <v>1059</v>
      </c>
      <c r="L496" s="3" t="s">
        <v>1060</v>
      </c>
      <c r="M496" s="3" t="s">
        <v>1061</v>
      </c>
      <c r="N496" s="6" t="s">
        <v>1062</v>
      </c>
      <c r="O496" s="6" t="s">
        <v>1063</v>
      </c>
      <c r="P496" s="3">
        <v>4680.0</v>
      </c>
      <c r="Q496" s="7" t="s">
        <v>60</v>
      </c>
    </row>
    <row r="497">
      <c r="A497" s="19" t="s">
        <v>1055</v>
      </c>
      <c r="B497" s="19" t="s">
        <v>1056</v>
      </c>
      <c r="C497" s="19" t="s">
        <v>1057</v>
      </c>
      <c r="D497" s="19" t="s">
        <v>531</v>
      </c>
      <c r="E497" s="3" t="s">
        <v>1077</v>
      </c>
      <c r="F497" s="7" t="s">
        <v>60</v>
      </c>
      <c r="H497" s="19" t="s">
        <v>48</v>
      </c>
      <c r="I497" s="3" t="s">
        <v>49</v>
      </c>
      <c r="J497" s="3">
        <v>5.0</v>
      </c>
      <c r="K497" s="3" t="s">
        <v>1059</v>
      </c>
      <c r="L497" s="3" t="s">
        <v>1060</v>
      </c>
      <c r="M497" s="3" t="s">
        <v>1061</v>
      </c>
      <c r="N497" s="6" t="s">
        <v>1062</v>
      </c>
      <c r="O497" s="6" t="s">
        <v>1063</v>
      </c>
      <c r="P497" s="3">
        <v>4680.0</v>
      </c>
      <c r="Q497" s="7" t="s">
        <v>60</v>
      </c>
    </row>
    <row r="498">
      <c r="A498" s="19" t="s">
        <v>1055</v>
      </c>
      <c r="B498" s="19" t="s">
        <v>1056</v>
      </c>
      <c r="C498" s="19" t="s">
        <v>1057</v>
      </c>
      <c r="D498" s="19" t="s">
        <v>531</v>
      </c>
      <c r="E498" s="3" t="s">
        <v>1078</v>
      </c>
      <c r="F498" s="7" t="s">
        <v>60</v>
      </c>
      <c r="H498" s="19" t="s">
        <v>48</v>
      </c>
      <c r="I498" s="3" t="s">
        <v>49</v>
      </c>
      <c r="J498" s="3">
        <v>5.0</v>
      </c>
      <c r="K498" s="3" t="s">
        <v>1059</v>
      </c>
      <c r="L498" s="3" t="s">
        <v>1060</v>
      </c>
      <c r="M498" s="3" t="s">
        <v>1061</v>
      </c>
      <c r="N498" s="6" t="s">
        <v>1062</v>
      </c>
      <c r="O498" s="6" t="s">
        <v>1063</v>
      </c>
      <c r="P498" s="3">
        <v>4680.0</v>
      </c>
      <c r="Q498" s="7" t="s">
        <v>60</v>
      </c>
    </row>
    <row r="499">
      <c r="A499" s="19" t="s">
        <v>1055</v>
      </c>
      <c r="B499" s="19" t="s">
        <v>1056</v>
      </c>
      <c r="C499" s="19" t="s">
        <v>1057</v>
      </c>
      <c r="D499" s="19" t="s">
        <v>531</v>
      </c>
      <c r="E499" s="3" t="s">
        <v>1079</v>
      </c>
      <c r="F499" s="7" t="s">
        <v>60</v>
      </c>
      <c r="H499" s="19" t="s">
        <v>48</v>
      </c>
      <c r="I499" s="3" t="s">
        <v>49</v>
      </c>
      <c r="J499" s="3">
        <v>5.0</v>
      </c>
      <c r="K499" s="3" t="s">
        <v>1059</v>
      </c>
      <c r="L499" s="3" t="s">
        <v>1060</v>
      </c>
      <c r="M499" s="3" t="s">
        <v>1061</v>
      </c>
      <c r="N499" s="6" t="s">
        <v>1062</v>
      </c>
      <c r="O499" s="6" t="s">
        <v>1063</v>
      </c>
      <c r="P499" s="3">
        <v>4680.0</v>
      </c>
      <c r="Q499" s="7" t="s">
        <v>60</v>
      </c>
    </row>
    <row r="500">
      <c r="A500" s="19" t="s">
        <v>1055</v>
      </c>
      <c r="B500" s="19" t="s">
        <v>1056</v>
      </c>
      <c r="C500" s="19" t="s">
        <v>1057</v>
      </c>
      <c r="D500" s="19" t="s">
        <v>531</v>
      </c>
      <c r="E500" s="3" t="s">
        <v>1080</v>
      </c>
      <c r="F500" s="7" t="s">
        <v>60</v>
      </c>
      <c r="H500" s="19" t="s">
        <v>48</v>
      </c>
      <c r="I500" s="3" t="s">
        <v>49</v>
      </c>
      <c r="J500" s="3">
        <v>5.0</v>
      </c>
      <c r="K500" s="3" t="s">
        <v>1059</v>
      </c>
      <c r="L500" s="3" t="s">
        <v>1060</v>
      </c>
      <c r="M500" s="3" t="s">
        <v>1061</v>
      </c>
      <c r="N500" s="6" t="s">
        <v>1062</v>
      </c>
      <c r="O500" s="6" t="s">
        <v>1063</v>
      </c>
      <c r="P500" s="3">
        <v>4680.0</v>
      </c>
      <c r="Q500" s="7" t="s">
        <v>60</v>
      </c>
    </row>
    <row r="501">
      <c r="A501" s="19" t="s">
        <v>1055</v>
      </c>
      <c r="B501" s="19" t="s">
        <v>1056</v>
      </c>
      <c r="C501" s="19" t="s">
        <v>1057</v>
      </c>
      <c r="D501" s="19" t="s">
        <v>531</v>
      </c>
      <c r="E501" s="3" t="s">
        <v>1081</v>
      </c>
      <c r="F501" s="7" t="s">
        <v>60</v>
      </c>
      <c r="H501" s="19" t="s">
        <v>48</v>
      </c>
      <c r="I501" s="3" t="s">
        <v>49</v>
      </c>
      <c r="J501" s="3">
        <v>5.0</v>
      </c>
      <c r="K501" s="3" t="s">
        <v>1059</v>
      </c>
      <c r="L501" s="3" t="s">
        <v>1060</v>
      </c>
      <c r="M501" s="3" t="s">
        <v>1061</v>
      </c>
      <c r="N501" s="6" t="s">
        <v>1062</v>
      </c>
      <c r="O501" s="6" t="s">
        <v>1063</v>
      </c>
      <c r="P501" s="3">
        <v>4680.0</v>
      </c>
      <c r="Q501" s="7" t="s">
        <v>60</v>
      </c>
    </row>
    <row r="502">
      <c r="A502" s="19" t="s">
        <v>1055</v>
      </c>
      <c r="B502" s="19" t="s">
        <v>1056</v>
      </c>
      <c r="C502" s="19" t="s">
        <v>1057</v>
      </c>
      <c r="D502" s="19" t="s">
        <v>531</v>
      </c>
      <c r="E502" s="3" t="s">
        <v>1082</v>
      </c>
      <c r="F502" s="7" t="s">
        <v>60</v>
      </c>
      <c r="H502" s="19" t="s">
        <v>48</v>
      </c>
      <c r="I502" s="3" t="s">
        <v>49</v>
      </c>
      <c r="J502" s="3">
        <v>5.0</v>
      </c>
      <c r="K502" s="3" t="s">
        <v>1059</v>
      </c>
      <c r="L502" s="3" t="s">
        <v>1060</v>
      </c>
      <c r="M502" s="3" t="s">
        <v>1061</v>
      </c>
      <c r="N502" s="6" t="s">
        <v>1062</v>
      </c>
      <c r="O502" s="6" t="s">
        <v>1063</v>
      </c>
      <c r="P502" s="3">
        <v>4680.0</v>
      </c>
      <c r="Q502" s="7" t="s">
        <v>60</v>
      </c>
    </row>
    <row r="503">
      <c r="A503" s="19" t="s">
        <v>1055</v>
      </c>
      <c r="B503" s="19" t="s">
        <v>1056</v>
      </c>
      <c r="C503" s="19" t="s">
        <v>1057</v>
      </c>
      <c r="D503" s="19" t="s">
        <v>531</v>
      </c>
      <c r="E503" s="3" t="s">
        <v>1083</v>
      </c>
      <c r="F503" s="7" t="s">
        <v>60</v>
      </c>
      <c r="H503" s="19" t="s">
        <v>48</v>
      </c>
      <c r="I503" s="3" t="s">
        <v>49</v>
      </c>
      <c r="J503" s="3">
        <v>5.0</v>
      </c>
      <c r="K503" s="3" t="s">
        <v>1059</v>
      </c>
      <c r="L503" s="3" t="s">
        <v>1060</v>
      </c>
      <c r="M503" s="3" t="s">
        <v>1061</v>
      </c>
      <c r="N503" s="6" t="s">
        <v>1062</v>
      </c>
      <c r="O503" s="6" t="s">
        <v>1063</v>
      </c>
      <c r="P503" s="3">
        <v>4680.0</v>
      </c>
      <c r="Q503" s="7" t="s">
        <v>60</v>
      </c>
    </row>
    <row r="504">
      <c r="A504" s="19" t="s">
        <v>1084</v>
      </c>
      <c r="B504" s="19" t="s">
        <v>1085</v>
      </c>
      <c r="C504" s="19" t="s">
        <v>1086</v>
      </c>
      <c r="D504" s="19" t="s">
        <v>531</v>
      </c>
      <c r="E504" s="3" t="s">
        <v>1087</v>
      </c>
      <c r="F504" s="5">
        <v>45947.0</v>
      </c>
      <c r="G504" s="24" t="s">
        <v>214</v>
      </c>
      <c r="H504" s="19" t="s">
        <v>48</v>
      </c>
      <c r="I504" s="3" t="s">
        <v>49</v>
      </c>
      <c r="J504" s="3">
        <v>2.0</v>
      </c>
      <c r="K504" s="3" t="s">
        <v>423</v>
      </c>
      <c r="L504" s="3" t="s">
        <v>1088</v>
      </c>
      <c r="M504" s="3" t="s">
        <v>1089</v>
      </c>
      <c r="N504" s="6" t="s">
        <v>1090</v>
      </c>
      <c r="O504" s="6" t="s">
        <v>1091</v>
      </c>
      <c r="P504" s="3">
        <v>4655.0</v>
      </c>
      <c r="Q504" s="3">
        <v>2.0</v>
      </c>
      <c r="R504" s="3">
        <v>383.9</v>
      </c>
    </row>
    <row r="505">
      <c r="A505" s="19" t="s">
        <v>1084</v>
      </c>
      <c r="B505" s="19" t="s">
        <v>1085</v>
      </c>
      <c r="C505" s="19" t="s">
        <v>1086</v>
      </c>
      <c r="D505" s="19" t="s">
        <v>531</v>
      </c>
      <c r="E505" s="3" t="s">
        <v>1092</v>
      </c>
      <c r="F505" s="7" t="s">
        <v>60</v>
      </c>
      <c r="H505" s="19" t="s">
        <v>48</v>
      </c>
      <c r="I505" s="3" t="s">
        <v>49</v>
      </c>
      <c r="J505" s="3">
        <v>2.0</v>
      </c>
      <c r="K505" s="3" t="s">
        <v>423</v>
      </c>
      <c r="L505" s="3" t="s">
        <v>1088</v>
      </c>
      <c r="M505" s="3" t="s">
        <v>1089</v>
      </c>
      <c r="N505" s="6" t="s">
        <v>1090</v>
      </c>
      <c r="O505" s="6" t="s">
        <v>1091</v>
      </c>
      <c r="P505" s="3">
        <v>4655.0</v>
      </c>
      <c r="Q505" s="7" t="s">
        <v>60</v>
      </c>
    </row>
    <row r="506">
      <c r="A506" s="19" t="s">
        <v>1084</v>
      </c>
      <c r="B506" s="19" t="s">
        <v>1085</v>
      </c>
      <c r="C506" s="19" t="s">
        <v>1086</v>
      </c>
      <c r="D506" s="19" t="s">
        <v>531</v>
      </c>
      <c r="E506" s="3" t="s">
        <v>1093</v>
      </c>
      <c r="F506" s="7" t="s">
        <v>60</v>
      </c>
      <c r="H506" s="19" t="s">
        <v>48</v>
      </c>
      <c r="I506" s="3" t="s">
        <v>49</v>
      </c>
      <c r="J506" s="3">
        <v>2.0</v>
      </c>
      <c r="K506" s="3" t="s">
        <v>423</v>
      </c>
      <c r="L506" s="3" t="s">
        <v>1088</v>
      </c>
      <c r="M506" s="3" t="s">
        <v>1089</v>
      </c>
      <c r="N506" s="6" t="s">
        <v>1090</v>
      </c>
      <c r="O506" s="6" t="s">
        <v>1091</v>
      </c>
      <c r="P506" s="3">
        <v>4655.0</v>
      </c>
      <c r="Q506" s="7" t="s">
        <v>60</v>
      </c>
    </row>
    <row r="507">
      <c r="A507" s="19" t="s">
        <v>1084</v>
      </c>
      <c r="B507" s="19" t="s">
        <v>1085</v>
      </c>
      <c r="C507" s="19" t="s">
        <v>1086</v>
      </c>
      <c r="D507" s="19" t="s">
        <v>531</v>
      </c>
      <c r="E507" s="3" t="s">
        <v>1094</v>
      </c>
      <c r="F507" s="7" t="s">
        <v>60</v>
      </c>
      <c r="H507" s="19" t="s">
        <v>48</v>
      </c>
      <c r="I507" s="3" t="s">
        <v>49</v>
      </c>
      <c r="J507" s="3">
        <v>2.0</v>
      </c>
      <c r="K507" s="3" t="s">
        <v>423</v>
      </c>
      <c r="L507" s="3" t="s">
        <v>1088</v>
      </c>
      <c r="M507" s="3" t="s">
        <v>1089</v>
      </c>
      <c r="N507" s="6" t="s">
        <v>1090</v>
      </c>
      <c r="O507" s="6" t="s">
        <v>1091</v>
      </c>
      <c r="P507" s="3">
        <v>4655.0</v>
      </c>
      <c r="Q507" s="7" t="s">
        <v>60</v>
      </c>
    </row>
    <row r="508">
      <c r="A508" s="19" t="s">
        <v>1084</v>
      </c>
      <c r="B508" s="19" t="s">
        <v>1085</v>
      </c>
      <c r="C508" s="19" t="s">
        <v>1086</v>
      </c>
      <c r="D508" s="19" t="s">
        <v>531</v>
      </c>
      <c r="E508" s="3" t="s">
        <v>1095</v>
      </c>
      <c r="F508" s="7" t="s">
        <v>60</v>
      </c>
      <c r="H508" s="19" t="s">
        <v>48</v>
      </c>
      <c r="I508" s="3" t="s">
        <v>49</v>
      </c>
      <c r="J508" s="3">
        <v>2.0</v>
      </c>
      <c r="K508" s="3" t="s">
        <v>423</v>
      </c>
      <c r="L508" s="3" t="s">
        <v>1088</v>
      </c>
      <c r="M508" s="3" t="s">
        <v>1089</v>
      </c>
      <c r="N508" s="6" t="s">
        <v>1090</v>
      </c>
      <c r="O508" s="6" t="s">
        <v>1091</v>
      </c>
      <c r="P508" s="3">
        <v>4655.0</v>
      </c>
      <c r="Q508" s="7" t="s">
        <v>60</v>
      </c>
    </row>
    <row r="509">
      <c r="A509" s="19" t="s">
        <v>1084</v>
      </c>
      <c r="B509" s="19" t="s">
        <v>1085</v>
      </c>
      <c r="C509" s="19" t="s">
        <v>1086</v>
      </c>
      <c r="D509" s="19" t="s">
        <v>531</v>
      </c>
      <c r="E509" s="3" t="s">
        <v>1096</v>
      </c>
      <c r="F509" s="7" t="s">
        <v>60</v>
      </c>
      <c r="H509" s="19" t="s">
        <v>48</v>
      </c>
      <c r="I509" s="3" t="s">
        <v>49</v>
      </c>
      <c r="J509" s="3">
        <v>2.0</v>
      </c>
      <c r="K509" s="3" t="s">
        <v>423</v>
      </c>
      <c r="L509" s="3" t="s">
        <v>1088</v>
      </c>
      <c r="M509" s="3" t="s">
        <v>1089</v>
      </c>
      <c r="N509" s="6" t="s">
        <v>1090</v>
      </c>
      <c r="O509" s="6" t="s">
        <v>1091</v>
      </c>
      <c r="P509" s="3">
        <v>4655.0</v>
      </c>
      <c r="Q509" s="7" t="s">
        <v>60</v>
      </c>
    </row>
    <row r="510">
      <c r="A510" s="19" t="s">
        <v>1084</v>
      </c>
      <c r="B510" s="19" t="s">
        <v>1085</v>
      </c>
      <c r="C510" s="19" t="s">
        <v>1086</v>
      </c>
      <c r="D510" s="19" t="s">
        <v>531</v>
      </c>
      <c r="E510" s="3" t="s">
        <v>1097</v>
      </c>
      <c r="F510" s="7" t="s">
        <v>60</v>
      </c>
      <c r="H510" s="19" t="s">
        <v>48</v>
      </c>
      <c r="I510" s="3" t="s">
        <v>49</v>
      </c>
      <c r="J510" s="3">
        <v>2.0</v>
      </c>
      <c r="K510" s="3" t="s">
        <v>423</v>
      </c>
      <c r="L510" s="3" t="s">
        <v>1088</v>
      </c>
      <c r="M510" s="3" t="s">
        <v>1089</v>
      </c>
      <c r="N510" s="6" t="s">
        <v>1090</v>
      </c>
      <c r="O510" s="6" t="s">
        <v>1091</v>
      </c>
      <c r="P510" s="3">
        <v>4655.0</v>
      </c>
      <c r="Q510" s="7" t="s">
        <v>60</v>
      </c>
    </row>
    <row r="511">
      <c r="A511" s="19" t="s">
        <v>1084</v>
      </c>
      <c r="B511" s="19" t="s">
        <v>1085</v>
      </c>
      <c r="C511" s="19" t="s">
        <v>1086</v>
      </c>
      <c r="D511" s="19" t="s">
        <v>531</v>
      </c>
      <c r="E511" s="3" t="s">
        <v>1098</v>
      </c>
      <c r="F511" s="7" t="s">
        <v>60</v>
      </c>
      <c r="H511" s="19" t="s">
        <v>48</v>
      </c>
      <c r="I511" s="3" t="s">
        <v>49</v>
      </c>
      <c r="J511" s="3">
        <v>2.0</v>
      </c>
      <c r="K511" s="3" t="s">
        <v>423</v>
      </c>
      <c r="L511" s="3" t="s">
        <v>1088</v>
      </c>
      <c r="M511" s="3" t="s">
        <v>1089</v>
      </c>
      <c r="N511" s="6" t="s">
        <v>1090</v>
      </c>
      <c r="O511" s="6" t="s">
        <v>1091</v>
      </c>
      <c r="P511" s="3">
        <v>4655.0</v>
      </c>
      <c r="Q511" s="7" t="s">
        <v>60</v>
      </c>
    </row>
    <row r="512">
      <c r="A512" s="19" t="s">
        <v>1084</v>
      </c>
      <c r="B512" s="19" t="s">
        <v>1085</v>
      </c>
      <c r="C512" s="19" t="s">
        <v>1086</v>
      </c>
      <c r="D512" s="19" t="s">
        <v>531</v>
      </c>
      <c r="E512" s="3" t="s">
        <v>1099</v>
      </c>
      <c r="F512" s="7" t="s">
        <v>60</v>
      </c>
      <c r="H512" s="19" t="s">
        <v>48</v>
      </c>
      <c r="I512" s="3" t="s">
        <v>49</v>
      </c>
      <c r="J512" s="3">
        <v>2.0</v>
      </c>
      <c r="K512" s="3" t="s">
        <v>423</v>
      </c>
      <c r="L512" s="3" t="s">
        <v>1088</v>
      </c>
      <c r="M512" s="3" t="s">
        <v>1089</v>
      </c>
      <c r="N512" s="6" t="s">
        <v>1090</v>
      </c>
      <c r="O512" s="6" t="s">
        <v>1091</v>
      </c>
      <c r="P512" s="3">
        <v>4655.0</v>
      </c>
      <c r="Q512" s="7" t="s">
        <v>60</v>
      </c>
    </row>
    <row r="513">
      <c r="A513" s="19" t="s">
        <v>1084</v>
      </c>
      <c r="B513" s="19" t="s">
        <v>1085</v>
      </c>
      <c r="C513" s="19" t="s">
        <v>1086</v>
      </c>
      <c r="D513" s="19" t="s">
        <v>531</v>
      </c>
      <c r="E513" s="3" t="s">
        <v>1100</v>
      </c>
      <c r="F513" s="7" t="s">
        <v>60</v>
      </c>
      <c r="H513" s="19" t="s">
        <v>48</v>
      </c>
      <c r="I513" s="3" t="s">
        <v>49</v>
      </c>
      <c r="J513" s="3">
        <v>2.0</v>
      </c>
      <c r="K513" s="3" t="s">
        <v>423</v>
      </c>
      <c r="L513" s="3" t="s">
        <v>1088</v>
      </c>
      <c r="M513" s="3" t="s">
        <v>1089</v>
      </c>
      <c r="N513" s="6" t="s">
        <v>1090</v>
      </c>
      <c r="O513" s="6" t="s">
        <v>1091</v>
      </c>
      <c r="P513" s="3">
        <v>4655.0</v>
      </c>
      <c r="Q513" s="7" t="s">
        <v>60</v>
      </c>
    </row>
    <row r="514">
      <c r="A514" s="19" t="s">
        <v>1084</v>
      </c>
      <c r="B514" s="19" t="s">
        <v>1085</v>
      </c>
      <c r="C514" s="19" t="s">
        <v>1086</v>
      </c>
      <c r="D514" s="19" t="s">
        <v>531</v>
      </c>
      <c r="E514" s="3" t="s">
        <v>1101</v>
      </c>
      <c r="F514" s="7" t="s">
        <v>60</v>
      </c>
      <c r="H514" s="19" t="s">
        <v>48</v>
      </c>
      <c r="I514" s="3" t="s">
        <v>49</v>
      </c>
      <c r="J514" s="3">
        <v>2.0</v>
      </c>
      <c r="K514" s="3" t="s">
        <v>423</v>
      </c>
      <c r="L514" s="3" t="s">
        <v>1088</v>
      </c>
      <c r="M514" s="3" t="s">
        <v>1089</v>
      </c>
      <c r="N514" s="6" t="s">
        <v>1090</v>
      </c>
      <c r="O514" s="6" t="s">
        <v>1091</v>
      </c>
      <c r="P514" s="3">
        <v>4655.0</v>
      </c>
      <c r="Q514" s="7" t="s">
        <v>60</v>
      </c>
    </row>
    <row r="515">
      <c r="A515" s="19" t="s">
        <v>1084</v>
      </c>
      <c r="B515" s="19" t="s">
        <v>1085</v>
      </c>
      <c r="C515" s="19" t="s">
        <v>1086</v>
      </c>
      <c r="D515" s="19" t="s">
        <v>531</v>
      </c>
      <c r="E515" s="3" t="s">
        <v>1102</v>
      </c>
      <c r="F515" s="7" t="s">
        <v>60</v>
      </c>
      <c r="H515" s="19" t="s">
        <v>48</v>
      </c>
      <c r="I515" s="3" t="s">
        <v>49</v>
      </c>
      <c r="J515" s="3">
        <v>2.0</v>
      </c>
      <c r="K515" s="3" t="s">
        <v>423</v>
      </c>
      <c r="L515" s="3" t="s">
        <v>1088</v>
      </c>
      <c r="M515" s="3" t="s">
        <v>1089</v>
      </c>
      <c r="N515" s="6" t="s">
        <v>1090</v>
      </c>
      <c r="O515" s="6" t="s">
        <v>1091</v>
      </c>
      <c r="P515" s="3">
        <v>4655.0</v>
      </c>
      <c r="Q515" s="7" t="s">
        <v>60</v>
      </c>
    </row>
    <row r="516">
      <c r="A516" s="19" t="s">
        <v>1084</v>
      </c>
      <c r="B516" s="19" t="s">
        <v>1085</v>
      </c>
      <c r="C516" s="19" t="s">
        <v>1086</v>
      </c>
      <c r="D516" s="19" t="s">
        <v>531</v>
      </c>
      <c r="E516" s="3" t="s">
        <v>1103</v>
      </c>
      <c r="F516" s="7" t="s">
        <v>60</v>
      </c>
      <c r="H516" s="19" t="s">
        <v>48</v>
      </c>
      <c r="I516" s="3" t="s">
        <v>49</v>
      </c>
      <c r="J516" s="3">
        <v>2.0</v>
      </c>
      <c r="K516" s="3" t="s">
        <v>423</v>
      </c>
      <c r="L516" s="3" t="s">
        <v>1088</v>
      </c>
      <c r="M516" s="3" t="s">
        <v>1089</v>
      </c>
      <c r="N516" s="6" t="s">
        <v>1090</v>
      </c>
      <c r="O516" s="6" t="s">
        <v>1091</v>
      </c>
      <c r="P516" s="3">
        <v>4655.0</v>
      </c>
      <c r="Q516" s="7" t="s">
        <v>60</v>
      </c>
    </row>
    <row r="517">
      <c r="A517" s="19" t="s">
        <v>1084</v>
      </c>
      <c r="B517" s="19" t="s">
        <v>1085</v>
      </c>
      <c r="C517" s="19" t="s">
        <v>1086</v>
      </c>
      <c r="D517" s="19" t="s">
        <v>531</v>
      </c>
      <c r="E517" s="3" t="s">
        <v>1104</v>
      </c>
      <c r="F517" s="7" t="s">
        <v>60</v>
      </c>
      <c r="H517" s="19" t="s">
        <v>48</v>
      </c>
      <c r="I517" s="3" t="s">
        <v>49</v>
      </c>
      <c r="J517" s="3">
        <v>2.0</v>
      </c>
      <c r="K517" s="3" t="s">
        <v>423</v>
      </c>
      <c r="L517" s="3" t="s">
        <v>1088</v>
      </c>
      <c r="M517" s="3" t="s">
        <v>1089</v>
      </c>
      <c r="N517" s="6" t="s">
        <v>1090</v>
      </c>
      <c r="O517" s="6" t="s">
        <v>1091</v>
      </c>
      <c r="P517" s="3">
        <v>4655.0</v>
      </c>
      <c r="Q517" s="7" t="s">
        <v>60</v>
      </c>
    </row>
    <row r="518">
      <c r="A518" s="19" t="s">
        <v>1084</v>
      </c>
      <c r="B518" s="19" t="s">
        <v>1085</v>
      </c>
      <c r="C518" s="19" t="s">
        <v>1086</v>
      </c>
      <c r="D518" s="19" t="s">
        <v>531</v>
      </c>
      <c r="E518" s="3" t="s">
        <v>1105</v>
      </c>
      <c r="F518" s="7" t="s">
        <v>60</v>
      </c>
      <c r="H518" s="19" t="s">
        <v>48</v>
      </c>
      <c r="I518" s="3" t="s">
        <v>49</v>
      </c>
      <c r="J518" s="3">
        <v>2.0</v>
      </c>
      <c r="K518" s="3" t="s">
        <v>423</v>
      </c>
      <c r="L518" s="3" t="s">
        <v>1088</v>
      </c>
      <c r="M518" s="3" t="s">
        <v>1089</v>
      </c>
      <c r="N518" s="6" t="s">
        <v>1090</v>
      </c>
      <c r="O518" s="6" t="s">
        <v>1091</v>
      </c>
      <c r="P518" s="3">
        <v>4655.0</v>
      </c>
      <c r="Q518" s="7" t="s">
        <v>60</v>
      </c>
    </row>
    <row r="519">
      <c r="A519" s="19" t="s">
        <v>1084</v>
      </c>
      <c r="B519" s="19" t="s">
        <v>1085</v>
      </c>
      <c r="C519" s="19" t="s">
        <v>1086</v>
      </c>
      <c r="D519" s="19" t="s">
        <v>531</v>
      </c>
      <c r="E519" s="3" t="s">
        <v>1106</v>
      </c>
      <c r="F519" s="7" t="s">
        <v>60</v>
      </c>
      <c r="H519" s="19" t="s">
        <v>48</v>
      </c>
      <c r="I519" s="3" t="s">
        <v>49</v>
      </c>
      <c r="J519" s="3">
        <v>2.0</v>
      </c>
      <c r="K519" s="3" t="s">
        <v>423</v>
      </c>
      <c r="L519" s="3" t="s">
        <v>1088</v>
      </c>
      <c r="M519" s="3" t="s">
        <v>1089</v>
      </c>
      <c r="N519" s="6" t="s">
        <v>1090</v>
      </c>
      <c r="O519" s="6" t="s">
        <v>1091</v>
      </c>
      <c r="P519" s="3">
        <v>4655.0</v>
      </c>
      <c r="Q519" s="7" t="s">
        <v>60</v>
      </c>
    </row>
    <row r="520">
      <c r="A520" s="19" t="s">
        <v>1084</v>
      </c>
      <c r="B520" s="19" t="s">
        <v>1085</v>
      </c>
      <c r="C520" s="19" t="s">
        <v>1086</v>
      </c>
      <c r="D520" s="19" t="s">
        <v>531</v>
      </c>
      <c r="E520" s="3" t="s">
        <v>1107</v>
      </c>
      <c r="F520" s="7" t="s">
        <v>60</v>
      </c>
      <c r="H520" s="19" t="s">
        <v>48</v>
      </c>
      <c r="I520" s="3" t="s">
        <v>49</v>
      </c>
      <c r="J520" s="3">
        <v>2.0</v>
      </c>
      <c r="K520" s="3" t="s">
        <v>423</v>
      </c>
      <c r="L520" s="3" t="s">
        <v>1088</v>
      </c>
      <c r="M520" s="3" t="s">
        <v>1089</v>
      </c>
      <c r="N520" s="6" t="s">
        <v>1090</v>
      </c>
      <c r="O520" s="6" t="s">
        <v>1091</v>
      </c>
      <c r="P520" s="3">
        <v>4655.0</v>
      </c>
      <c r="Q520" s="7" t="s">
        <v>60</v>
      </c>
    </row>
    <row r="521">
      <c r="A521" s="19" t="s">
        <v>1084</v>
      </c>
      <c r="B521" s="19" t="s">
        <v>1085</v>
      </c>
      <c r="C521" s="19" t="s">
        <v>1086</v>
      </c>
      <c r="D521" s="19" t="s">
        <v>531</v>
      </c>
      <c r="E521" s="3" t="s">
        <v>1108</v>
      </c>
      <c r="F521" s="7" t="s">
        <v>60</v>
      </c>
      <c r="H521" s="19" t="s">
        <v>48</v>
      </c>
      <c r="I521" s="3" t="s">
        <v>49</v>
      </c>
      <c r="J521" s="3">
        <v>2.0</v>
      </c>
      <c r="K521" s="3" t="s">
        <v>423</v>
      </c>
      <c r="L521" s="3" t="s">
        <v>1088</v>
      </c>
      <c r="M521" s="3" t="s">
        <v>1089</v>
      </c>
      <c r="N521" s="6" t="s">
        <v>1090</v>
      </c>
      <c r="O521" s="6" t="s">
        <v>1091</v>
      </c>
      <c r="P521" s="3">
        <v>4655.0</v>
      </c>
      <c r="Q521" s="7" t="s">
        <v>60</v>
      </c>
    </row>
    <row r="522">
      <c r="A522" s="19" t="s">
        <v>1084</v>
      </c>
      <c r="B522" s="19" t="s">
        <v>1085</v>
      </c>
      <c r="C522" s="19" t="s">
        <v>1086</v>
      </c>
      <c r="D522" s="19" t="s">
        <v>531</v>
      </c>
      <c r="E522" s="3" t="s">
        <v>1109</v>
      </c>
      <c r="F522" s="7" t="s">
        <v>60</v>
      </c>
      <c r="H522" s="19" t="s">
        <v>48</v>
      </c>
      <c r="I522" s="3" t="s">
        <v>49</v>
      </c>
      <c r="J522" s="3">
        <v>2.0</v>
      </c>
      <c r="K522" s="3" t="s">
        <v>423</v>
      </c>
      <c r="L522" s="3" t="s">
        <v>1088</v>
      </c>
      <c r="M522" s="3" t="s">
        <v>1089</v>
      </c>
      <c r="N522" s="6" t="s">
        <v>1090</v>
      </c>
      <c r="O522" s="6" t="s">
        <v>1091</v>
      </c>
      <c r="P522" s="3">
        <v>4655.0</v>
      </c>
      <c r="Q522" s="7" t="s">
        <v>60</v>
      </c>
    </row>
    <row r="523">
      <c r="A523" s="19" t="s">
        <v>1084</v>
      </c>
      <c r="B523" s="19" t="s">
        <v>1085</v>
      </c>
      <c r="C523" s="19" t="s">
        <v>1086</v>
      </c>
      <c r="D523" s="19" t="s">
        <v>531</v>
      </c>
      <c r="E523" s="3" t="s">
        <v>1110</v>
      </c>
      <c r="F523" s="7" t="s">
        <v>60</v>
      </c>
      <c r="H523" s="19" t="s">
        <v>48</v>
      </c>
      <c r="I523" s="3" t="s">
        <v>49</v>
      </c>
      <c r="J523" s="3">
        <v>2.0</v>
      </c>
      <c r="K523" s="3" t="s">
        <v>423</v>
      </c>
      <c r="L523" s="3" t="s">
        <v>1088</v>
      </c>
      <c r="M523" s="3" t="s">
        <v>1089</v>
      </c>
      <c r="N523" s="6" t="s">
        <v>1090</v>
      </c>
      <c r="O523" s="6" t="s">
        <v>1091</v>
      </c>
      <c r="P523" s="3">
        <v>4655.0</v>
      </c>
      <c r="Q523" s="7" t="s">
        <v>60</v>
      </c>
    </row>
    <row r="524">
      <c r="A524" s="19" t="s">
        <v>1084</v>
      </c>
      <c r="B524" s="19" t="s">
        <v>1085</v>
      </c>
      <c r="C524" s="19" t="s">
        <v>1086</v>
      </c>
      <c r="D524" s="19" t="s">
        <v>531</v>
      </c>
      <c r="E524" s="3" t="s">
        <v>1111</v>
      </c>
      <c r="F524" s="7" t="s">
        <v>60</v>
      </c>
      <c r="H524" s="19" t="s">
        <v>48</v>
      </c>
      <c r="I524" s="3" t="s">
        <v>49</v>
      </c>
      <c r="J524" s="3">
        <v>2.0</v>
      </c>
      <c r="K524" s="3" t="s">
        <v>423</v>
      </c>
      <c r="L524" s="3" t="s">
        <v>1088</v>
      </c>
      <c r="M524" s="3" t="s">
        <v>1089</v>
      </c>
      <c r="N524" s="6" t="s">
        <v>1090</v>
      </c>
      <c r="O524" s="6" t="s">
        <v>1091</v>
      </c>
      <c r="P524" s="3">
        <v>4655.0</v>
      </c>
      <c r="Q524" s="7" t="s">
        <v>60</v>
      </c>
    </row>
    <row r="525">
      <c r="A525" s="19" t="s">
        <v>1084</v>
      </c>
      <c r="B525" s="19" t="s">
        <v>1085</v>
      </c>
      <c r="C525" s="19" t="s">
        <v>1086</v>
      </c>
      <c r="D525" s="19" t="s">
        <v>531</v>
      </c>
      <c r="E525" s="3" t="s">
        <v>1112</v>
      </c>
      <c r="F525" s="7" t="s">
        <v>60</v>
      </c>
      <c r="H525" s="19" t="s">
        <v>48</v>
      </c>
      <c r="I525" s="3" t="s">
        <v>49</v>
      </c>
      <c r="J525" s="3">
        <v>2.0</v>
      </c>
      <c r="K525" s="3" t="s">
        <v>423</v>
      </c>
      <c r="L525" s="3" t="s">
        <v>1088</v>
      </c>
      <c r="M525" s="3" t="s">
        <v>1089</v>
      </c>
      <c r="N525" s="6" t="s">
        <v>1090</v>
      </c>
      <c r="O525" s="6" t="s">
        <v>1091</v>
      </c>
      <c r="P525" s="3">
        <v>4655.0</v>
      </c>
      <c r="Q525" s="7" t="s">
        <v>60</v>
      </c>
    </row>
    <row r="526">
      <c r="A526" s="19" t="s">
        <v>1084</v>
      </c>
      <c r="B526" s="19" t="s">
        <v>1085</v>
      </c>
      <c r="C526" s="19" t="s">
        <v>1086</v>
      </c>
      <c r="D526" s="19" t="s">
        <v>531</v>
      </c>
      <c r="E526" s="3" t="s">
        <v>1113</v>
      </c>
      <c r="F526" s="7" t="s">
        <v>60</v>
      </c>
      <c r="H526" s="19" t="s">
        <v>48</v>
      </c>
      <c r="I526" s="3" t="s">
        <v>49</v>
      </c>
      <c r="J526" s="3">
        <v>2.0</v>
      </c>
      <c r="K526" s="3" t="s">
        <v>423</v>
      </c>
      <c r="L526" s="3" t="s">
        <v>1088</v>
      </c>
      <c r="M526" s="3" t="s">
        <v>1089</v>
      </c>
      <c r="N526" s="6" t="s">
        <v>1090</v>
      </c>
      <c r="O526" s="6" t="s">
        <v>1091</v>
      </c>
      <c r="P526" s="3">
        <v>4655.0</v>
      </c>
      <c r="Q526" s="7" t="s">
        <v>60</v>
      </c>
    </row>
    <row r="527">
      <c r="A527" s="19" t="s">
        <v>1084</v>
      </c>
      <c r="B527" s="19" t="s">
        <v>1085</v>
      </c>
      <c r="C527" s="19" t="s">
        <v>1086</v>
      </c>
      <c r="D527" s="19" t="s">
        <v>531</v>
      </c>
      <c r="E527" s="3" t="s">
        <v>1114</v>
      </c>
      <c r="F527" s="7" t="s">
        <v>60</v>
      </c>
      <c r="H527" s="19" t="s">
        <v>48</v>
      </c>
      <c r="I527" s="3" t="s">
        <v>49</v>
      </c>
      <c r="J527" s="3">
        <v>1.0</v>
      </c>
      <c r="K527" s="3" t="s">
        <v>423</v>
      </c>
      <c r="L527" s="3" t="s">
        <v>1088</v>
      </c>
      <c r="M527" s="3" t="s">
        <v>1089</v>
      </c>
      <c r="N527" s="6" t="s">
        <v>1090</v>
      </c>
      <c r="O527" s="6" t="s">
        <v>1091</v>
      </c>
      <c r="P527" s="3">
        <v>4650.0</v>
      </c>
      <c r="Q527" s="7" t="s">
        <v>60</v>
      </c>
    </row>
    <row r="528">
      <c r="A528" s="19" t="s">
        <v>1084</v>
      </c>
      <c r="B528" s="19" t="s">
        <v>1085</v>
      </c>
      <c r="C528" s="19" t="s">
        <v>1086</v>
      </c>
      <c r="D528" s="19" t="s">
        <v>531</v>
      </c>
      <c r="E528" s="3" t="s">
        <v>1115</v>
      </c>
      <c r="F528" s="7" t="s">
        <v>60</v>
      </c>
      <c r="H528" s="19" t="s">
        <v>48</v>
      </c>
      <c r="I528" s="3" t="s">
        <v>49</v>
      </c>
      <c r="J528" s="3">
        <v>1.0</v>
      </c>
      <c r="K528" s="3" t="s">
        <v>423</v>
      </c>
      <c r="L528" s="3" t="s">
        <v>1088</v>
      </c>
      <c r="M528" s="3" t="s">
        <v>1089</v>
      </c>
      <c r="N528" s="6" t="s">
        <v>1090</v>
      </c>
      <c r="O528" s="6" t="s">
        <v>1091</v>
      </c>
      <c r="P528" s="3">
        <v>4650.0</v>
      </c>
      <c r="Q528" s="7" t="s">
        <v>60</v>
      </c>
    </row>
    <row r="529">
      <c r="A529" s="19" t="s">
        <v>1116</v>
      </c>
      <c r="B529" s="19" t="s">
        <v>1117</v>
      </c>
      <c r="C529" s="19" t="s">
        <v>1118</v>
      </c>
      <c r="D529" s="19" t="s">
        <v>531</v>
      </c>
      <c r="E529" s="3" t="s">
        <v>1119</v>
      </c>
      <c r="F529" s="5">
        <v>45959.0</v>
      </c>
      <c r="G529" s="24" t="s">
        <v>214</v>
      </c>
      <c r="H529" s="19" t="s">
        <v>48</v>
      </c>
      <c r="I529" s="3" t="s">
        <v>49</v>
      </c>
      <c r="J529" s="3">
        <v>2.0</v>
      </c>
      <c r="K529" s="3" t="s">
        <v>1120</v>
      </c>
      <c r="L529" s="3" t="s">
        <v>1121</v>
      </c>
      <c r="M529" s="3" t="s">
        <v>1122</v>
      </c>
      <c r="N529" s="6" t="s">
        <v>1123</v>
      </c>
      <c r="O529" s="6" t="s">
        <v>1124</v>
      </c>
      <c r="P529" s="3">
        <v>4350.0</v>
      </c>
      <c r="Q529" s="3">
        <v>1.0</v>
      </c>
      <c r="R529" s="3">
        <v>383.9</v>
      </c>
    </row>
    <row r="530">
      <c r="A530" s="19" t="s">
        <v>1116</v>
      </c>
      <c r="B530" s="19" t="s">
        <v>1117</v>
      </c>
      <c r="C530" s="19" t="s">
        <v>1118</v>
      </c>
      <c r="D530" s="19" t="s">
        <v>531</v>
      </c>
      <c r="E530" s="3" t="s">
        <v>1125</v>
      </c>
      <c r="F530" s="7" t="s">
        <v>60</v>
      </c>
      <c r="H530" s="19" t="s">
        <v>48</v>
      </c>
      <c r="I530" s="3" t="s">
        <v>49</v>
      </c>
      <c r="J530" s="3">
        <v>2.0</v>
      </c>
      <c r="K530" s="3" t="s">
        <v>1120</v>
      </c>
      <c r="L530" s="3" t="s">
        <v>1121</v>
      </c>
      <c r="M530" s="3" t="s">
        <v>1122</v>
      </c>
      <c r="N530" s="6" t="s">
        <v>1123</v>
      </c>
      <c r="O530" s="6" t="s">
        <v>1124</v>
      </c>
      <c r="P530" s="3">
        <v>4350.0</v>
      </c>
      <c r="Q530" s="7" t="s">
        <v>60</v>
      </c>
    </row>
    <row r="531">
      <c r="A531" s="19" t="s">
        <v>1116</v>
      </c>
      <c r="B531" s="19" t="s">
        <v>1117</v>
      </c>
      <c r="C531" s="19" t="s">
        <v>1118</v>
      </c>
      <c r="D531" s="19" t="s">
        <v>531</v>
      </c>
      <c r="E531" s="3" t="s">
        <v>1126</v>
      </c>
      <c r="F531" s="7" t="s">
        <v>60</v>
      </c>
      <c r="H531" s="19" t="s">
        <v>48</v>
      </c>
      <c r="I531" s="3" t="s">
        <v>49</v>
      </c>
      <c r="J531" s="3">
        <v>2.0</v>
      </c>
      <c r="K531" s="3" t="s">
        <v>1120</v>
      </c>
      <c r="L531" s="3" t="s">
        <v>1121</v>
      </c>
      <c r="M531" s="3" t="s">
        <v>1122</v>
      </c>
      <c r="N531" s="6" t="s">
        <v>1123</v>
      </c>
      <c r="O531" s="6" t="s">
        <v>1124</v>
      </c>
      <c r="P531" s="3">
        <v>4350.0</v>
      </c>
      <c r="Q531" s="7" t="s">
        <v>60</v>
      </c>
    </row>
    <row r="532">
      <c r="A532" s="19" t="s">
        <v>1116</v>
      </c>
      <c r="B532" s="19" t="s">
        <v>1117</v>
      </c>
      <c r="C532" s="19" t="s">
        <v>1118</v>
      </c>
      <c r="D532" s="19" t="s">
        <v>531</v>
      </c>
      <c r="E532" s="3" t="s">
        <v>1127</v>
      </c>
      <c r="F532" s="7" t="s">
        <v>60</v>
      </c>
      <c r="H532" s="19" t="s">
        <v>48</v>
      </c>
      <c r="I532" s="3" t="s">
        <v>49</v>
      </c>
      <c r="J532" s="3">
        <v>2.0</v>
      </c>
      <c r="K532" s="3" t="s">
        <v>1120</v>
      </c>
      <c r="L532" s="3" t="s">
        <v>1121</v>
      </c>
      <c r="M532" s="3" t="s">
        <v>1122</v>
      </c>
      <c r="N532" s="6" t="s">
        <v>1123</v>
      </c>
      <c r="O532" s="6" t="s">
        <v>1124</v>
      </c>
      <c r="P532" s="3">
        <v>4350.0</v>
      </c>
      <c r="Q532" s="7" t="s">
        <v>60</v>
      </c>
    </row>
    <row r="533">
      <c r="A533" s="19" t="s">
        <v>1116</v>
      </c>
      <c r="B533" s="19" t="s">
        <v>1117</v>
      </c>
      <c r="C533" s="19" t="s">
        <v>1118</v>
      </c>
      <c r="D533" s="19" t="s">
        <v>531</v>
      </c>
      <c r="E533" s="3" t="s">
        <v>1128</v>
      </c>
      <c r="F533" s="7" t="s">
        <v>60</v>
      </c>
      <c r="H533" s="19" t="s">
        <v>48</v>
      </c>
      <c r="I533" s="3" t="s">
        <v>49</v>
      </c>
      <c r="J533" s="3">
        <v>2.0</v>
      </c>
      <c r="K533" s="3" t="s">
        <v>1120</v>
      </c>
      <c r="L533" s="3" t="s">
        <v>1121</v>
      </c>
      <c r="M533" s="3" t="s">
        <v>1122</v>
      </c>
      <c r="N533" s="6" t="s">
        <v>1123</v>
      </c>
      <c r="O533" s="6" t="s">
        <v>1124</v>
      </c>
      <c r="P533" s="3">
        <v>4350.0</v>
      </c>
      <c r="Q533" s="7" t="s">
        <v>60</v>
      </c>
    </row>
    <row r="534">
      <c r="A534" s="19" t="s">
        <v>1116</v>
      </c>
      <c r="B534" s="19" t="s">
        <v>1117</v>
      </c>
      <c r="C534" s="19" t="s">
        <v>1118</v>
      </c>
      <c r="D534" s="19" t="s">
        <v>531</v>
      </c>
      <c r="E534" s="3" t="s">
        <v>1129</v>
      </c>
      <c r="F534" s="7" t="s">
        <v>60</v>
      </c>
      <c r="H534" s="19" t="s">
        <v>48</v>
      </c>
      <c r="I534" s="3" t="s">
        <v>49</v>
      </c>
      <c r="J534" s="3">
        <v>2.0</v>
      </c>
      <c r="K534" s="3" t="s">
        <v>1120</v>
      </c>
      <c r="L534" s="3" t="s">
        <v>1121</v>
      </c>
      <c r="M534" s="3" t="s">
        <v>1122</v>
      </c>
      <c r="N534" s="6" t="s">
        <v>1123</v>
      </c>
      <c r="O534" s="6" t="s">
        <v>1124</v>
      </c>
      <c r="P534" s="3">
        <v>4350.0</v>
      </c>
      <c r="Q534" s="7" t="s">
        <v>60</v>
      </c>
    </row>
    <row r="535">
      <c r="A535" s="19" t="s">
        <v>1116</v>
      </c>
      <c r="B535" s="19" t="s">
        <v>1117</v>
      </c>
      <c r="C535" s="19" t="s">
        <v>1118</v>
      </c>
      <c r="D535" s="19" t="s">
        <v>531</v>
      </c>
      <c r="E535" s="3" t="s">
        <v>1130</v>
      </c>
      <c r="F535" s="7" t="s">
        <v>60</v>
      </c>
      <c r="H535" s="19" t="s">
        <v>48</v>
      </c>
      <c r="I535" s="3" t="s">
        <v>49</v>
      </c>
      <c r="J535" s="3">
        <v>2.0</v>
      </c>
      <c r="K535" s="3" t="s">
        <v>1120</v>
      </c>
      <c r="L535" s="3" t="s">
        <v>1121</v>
      </c>
      <c r="M535" s="3" t="s">
        <v>1122</v>
      </c>
      <c r="N535" s="6" t="s">
        <v>1123</v>
      </c>
      <c r="O535" s="6" t="s">
        <v>1124</v>
      </c>
      <c r="P535" s="3">
        <v>4350.0</v>
      </c>
      <c r="Q535" s="7" t="s">
        <v>60</v>
      </c>
    </row>
    <row r="536">
      <c r="A536" s="19" t="s">
        <v>1116</v>
      </c>
      <c r="B536" s="19" t="s">
        <v>1117</v>
      </c>
      <c r="C536" s="19" t="s">
        <v>1118</v>
      </c>
      <c r="D536" s="19" t="s">
        <v>531</v>
      </c>
      <c r="E536" s="3" t="s">
        <v>1131</v>
      </c>
      <c r="F536" s="7" t="s">
        <v>60</v>
      </c>
      <c r="H536" s="19" t="s">
        <v>48</v>
      </c>
      <c r="I536" s="3" t="s">
        <v>49</v>
      </c>
      <c r="J536" s="3">
        <v>2.0</v>
      </c>
      <c r="K536" s="3" t="s">
        <v>1120</v>
      </c>
      <c r="L536" s="3" t="s">
        <v>1121</v>
      </c>
      <c r="M536" s="3" t="s">
        <v>1122</v>
      </c>
      <c r="N536" s="6" t="s">
        <v>1123</v>
      </c>
      <c r="O536" s="6" t="s">
        <v>1124</v>
      </c>
      <c r="P536" s="3">
        <v>4350.0</v>
      </c>
      <c r="Q536" s="7" t="s">
        <v>60</v>
      </c>
    </row>
    <row r="537">
      <c r="A537" s="19" t="s">
        <v>1116</v>
      </c>
      <c r="B537" s="19" t="s">
        <v>1117</v>
      </c>
      <c r="C537" s="19" t="s">
        <v>1118</v>
      </c>
      <c r="D537" s="19" t="s">
        <v>531</v>
      </c>
      <c r="E537" s="3" t="s">
        <v>1132</v>
      </c>
      <c r="F537" s="7" t="s">
        <v>60</v>
      </c>
      <c r="H537" s="19" t="s">
        <v>48</v>
      </c>
      <c r="I537" s="3" t="s">
        <v>49</v>
      </c>
      <c r="J537" s="3">
        <v>2.0</v>
      </c>
      <c r="K537" s="3" t="s">
        <v>1120</v>
      </c>
      <c r="L537" s="3" t="s">
        <v>1121</v>
      </c>
      <c r="M537" s="3" t="s">
        <v>1122</v>
      </c>
      <c r="N537" s="6" t="s">
        <v>1123</v>
      </c>
      <c r="O537" s="6" t="s">
        <v>1124</v>
      </c>
      <c r="P537" s="3">
        <v>4350.0</v>
      </c>
      <c r="Q537" s="7" t="s">
        <v>60</v>
      </c>
    </row>
    <row r="538">
      <c r="A538" s="19" t="s">
        <v>1116</v>
      </c>
      <c r="B538" s="19" t="s">
        <v>1117</v>
      </c>
      <c r="C538" s="19" t="s">
        <v>1118</v>
      </c>
      <c r="D538" s="19" t="s">
        <v>531</v>
      </c>
      <c r="E538" s="3" t="s">
        <v>1133</v>
      </c>
      <c r="F538" s="7" t="s">
        <v>60</v>
      </c>
      <c r="H538" s="19" t="s">
        <v>48</v>
      </c>
      <c r="I538" s="3" t="s">
        <v>49</v>
      </c>
      <c r="J538" s="3">
        <v>2.0</v>
      </c>
      <c r="K538" s="3" t="s">
        <v>1120</v>
      </c>
      <c r="L538" s="3" t="s">
        <v>1121</v>
      </c>
      <c r="M538" s="3" t="s">
        <v>1122</v>
      </c>
      <c r="N538" s="6" t="s">
        <v>1123</v>
      </c>
      <c r="O538" s="6" t="s">
        <v>1124</v>
      </c>
      <c r="P538" s="3">
        <v>4350.0</v>
      </c>
      <c r="Q538" s="7" t="s">
        <v>60</v>
      </c>
    </row>
    <row r="539">
      <c r="A539" s="19" t="s">
        <v>1116</v>
      </c>
      <c r="B539" s="19" t="s">
        <v>1117</v>
      </c>
      <c r="C539" s="19" t="s">
        <v>1118</v>
      </c>
      <c r="D539" s="19" t="s">
        <v>531</v>
      </c>
      <c r="E539" s="3" t="s">
        <v>1134</v>
      </c>
      <c r="F539" s="7" t="s">
        <v>60</v>
      </c>
      <c r="H539" s="19" t="s">
        <v>48</v>
      </c>
      <c r="I539" s="3" t="s">
        <v>49</v>
      </c>
      <c r="J539" s="3">
        <v>2.0</v>
      </c>
      <c r="K539" s="3" t="s">
        <v>1120</v>
      </c>
      <c r="L539" s="3" t="s">
        <v>1121</v>
      </c>
      <c r="M539" s="3" t="s">
        <v>1122</v>
      </c>
      <c r="N539" s="6" t="s">
        <v>1123</v>
      </c>
      <c r="O539" s="6" t="s">
        <v>1124</v>
      </c>
      <c r="P539" s="3">
        <v>4350.0</v>
      </c>
      <c r="Q539" s="7" t="s">
        <v>60</v>
      </c>
    </row>
    <row r="540">
      <c r="A540" s="19" t="s">
        <v>1116</v>
      </c>
      <c r="B540" s="19" t="s">
        <v>1117</v>
      </c>
      <c r="C540" s="19" t="s">
        <v>1118</v>
      </c>
      <c r="D540" s="19" t="s">
        <v>531</v>
      </c>
      <c r="E540" s="3" t="s">
        <v>1135</v>
      </c>
      <c r="F540" s="7" t="s">
        <v>60</v>
      </c>
      <c r="H540" s="19" t="s">
        <v>48</v>
      </c>
      <c r="I540" s="3" t="s">
        <v>49</v>
      </c>
      <c r="J540" s="3">
        <v>2.0</v>
      </c>
      <c r="K540" s="3" t="s">
        <v>1120</v>
      </c>
      <c r="L540" s="3" t="s">
        <v>1121</v>
      </c>
      <c r="M540" s="3" t="s">
        <v>1122</v>
      </c>
      <c r="N540" s="6" t="s">
        <v>1123</v>
      </c>
      <c r="O540" s="6" t="s">
        <v>1124</v>
      </c>
      <c r="P540" s="3">
        <v>4352.0</v>
      </c>
      <c r="Q540" s="7" t="s">
        <v>60</v>
      </c>
    </row>
    <row r="541">
      <c r="A541" s="19" t="s">
        <v>1116</v>
      </c>
      <c r="B541" s="19" t="s">
        <v>1117</v>
      </c>
      <c r="C541" s="19" t="s">
        <v>1118</v>
      </c>
      <c r="D541" s="19" t="s">
        <v>531</v>
      </c>
      <c r="E541" s="3" t="s">
        <v>1136</v>
      </c>
      <c r="F541" s="7" t="s">
        <v>60</v>
      </c>
      <c r="H541" s="19" t="s">
        <v>48</v>
      </c>
      <c r="I541" s="3" t="s">
        <v>49</v>
      </c>
      <c r="J541" s="3">
        <v>2.0</v>
      </c>
      <c r="K541" s="3" t="s">
        <v>1120</v>
      </c>
      <c r="L541" s="3" t="s">
        <v>1121</v>
      </c>
      <c r="M541" s="3" t="s">
        <v>1122</v>
      </c>
      <c r="N541" s="6" t="s">
        <v>1123</v>
      </c>
      <c r="O541" s="6" t="s">
        <v>1124</v>
      </c>
      <c r="P541" s="3">
        <v>4352.0</v>
      </c>
      <c r="Q541" s="7" t="s">
        <v>60</v>
      </c>
    </row>
    <row r="542">
      <c r="A542" s="19" t="s">
        <v>1116</v>
      </c>
      <c r="B542" s="19" t="s">
        <v>1117</v>
      </c>
      <c r="C542" s="19" t="s">
        <v>1118</v>
      </c>
      <c r="D542" s="19" t="s">
        <v>531</v>
      </c>
      <c r="E542" s="3" t="s">
        <v>1137</v>
      </c>
      <c r="F542" s="7" t="s">
        <v>60</v>
      </c>
      <c r="H542" s="19" t="s">
        <v>48</v>
      </c>
      <c r="I542" s="3" t="s">
        <v>49</v>
      </c>
      <c r="J542" s="3">
        <v>2.0</v>
      </c>
      <c r="K542" s="3" t="s">
        <v>1120</v>
      </c>
      <c r="L542" s="3" t="s">
        <v>1121</v>
      </c>
      <c r="M542" s="3" t="s">
        <v>1122</v>
      </c>
      <c r="N542" s="6" t="s">
        <v>1123</v>
      </c>
      <c r="O542" s="6" t="s">
        <v>1124</v>
      </c>
      <c r="P542" s="3">
        <v>4352.0</v>
      </c>
      <c r="Q542" s="7" t="s">
        <v>60</v>
      </c>
    </row>
    <row r="543">
      <c r="A543" s="19" t="s">
        <v>1116</v>
      </c>
      <c r="B543" s="19" t="s">
        <v>1117</v>
      </c>
      <c r="C543" s="19" t="s">
        <v>1118</v>
      </c>
      <c r="D543" s="19" t="s">
        <v>531</v>
      </c>
      <c r="E543" s="3" t="s">
        <v>1138</v>
      </c>
      <c r="F543" s="7" t="s">
        <v>60</v>
      </c>
      <c r="H543" s="19" t="s">
        <v>48</v>
      </c>
      <c r="I543" s="3" t="s">
        <v>49</v>
      </c>
      <c r="J543" s="3">
        <v>2.0</v>
      </c>
      <c r="K543" s="3" t="s">
        <v>1120</v>
      </c>
      <c r="L543" s="3" t="s">
        <v>1121</v>
      </c>
      <c r="M543" s="3" t="s">
        <v>1122</v>
      </c>
      <c r="N543" s="6" t="s">
        <v>1123</v>
      </c>
      <c r="O543" s="6" t="s">
        <v>1124</v>
      </c>
      <c r="P543" s="3">
        <v>4350.0</v>
      </c>
      <c r="Q543" s="7" t="s">
        <v>60</v>
      </c>
    </row>
    <row r="544">
      <c r="A544" s="19" t="s">
        <v>1116</v>
      </c>
      <c r="B544" s="19" t="s">
        <v>1117</v>
      </c>
      <c r="C544" s="19" t="s">
        <v>1118</v>
      </c>
      <c r="D544" s="19" t="s">
        <v>531</v>
      </c>
      <c r="E544" s="3" t="s">
        <v>1139</v>
      </c>
      <c r="F544" s="7" t="s">
        <v>60</v>
      </c>
      <c r="H544" s="19" t="s">
        <v>48</v>
      </c>
      <c r="I544" s="3" t="s">
        <v>49</v>
      </c>
      <c r="J544" s="3">
        <v>2.0</v>
      </c>
      <c r="K544" s="3" t="s">
        <v>1120</v>
      </c>
      <c r="L544" s="3" t="s">
        <v>1121</v>
      </c>
      <c r="M544" s="3" t="s">
        <v>1122</v>
      </c>
      <c r="N544" s="6" t="s">
        <v>1123</v>
      </c>
      <c r="O544" s="6" t="s">
        <v>1124</v>
      </c>
      <c r="P544" s="3">
        <v>4350.0</v>
      </c>
      <c r="Q544" s="7" t="s">
        <v>60</v>
      </c>
    </row>
    <row r="545">
      <c r="A545" s="19" t="s">
        <v>1116</v>
      </c>
      <c r="B545" s="19" t="s">
        <v>1117</v>
      </c>
      <c r="C545" s="19" t="s">
        <v>1118</v>
      </c>
      <c r="D545" s="19" t="s">
        <v>531</v>
      </c>
      <c r="E545" s="3" t="s">
        <v>1140</v>
      </c>
      <c r="F545" s="7" t="s">
        <v>60</v>
      </c>
      <c r="H545" s="19" t="s">
        <v>48</v>
      </c>
      <c r="I545" s="3" t="s">
        <v>49</v>
      </c>
      <c r="J545" s="3">
        <v>2.0</v>
      </c>
      <c r="K545" s="3" t="s">
        <v>1120</v>
      </c>
      <c r="L545" s="3" t="s">
        <v>1121</v>
      </c>
      <c r="M545" s="3" t="s">
        <v>1122</v>
      </c>
      <c r="N545" s="6" t="s">
        <v>1123</v>
      </c>
      <c r="O545" s="6" t="s">
        <v>1124</v>
      </c>
      <c r="P545" s="3">
        <v>4350.0</v>
      </c>
      <c r="Q545" s="7" t="s">
        <v>60</v>
      </c>
    </row>
    <row r="546">
      <c r="A546" s="19" t="s">
        <v>1116</v>
      </c>
      <c r="B546" s="19" t="s">
        <v>1117</v>
      </c>
      <c r="C546" s="19" t="s">
        <v>1118</v>
      </c>
      <c r="D546" s="19" t="s">
        <v>531</v>
      </c>
      <c r="E546" s="3" t="s">
        <v>329</v>
      </c>
      <c r="F546" s="7" t="s">
        <v>60</v>
      </c>
      <c r="H546" s="19" t="s">
        <v>48</v>
      </c>
      <c r="I546" s="3" t="s">
        <v>49</v>
      </c>
      <c r="J546" s="3">
        <v>2.0</v>
      </c>
      <c r="K546" s="3" t="s">
        <v>1120</v>
      </c>
      <c r="L546" s="3" t="s">
        <v>1121</v>
      </c>
      <c r="M546" s="3" t="s">
        <v>1122</v>
      </c>
      <c r="N546" s="6" t="s">
        <v>1123</v>
      </c>
      <c r="O546" s="6" t="s">
        <v>1124</v>
      </c>
      <c r="P546" s="3">
        <v>4352.0</v>
      </c>
      <c r="Q546" s="7" t="s">
        <v>60</v>
      </c>
    </row>
    <row r="547">
      <c r="A547" s="19" t="s">
        <v>1116</v>
      </c>
      <c r="B547" s="19" t="s">
        <v>1117</v>
      </c>
      <c r="C547" s="19" t="s">
        <v>1118</v>
      </c>
      <c r="D547" s="19" t="s">
        <v>531</v>
      </c>
      <c r="E547" s="3" t="s">
        <v>1141</v>
      </c>
      <c r="F547" s="7" t="s">
        <v>60</v>
      </c>
      <c r="H547" s="19" t="s">
        <v>48</v>
      </c>
      <c r="I547" s="3" t="s">
        <v>49</v>
      </c>
      <c r="J547" s="3">
        <v>2.0</v>
      </c>
      <c r="K547" s="3" t="s">
        <v>1120</v>
      </c>
      <c r="L547" s="3" t="s">
        <v>1121</v>
      </c>
      <c r="M547" s="3" t="s">
        <v>1122</v>
      </c>
      <c r="N547" s="6" t="s">
        <v>1123</v>
      </c>
      <c r="O547" s="6" t="s">
        <v>1124</v>
      </c>
      <c r="P547" s="3">
        <v>4352.0</v>
      </c>
      <c r="Q547" s="7" t="s">
        <v>60</v>
      </c>
    </row>
    <row r="548">
      <c r="A548" s="19" t="s">
        <v>1116</v>
      </c>
      <c r="B548" s="19" t="s">
        <v>1117</v>
      </c>
      <c r="C548" s="19" t="s">
        <v>1118</v>
      </c>
      <c r="D548" s="19" t="s">
        <v>531</v>
      </c>
      <c r="E548" s="3" t="s">
        <v>1142</v>
      </c>
      <c r="F548" s="7" t="s">
        <v>60</v>
      </c>
      <c r="H548" s="19" t="s">
        <v>48</v>
      </c>
      <c r="I548" s="3" t="s">
        <v>49</v>
      </c>
      <c r="J548" s="3">
        <v>2.0</v>
      </c>
      <c r="K548" s="3" t="s">
        <v>1120</v>
      </c>
      <c r="L548" s="3" t="s">
        <v>1121</v>
      </c>
      <c r="M548" s="3" t="s">
        <v>1122</v>
      </c>
      <c r="N548" s="6" t="s">
        <v>1123</v>
      </c>
      <c r="O548" s="6" t="s">
        <v>1124</v>
      </c>
      <c r="P548" s="3">
        <v>4350.0</v>
      </c>
      <c r="Q548" s="7" t="s">
        <v>60</v>
      </c>
    </row>
    <row r="549">
      <c r="A549" s="19" t="s">
        <v>1116</v>
      </c>
      <c r="B549" s="19" t="s">
        <v>1117</v>
      </c>
      <c r="C549" s="19" t="s">
        <v>1118</v>
      </c>
      <c r="D549" s="19" t="s">
        <v>531</v>
      </c>
      <c r="E549" s="3" t="s">
        <v>1143</v>
      </c>
      <c r="F549" s="7" t="s">
        <v>60</v>
      </c>
      <c r="H549" s="19" t="s">
        <v>48</v>
      </c>
      <c r="I549" s="3" t="s">
        <v>49</v>
      </c>
      <c r="J549" s="3">
        <v>2.0</v>
      </c>
      <c r="K549" s="3" t="s">
        <v>1120</v>
      </c>
      <c r="L549" s="3" t="s">
        <v>1121</v>
      </c>
      <c r="M549" s="3" t="s">
        <v>1122</v>
      </c>
      <c r="N549" s="6" t="s">
        <v>1123</v>
      </c>
      <c r="O549" s="6" t="s">
        <v>1124</v>
      </c>
      <c r="P549" s="3">
        <v>4350.0</v>
      </c>
      <c r="Q549" s="7" t="s">
        <v>60</v>
      </c>
    </row>
    <row r="550">
      <c r="A550" s="19" t="s">
        <v>1116</v>
      </c>
      <c r="B550" s="19" t="s">
        <v>1117</v>
      </c>
      <c r="C550" s="19" t="s">
        <v>1118</v>
      </c>
      <c r="D550" s="19" t="s">
        <v>531</v>
      </c>
      <c r="E550" s="3" t="s">
        <v>1144</v>
      </c>
      <c r="F550" s="7" t="s">
        <v>60</v>
      </c>
      <c r="H550" s="19" t="s">
        <v>48</v>
      </c>
      <c r="I550" s="3" t="s">
        <v>49</v>
      </c>
      <c r="J550" s="3">
        <v>2.0</v>
      </c>
      <c r="K550" s="3" t="s">
        <v>1120</v>
      </c>
      <c r="L550" s="3" t="s">
        <v>1121</v>
      </c>
      <c r="M550" s="3" t="s">
        <v>1122</v>
      </c>
      <c r="N550" s="6" t="s">
        <v>1123</v>
      </c>
      <c r="O550" s="6" t="s">
        <v>1124</v>
      </c>
      <c r="P550" s="3">
        <v>4350.0</v>
      </c>
      <c r="Q550" s="7" t="s">
        <v>60</v>
      </c>
    </row>
    <row r="551">
      <c r="A551" s="19" t="s">
        <v>1116</v>
      </c>
      <c r="B551" s="19" t="s">
        <v>1117</v>
      </c>
      <c r="C551" s="19" t="s">
        <v>1118</v>
      </c>
      <c r="D551" s="19" t="s">
        <v>531</v>
      </c>
      <c r="E551" s="3" t="s">
        <v>1145</v>
      </c>
      <c r="F551" s="7" t="s">
        <v>60</v>
      </c>
      <c r="H551" s="19" t="s">
        <v>48</v>
      </c>
      <c r="I551" s="3" t="s">
        <v>49</v>
      </c>
      <c r="J551" s="3">
        <v>2.0</v>
      </c>
      <c r="K551" s="3" t="s">
        <v>1120</v>
      </c>
      <c r="L551" s="3" t="s">
        <v>1121</v>
      </c>
      <c r="M551" s="3" t="s">
        <v>1122</v>
      </c>
      <c r="N551" s="6" t="s">
        <v>1123</v>
      </c>
      <c r="O551" s="6" t="s">
        <v>1124</v>
      </c>
      <c r="P551" s="3">
        <v>4350.0</v>
      </c>
      <c r="Q551" s="7" t="s">
        <v>60</v>
      </c>
    </row>
    <row r="552">
      <c r="A552" s="19" t="s">
        <v>1146</v>
      </c>
      <c r="B552" s="19" t="s">
        <v>1147</v>
      </c>
      <c r="C552" s="19" t="s">
        <v>1148</v>
      </c>
      <c r="D552" s="19" t="s">
        <v>531</v>
      </c>
      <c r="E552" s="3" t="s">
        <v>1149</v>
      </c>
      <c r="F552" s="5">
        <v>45917.0</v>
      </c>
      <c r="G552" s="24" t="s">
        <v>214</v>
      </c>
      <c r="H552" s="19" t="s">
        <v>48</v>
      </c>
      <c r="I552" s="3" t="s">
        <v>49</v>
      </c>
      <c r="J552" s="3">
        <v>5.0</v>
      </c>
      <c r="K552" s="3" t="s">
        <v>1150</v>
      </c>
      <c r="L552" s="3" t="s">
        <v>1151</v>
      </c>
      <c r="M552" s="3" t="s">
        <v>414</v>
      </c>
      <c r="N552" s="6" t="s">
        <v>1152</v>
      </c>
      <c r="O552" s="6" t="s">
        <v>1153</v>
      </c>
      <c r="P552" s="3">
        <v>4350.0</v>
      </c>
      <c r="Q552" s="3">
        <v>1.0</v>
      </c>
      <c r="R552" s="3">
        <v>383.9</v>
      </c>
    </row>
    <row r="553">
      <c r="A553" s="19" t="s">
        <v>1146</v>
      </c>
      <c r="B553" s="19" t="s">
        <v>1147</v>
      </c>
      <c r="C553" s="19" t="s">
        <v>1148</v>
      </c>
      <c r="D553" s="19" t="s">
        <v>531</v>
      </c>
      <c r="E553" s="3" t="s">
        <v>1154</v>
      </c>
      <c r="F553" s="7" t="s">
        <v>60</v>
      </c>
      <c r="H553" s="19" t="s">
        <v>48</v>
      </c>
      <c r="I553" s="3" t="s">
        <v>49</v>
      </c>
      <c r="J553" s="3">
        <v>5.0</v>
      </c>
      <c r="K553" s="3" t="s">
        <v>1150</v>
      </c>
      <c r="L553" s="3" t="s">
        <v>1151</v>
      </c>
      <c r="M553" s="3" t="s">
        <v>414</v>
      </c>
      <c r="N553" s="6" t="s">
        <v>1152</v>
      </c>
      <c r="O553" s="6" t="s">
        <v>1153</v>
      </c>
      <c r="P553" s="3">
        <v>4350.0</v>
      </c>
      <c r="Q553" s="7" t="s">
        <v>60</v>
      </c>
    </row>
    <row r="554">
      <c r="A554" s="19" t="s">
        <v>1146</v>
      </c>
      <c r="B554" s="19" t="s">
        <v>1147</v>
      </c>
      <c r="C554" s="19" t="s">
        <v>1148</v>
      </c>
      <c r="D554" s="19" t="s">
        <v>531</v>
      </c>
      <c r="E554" s="3" t="s">
        <v>1155</v>
      </c>
      <c r="F554" s="7" t="s">
        <v>60</v>
      </c>
      <c r="H554" s="19" t="s">
        <v>48</v>
      </c>
      <c r="I554" s="3" t="s">
        <v>49</v>
      </c>
      <c r="J554" s="3">
        <v>5.0</v>
      </c>
      <c r="K554" s="3" t="s">
        <v>1150</v>
      </c>
      <c r="L554" s="3" t="s">
        <v>1151</v>
      </c>
      <c r="M554" s="3" t="s">
        <v>414</v>
      </c>
      <c r="N554" s="6" t="s">
        <v>1152</v>
      </c>
      <c r="O554" s="6" t="s">
        <v>1153</v>
      </c>
      <c r="P554" s="3">
        <v>4350.0</v>
      </c>
      <c r="Q554" s="7" t="s">
        <v>60</v>
      </c>
    </row>
    <row r="555">
      <c r="A555" s="19" t="s">
        <v>1146</v>
      </c>
      <c r="B555" s="19" t="s">
        <v>1147</v>
      </c>
      <c r="C555" s="19" t="s">
        <v>1148</v>
      </c>
      <c r="D555" s="19" t="s">
        <v>531</v>
      </c>
      <c r="E555" s="3" t="s">
        <v>1156</v>
      </c>
      <c r="F555" s="7" t="s">
        <v>60</v>
      </c>
      <c r="H555" s="19" t="s">
        <v>48</v>
      </c>
      <c r="I555" s="3" t="s">
        <v>49</v>
      </c>
      <c r="J555" s="3">
        <v>5.0</v>
      </c>
      <c r="K555" s="3" t="s">
        <v>1150</v>
      </c>
      <c r="L555" s="3" t="s">
        <v>1151</v>
      </c>
      <c r="M555" s="3" t="s">
        <v>414</v>
      </c>
      <c r="N555" s="6" t="s">
        <v>1152</v>
      </c>
      <c r="O555" s="6" t="s">
        <v>1153</v>
      </c>
      <c r="P555" s="3">
        <v>4350.0</v>
      </c>
      <c r="Q555" s="7" t="s">
        <v>60</v>
      </c>
    </row>
    <row r="556">
      <c r="A556" s="19" t="s">
        <v>1146</v>
      </c>
      <c r="B556" s="19" t="s">
        <v>1147</v>
      </c>
      <c r="C556" s="19" t="s">
        <v>1148</v>
      </c>
      <c r="D556" s="19" t="s">
        <v>531</v>
      </c>
      <c r="E556" s="3" t="s">
        <v>1157</v>
      </c>
      <c r="F556" s="7" t="s">
        <v>60</v>
      </c>
      <c r="H556" s="19" t="s">
        <v>48</v>
      </c>
      <c r="I556" s="3" t="s">
        <v>49</v>
      </c>
      <c r="J556" s="3">
        <v>5.0</v>
      </c>
      <c r="K556" s="3" t="s">
        <v>1150</v>
      </c>
      <c r="L556" s="3" t="s">
        <v>1151</v>
      </c>
      <c r="M556" s="3" t="s">
        <v>414</v>
      </c>
      <c r="N556" s="6" t="s">
        <v>1152</v>
      </c>
      <c r="O556" s="6" t="s">
        <v>1153</v>
      </c>
      <c r="P556" s="3">
        <v>4350.0</v>
      </c>
      <c r="Q556" s="7" t="s">
        <v>60</v>
      </c>
    </row>
    <row r="557">
      <c r="A557" s="19" t="s">
        <v>1146</v>
      </c>
      <c r="B557" s="19" t="s">
        <v>1147</v>
      </c>
      <c r="C557" s="19" t="s">
        <v>1148</v>
      </c>
      <c r="D557" s="19" t="s">
        <v>531</v>
      </c>
      <c r="E557" s="3" t="s">
        <v>1158</v>
      </c>
      <c r="F557" s="7" t="s">
        <v>60</v>
      </c>
      <c r="H557" s="19" t="s">
        <v>48</v>
      </c>
      <c r="I557" s="3" t="s">
        <v>49</v>
      </c>
      <c r="J557" s="3">
        <v>5.0</v>
      </c>
      <c r="K557" s="3" t="s">
        <v>1150</v>
      </c>
      <c r="L557" s="3" t="s">
        <v>1151</v>
      </c>
      <c r="M557" s="3" t="s">
        <v>414</v>
      </c>
      <c r="N557" s="6" t="s">
        <v>1152</v>
      </c>
      <c r="O557" s="6" t="s">
        <v>1153</v>
      </c>
      <c r="P557" s="3">
        <v>4350.0</v>
      </c>
      <c r="Q557" s="7" t="s">
        <v>60</v>
      </c>
    </row>
    <row r="558">
      <c r="A558" s="19" t="s">
        <v>1146</v>
      </c>
      <c r="B558" s="19" t="s">
        <v>1147</v>
      </c>
      <c r="C558" s="19" t="s">
        <v>1148</v>
      </c>
      <c r="D558" s="19" t="s">
        <v>531</v>
      </c>
      <c r="E558" s="3" t="s">
        <v>1159</v>
      </c>
      <c r="F558" s="7" t="s">
        <v>60</v>
      </c>
      <c r="H558" s="19" t="s">
        <v>48</v>
      </c>
      <c r="I558" s="3" t="s">
        <v>49</v>
      </c>
      <c r="J558" s="3">
        <v>5.0</v>
      </c>
      <c r="K558" s="3" t="s">
        <v>1150</v>
      </c>
      <c r="L558" s="3" t="s">
        <v>1151</v>
      </c>
      <c r="M558" s="3" t="s">
        <v>414</v>
      </c>
      <c r="N558" s="6" t="s">
        <v>1152</v>
      </c>
      <c r="O558" s="6" t="s">
        <v>1153</v>
      </c>
      <c r="P558" s="3">
        <v>4350.0</v>
      </c>
      <c r="Q558" s="7" t="s">
        <v>60</v>
      </c>
    </row>
    <row r="559">
      <c r="A559" s="19" t="s">
        <v>1146</v>
      </c>
      <c r="B559" s="19" t="s">
        <v>1147</v>
      </c>
      <c r="C559" s="19" t="s">
        <v>1148</v>
      </c>
      <c r="D559" s="19" t="s">
        <v>531</v>
      </c>
      <c r="E559" s="3" t="s">
        <v>1160</v>
      </c>
      <c r="F559" s="7" t="s">
        <v>60</v>
      </c>
      <c r="H559" s="19" t="s">
        <v>48</v>
      </c>
      <c r="I559" s="3" t="s">
        <v>49</v>
      </c>
      <c r="J559" s="3">
        <v>5.0</v>
      </c>
      <c r="K559" s="3" t="s">
        <v>1150</v>
      </c>
      <c r="L559" s="3" t="s">
        <v>1151</v>
      </c>
      <c r="M559" s="3" t="s">
        <v>414</v>
      </c>
      <c r="N559" s="6" t="s">
        <v>1152</v>
      </c>
      <c r="O559" s="6" t="s">
        <v>1153</v>
      </c>
      <c r="P559" s="3">
        <v>4352.0</v>
      </c>
      <c r="Q559" s="7" t="s">
        <v>60</v>
      </c>
    </row>
    <row r="560">
      <c r="A560" s="19" t="s">
        <v>1161</v>
      </c>
      <c r="B560" s="19" t="s">
        <v>1162</v>
      </c>
      <c r="C560" s="19" t="s">
        <v>1163</v>
      </c>
      <c r="D560" s="19" t="s">
        <v>531</v>
      </c>
      <c r="E560" s="3" t="s">
        <v>1164</v>
      </c>
      <c r="F560" s="5">
        <v>45861.0</v>
      </c>
      <c r="G560" s="24" t="s">
        <v>214</v>
      </c>
      <c r="H560" s="19" t="s">
        <v>48</v>
      </c>
      <c r="I560" s="3" t="s">
        <v>49</v>
      </c>
      <c r="J560" s="3">
        <v>5.0</v>
      </c>
      <c r="K560" s="3" t="s">
        <v>1165</v>
      </c>
      <c r="L560" s="3" t="s">
        <v>1166</v>
      </c>
      <c r="M560" s="3" t="s">
        <v>344</v>
      </c>
      <c r="N560" s="6" t="s">
        <v>1167</v>
      </c>
      <c r="O560" s="6" t="s">
        <v>152</v>
      </c>
      <c r="P560" s="3">
        <v>4814.0</v>
      </c>
      <c r="Q560" s="3">
        <v>1.0</v>
      </c>
      <c r="R560" s="3">
        <v>383.9</v>
      </c>
    </row>
    <row r="561">
      <c r="A561" s="19" t="s">
        <v>1161</v>
      </c>
      <c r="B561" s="19" t="s">
        <v>1162</v>
      </c>
      <c r="C561" s="19" t="s">
        <v>1163</v>
      </c>
      <c r="D561" s="19" t="s">
        <v>531</v>
      </c>
      <c r="E561" s="3" t="s">
        <v>1168</v>
      </c>
      <c r="F561" s="7" t="s">
        <v>60</v>
      </c>
      <c r="H561" s="19" t="s">
        <v>48</v>
      </c>
      <c r="I561" s="3" t="s">
        <v>49</v>
      </c>
      <c r="J561" s="3">
        <v>5.0</v>
      </c>
      <c r="K561" s="3" t="s">
        <v>1165</v>
      </c>
      <c r="L561" s="3" t="s">
        <v>1166</v>
      </c>
      <c r="M561" s="3" t="s">
        <v>344</v>
      </c>
      <c r="N561" s="6" t="s">
        <v>1167</v>
      </c>
      <c r="O561" s="6" t="s">
        <v>152</v>
      </c>
      <c r="P561" s="3">
        <v>4817.0</v>
      </c>
      <c r="Q561" s="7" t="s">
        <v>60</v>
      </c>
    </row>
    <row r="562">
      <c r="A562" s="19" t="s">
        <v>1161</v>
      </c>
      <c r="B562" s="19" t="s">
        <v>1162</v>
      </c>
      <c r="C562" s="19" t="s">
        <v>1163</v>
      </c>
      <c r="D562" s="19" t="s">
        <v>531</v>
      </c>
      <c r="E562" s="3" t="s">
        <v>1169</v>
      </c>
      <c r="F562" s="7" t="s">
        <v>60</v>
      </c>
      <c r="H562" s="19" t="s">
        <v>48</v>
      </c>
      <c r="I562" s="3" t="s">
        <v>49</v>
      </c>
      <c r="J562" s="3">
        <v>2.0</v>
      </c>
      <c r="K562" s="3" t="s">
        <v>869</v>
      </c>
      <c r="L562" s="3" t="s">
        <v>1170</v>
      </c>
      <c r="M562" s="3" t="s">
        <v>344</v>
      </c>
      <c r="N562" s="6" t="s">
        <v>1167</v>
      </c>
      <c r="O562" s="6" t="s">
        <v>152</v>
      </c>
      <c r="P562" s="3">
        <v>4814.0</v>
      </c>
      <c r="Q562" s="7" t="s">
        <v>60</v>
      </c>
    </row>
    <row r="563">
      <c r="A563" s="19" t="s">
        <v>1161</v>
      </c>
      <c r="B563" s="19" t="s">
        <v>1162</v>
      </c>
      <c r="C563" s="19" t="s">
        <v>1163</v>
      </c>
      <c r="D563" s="19" t="s">
        <v>531</v>
      </c>
      <c r="E563" s="3" t="s">
        <v>346</v>
      </c>
      <c r="F563" s="7" t="s">
        <v>60</v>
      </c>
      <c r="H563" s="19" t="s">
        <v>48</v>
      </c>
      <c r="I563" s="3" t="s">
        <v>49</v>
      </c>
      <c r="J563" s="3">
        <v>2.0</v>
      </c>
      <c r="K563" s="3" t="s">
        <v>869</v>
      </c>
      <c r="L563" s="3" t="s">
        <v>1170</v>
      </c>
      <c r="M563" s="3" t="s">
        <v>344</v>
      </c>
      <c r="N563" s="6" t="s">
        <v>1167</v>
      </c>
      <c r="O563" s="6" t="s">
        <v>152</v>
      </c>
      <c r="P563" s="3">
        <v>4814.0</v>
      </c>
      <c r="Q563" s="7" t="s">
        <v>60</v>
      </c>
    </row>
    <row r="564">
      <c r="A564" s="19" t="s">
        <v>1161</v>
      </c>
      <c r="B564" s="19" t="s">
        <v>1162</v>
      </c>
      <c r="C564" s="19" t="s">
        <v>1163</v>
      </c>
      <c r="D564" s="19" t="s">
        <v>531</v>
      </c>
      <c r="E564" s="3" t="s">
        <v>1171</v>
      </c>
      <c r="F564" s="7" t="s">
        <v>60</v>
      </c>
      <c r="H564" s="19" t="s">
        <v>48</v>
      </c>
      <c r="I564" s="3" t="s">
        <v>49</v>
      </c>
      <c r="J564" s="3">
        <v>2.0</v>
      </c>
      <c r="K564" s="3" t="s">
        <v>869</v>
      </c>
      <c r="L564" s="3" t="s">
        <v>1170</v>
      </c>
      <c r="M564" s="3" t="s">
        <v>344</v>
      </c>
      <c r="N564" s="6" t="s">
        <v>1167</v>
      </c>
      <c r="O564" s="6" t="s">
        <v>152</v>
      </c>
      <c r="P564" s="3">
        <v>4818.0</v>
      </c>
      <c r="Q564" s="7" t="s">
        <v>60</v>
      </c>
    </row>
    <row r="565">
      <c r="A565" s="19" t="s">
        <v>1161</v>
      </c>
      <c r="B565" s="19" t="s">
        <v>1162</v>
      </c>
      <c r="C565" s="19" t="s">
        <v>1163</v>
      </c>
      <c r="D565" s="19" t="s">
        <v>531</v>
      </c>
      <c r="E565" s="3" t="s">
        <v>1172</v>
      </c>
      <c r="F565" s="7" t="s">
        <v>60</v>
      </c>
      <c r="H565" s="19" t="s">
        <v>48</v>
      </c>
      <c r="I565" s="3" t="s">
        <v>49</v>
      </c>
      <c r="J565" s="3">
        <v>2.0</v>
      </c>
      <c r="K565" s="3" t="s">
        <v>869</v>
      </c>
      <c r="L565" s="3" t="s">
        <v>1170</v>
      </c>
      <c r="M565" s="3" t="s">
        <v>344</v>
      </c>
      <c r="N565" s="6" t="s">
        <v>1167</v>
      </c>
      <c r="O565" s="6" t="s">
        <v>152</v>
      </c>
      <c r="P565" s="3">
        <v>4815.0</v>
      </c>
      <c r="Q565" s="7" t="s">
        <v>60</v>
      </c>
    </row>
    <row r="566">
      <c r="A566" s="19" t="s">
        <v>1161</v>
      </c>
      <c r="B566" s="19" t="s">
        <v>1162</v>
      </c>
      <c r="C566" s="19" t="s">
        <v>1163</v>
      </c>
      <c r="D566" s="19" t="s">
        <v>531</v>
      </c>
      <c r="E566" s="3" t="s">
        <v>1173</v>
      </c>
      <c r="F566" s="7" t="s">
        <v>60</v>
      </c>
      <c r="H566" s="19" t="s">
        <v>48</v>
      </c>
      <c r="I566" s="3" t="s">
        <v>49</v>
      </c>
      <c r="J566" s="3">
        <v>2.0</v>
      </c>
      <c r="K566" s="3" t="s">
        <v>869</v>
      </c>
      <c r="L566" s="3" t="s">
        <v>1170</v>
      </c>
      <c r="M566" s="3" t="s">
        <v>344</v>
      </c>
      <c r="N566" s="6" t="s">
        <v>1167</v>
      </c>
      <c r="O566" s="6" t="s">
        <v>152</v>
      </c>
      <c r="P566" s="3">
        <v>4814.0</v>
      </c>
      <c r="Q566" s="7" t="s">
        <v>60</v>
      </c>
    </row>
    <row r="567">
      <c r="A567" s="19" t="s">
        <v>1161</v>
      </c>
      <c r="B567" s="19" t="s">
        <v>1162</v>
      </c>
      <c r="C567" s="19" t="s">
        <v>1163</v>
      </c>
      <c r="D567" s="19" t="s">
        <v>531</v>
      </c>
      <c r="E567" s="3" t="s">
        <v>1174</v>
      </c>
      <c r="F567" s="7" t="s">
        <v>60</v>
      </c>
      <c r="H567" s="19" t="s">
        <v>48</v>
      </c>
      <c r="I567" s="3" t="s">
        <v>49</v>
      </c>
      <c r="J567" s="3">
        <v>2.0</v>
      </c>
      <c r="K567" s="3" t="s">
        <v>869</v>
      </c>
      <c r="L567" s="3" t="s">
        <v>1170</v>
      </c>
      <c r="M567" s="3" t="s">
        <v>344</v>
      </c>
      <c r="N567" s="6" t="s">
        <v>1167</v>
      </c>
      <c r="O567" s="6" t="s">
        <v>152</v>
      </c>
      <c r="P567" s="3">
        <v>4814.0</v>
      </c>
      <c r="Q567" s="7" t="s">
        <v>60</v>
      </c>
    </row>
    <row r="568">
      <c r="A568" s="19" t="s">
        <v>1161</v>
      </c>
      <c r="B568" s="19" t="s">
        <v>1162</v>
      </c>
      <c r="C568" s="19" t="s">
        <v>1163</v>
      </c>
      <c r="D568" s="19" t="s">
        <v>531</v>
      </c>
      <c r="E568" s="3" t="s">
        <v>1175</v>
      </c>
      <c r="F568" s="7" t="s">
        <v>60</v>
      </c>
      <c r="H568" s="19" t="s">
        <v>48</v>
      </c>
      <c r="I568" s="3" t="s">
        <v>49</v>
      </c>
      <c r="J568" s="3">
        <v>2.0</v>
      </c>
      <c r="K568" s="3" t="s">
        <v>869</v>
      </c>
      <c r="L568" s="3" t="s">
        <v>1170</v>
      </c>
      <c r="M568" s="3" t="s">
        <v>344</v>
      </c>
      <c r="N568" s="6" t="s">
        <v>1167</v>
      </c>
      <c r="O568" s="6" t="s">
        <v>152</v>
      </c>
      <c r="P568" s="3">
        <v>4812.0</v>
      </c>
      <c r="Q568" s="7" t="s">
        <v>60</v>
      </c>
    </row>
    <row r="569">
      <c r="A569" s="19" t="s">
        <v>1161</v>
      </c>
      <c r="B569" s="19" t="s">
        <v>1162</v>
      </c>
      <c r="C569" s="19" t="s">
        <v>1163</v>
      </c>
      <c r="D569" s="19" t="s">
        <v>531</v>
      </c>
      <c r="E569" s="3" t="s">
        <v>1176</v>
      </c>
      <c r="F569" s="7" t="s">
        <v>60</v>
      </c>
      <c r="H569" s="19" t="s">
        <v>48</v>
      </c>
      <c r="I569" s="3" t="s">
        <v>49</v>
      </c>
      <c r="J569" s="3">
        <v>2.0</v>
      </c>
      <c r="K569" s="3" t="s">
        <v>869</v>
      </c>
      <c r="L569" s="3" t="s">
        <v>1170</v>
      </c>
      <c r="M569" s="3" t="s">
        <v>344</v>
      </c>
      <c r="N569" s="6" t="s">
        <v>1167</v>
      </c>
      <c r="O569" s="6" t="s">
        <v>152</v>
      </c>
      <c r="P569" s="3">
        <v>4810.0</v>
      </c>
      <c r="Q569" s="7" t="s">
        <v>60</v>
      </c>
    </row>
    <row r="570">
      <c r="A570" s="19" t="s">
        <v>1161</v>
      </c>
      <c r="B570" s="19" t="s">
        <v>1162</v>
      </c>
      <c r="C570" s="19" t="s">
        <v>1163</v>
      </c>
      <c r="D570" s="19" t="s">
        <v>531</v>
      </c>
      <c r="E570" s="3" t="s">
        <v>1177</v>
      </c>
      <c r="F570" s="7" t="s">
        <v>60</v>
      </c>
      <c r="H570" s="19" t="s">
        <v>48</v>
      </c>
      <c r="I570" s="3" t="s">
        <v>49</v>
      </c>
      <c r="J570" s="3">
        <v>2.0</v>
      </c>
      <c r="K570" s="3" t="s">
        <v>869</v>
      </c>
      <c r="L570" s="3" t="s">
        <v>1170</v>
      </c>
      <c r="M570" s="3" t="s">
        <v>344</v>
      </c>
      <c r="N570" s="6" t="s">
        <v>1167</v>
      </c>
      <c r="O570" s="6" t="s">
        <v>152</v>
      </c>
      <c r="P570" s="3">
        <v>4815.0</v>
      </c>
      <c r="Q570" s="7" t="s">
        <v>60</v>
      </c>
    </row>
    <row r="571">
      <c r="A571" s="19" t="s">
        <v>1161</v>
      </c>
      <c r="B571" s="19" t="s">
        <v>1162</v>
      </c>
      <c r="C571" s="19" t="s">
        <v>1163</v>
      </c>
      <c r="D571" s="19" t="s">
        <v>531</v>
      </c>
      <c r="E571" s="3" t="s">
        <v>1178</v>
      </c>
      <c r="F571" s="7" t="s">
        <v>60</v>
      </c>
      <c r="H571" s="19" t="s">
        <v>48</v>
      </c>
      <c r="I571" s="3" t="s">
        <v>49</v>
      </c>
      <c r="J571" s="3">
        <v>2.0</v>
      </c>
      <c r="K571" s="3" t="s">
        <v>869</v>
      </c>
      <c r="L571" s="3" t="s">
        <v>1170</v>
      </c>
      <c r="M571" s="3" t="s">
        <v>344</v>
      </c>
      <c r="N571" s="6" t="s">
        <v>1167</v>
      </c>
      <c r="O571" s="6" t="s">
        <v>152</v>
      </c>
      <c r="P571" s="3">
        <v>4810.0</v>
      </c>
      <c r="Q571" s="7" t="s">
        <v>60</v>
      </c>
    </row>
    <row r="572">
      <c r="A572" s="19" t="s">
        <v>1161</v>
      </c>
      <c r="B572" s="19" t="s">
        <v>1162</v>
      </c>
      <c r="C572" s="19" t="s">
        <v>1163</v>
      </c>
      <c r="D572" s="19" t="s">
        <v>531</v>
      </c>
      <c r="E572" s="3" t="s">
        <v>1179</v>
      </c>
      <c r="F572" s="7" t="s">
        <v>60</v>
      </c>
      <c r="H572" s="19" t="s">
        <v>48</v>
      </c>
      <c r="I572" s="3" t="s">
        <v>49</v>
      </c>
      <c r="J572" s="3">
        <v>2.0</v>
      </c>
      <c r="K572" s="3" t="s">
        <v>869</v>
      </c>
      <c r="L572" s="3" t="s">
        <v>1170</v>
      </c>
      <c r="M572" s="3" t="s">
        <v>344</v>
      </c>
      <c r="N572" s="6" t="s">
        <v>1167</v>
      </c>
      <c r="O572" s="6" t="s">
        <v>152</v>
      </c>
      <c r="P572" s="3">
        <v>4818.0</v>
      </c>
      <c r="Q572" s="7" t="s">
        <v>60</v>
      </c>
    </row>
    <row r="573">
      <c r="A573" s="19" t="s">
        <v>1161</v>
      </c>
      <c r="B573" s="19" t="s">
        <v>1162</v>
      </c>
      <c r="C573" s="19" t="s">
        <v>1163</v>
      </c>
      <c r="D573" s="19" t="s">
        <v>531</v>
      </c>
      <c r="E573" s="3" t="s">
        <v>1180</v>
      </c>
      <c r="F573" s="7" t="s">
        <v>60</v>
      </c>
      <c r="H573" s="19" t="s">
        <v>48</v>
      </c>
      <c r="I573" s="3" t="s">
        <v>49</v>
      </c>
      <c r="J573" s="3">
        <v>2.0</v>
      </c>
      <c r="K573" s="3" t="s">
        <v>869</v>
      </c>
      <c r="L573" s="3" t="s">
        <v>1170</v>
      </c>
      <c r="M573" s="3" t="s">
        <v>344</v>
      </c>
      <c r="N573" s="6" t="s">
        <v>1167</v>
      </c>
      <c r="O573" s="6" t="s">
        <v>152</v>
      </c>
      <c r="P573" s="3">
        <v>4817.0</v>
      </c>
      <c r="Q573" s="7" t="s">
        <v>60</v>
      </c>
    </row>
    <row r="574">
      <c r="A574" s="19" t="s">
        <v>1161</v>
      </c>
      <c r="B574" s="19" t="s">
        <v>1162</v>
      </c>
      <c r="C574" s="19" t="s">
        <v>1163</v>
      </c>
      <c r="D574" s="19" t="s">
        <v>531</v>
      </c>
      <c r="E574" s="3" t="s">
        <v>1181</v>
      </c>
      <c r="F574" s="7" t="s">
        <v>60</v>
      </c>
      <c r="H574" s="19" t="s">
        <v>48</v>
      </c>
      <c r="I574" s="3" t="s">
        <v>49</v>
      </c>
      <c r="J574" s="3">
        <v>2.0</v>
      </c>
      <c r="K574" s="3" t="s">
        <v>869</v>
      </c>
      <c r="L574" s="3" t="s">
        <v>1170</v>
      </c>
      <c r="M574" s="3" t="s">
        <v>344</v>
      </c>
      <c r="N574" s="6" t="s">
        <v>1167</v>
      </c>
      <c r="O574" s="6" t="s">
        <v>152</v>
      </c>
      <c r="P574" s="3">
        <v>4818.0</v>
      </c>
      <c r="Q574" s="7" t="s">
        <v>60</v>
      </c>
    </row>
    <row r="575">
      <c r="A575" s="19" t="s">
        <v>1161</v>
      </c>
      <c r="B575" s="19" t="s">
        <v>1162</v>
      </c>
      <c r="C575" s="19" t="s">
        <v>1163</v>
      </c>
      <c r="D575" s="19" t="s">
        <v>531</v>
      </c>
      <c r="E575" s="3" t="s">
        <v>1182</v>
      </c>
      <c r="F575" s="7" t="s">
        <v>60</v>
      </c>
      <c r="H575" s="19" t="s">
        <v>48</v>
      </c>
      <c r="I575" s="3" t="s">
        <v>49</v>
      </c>
      <c r="J575" s="3">
        <v>2.0</v>
      </c>
      <c r="K575" s="3" t="s">
        <v>869</v>
      </c>
      <c r="L575" s="3" t="s">
        <v>1170</v>
      </c>
      <c r="M575" s="3" t="s">
        <v>344</v>
      </c>
      <c r="N575" s="6" t="s">
        <v>1167</v>
      </c>
      <c r="O575" s="6" t="s">
        <v>152</v>
      </c>
      <c r="P575" s="3">
        <v>4818.0</v>
      </c>
      <c r="Q575" s="7" t="s">
        <v>60</v>
      </c>
    </row>
    <row r="576">
      <c r="A576" s="19" t="s">
        <v>1161</v>
      </c>
      <c r="B576" s="19" t="s">
        <v>1162</v>
      </c>
      <c r="C576" s="19" t="s">
        <v>1163</v>
      </c>
      <c r="D576" s="19" t="s">
        <v>531</v>
      </c>
      <c r="E576" s="3" t="s">
        <v>1183</v>
      </c>
      <c r="F576" s="7" t="s">
        <v>60</v>
      </c>
      <c r="H576" s="19" t="s">
        <v>48</v>
      </c>
      <c r="I576" s="3" t="s">
        <v>49</v>
      </c>
      <c r="J576" s="3">
        <v>2.0</v>
      </c>
      <c r="K576" s="3" t="s">
        <v>869</v>
      </c>
      <c r="L576" s="3" t="s">
        <v>1170</v>
      </c>
      <c r="M576" s="3" t="s">
        <v>344</v>
      </c>
      <c r="N576" s="6" t="s">
        <v>1167</v>
      </c>
      <c r="O576" s="6" t="s">
        <v>152</v>
      </c>
      <c r="P576" s="3">
        <v>4819.0</v>
      </c>
      <c r="Q576" s="7" t="s">
        <v>60</v>
      </c>
    </row>
    <row r="577">
      <c r="A577" s="19" t="s">
        <v>1161</v>
      </c>
      <c r="B577" s="19" t="s">
        <v>1162</v>
      </c>
      <c r="C577" s="19" t="s">
        <v>1163</v>
      </c>
      <c r="D577" s="19" t="s">
        <v>531</v>
      </c>
      <c r="E577" s="3" t="s">
        <v>1184</v>
      </c>
      <c r="F577" s="7" t="s">
        <v>60</v>
      </c>
      <c r="H577" s="19" t="s">
        <v>48</v>
      </c>
      <c r="I577" s="3" t="s">
        <v>49</v>
      </c>
      <c r="J577" s="3">
        <v>2.0</v>
      </c>
      <c r="K577" s="3" t="s">
        <v>869</v>
      </c>
      <c r="L577" s="3" t="s">
        <v>1170</v>
      </c>
      <c r="M577" s="3" t="s">
        <v>344</v>
      </c>
      <c r="N577" s="6" t="s">
        <v>1167</v>
      </c>
      <c r="O577" s="6" t="s">
        <v>152</v>
      </c>
      <c r="P577" s="3">
        <v>4819.0</v>
      </c>
      <c r="Q577" s="7" t="s">
        <v>60</v>
      </c>
    </row>
    <row r="578">
      <c r="A578" s="19" t="s">
        <v>1161</v>
      </c>
      <c r="B578" s="19" t="s">
        <v>1162</v>
      </c>
      <c r="C578" s="19" t="s">
        <v>1163</v>
      </c>
      <c r="D578" s="19" t="s">
        <v>531</v>
      </c>
      <c r="E578" s="3" t="s">
        <v>1185</v>
      </c>
      <c r="F578" s="7" t="s">
        <v>60</v>
      </c>
      <c r="H578" s="19" t="s">
        <v>48</v>
      </c>
      <c r="I578" s="3" t="s">
        <v>49</v>
      </c>
      <c r="J578" s="3">
        <v>2.0</v>
      </c>
      <c r="K578" s="3" t="s">
        <v>869</v>
      </c>
      <c r="L578" s="3" t="s">
        <v>1170</v>
      </c>
      <c r="M578" s="3" t="s">
        <v>344</v>
      </c>
      <c r="N578" s="6" t="s">
        <v>1167</v>
      </c>
      <c r="O578" s="6" t="s">
        <v>152</v>
      </c>
      <c r="P578" s="3">
        <v>4819.0</v>
      </c>
      <c r="Q578" s="7" t="s">
        <v>60</v>
      </c>
    </row>
    <row r="579">
      <c r="A579" s="19" t="s">
        <v>1161</v>
      </c>
      <c r="B579" s="19" t="s">
        <v>1162</v>
      </c>
      <c r="C579" s="19" t="s">
        <v>1163</v>
      </c>
      <c r="D579" s="19" t="s">
        <v>531</v>
      </c>
      <c r="E579" s="3" t="s">
        <v>1186</v>
      </c>
      <c r="F579" s="7" t="s">
        <v>60</v>
      </c>
      <c r="H579" s="19" t="s">
        <v>48</v>
      </c>
      <c r="I579" s="3" t="s">
        <v>49</v>
      </c>
      <c r="J579" s="3">
        <v>2.0</v>
      </c>
      <c r="K579" s="3" t="s">
        <v>869</v>
      </c>
      <c r="L579" s="3" t="s">
        <v>1170</v>
      </c>
      <c r="M579" s="3" t="s">
        <v>344</v>
      </c>
      <c r="N579" s="6" t="s">
        <v>1167</v>
      </c>
      <c r="O579" s="6" t="s">
        <v>152</v>
      </c>
      <c r="P579" s="3">
        <v>4812.0</v>
      </c>
      <c r="Q579" s="7" t="s">
        <v>60</v>
      </c>
    </row>
    <row r="580">
      <c r="A580" s="19" t="s">
        <v>1161</v>
      </c>
      <c r="B580" s="19" t="s">
        <v>1162</v>
      </c>
      <c r="C580" s="19" t="s">
        <v>1163</v>
      </c>
      <c r="D580" s="19" t="s">
        <v>531</v>
      </c>
      <c r="E580" s="3" t="s">
        <v>1187</v>
      </c>
      <c r="F580" s="7" t="s">
        <v>60</v>
      </c>
      <c r="H580" s="19" t="s">
        <v>48</v>
      </c>
      <c r="I580" s="3" t="s">
        <v>49</v>
      </c>
      <c r="J580" s="3">
        <v>2.0</v>
      </c>
      <c r="K580" s="3" t="s">
        <v>869</v>
      </c>
      <c r="L580" s="3" t="s">
        <v>1170</v>
      </c>
      <c r="M580" s="3" t="s">
        <v>344</v>
      </c>
      <c r="N580" s="6" t="s">
        <v>1167</v>
      </c>
      <c r="O580" s="6" t="s">
        <v>152</v>
      </c>
      <c r="P580" s="3">
        <v>4810.0</v>
      </c>
      <c r="Q580" s="7" t="s">
        <v>60</v>
      </c>
    </row>
    <row r="581">
      <c r="A581" s="19" t="s">
        <v>1161</v>
      </c>
      <c r="B581" s="19" t="s">
        <v>1162</v>
      </c>
      <c r="C581" s="19" t="s">
        <v>1163</v>
      </c>
      <c r="D581" s="19" t="s">
        <v>531</v>
      </c>
      <c r="E581" s="3" t="s">
        <v>1188</v>
      </c>
      <c r="F581" s="7" t="s">
        <v>60</v>
      </c>
      <c r="H581" s="19" t="s">
        <v>48</v>
      </c>
      <c r="I581" s="3" t="s">
        <v>49</v>
      </c>
      <c r="J581" s="3">
        <v>2.0</v>
      </c>
      <c r="K581" s="3" t="s">
        <v>869</v>
      </c>
      <c r="L581" s="3" t="s">
        <v>1170</v>
      </c>
      <c r="M581" s="3" t="s">
        <v>344</v>
      </c>
      <c r="N581" s="6" t="s">
        <v>1167</v>
      </c>
      <c r="O581" s="6" t="s">
        <v>152</v>
      </c>
      <c r="P581" s="3">
        <v>4818.0</v>
      </c>
      <c r="Q581" s="7" t="s">
        <v>60</v>
      </c>
    </row>
    <row r="582">
      <c r="A582" s="19" t="s">
        <v>1161</v>
      </c>
      <c r="B582" s="19" t="s">
        <v>1162</v>
      </c>
      <c r="C582" s="19" t="s">
        <v>1163</v>
      </c>
      <c r="D582" s="19" t="s">
        <v>531</v>
      </c>
      <c r="E582" s="3" t="s">
        <v>1189</v>
      </c>
      <c r="F582" s="7" t="s">
        <v>60</v>
      </c>
      <c r="H582" s="19" t="s">
        <v>48</v>
      </c>
      <c r="I582" s="3" t="s">
        <v>49</v>
      </c>
      <c r="J582" s="3">
        <v>1.0</v>
      </c>
      <c r="K582" s="3" t="s">
        <v>1170</v>
      </c>
      <c r="L582" s="3" t="s">
        <v>1170</v>
      </c>
      <c r="M582" s="3" t="s">
        <v>344</v>
      </c>
      <c r="N582" s="6" t="s">
        <v>1167</v>
      </c>
      <c r="O582" s="6" t="s">
        <v>152</v>
      </c>
      <c r="P582" s="3">
        <v>4815.0</v>
      </c>
      <c r="Q582" s="7" t="s">
        <v>60</v>
      </c>
    </row>
    <row r="583">
      <c r="A583" s="19" t="s">
        <v>1161</v>
      </c>
      <c r="B583" s="19" t="s">
        <v>1162</v>
      </c>
      <c r="C583" s="19" t="s">
        <v>1163</v>
      </c>
      <c r="D583" s="19" t="s">
        <v>531</v>
      </c>
      <c r="E583" s="3" t="s">
        <v>1190</v>
      </c>
      <c r="F583" s="7" t="s">
        <v>60</v>
      </c>
      <c r="H583" s="19" t="s">
        <v>48</v>
      </c>
      <c r="I583" s="3" t="s">
        <v>49</v>
      </c>
      <c r="J583" s="3">
        <v>1.0</v>
      </c>
      <c r="K583" s="3" t="s">
        <v>1170</v>
      </c>
      <c r="L583" s="3" t="s">
        <v>1170</v>
      </c>
      <c r="M583" s="3" t="s">
        <v>344</v>
      </c>
      <c r="N583" s="6" t="s">
        <v>1167</v>
      </c>
      <c r="O583" s="6" t="s">
        <v>152</v>
      </c>
      <c r="P583" s="3">
        <v>4818.0</v>
      </c>
      <c r="Q583" s="7" t="s">
        <v>60</v>
      </c>
    </row>
    <row r="584">
      <c r="A584" s="19" t="s">
        <v>1161</v>
      </c>
      <c r="B584" s="19" t="s">
        <v>1162</v>
      </c>
      <c r="C584" s="19" t="s">
        <v>1163</v>
      </c>
      <c r="D584" s="19" t="s">
        <v>531</v>
      </c>
      <c r="E584" s="3" t="s">
        <v>1191</v>
      </c>
      <c r="F584" s="7" t="s">
        <v>60</v>
      </c>
      <c r="H584" s="19" t="s">
        <v>48</v>
      </c>
      <c r="I584" s="3" t="s">
        <v>49</v>
      </c>
      <c r="J584" s="3">
        <v>1.0</v>
      </c>
      <c r="K584" s="3" t="s">
        <v>1170</v>
      </c>
      <c r="L584" s="3" t="s">
        <v>1170</v>
      </c>
      <c r="M584" s="3" t="s">
        <v>344</v>
      </c>
      <c r="N584" s="6" t="s">
        <v>1167</v>
      </c>
      <c r="O584" s="6" t="s">
        <v>152</v>
      </c>
      <c r="P584" s="3">
        <v>4811.0</v>
      </c>
      <c r="Q584" s="7" t="s">
        <v>60</v>
      </c>
    </row>
    <row r="585">
      <c r="A585" s="19" t="s">
        <v>1161</v>
      </c>
      <c r="B585" s="19" t="s">
        <v>1162</v>
      </c>
      <c r="C585" s="19" t="s">
        <v>1163</v>
      </c>
      <c r="D585" s="19" t="s">
        <v>531</v>
      </c>
      <c r="E585" s="3" t="s">
        <v>1192</v>
      </c>
      <c r="F585" s="7" t="s">
        <v>60</v>
      </c>
      <c r="H585" s="19" t="s">
        <v>48</v>
      </c>
      <c r="I585" s="3" t="s">
        <v>49</v>
      </c>
      <c r="J585" s="3">
        <v>1.0</v>
      </c>
      <c r="K585" s="3" t="s">
        <v>1170</v>
      </c>
      <c r="L585" s="3" t="s">
        <v>1170</v>
      </c>
      <c r="M585" s="3" t="s">
        <v>344</v>
      </c>
      <c r="N585" s="6" t="s">
        <v>1167</v>
      </c>
      <c r="O585" s="6" t="s">
        <v>152</v>
      </c>
      <c r="P585" s="3">
        <v>4812.0</v>
      </c>
      <c r="Q585" s="7" t="s">
        <v>60</v>
      </c>
    </row>
    <row r="586">
      <c r="A586" s="19" t="s">
        <v>1161</v>
      </c>
      <c r="B586" s="19" t="s">
        <v>1162</v>
      </c>
      <c r="C586" s="19" t="s">
        <v>1163</v>
      </c>
      <c r="D586" s="19" t="s">
        <v>531</v>
      </c>
      <c r="E586" s="3" t="s">
        <v>1193</v>
      </c>
      <c r="F586" s="7" t="s">
        <v>60</v>
      </c>
      <c r="H586" s="19" t="s">
        <v>48</v>
      </c>
      <c r="I586" s="3" t="s">
        <v>49</v>
      </c>
      <c r="J586" s="3">
        <v>1.0</v>
      </c>
      <c r="K586" s="3" t="s">
        <v>1170</v>
      </c>
      <c r="L586" s="3" t="s">
        <v>1170</v>
      </c>
      <c r="M586" s="3" t="s">
        <v>344</v>
      </c>
      <c r="N586" s="6" t="s">
        <v>1167</v>
      </c>
      <c r="O586" s="6" t="s">
        <v>152</v>
      </c>
      <c r="P586" s="3">
        <v>4810.0</v>
      </c>
      <c r="Q586" s="7" t="s">
        <v>60</v>
      </c>
    </row>
    <row r="587">
      <c r="A587" s="19" t="s">
        <v>1161</v>
      </c>
      <c r="B587" s="19" t="s">
        <v>1162</v>
      </c>
      <c r="C587" s="19" t="s">
        <v>1163</v>
      </c>
      <c r="D587" s="19" t="s">
        <v>531</v>
      </c>
      <c r="E587" s="3" t="s">
        <v>1194</v>
      </c>
      <c r="F587" s="7" t="s">
        <v>60</v>
      </c>
      <c r="H587" s="19" t="s">
        <v>48</v>
      </c>
      <c r="I587" s="3" t="s">
        <v>49</v>
      </c>
      <c r="J587" s="3">
        <v>1.0</v>
      </c>
      <c r="K587" s="3" t="s">
        <v>1170</v>
      </c>
      <c r="L587" s="3" t="s">
        <v>1170</v>
      </c>
      <c r="M587" s="3" t="s">
        <v>344</v>
      </c>
      <c r="N587" s="6" t="s">
        <v>1167</v>
      </c>
      <c r="O587" s="6" t="s">
        <v>152</v>
      </c>
      <c r="P587" s="3">
        <v>4812.0</v>
      </c>
      <c r="Q587" s="7" t="s">
        <v>60</v>
      </c>
    </row>
    <row r="588">
      <c r="A588" s="19" t="s">
        <v>1161</v>
      </c>
      <c r="B588" s="19" t="s">
        <v>1162</v>
      </c>
      <c r="C588" s="19" t="s">
        <v>1163</v>
      </c>
      <c r="D588" s="19" t="s">
        <v>531</v>
      </c>
      <c r="E588" s="3" t="s">
        <v>1195</v>
      </c>
      <c r="F588" s="7" t="s">
        <v>60</v>
      </c>
      <c r="H588" s="19" t="s">
        <v>48</v>
      </c>
      <c r="I588" s="3" t="s">
        <v>49</v>
      </c>
      <c r="J588" s="3">
        <v>1.0</v>
      </c>
      <c r="K588" s="3" t="s">
        <v>1170</v>
      </c>
      <c r="L588" s="3" t="s">
        <v>1170</v>
      </c>
      <c r="M588" s="3" t="s">
        <v>344</v>
      </c>
      <c r="N588" s="6" t="s">
        <v>1167</v>
      </c>
      <c r="O588" s="6" t="s">
        <v>152</v>
      </c>
      <c r="P588" s="3">
        <v>4812.0</v>
      </c>
      <c r="Q588" s="7" t="s">
        <v>60</v>
      </c>
    </row>
    <row r="589">
      <c r="A589" s="3" t="s">
        <v>1196</v>
      </c>
      <c r="B589" s="3" t="s">
        <v>1197</v>
      </c>
      <c r="C589" s="19" t="s">
        <v>1198</v>
      </c>
      <c r="D589" s="3" t="s">
        <v>356</v>
      </c>
      <c r="E589" s="3" t="s">
        <v>1199</v>
      </c>
      <c r="F589" s="14">
        <v>46038.0</v>
      </c>
      <c r="G589" s="12" t="s">
        <v>260</v>
      </c>
      <c r="H589" s="19" t="s">
        <v>48</v>
      </c>
      <c r="I589" s="3" t="s">
        <v>49</v>
      </c>
      <c r="J589" s="3">
        <v>12.0</v>
      </c>
      <c r="K589" s="3" t="s">
        <v>1200</v>
      </c>
      <c r="L589" s="3" t="s">
        <v>1201</v>
      </c>
      <c r="M589" s="3" t="s">
        <v>414</v>
      </c>
      <c r="N589" s="6" t="s">
        <v>1202</v>
      </c>
      <c r="O589" s="6" t="s">
        <v>416</v>
      </c>
      <c r="P589" s="3">
        <v>6051.0</v>
      </c>
      <c r="Q589" s="3">
        <v>2.0</v>
      </c>
      <c r="R589" s="3">
        <v>328.9</v>
      </c>
    </row>
    <row r="590">
      <c r="A590" s="3" t="s">
        <v>1196</v>
      </c>
      <c r="B590" s="3" t="s">
        <v>1197</v>
      </c>
      <c r="C590" s="19" t="s">
        <v>1198</v>
      </c>
      <c r="D590" s="3" t="s">
        <v>356</v>
      </c>
      <c r="E590" s="3" t="s">
        <v>1203</v>
      </c>
      <c r="F590" s="7" t="s">
        <v>60</v>
      </c>
      <c r="H590" s="19" t="s">
        <v>48</v>
      </c>
      <c r="I590" s="3" t="s">
        <v>49</v>
      </c>
      <c r="J590" s="3">
        <v>6.0</v>
      </c>
      <c r="K590" s="3" t="s">
        <v>818</v>
      </c>
      <c r="L590" s="3" t="s">
        <v>1204</v>
      </c>
      <c r="M590" s="3" t="s">
        <v>414</v>
      </c>
      <c r="N590" s="6" t="s">
        <v>1202</v>
      </c>
      <c r="O590" s="6" t="s">
        <v>416</v>
      </c>
      <c r="P590" s="3">
        <v>6050.0</v>
      </c>
      <c r="Q590" s="7" t="s">
        <v>60</v>
      </c>
    </row>
    <row r="591">
      <c r="A591" s="3" t="s">
        <v>1196</v>
      </c>
      <c r="B591" s="3" t="s">
        <v>1197</v>
      </c>
      <c r="C591" s="19" t="s">
        <v>1198</v>
      </c>
      <c r="D591" s="3" t="s">
        <v>356</v>
      </c>
      <c r="E591" s="3" t="s">
        <v>1205</v>
      </c>
      <c r="F591" s="7" t="s">
        <v>60</v>
      </c>
      <c r="H591" s="19" t="s">
        <v>48</v>
      </c>
      <c r="I591" s="3" t="s">
        <v>49</v>
      </c>
      <c r="J591" s="3">
        <v>6.0</v>
      </c>
      <c r="K591" s="3" t="s">
        <v>818</v>
      </c>
      <c r="L591" s="3" t="s">
        <v>1204</v>
      </c>
      <c r="M591" s="3" t="s">
        <v>414</v>
      </c>
      <c r="N591" s="6" t="s">
        <v>1202</v>
      </c>
      <c r="O591" s="6" t="s">
        <v>416</v>
      </c>
      <c r="P591" s="3">
        <v>6052.0</v>
      </c>
      <c r="Q591" s="7" t="s">
        <v>60</v>
      </c>
    </row>
    <row r="592">
      <c r="A592" s="3" t="s">
        <v>1196</v>
      </c>
      <c r="B592" s="3" t="s">
        <v>1197</v>
      </c>
      <c r="C592" s="19" t="s">
        <v>1198</v>
      </c>
      <c r="D592" s="3" t="s">
        <v>356</v>
      </c>
      <c r="E592" s="3" t="s">
        <v>1206</v>
      </c>
      <c r="F592" s="7" t="s">
        <v>60</v>
      </c>
      <c r="H592" s="19" t="s">
        <v>48</v>
      </c>
      <c r="I592" s="3" t="s">
        <v>49</v>
      </c>
      <c r="J592" s="3">
        <v>6.0</v>
      </c>
      <c r="K592" s="3" t="s">
        <v>818</v>
      </c>
      <c r="L592" s="3" t="s">
        <v>1204</v>
      </c>
      <c r="M592" s="3" t="s">
        <v>414</v>
      </c>
      <c r="N592" s="6" t="s">
        <v>1202</v>
      </c>
      <c r="O592" s="6" t="s">
        <v>416</v>
      </c>
      <c r="P592" s="3">
        <v>6053.0</v>
      </c>
      <c r="Q592" s="7" t="s">
        <v>60</v>
      </c>
    </row>
    <row r="593">
      <c r="A593" s="3" t="s">
        <v>1196</v>
      </c>
      <c r="B593" s="3" t="s">
        <v>1197</v>
      </c>
      <c r="C593" s="19" t="s">
        <v>1198</v>
      </c>
      <c r="D593" s="3" t="s">
        <v>356</v>
      </c>
      <c r="E593" s="3" t="s">
        <v>1207</v>
      </c>
      <c r="F593" s="7" t="s">
        <v>60</v>
      </c>
      <c r="H593" s="19" t="s">
        <v>48</v>
      </c>
      <c r="I593" s="3" t="s">
        <v>49</v>
      </c>
      <c r="J593" s="3">
        <v>6.0</v>
      </c>
      <c r="K593" s="3" t="s">
        <v>818</v>
      </c>
      <c r="L593" s="3" t="s">
        <v>1204</v>
      </c>
      <c r="M593" s="3" t="s">
        <v>414</v>
      </c>
      <c r="N593" s="6" t="s">
        <v>1202</v>
      </c>
      <c r="O593" s="6" t="s">
        <v>416</v>
      </c>
      <c r="P593" s="3">
        <v>6054.0</v>
      </c>
      <c r="Q593" s="7" t="s">
        <v>60</v>
      </c>
    </row>
    <row r="594">
      <c r="A594" s="3" t="s">
        <v>1196</v>
      </c>
      <c r="B594" s="3" t="s">
        <v>1197</v>
      </c>
      <c r="C594" s="19" t="s">
        <v>1198</v>
      </c>
      <c r="D594" s="3" t="s">
        <v>356</v>
      </c>
      <c r="E594" s="3" t="s">
        <v>1208</v>
      </c>
      <c r="F594" s="7" t="s">
        <v>60</v>
      </c>
      <c r="H594" s="19" t="s">
        <v>48</v>
      </c>
      <c r="I594" s="3" t="s">
        <v>49</v>
      </c>
      <c r="J594" s="3">
        <v>6.0</v>
      </c>
      <c r="K594" s="3" t="s">
        <v>818</v>
      </c>
      <c r="L594" s="3" t="s">
        <v>1204</v>
      </c>
      <c r="M594" s="3" t="s">
        <v>414</v>
      </c>
      <c r="N594" s="6" t="s">
        <v>1202</v>
      </c>
      <c r="O594" s="6" t="s">
        <v>416</v>
      </c>
      <c r="P594" s="3">
        <v>6052.0</v>
      </c>
      <c r="Q594" s="7" t="s">
        <v>60</v>
      </c>
    </row>
    <row r="595">
      <c r="A595" s="3" t="s">
        <v>1196</v>
      </c>
      <c r="B595" s="3" t="s">
        <v>1197</v>
      </c>
      <c r="C595" s="19" t="s">
        <v>1198</v>
      </c>
      <c r="D595" s="3" t="s">
        <v>356</v>
      </c>
      <c r="E595" s="3" t="s">
        <v>1209</v>
      </c>
      <c r="F595" s="7" t="s">
        <v>60</v>
      </c>
      <c r="H595" s="19" t="s">
        <v>48</v>
      </c>
      <c r="I595" s="3" t="s">
        <v>49</v>
      </c>
      <c r="J595" s="3">
        <v>6.0</v>
      </c>
      <c r="K595" s="3" t="s">
        <v>818</v>
      </c>
      <c r="L595" s="3" t="s">
        <v>1204</v>
      </c>
      <c r="M595" s="3" t="s">
        <v>414</v>
      </c>
      <c r="N595" s="6" t="s">
        <v>1202</v>
      </c>
      <c r="O595" s="6" t="s">
        <v>416</v>
      </c>
      <c r="P595" s="3">
        <v>6054.0</v>
      </c>
      <c r="Q595" s="7" t="s">
        <v>60</v>
      </c>
    </row>
    <row r="596">
      <c r="A596" s="3" t="s">
        <v>1196</v>
      </c>
      <c r="B596" s="3" t="s">
        <v>1197</v>
      </c>
      <c r="C596" s="19" t="s">
        <v>1198</v>
      </c>
      <c r="D596" s="3" t="s">
        <v>356</v>
      </c>
      <c r="E596" s="3" t="s">
        <v>1210</v>
      </c>
      <c r="F596" s="7" t="s">
        <v>60</v>
      </c>
      <c r="H596" s="19" t="s">
        <v>48</v>
      </c>
      <c r="I596" s="3" t="s">
        <v>49</v>
      </c>
      <c r="J596" s="3">
        <v>6.0</v>
      </c>
      <c r="K596" s="3" t="s">
        <v>818</v>
      </c>
      <c r="L596" s="3" t="s">
        <v>1204</v>
      </c>
      <c r="M596" s="3" t="s">
        <v>414</v>
      </c>
      <c r="N596" s="6" t="s">
        <v>1202</v>
      </c>
      <c r="O596" s="6" t="s">
        <v>416</v>
      </c>
      <c r="P596" s="3">
        <v>6050.0</v>
      </c>
      <c r="Q596" s="7" t="s">
        <v>60</v>
      </c>
    </row>
    <row r="597">
      <c r="A597" s="3" t="s">
        <v>1196</v>
      </c>
      <c r="B597" s="3" t="s">
        <v>1197</v>
      </c>
      <c r="C597" s="19" t="s">
        <v>1198</v>
      </c>
      <c r="D597" s="3" t="s">
        <v>356</v>
      </c>
      <c r="E597" s="3" t="s">
        <v>1211</v>
      </c>
      <c r="F597" s="7" t="s">
        <v>60</v>
      </c>
      <c r="H597" s="19" t="s">
        <v>48</v>
      </c>
      <c r="I597" s="3" t="s">
        <v>49</v>
      </c>
      <c r="J597" s="3">
        <v>6.0</v>
      </c>
      <c r="K597" s="3" t="s">
        <v>818</v>
      </c>
      <c r="L597" s="3" t="s">
        <v>1204</v>
      </c>
      <c r="M597" s="3" t="s">
        <v>414</v>
      </c>
      <c r="N597" s="6" t="s">
        <v>1202</v>
      </c>
      <c r="O597" s="6" t="s">
        <v>416</v>
      </c>
      <c r="P597" s="3">
        <v>6055.0</v>
      </c>
      <c r="Q597" s="7" t="s">
        <v>60</v>
      </c>
    </row>
    <row r="598">
      <c r="A598" s="3" t="s">
        <v>1196</v>
      </c>
      <c r="B598" s="3" t="s">
        <v>1197</v>
      </c>
      <c r="C598" s="19" t="s">
        <v>1198</v>
      </c>
      <c r="D598" s="3" t="s">
        <v>356</v>
      </c>
      <c r="E598" s="3" t="s">
        <v>1212</v>
      </c>
      <c r="F598" s="7" t="s">
        <v>60</v>
      </c>
      <c r="H598" s="15" t="s">
        <v>48</v>
      </c>
      <c r="I598" s="3" t="s">
        <v>49</v>
      </c>
      <c r="J598" s="3">
        <v>6.0</v>
      </c>
      <c r="K598" s="3" t="s">
        <v>818</v>
      </c>
      <c r="L598" s="3" t="s">
        <v>1204</v>
      </c>
      <c r="M598" s="3" t="s">
        <v>414</v>
      </c>
      <c r="N598" s="6" t="s">
        <v>1202</v>
      </c>
      <c r="O598" s="6" t="s">
        <v>416</v>
      </c>
      <c r="P598" s="3">
        <v>6054.0</v>
      </c>
      <c r="Q598" s="7" t="s">
        <v>60</v>
      </c>
    </row>
    <row r="599">
      <c r="A599" s="3" t="s">
        <v>1196</v>
      </c>
      <c r="B599" s="3" t="s">
        <v>1197</v>
      </c>
      <c r="C599" s="19" t="s">
        <v>1198</v>
      </c>
      <c r="D599" s="3" t="s">
        <v>356</v>
      </c>
      <c r="E599" s="3" t="s">
        <v>1213</v>
      </c>
      <c r="F599" s="7" t="s">
        <v>60</v>
      </c>
      <c r="H599" s="15" t="s">
        <v>48</v>
      </c>
      <c r="I599" s="3" t="s">
        <v>49</v>
      </c>
      <c r="J599" s="3">
        <v>6.0</v>
      </c>
      <c r="K599" s="3" t="s">
        <v>818</v>
      </c>
      <c r="L599" s="3" t="s">
        <v>1204</v>
      </c>
      <c r="M599" s="3" t="s">
        <v>414</v>
      </c>
      <c r="N599" s="6" t="s">
        <v>1202</v>
      </c>
      <c r="O599" s="6" t="s">
        <v>416</v>
      </c>
      <c r="P599" s="3">
        <v>6062.0</v>
      </c>
      <c r="Q599" s="7" t="s">
        <v>60</v>
      </c>
    </row>
    <row r="600">
      <c r="A600" s="3" t="s">
        <v>1214</v>
      </c>
      <c r="B600" s="3" t="s">
        <v>1215</v>
      </c>
      <c r="C600" s="19" t="s">
        <v>1216</v>
      </c>
      <c r="D600" s="3" t="s">
        <v>356</v>
      </c>
      <c r="E600" s="3" t="s">
        <v>1217</v>
      </c>
      <c r="F600" s="5">
        <v>46003.0</v>
      </c>
      <c r="G600" s="12" t="s">
        <v>260</v>
      </c>
      <c r="H600" s="19" t="s">
        <v>48</v>
      </c>
      <c r="I600" s="3" t="s">
        <v>49</v>
      </c>
      <c r="J600" s="3">
        <v>10.0</v>
      </c>
      <c r="K600" s="3" t="s">
        <v>1218</v>
      </c>
      <c r="L600" s="3" t="s">
        <v>1219</v>
      </c>
      <c r="M600" s="3" t="s">
        <v>414</v>
      </c>
      <c r="N600" s="6" t="s">
        <v>1220</v>
      </c>
      <c r="O600" s="6" t="s">
        <v>1221</v>
      </c>
      <c r="P600" s="3">
        <v>6060.0</v>
      </c>
      <c r="Q600" s="3">
        <v>1.0</v>
      </c>
      <c r="R600" s="3">
        <v>328.9</v>
      </c>
    </row>
    <row r="601">
      <c r="A601" s="3" t="s">
        <v>1214</v>
      </c>
      <c r="B601" s="3" t="s">
        <v>1215</v>
      </c>
      <c r="C601" s="19" t="s">
        <v>1216</v>
      </c>
      <c r="D601" s="3" t="s">
        <v>356</v>
      </c>
      <c r="E601" s="3" t="s">
        <v>1222</v>
      </c>
      <c r="F601" s="7" t="s">
        <v>60</v>
      </c>
      <c r="H601" s="19" t="s">
        <v>48</v>
      </c>
      <c r="I601" s="3" t="s">
        <v>49</v>
      </c>
      <c r="J601" s="3">
        <v>5.0</v>
      </c>
      <c r="K601" s="3" t="s">
        <v>818</v>
      </c>
      <c r="L601" s="3" t="s">
        <v>1219</v>
      </c>
      <c r="M601" s="3" t="s">
        <v>414</v>
      </c>
      <c r="N601" s="6" t="s">
        <v>1220</v>
      </c>
      <c r="O601" s="6" t="s">
        <v>1221</v>
      </c>
      <c r="P601" s="3">
        <v>6060.0</v>
      </c>
      <c r="Q601" s="7" t="s">
        <v>60</v>
      </c>
    </row>
    <row r="602">
      <c r="A602" s="3" t="s">
        <v>1214</v>
      </c>
      <c r="B602" s="3" t="s">
        <v>1215</v>
      </c>
      <c r="C602" s="19" t="s">
        <v>1216</v>
      </c>
      <c r="D602" s="3" t="s">
        <v>356</v>
      </c>
      <c r="E602" s="3" t="s">
        <v>1223</v>
      </c>
      <c r="F602" s="7" t="s">
        <v>60</v>
      </c>
      <c r="H602" s="19" t="s">
        <v>48</v>
      </c>
      <c r="I602" s="3" t="s">
        <v>49</v>
      </c>
      <c r="J602" s="3">
        <v>5.0</v>
      </c>
      <c r="K602" s="3" t="s">
        <v>818</v>
      </c>
      <c r="L602" s="3" t="s">
        <v>1219</v>
      </c>
      <c r="M602" s="3" t="s">
        <v>414</v>
      </c>
      <c r="N602" s="6" t="s">
        <v>1220</v>
      </c>
      <c r="O602" s="6" t="s">
        <v>1221</v>
      </c>
      <c r="P602" s="3">
        <v>6060.0</v>
      </c>
      <c r="Q602" s="7" t="s">
        <v>60</v>
      </c>
    </row>
    <row r="603">
      <c r="A603" s="3" t="s">
        <v>1214</v>
      </c>
      <c r="B603" s="3" t="s">
        <v>1215</v>
      </c>
      <c r="C603" s="19" t="s">
        <v>1216</v>
      </c>
      <c r="D603" s="3" t="s">
        <v>356</v>
      </c>
      <c r="E603" s="3" t="s">
        <v>1224</v>
      </c>
      <c r="F603" s="7" t="s">
        <v>60</v>
      </c>
      <c r="H603" s="19" t="s">
        <v>48</v>
      </c>
      <c r="I603" s="3" t="s">
        <v>49</v>
      </c>
      <c r="J603" s="3">
        <v>5.0</v>
      </c>
      <c r="K603" s="3" t="s">
        <v>818</v>
      </c>
      <c r="L603" s="3" t="s">
        <v>1219</v>
      </c>
      <c r="M603" s="3" t="s">
        <v>414</v>
      </c>
      <c r="N603" s="6" t="s">
        <v>1220</v>
      </c>
      <c r="O603" s="6" t="s">
        <v>1221</v>
      </c>
      <c r="P603" s="3">
        <v>6000.0</v>
      </c>
      <c r="Q603" s="7" t="s">
        <v>60</v>
      </c>
    </row>
    <row r="604">
      <c r="A604" s="3" t="s">
        <v>1214</v>
      </c>
      <c r="B604" s="3" t="s">
        <v>1215</v>
      </c>
      <c r="C604" s="19" t="s">
        <v>1216</v>
      </c>
      <c r="D604" s="3" t="s">
        <v>356</v>
      </c>
      <c r="E604" s="3" t="s">
        <v>1225</v>
      </c>
      <c r="F604" s="7" t="s">
        <v>60</v>
      </c>
      <c r="H604" s="15" t="s">
        <v>48</v>
      </c>
      <c r="I604" s="3" t="s">
        <v>49</v>
      </c>
      <c r="J604" s="3">
        <v>6.0</v>
      </c>
      <c r="K604" s="3" t="s">
        <v>818</v>
      </c>
      <c r="L604" s="3" t="s">
        <v>1204</v>
      </c>
      <c r="M604" s="3" t="s">
        <v>414</v>
      </c>
      <c r="N604" s="6" t="s">
        <v>1202</v>
      </c>
      <c r="O604" s="6" t="s">
        <v>416</v>
      </c>
      <c r="P604" s="3">
        <v>6059.0</v>
      </c>
      <c r="Q604" s="7" t="s">
        <v>60</v>
      </c>
    </row>
    <row r="605">
      <c r="A605" s="3" t="s">
        <v>1214</v>
      </c>
      <c r="B605" s="3" t="s">
        <v>1215</v>
      </c>
      <c r="C605" s="19" t="s">
        <v>1216</v>
      </c>
      <c r="D605" s="3" t="s">
        <v>356</v>
      </c>
      <c r="E605" s="3" t="s">
        <v>1226</v>
      </c>
      <c r="F605" s="7" t="s">
        <v>60</v>
      </c>
      <c r="H605" s="15" t="s">
        <v>48</v>
      </c>
      <c r="I605" s="3" t="s">
        <v>49</v>
      </c>
      <c r="J605" s="3">
        <v>6.0</v>
      </c>
      <c r="K605" s="3" t="s">
        <v>818</v>
      </c>
      <c r="L605" s="3" t="s">
        <v>1204</v>
      </c>
      <c r="M605" s="3" t="s">
        <v>414</v>
      </c>
      <c r="N605" s="6" t="s">
        <v>1202</v>
      </c>
      <c r="O605" s="6" t="s">
        <v>416</v>
      </c>
      <c r="P605" s="3">
        <v>6018.0</v>
      </c>
      <c r="Q605" s="7" t="s">
        <v>60</v>
      </c>
    </row>
    <row r="606">
      <c r="A606" s="3" t="s">
        <v>1214</v>
      </c>
      <c r="B606" s="3" t="s">
        <v>1215</v>
      </c>
      <c r="C606" s="19" t="s">
        <v>1216</v>
      </c>
      <c r="D606" s="3" t="s">
        <v>356</v>
      </c>
      <c r="E606" s="3" t="s">
        <v>1227</v>
      </c>
      <c r="F606" s="7" t="s">
        <v>60</v>
      </c>
      <c r="H606" s="15" t="s">
        <v>48</v>
      </c>
      <c r="I606" s="3" t="s">
        <v>49</v>
      </c>
      <c r="J606" s="3">
        <v>6.0</v>
      </c>
      <c r="K606" s="3" t="s">
        <v>818</v>
      </c>
      <c r="L606" s="3" t="s">
        <v>1204</v>
      </c>
      <c r="M606" s="3" t="s">
        <v>414</v>
      </c>
      <c r="N606" s="6" t="s">
        <v>1202</v>
      </c>
      <c r="O606" s="6" t="s">
        <v>416</v>
      </c>
      <c r="P606" s="40">
        <v>6061.0</v>
      </c>
      <c r="Q606" s="7" t="s">
        <v>60</v>
      </c>
    </row>
    <row r="607">
      <c r="A607" s="3" t="s">
        <v>1214</v>
      </c>
      <c r="B607" s="3" t="s">
        <v>1215</v>
      </c>
      <c r="C607" s="19" t="s">
        <v>1216</v>
      </c>
      <c r="D607" s="3" t="s">
        <v>356</v>
      </c>
      <c r="E607" s="3" t="s">
        <v>1228</v>
      </c>
      <c r="F607" s="7" t="s">
        <v>60</v>
      </c>
      <c r="H607" s="15" t="s">
        <v>48</v>
      </c>
      <c r="I607" s="3" t="s">
        <v>49</v>
      </c>
      <c r="J607" s="3">
        <v>5.0</v>
      </c>
      <c r="K607" s="3" t="s">
        <v>818</v>
      </c>
      <c r="L607" s="3" t="s">
        <v>1219</v>
      </c>
      <c r="M607" s="3" t="s">
        <v>414</v>
      </c>
      <c r="N607" s="6" t="s">
        <v>1202</v>
      </c>
      <c r="O607" s="6" t="s">
        <v>416</v>
      </c>
      <c r="P607" s="3">
        <v>6021.0</v>
      </c>
      <c r="Q607" s="7" t="s">
        <v>60</v>
      </c>
    </row>
    <row r="608">
      <c r="A608" s="3" t="s">
        <v>1214</v>
      </c>
      <c r="B608" s="3" t="s">
        <v>1215</v>
      </c>
      <c r="C608" s="19" t="s">
        <v>1216</v>
      </c>
      <c r="D608" s="3" t="s">
        <v>356</v>
      </c>
      <c r="E608" s="3" t="s">
        <v>1229</v>
      </c>
      <c r="F608" s="7" t="s">
        <v>60</v>
      </c>
      <c r="H608" s="15" t="s">
        <v>48</v>
      </c>
      <c r="I608" s="3" t="s">
        <v>49</v>
      </c>
      <c r="J608" s="3">
        <v>5.0</v>
      </c>
      <c r="K608" s="3" t="s">
        <v>818</v>
      </c>
      <c r="L608" s="3" t="s">
        <v>1219</v>
      </c>
      <c r="M608" s="3" t="s">
        <v>414</v>
      </c>
      <c r="N608" s="6" t="s">
        <v>1202</v>
      </c>
      <c r="O608" s="6" t="s">
        <v>416</v>
      </c>
      <c r="P608" s="3">
        <v>6061.0</v>
      </c>
      <c r="Q608" s="7" t="s">
        <v>60</v>
      </c>
    </row>
    <row r="609">
      <c r="A609" s="3" t="s">
        <v>1214</v>
      </c>
      <c r="B609" s="3" t="s">
        <v>1215</v>
      </c>
      <c r="C609" s="19" t="s">
        <v>1216</v>
      </c>
      <c r="D609" s="3" t="s">
        <v>356</v>
      </c>
      <c r="E609" s="3" t="s">
        <v>1230</v>
      </c>
      <c r="F609" s="7" t="s">
        <v>60</v>
      </c>
      <c r="H609" s="15" t="s">
        <v>48</v>
      </c>
      <c r="I609" s="3" t="s">
        <v>49</v>
      </c>
      <c r="J609" s="3">
        <v>5.0</v>
      </c>
      <c r="K609" s="3" t="s">
        <v>818</v>
      </c>
      <c r="L609" s="3" t="s">
        <v>1219</v>
      </c>
      <c r="M609" s="3" t="s">
        <v>414</v>
      </c>
      <c r="N609" s="6" t="s">
        <v>1202</v>
      </c>
      <c r="O609" s="6" t="s">
        <v>416</v>
      </c>
      <c r="P609" s="3">
        <v>6021.0</v>
      </c>
      <c r="Q609" s="7" t="s">
        <v>60</v>
      </c>
    </row>
    <row r="610">
      <c r="A610" s="3" t="s">
        <v>1214</v>
      </c>
      <c r="B610" s="3" t="s">
        <v>1215</v>
      </c>
      <c r="C610" s="19" t="s">
        <v>1216</v>
      </c>
      <c r="D610" s="3" t="s">
        <v>356</v>
      </c>
      <c r="E610" s="3" t="s">
        <v>1231</v>
      </c>
      <c r="F610" s="7" t="s">
        <v>60</v>
      </c>
      <c r="H610" s="15" t="s">
        <v>48</v>
      </c>
      <c r="I610" s="3" t="s">
        <v>49</v>
      </c>
      <c r="J610" s="3">
        <v>5.0</v>
      </c>
      <c r="K610" s="3" t="s">
        <v>818</v>
      </c>
      <c r="L610" s="3" t="s">
        <v>1219</v>
      </c>
      <c r="M610" s="3" t="s">
        <v>414</v>
      </c>
      <c r="N610" s="6" t="s">
        <v>1202</v>
      </c>
      <c r="O610" s="6" t="s">
        <v>416</v>
      </c>
      <c r="P610" s="3">
        <v>6061.0</v>
      </c>
      <c r="Q610" s="7" t="s">
        <v>60</v>
      </c>
    </row>
    <row r="611">
      <c r="A611" s="3" t="s">
        <v>1214</v>
      </c>
      <c r="B611" s="3" t="s">
        <v>1215</v>
      </c>
      <c r="C611" s="19" t="s">
        <v>1216</v>
      </c>
      <c r="D611" s="3" t="s">
        <v>356</v>
      </c>
      <c r="E611" s="3" t="s">
        <v>1232</v>
      </c>
      <c r="F611" s="7" t="s">
        <v>60</v>
      </c>
      <c r="H611" s="15" t="s">
        <v>48</v>
      </c>
      <c r="I611" s="3" t="s">
        <v>49</v>
      </c>
      <c r="J611" s="3">
        <v>2.0</v>
      </c>
      <c r="K611" s="3" t="s">
        <v>1233</v>
      </c>
      <c r="L611" s="3" t="s">
        <v>1219</v>
      </c>
      <c r="M611" s="3" t="s">
        <v>414</v>
      </c>
      <c r="N611" s="6" t="s">
        <v>1202</v>
      </c>
      <c r="O611" s="6" t="s">
        <v>416</v>
      </c>
      <c r="P611" s="3">
        <v>6017.0</v>
      </c>
      <c r="Q611" s="7" t="s">
        <v>60</v>
      </c>
    </row>
    <row r="612">
      <c r="A612" s="3" t="s">
        <v>1214</v>
      </c>
      <c r="B612" s="3" t="s">
        <v>1215</v>
      </c>
      <c r="C612" s="19" t="s">
        <v>1216</v>
      </c>
      <c r="D612" s="3" t="s">
        <v>356</v>
      </c>
      <c r="E612" s="3" t="s">
        <v>1234</v>
      </c>
      <c r="F612" s="7" t="s">
        <v>60</v>
      </c>
      <c r="H612" s="15" t="s">
        <v>48</v>
      </c>
      <c r="I612" s="3" t="s">
        <v>49</v>
      </c>
      <c r="J612" s="3">
        <v>2.0</v>
      </c>
      <c r="K612" s="3" t="s">
        <v>1233</v>
      </c>
      <c r="L612" s="3" t="s">
        <v>1219</v>
      </c>
      <c r="M612" s="3" t="s">
        <v>414</v>
      </c>
      <c r="N612" s="6" t="s">
        <v>1202</v>
      </c>
      <c r="O612" s="6" t="s">
        <v>416</v>
      </c>
      <c r="P612" s="3">
        <v>6064.0</v>
      </c>
      <c r="Q612" s="7" t="s">
        <v>60</v>
      </c>
    </row>
    <row r="613">
      <c r="A613" s="3" t="s">
        <v>1214</v>
      </c>
      <c r="B613" s="3" t="s">
        <v>1215</v>
      </c>
      <c r="C613" s="19" t="s">
        <v>1216</v>
      </c>
      <c r="D613" s="3" t="s">
        <v>356</v>
      </c>
      <c r="E613" s="3" t="s">
        <v>1235</v>
      </c>
      <c r="F613" s="7" t="s">
        <v>60</v>
      </c>
      <c r="H613" s="15" t="s">
        <v>48</v>
      </c>
      <c r="I613" s="3" t="s">
        <v>49</v>
      </c>
      <c r="J613" s="3">
        <v>1.0</v>
      </c>
      <c r="K613" s="3" t="s">
        <v>1219</v>
      </c>
      <c r="L613" s="3" t="s">
        <v>1219</v>
      </c>
      <c r="M613" s="3" t="s">
        <v>414</v>
      </c>
      <c r="N613" s="6" t="s">
        <v>1202</v>
      </c>
      <c r="O613" s="6" t="s">
        <v>416</v>
      </c>
      <c r="P613" s="3">
        <v>6064.0</v>
      </c>
      <c r="Q613" s="7" t="s">
        <v>60</v>
      </c>
    </row>
    <row r="614">
      <c r="A614" s="3" t="s">
        <v>1214</v>
      </c>
      <c r="B614" s="3" t="s">
        <v>1215</v>
      </c>
      <c r="C614" s="19" t="s">
        <v>1216</v>
      </c>
      <c r="D614" s="3" t="s">
        <v>356</v>
      </c>
      <c r="E614" s="3" t="s">
        <v>1236</v>
      </c>
      <c r="F614" s="7" t="s">
        <v>60</v>
      </c>
      <c r="H614" s="15" t="s">
        <v>48</v>
      </c>
      <c r="I614" s="3" t="s">
        <v>49</v>
      </c>
      <c r="J614" s="3">
        <v>1.0</v>
      </c>
      <c r="K614" s="3" t="s">
        <v>1219</v>
      </c>
      <c r="L614" s="3" t="s">
        <v>1219</v>
      </c>
      <c r="M614" s="3" t="s">
        <v>414</v>
      </c>
      <c r="N614" s="6" t="s">
        <v>1202</v>
      </c>
      <c r="O614" s="6" t="s">
        <v>416</v>
      </c>
      <c r="P614" s="3">
        <v>6064.0</v>
      </c>
      <c r="Q614" s="7" t="s">
        <v>60</v>
      </c>
    </row>
    <row r="615">
      <c r="A615" s="3" t="s">
        <v>1214</v>
      </c>
      <c r="B615" s="3" t="s">
        <v>1215</v>
      </c>
      <c r="C615" s="19" t="s">
        <v>1216</v>
      </c>
      <c r="D615" s="3" t="s">
        <v>356</v>
      </c>
      <c r="E615" s="3" t="s">
        <v>1237</v>
      </c>
      <c r="F615" s="7" t="s">
        <v>60</v>
      </c>
      <c r="H615" s="15" t="s">
        <v>48</v>
      </c>
      <c r="I615" s="3" t="s">
        <v>49</v>
      </c>
      <c r="J615" s="3">
        <v>1.0</v>
      </c>
      <c r="K615" s="3" t="s">
        <v>1219</v>
      </c>
      <c r="L615" s="3" t="s">
        <v>1219</v>
      </c>
      <c r="M615" s="3" t="s">
        <v>414</v>
      </c>
      <c r="N615" s="6" t="s">
        <v>1202</v>
      </c>
      <c r="O615" s="6" t="s">
        <v>416</v>
      </c>
      <c r="P615" s="3">
        <v>6065.0</v>
      </c>
      <c r="Q615" s="7" t="s">
        <v>60</v>
      </c>
    </row>
    <row r="616">
      <c r="A616" s="3" t="s">
        <v>752</v>
      </c>
      <c r="B616" s="3" t="s">
        <v>1238</v>
      </c>
      <c r="C616" s="19" t="s">
        <v>1239</v>
      </c>
      <c r="D616" s="3" t="s">
        <v>356</v>
      </c>
      <c r="E616" s="3" t="s">
        <v>1240</v>
      </c>
      <c r="F616" s="5">
        <v>46006.0</v>
      </c>
      <c r="G616" s="24" t="s">
        <v>214</v>
      </c>
      <c r="H616" s="19" t="s">
        <v>48</v>
      </c>
      <c r="I616" s="3" t="s">
        <v>49</v>
      </c>
      <c r="J616" s="3">
        <v>37.0</v>
      </c>
      <c r="K616" s="3" t="s">
        <v>1241</v>
      </c>
      <c r="L616" s="3" t="s">
        <v>206</v>
      </c>
      <c r="M616" s="3" t="s">
        <v>1242</v>
      </c>
      <c r="N616" s="6" t="s">
        <v>1243</v>
      </c>
      <c r="O616" s="6" t="s">
        <v>1244</v>
      </c>
      <c r="P616" s="3">
        <v>6112.0</v>
      </c>
      <c r="Q616" s="3">
        <v>1.0</v>
      </c>
      <c r="R616" s="3">
        <v>383.9</v>
      </c>
    </row>
    <row r="617">
      <c r="A617" s="3" t="s">
        <v>752</v>
      </c>
      <c r="B617" s="3" t="s">
        <v>1238</v>
      </c>
      <c r="C617" s="19" t="s">
        <v>1239</v>
      </c>
      <c r="D617" s="3" t="s">
        <v>356</v>
      </c>
      <c r="E617" s="3" t="s">
        <v>1245</v>
      </c>
      <c r="F617" s="7" t="s">
        <v>60</v>
      </c>
      <c r="H617" s="19" t="s">
        <v>48</v>
      </c>
      <c r="I617" s="3" t="s">
        <v>49</v>
      </c>
      <c r="J617" s="3">
        <v>1.0</v>
      </c>
      <c r="K617" s="3" t="s">
        <v>206</v>
      </c>
      <c r="L617" s="3" t="s">
        <v>206</v>
      </c>
      <c r="M617" s="3" t="s">
        <v>1242</v>
      </c>
      <c r="N617" s="6" t="s">
        <v>1243</v>
      </c>
      <c r="O617" s="6" t="s">
        <v>1244</v>
      </c>
      <c r="P617" s="3">
        <v>6112.0</v>
      </c>
      <c r="Q617" s="7" t="s">
        <v>60</v>
      </c>
    </row>
    <row r="618">
      <c r="A618" s="3" t="s">
        <v>752</v>
      </c>
      <c r="B618" s="3" t="s">
        <v>1238</v>
      </c>
      <c r="C618" s="19" t="s">
        <v>1239</v>
      </c>
      <c r="D618" s="3" t="s">
        <v>356</v>
      </c>
      <c r="E618" s="3" t="s">
        <v>1246</v>
      </c>
      <c r="F618" s="7" t="s">
        <v>60</v>
      </c>
      <c r="H618" s="19" t="s">
        <v>48</v>
      </c>
      <c r="I618" s="3" t="s">
        <v>49</v>
      </c>
      <c r="J618" s="3">
        <v>6.0</v>
      </c>
      <c r="K618" s="3" t="s">
        <v>149</v>
      </c>
      <c r="L618" s="3" t="s">
        <v>206</v>
      </c>
      <c r="M618" s="3" t="s">
        <v>1242</v>
      </c>
      <c r="N618" s="6" t="s">
        <v>1243</v>
      </c>
      <c r="O618" s="6" t="s">
        <v>1244</v>
      </c>
      <c r="P618" s="3">
        <v>6112.0</v>
      </c>
      <c r="Q618" s="7" t="s">
        <v>60</v>
      </c>
    </row>
    <row r="619">
      <c r="A619" s="3" t="s">
        <v>752</v>
      </c>
      <c r="B619" s="3" t="s">
        <v>1238</v>
      </c>
      <c r="C619" s="19" t="s">
        <v>1239</v>
      </c>
      <c r="D619" s="3" t="s">
        <v>356</v>
      </c>
      <c r="E619" s="3" t="s">
        <v>1247</v>
      </c>
      <c r="F619" s="7" t="s">
        <v>60</v>
      </c>
      <c r="H619" s="19" t="s">
        <v>48</v>
      </c>
      <c r="I619" s="3" t="s">
        <v>49</v>
      </c>
      <c r="J619" s="3">
        <v>15.0</v>
      </c>
      <c r="K619" s="3" t="s">
        <v>1248</v>
      </c>
      <c r="L619" s="3" t="s">
        <v>206</v>
      </c>
      <c r="M619" s="3" t="s">
        <v>1242</v>
      </c>
      <c r="N619" s="6" t="s">
        <v>1243</v>
      </c>
      <c r="O619" s="6" t="s">
        <v>1244</v>
      </c>
      <c r="P619" s="3">
        <v>6112.0</v>
      </c>
      <c r="Q619" s="7" t="s">
        <v>60</v>
      </c>
    </row>
    <row r="620">
      <c r="A620" s="3" t="s">
        <v>752</v>
      </c>
      <c r="B620" s="3" t="s">
        <v>1238</v>
      </c>
      <c r="C620" s="19" t="s">
        <v>1239</v>
      </c>
      <c r="D620" s="3" t="s">
        <v>356</v>
      </c>
      <c r="E620" s="3" t="s">
        <v>1249</v>
      </c>
      <c r="F620" s="7" t="s">
        <v>60</v>
      </c>
      <c r="H620" s="19" t="s">
        <v>48</v>
      </c>
      <c r="I620" s="3" t="s">
        <v>49</v>
      </c>
      <c r="J620" s="3">
        <v>8.0</v>
      </c>
      <c r="K620" s="3" t="s">
        <v>1250</v>
      </c>
      <c r="L620" s="3" t="s">
        <v>206</v>
      </c>
      <c r="M620" s="3" t="s">
        <v>1242</v>
      </c>
      <c r="N620" s="6" t="s">
        <v>1243</v>
      </c>
      <c r="O620" s="6" t="s">
        <v>1244</v>
      </c>
      <c r="P620" s="3">
        <v>6112.0</v>
      </c>
      <c r="Q620" s="7" t="s">
        <v>60</v>
      </c>
    </row>
    <row r="621">
      <c r="A621" s="3" t="s">
        <v>752</v>
      </c>
      <c r="B621" s="3" t="s">
        <v>1238</v>
      </c>
      <c r="C621" s="19" t="s">
        <v>1239</v>
      </c>
      <c r="D621" s="3" t="s">
        <v>356</v>
      </c>
      <c r="E621" s="3" t="s">
        <v>1251</v>
      </c>
      <c r="F621" s="7" t="s">
        <v>60</v>
      </c>
      <c r="H621" s="19" t="s">
        <v>48</v>
      </c>
      <c r="I621" s="3" t="s">
        <v>49</v>
      </c>
      <c r="J621" s="3">
        <v>8.0</v>
      </c>
      <c r="K621" s="3" t="s">
        <v>1250</v>
      </c>
      <c r="L621" s="3" t="s">
        <v>206</v>
      </c>
      <c r="M621" s="3" t="s">
        <v>1242</v>
      </c>
      <c r="N621" s="6" t="s">
        <v>1243</v>
      </c>
      <c r="O621" s="6" t="s">
        <v>1244</v>
      </c>
      <c r="P621" s="3">
        <v>6112.0</v>
      </c>
      <c r="Q621" s="7" t="s">
        <v>60</v>
      </c>
    </row>
    <row r="622">
      <c r="A622" s="3" t="s">
        <v>752</v>
      </c>
      <c r="B622" s="3" t="s">
        <v>1238</v>
      </c>
      <c r="C622" s="19" t="s">
        <v>1239</v>
      </c>
      <c r="D622" s="3" t="s">
        <v>356</v>
      </c>
      <c r="E622" s="3" t="s">
        <v>1252</v>
      </c>
      <c r="F622" s="7" t="s">
        <v>60</v>
      </c>
      <c r="H622" s="19" t="s">
        <v>48</v>
      </c>
      <c r="I622" s="3" t="s">
        <v>49</v>
      </c>
      <c r="J622" s="3">
        <v>4.0</v>
      </c>
      <c r="K622" s="3" t="s">
        <v>1253</v>
      </c>
      <c r="L622" s="3" t="s">
        <v>206</v>
      </c>
      <c r="M622" s="3" t="s">
        <v>1242</v>
      </c>
      <c r="N622" s="6" t="s">
        <v>1243</v>
      </c>
      <c r="O622" s="6" t="s">
        <v>1244</v>
      </c>
      <c r="P622" s="3">
        <v>6112.0</v>
      </c>
      <c r="Q622" s="7" t="s">
        <v>60</v>
      </c>
    </row>
    <row r="623">
      <c r="A623" s="3" t="s">
        <v>752</v>
      </c>
      <c r="B623" s="3" t="s">
        <v>1238</v>
      </c>
      <c r="C623" s="19" t="s">
        <v>1239</v>
      </c>
      <c r="D623" s="3" t="s">
        <v>356</v>
      </c>
      <c r="E623" s="3" t="s">
        <v>1254</v>
      </c>
      <c r="F623" s="7" t="s">
        <v>60</v>
      </c>
      <c r="H623" s="19" t="s">
        <v>48</v>
      </c>
      <c r="I623" s="3" t="s">
        <v>49</v>
      </c>
      <c r="J623" s="3">
        <v>6.0</v>
      </c>
      <c r="K623" s="3" t="s">
        <v>149</v>
      </c>
      <c r="L623" s="3" t="s">
        <v>206</v>
      </c>
      <c r="M623" s="3" t="s">
        <v>1242</v>
      </c>
      <c r="N623" s="6" t="s">
        <v>1243</v>
      </c>
      <c r="O623" s="6" t="s">
        <v>1244</v>
      </c>
      <c r="P623" s="3">
        <v>6112.0</v>
      </c>
      <c r="Q623" s="7" t="s">
        <v>60</v>
      </c>
    </row>
    <row r="624">
      <c r="A624" s="3" t="s">
        <v>752</v>
      </c>
      <c r="B624" s="3" t="s">
        <v>1238</v>
      </c>
      <c r="C624" s="19" t="s">
        <v>1239</v>
      </c>
      <c r="D624" s="3" t="s">
        <v>356</v>
      </c>
      <c r="E624" s="3" t="s">
        <v>1255</v>
      </c>
      <c r="F624" s="7" t="s">
        <v>60</v>
      </c>
      <c r="H624" s="19" t="s">
        <v>48</v>
      </c>
      <c r="I624" s="3" t="s">
        <v>49</v>
      </c>
      <c r="J624" s="3">
        <v>24.0</v>
      </c>
      <c r="K624" s="3" t="s">
        <v>1256</v>
      </c>
      <c r="L624" s="3" t="s">
        <v>206</v>
      </c>
      <c r="M624" s="3" t="s">
        <v>1242</v>
      </c>
      <c r="N624" s="6" t="s">
        <v>1243</v>
      </c>
      <c r="O624" s="6" t="s">
        <v>1244</v>
      </c>
      <c r="P624" s="3">
        <v>6112.0</v>
      </c>
      <c r="Q624" s="7" t="s">
        <v>60</v>
      </c>
    </row>
    <row r="625">
      <c r="A625" s="3" t="s">
        <v>752</v>
      </c>
      <c r="B625" s="3" t="s">
        <v>1238</v>
      </c>
      <c r="C625" s="19" t="s">
        <v>1239</v>
      </c>
      <c r="D625" s="3" t="s">
        <v>356</v>
      </c>
      <c r="E625" s="3" t="s">
        <v>1257</v>
      </c>
      <c r="F625" s="7" t="s">
        <v>60</v>
      </c>
      <c r="H625" s="19" t="s">
        <v>48</v>
      </c>
      <c r="I625" s="3" t="s">
        <v>49</v>
      </c>
      <c r="J625" s="3">
        <v>13.0</v>
      </c>
      <c r="K625" s="3" t="s">
        <v>1258</v>
      </c>
      <c r="L625" s="3" t="s">
        <v>206</v>
      </c>
      <c r="M625" s="3" t="s">
        <v>1242</v>
      </c>
      <c r="N625" s="6" t="s">
        <v>1243</v>
      </c>
      <c r="O625" s="6" t="s">
        <v>1244</v>
      </c>
      <c r="P625" s="3">
        <v>6112.0</v>
      </c>
      <c r="Q625" s="7" t="s">
        <v>60</v>
      </c>
    </row>
    <row r="626">
      <c r="A626" s="3" t="s">
        <v>752</v>
      </c>
      <c r="B626" s="3" t="s">
        <v>1238</v>
      </c>
      <c r="C626" s="19" t="s">
        <v>1239</v>
      </c>
      <c r="D626" s="3" t="s">
        <v>356</v>
      </c>
      <c r="E626" s="3" t="s">
        <v>1259</v>
      </c>
      <c r="F626" s="7" t="s">
        <v>60</v>
      </c>
      <c r="H626" s="15" t="s">
        <v>48</v>
      </c>
      <c r="I626" s="3" t="s">
        <v>49</v>
      </c>
      <c r="J626" s="3">
        <v>1.0</v>
      </c>
      <c r="K626" s="3" t="s">
        <v>206</v>
      </c>
      <c r="L626" s="3" t="s">
        <v>206</v>
      </c>
      <c r="M626" s="3" t="s">
        <v>1242</v>
      </c>
      <c r="N626" s="6" t="s">
        <v>1243</v>
      </c>
      <c r="O626" s="6" t="s">
        <v>1244</v>
      </c>
      <c r="P626" s="3">
        <v>6112.0</v>
      </c>
      <c r="Q626" s="7" t="s">
        <v>60</v>
      </c>
    </row>
    <row r="627">
      <c r="A627" s="3" t="s">
        <v>752</v>
      </c>
      <c r="B627" s="3" t="s">
        <v>1238</v>
      </c>
      <c r="C627" s="19" t="s">
        <v>1239</v>
      </c>
      <c r="D627" s="3" t="s">
        <v>356</v>
      </c>
      <c r="E627" s="3" t="s">
        <v>1260</v>
      </c>
      <c r="F627" s="7" t="s">
        <v>60</v>
      </c>
      <c r="H627" s="15" t="s">
        <v>48</v>
      </c>
      <c r="I627" s="3" t="s">
        <v>49</v>
      </c>
      <c r="J627" s="3">
        <v>10.0</v>
      </c>
      <c r="K627" s="3" t="s">
        <v>352</v>
      </c>
      <c r="L627" s="3" t="s">
        <v>206</v>
      </c>
      <c r="M627" s="3" t="s">
        <v>1242</v>
      </c>
      <c r="N627" s="6" t="s">
        <v>1243</v>
      </c>
      <c r="O627" s="6" t="s">
        <v>1244</v>
      </c>
      <c r="P627" s="3">
        <v>6112.0</v>
      </c>
      <c r="Q627" s="7" t="s">
        <v>60</v>
      </c>
    </row>
    <row r="628">
      <c r="A628" s="3" t="s">
        <v>752</v>
      </c>
      <c r="B628" s="3" t="s">
        <v>1238</v>
      </c>
      <c r="C628" s="19" t="s">
        <v>1239</v>
      </c>
      <c r="D628" s="3" t="s">
        <v>356</v>
      </c>
      <c r="E628" s="3" t="s">
        <v>1261</v>
      </c>
      <c r="F628" s="7" t="s">
        <v>60</v>
      </c>
      <c r="H628" s="15" t="s">
        <v>48</v>
      </c>
      <c r="I628" s="3" t="s">
        <v>49</v>
      </c>
      <c r="J628" s="3">
        <v>1.0</v>
      </c>
      <c r="K628" s="3" t="s">
        <v>206</v>
      </c>
      <c r="L628" s="3" t="s">
        <v>206</v>
      </c>
      <c r="M628" s="3" t="s">
        <v>1242</v>
      </c>
      <c r="N628" s="6" t="s">
        <v>1243</v>
      </c>
      <c r="O628" s="6" t="s">
        <v>1244</v>
      </c>
      <c r="P628" s="3">
        <v>6112.0</v>
      </c>
      <c r="Q628" s="7" t="s">
        <v>60</v>
      </c>
    </row>
    <row r="629">
      <c r="A629" s="3" t="s">
        <v>752</v>
      </c>
      <c r="B629" s="3" t="s">
        <v>1238</v>
      </c>
      <c r="C629" s="19" t="s">
        <v>1239</v>
      </c>
      <c r="D629" s="3" t="s">
        <v>356</v>
      </c>
      <c r="E629" s="3" t="s">
        <v>1262</v>
      </c>
      <c r="F629" s="7" t="s">
        <v>60</v>
      </c>
      <c r="H629" s="15" t="s">
        <v>48</v>
      </c>
      <c r="I629" s="3" t="s">
        <v>49</v>
      </c>
      <c r="J629" s="3">
        <v>1.0</v>
      </c>
      <c r="K629" s="3" t="s">
        <v>206</v>
      </c>
      <c r="L629" s="3" t="s">
        <v>206</v>
      </c>
      <c r="M629" s="3" t="s">
        <v>1242</v>
      </c>
      <c r="N629" s="6" t="s">
        <v>1243</v>
      </c>
      <c r="O629" s="6" t="s">
        <v>1244</v>
      </c>
      <c r="P629" s="3">
        <v>6164.0</v>
      </c>
      <c r="Q629" s="7" t="s">
        <v>60</v>
      </c>
    </row>
    <row r="630">
      <c r="A630" s="3" t="s">
        <v>752</v>
      </c>
      <c r="B630" s="3" t="s">
        <v>1238</v>
      </c>
      <c r="C630" s="19" t="s">
        <v>1239</v>
      </c>
      <c r="D630" s="3" t="s">
        <v>356</v>
      </c>
      <c r="E630" s="3" t="s">
        <v>1263</v>
      </c>
      <c r="F630" s="7" t="s">
        <v>60</v>
      </c>
      <c r="H630" s="15" t="s">
        <v>48</v>
      </c>
      <c r="I630" s="3" t="s">
        <v>49</v>
      </c>
      <c r="J630" s="3">
        <v>1.0</v>
      </c>
      <c r="K630" s="3" t="s">
        <v>206</v>
      </c>
      <c r="L630" s="3" t="s">
        <v>206</v>
      </c>
      <c r="M630" s="3" t="s">
        <v>1242</v>
      </c>
      <c r="N630" s="6" t="s">
        <v>1243</v>
      </c>
      <c r="O630" s="6" t="s">
        <v>1244</v>
      </c>
      <c r="P630" s="3">
        <v>6111.0</v>
      </c>
      <c r="Q630" s="7" t="s">
        <v>60</v>
      </c>
    </row>
    <row r="631">
      <c r="A631" s="3" t="s">
        <v>752</v>
      </c>
      <c r="B631" s="3" t="s">
        <v>1238</v>
      </c>
      <c r="C631" s="19" t="s">
        <v>1239</v>
      </c>
      <c r="D631" s="3" t="s">
        <v>356</v>
      </c>
      <c r="E631" s="3" t="s">
        <v>1264</v>
      </c>
      <c r="F631" s="7" t="s">
        <v>60</v>
      </c>
      <c r="H631" s="15" t="s">
        <v>48</v>
      </c>
      <c r="I631" s="3" t="s">
        <v>49</v>
      </c>
      <c r="J631" s="3">
        <v>1.0</v>
      </c>
      <c r="K631" s="3" t="s">
        <v>206</v>
      </c>
      <c r="L631" s="3" t="s">
        <v>206</v>
      </c>
      <c r="M631" s="3" t="s">
        <v>1242</v>
      </c>
      <c r="N631" s="6" t="s">
        <v>1243</v>
      </c>
      <c r="O631" s="6" t="s">
        <v>1244</v>
      </c>
      <c r="P631" s="3">
        <v>6164.0</v>
      </c>
      <c r="Q631" s="7" t="s">
        <v>60</v>
      </c>
    </row>
    <row r="632">
      <c r="A632" s="3" t="s">
        <v>752</v>
      </c>
      <c r="B632" s="3" t="s">
        <v>1238</v>
      </c>
      <c r="C632" s="19" t="s">
        <v>1239</v>
      </c>
      <c r="D632" s="3" t="s">
        <v>356</v>
      </c>
      <c r="E632" s="3" t="s">
        <v>1265</v>
      </c>
      <c r="F632" s="7" t="s">
        <v>60</v>
      </c>
      <c r="H632" s="15" t="s">
        <v>48</v>
      </c>
      <c r="I632" s="3" t="s">
        <v>49</v>
      </c>
      <c r="J632" s="3">
        <v>1.0</v>
      </c>
      <c r="K632" s="3" t="s">
        <v>206</v>
      </c>
      <c r="L632" s="3" t="s">
        <v>206</v>
      </c>
      <c r="M632" s="3" t="s">
        <v>1242</v>
      </c>
      <c r="N632" s="6" t="s">
        <v>1243</v>
      </c>
      <c r="O632" s="6" t="s">
        <v>1244</v>
      </c>
      <c r="P632" s="3">
        <v>6164.0</v>
      </c>
      <c r="Q632" s="7" t="s">
        <v>60</v>
      </c>
    </row>
    <row r="633">
      <c r="A633" s="3" t="s">
        <v>752</v>
      </c>
      <c r="B633" s="3" t="s">
        <v>1238</v>
      </c>
      <c r="C633" s="19" t="s">
        <v>1239</v>
      </c>
      <c r="D633" s="3" t="s">
        <v>356</v>
      </c>
      <c r="E633" s="3" t="s">
        <v>1266</v>
      </c>
      <c r="F633" s="7" t="s">
        <v>60</v>
      </c>
      <c r="H633" s="15" t="s">
        <v>48</v>
      </c>
      <c r="I633" s="3" t="s">
        <v>49</v>
      </c>
      <c r="J633" s="3">
        <v>1.0</v>
      </c>
      <c r="K633" s="3" t="s">
        <v>206</v>
      </c>
      <c r="L633" s="3" t="s">
        <v>206</v>
      </c>
      <c r="M633" s="3" t="s">
        <v>1242</v>
      </c>
      <c r="N633" s="6" t="s">
        <v>1243</v>
      </c>
      <c r="O633" s="6" t="s">
        <v>1244</v>
      </c>
      <c r="P633" s="3">
        <v>6164.0</v>
      </c>
      <c r="Q633" s="7" t="s">
        <v>60</v>
      </c>
    </row>
    <row r="634">
      <c r="A634" s="3" t="s">
        <v>1267</v>
      </c>
      <c r="B634" s="3" t="s">
        <v>1268</v>
      </c>
      <c r="C634" s="19" t="s">
        <v>1269</v>
      </c>
      <c r="D634" s="3" t="s">
        <v>531</v>
      </c>
      <c r="E634" s="3" t="s">
        <v>1270</v>
      </c>
      <c r="F634" s="5">
        <v>46007.0</v>
      </c>
      <c r="G634" s="26" t="s">
        <v>214</v>
      </c>
      <c r="H634" s="15" t="s">
        <v>48</v>
      </c>
      <c r="I634" s="3" t="s">
        <v>49</v>
      </c>
      <c r="J634" s="3">
        <v>12.0</v>
      </c>
      <c r="K634" s="3" t="s">
        <v>1271</v>
      </c>
      <c r="L634" s="3" t="s">
        <v>1272</v>
      </c>
      <c r="M634" s="3" t="s">
        <v>1273</v>
      </c>
      <c r="N634" s="6" t="s">
        <v>1274</v>
      </c>
      <c r="O634" s="6" t="s">
        <v>1275</v>
      </c>
      <c r="P634" s="3">
        <v>4019.0</v>
      </c>
      <c r="Q634" s="3">
        <v>2.0</v>
      </c>
      <c r="R634" s="3">
        <v>383.9</v>
      </c>
    </row>
    <row r="635">
      <c r="A635" s="3" t="s">
        <v>1267</v>
      </c>
      <c r="B635" s="3" t="s">
        <v>1268</v>
      </c>
      <c r="C635" s="19" t="s">
        <v>1269</v>
      </c>
      <c r="D635" s="3" t="s">
        <v>531</v>
      </c>
      <c r="E635" s="3" t="s">
        <v>1276</v>
      </c>
      <c r="F635" s="7" t="s">
        <v>60</v>
      </c>
      <c r="H635" s="15" t="s">
        <v>48</v>
      </c>
      <c r="I635" s="3" t="s">
        <v>49</v>
      </c>
      <c r="J635" s="3">
        <v>4.0</v>
      </c>
      <c r="K635" s="3" t="s">
        <v>1277</v>
      </c>
      <c r="L635" s="3" t="s">
        <v>1278</v>
      </c>
      <c r="M635" s="3" t="s">
        <v>1273</v>
      </c>
      <c r="N635" s="6" t="s">
        <v>1274</v>
      </c>
      <c r="O635" s="6" t="s">
        <v>1275</v>
      </c>
      <c r="P635" s="3">
        <v>4019.0</v>
      </c>
      <c r="Q635" s="7" t="s">
        <v>60</v>
      </c>
    </row>
    <row r="636">
      <c r="A636" s="3" t="s">
        <v>1267</v>
      </c>
      <c r="B636" s="3" t="s">
        <v>1268</v>
      </c>
      <c r="C636" s="19" t="s">
        <v>1269</v>
      </c>
      <c r="D636" s="3" t="s">
        <v>531</v>
      </c>
      <c r="E636" s="3" t="s">
        <v>1279</v>
      </c>
      <c r="F636" s="7" t="s">
        <v>60</v>
      </c>
      <c r="H636" s="15" t="s">
        <v>48</v>
      </c>
      <c r="I636" s="3" t="s">
        <v>49</v>
      </c>
      <c r="J636" s="3">
        <v>4.0</v>
      </c>
      <c r="K636" s="3" t="s">
        <v>1277</v>
      </c>
      <c r="L636" s="3" t="s">
        <v>1278</v>
      </c>
      <c r="M636" s="3" t="s">
        <v>1273</v>
      </c>
      <c r="N636" s="6" t="s">
        <v>1274</v>
      </c>
      <c r="O636" s="6" t="s">
        <v>1275</v>
      </c>
      <c r="P636" s="3">
        <v>4019.0</v>
      </c>
      <c r="Q636" s="7" t="s">
        <v>60</v>
      </c>
    </row>
    <row r="637">
      <c r="A637" s="3" t="s">
        <v>1267</v>
      </c>
      <c r="B637" s="3" t="s">
        <v>1268</v>
      </c>
      <c r="C637" s="19" t="s">
        <v>1269</v>
      </c>
      <c r="D637" s="3" t="s">
        <v>531</v>
      </c>
      <c r="E637" s="3" t="s">
        <v>1280</v>
      </c>
      <c r="F637" s="7" t="s">
        <v>60</v>
      </c>
      <c r="H637" s="15" t="s">
        <v>48</v>
      </c>
      <c r="I637" s="3" t="s">
        <v>49</v>
      </c>
      <c r="J637" s="3">
        <v>4.0</v>
      </c>
      <c r="K637" s="3" t="s">
        <v>1277</v>
      </c>
      <c r="L637" s="3" t="s">
        <v>1278</v>
      </c>
      <c r="M637" s="3" t="s">
        <v>1273</v>
      </c>
      <c r="N637" s="6" t="s">
        <v>1274</v>
      </c>
      <c r="O637" s="6" t="s">
        <v>1275</v>
      </c>
      <c r="P637" s="3">
        <v>4021.0</v>
      </c>
      <c r="Q637" s="7" t="s">
        <v>60</v>
      </c>
    </row>
    <row r="638">
      <c r="A638" s="3" t="s">
        <v>1267</v>
      </c>
      <c r="B638" s="3" t="s">
        <v>1268</v>
      </c>
      <c r="C638" s="19" t="s">
        <v>1269</v>
      </c>
      <c r="D638" s="3" t="s">
        <v>531</v>
      </c>
      <c r="E638" s="3" t="s">
        <v>1281</v>
      </c>
      <c r="F638" s="7" t="s">
        <v>60</v>
      </c>
      <c r="H638" s="15" t="s">
        <v>48</v>
      </c>
      <c r="I638" s="3" t="s">
        <v>49</v>
      </c>
      <c r="J638" s="3">
        <v>4.0</v>
      </c>
      <c r="K638" s="3" t="s">
        <v>1277</v>
      </c>
      <c r="L638" s="3" t="s">
        <v>1278</v>
      </c>
      <c r="M638" s="3" t="s">
        <v>1273</v>
      </c>
      <c r="N638" s="6" t="s">
        <v>1274</v>
      </c>
      <c r="O638" s="6" t="s">
        <v>1275</v>
      </c>
      <c r="P638" s="3">
        <v>4020.0</v>
      </c>
      <c r="Q638" s="7" t="s">
        <v>60</v>
      </c>
    </row>
    <row r="639">
      <c r="A639" s="3" t="s">
        <v>1267</v>
      </c>
      <c r="B639" s="3" t="s">
        <v>1268</v>
      </c>
      <c r="C639" s="19" t="s">
        <v>1269</v>
      </c>
      <c r="D639" s="3" t="s">
        <v>531</v>
      </c>
      <c r="E639" s="3" t="s">
        <v>1282</v>
      </c>
      <c r="F639" s="7" t="s">
        <v>60</v>
      </c>
      <c r="H639" s="15" t="s">
        <v>48</v>
      </c>
      <c r="I639" s="3" t="s">
        <v>49</v>
      </c>
      <c r="J639" s="3">
        <v>2.0</v>
      </c>
      <c r="K639" s="3" t="s">
        <v>909</v>
      </c>
      <c r="L639" s="3" t="s">
        <v>1278</v>
      </c>
      <c r="M639" s="3" t="s">
        <v>1273</v>
      </c>
      <c r="N639" s="6" t="s">
        <v>1274</v>
      </c>
      <c r="O639" s="6" t="s">
        <v>1275</v>
      </c>
      <c r="P639" s="3">
        <v>4022.0</v>
      </c>
      <c r="Q639" s="7" t="s">
        <v>60</v>
      </c>
    </row>
    <row r="640">
      <c r="A640" s="3" t="s">
        <v>1267</v>
      </c>
      <c r="B640" s="3" t="s">
        <v>1268</v>
      </c>
      <c r="C640" s="19" t="s">
        <v>1269</v>
      </c>
      <c r="D640" s="3" t="s">
        <v>531</v>
      </c>
      <c r="E640" s="3" t="s">
        <v>1283</v>
      </c>
      <c r="F640" s="7" t="s">
        <v>60</v>
      </c>
      <c r="H640" s="15" t="s">
        <v>48</v>
      </c>
      <c r="I640" s="3" t="s">
        <v>49</v>
      </c>
      <c r="J640" s="3">
        <v>4.0</v>
      </c>
      <c r="K640" s="3" t="s">
        <v>1277</v>
      </c>
      <c r="L640" s="3" t="s">
        <v>1278</v>
      </c>
      <c r="M640" s="3" t="s">
        <v>1273</v>
      </c>
      <c r="N640" s="6" t="s">
        <v>1274</v>
      </c>
      <c r="O640" s="6" t="s">
        <v>1275</v>
      </c>
      <c r="P640" s="3">
        <v>4020.0</v>
      </c>
      <c r="Q640" s="7" t="s">
        <v>60</v>
      </c>
    </row>
    <row r="641">
      <c r="A641" s="19" t="s">
        <v>1284</v>
      </c>
      <c r="B641" s="19" t="s">
        <v>1285</v>
      </c>
      <c r="C641" s="19" t="s">
        <v>1286</v>
      </c>
      <c r="D641" s="19" t="s">
        <v>531</v>
      </c>
      <c r="E641" s="3" t="s">
        <v>1287</v>
      </c>
      <c r="F641" s="5">
        <v>45890.0</v>
      </c>
      <c r="G641" s="24" t="s">
        <v>214</v>
      </c>
      <c r="H641" s="19" t="s">
        <v>48</v>
      </c>
      <c r="I641" s="3" t="s">
        <v>49</v>
      </c>
      <c r="J641" s="3">
        <v>5.0</v>
      </c>
      <c r="K641" s="3" t="s">
        <v>373</v>
      </c>
      <c r="L641" s="3" t="s">
        <v>1288</v>
      </c>
      <c r="M641" s="3" t="s">
        <v>669</v>
      </c>
      <c r="N641" s="6" t="s">
        <v>1289</v>
      </c>
      <c r="O641" s="6" t="s">
        <v>1290</v>
      </c>
      <c r="P641" s="3">
        <v>4305.0</v>
      </c>
      <c r="Q641" s="3">
        <v>1.0</v>
      </c>
      <c r="R641" s="3">
        <v>383.9</v>
      </c>
    </row>
    <row r="642">
      <c r="A642" s="19" t="s">
        <v>1284</v>
      </c>
      <c r="B642" s="19" t="s">
        <v>1285</v>
      </c>
      <c r="C642" s="19" t="s">
        <v>1286</v>
      </c>
      <c r="D642" s="19" t="s">
        <v>531</v>
      </c>
      <c r="E642" s="3" t="s">
        <v>1291</v>
      </c>
      <c r="F642" s="7" t="s">
        <v>60</v>
      </c>
      <c r="H642" s="19" t="s">
        <v>48</v>
      </c>
      <c r="I642" s="3" t="s">
        <v>49</v>
      </c>
      <c r="J642" s="3">
        <v>1.0</v>
      </c>
      <c r="K642" s="3" t="s">
        <v>1288</v>
      </c>
      <c r="L642" s="3" t="s">
        <v>1288</v>
      </c>
      <c r="M642" s="3" t="s">
        <v>669</v>
      </c>
      <c r="N642" s="6" t="s">
        <v>1289</v>
      </c>
      <c r="O642" s="6" t="s">
        <v>1290</v>
      </c>
      <c r="P642" s="3">
        <v>4305.0</v>
      </c>
      <c r="Q642" s="7" t="s">
        <v>60</v>
      </c>
    </row>
    <row r="643">
      <c r="A643" s="19" t="s">
        <v>1284</v>
      </c>
      <c r="B643" s="19" t="s">
        <v>1285</v>
      </c>
      <c r="C643" s="19" t="s">
        <v>1286</v>
      </c>
      <c r="D643" s="19" t="s">
        <v>531</v>
      </c>
      <c r="E643" s="3" t="s">
        <v>1292</v>
      </c>
      <c r="F643" s="7" t="s">
        <v>60</v>
      </c>
      <c r="H643" s="19" t="s">
        <v>48</v>
      </c>
      <c r="I643" s="3" t="s">
        <v>49</v>
      </c>
      <c r="J643" s="3">
        <v>1.0</v>
      </c>
      <c r="K643" s="3" t="s">
        <v>1288</v>
      </c>
      <c r="L643" s="3" t="s">
        <v>1288</v>
      </c>
      <c r="M643" s="3" t="s">
        <v>669</v>
      </c>
      <c r="N643" s="6" t="s">
        <v>1289</v>
      </c>
      <c r="O643" s="6" t="s">
        <v>1290</v>
      </c>
      <c r="P643" s="3">
        <v>4305.0</v>
      </c>
      <c r="Q643" s="7" t="s">
        <v>60</v>
      </c>
    </row>
    <row r="644">
      <c r="A644" s="19" t="s">
        <v>1284</v>
      </c>
      <c r="B644" s="19" t="s">
        <v>1285</v>
      </c>
      <c r="C644" s="19" t="s">
        <v>1286</v>
      </c>
      <c r="D644" s="19" t="s">
        <v>531</v>
      </c>
      <c r="E644" s="3" t="s">
        <v>1293</v>
      </c>
      <c r="F644" s="7" t="s">
        <v>60</v>
      </c>
      <c r="H644" s="19" t="s">
        <v>48</v>
      </c>
      <c r="I644" s="3" t="s">
        <v>49</v>
      </c>
      <c r="J644" s="3">
        <v>1.0</v>
      </c>
      <c r="K644" s="3" t="s">
        <v>1288</v>
      </c>
      <c r="L644" s="3" t="s">
        <v>1288</v>
      </c>
      <c r="M644" s="3" t="s">
        <v>669</v>
      </c>
      <c r="N644" s="6" t="s">
        <v>1289</v>
      </c>
      <c r="O644" s="6" t="s">
        <v>1290</v>
      </c>
      <c r="P644" s="3">
        <v>4304.0</v>
      </c>
      <c r="Q644" s="7" t="s">
        <v>60</v>
      </c>
    </row>
    <row r="645">
      <c r="A645" s="19" t="s">
        <v>1284</v>
      </c>
      <c r="B645" s="19" t="s">
        <v>1285</v>
      </c>
      <c r="C645" s="19" t="s">
        <v>1286</v>
      </c>
      <c r="D645" s="19" t="s">
        <v>531</v>
      </c>
      <c r="E645" s="3" t="s">
        <v>1129</v>
      </c>
      <c r="F645" s="7" t="s">
        <v>60</v>
      </c>
      <c r="H645" s="19" t="s">
        <v>48</v>
      </c>
      <c r="I645" s="3" t="s">
        <v>49</v>
      </c>
      <c r="J645" s="3">
        <v>1.0</v>
      </c>
      <c r="K645" s="3" t="s">
        <v>1288</v>
      </c>
      <c r="L645" s="3" t="s">
        <v>1288</v>
      </c>
      <c r="M645" s="3" t="s">
        <v>669</v>
      </c>
      <c r="N645" s="6" t="s">
        <v>1289</v>
      </c>
      <c r="O645" s="6" t="s">
        <v>1290</v>
      </c>
      <c r="P645" s="3">
        <v>4305.0</v>
      </c>
      <c r="Q645" s="7" t="s">
        <v>60</v>
      </c>
    </row>
    <row r="646">
      <c r="A646" s="19" t="s">
        <v>1284</v>
      </c>
      <c r="B646" s="19" t="s">
        <v>1285</v>
      </c>
      <c r="C646" s="19" t="s">
        <v>1286</v>
      </c>
      <c r="D646" s="19" t="s">
        <v>531</v>
      </c>
      <c r="E646" s="3" t="s">
        <v>1294</v>
      </c>
      <c r="F646" s="7" t="s">
        <v>60</v>
      </c>
      <c r="H646" s="19" t="s">
        <v>48</v>
      </c>
      <c r="I646" s="3" t="s">
        <v>49</v>
      </c>
      <c r="J646" s="3">
        <v>1.0</v>
      </c>
      <c r="K646" s="3" t="s">
        <v>1288</v>
      </c>
      <c r="L646" s="3" t="s">
        <v>1288</v>
      </c>
      <c r="M646" s="3" t="s">
        <v>669</v>
      </c>
      <c r="N646" s="6" t="s">
        <v>1289</v>
      </c>
      <c r="O646" s="6" t="s">
        <v>1290</v>
      </c>
      <c r="P646" s="3">
        <v>4306.0</v>
      </c>
      <c r="Q646" s="7" t="s">
        <v>60</v>
      </c>
    </row>
    <row r="647">
      <c r="A647" s="19" t="s">
        <v>1284</v>
      </c>
      <c r="B647" s="19" t="s">
        <v>1285</v>
      </c>
      <c r="C647" s="19" t="s">
        <v>1286</v>
      </c>
      <c r="D647" s="19" t="s">
        <v>531</v>
      </c>
      <c r="E647" s="3" t="s">
        <v>1295</v>
      </c>
      <c r="F647" s="7" t="s">
        <v>60</v>
      </c>
      <c r="H647" s="19" t="s">
        <v>48</v>
      </c>
      <c r="I647" s="3" t="s">
        <v>49</v>
      </c>
      <c r="J647" s="3">
        <v>1.0</v>
      </c>
      <c r="K647" s="3" t="s">
        <v>1288</v>
      </c>
      <c r="L647" s="3" t="s">
        <v>1288</v>
      </c>
      <c r="M647" s="3" t="s">
        <v>669</v>
      </c>
      <c r="N647" s="6" t="s">
        <v>1289</v>
      </c>
      <c r="O647" s="6" t="s">
        <v>1290</v>
      </c>
      <c r="P647" s="3">
        <v>4306.0</v>
      </c>
      <c r="Q647" s="7" t="s">
        <v>60</v>
      </c>
    </row>
    <row r="648">
      <c r="A648" s="19" t="s">
        <v>1284</v>
      </c>
      <c r="B648" s="19" t="s">
        <v>1285</v>
      </c>
      <c r="C648" s="19" t="s">
        <v>1286</v>
      </c>
      <c r="D648" s="19" t="s">
        <v>531</v>
      </c>
      <c r="E648" s="3" t="s">
        <v>1296</v>
      </c>
      <c r="F648" s="7" t="s">
        <v>60</v>
      </c>
      <c r="H648" s="19" t="s">
        <v>48</v>
      </c>
      <c r="I648" s="3" t="s">
        <v>49</v>
      </c>
      <c r="J648" s="3">
        <v>1.0</v>
      </c>
      <c r="K648" s="3" t="s">
        <v>1288</v>
      </c>
      <c r="L648" s="3" t="s">
        <v>1288</v>
      </c>
      <c r="M648" s="3" t="s">
        <v>669</v>
      </c>
      <c r="N648" s="6" t="s">
        <v>1289</v>
      </c>
      <c r="O648" s="6" t="s">
        <v>1290</v>
      </c>
      <c r="P648" s="3">
        <v>4305.0</v>
      </c>
      <c r="Q648" s="7" t="s">
        <v>60</v>
      </c>
    </row>
    <row r="649">
      <c r="A649" s="19" t="s">
        <v>1284</v>
      </c>
      <c r="B649" s="19" t="s">
        <v>1285</v>
      </c>
      <c r="C649" s="19" t="s">
        <v>1286</v>
      </c>
      <c r="D649" s="19" t="s">
        <v>531</v>
      </c>
      <c r="E649" s="3" t="s">
        <v>1297</v>
      </c>
      <c r="F649" s="7" t="s">
        <v>60</v>
      </c>
      <c r="H649" s="19" t="s">
        <v>48</v>
      </c>
      <c r="I649" s="3" t="s">
        <v>49</v>
      </c>
      <c r="J649" s="3">
        <v>1.0</v>
      </c>
      <c r="K649" s="3" t="s">
        <v>1288</v>
      </c>
      <c r="L649" s="3" t="s">
        <v>1288</v>
      </c>
      <c r="M649" s="3" t="s">
        <v>669</v>
      </c>
      <c r="N649" s="6" t="s">
        <v>1289</v>
      </c>
      <c r="O649" s="6" t="s">
        <v>1290</v>
      </c>
      <c r="P649" s="3">
        <v>4305.0</v>
      </c>
      <c r="Q649" s="7" t="s">
        <v>60</v>
      </c>
    </row>
    <row r="650">
      <c r="A650" s="19" t="s">
        <v>1284</v>
      </c>
      <c r="B650" s="19" t="s">
        <v>1285</v>
      </c>
      <c r="C650" s="19" t="s">
        <v>1286</v>
      </c>
      <c r="D650" s="19" t="s">
        <v>531</v>
      </c>
      <c r="E650" s="3" t="s">
        <v>1298</v>
      </c>
      <c r="F650" s="7" t="s">
        <v>60</v>
      </c>
      <c r="H650" s="19" t="s">
        <v>48</v>
      </c>
      <c r="I650" s="3" t="s">
        <v>49</v>
      </c>
      <c r="J650" s="3">
        <v>1.0</v>
      </c>
      <c r="K650" s="3" t="s">
        <v>1288</v>
      </c>
      <c r="L650" s="3" t="s">
        <v>1288</v>
      </c>
      <c r="M650" s="3" t="s">
        <v>669</v>
      </c>
      <c r="N650" s="6" t="s">
        <v>1289</v>
      </c>
      <c r="O650" s="6" t="s">
        <v>1290</v>
      </c>
      <c r="P650" s="3">
        <v>4305.0</v>
      </c>
      <c r="Q650" s="7" t="s">
        <v>60</v>
      </c>
    </row>
    <row r="651">
      <c r="A651" s="19" t="s">
        <v>1284</v>
      </c>
      <c r="B651" s="19" t="s">
        <v>1285</v>
      </c>
      <c r="C651" s="19" t="s">
        <v>1286</v>
      </c>
      <c r="D651" s="19" t="s">
        <v>531</v>
      </c>
      <c r="E651" s="3" t="s">
        <v>1299</v>
      </c>
      <c r="F651" s="7" t="s">
        <v>60</v>
      </c>
      <c r="H651" s="19" t="s">
        <v>48</v>
      </c>
      <c r="I651" s="3" t="s">
        <v>49</v>
      </c>
      <c r="J651" s="3">
        <v>1.0</v>
      </c>
      <c r="K651" s="3" t="s">
        <v>1288</v>
      </c>
      <c r="L651" s="3" t="s">
        <v>1288</v>
      </c>
      <c r="M651" s="3" t="s">
        <v>669</v>
      </c>
      <c r="N651" s="6" t="s">
        <v>1289</v>
      </c>
      <c r="O651" s="6" t="s">
        <v>1290</v>
      </c>
      <c r="P651" s="3">
        <v>4305.0</v>
      </c>
      <c r="Q651" s="7" t="s">
        <v>60</v>
      </c>
    </row>
    <row r="652">
      <c r="A652" s="19" t="s">
        <v>1284</v>
      </c>
      <c r="B652" s="19" t="s">
        <v>1285</v>
      </c>
      <c r="C652" s="19" t="s">
        <v>1286</v>
      </c>
      <c r="D652" s="19" t="s">
        <v>531</v>
      </c>
      <c r="E652" s="3" t="s">
        <v>348</v>
      </c>
      <c r="F652" s="7" t="s">
        <v>60</v>
      </c>
      <c r="H652" s="19" t="s">
        <v>48</v>
      </c>
      <c r="I652" s="3" t="s">
        <v>49</v>
      </c>
      <c r="J652" s="3">
        <v>1.0</v>
      </c>
      <c r="K652" s="3" t="s">
        <v>1288</v>
      </c>
      <c r="L652" s="3" t="s">
        <v>1288</v>
      </c>
      <c r="M652" s="3" t="s">
        <v>669</v>
      </c>
      <c r="N652" s="6" t="s">
        <v>1289</v>
      </c>
      <c r="O652" s="6" t="s">
        <v>1290</v>
      </c>
      <c r="P652" s="3">
        <v>4305.0</v>
      </c>
      <c r="Q652" s="7" t="s">
        <v>60</v>
      </c>
    </row>
    <row r="653">
      <c r="A653" s="19" t="s">
        <v>1284</v>
      </c>
      <c r="B653" s="19" t="s">
        <v>1285</v>
      </c>
      <c r="C653" s="19" t="s">
        <v>1286</v>
      </c>
      <c r="D653" s="19" t="s">
        <v>531</v>
      </c>
      <c r="E653" s="3" t="s">
        <v>1300</v>
      </c>
      <c r="F653" s="7" t="s">
        <v>60</v>
      </c>
      <c r="H653" s="19" t="s">
        <v>48</v>
      </c>
      <c r="I653" s="3" t="s">
        <v>49</v>
      </c>
      <c r="J653" s="3">
        <v>1.0</v>
      </c>
      <c r="K653" s="3" t="s">
        <v>1288</v>
      </c>
      <c r="L653" s="3" t="s">
        <v>1288</v>
      </c>
      <c r="M653" s="3" t="s">
        <v>669</v>
      </c>
      <c r="N653" s="6" t="s">
        <v>1289</v>
      </c>
      <c r="O653" s="6" t="s">
        <v>1290</v>
      </c>
      <c r="P653" s="3">
        <v>4305.0</v>
      </c>
      <c r="Q653" s="7" t="s">
        <v>60</v>
      </c>
    </row>
    <row r="654">
      <c r="A654" s="19" t="s">
        <v>1284</v>
      </c>
      <c r="B654" s="19" t="s">
        <v>1285</v>
      </c>
      <c r="C654" s="19" t="s">
        <v>1286</v>
      </c>
      <c r="D654" s="19" t="s">
        <v>531</v>
      </c>
      <c r="E654" s="3" t="s">
        <v>1301</v>
      </c>
      <c r="F654" s="7" t="s">
        <v>60</v>
      </c>
      <c r="H654" s="19" t="s">
        <v>48</v>
      </c>
      <c r="I654" s="3" t="s">
        <v>49</v>
      </c>
      <c r="J654" s="3">
        <v>1.0</v>
      </c>
      <c r="K654" s="3" t="s">
        <v>1288</v>
      </c>
      <c r="L654" s="3" t="s">
        <v>1288</v>
      </c>
      <c r="M654" s="3" t="s">
        <v>669</v>
      </c>
      <c r="N654" s="6" t="s">
        <v>1289</v>
      </c>
      <c r="O654" s="6" t="s">
        <v>1290</v>
      </c>
      <c r="P654" s="3">
        <v>4304.0</v>
      </c>
      <c r="Q654" s="7" t="s">
        <v>60</v>
      </c>
    </row>
    <row r="655">
      <c r="A655" s="19" t="s">
        <v>1284</v>
      </c>
      <c r="B655" s="19" t="s">
        <v>1285</v>
      </c>
      <c r="C655" s="19" t="s">
        <v>1286</v>
      </c>
      <c r="D655" s="19" t="s">
        <v>531</v>
      </c>
      <c r="E655" s="3" t="s">
        <v>1302</v>
      </c>
      <c r="F655" s="7" t="s">
        <v>60</v>
      </c>
      <c r="H655" s="19" t="s">
        <v>48</v>
      </c>
      <c r="I655" s="3" t="s">
        <v>49</v>
      </c>
      <c r="J655" s="3">
        <v>1.0</v>
      </c>
      <c r="K655" s="3" t="s">
        <v>1288</v>
      </c>
      <c r="L655" s="3" t="s">
        <v>1288</v>
      </c>
      <c r="M655" s="3" t="s">
        <v>669</v>
      </c>
      <c r="N655" s="6" t="s">
        <v>1289</v>
      </c>
      <c r="O655" s="6" t="s">
        <v>1290</v>
      </c>
      <c r="P655" s="3">
        <v>4304.0</v>
      </c>
      <c r="Q655" s="7" t="s">
        <v>60</v>
      </c>
    </row>
    <row r="656">
      <c r="A656" s="19" t="s">
        <v>1284</v>
      </c>
      <c r="B656" s="19" t="s">
        <v>1285</v>
      </c>
      <c r="C656" s="19" t="s">
        <v>1286</v>
      </c>
      <c r="D656" s="19" t="s">
        <v>531</v>
      </c>
      <c r="E656" s="3" t="s">
        <v>1303</v>
      </c>
      <c r="F656" s="7" t="s">
        <v>60</v>
      </c>
      <c r="H656" s="19" t="s">
        <v>48</v>
      </c>
      <c r="I656" s="3" t="s">
        <v>49</v>
      </c>
      <c r="J656" s="3">
        <v>1.0</v>
      </c>
      <c r="K656" s="3" t="s">
        <v>1304</v>
      </c>
      <c r="L656" s="3" t="s">
        <v>1304</v>
      </c>
      <c r="M656" s="3" t="s">
        <v>669</v>
      </c>
      <c r="N656" s="6" t="s">
        <v>1289</v>
      </c>
      <c r="O656" s="6" t="s">
        <v>1290</v>
      </c>
      <c r="P656" s="3">
        <v>4306.0</v>
      </c>
      <c r="Q656" s="7" t="s">
        <v>60</v>
      </c>
    </row>
    <row r="657">
      <c r="A657" s="19" t="s">
        <v>1284</v>
      </c>
      <c r="B657" s="19" t="s">
        <v>1285</v>
      </c>
      <c r="C657" s="19" t="s">
        <v>1286</v>
      </c>
      <c r="D657" s="19" t="s">
        <v>531</v>
      </c>
      <c r="E657" s="3" t="s">
        <v>1305</v>
      </c>
      <c r="F657" s="7" t="s">
        <v>60</v>
      </c>
      <c r="H657" s="19" t="s">
        <v>48</v>
      </c>
      <c r="I657" s="3" t="s">
        <v>49</v>
      </c>
      <c r="J657" s="3">
        <v>1.0</v>
      </c>
      <c r="K657" s="3" t="s">
        <v>1304</v>
      </c>
      <c r="L657" s="3" t="s">
        <v>1304</v>
      </c>
      <c r="M657" s="3" t="s">
        <v>669</v>
      </c>
      <c r="N657" s="6" t="s">
        <v>1289</v>
      </c>
      <c r="O657" s="6" t="s">
        <v>1290</v>
      </c>
      <c r="P657" s="3">
        <v>4306.0</v>
      </c>
      <c r="Q657" s="7" t="s">
        <v>60</v>
      </c>
    </row>
    <row r="658">
      <c r="A658" s="19" t="s">
        <v>1284</v>
      </c>
      <c r="B658" s="19" t="s">
        <v>1285</v>
      </c>
      <c r="C658" s="19" t="s">
        <v>1286</v>
      </c>
      <c r="D658" s="19" t="s">
        <v>531</v>
      </c>
      <c r="E658" s="3" t="s">
        <v>1306</v>
      </c>
      <c r="F658" s="7" t="s">
        <v>60</v>
      </c>
      <c r="H658" s="19" t="s">
        <v>48</v>
      </c>
      <c r="I658" s="3" t="s">
        <v>49</v>
      </c>
      <c r="J658" s="3">
        <v>1.0</v>
      </c>
      <c r="K658" s="3" t="s">
        <v>1304</v>
      </c>
      <c r="L658" s="3" t="s">
        <v>1304</v>
      </c>
      <c r="M658" s="3" t="s">
        <v>669</v>
      </c>
      <c r="N658" s="6" t="s">
        <v>1289</v>
      </c>
      <c r="O658" s="6" t="s">
        <v>1290</v>
      </c>
      <c r="P658" s="3">
        <v>4070.0</v>
      </c>
      <c r="Q658" s="7" t="s">
        <v>60</v>
      </c>
    </row>
    <row r="659">
      <c r="A659" s="19" t="s">
        <v>1284</v>
      </c>
      <c r="B659" s="19" t="s">
        <v>1285</v>
      </c>
      <c r="C659" s="19" t="s">
        <v>1286</v>
      </c>
      <c r="D659" s="19" t="s">
        <v>531</v>
      </c>
      <c r="E659" s="3" t="s">
        <v>1307</v>
      </c>
      <c r="F659" s="7" t="s">
        <v>60</v>
      </c>
      <c r="H659" s="19" t="s">
        <v>48</v>
      </c>
      <c r="I659" s="3" t="s">
        <v>49</v>
      </c>
      <c r="J659" s="3">
        <v>1.0</v>
      </c>
      <c r="K659" s="3" t="s">
        <v>1304</v>
      </c>
      <c r="L659" s="3" t="s">
        <v>1304</v>
      </c>
      <c r="M659" s="3" t="s">
        <v>669</v>
      </c>
      <c r="N659" s="6" t="s">
        <v>1289</v>
      </c>
      <c r="O659" s="6" t="s">
        <v>1290</v>
      </c>
      <c r="P659" s="3">
        <v>4306.0</v>
      </c>
      <c r="Q659" s="7" t="s">
        <v>60</v>
      </c>
    </row>
    <row r="660">
      <c r="A660" s="19" t="s">
        <v>1284</v>
      </c>
      <c r="B660" s="19" t="s">
        <v>1285</v>
      </c>
      <c r="C660" s="19" t="s">
        <v>1286</v>
      </c>
      <c r="D660" s="19" t="s">
        <v>531</v>
      </c>
      <c r="E660" s="3" t="s">
        <v>1308</v>
      </c>
      <c r="F660" s="7" t="s">
        <v>60</v>
      </c>
      <c r="H660" s="19" t="s">
        <v>48</v>
      </c>
      <c r="I660" s="3" t="s">
        <v>49</v>
      </c>
      <c r="J660" s="3">
        <v>1.0</v>
      </c>
      <c r="K660" s="3" t="s">
        <v>1304</v>
      </c>
      <c r="L660" s="3" t="s">
        <v>1304</v>
      </c>
      <c r="M660" s="3" t="s">
        <v>669</v>
      </c>
      <c r="N660" s="6" t="s">
        <v>1289</v>
      </c>
      <c r="O660" s="6" t="s">
        <v>1290</v>
      </c>
      <c r="P660" s="3">
        <v>4306.0</v>
      </c>
      <c r="Q660" s="7" t="s">
        <v>60</v>
      </c>
    </row>
    <row r="661">
      <c r="A661" s="19" t="s">
        <v>1284</v>
      </c>
      <c r="B661" s="19" t="s">
        <v>1285</v>
      </c>
      <c r="C661" s="19" t="s">
        <v>1286</v>
      </c>
      <c r="D661" s="3" t="s">
        <v>531</v>
      </c>
      <c r="E661" s="3" t="s">
        <v>1309</v>
      </c>
      <c r="F661" s="7" t="s">
        <v>60</v>
      </c>
      <c r="H661" s="15" t="s">
        <v>48</v>
      </c>
      <c r="I661" s="3" t="s">
        <v>49</v>
      </c>
      <c r="J661" s="3">
        <v>5.0</v>
      </c>
      <c r="K661" s="3" t="s">
        <v>1310</v>
      </c>
      <c r="L661" s="3" t="s">
        <v>384</v>
      </c>
      <c r="M661" s="3" t="s">
        <v>669</v>
      </c>
      <c r="N661" s="6" t="s">
        <v>1289</v>
      </c>
      <c r="O661" s="6" t="s">
        <v>1290</v>
      </c>
      <c r="P661" s="3">
        <v>4305.0</v>
      </c>
      <c r="Q661" s="7" t="s">
        <v>60</v>
      </c>
    </row>
    <row r="662">
      <c r="A662" s="19" t="s">
        <v>1284</v>
      </c>
      <c r="B662" s="19" t="s">
        <v>1285</v>
      </c>
      <c r="C662" s="19" t="s">
        <v>1286</v>
      </c>
      <c r="D662" s="3" t="s">
        <v>531</v>
      </c>
      <c r="E662" s="3" t="s">
        <v>1311</v>
      </c>
      <c r="F662" s="7" t="s">
        <v>60</v>
      </c>
      <c r="H662" s="15" t="s">
        <v>48</v>
      </c>
      <c r="I662" s="3" t="s">
        <v>49</v>
      </c>
      <c r="J662" s="3">
        <v>5.0</v>
      </c>
      <c r="K662" s="3" t="s">
        <v>1310</v>
      </c>
      <c r="L662" s="3" t="s">
        <v>384</v>
      </c>
      <c r="M662" s="3" t="s">
        <v>669</v>
      </c>
      <c r="N662" s="6" t="s">
        <v>1289</v>
      </c>
      <c r="O662" s="6" t="s">
        <v>1290</v>
      </c>
      <c r="P662" s="3">
        <v>4305.0</v>
      </c>
      <c r="Q662" s="7" t="s">
        <v>60</v>
      </c>
    </row>
    <row r="663">
      <c r="A663" s="19" t="s">
        <v>1284</v>
      </c>
      <c r="B663" s="19" t="s">
        <v>1285</v>
      </c>
      <c r="C663" s="19" t="s">
        <v>1286</v>
      </c>
      <c r="D663" s="3" t="s">
        <v>531</v>
      </c>
      <c r="E663" s="3" t="s">
        <v>1312</v>
      </c>
      <c r="F663" s="7" t="s">
        <v>60</v>
      </c>
      <c r="H663" s="15" t="s">
        <v>48</v>
      </c>
      <c r="I663" s="3" t="s">
        <v>49</v>
      </c>
      <c r="J663" s="3">
        <v>5.0</v>
      </c>
      <c r="K663" s="3" t="s">
        <v>1310</v>
      </c>
      <c r="L663" s="3" t="s">
        <v>384</v>
      </c>
      <c r="M663" s="3" t="s">
        <v>669</v>
      </c>
      <c r="N663" s="6" t="s">
        <v>1289</v>
      </c>
      <c r="O663" s="6" t="s">
        <v>1290</v>
      </c>
      <c r="P663" s="3">
        <v>4305.0</v>
      </c>
      <c r="Q663" s="7" t="s">
        <v>60</v>
      </c>
    </row>
    <row r="664">
      <c r="A664" s="19" t="s">
        <v>1284</v>
      </c>
      <c r="B664" s="19" t="s">
        <v>1285</v>
      </c>
      <c r="C664" s="19" t="s">
        <v>1286</v>
      </c>
      <c r="D664" s="3" t="s">
        <v>531</v>
      </c>
      <c r="E664" s="3" t="s">
        <v>1313</v>
      </c>
      <c r="F664" s="7" t="s">
        <v>60</v>
      </c>
      <c r="H664" s="15" t="s">
        <v>48</v>
      </c>
      <c r="I664" s="3" t="s">
        <v>49</v>
      </c>
      <c r="J664" s="3">
        <v>5.0</v>
      </c>
      <c r="K664" s="3" t="s">
        <v>1310</v>
      </c>
      <c r="L664" s="3" t="s">
        <v>384</v>
      </c>
      <c r="M664" s="3" t="s">
        <v>669</v>
      </c>
      <c r="N664" s="6" t="s">
        <v>1289</v>
      </c>
      <c r="O664" s="6" t="s">
        <v>1290</v>
      </c>
      <c r="P664" s="3">
        <v>4305.0</v>
      </c>
      <c r="Q664" s="7" t="s">
        <v>60</v>
      </c>
    </row>
    <row r="665">
      <c r="A665" s="19" t="s">
        <v>1284</v>
      </c>
      <c r="B665" s="19" t="s">
        <v>1285</v>
      </c>
      <c r="C665" s="19" t="s">
        <v>1286</v>
      </c>
      <c r="D665" s="3" t="s">
        <v>531</v>
      </c>
      <c r="E665" s="3" t="s">
        <v>1314</v>
      </c>
      <c r="F665" s="7" t="s">
        <v>60</v>
      </c>
      <c r="H665" s="15" t="s">
        <v>48</v>
      </c>
      <c r="I665" s="3" t="s">
        <v>49</v>
      </c>
      <c r="J665" s="3">
        <v>5.0</v>
      </c>
      <c r="K665" s="3" t="s">
        <v>1310</v>
      </c>
      <c r="L665" s="3" t="s">
        <v>384</v>
      </c>
      <c r="M665" s="3" t="s">
        <v>669</v>
      </c>
      <c r="N665" s="6" t="s">
        <v>1289</v>
      </c>
      <c r="O665" s="6" t="s">
        <v>1290</v>
      </c>
      <c r="P665" s="3">
        <v>4305.0</v>
      </c>
      <c r="Q665" s="7" t="s">
        <v>60</v>
      </c>
    </row>
    <row r="666">
      <c r="A666" s="19" t="s">
        <v>1284</v>
      </c>
      <c r="B666" s="19" t="s">
        <v>1285</v>
      </c>
      <c r="C666" s="19" t="s">
        <v>1286</v>
      </c>
      <c r="D666" s="3" t="s">
        <v>531</v>
      </c>
      <c r="E666" s="3" t="s">
        <v>1315</v>
      </c>
      <c r="F666" s="7" t="s">
        <v>60</v>
      </c>
      <c r="H666" s="15" t="s">
        <v>48</v>
      </c>
      <c r="I666" s="3" t="s">
        <v>49</v>
      </c>
      <c r="J666" s="3">
        <v>5.0</v>
      </c>
      <c r="K666" s="3" t="s">
        <v>1310</v>
      </c>
      <c r="L666" s="3" t="s">
        <v>384</v>
      </c>
      <c r="M666" s="3" t="s">
        <v>669</v>
      </c>
      <c r="N666" s="6" t="s">
        <v>1289</v>
      </c>
      <c r="O666" s="6" t="s">
        <v>1290</v>
      </c>
      <c r="P666" s="3">
        <v>4305.0</v>
      </c>
      <c r="Q666" s="7" t="s">
        <v>60</v>
      </c>
    </row>
    <row r="667">
      <c r="A667" s="19" t="s">
        <v>1284</v>
      </c>
      <c r="B667" s="19" t="s">
        <v>1285</v>
      </c>
      <c r="C667" s="19" t="s">
        <v>1286</v>
      </c>
      <c r="D667" s="3" t="s">
        <v>531</v>
      </c>
      <c r="E667" s="3" t="s">
        <v>1316</v>
      </c>
      <c r="F667" s="7" t="s">
        <v>60</v>
      </c>
      <c r="H667" s="15" t="s">
        <v>48</v>
      </c>
      <c r="I667" s="3" t="s">
        <v>49</v>
      </c>
      <c r="J667" s="3">
        <v>5.0</v>
      </c>
      <c r="K667" s="3" t="s">
        <v>1310</v>
      </c>
      <c r="L667" s="3" t="s">
        <v>384</v>
      </c>
      <c r="M667" s="3" t="s">
        <v>669</v>
      </c>
      <c r="N667" s="6" t="s">
        <v>1289</v>
      </c>
      <c r="O667" s="6" t="s">
        <v>1290</v>
      </c>
      <c r="P667" s="3">
        <v>4305.0</v>
      </c>
      <c r="Q667" s="7" t="s">
        <v>60</v>
      </c>
    </row>
    <row r="668">
      <c r="A668" s="19" t="s">
        <v>1284</v>
      </c>
      <c r="B668" s="19" t="s">
        <v>1285</v>
      </c>
      <c r="C668" s="19" t="s">
        <v>1286</v>
      </c>
      <c r="D668" s="3" t="s">
        <v>531</v>
      </c>
      <c r="E668" s="3" t="s">
        <v>1317</v>
      </c>
      <c r="F668" s="7" t="s">
        <v>60</v>
      </c>
      <c r="H668" s="15" t="s">
        <v>48</v>
      </c>
      <c r="I668" s="3" t="s">
        <v>49</v>
      </c>
      <c r="J668" s="3">
        <v>5.0</v>
      </c>
      <c r="K668" s="3" t="s">
        <v>1310</v>
      </c>
      <c r="L668" s="3" t="s">
        <v>384</v>
      </c>
      <c r="M668" s="3" t="s">
        <v>669</v>
      </c>
      <c r="N668" s="6" t="s">
        <v>1289</v>
      </c>
      <c r="O668" s="6" t="s">
        <v>1290</v>
      </c>
      <c r="P668" s="3">
        <v>4305.0</v>
      </c>
      <c r="Q668" s="7" t="s">
        <v>60</v>
      </c>
    </row>
    <row r="669">
      <c r="A669" s="19" t="s">
        <v>1284</v>
      </c>
      <c r="B669" s="19" t="s">
        <v>1285</v>
      </c>
      <c r="C669" s="19" t="s">
        <v>1286</v>
      </c>
      <c r="D669" s="3" t="s">
        <v>531</v>
      </c>
      <c r="E669" s="3" t="s">
        <v>1318</v>
      </c>
      <c r="F669" s="7" t="s">
        <v>60</v>
      </c>
      <c r="H669" s="15" t="s">
        <v>48</v>
      </c>
      <c r="I669" s="3" t="s">
        <v>49</v>
      </c>
      <c r="J669" s="3">
        <v>5.0</v>
      </c>
      <c r="K669" s="3" t="s">
        <v>1310</v>
      </c>
      <c r="L669" s="3" t="s">
        <v>384</v>
      </c>
      <c r="M669" s="3" t="s">
        <v>669</v>
      </c>
      <c r="N669" s="6" t="s">
        <v>1289</v>
      </c>
      <c r="O669" s="6" t="s">
        <v>1290</v>
      </c>
      <c r="P669" s="3">
        <v>4305.0</v>
      </c>
      <c r="Q669" s="7" t="s">
        <v>60</v>
      </c>
    </row>
    <row r="670">
      <c r="A670" s="19" t="s">
        <v>1284</v>
      </c>
      <c r="B670" s="19" t="s">
        <v>1285</v>
      </c>
      <c r="C670" s="19" t="s">
        <v>1286</v>
      </c>
      <c r="D670" s="3" t="s">
        <v>531</v>
      </c>
      <c r="E670" s="3" t="s">
        <v>1319</v>
      </c>
      <c r="F670" s="7" t="s">
        <v>60</v>
      </c>
      <c r="H670" s="15" t="s">
        <v>48</v>
      </c>
      <c r="I670" s="3" t="s">
        <v>49</v>
      </c>
      <c r="J670" s="3">
        <v>1.0</v>
      </c>
      <c r="K670" s="3" t="s">
        <v>384</v>
      </c>
      <c r="L670" s="3" t="s">
        <v>384</v>
      </c>
      <c r="M670" s="3" t="s">
        <v>669</v>
      </c>
      <c r="N670" s="6" t="s">
        <v>1289</v>
      </c>
      <c r="O670" s="6" t="s">
        <v>1290</v>
      </c>
      <c r="P670" s="3">
        <v>4305.0</v>
      </c>
      <c r="Q670" s="7" t="s">
        <v>60</v>
      </c>
    </row>
    <row r="671">
      <c r="A671" s="19" t="s">
        <v>1284</v>
      </c>
      <c r="B671" s="19" t="s">
        <v>1285</v>
      </c>
      <c r="C671" s="19" t="s">
        <v>1286</v>
      </c>
      <c r="D671" s="3" t="s">
        <v>531</v>
      </c>
      <c r="E671" s="3" t="s">
        <v>1320</v>
      </c>
      <c r="F671" s="7" t="s">
        <v>60</v>
      </c>
      <c r="H671" s="15" t="s">
        <v>48</v>
      </c>
      <c r="I671" s="3" t="s">
        <v>49</v>
      </c>
      <c r="J671" s="3">
        <v>5.0</v>
      </c>
      <c r="K671" s="3" t="s">
        <v>1310</v>
      </c>
      <c r="L671" s="3" t="s">
        <v>384</v>
      </c>
      <c r="M671" s="3" t="s">
        <v>669</v>
      </c>
      <c r="N671" s="6" t="s">
        <v>1289</v>
      </c>
      <c r="O671" s="6" t="s">
        <v>1290</v>
      </c>
      <c r="P671" s="3">
        <v>4305.0</v>
      </c>
      <c r="Q671" s="7" t="s">
        <v>60</v>
      </c>
    </row>
    <row r="672">
      <c r="A672" s="19" t="s">
        <v>1284</v>
      </c>
      <c r="B672" s="19" t="s">
        <v>1285</v>
      </c>
      <c r="C672" s="19" t="s">
        <v>1286</v>
      </c>
      <c r="D672" s="3" t="s">
        <v>531</v>
      </c>
      <c r="E672" s="3" t="s">
        <v>1321</v>
      </c>
      <c r="F672" s="7" t="s">
        <v>60</v>
      </c>
      <c r="H672" s="15" t="s">
        <v>48</v>
      </c>
      <c r="I672" s="3" t="s">
        <v>49</v>
      </c>
      <c r="J672" s="3">
        <v>5.0</v>
      </c>
      <c r="K672" s="3" t="s">
        <v>1310</v>
      </c>
      <c r="L672" s="3" t="s">
        <v>384</v>
      </c>
      <c r="M672" s="3" t="s">
        <v>669</v>
      </c>
      <c r="N672" s="6" t="s">
        <v>1289</v>
      </c>
      <c r="O672" s="6" t="s">
        <v>1290</v>
      </c>
      <c r="P672" s="3">
        <v>4304.0</v>
      </c>
      <c r="Q672" s="7" t="s">
        <v>60</v>
      </c>
    </row>
    <row r="673">
      <c r="A673" s="19" t="s">
        <v>1284</v>
      </c>
      <c r="B673" s="19" t="s">
        <v>1285</v>
      </c>
      <c r="C673" s="19" t="s">
        <v>1286</v>
      </c>
      <c r="D673" s="3" t="s">
        <v>531</v>
      </c>
      <c r="E673" s="3" t="s">
        <v>1322</v>
      </c>
      <c r="F673" s="7" t="s">
        <v>60</v>
      </c>
      <c r="H673" s="15" t="s">
        <v>48</v>
      </c>
      <c r="I673" s="3" t="s">
        <v>49</v>
      </c>
      <c r="J673" s="3">
        <v>5.0</v>
      </c>
      <c r="K673" s="3" t="s">
        <v>1310</v>
      </c>
      <c r="L673" s="3" t="s">
        <v>384</v>
      </c>
      <c r="M673" s="3" t="s">
        <v>669</v>
      </c>
      <c r="N673" s="6" t="s">
        <v>1289</v>
      </c>
      <c r="O673" s="6" t="s">
        <v>1290</v>
      </c>
      <c r="P673" s="3">
        <v>4304.0</v>
      </c>
      <c r="Q673" s="7" t="s">
        <v>60</v>
      </c>
    </row>
    <row r="674">
      <c r="A674" s="19" t="s">
        <v>1284</v>
      </c>
      <c r="B674" s="19" t="s">
        <v>1285</v>
      </c>
      <c r="C674" s="19" t="s">
        <v>1286</v>
      </c>
      <c r="D674" s="3" t="s">
        <v>531</v>
      </c>
      <c r="E674" s="3" t="s">
        <v>1323</v>
      </c>
      <c r="F674" s="7" t="s">
        <v>60</v>
      </c>
      <c r="H674" s="15" t="s">
        <v>48</v>
      </c>
      <c r="I674" s="3" t="s">
        <v>49</v>
      </c>
      <c r="J674" s="3">
        <v>1.0</v>
      </c>
      <c r="K674" s="3" t="s">
        <v>384</v>
      </c>
      <c r="L674" s="3" t="s">
        <v>384</v>
      </c>
      <c r="M674" s="3" t="s">
        <v>669</v>
      </c>
      <c r="N674" s="6" t="s">
        <v>1289</v>
      </c>
      <c r="O674" s="6" t="s">
        <v>1290</v>
      </c>
      <c r="P674" s="3">
        <v>4304.0</v>
      </c>
      <c r="Q674" s="7" t="s">
        <v>60</v>
      </c>
    </row>
    <row r="675">
      <c r="A675" s="19" t="s">
        <v>1284</v>
      </c>
      <c r="B675" s="19" t="s">
        <v>1285</v>
      </c>
      <c r="C675" s="19" t="s">
        <v>1286</v>
      </c>
      <c r="D675" s="3" t="s">
        <v>531</v>
      </c>
      <c r="E675" s="3" t="s">
        <v>1324</v>
      </c>
      <c r="F675" s="7" t="s">
        <v>60</v>
      </c>
      <c r="H675" s="15" t="s">
        <v>48</v>
      </c>
      <c r="I675" s="3" t="s">
        <v>49</v>
      </c>
      <c r="J675" s="3">
        <v>1.0</v>
      </c>
      <c r="K675" s="3" t="s">
        <v>384</v>
      </c>
      <c r="L675" s="3" t="s">
        <v>384</v>
      </c>
      <c r="M675" s="3" t="s">
        <v>669</v>
      </c>
      <c r="N675" s="6" t="s">
        <v>1289</v>
      </c>
      <c r="O675" s="6" t="s">
        <v>1290</v>
      </c>
      <c r="P675" s="3">
        <v>4306.0</v>
      </c>
      <c r="Q675" s="7" t="s">
        <v>60</v>
      </c>
    </row>
    <row r="676">
      <c r="A676" s="19" t="s">
        <v>1284</v>
      </c>
      <c r="B676" s="19" t="s">
        <v>1285</v>
      </c>
      <c r="C676" s="19" t="s">
        <v>1286</v>
      </c>
      <c r="D676" s="3" t="s">
        <v>531</v>
      </c>
      <c r="E676" s="3" t="s">
        <v>1325</v>
      </c>
      <c r="F676" s="7" t="s">
        <v>60</v>
      </c>
      <c r="H676" s="15" t="s">
        <v>48</v>
      </c>
      <c r="I676" s="3" t="s">
        <v>49</v>
      </c>
      <c r="J676" s="3">
        <v>1.0</v>
      </c>
      <c r="K676" s="3" t="s">
        <v>384</v>
      </c>
      <c r="L676" s="3" t="s">
        <v>384</v>
      </c>
      <c r="M676" s="3" t="s">
        <v>669</v>
      </c>
      <c r="N676" s="6" t="s">
        <v>1289</v>
      </c>
      <c r="O676" s="6" t="s">
        <v>1290</v>
      </c>
      <c r="P676" s="3">
        <v>4306.0</v>
      </c>
      <c r="Q676" s="7" t="s">
        <v>60</v>
      </c>
    </row>
    <row r="677">
      <c r="A677" s="19" t="s">
        <v>1284</v>
      </c>
      <c r="B677" s="19" t="s">
        <v>1285</v>
      </c>
      <c r="C677" s="19" t="s">
        <v>1286</v>
      </c>
      <c r="D677" s="3" t="s">
        <v>531</v>
      </c>
      <c r="E677" s="3" t="s">
        <v>1326</v>
      </c>
      <c r="F677" s="7" t="s">
        <v>60</v>
      </c>
      <c r="H677" s="15" t="s">
        <v>48</v>
      </c>
      <c r="I677" s="3" t="s">
        <v>49</v>
      </c>
      <c r="J677" s="3">
        <v>1.0</v>
      </c>
      <c r="K677" s="3" t="s">
        <v>384</v>
      </c>
      <c r="L677" s="3" t="s">
        <v>384</v>
      </c>
      <c r="M677" s="3" t="s">
        <v>669</v>
      </c>
      <c r="N677" s="6" t="s">
        <v>1289</v>
      </c>
      <c r="O677" s="6" t="s">
        <v>1290</v>
      </c>
      <c r="P677" s="3">
        <v>4311.0</v>
      </c>
      <c r="Q677" s="7" t="s">
        <v>60</v>
      </c>
    </row>
    <row r="678">
      <c r="A678" s="19" t="s">
        <v>1284</v>
      </c>
      <c r="B678" s="19" t="s">
        <v>1285</v>
      </c>
      <c r="C678" s="19" t="s">
        <v>1286</v>
      </c>
      <c r="D678" s="3" t="s">
        <v>531</v>
      </c>
      <c r="E678" s="3" t="s">
        <v>1327</v>
      </c>
      <c r="F678" s="7" t="s">
        <v>60</v>
      </c>
      <c r="H678" s="15" t="s">
        <v>48</v>
      </c>
      <c r="I678" s="3" t="s">
        <v>49</v>
      </c>
      <c r="J678" s="3">
        <v>1.0</v>
      </c>
      <c r="K678" s="3" t="s">
        <v>384</v>
      </c>
      <c r="L678" s="3" t="s">
        <v>384</v>
      </c>
      <c r="M678" s="3" t="s">
        <v>669</v>
      </c>
      <c r="N678" s="6" t="s">
        <v>1289</v>
      </c>
      <c r="O678" s="6" t="s">
        <v>1290</v>
      </c>
      <c r="P678" s="3">
        <v>4306.0</v>
      </c>
      <c r="Q678" s="7" t="s">
        <v>60</v>
      </c>
    </row>
    <row r="679">
      <c r="A679" s="3" t="s">
        <v>1328</v>
      </c>
      <c r="B679" s="3" t="s">
        <v>1329</v>
      </c>
      <c r="C679" s="19" t="s">
        <v>1330</v>
      </c>
      <c r="D679" s="3" t="s">
        <v>46</v>
      </c>
      <c r="E679" s="3" t="s">
        <v>1331</v>
      </c>
      <c r="F679" s="5">
        <v>46011.0</v>
      </c>
      <c r="G679" s="26" t="s">
        <v>214</v>
      </c>
      <c r="H679" s="15" t="s">
        <v>48</v>
      </c>
      <c r="I679" s="3" t="s">
        <v>49</v>
      </c>
      <c r="J679" s="3">
        <v>13.0</v>
      </c>
      <c r="K679" s="3" t="s">
        <v>1332</v>
      </c>
      <c r="L679" s="3" t="s">
        <v>947</v>
      </c>
      <c r="M679" s="3" t="s">
        <v>1333</v>
      </c>
      <c r="N679" s="6" t="s">
        <v>1334</v>
      </c>
      <c r="O679" s="6" t="s">
        <v>1335</v>
      </c>
      <c r="P679" s="3">
        <v>2489.0</v>
      </c>
      <c r="Q679" s="3">
        <v>2.0</v>
      </c>
      <c r="R679" s="3">
        <v>383.9</v>
      </c>
    </row>
    <row r="680">
      <c r="A680" s="3" t="s">
        <v>1336</v>
      </c>
      <c r="B680" s="3" t="s">
        <v>1337</v>
      </c>
      <c r="C680" s="19" t="s">
        <v>1338</v>
      </c>
      <c r="D680" s="3" t="s">
        <v>356</v>
      </c>
      <c r="E680" s="3" t="s">
        <v>1339</v>
      </c>
      <c r="F680" s="5">
        <v>46009.0</v>
      </c>
      <c r="G680" s="26" t="s">
        <v>214</v>
      </c>
      <c r="H680" s="15" t="s">
        <v>48</v>
      </c>
      <c r="I680" s="3" t="s">
        <v>49</v>
      </c>
      <c r="J680" s="3">
        <v>2.0</v>
      </c>
      <c r="K680" s="3" t="s">
        <v>851</v>
      </c>
      <c r="L680" s="3" t="s">
        <v>1340</v>
      </c>
      <c r="M680" s="3" t="s">
        <v>1341</v>
      </c>
      <c r="N680" s="6" t="s">
        <v>1342</v>
      </c>
      <c r="O680" s="6" t="s">
        <v>1343</v>
      </c>
      <c r="P680" s="3">
        <v>6213.0</v>
      </c>
      <c r="Q680" s="3">
        <v>2.0</v>
      </c>
      <c r="R680" s="3">
        <v>383.9</v>
      </c>
    </row>
    <row r="681">
      <c r="A681" s="3" t="s">
        <v>1336</v>
      </c>
      <c r="B681" s="3" t="s">
        <v>1337</v>
      </c>
      <c r="C681" s="19" t="s">
        <v>1338</v>
      </c>
      <c r="D681" s="3" t="s">
        <v>356</v>
      </c>
      <c r="E681" s="3" t="s">
        <v>1344</v>
      </c>
      <c r="F681" s="7" t="s">
        <v>60</v>
      </c>
      <c r="H681" s="15" t="s">
        <v>48</v>
      </c>
      <c r="I681" s="3" t="s">
        <v>49</v>
      </c>
      <c r="J681" s="3">
        <v>2.0</v>
      </c>
      <c r="K681" s="3" t="s">
        <v>851</v>
      </c>
      <c r="L681" s="3" t="s">
        <v>1340</v>
      </c>
      <c r="M681" s="3" t="s">
        <v>1341</v>
      </c>
      <c r="N681" s="6" t="s">
        <v>1342</v>
      </c>
      <c r="O681" s="6" t="s">
        <v>1343</v>
      </c>
      <c r="P681" s="3">
        <v>6208.0</v>
      </c>
      <c r="Q681" s="7" t="s">
        <v>60</v>
      </c>
    </row>
    <row r="682">
      <c r="A682" s="3" t="s">
        <v>1336</v>
      </c>
      <c r="B682" s="3" t="s">
        <v>1337</v>
      </c>
      <c r="C682" s="19" t="s">
        <v>1338</v>
      </c>
      <c r="D682" s="3" t="s">
        <v>356</v>
      </c>
      <c r="E682" s="3" t="s">
        <v>1345</v>
      </c>
      <c r="F682" s="7" t="s">
        <v>60</v>
      </c>
      <c r="H682" s="15" t="s">
        <v>48</v>
      </c>
      <c r="I682" s="3" t="s">
        <v>49</v>
      </c>
      <c r="J682" s="3">
        <v>2.0</v>
      </c>
      <c r="K682" s="3" t="s">
        <v>851</v>
      </c>
      <c r="L682" s="3" t="s">
        <v>1340</v>
      </c>
      <c r="M682" s="3" t="s">
        <v>1341</v>
      </c>
      <c r="N682" s="6" t="s">
        <v>1342</v>
      </c>
      <c r="O682" s="6" t="s">
        <v>1343</v>
      </c>
      <c r="P682" s="3">
        <v>6208.0</v>
      </c>
      <c r="Q682" s="7" t="s">
        <v>60</v>
      </c>
    </row>
    <row r="683">
      <c r="A683" s="3" t="s">
        <v>1336</v>
      </c>
      <c r="B683" s="3" t="s">
        <v>1337</v>
      </c>
      <c r="C683" s="19" t="s">
        <v>1338</v>
      </c>
      <c r="D683" s="3" t="s">
        <v>356</v>
      </c>
      <c r="E683" s="3" t="s">
        <v>1346</v>
      </c>
      <c r="F683" s="7" t="s">
        <v>60</v>
      </c>
      <c r="H683" s="15" t="s">
        <v>48</v>
      </c>
      <c r="I683" s="3" t="s">
        <v>49</v>
      </c>
      <c r="J683" s="3">
        <v>2.0</v>
      </c>
      <c r="K683" s="3" t="s">
        <v>851</v>
      </c>
      <c r="L683" s="3" t="s">
        <v>1340</v>
      </c>
      <c r="M683" s="3" t="s">
        <v>1341</v>
      </c>
      <c r="N683" s="6" t="s">
        <v>1342</v>
      </c>
      <c r="O683" s="6" t="s">
        <v>1343</v>
      </c>
      <c r="P683" s="3">
        <v>6208.0</v>
      </c>
      <c r="Q683" s="7" t="s">
        <v>60</v>
      </c>
    </row>
    <row r="684">
      <c r="A684" s="3" t="s">
        <v>1336</v>
      </c>
      <c r="B684" s="3" t="s">
        <v>1337</v>
      </c>
      <c r="C684" s="19" t="s">
        <v>1338</v>
      </c>
      <c r="D684" s="3" t="s">
        <v>356</v>
      </c>
      <c r="E684" s="3" t="s">
        <v>1039</v>
      </c>
      <c r="F684" s="7" t="s">
        <v>60</v>
      </c>
      <c r="H684" s="15" t="s">
        <v>48</v>
      </c>
      <c r="I684" s="3" t="s">
        <v>49</v>
      </c>
      <c r="J684" s="3">
        <v>2.0</v>
      </c>
      <c r="K684" s="3" t="s">
        <v>851</v>
      </c>
      <c r="L684" s="3" t="s">
        <v>1340</v>
      </c>
      <c r="M684" s="3" t="s">
        <v>1341</v>
      </c>
      <c r="N684" s="6" t="s">
        <v>1342</v>
      </c>
      <c r="O684" s="6" t="s">
        <v>1343</v>
      </c>
      <c r="P684" s="3">
        <v>6208.0</v>
      </c>
      <c r="Q684" s="7" t="s">
        <v>60</v>
      </c>
    </row>
    <row r="685">
      <c r="A685" s="3" t="s">
        <v>1336</v>
      </c>
      <c r="B685" s="3" t="s">
        <v>1337</v>
      </c>
      <c r="C685" s="19" t="s">
        <v>1338</v>
      </c>
      <c r="D685" s="3" t="s">
        <v>356</v>
      </c>
      <c r="E685" s="3" t="s">
        <v>1347</v>
      </c>
      <c r="F685" s="7" t="s">
        <v>60</v>
      </c>
      <c r="H685" s="15" t="s">
        <v>48</v>
      </c>
      <c r="I685" s="3" t="s">
        <v>49</v>
      </c>
      <c r="J685" s="3">
        <v>2.0</v>
      </c>
      <c r="K685" s="3" t="s">
        <v>851</v>
      </c>
      <c r="L685" s="3" t="s">
        <v>1340</v>
      </c>
      <c r="M685" s="3" t="s">
        <v>1341</v>
      </c>
      <c r="N685" s="6" t="s">
        <v>1342</v>
      </c>
      <c r="O685" s="6" t="s">
        <v>1343</v>
      </c>
      <c r="P685" s="3">
        <v>6208.0</v>
      </c>
      <c r="Q685" s="7" t="s">
        <v>60</v>
      </c>
    </row>
    <row r="686">
      <c r="A686" s="3" t="s">
        <v>1336</v>
      </c>
      <c r="B686" s="3" t="s">
        <v>1337</v>
      </c>
      <c r="C686" s="19" t="s">
        <v>1338</v>
      </c>
      <c r="D686" s="3" t="s">
        <v>356</v>
      </c>
      <c r="E686" s="3" t="s">
        <v>1348</v>
      </c>
      <c r="F686" s="7" t="s">
        <v>60</v>
      </c>
      <c r="H686" s="15" t="s">
        <v>48</v>
      </c>
      <c r="I686" s="3" t="s">
        <v>49</v>
      </c>
      <c r="J686" s="3">
        <v>2.0</v>
      </c>
      <c r="K686" s="3" t="s">
        <v>851</v>
      </c>
      <c r="L686" s="3" t="s">
        <v>1340</v>
      </c>
      <c r="M686" s="3" t="s">
        <v>1341</v>
      </c>
      <c r="N686" s="6" t="s">
        <v>1342</v>
      </c>
      <c r="O686" s="6" t="s">
        <v>1343</v>
      </c>
      <c r="P686" s="3">
        <v>6208.0</v>
      </c>
      <c r="Q686" s="7" t="s">
        <v>60</v>
      </c>
    </row>
    <row r="687">
      <c r="A687" s="3" t="s">
        <v>1336</v>
      </c>
      <c r="B687" s="3" t="s">
        <v>1337</v>
      </c>
      <c r="C687" s="19" t="s">
        <v>1338</v>
      </c>
      <c r="D687" s="3" t="s">
        <v>356</v>
      </c>
      <c r="E687" s="3" t="s">
        <v>1349</v>
      </c>
      <c r="F687" s="7" t="s">
        <v>60</v>
      </c>
      <c r="H687" s="15" t="s">
        <v>48</v>
      </c>
      <c r="I687" s="3" t="s">
        <v>49</v>
      </c>
      <c r="J687" s="3">
        <v>2.0</v>
      </c>
      <c r="K687" s="3" t="s">
        <v>851</v>
      </c>
      <c r="L687" s="3" t="s">
        <v>1340</v>
      </c>
      <c r="M687" s="3" t="s">
        <v>1341</v>
      </c>
      <c r="N687" s="6" t="s">
        <v>1342</v>
      </c>
      <c r="O687" s="6" t="s">
        <v>1343</v>
      </c>
      <c r="P687" s="3">
        <v>6208.0</v>
      </c>
      <c r="Q687" s="7" t="s">
        <v>60</v>
      </c>
    </row>
    <row r="688">
      <c r="A688" s="3" t="s">
        <v>1336</v>
      </c>
      <c r="B688" s="3" t="s">
        <v>1337</v>
      </c>
      <c r="C688" s="19" t="s">
        <v>1338</v>
      </c>
      <c r="D688" s="3" t="s">
        <v>356</v>
      </c>
      <c r="E688" s="3" t="s">
        <v>1350</v>
      </c>
      <c r="F688" s="7" t="s">
        <v>60</v>
      </c>
      <c r="H688" s="15" t="s">
        <v>48</v>
      </c>
      <c r="I688" s="3" t="s">
        <v>49</v>
      </c>
      <c r="J688" s="3">
        <v>2.0</v>
      </c>
      <c r="K688" s="3" t="s">
        <v>851</v>
      </c>
      <c r="L688" s="3" t="s">
        <v>1340</v>
      </c>
      <c r="M688" s="3" t="s">
        <v>1341</v>
      </c>
      <c r="N688" s="6" t="s">
        <v>1342</v>
      </c>
      <c r="O688" s="6" t="s">
        <v>1343</v>
      </c>
      <c r="P688" s="3">
        <v>6208.0</v>
      </c>
      <c r="Q688" s="7" t="s">
        <v>60</v>
      </c>
    </row>
    <row r="689">
      <c r="A689" s="3" t="s">
        <v>1336</v>
      </c>
      <c r="B689" s="3" t="s">
        <v>1337</v>
      </c>
      <c r="C689" s="19" t="s">
        <v>1338</v>
      </c>
      <c r="D689" s="3" t="s">
        <v>356</v>
      </c>
      <c r="E689" s="3" t="s">
        <v>1351</v>
      </c>
      <c r="F689" s="7" t="s">
        <v>60</v>
      </c>
      <c r="H689" s="15" t="s">
        <v>48</v>
      </c>
      <c r="I689" s="3" t="s">
        <v>49</v>
      </c>
      <c r="J689" s="3">
        <v>2.0</v>
      </c>
      <c r="K689" s="3" t="s">
        <v>851</v>
      </c>
      <c r="L689" s="3" t="s">
        <v>1340</v>
      </c>
      <c r="M689" s="3" t="s">
        <v>1341</v>
      </c>
      <c r="N689" s="6" t="s">
        <v>1342</v>
      </c>
      <c r="O689" s="6" t="s">
        <v>1343</v>
      </c>
      <c r="P689" s="3">
        <v>6208.0</v>
      </c>
      <c r="Q689" s="7" t="s">
        <v>60</v>
      </c>
    </row>
    <row r="690">
      <c r="A690" s="3" t="s">
        <v>1352</v>
      </c>
      <c r="B690" s="3" t="s">
        <v>1353</v>
      </c>
      <c r="C690" s="19" t="s">
        <v>1354</v>
      </c>
      <c r="D690" s="3" t="s">
        <v>472</v>
      </c>
      <c r="E690" s="3" t="s">
        <v>1355</v>
      </c>
      <c r="F690" s="5">
        <v>46010.0</v>
      </c>
      <c r="G690" s="12" t="s">
        <v>260</v>
      </c>
      <c r="H690" s="3" t="s">
        <v>110</v>
      </c>
      <c r="I690" s="3" t="s">
        <v>49</v>
      </c>
      <c r="J690" s="3">
        <v>48.0</v>
      </c>
      <c r="K690" s="3" t="s">
        <v>1356</v>
      </c>
      <c r="L690" s="3" t="s">
        <v>1357</v>
      </c>
      <c r="M690" s="3" t="s">
        <v>1358</v>
      </c>
      <c r="N690" s="6" t="s">
        <v>1359</v>
      </c>
      <c r="O690" s="6" t="s">
        <v>1360</v>
      </c>
      <c r="P690" s="3">
        <v>3844.0</v>
      </c>
      <c r="Q690" s="7" t="s">
        <v>60</v>
      </c>
      <c r="R690" s="3">
        <v>1098.9</v>
      </c>
    </row>
    <row r="691">
      <c r="A691" s="3" t="s">
        <v>1352</v>
      </c>
      <c r="B691" s="3" t="s">
        <v>1353</v>
      </c>
      <c r="C691" s="19" t="s">
        <v>1354</v>
      </c>
      <c r="D691" s="3" t="s">
        <v>472</v>
      </c>
      <c r="E691" s="3" t="s">
        <v>1361</v>
      </c>
      <c r="F691" s="7" t="s">
        <v>60</v>
      </c>
      <c r="H691" s="3" t="s">
        <v>110</v>
      </c>
      <c r="I691" s="3" t="s">
        <v>49</v>
      </c>
      <c r="J691" s="3">
        <v>27.0</v>
      </c>
      <c r="K691" s="3" t="s">
        <v>1362</v>
      </c>
      <c r="L691" s="3" t="s">
        <v>1357</v>
      </c>
      <c r="M691" s="3" t="s">
        <v>1358</v>
      </c>
      <c r="N691" s="6" t="s">
        <v>1359</v>
      </c>
      <c r="O691" s="6" t="s">
        <v>1360</v>
      </c>
      <c r="P691" s="3">
        <v>3844.0</v>
      </c>
      <c r="Q691" s="7" t="s">
        <v>60</v>
      </c>
    </row>
    <row r="692">
      <c r="A692" s="3" t="s">
        <v>1352</v>
      </c>
      <c r="B692" s="3" t="s">
        <v>1353</v>
      </c>
      <c r="C692" s="19" t="s">
        <v>1354</v>
      </c>
      <c r="D692" s="3" t="s">
        <v>472</v>
      </c>
      <c r="E692" s="3" t="s">
        <v>1363</v>
      </c>
      <c r="F692" s="7" t="s">
        <v>60</v>
      </c>
      <c r="H692" s="3" t="s">
        <v>110</v>
      </c>
      <c r="I692" s="3" t="s">
        <v>49</v>
      </c>
      <c r="J692" s="3">
        <v>2.0</v>
      </c>
      <c r="K692" s="3" t="s">
        <v>1364</v>
      </c>
      <c r="L692" s="3" t="s">
        <v>1365</v>
      </c>
      <c r="M692" s="3" t="s">
        <v>1358</v>
      </c>
      <c r="N692" s="6" t="s">
        <v>1359</v>
      </c>
      <c r="O692" s="6" t="s">
        <v>1360</v>
      </c>
      <c r="P692" s="3">
        <v>3844.0</v>
      </c>
      <c r="Q692" s="7" t="s">
        <v>60</v>
      </c>
    </row>
    <row r="693">
      <c r="A693" s="3" t="s">
        <v>1366</v>
      </c>
      <c r="B693" s="3" t="s">
        <v>1367</v>
      </c>
      <c r="C693" s="43" t="s">
        <v>1368</v>
      </c>
      <c r="D693" s="3" t="s">
        <v>472</v>
      </c>
      <c r="E693" s="3" t="s">
        <v>1369</v>
      </c>
      <c r="F693" s="5">
        <v>46010.0</v>
      </c>
      <c r="H693" s="3" t="s">
        <v>110</v>
      </c>
      <c r="I693" s="3" t="s">
        <v>49</v>
      </c>
      <c r="J693" s="3">
        <v>43.0</v>
      </c>
      <c r="K693" s="3" t="s">
        <v>1370</v>
      </c>
      <c r="L693" s="3" t="s">
        <v>1371</v>
      </c>
      <c r="M693" s="3" t="s">
        <v>1358</v>
      </c>
      <c r="N693" s="6" t="s">
        <v>1372</v>
      </c>
      <c r="O693" s="6" t="s">
        <v>1360</v>
      </c>
      <c r="P693" s="3">
        <v>3840.0</v>
      </c>
      <c r="Q693" s="7" t="s">
        <v>60</v>
      </c>
    </row>
    <row r="694">
      <c r="A694" s="3" t="s">
        <v>1373</v>
      </c>
      <c r="B694" s="3" t="s">
        <v>1374</v>
      </c>
      <c r="C694" s="3" t="s">
        <v>1375</v>
      </c>
      <c r="D694" s="3" t="s">
        <v>457</v>
      </c>
      <c r="E694" s="3" t="s">
        <v>1376</v>
      </c>
      <c r="F694" s="5">
        <v>46018.0</v>
      </c>
      <c r="G694" s="26" t="s">
        <v>214</v>
      </c>
      <c r="H694" s="15" t="s">
        <v>48</v>
      </c>
      <c r="I694" s="3" t="s">
        <v>49</v>
      </c>
      <c r="J694" s="3">
        <v>1.0</v>
      </c>
      <c r="K694" s="3" t="s">
        <v>1377</v>
      </c>
      <c r="L694" s="3" t="s">
        <v>1377</v>
      </c>
      <c r="M694" s="3" t="s">
        <v>1378</v>
      </c>
      <c r="N694" s="6" t="s">
        <v>1379</v>
      </c>
      <c r="O694" s="6" t="s">
        <v>1380</v>
      </c>
      <c r="P694" s="3">
        <v>5113.0</v>
      </c>
      <c r="Q694" s="3">
        <v>2.0</v>
      </c>
      <c r="R694" s="3">
        <v>383.9</v>
      </c>
    </row>
    <row r="695">
      <c r="A695" s="3" t="s">
        <v>1373</v>
      </c>
      <c r="B695" s="3" t="s">
        <v>1374</v>
      </c>
      <c r="C695" s="3" t="s">
        <v>1375</v>
      </c>
      <c r="D695" s="3" t="s">
        <v>457</v>
      </c>
      <c r="E695" s="3" t="s">
        <v>1381</v>
      </c>
      <c r="F695" s="7" t="s">
        <v>60</v>
      </c>
      <c r="H695" s="15" t="s">
        <v>48</v>
      </c>
      <c r="I695" s="3" t="s">
        <v>49</v>
      </c>
      <c r="J695" s="3">
        <v>1.0</v>
      </c>
      <c r="K695" s="3" t="s">
        <v>1377</v>
      </c>
      <c r="L695" s="3" t="s">
        <v>1377</v>
      </c>
      <c r="M695" s="3" t="s">
        <v>1378</v>
      </c>
      <c r="N695" s="6" t="s">
        <v>1379</v>
      </c>
      <c r="O695" s="6" t="s">
        <v>1380</v>
      </c>
      <c r="P695" s="3">
        <v>5112.0</v>
      </c>
      <c r="Q695" s="7" t="s">
        <v>60</v>
      </c>
    </row>
    <row r="696">
      <c r="A696" s="3" t="s">
        <v>1373</v>
      </c>
      <c r="B696" s="3" t="s">
        <v>1374</v>
      </c>
      <c r="C696" s="3" t="s">
        <v>1375</v>
      </c>
      <c r="D696" s="3" t="s">
        <v>457</v>
      </c>
      <c r="E696" s="3" t="s">
        <v>1382</v>
      </c>
      <c r="F696" s="7" t="s">
        <v>60</v>
      </c>
      <c r="H696" s="15" t="s">
        <v>48</v>
      </c>
      <c r="I696" s="3" t="s">
        <v>49</v>
      </c>
      <c r="J696" s="3">
        <v>1.0</v>
      </c>
      <c r="K696" s="3" t="s">
        <v>1377</v>
      </c>
      <c r="L696" s="3" t="s">
        <v>1377</v>
      </c>
      <c r="M696" s="3" t="s">
        <v>1378</v>
      </c>
      <c r="N696" s="6" t="s">
        <v>1379</v>
      </c>
      <c r="O696" s="6" t="s">
        <v>1380</v>
      </c>
      <c r="P696" s="3">
        <v>5112.0</v>
      </c>
      <c r="Q696" s="7" t="s">
        <v>60</v>
      </c>
    </row>
    <row r="697">
      <c r="A697" s="3" t="s">
        <v>1373</v>
      </c>
      <c r="B697" s="3" t="s">
        <v>1374</v>
      </c>
      <c r="C697" s="3" t="s">
        <v>1375</v>
      </c>
      <c r="D697" s="3" t="s">
        <v>457</v>
      </c>
      <c r="E697" s="3" t="s">
        <v>1383</v>
      </c>
      <c r="F697" s="7" t="s">
        <v>60</v>
      </c>
      <c r="H697" s="15" t="s">
        <v>48</v>
      </c>
      <c r="I697" s="3" t="s">
        <v>49</v>
      </c>
      <c r="J697" s="3">
        <v>1.0</v>
      </c>
      <c r="K697" s="3" t="s">
        <v>1377</v>
      </c>
      <c r="L697" s="3" t="s">
        <v>1377</v>
      </c>
      <c r="M697" s="3" t="s">
        <v>1378</v>
      </c>
      <c r="N697" s="6" t="s">
        <v>1379</v>
      </c>
      <c r="O697" s="6" t="s">
        <v>1380</v>
      </c>
      <c r="P697" s="3">
        <v>5108.0</v>
      </c>
      <c r="Q697" s="7" t="s">
        <v>60</v>
      </c>
    </row>
    <row r="698">
      <c r="A698" s="3" t="s">
        <v>1373</v>
      </c>
      <c r="B698" s="3" t="s">
        <v>1374</v>
      </c>
      <c r="C698" s="3" t="s">
        <v>1375</v>
      </c>
      <c r="D698" s="3" t="s">
        <v>457</v>
      </c>
      <c r="E698" s="3" t="s">
        <v>1384</v>
      </c>
      <c r="F698" s="7" t="s">
        <v>60</v>
      </c>
      <c r="H698" s="15" t="s">
        <v>48</v>
      </c>
      <c r="I698" s="3" t="s">
        <v>49</v>
      </c>
      <c r="J698" s="3">
        <v>1.0</v>
      </c>
      <c r="K698" s="3" t="s">
        <v>1377</v>
      </c>
      <c r="L698" s="3" t="s">
        <v>1377</v>
      </c>
      <c r="M698" s="3" t="s">
        <v>1378</v>
      </c>
      <c r="N698" s="6" t="s">
        <v>1379</v>
      </c>
      <c r="O698" s="6" t="s">
        <v>1380</v>
      </c>
      <c r="P698" s="3">
        <v>5109.0</v>
      </c>
      <c r="Q698" s="7" t="s">
        <v>60</v>
      </c>
    </row>
    <row r="699">
      <c r="A699" s="3" t="s">
        <v>1373</v>
      </c>
      <c r="B699" s="3" t="s">
        <v>1374</v>
      </c>
      <c r="C699" s="3" t="s">
        <v>1375</v>
      </c>
      <c r="D699" s="3" t="s">
        <v>457</v>
      </c>
      <c r="E699" s="3" t="s">
        <v>1385</v>
      </c>
      <c r="F699" s="7" t="s">
        <v>60</v>
      </c>
      <c r="H699" s="15" t="s">
        <v>48</v>
      </c>
      <c r="I699" s="3" t="s">
        <v>49</v>
      </c>
      <c r="J699" s="3">
        <v>1.0</v>
      </c>
      <c r="K699" s="3" t="s">
        <v>1377</v>
      </c>
      <c r="L699" s="3" t="s">
        <v>1377</v>
      </c>
      <c r="M699" s="3" t="s">
        <v>1378</v>
      </c>
      <c r="N699" s="6" t="s">
        <v>1379</v>
      </c>
      <c r="O699" s="6" t="s">
        <v>1380</v>
      </c>
      <c r="P699" s="3">
        <v>5112.0</v>
      </c>
      <c r="Q699" s="7" t="s">
        <v>60</v>
      </c>
    </row>
    <row r="700">
      <c r="A700" s="3" t="s">
        <v>1373</v>
      </c>
      <c r="B700" s="3" t="s">
        <v>1374</v>
      </c>
      <c r="C700" s="3" t="s">
        <v>1375</v>
      </c>
      <c r="D700" s="3" t="s">
        <v>457</v>
      </c>
      <c r="E700" s="3" t="s">
        <v>1386</v>
      </c>
      <c r="F700" s="7" t="s">
        <v>60</v>
      </c>
      <c r="H700" s="15" t="s">
        <v>48</v>
      </c>
      <c r="I700" s="3" t="s">
        <v>49</v>
      </c>
      <c r="J700" s="3">
        <v>1.0</v>
      </c>
      <c r="K700" s="3" t="s">
        <v>1377</v>
      </c>
      <c r="L700" s="3" t="s">
        <v>1377</v>
      </c>
      <c r="M700" s="3" t="s">
        <v>1378</v>
      </c>
      <c r="N700" s="6" t="s">
        <v>1379</v>
      </c>
      <c r="O700" s="6" t="s">
        <v>1380</v>
      </c>
      <c r="P700" s="3">
        <v>5113.0</v>
      </c>
      <c r="Q700" s="7" t="s">
        <v>60</v>
      </c>
    </row>
    <row r="701">
      <c r="A701" s="3" t="s">
        <v>1373</v>
      </c>
      <c r="B701" s="3" t="s">
        <v>1374</v>
      </c>
      <c r="C701" s="3" t="s">
        <v>1375</v>
      </c>
      <c r="D701" s="3" t="s">
        <v>457</v>
      </c>
      <c r="E701" s="3" t="s">
        <v>1387</v>
      </c>
      <c r="F701" s="7" t="s">
        <v>60</v>
      </c>
      <c r="H701" s="15" t="s">
        <v>48</v>
      </c>
      <c r="I701" s="3" t="s">
        <v>49</v>
      </c>
      <c r="J701" s="3">
        <v>1.0</v>
      </c>
      <c r="K701" s="3" t="s">
        <v>1377</v>
      </c>
      <c r="L701" s="3" t="s">
        <v>1377</v>
      </c>
      <c r="M701" s="3" t="s">
        <v>1378</v>
      </c>
      <c r="N701" s="6" t="s">
        <v>1379</v>
      </c>
      <c r="O701" s="6" t="s">
        <v>1380</v>
      </c>
      <c r="P701" s="3">
        <v>5114.0</v>
      </c>
      <c r="Q701" s="7" t="s">
        <v>60</v>
      </c>
    </row>
    <row r="702">
      <c r="A702" s="3" t="s">
        <v>1373</v>
      </c>
      <c r="B702" s="3" t="s">
        <v>1374</v>
      </c>
      <c r="C702" s="3" t="s">
        <v>1375</v>
      </c>
      <c r="D702" s="3" t="s">
        <v>457</v>
      </c>
      <c r="E702" s="3" t="s">
        <v>1388</v>
      </c>
      <c r="F702" s="7" t="s">
        <v>60</v>
      </c>
      <c r="H702" s="15" t="s">
        <v>48</v>
      </c>
      <c r="I702" s="3" t="s">
        <v>49</v>
      </c>
      <c r="J702" s="3">
        <v>1.0</v>
      </c>
      <c r="K702" s="3" t="s">
        <v>1377</v>
      </c>
      <c r="L702" s="3" t="s">
        <v>1377</v>
      </c>
      <c r="M702" s="3" t="s">
        <v>1378</v>
      </c>
      <c r="N702" s="6" t="s">
        <v>1379</v>
      </c>
      <c r="O702" s="6" t="s">
        <v>1380</v>
      </c>
      <c r="P702" s="3">
        <v>5114.0</v>
      </c>
      <c r="Q702" s="7" t="s">
        <v>60</v>
      </c>
    </row>
    <row r="703">
      <c r="A703" s="3" t="s">
        <v>1373</v>
      </c>
      <c r="B703" s="3" t="s">
        <v>1374</v>
      </c>
      <c r="C703" s="3" t="s">
        <v>1375</v>
      </c>
      <c r="D703" s="3" t="s">
        <v>457</v>
      </c>
      <c r="E703" s="3" t="s">
        <v>1389</v>
      </c>
      <c r="F703" s="7" t="s">
        <v>60</v>
      </c>
      <c r="H703" s="15" t="s">
        <v>48</v>
      </c>
      <c r="I703" s="3" t="s">
        <v>49</v>
      </c>
      <c r="J703" s="3">
        <v>1.0</v>
      </c>
      <c r="K703" s="3" t="s">
        <v>1377</v>
      </c>
      <c r="L703" s="3" t="s">
        <v>1377</v>
      </c>
      <c r="M703" s="3" t="s">
        <v>1378</v>
      </c>
      <c r="N703" s="6" t="s">
        <v>1379</v>
      </c>
      <c r="O703" s="6" t="s">
        <v>1380</v>
      </c>
      <c r="P703" s="3">
        <v>5114.0</v>
      </c>
      <c r="Q703" s="7" t="s">
        <v>60</v>
      </c>
    </row>
    <row r="704">
      <c r="A704" s="3" t="s">
        <v>1373</v>
      </c>
      <c r="B704" s="3" t="s">
        <v>1374</v>
      </c>
      <c r="C704" s="3" t="s">
        <v>1375</v>
      </c>
      <c r="D704" s="3" t="s">
        <v>457</v>
      </c>
      <c r="E704" s="3" t="s">
        <v>1390</v>
      </c>
      <c r="F704" s="7" t="s">
        <v>60</v>
      </c>
      <c r="H704" s="15" t="s">
        <v>48</v>
      </c>
      <c r="I704" s="3" t="s">
        <v>49</v>
      </c>
      <c r="J704" s="3">
        <v>1.0</v>
      </c>
      <c r="K704" s="3" t="s">
        <v>1377</v>
      </c>
      <c r="L704" s="3" t="s">
        <v>1377</v>
      </c>
      <c r="M704" s="3" t="s">
        <v>1378</v>
      </c>
      <c r="N704" s="6" t="s">
        <v>1379</v>
      </c>
      <c r="O704" s="6" t="s">
        <v>1380</v>
      </c>
      <c r="P704" s="3">
        <v>5114.0</v>
      </c>
      <c r="Q704" s="7" t="s">
        <v>60</v>
      </c>
    </row>
    <row r="705">
      <c r="A705" s="3" t="s">
        <v>1373</v>
      </c>
      <c r="B705" s="3" t="s">
        <v>1374</v>
      </c>
      <c r="C705" s="3" t="s">
        <v>1375</v>
      </c>
      <c r="D705" s="3" t="s">
        <v>457</v>
      </c>
      <c r="E705" s="3" t="s">
        <v>1391</v>
      </c>
      <c r="F705" s="7" t="s">
        <v>60</v>
      </c>
      <c r="H705" s="15" t="s">
        <v>48</v>
      </c>
      <c r="I705" s="3" t="s">
        <v>49</v>
      </c>
      <c r="J705" s="3">
        <v>1.0</v>
      </c>
      <c r="K705" s="3" t="s">
        <v>1377</v>
      </c>
      <c r="L705" s="3" t="s">
        <v>1377</v>
      </c>
      <c r="M705" s="3" t="s">
        <v>1378</v>
      </c>
      <c r="N705" s="6" t="s">
        <v>1379</v>
      </c>
      <c r="O705" s="6" t="s">
        <v>1380</v>
      </c>
      <c r="P705" s="3">
        <v>5114.0</v>
      </c>
      <c r="Q705" s="7" t="s">
        <v>60</v>
      </c>
    </row>
    <row r="706">
      <c r="A706" s="3" t="s">
        <v>1373</v>
      </c>
      <c r="B706" s="3" t="s">
        <v>1374</v>
      </c>
      <c r="C706" s="3" t="s">
        <v>1375</v>
      </c>
      <c r="D706" s="3" t="s">
        <v>457</v>
      </c>
      <c r="E706" s="3" t="s">
        <v>1392</v>
      </c>
      <c r="F706" s="7" t="s">
        <v>60</v>
      </c>
      <c r="H706" s="15" t="s">
        <v>48</v>
      </c>
      <c r="I706" s="3" t="s">
        <v>49</v>
      </c>
      <c r="J706" s="3">
        <v>1.0</v>
      </c>
      <c r="K706" s="3" t="s">
        <v>1377</v>
      </c>
      <c r="L706" s="3" t="s">
        <v>1377</v>
      </c>
      <c r="M706" s="3" t="s">
        <v>1378</v>
      </c>
      <c r="N706" s="6" t="s">
        <v>1379</v>
      </c>
      <c r="O706" s="6" t="s">
        <v>1380</v>
      </c>
      <c r="P706" s="3">
        <v>5112.0</v>
      </c>
      <c r="Q706" s="7" t="s">
        <v>60</v>
      </c>
    </row>
    <row r="707">
      <c r="A707" s="3" t="s">
        <v>1373</v>
      </c>
      <c r="B707" s="3" t="s">
        <v>1374</v>
      </c>
      <c r="C707" s="3" t="s">
        <v>1375</v>
      </c>
      <c r="D707" s="3" t="s">
        <v>457</v>
      </c>
      <c r="E707" s="3" t="s">
        <v>1393</v>
      </c>
      <c r="F707" s="7" t="s">
        <v>60</v>
      </c>
      <c r="H707" s="15" t="s">
        <v>48</v>
      </c>
      <c r="I707" s="3" t="s">
        <v>49</v>
      </c>
      <c r="J707" s="3">
        <v>1.0</v>
      </c>
      <c r="K707" s="3" t="s">
        <v>1377</v>
      </c>
      <c r="L707" s="3" t="s">
        <v>1377</v>
      </c>
      <c r="M707" s="3" t="s">
        <v>1378</v>
      </c>
      <c r="N707" s="6" t="s">
        <v>1379</v>
      </c>
      <c r="O707" s="6" t="s">
        <v>1380</v>
      </c>
      <c r="P707" s="3">
        <v>5117.0</v>
      </c>
      <c r="Q707" s="7" t="s">
        <v>60</v>
      </c>
    </row>
    <row r="708">
      <c r="A708" s="3" t="s">
        <v>1373</v>
      </c>
      <c r="B708" s="3" t="s">
        <v>1374</v>
      </c>
      <c r="C708" s="3" t="s">
        <v>1375</v>
      </c>
      <c r="D708" s="3" t="s">
        <v>457</v>
      </c>
      <c r="E708" s="3" t="s">
        <v>1394</v>
      </c>
      <c r="F708" s="7" t="s">
        <v>60</v>
      </c>
      <c r="H708" s="15" t="s">
        <v>48</v>
      </c>
      <c r="I708" s="3" t="s">
        <v>49</v>
      </c>
      <c r="J708" s="3">
        <v>1.0</v>
      </c>
      <c r="K708" s="3" t="s">
        <v>1377</v>
      </c>
      <c r="L708" s="3" t="s">
        <v>1377</v>
      </c>
      <c r="M708" s="3" t="s">
        <v>1378</v>
      </c>
      <c r="N708" s="6" t="s">
        <v>1379</v>
      </c>
      <c r="O708" s="6" t="s">
        <v>1380</v>
      </c>
      <c r="P708" s="3">
        <v>5112.0</v>
      </c>
      <c r="Q708" s="7" t="s">
        <v>60</v>
      </c>
    </row>
    <row r="709">
      <c r="A709" s="3" t="s">
        <v>1373</v>
      </c>
      <c r="B709" s="3" t="s">
        <v>1374</v>
      </c>
      <c r="C709" s="3" t="s">
        <v>1375</v>
      </c>
      <c r="D709" s="3" t="s">
        <v>457</v>
      </c>
      <c r="E709" s="3" t="s">
        <v>1395</v>
      </c>
      <c r="F709" s="7" t="s">
        <v>60</v>
      </c>
      <c r="H709" s="15" t="s">
        <v>48</v>
      </c>
      <c r="I709" s="3" t="s">
        <v>49</v>
      </c>
      <c r="J709" s="3">
        <v>1.0</v>
      </c>
      <c r="K709" s="3" t="s">
        <v>1377</v>
      </c>
      <c r="L709" s="3" t="s">
        <v>1377</v>
      </c>
      <c r="M709" s="3" t="s">
        <v>1378</v>
      </c>
      <c r="N709" s="6" t="s">
        <v>1379</v>
      </c>
      <c r="O709" s="6" t="s">
        <v>1380</v>
      </c>
      <c r="P709" s="3">
        <v>5116.0</v>
      </c>
      <c r="Q709" s="7" t="s">
        <v>60</v>
      </c>
    </row>
    <row r="710">
      <c r="A710" s="3" t="s">
        <v>1373</v>
      </c>
      <c r="B710" s="3" t="s">
        <v>1374</v>
      </c>
      <c r="C710" s="3" t="s">
        <v>1375</v>
      </c>
      <c r="D710" s="3" t="s">
        <v>457</v>
      </c>
      <c r="E710" s="3" t="s">
        <v>1396</v>
      </c>
      <c r="F710" s="7" t="s">
        <v>60</v>
      </c>
      <c r="H710" s="15" t="s">
        <v>48</v>
      </c>
      <c r="I710" s="3" t="s">
        <v>49</v>
      </c>
      <c r="J710" s="3">
        <v>1.0</v>
      </c>
      <c r="K710" s="3" t="s">
        <v>1377</v>
      </c>
      <c r="L710" s="3" t="s">
        <v>1377</v>
      </c>
      <c r="M710" s="3" t="s">
        <v>1378</v>
      </c>
      <c r="N710" s="6" t="s">
        <v>1379</v>
      </c>
      <c r="O710" s="6" t="s">
        <v>1380</v>
      </c>
      <c r="P710" s="3">
        <v>5113.0</v>
      </c>
      <c r="Q710" s="7" t="s">
        <v>60</v>
      </c>
    </row>
    <row r="711">
      <c r="A711" s="3" t="s">
        <v>1373</v>
      </c>
      <c r="B711" s="3" t="s">
        <v>1374</v>
      </c>
      <c r="C711" s="3" t="s">
        <v>1375</v>
      </c>
      <c r="D711" s="3" t="s">
        <v>457</v>
      </c>
      <c r="E711" s="3" t="s">
        <v>1397</v>
      </c>
      <c r="F711" s="7" t="s">
        <v>60</v>
      </c>
      <c r="H711" s="15" t="s">
        <v>48</v>
      </c>
      <c r="I711" s="3" t="s">
        <v>49</v>
      </c>
      <c r="J711" s="3">
        <v>1.0</v>
      </c>
      <c r="K711" s="3" t="s">
        <v>1377</v>
      </c>
      <c r="L711" s="3" t="s">
        <v>1377</v>
      </c>
      <c r="M711" s="3" t="s">
        <v>1378</v>
      </c>
      <c r="N711" s="6" t="s">
        <v>1379</v>
      </c>
      <c r="O711" s="6" t="s">
        <v>1380</v>
      </c>
      <c r="P711" s="3">
        <v>5114.0</v>
      </c>
      <c r="Q711" s="7" t="s">
        <v>60</v>
      </c>
    </row>
    <row r="712">
      <c r="A712" s="3" t="s">
        <v>1398</v>
      </c>
      <c r="B712" s="3" t="s">
        <v>1399</v>
      </c>
      <c r="C712" s="3" t="s">
        <v>1400</v>
      </c>
      <c r="D712" s="3" t="s">
        <v>531</v>
      </c>
      <c r="E712" s="3" t="s">
        <v>1401</v>
      </c>
      <c r="F712" s="14">
        <v>46030.0</v>
      </c>
      <c r="G712" s="12" t="s">
        <v>136</v>
      </c>
      <c r="H712" s="15" t="s">
        <v>48</v>
      </c>
      <c r="I712" s="3" t="s">
        <v>49</v>
      </c>
      <c r="J712" s="3">
        <v>1.0</v>
      </c>
      <c r="K712" s="3" t="s">
        <v>1402</v>
      </c>
      <c r="L712" s="3" t="s">
        <v>1402</v>
      </c>
      <c r="M712" s="3" t="s">
        <v>669</v>
      </c>
      <c r="N712" s="6" t="s">
        <v>1403</v>
      </c>
      <c r="O712" s="6" t="s">
        <v>1404</v>
      </c>
      <c r="P712" s="3">
        <v>4300.0</v>
      </c>
      <c r="Q712" s="3">
        <v>2.0</v>
      </c>
      <c r="R712" s="3">
        <v>328.9</v>
      </c>
    </row>
    <row r="713">
      <c r="A713" s="3" t="s">
        <v>1398</v>
      </c>
      <c r="B713" s="3" t="s">
        <v>1399</v>
      </c>
      <c r="C713" s="3" t="s">
        <v>1400</v>
      </c>
      <c r="D713" s="3" t="s">
        <v>531</v>
      </c>
      <c r="E713" s="3" t="s">
        <v>1405</v>
      </c>
      <c r="F713" s="7" t="s">
        <v>60</v>
      </c>
      <c r="H713" s="15" t="s">
        <v>48</v>
      </c>
      <c r="I713" s="3" t="s">
        <v>49</v>
      </c>
      <c r="J713" s="3">
        <v>1.0</v>
      </c>
      <c r="K713" s="3" t="s">
        <v>1402</v>
      </c>
      <c r="L713" s="3" t="s">
        <v>1402</v>
      </c>
      <c r="M713" s="3" t="s">
        <v>669</v>
      </c>
      <c r="N713" s="6" t="s">
        <v>1403</v>
      </c>
      <c r="O713" s="6" t="s">
        <v>1404</v>
      </c>
      <c r="P713" s="3">
        <v>4124.0</v>
      </c>
      <c r="Q713" s="7" t="s">
        <v>60</v>
      </c>
    </row>
    <row r="714">
      <c r="A714" s="3" t="s">
        <v>1398</v>
      </c>
      <c r="B714" s="3" t="s">
        <v>1399</v>
      </c>
      <c r="C714" s="3" t="s">
        <v>1400</v>
      </c>
      <c r="D714" s="3" t="s">
        <v>531</v>
      </c>
      <c r="E714" s="3" t="s">
        <v>1406</v>
      </c>
      <c r="F714" s="7" t="s">
        <v>60</v>
      </c>
      <c r="H714" s="15" t="s">
        <v>48</v>
      </c>
      <c r="I714" s="3" t="s">
        <v>49</v>
      </c>
      <c r="J714" s="3">
        <v>1.0</v>
      </c>
      <c r="K714" s="3" t="s">
        <v>1402</v>
      </c>
      <c r="L714" s="3" t="s">
        <v>1402</v>
      </c>
      <c r="M714" s="3" t="s">
        <v>669</v>
      </c>
      <c r="N714" s="6" t="s">
        <v>1403</v>
      </c>
      <c r="O714" s="6" t="s">
        <v>1404</v>
      </c>
      <c r="P714" s="3">
        <v>4301.0</v>
      </c>
      <c r="Q714" s="7" t="s">
        <v>60</v>
      </c>
    </row>
    <row r="715">
      <c r="A715" s="3" t="s">
        <v>1398</v>
      </c>
      <c r="B715" s="3" t="s">
        <v>1399</v>
      </c>
      <c r="C715" s="3" t="s">
        <v>1400</v>
      </c>
      <c r="D715" s="3" t="s">
        <v>531</v>
      </c>
      <c r="E715" s="3" t="s">
        <v>1407</v>
      </c>
      <c r="F715" s="7" t="s">
        <v>60</v>
      </c>
      <c r="H715" s="15" t="s">
        <v>48</v>
      </c>
      <c r="I715" s="3" t="s">
        <v>49</v>
      </c>
      <c r="J715" s="3">
        <v>1.0</v>
      </c>
      <c r="K715" s="3" t="s">
        <v>1402</v>
      </c>
      <c r="L715" s="3" t="s">
        <v>1402</v>
      </c>
      <c r="M715" s="3" t="s">
        <v>669</v>
      </c>
      <c r="N715" s="6" t="s">
        <v>1403</v>
      </c>
      <c r="O715" s="6" t="s">
        <v>1404</v>
      </c>
      <c r="P715" s="3">
        <v>4301.0</v>
      </c>
      <c r="Q715" s="7" t="s">
        <v>60</v>
      </c>
    </row>
    <row r="716">
      <c r="A716" s="3" t="s">
        <v>1398</v>
      </c>
      <c r="B716" s="3" t="s">
        <v>1399</v>
      </c>
      <c r="C716" s="3" t="s">
        <v>1400</v>
      </c>
      <c r="D716" s="3" t="s">
        <v>531</v>
      </c>
      <c r="E716" s="3" t="s">
        <v>1408</v>
      </c>
      <c r="F716" s="7" t="s">
        <v>60</v>
      </c>
      <c r="H716" s="15" t="s">
        <v>48</v>
      </c>
      <c r="I716" s="3" t="s">
        <v>49</v>
      </c>
      <c r="J716" s="3">
        <v>1.0</v>
      </c>
      <c r="K716" s="3" t="s">
        <v>1402</v>
      </c>
      <c r="L716" s="3" t="s">
        <v>1402</v>
      </c>
      <c r="M716" s="3" t="s">
        <v>669</v>
      </c>
      <c r="N716" s="6" t="s">
        <v>1403</v>
      </c>
      <c r="O716" s="6" t="s">
        <v>1404</v>
      </c>
      <c r="P716" s="3">
        <v>4306.0</v>
      </c>
      <c r="Q716" s="7" t="s">
        <v>60</v>
      </c>
    </row>
    <row r="717">
      <c r="A717" s="3" t="s">
        <v>1398</v>
      </c>
      <c r="B717" s="3" t="s">
        <v>1399</v>
      </c>
      <c r="C717" s="3" t="s">
        <v>1400</v>
      </c>
      <c r="D717" s="3" t="s">
        <v>531</v>
      </c>
      <c r="E717" s="3" t="s">
        <v>1409</v>
      </c>
      <c r="F717" s="7" t="s">
        <v>60</v>
      </c>
      <c r="H717" s="15" t="s">
        <v>48</v>
      </c>
      <c r="I717" s="3" t="s">
        <v>49</v>
      </c>
      <c r="J717" s="3">
        <v>1.0</v>
      </c>
      <c r="K717" s="3" t="s">
        <v>1402</v>
      </c>
      <c r="L717" s="3" t="s">
        <v>1402</v>
      </c>
      <c r="M717" s="3" t="s">
        <v>669</v>
      </c>
      <c r="N717" s="6" t="s">
        <v>1403</v>
      </c>
      <c r="O717" s="6" t="s">
        <v>1404</v>
      </c>
      <c r="P717" s="3">
        <v>4306.0</v>
      </c>
      <c r="Q717" s="7" t="s">
        <v>60</v>
      </c>
    </row>
    <row r="718">
      <c r="A718" s="3" t="s">
        <v>1410</v>
      </c>
      <c r="B718" s="3" t="s">
        <v>1411</v>
      </c>
      <c r="C718" s="3" t="s">
        <v>1412</v>
      </c>
      <c r="D718" s="3" t="s">
        <v>531</v>
      </c>
      <c r="E718" s="3" t="s">
        <v>1413</v>
      </c>
      <c r="F718" s="5">
        <v>46044.0</v>
      </c>
      <c r="G718" s="26" t="s">
        <v>214</v>
      </c>
      <c r="H718" s="15" t="s">
        <v>48</v>
      </c>
      <c r="I718" s="3" t="s">
        <v>49</v>
      </c>
      <c r="J718" s="3">
        <v>5.0</v>
      </c>
      <c r="K718" s="3" t="s">
        <v>885</v>
      </c>
      <c r="L718" s="3" t="s">
        <v>1414</v>
      </c>
      <c r="M718" s="3" t="s">
        <v>1415</v>
      </c>
      <c r="N718" s="6" t="s">
        <v>1416</v>
      </c>
      <c r="O718" s="6" t="s">
        <v>1417</v>
      </c>
      <c r="P718" s="3">
        <v>4560.0</v>
      </c>
      <c r="Q718" s="3">
        <v>1.0</v>
      </c>
      <c r="R718" s="3">
        <v>383.9</v>
      </c>
    </row>
    <row r="719">
      <c r="A719" s="3" t="s">
        <v>1410</v>
      </c>
      <c r="B719" s="3" t="s">
        <v>1411</v>
      </c>
      <c r="C719" s="3" t="s">
        <v>1412</v>
      </c>
      <c r="D719" s="3" t="s">
        <v>531</v>
      </c>
      <c r="E719" s="3" t="s">
        <v>1418</v>
      </c>
      <c r="F719" s="7" t="s">
        <v>60</v>
      </c>
      <c r="H719" s="15" t="s">
        <v>48</v>
      </c>
      <c r="I719" s="3" t="s">
        <v>49</v>
      </c>
      <c r="J719" s="3">
        <v>2.0</v>
      </c>
      <c r="K719" s="3" t="s">
        <v>158</v>
      </c>
      <c r="L719" s="3" t="s">
        <v>1414</v>
      </c>
      <c r="M719" s="3" t="s">
        <v>1415</v>
      </c>
      <c r="N719" s="6" t="s">
        <v>1416</v>
      </c>
      <c r="O719" s="6" t="s">
        <v>1417</v>
      </c>
      <c r="P719" s="3">
        <v>4560.0</v>
      </c>
      <c r="Q719" s="7" t="s">
        <v>60</v>
      </c>
    </row>
    <row r="720">
      <c r="A720" s="3" t="s">
        <v>1410</v>
      </c>
      <c r="B720" s="3" t="s">
        <v>1411</v>
      </c>
      <c r="C720" s="3" t="s">
        <v>1412</v>
      </c>
      <c r="D720" s="3" t="s">
        <v>531</v>
      </c>
      <c r="E720" s="3" t="s">
        <v>1419</v>
      </c>
      <c r="F720" s="7" t="s">
        <v>60</v>
      </c>
      <c r="H720" s="15" t="s">
        <v>48</v>
      </c>
      <c r="I720" s="3" t="s">
        <v>49</v>
      </c>
      <c r="J720" s="3">
        <v>2.0</v>
      </c>
      <c r="K720" s="3" t="s">
        <v>158</v>
      </c>
      <c r="L720" s="3" t="s">
        <v>1414</v>
      </c>
      <c r="M720" s="3" t="s">
        <v>1415</v>
      </c>
      <c r="N720" s="6" t="s">
        <v>1416</v>
      </c>
      <c r="O720" s="6" t="s">
        <v>1417</v>
      </c>
      <c r="P720" s="3">
        <v>4560.0</v>
      </c>
      <c r="Q720" s="7" t="s">
        <v>60</v>
      </c>
    </row>
    <row r="721">
      <c r="A721" s="3" t="s">
        <v>1410</v>
      </c>
      <c r="B721" s="3" t="s">
        <v>1411</v>
      </c>
      <c r="C721" s="3" t="s">
        <v>1412</v>
      </c>
      <c r="D721" s="3" t="s">
        <v>531</v>
      </c>
      <c r="E721" s="3" t="s">
        <v>1420</v>
      </c>
      <c r="F721" s="7" t="s">
        <v>60</v>
      </c>
      <c r="H721" s="15" t="s">
        <v>48</v>
      </c>
      <c r="I721" s="3" t="s">
        <v>49</v>
      </c>
      <c r="J721" s="3">
        <v>2.0</v>
      </c>
      <c r="K721" s="3" t="s">
        <v>158</v>
      </c>
      <c r="L721" s="3" t="s">
        <v>1414</v>
      </c>
      <c r="M721" s="3" t="s">
        <v>1415</v>
      </c>
      <c r="N721" s="6" t="s">
        <v>1416</v>
      </c>
      <c r="O721" s="6" t="s">
        <v>1417</v>
      </c>
      <c r="P721" s="3">
        <v>4560.0</v>
      </c>
      <c r="Q721" s="7" t="s">
        <v>60</v>
      </c>
    </row>
    <row r="722">
      <c r="A722" s="3" t="s">
        <v>1410</v>
      </c>
      <c r="B722" s="3" t="s">
        <v>1411</v>
      </c>
      <c r="C722" s="3" t="s">
        <v>1412</v>
      </c>
      <c r="D722" s="3" t="s">
        <v>531</v>
      </c>
      <c r="E722" s="3" t="s">
        <v>1421</v>
      </c>
      <c r="F722" s="7" t="s">
        <v>60</v>
      </c>
      <c r="H722" s="15" t="s">
        <v>48</v>
      </c>
      <c r="I722" s="3" t="s">
        <v>49</v>
      </c>
      <c r="J722" s="3">
        <v>2.0</v>
      </c>
      <c r="K722" s="3" t="s">
        <v>158</v>
      </c>
      <c r="L722" s="3" t="s">
        <v>1414</v>
      </c>
      <c r="M722" s="3" t="s">
        <v>1415</v>
      </c>
      <c r="N722" s="6" t="s">
        <v>1416</v>
      </c>
      <c r="O722" s="6" t="s">
        <v>1417</v>
      </c>
      <c r="P722" s="3">
        <v>4560.0</v>
      </c>
      <c r="Q722" s="7" t="s">
        <v>60</v>
      </c>
    </row>
    <row r="723">
      <c r="A723" s="15" t="s">
        <v>1410</v>
      </c>
      <c r="B723" s="15" t="s">
        <v>1411</v>
      </c>
      <c r="C723" s="15" t="s">
        <v>1412</v>
      </c>
      <c r="D723" s="15" t="s">
        <v>531</v>
      </c>
      <c r="E723" s="19" t="s">
        <v>1422</v>
      </c>
      <c r="F723" s="44" t="s">
        <v>60</v>
      </c>
      <c r="G723" s="15"/>
      <c r="H723" s="15" t="s">
        <v>48</v>
      </c>
      <c r="I723" s="15" t="s">
        <v>49</v>
      </c>
      <c r="J723" s="34">
        <v>2.0</v>
      </c>
      <c r="K723" s="15" t="s">
        <v>158</v>
      </c>
      <c r="L723" s="15" t="s">
        <v>1414</v>
      </c>
      <c r="M723" s="15" t="s">
        <v>1415</v>
      </c>
      <c r="N723" s="20" t="s">
        <v>1416</v>
      </c>
      <c r="O723" s="20" t="s">
        <v>1417</v>
      </c>
      <c r="P723" s="34">
        <v>4560.0</v>
      </c>
      <c r="Q723" s="21" t="s">
        <v>60</v>
      </c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</row>
    <row r="724">
      <c r="A724" s="15" t="s">
        <v>1410</v>
      </c>
      <c r="B724" s="15" t="s">
        <v>1411</v>
      </c>
      <c r="C724" s="15" t="s">
        <v>1412</v>
      </c>
      <c r="D724" s="15" t="s">
        <v>531</v>
      </c>
      <c r="E724" s="19" t="s">
        <v>1423</v>
      </c>
      <c r="F724" s="44" t="s">
        <v>60</v>
      </c>
      <c r="G724" s="15"/>
      <c r="H724" s="15" t="s">
        <v>48</v>
      </c>
      <c r="I724" s="15" t="s">
        <v>49</v>
      </c>
      <c r="J724" s="34">
        <v>2.0</v>
      </c>
      <c r="K724" s="15" t="s">
        <v>158</v>
      </c>
      <c r="L724" s="15" t="s">
        <v>1414</v>
      </c>
      <c r="M724" s="15" t="s">
        <v>1415</v>
      </c>
      <c r="N724" s="20" t="s">
        <v>1416</v>
      </c>
      <c r="O724" s="20" t="s">
        <v>1417</v>
      </c>
      <c r="P724" s="34">
        <v>4560.0</v>
      </c>
      <c r="Q724" s="21" t="s">
        <v>60</v>
      </c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</row>
    <row r="725">
      <c r="A725" s="15" t="s">
        <v>1410</v>
      </c>
      <c r="B725" s="15" t="s">
        <v>1411</v>
      </c>
      <c r="C725" s="15" t="s">
        <v>1412</v>
      </c>
      <c r="D725" s="15" t="s">
        <v>531</v>
      </c>
      <c r="E725" s="19" t="s">
        <v>1424</v>
      </c>
      <c r="F725" s="44" t="s">
        <v>60</v>
      </c>
      <c r="G725" s="15"/>
      <c r="H725" s="15" t="s">
        <v>48</v>
      </c>
      <c r="I725" s="15" t="s">
        <v>49</v>
      </c>
      <c r="J725" s="34">
        <v>2.0</v>
      </c>
      <c r="K725" s="15" t="s">
        <v>158</v>
      </c>
      <c r="L725" s="15" t="s">
        <v>1414</v>
      </c>
      <c r="M725" s="15" t="s">
        <v>1415</v>
      </c>
      <c r="N725" s="20" t="s">
        <v>1416</v>
      </c>
      <c r="O725" s="20" t="s">
        <v>1417</v>
      </c>
      <c r="P725" s="34">
        <v>4560.0</v>
      </c>
      <c r="Q725" s="21" t="s">
        <v>60</v>
      </c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</row>
    <row r="726">
      <c r="A726" s="19" t="s">
        <v>1425</v>
      </c>
      <c r="B726" s="19" t="s">
        <v>1426</v>
      </c>
      <c r="C726" s="19" t="s">
        <v>1427</v>
      </c>
      <c r="D726" s="19" t="s">
        <v>531</v>
      </c>
      <c r="E726" s="3" t="s">
        <v>1428</v>
      </c>
      <c r="F726" s="14">
        <v>46085.0</v>
      </c>
      <c r="G726" s="24" t="s">
        <v>214</v>
      </c>
      <c r="H726" s="19" t="s">
        <v>48</v>
      </c>
      <c r="I726" s="3" t="s">
        <v>49</v>
      </c>
      <c r="J726" s="3">
        <v>6.0</v>
      </c>
      <c r="K726" s="3" t="s">
        <v>818</v>
      </c>
      <c r="L726" s="3" t="s">
        <v>804</v>
      </c>
      <c r="M726" s="3" t="s">
        <v>1415</v>
      </c>
      <c r="N726" s="6" t="s">
        <v>1429</v>
      </c>
      <c r="O726" s="20" t="s">
        <v>1417</v>
      </c>
      <c r="P726" s="3">
        <v>4559.0</v>
      </c>
      <c r="Q726" s="3">
        <v>1.0</v>
      </c>
    </row>
    <row r="727">
      <c r="A727" s="19" t="s">
        <v>1425</v>
      </c>
      <c r="B727" s="19" t="s">
        <v>1426</v>
      </c>
      <c r="C727" s="19" t="s">
        <v>1427</v>
      </c>
      <c r="D727" s="3" t="s">
        <v>531</v>
      </c>
      <c r="E727" s="3" t="s">
        <v>1430</v>
      </c>
      <c r="F727" s="7" t="s">
        <v>60</v>
      </c>
      <c r="H727" s="19" t="s">
        <v>48</v>
      </c>
      <c r="I727" s="3" t="s">
        <v>49</v>
      </c>
      <c r="J727" s="3">
        <v>6.0</v>
      </c>
      <c r="K727" s="3" t="s">
        <v>818</v>
      </c>
      <c r="L727" s="3" t="s">
        <v>804</v>
      </c>
      <c r="M727" s="3" t="s">
        <v>1415</v>
      </c>
      <c r="N727" s="6" t="s">
        <v>1429</v>
      </c>
      <c r="O727" s="20" t="s">
        <v>1417</v>
      </c>
      <c r="P727" s="3">
        <v>4559.0</v>
      </c>
      <c r="Q727" s="7" t="s">
        <v>60</v>
      </c>
    </row>
    <row r="728">
      <c r="A728" s="19" t="s">
        <v>1425</v>
      </c>
      <c r="B728" s="19" t="s">
        <v>1426</v>
      </c>
      <c r="C728" s="19" t="s">
        <v>1427</v>
      </c>
      <c r="D728" s="3" t="s">
        <v>531</v>
      </c>
      <c r="E728" s="3" t="s">
        <v>1431</v>
      </c>
      <c r="F728" s="7" t="s">
        <v>60</v>
      </c>
      <c r="H728" s="19" t="s">
        <v>48</v>
      </c>
      <c r="I728" s="3" t="s">
        <v>49</v>
      </c>
      <c r="J728" s="3">
        <v>6.0</v>
      </c>
      <c r="K728" s="3" t="s">
        <v>818</v>
      </c>
      <c r="L728" s="3" t="s">
        <v>804</v>
      </c>
      <c r="M728" s="3" t="s">
        <v>1415</v>
      </c>
      <c r="N728" s="6" t="s">
        <v>1429</v>
      </c>
      <c r="O728" s="20" t="s">
        <v>1417</v>
      </c>
      <c r="P728" s="3">
        <v>4559.0</v>
      </c>
      <c r="Q728" s="7" t="s">
        <v>60</v>
      </c>
    </row>
    <row r="729">
      <c r="A729" s="19" t="s">
        <v>1425</v>
      </c>
      <c r="B729" s="19" t="s">
        <v>1426</v>
      </c>
      <c r="C729" s="19" t="s">
        <v>1427</v>
      </c>
      <c r="D729" s="3" t="s">
        <v>531</v>
      </c>
      <c r="E729" s="3" t="s">
        <v>1432</v>
      </c>
      <c r="F729" s="7" t="s">
        <v>60</v>
      </c>
      <c r="H729" s="19" t="s">
        <v>48</v>
      </c>
      <c r="I729" s="3" t="s">
        <v>49</v>
      </c>
      <c r="J729" s="3">
        <v>6.0</v>
      </c>
      <c r="K729" s="3" t="s">
        <v>818</v>
      </c>
      <c r="L729" s="3" t="s">
        <v>804</v>
      </c>
      <c r="M729" s="3" t="s">
        <v>1415</v>
      </c>
      <c r="N729" s="6" t="s">
        <v>1429</v>
      </c>
      <c r="O729" s="20" t="s">
        <v>1417</v>
      </c>
      <c r="P729" s="3">
        <v>4559.0</v>
      </c>
      <c r="Q729" s="7" t="s">
        <v>60</v>
      </c>
    </row>
    <row r="730">
      <c r="A730" s="19" t="s">
        <v>1425</v>
      </c>
      <c r="B730" s="19" t="s">
        <v>1426</v>
      </c>
      <c r="C730" s="19" t="s">
        <v>1427</v>
      </c>
      <c r="D730" s="3" t="s">
        <v>531</v>
      </c>
      <c r="E730" s="3" t="s">
        <v>1433</v>
      </c>
      <c r="F730" s="7" t="s">
        <v>60</v>
      </c>
      <c r="H730" s="19" t="s">
        <v>48</v>
      </c>
      <c r="I730" s="3" t="s">
        <v>49</v>
      </c>
      <c r="J730" s="3">
        <v>6.0</v>
      </c>
      <c r="K730" s="3" t="s">
        <v>818</v>
      </c>
      <c r="L730" s="3" t="s">
        <v>804</v>
      </c>
      <c r="M730" s="3" t="s">
        <v>1415</v>
      </c>
      <c r="N730" s="6" t="s">
        <v>1429</v>
      </c>
      <c r="O730" s="20" t="s">
        <v>1417</v>
      </c>
      <c r="P730" s="3">
        <v>4560.0</v>
      </c>
      <c r="Q730" s="7" t="s">
        <v>60</v>
      </c>
    </row>
    <row r="731">
      <c r="A731" s="3" t="s">
        <v>1434</v>
      </c>
      <c r="B731" s="3" t="s">
        <v>1435</v>
      </c>
      <c r="C731" s="3" t="s">
        <v>1436</v>
      </c>
      <c r="D731" s="3" t="s">
        <v>472</v>
      </c>
      <c r="E731" s="3" t="s">
        <v>1437</v>
      </c>
      <c r="F731" s="5">
        <v>46050.0</v>
      </c>
      <c r="G731" s="12" t="s">
        <v>136</v>
      </c>
      <c r="H731" s="15" t="s">
        <v>48</v>
      </c>
      <c r="I731" s="3" t="s">
        <v>49</v>
      </c>
      <c r="J731" s="3">
        <v>2.0</v>
      </c>
      <c r="K731" s="3" t="s">
        <v>642</v>
      </c>
      <c r="L731" s="3" t="s">
        <v>1438</v>
      </c>
      <c r="M731" s="3" t="s">
        <v>1439</v>
      </c>
      <c r="N731" s="6" t="s">
        <v>1440</v>
      </c>
      <c r="O731" s="6" t="s">
        <v>1441</v>
      </c>
      <c r="P731" s="3">
        <v>3183.0</v>
      </c>
      <c r="Q731" s="3">
        <v>2.0</v>
      </c>
    </row>
    <row r="732">
      <c r="A732" s="3" t="s">
        <v>1434</v>
      </c>
      <c r="B732" s="3" t="s">
        <v>1435</v>
      </c>
      <c r="C732" s="3" t="s">
        <v>1436</v>
      </c>
      <c r="D732" s="3" t="s">
        <v>472</v>
      </c>
      <c r="E732" s="3" t="s">
        <v>1442</v>
      </c>
      <c r="F732" s="7" t="s">
        <v>60</v>
      </c>
      <c r="H732" s="15" t="s">
        <v>48</v>
      </c>
      <c r="I732" s="3" t="s">
        <v>49</v>
      </c>
      <c r="J732" s="3">
        <v>2.0</v>
      </c>
      <c r="K732" s="3" t="s">
        <v>642</v>
      </c>
      <c r="L732" s="3" t="s">
        <v>1438</v>
      </c>
      <c r="M732" s="3" t="s">
        <v>1439</v>
      </c>
      <c r="N732" s="6" t="s">
        <v>1440</v>
      </c>
      <c r="O732" s="6" t="s">
        <v>1441</v>
      </c>
      <c r="P732" s="3">
        <v>3183.0</v>
      </c>
      <c r="Q732" s="7" t="s">
        <v>60</v>
      </c>
    </row>
    <row r="733">
      <c r="A733" s="3" t="s">
        <v>1434</v>
      </c>
      <c r="B733" s="3" t="s">
        <v>1435</v>
      </c>
      <c r="C733" s="3" t="s">
        <v>1436</v>
      </c>
      <c r="D733" s="3" t="s">
        <v>472</v>
      </c>
      <c r="E733" s="3" t="s">
        <v>1443</v>
      </c>
      <c r="F733" s="7" t="s">
        <v>60</v>
      </c>
      <c r="H733" s="15" t="s">
        <v>48</v>
      </c>
      <c r="I733" s="3" t="s">
        <v>49</v>
      </c>
      <c r="J733" s="3">
        <v>2.0</v>
      </c>
      <c r="K733" s="3" t="s">
        <v>642</v>
      </c>
      <c r="L733" s="3" t="s">
        <v>1438</v>
      </c>
      <c r="M733" s="3" t="s">
        <v>1439</v>
      </c>
      <c r="N733" s="6" t="s">
        <v>1440</v>
      </c>
      <c r="O733" s="6" t="s">
        <v>1441</v>
      </c>
      <c r="P733" s="3">
        <v>3162.0</v>
      </c>
      <c r="Q733" s="7" t="s">
        <v>60</v>
      </c>
    </row>
    <row r="734">
      <c r="A734" s="3" t="s">
        <v>1434</v>
      </c>
      <c r="B734" s="3" t="s">
        <v>1435</v>
      </c>
      <c r="C734" s="3" t="s">
        <v>1436</v>
      </c>
      <c r="D734" s="3" t="s">
        <v>472</v>
      </c>
      <c r="E734" s="3" t="s">
        <v>1444</v>
      </c>
      <c r="F734" s="7" t="s">
        <v>60</v>
      </c>
      <c r="H734" s="15" t="s">
        <v>48</v>
      </c>
      <c r="I734" s="3" t="s">
        <v>49</v>
      </c>
      <c r="J734" s="3">
        <v>2.0</v>
      </c>
      <c r="K734" s="3" t="s">
        <v>642</v>
      </c>
      <c r="L734" s="3" t="s">
        <v>1438</v>
      </c>
      <c r="M734" s="3" t="s">
        <v>1439</v>
      </c>
      <c r="N734" s="6" t="s">
        <v>1440</v>
      </c>
      <c r="O734" s="6" t="s">
        <v>1441</v>
      </c>
      <c r="P734" s="3">
        <v>3162.0</v>
      </c>
      <c r="Q734" s="7" t="s">
        <v>60</v>
      </c>
    </row>
    <row r="735">
      <c r="A735" s="3" t="s">
        <v>1434</v>
      </c>
      <c r="B735" s="3" t="s">
        <v>1435</v>
      </c>
      <c r="C735" s="3" t="s">
        <v>1436</v>
      </c>
      <c r="D735" s="3" t="s">
        <v>472</v>
      </c>
      <c r="E735" s="3" t="s">
        <v>1445</v>
      </c>
      <c r="F735" s="7" t="s">
        <v>60</v>
      </c>
      <c r="H735" s="15" t="s">
        <v>48</v>
      </c>
      <c r="I735" s="3" t="s">
        <v>49</v>
      </c>
      <c r="J735" s="3">
        <v>2.0</v>
      </c>
      <c r="K735" s="3" t="s">
        <v>642</v>
      </c>
      <c r="L735" s="3" t="s">
        <v>1438</v>
      </c>
      <c r="M735" s="3" t="s">
        <v>1439</v>
      </c>
      <c r="N735" s="6" t="s">
        <v>1440</v>
      </c>
      <c r="O735" s="6" t="s">
        <v>1441</v>
      </c>
      <c r="P735" s="3">
        <v>3146.0</v>
      </c>
      <c r="Q735" s="7" t="s">
        <v>60</v>
      </c>
    </row>
    <row r="736">
      <c r="A736" s="3" t="s">
        <v>1434</v>
      </c>
      <c r="B736" s="3" t="s">
        <v>1435</v>
      </c>
      <c r="C736" s="3" t="s">
        <v>1436</v>
      </c>
      <c r="D736" s="3" t="s">
        <v>472</v>
      </c>
      <c r="E736" s="27" t="s">
        <v>1446</v>
      </c>
      <c r="F736" s="7" t="s">
        <v>60</v>
      </c>
      <c r="H736" s="15" t="s">
        <v>48</v>
      </c>
      <c r="I736" s="3" t="s">
        <v>49</v>
      </c>
      <c r="J736" s="3">
        <v>2.0</v>
      </c>
      <c r="K736" s="3" t="s">
        <v>642</v>
      </c>
      <c r="L736" s="3" t="s">
        <v>1438</v>
      </c>
      <c r="M736" s="3" t="s">
        <v>1439</v>
      </c>
      <c r="N736" s="6" t="s">
        <v>1440</v>
      </c>
      <c r="O736" s="6" t="s">
        <v>1441</v>
      </c>
      <c r="P736" s="3">
        <v>3004.0</v>
      </c>
      <c r="Q736" s="7" t="s">
        <v>60</v>
      </c>
    </row>
    <row r="737">
      <c r="A737" s="3" t="s">
        <v>1434</v>
      </c>
      <c r="B737" s="3" t="s">
        <v>1435</v>
      </c>
      <c r="C737" s="3" t="s">
        <v>1436</v>
      </c>
      <c r="D737" s="3" t="s">
        <v>472</v>
      </c>
      <c r="E737" s="27" t="s">
        <v>1446</v>
      </c>
      <c r="F737" s="7" t="s">
        <v>60</v>
      </c>
      <c r="H737" s="15" t="s">
        <v>48</v>
      </c>
      <c r="I737" s="3" t="s">
        <v>49</v>
      </c>
      <c r="J737" s="3">
        <v>2.0</v>
      </c>
      <c r="K737" s="3" t="s">
        <v>642</v>
      </c>
      <c r="L737" s="3" t="s">
        <v>1438</v>
      </c>
      <c r="M737" s="3" t="s">
        <v>1439</v>
      </c>
      <c r="N737" s="6" t="s">
        <v>1440</v>
      </c>
      <c r="O737" s="6" t="s">
        <v>1441</v>
      </c>
      <c r="P737" s="3">
        <v>3000.0</v>
      </c>
      <c r="Q737" s="7" t="s">
        <v>60</v>
      </c>
    </row>
    <row r="738">
      <c r="A738" s="3" t="s">
        <v>1447</v>
      </c>
      <c r="B738" s="3" t="s">
        <v>1448</v>
      </c>
      <c r="C738" s="3" t="s">
        <v>1449</v>
      </c>
      <c r="D738" s="3" t="s">
        <v>472</v>
      </c>
      <c r="E738" s="3" t="s">
        <v>584</v>
      </c>
      <c r="F738" s="5">
        <v>46051.0</v>
      </c>
      <c r="G738" s="26" t="s">
        <v>214</v>
      </c>
      <c r="H738" s="15" t="s">
        <v>48</v>
      </c>
      <c r="I738" s="3" t="s">
        <v>49</v>
      </c>
      <c r="J738" s="3">
        <v>2.0</v>
      </c>
      <c r="K738" s="3" t="s">
        <v>642</v>
      </c>
      <c r="L738" s="3" t="s">
        <v>534</v>
      </c>
      <c r="M738" s="3" t="s">
        <v>1450</v>
      </c>
      <c r="N738" s="6" t="s">
        <v>1451</v>
      </c>
      <c r="O738" s="6" t="s">
        <v>1452</v>
      </c>
      <c r="P738" s="3">
        <v>3186.0</v>
      </c>
      <c r="Q738" s="3">
        <v>2.0</v>
      </c>
    </row>
    <row r="739">
      <c r="A739" s="3" t="s">
        <v>1447</v>
      </c>
      <c r="B739" s="3" t="s">
        <v>1448</v>
      </c>
      <c r="C739" s="3" t="s">
        <v>1449</v>
      </c>
      <c r="D739" s="3" t="s">
        <v>472</v>
      </c>
      <c r="E739" s="3" t="s">
        <v>1453</v>
      </c>
      <c r="F739" s="7" t="s">
        <v>60</v>
      </c>
      <c r="H739" s="15" t="s">
        <v>48</v>
      </c>
      <c r="I739" s="3" t="s">
        <v>49</v>
      </c>
      <c r="J739" s="3">
        <v>2.0</v>
      </c>
      <c r="K739" s="3" t="s">
        <v>642</v>
      </c>
      <c r="L739" s="3" t="s">
        <v>534</v>
      </c>
      <c r="M739" s="3" t="s">
        <v>1450</v>
      </c>
      <c r="N739" s="6" t="s">
        <v>1451</v>
      </c>
      <c r="O739" s="6" t="s">
        <v>1452</v>
      </c>
      <c r="P739" s="3">
        <v>3187.0</v>
      </c>
      <c r="Q739" s="7" t="s">
        <v>60</v>
      </c>
    </row>
    <row r="740">
      <c r="A740" s="3" t="s">
        <v>1447</v>
      </c>
      <c r="B740" s="3" t="s">
        <v>1448</v>
      </c>
      <c r="C740" s="3" t="s">
        <v>1449</v>
      </c>
      <c r="D740" s="3" t="s">
        <v>472</v>
      </c>
      <c r="E740" s="3" t="s">
        <v>1454</v>
      </c>
      <c r="F740" s="7" t="s">
        <v>60</v>
      </c>
      <c r="H740" s="15" t="s">
        <v>48</v>
      </c>
      <c r="I740" s="3" t="s">
        <v>49</v>
      </c>
      <c r="J740" s="3">
        <v>2.0</v>
      </c>
      <c r="K740" s="3" t="s">
        <v>642</v>
      </c>
      <c r="L740" s="3" t="s">
        <v>534</v>
      </c>
      <c r="M740" s="3" t="s">
        <v>1450</v>
      </c>
      <c r="N740" s="6" t="s">
        <v>1451</v>
      </c>
      <c r="O740" s="6" t="s">
        <v>1452</v>
      </c>
      <c r="P740" s="3">
        <v>3194.0</v>
      </c>
      <c r="Q740" s="7" t="s">
        <v>60</v>
      </c>
    </row>
    <row r="741">
      <c r="A741" s="3" t="s">
        <v>1447</v>
      </c>
      <c r="B741" s="3" t="s">
        <v>1448</v>
      </c>
      <c r="C741" s="3" t="s">
        <v>1449</v>
      </c>
      <c r="D741" s="3" t="s">
        <v>472</v>
      </c>
      <c r="E741" s="3" t="s">
        <v>1455</v>
      </c>
      <c r="F741" s="7" t="s">
        <v>60</v>
      </c>
      <c r="H741" s="15" t="s">
        <v>48</v>
      </c>
      <c r="I741" s="3" t="s">
        <v>49</v>
      </c>
      <c r="J741" s="3">
        <v>2.0</v>
      </c>
      <c r="K741" s="3" t="s">
        <v>642</v>
      </c>
      <c r="L741" s="3" t="s">
        <v>534</v>
      </c>
      <c r="M741" s="3" t="s">
        <v>1450</v>
      </c>
      <c r="N741" s="6" t="s">
        <v>1451</v>
      </c>
      <c r="O741" s="6" t="s">
        <v>1452</v>
      </c>
      <c r="P741" s="3">
        <v>3193.0</v>
      </c>
      <c r="Q741" s="7" t="s">
        <v>60</v>
      </c>
    </row>
    <row r="742">
      <c r="A742" s="3" t="s">
        <v>1447</v>
      </c>
      <c r="B742" s="3" t="s">
        <v>1448</v>
      </c>
      <c r="C742" s="3" t="s">
        <v>1449</v>
      </c>
      <c r="D742" s="3" t="s">
        <v>472</v>
      </c>
      <c r="E742" s="3" t="s">
        <v>1456</v>
      </c>
      <c r="F742" s="7" t="s">
        <v>60</v>
      </c>
      <c r="H742" s="15" t="s">
        <v>48</v>
      </c>
      <c r="I742" s="3" t="s">
        <v>49</v>
      </c>
      <c r="J742" s="3">
        <v>2.0</v>
      </c>
      <c r="K742" s="3" t="s">
        <v>642</v>
      </c>
      <c r="L742" s="3" t="s">
        <v>534</v>
      </c>
      <c r="M742" s="3" t="s">
        <v>1450</v>
      </c>
      <c r="N742" s="6" t="s">
        <v>1451</v>
      </c>
      <c r="O742" s="6" t="s">
        <v>1452</v>
      </c>
      <c r="P742" s="3">
        <v>3193.0</v>
      </c>
      <c r="Q742" s="7" t="s">
        <v>60</v>
      </c>
    </row>
    <row r="743">
      <c r="A743" s="3" t="s">
        <v>1447</v>
      </c>
      <c r="B743" s="3" t="s">
        <v>1448</v>
      </c>
      <c r="C743" s="3" t="s">
        <v>1449</v>
      </c>
      <c r="D743" s="3" t="s">
        <v>472</v>
      </c>
      <c r="E743" s="3" t="s">
        <v>1457</v>
      </c>
      <c r="F743" s="7" t="s">
        <v>60</v>
      </c>
      <c r="H743" s="15" t="s">
        <v>48</v>
      </c>
      <c r="I743" s="3" t="s">
        <v>49</v>
      </c>
      <c r="J743" s="3">
        <v>2.0</v>
      </c>
      <c r="K743" s="3" t="s">
        <v>642</v>
      </c>
      <c r="L743" s="3" t="s">
        <v>534</v>
      </c>
      <c r="M743" s="3" t="s">
        <v>1450</v>
      </c>
      <c r="N743" s="6" t="s">
        <v>1451</v>
      </c>
      <c r="O743" s="6" t="s">
        <v>1452</v>
      </c>
      <c r="P743" s="3">
        <v>3163.0</v>
      </c>
      <c r="Q743" s="7" t="s">
        <v>60</v>
      </c>
    </row>
    <row r="744">
      <c r="A744" s="3" t="s">
        <v>1447</v>
      </c>
      <c r="B744" s="3" t="s">
        <v>1448</v>
      </c>
      <c r="C744" s="3" t="s">
        <v>1449</v>
      </c>
      <c r="D744" s="3" t="s">
        <v>472</v>
      </c>
      <c r="E744" s="3" t="s">
        <v>1458</v>
      </c>
      <c r="F744" s="7" t="s">
        <v>60</v>
      </c>
      <c r="H744" s="15" t="s">
        <v>48</v>
      </c>
      <c r="I744" s="3" t="s">
        <v>49</v>
      </c>
      <c r="J744" s="3">
        <v>1.0</v>
      </c>
      <c r="K744" s="3" t="s">
        <v>534</v>
      </c>
      <c r="L744" s="3" t="s">
        <v>534</v>
      </c>
      <c r="M744" s="3" t="s">
        <v>1450</v>
      </c>
      <c r="N744" s="6" t="s">
        <v>1451</v>
      </c>
      <c r="O744" s="6" t="s">
        <v>1452</v>
      </c>
      <c r="P744" s="3">
        <v>3195.0</v>
      </c>
      <c r="Q744" s="7" t="s">
        <v>60</v>
      </c>
    </row>
    <row r="745">
      <c r="A745" s="3" t="s">
        <v>1447</v>
      </c>
      <c r="B745" s="3" t="s">
        <v>1448</v>
      </c>
      <c r="C745" s="3" t="s">
        <v>1449</v>
      </c>
      <c r="D745" s="3" t="s">
        <v>472</v>
      </c>
      <c r="E745" s="3" t="s">
        <v>1459</v>
      </c>
      <c r="F745" s="7" t="s">
        <v>60</v>
      </c>
      <c r="H745" s="15" t="s">
        <v>48</v>
      </c>
      <c r="I745" s="3" t="s">
        <v>49</v>
      </c>
      <c r="J745" s="3">
        <v>1.0</v>
      </c>
      <c r="K745" s="3" t="s">
        <v>534</v>
      </c>
      <c r="L745" s="3" t="s">
        <v>534</v>
      </c>
      <c r="M745" s="3" t="s">
        <v>1450</v>
      </c>
      <c r="N745" s="6" t="s">
        <v>1451</v>
      </c>
      <c r="O745" s="6" t="s">
        <v>1452</v>
      </c>
      <c r="P745" s="3">
        <v>3195.0</v>
      </c>
      <c r="Q745" s="7" t="s">
        <v>60</v>
      </c>
    </row>
    <row r="746">
      <c r="A746" s="15" t="s">
        <v>1447</v>
      </c>
      <c r="B746" s="15" t="s">
        <v>1448</v>
      </c>
      <c r="C746" s="15" t="s">
        <v>1449</v>
      </c>
      <c r="D746" s="15" t="s">
        <v>472</v>
      </c>
      <c r="E746" s="27" t="s">
        <v>1460</v>
      </c>
      <c r="F746" s="44" t="s">
        <v>60</v>
      </c>
      <c r="G746" s="15"/>
      <c r="H746" s="15" t="s">
        <v>48</v>
      </c>
      <c r="I746" s="15" t="s">
        <v>49</v>
      </c>
      <c r="J746" s="34">
        <v>1.0</v>
      </c>
      <c r="K746" s="15" t="s">
        <v>534</v>
      </c>
      <c r="L746" s="15" t="s">
        <v>534</v>
      </c>
      <c r="M746" s="15" t="s">
        <v>1450</v>
      </c>
      <c r="N746" s="20" t="s">
        <v>1451</v>
      </c>
      <c r="O746" s="20" t="s">
        <v>1452</v>
      </c>
      <c r="P746" s="18">
        <v>3189.0</v>
      </c>
      <c r="Q746" s="21" t="s">
        <v>60</v>
      </c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</row>
    <row r="747">
      <c r="A747" s="3" t="s">
        <v>1461</v>
      </c>
      <c r="B747" s="3" t="s">
        <v>1462</v>
      </c>
      <c r="C747" s="3" t="s">
        <v>1463</v>
      </c>
      <c r="D747" s="3" t="s">
        <v>472</v>
      </c>
      <c r="E747" s="3" t="s">
        <v>1464</v>
      </c>
      <c r="F747" s="14">
        <v>46055.0</v>
      </c>
      <c r="G747" s="12" t="s">
        <v>136</v>
      </c>
      <c r="H747" s="15" t="s">
        <v>48</v>
      </c>
      <c r="I747" s="3" t="s">
        <v>49</v>
      </c>
      <c r="J747" s="3">
        <v>7.0</v>
      </c>
      <c r="K747" s="3" t="s">
        <v>1465</v>
      </c>
      <c r="L747" s="3" t="s">
        <v>1466</v>
      </c>
      <c r="M747" s="3" t="s">
        <v>1467</v>
      </c>
      <c r="N747" s="6" t="s">
        <v>1468</v>
      </c>
      <c r="O747" s="6" t="s">
        <v>1469</v>
      </c>
      <c r="P747" s="3">
        <v>3088.0</v>
      </c>
      <c r="Q747" s="3">
        <v>2.0</v>
      </c>
    </row>
    <row r="748">
      <c r="A748" s="3" t="s">
        <v>1461</v>
      </c>
      <c r="B748" s="3" t="s">
        <v>1462</v>
      </c>
      <c r="C748" s="3" t="s">
        <v>1463</v>
      </c>
      <c r="D748" s="3" t="s">
        <v>472</v>
      </c>
      <c r="E748" s="3" t="s">
        <v>1470</v>
      </c>
      <c r="F748" s="7" t="s">
        <v>60</v>
      </c>
      <c r="H748" s="15" t="s">
        <v>48</v>
      </c>
      <c r="I748" s="3" t="s">
        <v>49</v>
      </c>
      <c r="J748" s="3">
        <v>4.0</v>
      </c>
      <c r="K748" s="3" t="s">
        <v>1471</v>
      </c>
      <c r="L748" s="3" t="s">
        <v>1466</v>
      </c>
      <c r="M748" s="3" t="s">
        <v>1467</v>
      </c>
      <c r="N748" s="6" t="s">
        <v>1468</v>
      </c>
      <c r="O748" s="6" t="s">
        <v>1469</v>
      </c>
      <c r="P748" s="3">
        <v>3087.0</v>
      </c>
      <c r="Q748" s="7" t="s">
        <v>60</v>
      </c>
    </row>
    <row r="749">
      <c r="A749" s="3" t="s">
        <v>1461</v>
      </c>
      <c r="B749" s="3" t="s">
        <v>1462</v>
      </c>
      <c r="C749" s="3" t="s">
        <v>1463</v>
      </c>
      <c r="D749" s="3" t="s">
        <v>472</v>
      </c>
      <c r="E749" s="3" t="s">
        <v>1472</v>
      </c>
      <c r="F749" s="7" t="s">
        <v>60</v>
      </c>
      <c r="H749" s="15" t="s">
        <v>48</v>
      </c>
      <c r="I749" s="3" t="s">
        <v>49</v>
      </c>
      <c r="J749" s="3">
        <v>4.0</v>
      </c>
      <c r="K749" s="3" t="s">
        <v>1471</v>
      </c>
      <c r="L749" s="3" t="s">
        <v>1466</v>
      </c>
      <c r="M749" s="3" t="s">
        <v>1467</v>
      </c>
      <c r="N749" s="6" t="s">
        <v>1468</v>
      </c>
      <c r="O749" s="6" t="s">
        <v>1469</v>
      </c>
      <c r="P749" s="3">
        <v>3085.0</v>
      </c>
      <c r="Q749" s="7" t="s">
        <v>60</v>
      </c>
    </row>
    <row r="750">
      <c r="A750" s="3" t="s">
        <v>1461</v>
      </c>
      <c r="B750" s="3" t="s">
        <v>1462</v>
      </c>
      <c r="C750" s="3" t="s">
        <v>1463</v>
      </c>
      <c r="D750" s="3" t="s">
        <v>472</v>
      </c>
      <c r="E750" s="3" t="s">
        <v>1473</v>
      </c>
      <c r="F750" s="7" t="s">
        <v>60</v>
      </c>
      <c r="H750" s="15" t="s">
        <v>48</v>
      </c>
      <c r="I750" s="3" t="s">
        <v>49</v>
      </c>
      <c r="J750" s="3">
        <v>4.0</v>
      </c>
      <c r="K750" s="3" t="s">
        <v>1471</v>
      </c>
      <c r="L750" s="3" t="s">
        <v>1466</v>
      </c>
      <c r="M750" s="3" t="s">
        <v>1467</v>
      </c>
      <c r="N750" s="6" t="s">
        <v>1468</v>
      </c>
      <c r="O750" s="6" t="s">
        <v>1469</v>
      </c>
      <c r="P750" s="3">
        <v>3085.0</v>
      </c>
      <c r="Q750" s="7" t="s">
        <v>60</v>
      </c>
    </row>
    <row r="751">
      <c r="A751" s="3" t="s">
        <v>1461</v>
      </c>
      <c r="B751" s="3" t="s">
        <v>1462</v>
      </c>
      <c r="C751" s="3" t="s">
        <v>1463</v>
      </c>
      <c r="D751" s="3" t="s">
        <v>472</v>
      </c>
      <c r="E751" s="3" t="s">
        <v>1474</v>
      </c>
      <c r="F751" s="7" t="s">
        <v>60</v>
      </c>
      <c r="H751" s="15" t="s">
        <v>48</v>
      </c>
      <c r="I751" s="3" t="s">
        <v>49</v>
      </c>
      <c r="J751" s="3">
        <v>4.0</v>
      </c>
      <c r="K751" s="3" t="s">
        <v>1471</v>
      </c>
      <c r="L751" s="3" t="s">
        <v>1466</v>
      </c>
      <c r="M751" s="3" t="s">
        <v>1467</v>
      </c>
      <c r="N751" s="6" t="s">
        <v>1468</v>
      </c>
      <c r="O751" s="6" t="s">
        <v>1469</v>
      </c>
      <c r="P751" s="3">
        <v>3088.0</v>
      </c>
      <c r="Q751" s="7" t="s">
        <v>60</v>
      </c>
    </row>
    <row r="752">
      <c r="A752" s="3" t="s">
        <v>1461</v>
      </c>
      <c r="B752" s="3" t="s">
        <v>1462</v>
      </c>
      <c r="C752" s="3" t="s">
        <v>1463</v>
      </c>
      <c r="D752" s="3" t="s">
        <v>472</v>
      </c>
      <c r="E752" s="3" t="s">
        <v>1475</v>
      </c>
      <c r="F752" s="7" t="s">
        <v>60</v>
      </c>
      <c r="H752" s="15" t="s">
        <v>48</v>
      </c>
      <c r="I752" s="3" t="s">
        <v>49</v>
      </c>
      <c r="J752" s="3">
        <v>4.0</v>
      </c>
      <c r="K752" s="3" t="s">
        <v>1471</v>
      </c>
      <c r="L752" s="3" t="s">
        <v>1466</v>
      </c>
      <c r="M752" s="3" t="s">
        <v>1467</v>
      </c>
      <c r="N752" s="6" t="s">
        <v>1468</v>
      </c>
      <c r="O752" s="6" t="s">
        <v>1469</v>
      </c>
      <c r="P752" s="3">
        <v>3083.0</v>
      </c>
      <c r="Q752" s="7" t="s">
        <v>60</v>
      </c>
    </row>
    <row r="753">
      <c r="A753" s="3" t="s">
        <v>1461</v>
      </c>
      <c r="B753" s="3" t="s">
        <v>1462</v>
      </c>
      <c r="C753" s="3" t="s">
        <v>1463</v>
      </c>
      <c r="D753" s="3" t="s">
        <v>472</v>
      </c>
      <c r="E753" s="3" t="s">
        <v>1476</v>
      </c>
      <c r="F753" s="7" t="s">
        <v>60</v>
      </c>
      <c r="H753" s="15" t="s">
        <v>48</v>
      </c>
      <c r="I753" s="3" t="s">
        <v>49</v>
      </c>
      <c r="J753" s="3">
        <v>4.0</v>
      </c>
      <c r="K753" s="3" t="s">
        <v>1471</v>
      </c>
      <c r="L753" s="3" t="s">
        <v>1466</v>
      </c>
      <c r="M753" s="3" t="s">
        <v>1467</v>
      </c>
      <c r="N753" s="6" t="s">
        <v>1468</v>
      </c>
      <c r="O753" s="6" t="s">
        <v>1469</v>
      </c>
      <c r="P753" s="3">
        <v>3094.0</v>
      </c>
      <c r="Q753" s="7" t="s">
        <v>60</v>
      </c>
    </row>
    <row r="754">
      <c r="A754" s="3" t="s">
        <v>1461</v>
      </c>
      <c r="B754" s="3" t="s">
        <v>1462</v>
      </c>
      <c r="C754" s="3" t="s">
        <v>1463</v>
      </c>
      <c r="D754" s="3" t="s">
        <v>472</v>
      </c>
      <c r="E754" s="3" t="s">
        <v>1477</v>
      </c>
      <c r="F754" s="7" t="s">
        <v>60</v>
      </c>
      <c r="H754" s="15" t="s">
        <v>48</v>
      </c>
      <c r="I754" s="3" t="s">
        <v>49</v>
      </c>
      <c r="J754" s="3">
        <v>2.0</v>
      </c>
      <c r="K754" s="3" t="s">
        <v>1478</v>
      </c>
      <c r="L754" s="3" t="s">
        <v>1466</v>
      </c>
      <c r="M754" s="3" t="s">
        <v>1467</v>
      </c>
      <c r="N754" s="6" t="s">
        <v>1468</v>
      </c>
      <c r="O754" s="6" t="s">
        <v>1469</v>
      </c>
      <c r="P754" s="3">
        <v>3084.0</v>
      </c>
      <c r="Q754" s="7" t="s">
        <v>60</v>
      </c>
    </row>
    <row r="755">
      <c r="A755" s="3" t="s">
        <v>1461</v>
      </c>
      <c r="B755" s="3" t="s">
        <v>1462</v>
      </c>
      <c r="C755" s="3" t="s">
        <v>1463</v>
      </c>
      <c r="D755" s="3" t="s">
        <v>472</v>
      </c>
      <c r="E755" s="3" t="s">
        <v>1479</v>
      </c>
      <c r="F755" s="7" t="s">
        <v>60</v>
      </c>
      <c r="H755" s="15" t="s">
        <v>48</v>
      </c>
      <c r="I755" s="3" t="s">
        <v>49</v>
      </c>
      <c r="J755" s="3">
        <v>1.0</v>
      </c>
      <c r="K755" s="3" t="s">
        <v>1466</v>
      </c>
      <c r="L755" s="3" t="s">
        <v>1466</v>
      </c>
      <c r="M755" s="3" t="s">
        <v>1467</v>
      </c>
      <c r="N755" s="6" t="s">
        <v>1468</v>
      </c>
      <c r="O755" s="6" t="s">
        <v>1469</v>
      </c>
      <c r="P755" s="3">
        <v>3087.0</v>
      </c>
      <c r="Q755" s="7" t="s">
        <v>60</v>
      </c>
    </row>
    <row r="756">
      <c r="A756" s="3" t="s">
        <v>1461</v>
      </c>
      <c r="B756" s="3" t="s">
        <v>1462</v>
      </c>
      <c r="C756" s="3" t="s">
        <v>1463</v>
      </c>
      <c r="D756" s="3" t="s">
        <v>472</v>
      </c>
      <c r="E756" s="3" t="s">
        <v>1480</v>
      </c>
      <c r="F756" s="7" t="s">
        <v>60</v>
      </c>
      <c r="H756" s="15" t="s">
        <v>48</v>
      </c>
      <c r="I756" s="3" t="s">
        <v>49</v>
      </c>
      <c r="J756" s="3">
        <v>1.0</v>
      </c>
      <c r="K756" s="3" t="s">
        <v>1466</v>
      </c>
      <c r="L756" s="3" t="s">
        <v>1466</v>
      </c>
      <c r="M756" s="3" t="s">
        <v>1467</v>
      </c>
      <c r="N756" s="6" t="s">
        <v>1468</v>
      </c>
      <c r="O756" s="6" t="s">
        <v>1469</v>
      </c>
      <c r="P756" s="3">
        <v>3095.0</v>
      </c>
      <c r="Q756" s="7" t="s">
        <v>60</v>
      </c>
    </row>
    <row r="757">
      <c r="A757" s="3" t="s">
        <v>1481</v>
      </c>
      <c r="B757" s="3" t="s">
        <v>1482</v>
      </c>
      <c r="C757" s="3" t="s">
        <v>1483</v>
      </c>
      <c r="D757" s="3" t="s">
        <v>46</v>
      </c>
      <c r="E757" s="3" t="s">
        <v>1484</v>
      </c>
      <c r="F757" s="14">
        <v>46055.0</v>
      </c>
      <c r="G757" s="12" t="s">
        <v>260</v>
      </c>
      <c r="H757" s="15" t="s">
        <v>48</v>
      </c>
      <c r="I757" s="3" t="s">
        <v>49</v>
      </c>
      <c r="J757" s="3">
        <v>3.0</v>
      </c>
      <c r="K757" s="3" t="s">
        <v>343</v>
      </c>
      <c r="L757" s="3" t="s">
        <v>1485</v>
      </c>
      <c r="M757" s="3" t="s">
        <v>1486</v>
      </c>
      <c r="N757" s="6" t="s">
        <v>1487</v>
      </c>
      <c r="O757" s="6" t="s">
        <v>1488</v>
      </c>
      <c r="P757" s="3">
        <v>2640.0</v>
      </c>
      <c r="Q757" s="3">
        <v>2.0</v>
      </c>
    </row>
    <row r="758">
      <c r="A758" s="3" t="s">
        <v>1481</v>
      </c>
      <c r="B758" s="3" t="s">
        <v>1482</v>
      </c>
      <c r="C758" s="3" t="s">
        <v>1483</v>
      </c>
      <c r="D758" s="3" t="s">
        <v>46</v>
      </c>
      <c r="E758" s="3" t="s">
        <v>1489</v>
      </c>
      <c r="F758" s="7" t="s">
        <v>60</v>
      </c>
      <c r="H758" s="15" t="s">
        <v>48</v>
      </c>
      <c r="I758" s="3" t="s">
        <v>49</v>
      </c>
      <c r="J758" s="3">
        <v>3.0</v>
      </c>
      <c r="K758" s="3" t="s">
        <v>343</v>
      </c>
      <c r="L758" s="3" t="s">
        <v>1485</v>
      </c>
      <c r="M758" s="3" t="s">
        <v>1486</v>
      </c>
      <c r="N758" s="6" t="s">
        <v>1487</v>
      </c>
      <c r="O758" s="6" t="s">
        <v>1488</v>
      </c>
      <c r="P758" s="3">
        <v>2641.0</v>
      </c>
      <c r="Q758" s="45" t="s">
        <v>60</v>
      </c>
    </row>
    <row r="759">
      <c r="A759" s="3" t="s">
        <v>1481</v>
      </c>
      <c r="B759" s="3" t="s">
        <v>1482</v>
      </c>
      <c r="C759" s="3" t="s">
        <v>1483</v>
      </c>
      <c r="D759" s="3" t="s">
        <v>46</v>
      </c>
      <c r="E759" s="3" t="s">
        <v>1490</v>
      </c>
      <c r="F759" s="7" t="s">
        <v>60</v>
      </c>
      <c r="H759" s="15" t="s">
        <v>48</v>
      </c>
      <c r="I759" s="3" t="s">
        <v>49</v>
      </c>
      <c r="J759" s="3">
        <v>3.0</v>
      </c>
      <c r="K759" s="3" t="s">
        <v>343</v>
      </c>
      <c r="L759" s="3" t="s">
        <v>1485</v>
      </c>
      <c r="M759" s="3" t="s">
        <v>1486</v>
      </c>
      <c r="N759" s="6" t="s">
        <v>1487</v>
      </c>
      <c r="O759" s="6" t="s">
        <v>1488</v>
      </c>
      <c r="P759" s="3">
        <v>2640.0</v>
      </c>
      <c r="Q759" s="45" t="s">
        <v>60</v>
      </c>
    </row>
    <row r="760">
      <c r="A760" s="3" t="s">
        <v>1481</v>
      </c>
      <c r="B760" s="3" t="s">
        <v>1482</v>
      </c>
      <c r="C760" s="3" t="s">
        <v>1483</v>
      </c>
      <c r="D760" s="3" t="s">
        <v>46</v>
      </c>
      <c r="E760" s="3" t="s">
        <v>1491</v>
      </c>
      <c r="F760" s="7" t="s">
        <v>60</v>
      </c>
      <c r="H760" s="15" t="s">
        <v>48</v>
      </c>
      <c r="I760" s="3" t="s">
        <v>49</v>
      </c>
      <c r="J760" s="3">
        <v>3.0</v>
      </c>
      <c r="K760" s="3" t="s">
        <v>343</v>
      </c>
      <c r="L760" s="3" t="s">
        <v>1485</v>
      </c>
      <c r="M760" s="3" t="s">
        <v>1486</v>
      </c>
      <c r="N760" s="6" t="s">
        <v>1487</v>
      </c>
      <c r="O760" s="6" t="s">
        <v>1488</v>
      </c>
      <c r="P760" s="3">
        <v>2640.0</v>
      </c>
      <c r="Q760" s="45" t="s">
        <v>60</v>
      </c>
    </row>
    <row r="761">
      <c r="A761" s="3" t="s">
        <v>1481</v>
      </c>
      <c r="B761" s="3" t="s">
        <v>1482</v>
      </c>
      <c r="C761" s="3" t="s">
        <v>1483</v>
      </c>
      <c r="D761" s="3" t="s">
        <v>46</v>
      </c>
      <c r="E761" s="3" t="s">
        <v>1492</v>
      </c>
      <c r="F761" s="7" t="s">
        <v>60</v>
      </c>
      <c r="H761" s="15" t="s">
        <v>48</v>
      </c>
      <c r="I761" s="3" t="s">
        <v>49</v>
      </c>
      <c r="J761" s="3">
        <v>3.0</v>
      </c>
      <c r="K761" s="3" t="s">
        <v>343</v>
      </c>
      <c r="L761" s="3" t="s">
        <v>1485</v>
      </c>
      <c r="M761" s="3" t="s">
        <v>1486</v>
      </c>
      <c r="N761" s="6" t="s">
        <v>1487</v>
      </c>
      <c r="O761" s="6" t="s">
        <v>1488</v>
      </c>
      <c r="P761" s="3">
        <v>2640.0</v>
      </c>
      <c r="Q761" s="45" t="s">
        <v>60</v>
      </c>
    </row>
    <row r="762">
      <c r="A762" s="3" t="s">
        <v>1481</v>
      </c>
      <c r="B762" s="3" t="s">
        <v>1482</v>
      </c>
      <c r="C762" s="3" t="s">
        <v>1483</v>
      </c>
      <c r="D762" s="3" t="s">
        <v>46</v>
      </c>
      <c r="E762" s="3" t="s">
        <v>1493</v>
      </c>
      <c r="F762" s="7" t="s">
        <v>60</v>
      </c>
      <c r="H762" s="15" t="s">
        <v>48</v>
      </c>
      <c r="I762" s="3" t="s">
        <v>49</v>
      </c>
      <c r="J762" s="3">
        <v>3.0</v>
      </c>
      <c r="K762" s="3" t="s">
        <v>343</v>
      </c>
      <c r="L762" s="3" t="s">
        <v>1485</v>
      </c>
      <c r="M762" s="3" t="s">
        <v>1486</v>
      </c>
      <c r="N762" s="6" t="s">
        <v>1487</v>
      </c>
      <c r="O762" s="6" t="s">
        <v>1488</v>
      </c>
      <c r="P762" s="3">
        <v>2641.0</v>
      </c>
      <c r="Q762" s="45" t="s">
        <v>60</v>
      </c>
    </row>
    <row r="763">
      <c r="A763" s="3" t="s">
        <v>1481</v>
      </c>
      <c r="B763" s="3" t="s">
        <v>1482</v>
      </c>
      <c r="C763" s="3" t="s">
        <v>1483</v>
      </c>
      <c r="D763" s="3" t="s">
        <v>46</v>
      </c>
      <c r="E763" s="3" t="s">
        <v>1494</v>
      </c>
      <c r="F763" s="7" t="s">
        <v>60</v>
      </c>
      <c r="H763" s="15" t="s">
        <v>48</v>
      </c>
      <c r="I763" s="3" t="s">
        <v>49</v>
      </c>
      <c r="J763" s="3">
        <v>3.0</v>
      </c>
      <c r="K763" s="3" t="s">
        <v>343</v>
      </c>
      <c r="L763" s="3" t="s">
        <v>1485</v>
      </c>
      <c r="M763" s="3" t="s">
        <v>1486</v>
      </c>
      <c r="N763" s="6" t="s">
        <v>1487</v>
      </c>
      <c r="O763" s="6" t="s">
        <v>1488</v>
      </c>
      <c r="P763" s="3">
        <v>2640.0</v>
      </c>
      <c r="Q763" s="45" t="s">
        <v>60</v>
      </c>
    </row>
    <row r="764">
      <c r="A764" s="3" t="s">
        <v>1481</v>
      </c>
      <c r="B764" s="3" t="s">
        <v>1482</v>
      </c>
      <c r="C764" s="3" t="s">
        <v>1483</v>
      </c>
      <c r="D764" s="3" t="s">
        <v>46</v>
      </c>
      <c r="E764" s="3" t="s">
        <v>1495</v>
      </c>
      <c r="F764" s="7" t="s">
        <v>60</v>
      </c>
      <c r="H764" s="15" t="s">
        <v>48</v>
      </c>
      <c r="I764" s="3" t="s">
        <v>49</v>
      </c>
      <c r="J764" s="3">
        <v>3.0</v>
      </c>
      <c r="K764" s="3" t="s">
        <v>343</v>
      </c>
      <c r="L764" s="3" t="s">
        <v>1485</v>
      </c>
      <c r="M764" s="3" t="s">
        <v>1486</v>
      </c>
      <c r="N764" s="6" t="s">
        <v>1487</v>
      </c>
      <c r="O764" s="6" t="s">
        <v>1488</v>
      </c>
      <c r="P764" s="3">
        <v>2640.0</v>
      </c>
      <c r="Q764" s="45" t="s">
        <v>60</v>
      </c>
    </row>
    <row r="765">
      <c r="A765" s="3" t="s">
        <v>1481</v>
      </c>
      <c r="B765" s="3" t="s">
        <v>1482</v>
      </c>
      <c r="C765" s="3" t="s">
        <v>1483</v>
      </c>
      <c r="D765" s="3" t="s">
        <v>46</v>
      </c>
      <c r="E765" s="3" t="s">
        <v>1496</v>
      </c>
      <c r="F765" s="7" t="s">
        <v>60</v>
      </c>
      <c r="H765" s="15" t="s">
        <v>48</v>
      </c>
      <c r="I765" s="3" t="s">
        <v>49</v>
      </c>
      <c r="J765" s="3">
        <v>3.0</v>
      </c>
      <c r="K765" s="3" t="s">
        <v>343</v>
      </c>
      <c r="L765" s="3" t="s">
        <v>1485</v>
      </c>
      <c r="M765" s="3" t="s">
        <v>1486</v>
      </c>
      <c r="N765" s="6" t="s">
        <v>1487</v>
      </c>
      <c r="O765" s="6" t="s">
        <v>1488</v>
      </c>
      <c r="P765" s="3">
        <v>2640.0</v>
      </c>
      <c r="Q765" s="45" t="s">
        <v>60</v>
      </c>
    </row>
    <row r="766">
      <c r="A766" s="3" t="s">
        <v>1481</v>
      </c>
      <c r="B766" s="3" t="s">
        <v>1482</v>
      </c>
      <c r="C766" s="3" t="s">
        <v>1483</v>
      </c>
      <c r="D766" s="3" t="s">
        <v>472</v>
      </c>
      <c r="E766" s="3" t="s">
        <v>1497</v>
      </c>
      <c r="F766" s="7" t="s">
        <v>60</v>
      </c>
      <c r="H766" s="15" t="s">
        <v>48</v>
      </c>
      <c r="I766" s="3" t="s">
        <v>49</v>
      </c>
      <c r="J766" s="3">
        <v>3.0</v>
      </c>
      <c r="K766" s="3" t="s">
        <v>343</v>
      </c>
      <c r="L766" s="3" t="s">
        <v>1485</v>
      </c>
      <c r="M766" s="3" t="s">
        <v>1486</v>
      </c>
      <c r="N766" s="6" t="s">
        <v>1487</v>
      </c>
      <c r="O766" s="6" t="s">
        <v>1488</v>
      </c>
      <c r="P766" s="3">
        <v>3690.0</v>
      </c>
      <c r="Q766" s="45" t="s">
        <v>60</v>
      </c>
    </row>
    <row r="767">
      <c r="A767" s="3" t="s">
        <v>1481</v>
      </c>
      <c r="B767" s="3" t="s">
        <v>1482</v>
      </c>
      <c r="C767" s="3" t="s">
        <v>1483</v>
      </c>
      <c r="D767" s="3" t="s">
        <v>472</v>
      </c>
      <c r="E767" s="3" t="s">
        <v>1498</v>
      </c>
      <c r="F767" s="7" t="s">
        <v>60</v>
      </c>
      <c r="H767" s="15" t="s">
        <v>48</v>
      </c>
      <c r="I767" s="3" t="s">
        <v>49</v>
      </c>
      <c r="J767" s="3">
        <v>3.0</v>
      </c>
      <c r="K767" s="3" t="s">
        <v>343</v>
      </c>
      <c r="L767" s="3" t="s">
        <v>1485</v>
      </c>
      <c r="M767" s="3" t="s">
        <v>1486</v>
      </c>
      <c r="N767" s="6" t="s">
        <v>1487</v>
      </c>
      <c r="O767" s="6" t="s">
        <v>1488</v>
      </c>
      <c r="P767" s="3">
        <v>3690.0</v>
      </c>
      <c r="Q767" s="45" t="s">
        <v>60</v>
      </c>
    </row>
    <row r="768">
      <c r="A768" s="3" t="s">
        <v>1499</v>
      </c>
      <c r="B768" s="3" t="s">
        <v>1500</v>
      </c>
      <c r="C768" s="3" t="s">
        <v>1501</v>
      </c>
      <c r="D768" s="3" t="s">
        <v>531</v>
      </c>
      <c r="E768" s="3" t="s">
        <v>1502</v>
      </c>
      <c r="F768" s="14">
        <v>46055.0</v>
      </c>
      <c r="G768" s="26" t="s">
        <v>214</v>
      </c>
      <c r="H768" s="15" t="s">
        <v>48</v>
      </c>
      <c r="I768" s="3" t="s">
        <v>49</v>
      </c>
      <c r="J768" s="3">
        <v>1.0</v>
      </c>
      <c r="K768" s="3" t="s">
        <v>1503</v>
      </c>
      <c r="L768" s="3" t="s">
        <v>1503</v>
      </c>
      <c r="M768" s="3" t="s">
        <v>1504</v>
      </c>
      <c r="N768" s="6" t="s">
        <v>1505</v>
      </c>
      <c r="O768" s="6" t="s">
        <v>1506</v>
      </c>
      <c r="P768" s="3">
        <v>4670.0</v>
      </c>
      <c r="Q768" s="3">
        <v>2.0</v>
      </c>
    </row>
    <row r="769">
      <c r="A769" s="3" t="s">
        <v>1499</v>
      </c>
      <c r="B769" s="3" t="s">
        <v>1500</v>
      </c>
      <c r="C769" s="3" t="s">
        <v>1501</v>
      </c>
      <c r="D769" s="3" t="s">
        <v>531</v>
      </c>
      <c r="E769" s="3" t="s">
        <v>1507</v>
      </c>
      <c r="F769" s="7" t="s">
        <v>60</v>
      </c>
      <c r="H769" s="15" t="s">
        <v>48</v>
      </c>
      <c r="I769" s="3" t="s">
        <v>49</v>
      </c>
      <c r="J769" s="3">
        <v>1.0</v>
      </c>
      <c r="K769" s="3" t="s">
        <v>1503</v>
      </c>
      <c r="L769" s="3" t="s">
        <v>1503</v>
      </c>
      <c r="M769" s="3" t="s">
        <v>1504</v>
      </c>
      <c r="N769" s="6" t="s">
        <v>1505</v>
      </c>
      <c r="O769" s="6" t="s">
        <v>1506</v>
      </c>
      <c r="P769" s="3">
        <v>4670.0</v>
      </c>
      <c r="Q769" s="45" t="s">
        <v>60</v>
      </c>
    </row>
    <row r="770">
      <c r="A770" s="3" t="s">
        <v>1499</v>
      </c>
      <c r="B770" s="3" t="s">
        <v>1500</v>
      </c>
      <c r="C770" s="3" t="s">
        <v>1501</v>
      </c>
      <c r="D770" s="3" t="s">
        <v>531</v>
      </c>
      <c r="E770" s="3" t="s">
        <v>1212</v>
      </c>
      <c r="F770" s="7" t="s">
        <v>60</v>
      </c>
      <c r="H770" s="15" t="s">
        <v>48</v>
      </c>
      <c r="I770" s="3" t="s">
        <v>49</v>
      </c>
      <c r="J770" s="3">
        <v>1.0</v>
      </c>
      <c r="K770" s="3" t="s">
        <v>1503</v>
      </c>
      <c r="L770" s="3" t="s">
        <v>1503</v>
      </c>
      <c r="M770" s="3" t="s">
        <v>1504</v>
      </c>
      <c r="N770" s="6" t="s">
        <v>1505</v>
      </c>
      <c r="O770" s="6" t="s">
        <v>1506</v>
      </c>
      <c r="P770" s="3">
        <v>4670.0</v>
      </c>
      <c r="Q770" s="45" t="s">
        <v>60</v>
      </c>
    </row>
    <row r="771">
      <c r="A771" s="3" t="s">
        <v>1499</v>
      </c>
      <c r="B771" s="3" t="s">
        <v>1500</v>
      </c>
      <c r="C771" s="3" t="s">
        <v>1501</v>
      </c>
      <c r="D771" s="3" t="s">
        <v>531</v>
      </c>
      <c r="E771" s="3" t="s">
        <v>1508</v>
      </c>
      <c r="F771" s="7" t="s">
        <v>60</v>
      </c>
      <c r="H771" s="15" t="s">
        <v>48</v>
      </c>
      <c r="I771" s="3" t="s">
        <v>49</v>
      </c>
      <c r="J771" s="3">
        <v>1.0</v>
      </c>
      <c r="K771" s="3" t="s">
        <v>1503</v>
      </c>
      <c r="L771" s="3" t="s">
        <v>1503</v>
      </c>
      <c r="M771" s="3" t="s">
        <v>1504</v>
      </c>
      <c r="N771" s="6" t="s">
        <v>1505</v>
      </c>
      <c r="O771" s="6" t="s">
        <v>1506</v>
      </c>
      <c r="P771" s="3">
        <v>4670.0</v>
      </c>
      <c r="Q771" s="45" t="s">
        <v>60</v>
      </c>
    </row>
    <row r="772">
      <c r="A772" s="3" t="s">
        <v>1499</v>
      </c>
      <c r="B772" s="3" t="s">
        <v>1500</v>
      </c>
      <c r="C772" s="3" t="s">
        <v>1501</v>
      </c>
      <c r="D772" s="3" t="s">
        <v>531</v>
      </c>
      <c r="E772" s="3" t="s">
        <v>1509</v>
      </c>
      <c r="F772" s="7" t="s">
        <v>60</v>
      </c>
      <c r="H772" s="15" t="s">
        <v>48</v>
      </c>
      <c r="I772" s="3" t="s">
        <v>49</v>
      </c>
      <c r="J772" s="3">
        <v>1.0</v>
      </c>
      <c r="K772" s="3" t="s">
        <v>1503</v>
      </c>
      <c r="L772" s="3" t="s">
        <v>1503</v>
      </c>
      <c r="M772" s="3" t="s">
        <v>1504</v>
      </c>
      <c r="N772" s="6" t="s">
        <v>1505</v>
      </c>
      <c r="O772" s="6" t="s">
        <v>1506</v>
      </c>
      <c r="P772" s="3">
        <v>4670.0</v>
      </c>
      <c r="Q772" s="45" t="s">
        <v>60</v>
      </c>
    </row>
    <row r="773">
      <c r="A773" s="3" t="s">
        <v>1499</v>
      </c>
      <c r="B773" s="3" t="s">
        <v>1500</v>
      </c>
      <c r="C773" s="3" t="s">
        <v>1501</v>
      </c>
      <c r="D773" s="3" t="s">
        <v>531</v>
      </c>
      <c r="E773" s="3" t="s">
        <v>1510</v>
      </c>
      <c r="F773" s="7" t="s">
        <v>60</v>
      </c>
      <c r="H773" s="15" t="s">
        <v>48</v>
      </c>
      <c r="I773" s="3" t="s">
        <v>49</v>
      </c>
      <c r="J773" s="3">
        <v>1.0</v>
      </c>
      <c r="K773" s="3" t="s">
        <v>1503</v>
      </c>
      <c r="L773" s="3" t="s">
        <v>1503</v>
      </c>
      <c r="M773" s="3" t="s">
        <v>1504</v>
      </c>
      <c r="N773" s="6" t="s">
        <v>1505</v>
      </c>
      <c r="O773" s="6" t="s">
        <v>1506</v>
      </c>
      <c r="P773" s="3">
        <v>4670.0</v>
      </c>
      <c r="Q773" s="45" t="s">
        <v>60</v>
      </c>
    </row>
    <row r="774">
      <c r="A774" s="3" t="s">
        <v>1499</v>
      </c>
      <c r="B774" s="3" t="s">
        <v>1500</v>
      </c>
      <c r="C774" s="3" t="s">
        <v>1501</v>
      </c>
      <c r="D774" s="3" t="s">
        <v>531</v>
      </c>
      <c r="E774" s="3" t="s">
        <v>1511</v>
      </c>
      <c r="F774" s="7" t="s">
        <v>60</v>
      </c>
      <c r="H774" s="15" t="s">
        <v>48</v>
      </c>
      <c r="I774" s="3" t="s">
        <v>49</v>
      </c>
      <c r="J774" s="3">
        <v>1.0</v>
      </c>
      <c r="K774" s="3" t="s">
        <v>1503</v>
      </c>
      <c r="L774" s="3" t="s">
        <v>1503</v>
      </c>
      <c r="M774" s="3" t="s">
        <v>1504</v>
      </c>
      <c r="N774" s="6" t="s">
        <v>1505</v>
      </c>
      <c r="O774" s="6" t="s">
        <v>1506</v>
      </c>
      <c r="P774" s="3">
        <v>4670.0</v>
      </c>
      <c r="Q774" s="45" t="s">
        <v>60</v>
      </c>
    </row>
    <row r="775">
      <c r="A775" s="3" t="s">
        <v>1499</v>
      </c>
      <c r="B775" s="3" t="s">
        <v>1500</v>
      </c>
      <c r="C775" s="3" t="s">
        <v>1501</v>
      </c>
      <c r="D775" s="3" t="s">
        <v>531</v>
      </c>
      <c r="E775" s="3" t="s">
        <v>1512</v>
      </c>
      <c r="F775" s="7" t="s">
        <v>60</v>
      </c>
      <c r="H775" s="15" t="s">
        <v>48</v>
      </c>
      <c r="I775" s="3" t="s">
        <v>49</v>
      </c>
      <c r="J775" s="3">
        <v>1.0</v>
      </c>
      <c r="K775" s="3" t="s">
        <v>1503</v>
      </c>
      <c r="L775" s="3" t="s">
        <v>1503</v>
      </c>
      <c r="M775" s="3" t="s">
        <v>1504</v>
      </c>
      <c r="N775" s="6" t="s">
        <v>1505</v>
      </c>
      <c r="O775" s="6" t="s">
        <v>1506</v>
      </c>
      <c r="P775" s="3">
        <v>4670.0</v>
      </c>
      <c r="Q775" s="45" t="s">
        <v>60</v>
      </c>
    </row>
    <row r="776">
      <c r="A776" s="3" t="s">
        <v>1499</v>
      </c>
      <c r="B776" s="3" t="s">
        <v>1500</v>
      </c>
      <c r="C776" s="3" t="s">
        <v>1501</v>
      </c>
      <c r="D776" s="3" t="s">
        <v>531</v>
      </c>
      <c r="E776" s="3" t="s">
        <v>1513</v>
      </c>
      <c r="F776" s="7" t="s">
        <v>60</v>
      </c>
      <c r="H776" s="15" t="s">
        <v>48</v>
      </c>
      <c r="I776" s="3" t="s">
        <v>49</v>
      </c>
      <c r="J776" s="3">
        <v>1.0</v>
      </c>
      <c r="K776" s="3" t="s">
        <v>1503</v>
      </c>
      <c r="L776" s="3" t="s">
        <v>1503</v>
      </c>
      <c r="M776" s="3" t="s">
        <v>1504</v>
      </c>
      <c r="N776" s="6" t="s">
        <v>1505</v>
      </c>
      <c r="O776" s="6" t="s">
        <v>1506</v>
      </c>
      <c r="P776" s="3">
        <v>4670.0</v>
      </c>
      <c r="Q776" s="45" t="s">
        <v>60</v>
      </c>
    </row>
    <row r="777">
      <c r="A777" s="3" t="s">
        <v>1499</v>
      </c>
      <c r="B777" s="3" t="s">
        <v>1500</v>
      </c>
      <c r="C777" s="3" t="s">
        <v>1501</v>
      </c>
      <c r="D777" s="3" t="s">
        <v>531</v>
      </c>
      <c r="E777" s="3" t="s">
        <v>1514</v>
      </c>
      <c r="F777" s="7" t="s">
        <v>60</v>
      </c>
      <c r="H777" s="15" t="s">
        <v>48</v>
      </c>
      <c r="I777" s="3" t="s">
        <v>49</v>
      </c>
      <c r="J777" s="3">
        <v>1.0</v>
      </c>
      <c r="K777" s="3" t="s">
        <v>1503</v>
      </c>
      <c r="L777" s="3" t="s">
        <v>1503</v>
      </c>
      <c r="M777" s="3" t="s">
        <v>1504</v>
      </c>
      <c r="N777" s="6" t="s">
        <v>1505</v>
      </c>
      <c r="O777" s="6" t="s">
        <v>1506</v>
      </c>
      <c r="P777" s="3">
        <v>4670.0</v>
      </c>
      <c r="Q777" s="45" t="s">
        <v>60</v>
      </c>
    </row>
    <row r="778">
      <c r="A778" s="3" t="s">
        <v>1499</v>
      </c>
      <c r="B778" s="3" t="s">
        <v>1500</v>
      </c>
      <c r="C778" s="3" t="s">
        <v>1501</v>
      </c>
      <c r="D778" s="3" t="s">
        <v>531</v>
      </c>
      <c r="E778" s="3" t="s">
        <v>1515</v>
      </c>
      <c r="F778" s="7" t="s">
        <v>60</v>
      </c>
      <c r="H778" s="15" t="s">
        <v>48</v>
      </c>
      <c r="I778" s="3" t="s">
        <v>49</v>
      </c>
      <c r="J778" s="3">
        <v>1.0</v>
      </c>
      <c r="K778" s="3" t="s">
        <v>1503</v>
      </c>
      <c r="L778" s="3" t="s">
        <v>1503</v>
      </c>
      <c r="M778" s="3" t="s">
        <v>1504</v>
      </c>
      <c r="N778" s="6" t="s">
        <v>1505</v>
      </c>
      <c r="O778" s="6" t="s">
        <v>1506</v>
      </c>
      <c r="P778" s="3">
        <v>4670.0</v>
      </c>
      <c r="Q778" s="45" t="s">
        <v>60</v>
      </c>
    </row>
    <row r="779">
      <c r="A779" s="3" t="s">
        <v>1499</v>
      </c>
      <c r="B779" s="3" t="s">
        <v>1500</v>
      </c>
      <c r="C779" s="3" t="s">
        <v>1501</v>
      </c>
      <c r="D779" s="3" t="s">
        <v>531</v>
      </c>
      <c r="E779" s="3" t="s">
        <v>1516</v>
      </c>
      <c r="F779" s="7" t="s">
        <v>60</v>
      </c>
      <c r="H779" s="15" t="s">
        <v>48</v>
      </c>
      <c r="I779" s="3" t="s">
        <v>49</v>
      </c>
      <c r="J779" s="3">
        <v>1.0</v>
      </c>
      <c r="K779" s="3" t="s">
        <v>1503</v>
      </c>
      <c r="L779" s="3" t="s">
        <v>1503</v>
      </c>
      <c r="M779" s="3" t="s">
        <v>1504</v>
      </c>
      <c r="N779" s="6" t="s">
        <v>1505</v>
      </c>
      <c r="O779" s="6" t="s">
        <v>1506</v>
      </c>
      <c r="P779" s="3">
        <v>4670.0</v>
      </c>
      <c r="Q779" s="45" t="s">
        <v>60</v>
      </c>
    </row>
    <row r="780">
      <c r="A780" s="3" t="s">
        <v>1499</v>
      </c>
      <c r="B780" s="3" t="s">
        <v>1500</v>
      </c>
      <c r="C780" s="3" t="s">
        <v>1501</v>
      </c>
      <c r="D780" s="3" t="s">
        <v>531</v>
      </c>
      <c r="E780" s="3" t="s">
        <v>1517</v>
      </c>
      <c r="F780" s="7" t="s">
        <v>60</v>
      </c>
      <c r="H780" s="15" t="s">
        <v>48</v>
      </c>
      <c r="I780" s="3" t="s">
        <v>49</v>
      </c>
      <c r="J780" s="3">
        <v>1.0</v>
      </c>
      <c r="K780" s="3" t="s">
        <v>1503</v>
      </c>
      <c r="L780" s="3" t="s">
        <v>1503</v>
      </c>
      <c r="M780" s="3" t="s">
        <v>1504</v>
      </c>
      <c r="N780" s="6" t="s">
        <v>1505</v>
      </c>
      <c r="O780" s="6" t="s">
        <v>1506</v>
      </c>
      <c r="P780" s="3">
        <v>4670.0</v>
      </c>
      <c r="Q780" s="45" t="s">
        <v>60</v>
      </c>
    </row>
    <row r="781">
      <c r="A781" s="3" t="s">
        <v>1499</v>
      </c>
      <c r="B781" s="3" t="s">
        <v>1500</v>
      </c>
      <c r="C781" s="3" t="s">
        <v>1501</v>
      </c>
      <c r="D781" s="3" t="s">
        <v>531</v>
      </c>
      <c r="E781" s="3" t="s">
        <v>1518</v>
      </c>
      <c r="F781" s="7" t="s">
        <v>60</v>
      </c>
      <c r="H781" s="15" t="s">
        <v>48</v>
      </c>
      <c r="I781" s="3" t="s">
        <v>49</v>
      </c>
      <c r="J781" s="3">
        <v>1.0</v>
      </c>
      <c r="K781" s="3" t="s">
        <v>1503</v>
      </c>
      <c r="L781" s="3" t="s">
        <v>1503</v>
      </c>
      <c r="M781" s="3" t="s">
        <v>1504</v>
      </c>
      <c r="N781" s="6" t="s">
        <v>1505</v>
      </c>
      <c r="O781" s="6" t="s">
        <v>1506</v>
      </c>
      <c r="P781" s="3">
        <v>4670.0</v>
      </c>
      <c r="Q781" s="45" t="s">
        <v>60</v>
      </c>
    </row>
    <row r="782">
      <c r="A782" s="3" t="s">
        <v>1499</v>
      </c>
      <c r="B782" s="3" t="s">
        <v>1500</v>
      </c>
      <c r="C782" s="3" t="s">
        <v>1501</v>
      </c>
      <c r="D782" s="3" t="s">
        <v>531</v>
      </c>
      <c r="E782" s="3" t="s">
        <v>1519</v>
      </c>
      <c r="F782" s="7" t="s">
        <v>60</v>
      </c>
      <c r="H782" s="15" t="s">
        <v>48</v>
      </c>
      <c r="I782" s="3" t="s">
        <v>49</v>
      </c>
      <c r="J782" s="3">
        <v>1.0</v>
      </c>
      <c r="K782" s="3" t="s">
        <v>1503</v>
      </c>
      <c r="L782" s="3" t="s">
        <v>1503</v>
      </c>
      <c r="M782" s="3" t="s">
        <v>1504</v>
      </c>
      <c r="N782" s="6" t="s">
        <v>1505</v>
      </c>
      <c r="O782" s="6" t="s">
        <v>1506</v>
      </c>
      <c r="P782" s="3">
        <v>4670.0</v>
      </c>
      <c r="Q782" s="45" t="s">
        <v>60</v>
      </c>
    </row>
    <row r="783">
      <c r="A783" s="3" t="s">
        <v>1499</v>
      </c>
      <c r="B783" s="3" t="s">
        <v>1500</v>
      </c>
      <c r="C783" s="3" t="s">
        <v>1501</v>
      </c>
      <c r="D783" s="3" t="s">
        <v>531</v>
      </c>
      <c r="E783" s="3" t="s">
        <v>1520</v>
      </c>
      <c r="F783" s="7" t="s">
        <v>60</v>
      </c>
      <c r="H783" s="15" t="s">
        <v>48</v>
      </c>
      <c r="I783" s="3" t="s">
        <v>49</v>
      </c>
      <c r="J783" s="3">
        <v>1.0</v>
      </c>
      <c r="K783" s="3" t="s">
        <v>1503</v>
      </c>
      <c r="L783" s="3" t="s">
        <v>1503</v>
      </c>
      <c r="M783" s="3" t="s">
        <v>1504</v>
      </c>
      <c r="N783" s="6" t="s">
        <v>1505</v>
      </c>
      <c r="O783" s="6" t="s">
        <v>1506</v>
      </c>
      <c r="P783" s="3">
        <v>4670.0</v>
      </c>
      <c r="Q783" s="45" t="s">
        <v>60</v>
      </c>
    </row>
    <row r="784">
      <c r="A784" s="3" t="s">
        <v>1499</v>
      </c>
      <c r="B784" s="3" t="s">
        <v>1500</v>
      </c>
      <c r="C784" s="3" t="s">
        <v>1501</v>
      </c>
      <c r="D784" s="3" t="s">
        <v>531</v>
      </c>
      <c r="E784" s="3" t="s">
        <v>1521</v>
      </c>
      <c r="F784" s="7" t="s">
        <v>60</v>
      </c>
      <c r="H784" s="15" t="s">
        <v>48</v>
      </c>
      <c r="I784" s="3" t="s">
        <v>49</v>
      </c>
      <c r="J784" s="3">
        <v>1.0</v>
      </c>
      <c r="K784" s="3" t="s">
        <v>1503</v>
      </c>
      <c r="L784" s="3" t="s">
        <v>1503</v>
      </c>
      <c r="M784" s="3" t="s">
        <v>1504</v>
      </c>
      <c r="N784" s="6" t="s">
        <v>1505</v>
      </c>
      <c r="O784" s="6" t="s">
        <v>1506</v>
      </c>
      <c r="P784" s="3">
        <v>4670.0</v>
      </c>
      <c r="Q784" s="45" t="s">
        <v>60</v>
      </c>
    </row>
    <row r="785">
      <c r="A785" s="3" t="s">
        <v>1499</v>
      </c>
      <c r="B785" s="3" t="s">
        <v>1500</v>
      </c>
      <c r="C785" s="3" t="s">
        <v>1501</v>
      </c>
      <c r="D785" s="3" t="s">
        <v>531</v>
      </c>
      <c r="E785" s="3" t="s">
        <v>1522</v>
      </c>
      <c r="F785" s="7" t="s">
        <v>60</v>
      </c>
      <c r="H785" s="15" t="s">
        <v>48</v>
      </c>
      <c r="I785" s="3" t="s">
        <v>49</v>
      </c>
      <c r="J785" s="3">
        <v>1.0</v>
      </c>
      <c r="K785" s="3" t="s">
        <v>1503</v>
      </c>
      <c r="L785" s="3" t="s">
        <v>1503</v>
      </c>
      <c r="M785" s="3" t="s">
        <v>1504</v>
      </c>
      <c r="N785" s="6" t="s">
        <v>1505</v>
      </c>
      <c r="O785" s="6" t="s">
        <v>1506</v>
      </c>
      <c r="P785" s="3">
        <v>4670.0</v>
      </c>
      <c r="Q785" s="45" t="s">
        <v>60</v>
      </c>
    </row>
    <row r="786">
      <c r="A786" s="3" t="s">
        <v>1499</v>
      </c>
      <c r="B786" s="3" t="s">
        <v>1500</v>
      </c>
      <c r="C786" s="3" t="s">
        <v>1501</v>
      </c>
      <c r="D786" s="3" t="s">
        <v>531</v>
      </c>
      <c r="E786" s="3" t="s">
        <v>1523</v>
      </c>
      <c r="F786" s="7" t="s">
        <v>60</v>
      </c>
      <c r="H786" s="15" t="s">
        <v>48</v>
      </c>
      <c r="I786" s="3" t="s">
        <v>49</v>
      </c>
      <c r="J786" s="3">
        <v>1.0</v>
      </c>
      <c r="K786" s="3" t="s">
        <v>1503</v>
      </c>
      <c r="L786" s="3" t="s">
        <v>1503</v>
      </c>
      <c r="M786" s="3" t="s">
        <v>1504</v>
      </c>
      <c r="N786" s="6" t="s">
        <v>1505</v>
      </c>
      <c r="O786" s="6" t="s">
        <v>1506</v>
      </c>
      <c r="P786" s="3">
        <v>4670.0</v>
      </c>
      <c r="Q786" s="45" t="s">
        <v>60</v>
      </c>
    </row>
    <row r="787">
      <c r="A787" s="3" t="s">
        <v>1499</v>
      </c>
      <c r="B787" s="3" t="s">
        <v>1500</v>
      </c>
      <c r="C787" s="3" t="s">
        <v>1501</v>
      </c>
      <c r="D787" s="3" t="s">
        <v>531</v>
      </c>
      <c r="E787" s="3" t="s">
        <v>1524</v>
      </c>
      <c r="F787" s="7" t="s">
        <v>60</v>
      </c>
      <c r="H787" s="15" t="s">
        <v>48</v>
      </c>
      <c r="I787" s="3" t="s">
        <v>49</v>
      </c>
      <c r="J787" s="3">
        <v>1.0</v>
      </c>
      <c r="K787" s="3" t="s">
        <v>1503</v>
      </c>
      <c r="L787" s="3" t="s">
        <v>1503</v>
      </c>
      <c r="M787" s="3" t="s">
        <v>1504</v>
      </c>
      <c r="N787" s="6" t="s">
        <v>1505</v>
      </c>
      <c r="O787" s="6" t="s">
        <v>1506</v>
      </c>
      <c r="P787" s="3">
        <v>4670.0</v>
      </c>
      <c r="Q787" s="45" t="s">
        <v>60</v>
      </c>
    </row>
    <row r="788">
      <c r="A788" s="3" t="s">
        <v>1499</v>
      </c>
      <c r="B788" s="3" t="s">
        <v>1500</v>
      </c>
      <c r="C788" s="3" t="s">
        <v>1501</v>
      </c>
      <c r="D788" s="3" t="s">
        <v>531</v>
      </c>
      <c r="E788" s="3" t="s">
        <v>1525</v>
      </c>
      <c r="F788" s="7" t="s">
        <v>60</v>
      </c>
      <c r="H788" s="15" t="s">
        <v>48</v>
      </c>
      <c r="I788" s="3" t="s">
        <v>49</v>
      </c>
      <c r="J788" s="3">
        <v>1.0</v>
      </c>
      <c r="K788" s="3" t="s">
        <v>1503</v>
      </c>
      <c r="L788" s="3" t="s">
        <v>1503</v>
      </c>
      <c r="M788" s="3" t="s">
        <v>1504</v>
      </c>
      <c r="N788" s="6" t="s">
        <v>1505</v>
      </c>
      <c r="O788" s="6" t="s">
        <v>1506</v>
      </c>
      <c r="P788" s="3">
        <v>4670.0</v>
      </c>
      <c r="Q788" s="45" t="s">
        <v>60</v>
      </c>
    </row>
    <row r="789">
      <c r="A789" s="3" t="s">
        <v>1499</v>
      </c>
      <c r="B789" s="3" t="s">
        <v>1500</v>
      </c>
      <c r="C789" s="3" t="s">
        <v>1501</v>
      </c>
      <c r="D789" s="3" t="s">
        <v>531</v>
      </c>
      <c r="E789" s="3" t="s">
        <v>1526</v>
      </c>
      <c r="F789" s="7" t="s">
        <v>60</v>
      </c>
      <c r="H789" s="15" t="s">
        <v>48</v>
      </c>
      <c r="I789" s="3" t="s">
        <v>49</v>
      </c>
      <c r="J789" s="3">
        <v>1.0</v>
      </c>
      <c r="K789" s="3" t="s">
        <v>1503</v>
      </c>
      <c r="L789" s="3" t="s">
        <v>1503</v>
      </c>
      <c r="M789" s="3" t="s">
        <v>1504</v>
      </c>
      <c r="N789" s="6" t="s">
        <v>1505</v>
      </c>
      <c r="O789" s="6" t="s">
        <v>1506</v>
      </c>
      <c r="P789" s="3">
        <v>4670.0</v>
      </c>
      <c r="Q789" s="45" t="s">
        <v>60</v>
      </c>
    </row>
    <row r="790">
      <c r="A790" s="3" t="s">
        <v>1499</v>
      </c>
      <c r="B790" s="3" t="s">
        <v>1500</v>
      </c>
      <c r="C790" s="3" t="s">
        <v>1501</v>
      </c>
      <c r="D790" s="3" t="s">
        <v>531</v>
      </c>
      <c r="E790" s="3" t="s">
        <v>1527</v>
      </c>
      <c r="F790" s="7" t="s">
        <v>60</v>
      </c>
      <c r="H790" s="15" t="s">
        <v>48</v>
      </c>
      <c r="I790" s="3" t="s">
        <v>49</v>
      </c>
      <c r="J790" s="3">
        <v>1.0</v>
      </c>
      <c r="K790" s="3" t="s">
        <v>1503</v>
      </c>
      <c r="L790" s="3" t="s">
        <v>1503</v>
      </c>
      <c r="M790" s="3" t="s">
        <v>1504</v>
      </c>
      <c r="N790" s="6" t="s">
        <v>1505</v>
      </c>
      <c r="O790" s="6" t="s">
        <v>1506</v>
      </c>
      <c r="P790" s="3">
        <v>4670.0</v>
      </c>
      <c r="Q790" s="45" t="s">
        <v>60</v>
      </c>
    </row>
    <row r="791">
      <c r="A791" s="3" t="s">
        <v>1499</v>
      </c>
      <c r="B791" s="3" t="s">
        <v>1500</v>
      </c>
      <c r="C791" s="3" t="s">
        <v>1501</v>
      </c>
      <c r="D791" s="3" t="s">
        <v>531</v>
      </c>
      <c r="E791" s="3" t="s">
        <v>1528</v>
      </c>
      <c r="F791" s="7" t="s">
        <v>60</v>
      </c>
      <c r="H791" s="15" t="s">
        <v>48</v>
      </c>
      <c r="I791" s="3" t="s">
        <v>49</v>
      </c>
      <c r="J791" s="3">
        <v>1.0</v>
      </c>
      <c r="K791" s="3" t="s">
        <v>1503</v>
      </c>
      <c r="L791" s="3" t="s">
        <v>1503</v>
      </c>
      <c r="M791" s="3" t="s">
        <v>1504</v>
      </c>
      <c r="N791" s="6" t="s">
        <v>1505</v>
      </c>
      <c r="O791" s="6" t="s">
        <v>1506</v>
      </c>
      <c r="P791" s="3">
        <v>4670.0</v>
      </c>
      <c r="Q791" s="45" t="s">
        <v>60</v>
      </c>
    </row>
    <row r="792">
      <c r="A792" s="3" t="s">
        <v>1499</v>
      </c>
      <c r="B792" s="3" t="s">
        <v>1500</v>
      </c>
      <c r="C792" s="3" t="s">
        <v>1501</v>
      </c>
      <c r="D792" s="3" t="s">
        <v>531</v>
      </c>
      <c r="E792" s="3" t="s">
        <v>1529</v>
      </c>
      <c r="F792" s="7" t="s">
        <v>60</v>
      </c>
      <c r="H792" s="15" t="s">
        <v>48</v>
      </c>
      <c r="I792" s="3" t="s">
        <v>49</v>
      </c>
      <c r="J792" s="3">
        <v>1.0</v>
      </c>
      <c r="K792" s="3" t="s">
        <v>1503</v>
      </c>
      <c r="L792" s="3" t="s">
        <v>1503</v>
      </c>
      <c r="M792" s="3" t="s">
        <v>1504</v>
      </c>
      <c r="N792" s="6" t="s">
        <v>1505</v>
      </c>
      <c r="O792" s="6" t="s">
        <v>1506</v>
      </c>
      <c r="P792" s="3">
        <v>4670.0</v>
      </c>
      <c r="Q792" s="45" t="s">
        <v>60</v>
      </c>
    </row>
    <row r="793">
      <c r="A793" s="3" t="s">
        <v>1499</v>
      </c>
      <c r="B793" s="3" t="s">
        <v>1500</v>
      </c>
      <c r="C793" s="3" t="s">
        <v>1501</v>
      </c>
      <c r="D793" s="3" t="s">
        <v>531</v>
      </c>
      <c r="E793" s="3" t="s">
        <v>1530</v>
      </c>
      <c r="F793" s="7" t="s">
        <v>60</v>
      </c>
      <c r="H793" s="15" t="s">
        <v>48</v>
      </c>
      <c r="I793" s="3" t="s">
        <v>49</v>
      </c>
      <c r="J793" s="3">
        <v>1.0</v>
      </c>
      <c r="K793" s="3" t="s">
        <v>1503</v>
      </c>
      <c r="L793" s="3" t="s">
        <v>1503</v>
      </c>
      <c r="M793" s="3" t="s">
        <v>1504</v>
      </c>
      <c r="N793" s="6" t="s">
        <v>1505</v>
      </c>
      <c r="O793" s="6" t="s">
        <v>1506</v>
      </c>
      <c r="P793" s="3">
        <v>4670.0</v>
      </c>
      <c r="Q793" s="45" t="s">
        <v>60</v>
      </c>
    </row>
    <row r="794">
      <c r="A794" s="3" t="s">
        <v>1499</v>
      </c>
      <c r="B794" s="3" t="s">
        <v>1500</v>
      </c>
      <c r="C794" s="3" t="s">
        <v>1501</v>
      </c>
      <c r="D794" s="3" t="s">
        <v>531</v>
      </c>
      <c r="E794" s="3" t="s">
        <v>1531</v>
      </c>
      <c r="F794" s="7" t="s">
        <v>60</v>
      </c>
      <c r="H794" s="15" t="s">
        <v>48</v>
      </c>
      <c r="I794" s="3" t="s">
        <v>49</v>
      </c>
      <c r="J794" s="3">
        <v>1.0</v>
      </c>
      <c r="K794" s="3" t="s">
        <v>1503</v>
      </c>
      <c r="L794" s="3" t="s">
        <v>1503</v>
      </c>
      <c r="M794" s="3" t="s">
        <v>1504</v>
      </c>
      <c r="N794" s="6" t="s">
        <v>1505</v>
      </c>
      <c r="O794" s="6" t="s">
        <v>1506</v>
      </c>
      <c r="P794" s="3">
        <v>4670.0</v>
      </c>
      <c r="Q794" s="45" t="s">
        <v>60</v>
      </c>
    </row>
    <row r="795">
      <c r="A795" s="3" t="s">
        <v>1499</v>
      </c>
      <c r="B795" s="3" t="s">
        <v>1500</v>
      </c>
      <c r="C795" s="3" t="s">
        <v>1501</v>
      </c>
      <c r="D795" s="3" t="s">
        <v>531</v>
      </c>
      <c r="E795" s="3" t="s">
        <v>1532</v>
      </c>
      <c r="F795" s="7" t="s">
        <v>60</v>
      </c>
      <c r="H795" s="15" t="s">
        <v>48</v>
      </c>
      <c r="I795" s="3" t="s">
        <v>49</v>
      </c>
      <c r="J795" s="3">
        <v>1.0</v>
      </c>
      <c r="K795" s="3" t="s">
        <v>1503</v>
      </c>
      <c r="L795" s="3" t="s">
        <v>1503</v>
      </c>
      <c r="M795" s="3" t="s">
        <v>1504</v>
      </c>
      <c r="N795" s="6" t="s">
        <v>1505</v>
      </c>
      <c r="O795" s="6" t="s">
        <v>1506</v>
      </c>
      <c r="P795" s="3">
        <v>4670.0</v>
      </c>
      <c r="Q795" s="45" t="s">
        <v>60</v>
      </c>
    </row>
    <row r="796">
      <c r="A796" s="3" t="s">
        <v>1499</v>
      </c>
      <c r="B796" s="3" t="s">
        <v>1500</v>
      </c>
      <c r="C796" s="3" t="s">
        <v>1501</v>
      </c>
      <c r="D796" s="3" t="s">
        <v>531</v>
      </c>
      <c r="E796" s="3" t="s">
        <v>1533</v>
      </c>
      <c r="F796" s="7" t="s">
        <v>60</v>
      </c>
      <c r="H796" s="15" t="s">
        <v>48</v>
      </c>
      <c r="I796" s="3" t="s">
        <v>49</v>
      </c>
      <c r="J796" s="3">
        <v>1.0</v>
      </c>
      <c r="K796" s="3" t="s">
        <v>1503</v>
      </c>
      <c r="L796" s="3" t="s">
        <v>1503</v>
      </c>
      <c r="M796" s="3" t="s">
        <v>1504</v>
      </c>
      <c r="N796" s="6" t="s">
        <v>1505</v>
      </c>
      <c r="O796" s="6" t="s">
        <v>1506</v>
      </c>
      <c r="P796" s="3">
        <v>4670.0</v>
      </c>
      <c r="Q796" s="45" t="s">
        <v>60</v>
      </c>
    </row>
    <row r="797">
      <c r="A797" s="3" t="s">
        <v>1499</v>
      </c>
      <c r="B797" s="3" t="s">
        <v>1500</v>
      </c>
      <c r="C797" s="3" t="s">
        <v>1501</v>
      </c>
      <c r="D797" s="3" t="s">
        <v>531</v>
      </c>
      <c r="E797" s="3" t="s">
        <v>1534</v>
      </c>
      <c r="F797" s="7" t="s">
        <v>60</v>
      </c>
      <c r="H797" s="15" t="s">
        <v>48</v>
      </c>
      <c r="I797" s="3" t="s">
        <v>49</v>
      </c>
      <c r="J797" s="3">
        <v>1.0</v>
      </c>
      <c r="K797" s="3" t="s">
        <v>1503</v>
      </c>
      <c r="L797" s="3" t="s">
        <v>1503</v>
      </c>
      <c r="M797" s="3" t="s">
        <v>1504</v>
      </c>
      <c r="N797" s="6" t="s">
        <v>1505</v>
      </c>
      <c r="O797" s="6" t="s">
        <v>1506</v>
      </c>
      <c r="P797" s="3">
        <v>4670.0</v>
      </c>
      <c r="Q797" s="45" t="s">
        <v>60</v>
      </c>
    </row>
    <row r="798">
      <c r="A798" s="3" t="s">
        <v>1499</v>
      </c>
      <c r="B798" s="3" t="s">
        <v>1500</v>
      </c>
      <c r="C798" s="3" t="s">
        <v>1501</v>
      </c>
      <c r="D798" s="3" t="s">
        <v>531</v>
      </c>
      <c r="E798" s="3" t="s">
        <v>1535</v>
      </c>
      <c r="F798" s="7" t="s">
        <v>60</v>
      </c>
      <c r="H798" s="15" t="s">
        <v>48</v>
      </c>
      <c r="I798" s="3" t="s">
        <v>49</v>
      </c>
      <c r="J798" s="3">
        <v>1.0</v>
      </c>
      <c r="K798" s="3" t="s">
        <v>1503</v>
      </c>
      <c r="L798" s="3" t="s">
        <v>1503</v>
      </c>
      <c r="M798" s="3" t="s">
        <v>1504</v>
      </c>
      <c r="N798" s="6" t="s">
        <v>1505</v>
      </c>
      <c r="O798" s="6" t="s">
        <v>1506</v>
      </c>
      <c r="P798" s="3">
        <v>4670.0</v>
      </c>
      <c r="Q798" s="45" t="s">
        <v>60</v>
      </c>
    </row>
    <row r="799">
      <c r="A799" s="3" t="s">
        <v>1499</v>
      </c>
      <c r="B799" s="3" t="s">
        <v>1500</v>
      </c>
      <c r="C799" s="3" t="s">
        <v>1501</v>
      </c>
      <c r="D799" s="3" t="s">
        <v>531</v>
      </c>
      <c r="E799" s="3" t="s">
        <v>1536</v>
      </c>
      <c r="F799" s="7" t="s">
        <v>60</v>
      </c>
      <c r="H799" s="15" t="s">
        <v>48</v>
      </c>
      <c r="I799" s="3" t="s">
        <v>49</v>
      </c>
      <c r="J799" s="3">
        <v>1.0</v>
      </c>
      <c r="K799" s="3" t="s">
        <v>1503</v>
      </c>
      <c r="L799" s="3" t="s">
        <v>1503</v>
      </c>
      <c r="M799" s="3" t="s">
        <v>1504</v>
      </c>
      <c r="N799" s="6" t="s">
        <v>1505</v>
      </c>
      <c r="O799" s="6" t="s">
        <v>1506</v>
      </c>
      <c r="P799" s="3">
        <v>4670.0</v>
      </c>
      <c r="Q799" s="45" t="s">
        <v>60</v>
      </c>
    </row>
    <row r="800">
      <c r="A800" s="3" t="s">
        <v>1499</v>
      </c>
      <c r="B800" s="3" t="s">
        <v>1500</v>
      </c>
      <c r="C800" s="3" t="s">
        <v>1501</v>
      </c>
      <c r="D800" s="3" t="s">
        <v>531</v>
      </c>
      <c r="E800" s="3" t="s">
        <v>1537</v>
      </c>
      <c r="F800" s="7" t="s">
        <v>60</v>
      </c>
      <c r="H800" s="15" t="s">
        <v>48</v>
      </c>
      <c r="I800" s="3" t="s">
        <v>49</v>
      </c>
      <c r="J800" s="3">
        <v>1.0</v>
      </c>
      <c r="K800" s="3" t="s">
        <v>1503</v>
      </c>
      <c r="L800" s="3" t="s">
        <v>1503</v>
      </c>
      <c r="M800" s="3" t="s">
        <v>1504</v>
      </c>
      <c r="N800" s="6" t="s">
        <v>1505</v>
      </c>
      <c r="O800" s="6" t="s">
        <v>1506</v>
      </c>
      <c r="P800" s="3">
        <v>4670.0</v>
      </c>
      <c r="Q800" s="45" t="s">
        <v>60</v>
      </c>
    </row>
    <row r="801">
      <c r="A801" s="3" t="s">
        <v>1499</v>
      </c>
      <c r="B801" s="3" t="s">
        <v>1500</v>
      </c>
      <c r="C801" s="3" t="s">
        <v>1501</v>
      </c>
      <c r="D801" s="3" t="s">
        <v>531</v>
      </c>
      <c r="E801" s="3" t="s">
        <v>1538</v>
      </c>
      <c r="F801" s="7" t="s">
        <v>60</v>
      </c>
      <c r="H801" s="15" t="s">
        <v>48</v>
      </c>
      <c r="I801" s="3" t="s">
        <v>49</v>
      </c>
      <c r="J801" s="3">
        <v>1.0</v>
      </c>
      <c r="K801" s="3" t="s">
        <v>1503</v>
      </c>
      <c r="L801" s="3" t="s">
        <v>1503</v>
      </c>
      <c r="M801" s="3" t="s">
        <v>1504</v>
      </c>
      <c r="N801" s="6" t="s">
        <v>1505</v>
      </c>
      <c r="O801" s="6" t="s">
        <v>1506</v>
      </c>
      <c r="P801" s="3">
        <v>4670.0</v>
      </c>
      <c r="Q801" s="45" t="s">
        <v>60</v>
      </c>
    </row>
    <row r="802">
      <c r="A802" s="3" t="s">
        <v>1499</v>
      </c>
      <c r="B802" s="3" t="s">
        <v>1500</v>
      </c>
      <c r="C802" s="3" t="s">
        <v>1501</v>
      </c>
      <c r="D802" s="3" t="s">
        <v>531</v>
      </c>
      <c r="E802" s="3" t="s">
        <v>1539</v>
      </c>
      <c r="F802" s="7" t="s">
        <v>60</v>
      </c>
      <c r="H802" s="15" t="s">
        <v>48</v>
      </c>
      <c r="I802" s="3" t="s">
        <v>49</v>
      </c>
      <c r="J802" s="3">
        <v>1.0</v>
      </c>
      <c r="K802" s="3" t="s">
        <v>1503</v>
      </c>
      <c r="L802" s="3" t="s">
        <v>1503</v>
      </c>
      <c r="M802" s="3" t="s">
        <v>1504</v>
      </c>
      <c r="N802" s="6" t="s">
        <v>1505</v>
      </c>
      <c r="O802" s="6" t="s">
        <v>1506</v>
      </c>
      <c r="P802" s="3">
        <v>4670.0</v>
      </c>
      <c r="Q802" s="45" t="s">
        <v>60</v>
      </c>
    </row>
    <row r="803">
      <c r="A803" s="3" t="s">
        <v>1499</v>
      </c>
      <c r="B803" s="3" t="s">
        <v>1500</v>
      </c>
      <c r="C803" s="3" t="s">
        <v>1501</v>
      </c>
      <c r="D803" s="3" t="s">
        <v>531</v>
      </c>
      <c r="E803" s="3" t="s">
        <v>1540</v>
      </c>
      <c r="F803" s="7" t="s">
        <v>60</v>
      </c>
      <c r="H803" s="15" t="s">
        <v>48</v>
      </c>
      <c r="I803" s="3" t="s">
        <v>49</v>
      </c>
      <c r="J803" s="3">
        <v>1.0</v>
      </c>
      <c r="K803" s="3" t="s">
        <v>1503</v>
      </c>
      <c r="L803" s="3" t="s">
        <v>1503</v>
      </c>
      <c r="M803" s="3" t="s">
        <v>1504</v>
      </c>
      <c r="N803" s="6" t="s">
        <v>1505</v>
      </c>
      <c r="O803" s="6" t="s">
        <v>1506</v>
      </c>
      <c r="P803" s="3">
        <v>4670.0</v>
      </c>
      <c r="Q803" s="45" t="s">
        <v>60</v>
      </c>
    </row>
    <row r="804">
      <c r="A804" s="3" t="s">
        <v>1499</v>
      </c>
      <c r="B804" s="3" t="s">
        <v>1500</v>
      </c>
      <c r="C804" s="3" t="s">
        <v>1501</v>
      </c>
      <c r="D804" s="3" t="s">
        <v>531</v>
      </c>
      <c r="E804" s="3" t="s">
        <v>1541</v>
      </c>
      <c r="F804" s="7" t="s">
        <v>60</v>
      </c>
      <c r="H804" s="15" t="s">
        <v>48</v>
      </c>
      <c r="I804" s="3" t="s">
        <v>49</v>
      </c>
      <c r="J804" s="3">
        <v>1.0</v>
      </c>
      <c r="K804" s="3" t="s">
        <v>1503</v>
      </c>
      <c r="L804" s="3" t="s">
        <v>1503</v>
      </c>
      <c r="M804" s="3" t="s">
        <v>1504</v>
      </c>
      <c r="N804" s="6" t="s">
        <v>1505</v>
      </c>
      <c r="O804" s="6" t="s">
        <v>1506</v>
      </c>
      <c r="P804" s="3">
        <v>4670.0</v>
      </c>
      <c r="Q804" s="45" t="s">
        <v>60</v>
      </c>
    </row>
    <row r="805">
      <c r="A805" s="3" t="s">
        <v>1499</v>
      </c>
      <c r="B805" s="3" t="s">
        <v>1500</v>
      </c>
      <c r="C805" s="3" t="s">
        <v>1501</v>
      </c>
      <c r="D805" s="3" t="s">
        <v>531</v>
      </c>
      <c r="E805" s="3" t="s">
        <v>1542</v>
      </c>
      <c r="F805" s="7" t="s">
        <v>60</v>
      </c>
      <c r="H805" s="15" t="s">
        <v>48</v>
      </c>
      <c r="I805" s="3" t="s">
        <v>49</v>
      </c>
      <c r="J805" s="3">
        <v>1.0</v>
      </c>
      <c r="K805" s="3" t="s">
        <v>1503</v>
      </c>
      <c r="L805" s="3" t="s">
        <v>1503</v>
      </c>
      <c r="M805" s="3" t="s">
        <v>1504</v>
      </c>
      <c r="N805" s="6" t="s">
        <v>1505</v>
      </c>
      <c r="O805" s="6" t="s">
        <v>1506</v>
      </c>
      <c r="P805" s="3">
        <v>4670.0</v>
      </c>
      <c r="Q805" s="45" t="s">
        <v>60</v>
      </c>
    </row>
    <row r="806">
      <c r="A806" s="3" t="s">
        <v>1499</v>
      </c>
      <c r="B806" s="3" t="s">
        <v>1500</v>
      </c>
      <c r="C806" s="3" t="s">
        <v>1501</v>
      </c>
      <c r="D806" s="3" t="s">
        <v>531</v>
      </c>
      <c r="E806" s="3" t="s">
        <v>1543</v>
      </c>
      <c r="F806" s="7" t="s">
        <v>60</v>
      </c>
      <c r="H806" s="15" t="s">
        <v>48</v>
      </c>
      <c r="I806" s="3" t="s">
        <v>49</v>
      </c>
      <c r="J806" s="3">
        <v>1.0</v>
      </c>
      <c r="K806" s="3" t="s">
        <v>1503</v>
      </c>
      <c r="L806" s="3" t="s">
        <v>1503</v>
      </c>
      <c r="M806" s="3" t="s">
        <v>1504</v>
      </c>
      <c r="N806" s="6" t="s">
        <v>1505</v>
      </c>
      <c r="O806" s="6" t="s">
        <v>1506</v>
      </c>
      <c r="P806" s="3">
        <v>4670.0</v>
      </c>
      <c r="Q806" s="45" t="s">
        <v>60</v>
      </c>
    </row>
    <row r="807">
      <c r="A807" s="3" t="s">
        <v>1499</v>
      </c>
      <c r="B807" s="3" t="s">
        <v>1500</v>
      </c>
      <c r="C807" s="3" t="s">
        <v>1501</v>
      </c>
      <c r="D807" s="3" t="s">
        <v>531</v>
      </c>
      <c r="E807" s="3" t="s">
        <v>1544</v>
      </c>
      <c r="F807" s="7" t="s">
        <v>60</v>
      </c>
      <c r="H807" s="15" t="s">
        <v>48</v>
      </c>
      <c r="I807" s="3" t="s">
        <v>49</v>
      </c>
      <c r="J807" s="3">
        <v>1.0</v>
      </c>
      <c r="K807" s="3" t="s">
        <v>1503</v>
      </c>
      <c r="L807" s="3" t="s">
        <v>1503</v>
      </c>
      <c r="M807" s="3" t="s">
        <v>1504</v>
      </c>
      <c r="N807" s="6" t="s">
        <v>1505</v>
      </c>
      <c r="O807" s="6" t="s">
        <v>1506</v>
      </c>
      <c r="P807" s="3">
        <v>4670.0</v>
      </c>
      <c r="Q807" s="45" t="s">
        <v>60</v>
      </c>
    </row>
    <row r="808">
      <c r="A808" s="3" t="s">
        <v>1499</v>
      </c>
      <c r="B808" s="3" t="s">
        <v>1500</v>
      </c>
      <c r="C808" s="3" t="s">
        <v>1501</v>
      </c>
      <c r="D808" s="3" t="s">
        <v>531</v>
      </c>
      <c r="E808" s="3" t="s">
        <v>1545</v>
      </c>
      <c r="F808" s="7" t="s">
        <v>60</v>
      </c>
      <c r="H808" s="15" t="s">
        <v>48</v>
      </c>
      <c r="I808" s="3" t="s">
        <v>49</v>
      </c>
      <c r="J808" s="3">
        <v>1.0</v>
      </c>
      <c r="K808" s="3" t="s">
        <v>1503</v>
      </c>
      <c r="L808" s="3" t="s">
        <v>1503</v>
      </c>
      <c r="M808" s="3" t="s">
        <v>1504</v>
      </c>
      <c r="N808" s="6" t="s">
        <v>1505</v>
      </c>
      <c r="O808" s="6" t="s">
        <v>1506</v>
      </c>
      <c r="P808" s="3">
        <v>4670.0</v>
      </c>
      <c r="Q808" s="45" t="s">
        <v>60</v>
      </c>
    </row>
    <row r="809">
      <c r="A809" s="3" t="s">
        <v>1499</v>
      </c>
      <c r="B809" s="3" t="s">
        <v>1500</v>
      </c>
      <c r="C809" s="3" t="s">
        <v>1501</v>
      </c>
      <c r="D809" s="3" t="s">
        <v>531</v>
      </c>
      <c r="E809" s="3" t="s">
        <v>1546</v>
      </c>
      <c r="F809" s="7" t="s">
        <v>60</v>
      </c>
      <c r="H809" s="15" t="s">
        <v>48</v>
      </c>
      <c r="I809" s="3" t="s">
        <v>49</v>
      </c>
      <c r="J809" s="3">
        <v>1.0</v>
      </c>
      <c r="K809" s="3" t="s">
        <v>1503</v>
      </c>
      <c r="L809" s="3" t="s">
        <v>1503</v>
      </c>
      <c r="M809" s="3" t="s">
        <v>1504</v>
      </c>
      <c r="N809" s="6" t="s">
        <v>1505</v>
      </c>
      <c r="O809" s="6" t="s">
        <v>1506</v>
      </c>
      <c r="P809" s="3">
        <v>4670.0</v>
      </c>
      <c r="Q809" s="45" t="s">
        <v>60</v>
      </c>
    </row>
    <row r="810">
      <c r="A810" s="3" t="s">
        <v>1499</v>
      </c>
      <c r="B810" s="3" t="s">
        <v>1500</v>
      </c>
      <c r="C810" s="3" t="s">
        <v>1501</v>
      </c>
      <c r="D810" s="3" t="s">
        <v>531</v>
      </c>
      <c r="E810" s="3" t="s">
        <v>1547</v>
      </c>
      <c r="F810" s="7" t="s">
        <v>60</v>
      </c>
      <c r="H810" s="15" t="s">
        <v>48</v>
      </c>
      <c r="I810" s="3" t="s">
        <v>49</v>
      </c>
      <c r="J810" s="3">
        <v>1.0</v>
      </c>
      <c r="K810" s="3" t="s">
        <v>1503</v>
      </c>
      <c r="L810" s="3" t="s">
        <v>1503</v>
      </c>
      <c r="M810" s="3" t="s">
        <v>1504</v>
      </c>
      <c r="N810" s="6" t="s">
        <v>1505</v>
      </c>
      <c r="O810" s="6" t="s">
        <v>1506</v>
      </c>
      <c r="P810" s="3">
        <v>4670.0</v>
      </c>
      <c r="Q810" s="45" t="s">
        <v>60</v>
      </c>
    </row>
    <row r="811">
      <c r="A811" s="3" t="s">
        <v>1499</v>
      </c>
      <c r="B811" s="3" t="s">
        <v>1500</v>
      </c>
      <c r="C811" s="3" t="s">
        <v>1501</v>
      </c>
      <c r="D811" s="3" t="s">
        <v>531</v>
      </c>
      <c r="E811" s="3" t="s">
        <v>1548</v>
      </c>
      <c r="F811" s="7" t="s">
        <v>60</v>
      </c>
      <c r="H811" s="15" t="s">
        <v>48</v>
      </c>
      <c r="I811" s="3" t="s">
        <v>49</v>
      </c>
      <c r="J811" s="3">
        <v>1.0</v>
      </c>
      <c r="K811" s="3" t="s">
        <v>1503</v>
      </c>
      <c r="L811" s="3" t="s">
        <v>1503</v>
      </c>
      <c r="M811" s="3" t="s">
        <v>1504</v>
      </c>
      <c r="N811" s="6" t="s">
        <v>1505</v>
      </c>
      <c r="O811" s="6" t="s">
        <v>1506</v>
      </c>
      <c r="P811" s="3">
        <v>4670.0</v>
      </c>
      <c r="Q811" s="45" t="s">
        <v>60</v>
      </c>
    </row>
    <row r="812">
      <c r="A812" s="3" t="s">
        <v>1499</v>
      </c>
      <c r="B812" s="3" t="s">
        <v>1500</v>
      </c>
      <c r="C812" s="3" t="s">
        <v>1501</v>
      </c>
      <c r="D812" s="3" t="s">
        <v>531</v>
      </c>
      <c r="E812" s="3" t="s">
        <v>1549</v>
      </c>
      <c r="F812" s="7" t="s">
        <v>60</v>
      </c>
      <c r="H812" s="15" t="s">
        <v>48</v>
      </c>
      <c r="I812" s="3" t="s">
        <v>49</v>
      </c>
      <c r="J812" s="3">
        <v>1.0</v>
      </c>
      <c r="K812" s="3" t="s">
        <v>1503</v>
      </c>
      <c r="L812" s="3" t="s">
        <v>1503</v>
      </c>
      <c r="M812" s="3" t="s">
        <v>1504</v>
      </c>
      <c r="N812" s="6" t="s">
        <v>1505</v>
      </c>
      <c r="O812" s="6" t="s">
        <v>1506</v>
      </c>
      <c r="P812" s="3">
        <v>4670.0</v>
      </c>
      <c r="Q812" s="45" t="s">
        <v>60</v>
      </c>
    </row>
    <row r="813">
      <c r="A813" s="3" t="s">
        <v>1499</v>
      </c>
      <c r="B813" s="3" t="s">
        <v>1500</v>
      </c>
      <c r="C813" s="3" t="s">
        <v>1501</v>
      </c>
      <c r="D813" s="3" t="s">
        <v>531</v>
      </c>
      <c r="E813" s="3" t="s">
        <v>1550</v>
      </c>
      <c r="F813" s="7" t="s">
        <v>60</v>
      </c>
      <c r="H813" s="15" t="s">
        <v>48</v>
      </c>
      <c r="I813" s="3" t="s">
        <v>49</v>
      </c>
      <c r="J813" s="3">
        <v>1.0</v>
      </c>
      <c r="K813" s="3" t="s">
        <v>1503</v>
      </c>
      <c r="L813" s="3" t="s">
        <v>1503</v>
      </c>
      <c r="M813" s="3" t="s">
        <v>1504</v>
      </c>
      <c r="N813" s="6" t="s">
        <v>1505</v>
      </c>
      <c r="O813" s="6" t="s">
        <v>1506</v>
      </c>
      <c r="P813" s="3">
        <v>4670.0</v>
      </c>
      <c r="Q813" s="45" t="s">
        <v>60</v>
      </c>
    </row>
    <row r="814">
      <c r="A814" s="3" t="s">
        <v>1499</v>
      </c>
      <c r="B814" s="3" t="s">
        <v>1500</v>
      </c>
      <c r="C814" s="3" t="s">
        <v>1501</v>
      </c>
      <c r="D814" s="3" t="s">
        <v>531</v>
      </c>
      <c r="E814" s="3" t="s">
        <v>1551</v>
      </c>
      <c r="F814" s="7" t="s">
        <v>60</v>
      </c>
      <c r="H814" s="15" t="s">
        <v>48</v>
      </c>
      <c r="I814" s="3" t="s">
        <v>49</v>
      </c>
      <c r="J814" s="3">
        <v>1.0</v>
      </c>
      <c r="K814" s="3" t="s">
        <v>1503</v>
      </c>
      <c r="L814" s="3" t="s">
        <v>1503</v>
      </c>
      <c r="M814" s="3" t="s">
        <v>1504</v>
      </c>
      <c r="N814" s="6" t="s">
        <v>1505</v>
      </c>
      <c r="O814" s="6" t="s">
        <v>1506</v>
      </c>
      <c r="P814" s="3">
        <v>4670.0</v>
      </c>
      <c r="Q814" s="45" t="s">
        <v>60</v>
      </c>
    </row>
    <row r="815">
      <c r="A815" s="3" t="s">
        <v>1499</v>
      </c>
      <c r="B815" s="3" t="s">
        <v>1500</v>
      </c>
      <c r="C815" s="3" t="s">
        <v>1501</v>
      </c>
      <c r="D815" s="3" t="s">
        <v>531</v>
      </c>
      <c r="E815" s="3" t="s">
        <v>1552</v>
      </c>
      <c r="F815" s="7" t="s">
        <v>60</v>
      </c>
      <c r="H815" s="15" t="s">
        <v>48</v>
      </c>
      <c r="I815" s="3" t="s">
        <v>49</v>
      </c>
      <c r="J815" s="3">
        <v>1.0</v>
      </c>
      <c r="K815" s="3" t="s">
        <v>1503</v>
      </c>
      <c r="L815" s="3" t="s">
        <v>1503</v>
      </c>
      <c r="M815" s="3" t="s">
        <v>1504</v>
      </c>
      <c r="N815" s="6" t="s">
        <v>1505</v>
      </c>
      <c r="O815" s="6" t="s">
        <v>1506</v>
      </c>
      <c r="P815" s="3">
        <v>4670.0</v>
      </c>
      <c r="Q815" s="45" t="s">
        <v>60</v>
      </c>
    </row>
    <row r="816">
      <c r="A816" s="3" t="s">
        <v>1553</v>
      </c>
      <c r="B816" s="3" t="s">
        <v>1554</v>
      </c>
      <c r="C816" s="3" t="s">
        <v>1555</v>
      </c>
      <c r="D816" s="3" t="s">
        <v>356</v>
      </c>
      <c r="E816" s="3" t="s">
        <v>1556</v>
      </c>
      <c r="F816" s="14">
        <v>46056.0</v>
      </c>
      <c r="G816" s="12" t="s">
        <v>260</v>
      </c>
      <c r="H816" s="15" t="s">
        <v>48</v>
      </c>
      <c r="I816" s="3" t="s">
        <v>49</v>
      </c>
      <c r="J816" s="3">
        <v>5.0</v>
      </c>
      <c r="K816" s="3" t="s">
        <v>1557</v>
      </c>
      <c r="L816" s="3" t="s">
        <v>1558</v>
      </c>
      <c r="M816" s="3" t="s">
        <v>1559</v>
      </c>
      <c r="N816" s="6" t="s">
        <v>1560</v>
      </c>
      <c r="O816" s="6" t="s">
        <v>1561</v>
      </c>
      <c r="P816" s="3">
        <v>6063.0</v>
      </c>
      <c r="Q816" s="3">
        <v>2.0</v>
      </c>
    </row>
    <row r="817">
      <c r="A817" s="3" t="s">
        <v>1553</v>
      </c>
      <c r="B817" s="3" t="s">
        <v>1554</v>
      </c>
      <c r="C817" s="3" t="s">
        <v>1555</v>
      </c>
      <c r="D817" s="3" t="s">
        <v>356</v>
      </c>
      <c r="E817" s="3" t="s">
        <v>1562</v>
      </c>
      <c r="F817" s="7" t="s">
        <v>60</v>
      </c>
      <c r="H817" s="15" t="s">
        <v>48</v>
      </c>
      <c r="I817" s="3" t="s">
        <v>49</v>
      </c>
      <c r="J817" s="3">
        <v>5.0</v>
      </c>
      <c r="K817" s="3" t="s">
        <v>1557</v>
      </c>
      <c r="L817" s="3" t="s">
        <v>1558</v>
      </c>
      <c r="M817" s="3" t="s">
        <v>1559</v>
      </c>
      <c r="N817" s="6" t="s">
        <v>1560</v>
      </c>
      <c r="O817" s="6" t="s">
        <v>1561</v>
      </c>
      <c r="P817" s="3">
        <v>6054.0</v>
      </c>
      <c r="Q817" s="45" t="s">
        <v>60</v>
      </c>
    </row>
    <row r="818">
      <c r="A818" s="3" t="s">
        <v>1553</v>
      </c>
      <c r="B818" s="3" t="s">
        <v>1554</v>
      </c>
      <c r="C818" s="3" t="s">
        <v>1555</v>
      </c>
      <c r="D818" s="3" t="s">
        <v>356</v>
      </c>
      <c r="E818" s="3" t="s">
        <v>1563</v>
      </c>
      <c r="F818" s="14">
        <v>46086.0</v>
      </c>
      <c r="G818" s="12" t="s">
        <v>260</v>
      </c>
      <c r="H818" s="15" t="s">
        <v>48</v>
      </c>
      <c r="I818" s="3" t="s">
        <v>49</v>
      </c>
      <c r="J818" s="3">
        <v>5.0</v>
      </c>
      <c r="K818" s="3" t="s">
        <v>1557</v>
      </c>
      <c r="L818" s="3" t="s">
        <v>1558</v>
      </c>
      <c r="M818" s="3" t="s">
        <v>1559</v>
      </c>
      <c r="N818" s="6" t="s">
        <v>1560</v>
      </c>
      <c r="O818" s="6" t="s">
        <v>1561</v>
      </c>
      <c r="P818" s="3">
        <v>6055.0</v>
      </c>
      <c r="Q818" s="45" t="s">
        <v>60</v>
      </c>
    </row>
    <row r="819">
      <c r="A819" s="3" t="s">
        <v>1553</v>
      </c>
      <c r="B819" s="3" t="s">
        <v>1554</v>
      </c>
      <c r="C819" s="3" t="s">
        <v>1555</v>
      </c>
      <c r="D819" s="3" t="s">
        <v>356</v>
      </c>
      <c r="E819" s="3" t="s">
        <v>1564</v>
      </c>
      <c r="F819" s="7" t="s">
        <v>60</v>
      </c>
      <c r="H819" s="15" t="s">
        <v>48</v>
      </c>
      <c r="I819" s="3" t="s">
        <v>49</v>
      </c>
      <c r="J819" s="3">
        <v>5.0</v>
      </c>
      <c r="K819" s="3" t="s">
        <v>1557</v>
      </c>
      <c r="L819" s="3" t="s">
        <v>1558</v>
      </c>
      <c r="M819" s="3" t="s">
        <v>1559</v>
      </c>
      <c r="N819" s="6" t="s">
        <v>1560</v>
      </c>
      <c r="O819" s="6" t="s">
        <v>1561</v>
      </c>
      <c r="P819" s="3">
        <v>6056.0</v>
      </c>
      <c r="Q819" s="45"/>
    </row>
    <row r="820">
      <c r="A820" s="3" t="s">
        <v>1553</v>
      </c>
      <c r="B820" s="3" t="s">
        <v>1554</v>
      </c>
      <c r="C820" s="3" t="s">
        <v>1555</v>
      </c>
      <c r="D820" s="3" t="s">
        <v>356</v>
      </c>
      <c r="E820" s="3" t="s">
        <v>1565</v>
      </c>
      <c r="F820" s="7" t="s">
        <v>60</v>
      </c>
      <c r="H820" s="15" t="s">
        <v>48</v>
      </c>
      <c r="I820" s="3" t="s">
        <v>49</v>
      </c>
      <c r="J820" s="3">
        <v>5.0</v>
      </c>
      <c r="K820" s="3" t="s">
        <v>1557</v>
      </c>
      <c r="L820" s="3" t="s">
        <v>1558</v>
      </c>
      <c r="M820" s="3" t="s">
        <v>1559</v>
      </c>
      <c r="N820" s="6" t="s">
        <v>1560</v>
      </c>
      <c r="O820" s="6" t="s">
        <v>1561</v>
      </c>
      <c r="P820" s="3">
        <v>6055.0</v>
      </c>
      <c r="Q820" s="19">
        <v>2.0</v>
      </c>
    </row>
    <row r="821">
      <c r="A821" s="3" t="s">
        <v>1553</v>
      </c>
      <c r="B821" s="3" t="s">
        <v>1554</v>
      </c>
      <c r="C821" s="3" t="s">
        <v>1555</v>
      </c>
      <c r="D821" s="3" t="s">
        <v>356</v>
      </c>
      <c r="E821" s="3" t="s">
        <v>1566</v>
      </c>
      <c r="F821" s="7" t="s">
        <v>60</v>
      </c>
      <c r="H821" s="15" t="s">
        <v>48</v>
      </c>
      <c r="I821" s="3" t="s">
        <v>49</v>
      </c>
      <c r="J821" s="3">
        <v>5.0</v>
      </c>
      <c r="K821" s="3" t="s">
        <v>1557</v>
      </c>
      <c r="L821" s="3" t="s">
        <v>1558</v>
      </c>
      <c r="M821" s="3" t="s">
        <v>1559</v>
      </c>
      <c r="N821" s="6" t="s">
        <v>1560</v>
      </c>
      <c r="O821" s="6" t="s">
        <v>1561</v>
      </c>
      <c r="P821" s="3">
        <v>6055.0</v>
      </c>
      <c r="Q821" s="45" t="s">
        <v>60</v>
      </c>
    </row>
    <row r="822">
      <c r="A822" s="3" t="s">
        <v>1553</v>
      </c>
      <c r="B822" s="3" t="s">
        <v>1554</v>
      </c>
      <c r="C822" s="3" t="s">
        <v>1555</v>
      </c>
      <c r="D822" s="3" t="s">
        <v>356</v>
      </c>
      <c r="E822" s="3" t="s">
        <v>1567</v>
      </c>
      <c r="F822" s="7" t="s">
        <v>60</v>
      </c>
      <c r="H822" s="15" t="s">
        <v>48</v>
      </c>
      <c r="I822" s="3" t="s">
        <v>49</v>
      </c>
      <c r="J822" s="3">
        <v>5.0</v>
      </c>
      <c r="K822" s="3" t="s">
        <v>1557</v>
      </c>
      <c r="L822" s="3" t="s">
        <v>1558</v>
      </c>
      <c r="M822" s="3" t="s">
        <v>1559</v>
      </c>
      <c r="N822" s="6" t="s">
        <v>1560</v>
      </c>
      <c r="O822" s="6" t="s">
        <v>1561</v>
      </c>
      <c r="P822" s="3">
        <v>6055.0</v>
      </c>
      <c r="Q822" s="45" t="s">
        <v>60</v>
      </c>
    </row>
    <row r="823">
      <c r="A823" s="3" t="s">
        <v>1553</v>
      </c>
      <c r="B823" s="3" t="s">
        <v>1554</v>
      </c>
      <c r="C823" s="3" t="s">
        <v>1555</v>
      </c>
      <c r="D823" s="3" t="s">
        <v>356</v>
      </c>
      <c r="E823" s="3" t="s">
        <v>1568</v>
      </c>
      <c r="F823" s="7" t="s">
        <v>60</v>
      </c>
      <c r="H823" s="15" t="s">
        <v>48</v>
      </c>
      <c r="I823" s="3" t="s">
        <v>49</v>
      </c>
      <c r="J823" s="3">
        <v>5.0</v>
      </c>
      <c r="K823" s="3" t="s">
        <v>1557</v>
      </c>
      <c r="L823" s="3" t="s">
        <v>1558</v>
      </c>
      <c r="M823" s="3" t="s">
        <v>1559</v>
      </c>
      <c r="N823" s="6" t="s">
        <v>1560</v>
      </c>
      <c r="O823" s="6" t="s">
        <v>1561</v>
      </c>
      <c r="P823" s="3">
        <v>6055.0</v>
      </c>
      <c r="Q823" s="45" t="s">
        <v>60</v>
      </c>
    </row>
    <row r="824">
      <c r="A824" s="3" t="s">
        <v>1553</v>
      </c>
      <c r="B824" s="3" t="s">
        <v>1554</v>
      </c>
      <c r="C824" s="3" t="s">
        <v>1555</v>
      </c>
      <c r="D824" s="3" t="s">
        <v>356</v>
      </c>
      <c r="E824" s="3" t="s">
        <v>1569</v>
      </c>
      <c r="F824" s="7" t="s">
        <v>60</v>
      </c>
      <c r="H824" s="15" t="s">
        <v>48</v>
      </c>
      <c r="I824" s="3" t="s">
        <v>49</v>
      </c>
      <c r="J824" s="3">
        <v>5.0</v>
      </c>
      <c r="K824" s="3" t="s">
        <v>1557</v>
      </c>
      <c r="L824" s="3" t="s">
        <v>1558</v>
      </c>
      <c r="M824" s="3" t="s">
        <v>1559</v>
      </c>
      <c r="N824" s="6" t="s">
        <v>1560</v>
      </c>
      <c r="O824" s="6" t="s">
        <v>1561</v>
      </c>
      <c r="P824" s="3">
        <v>6055.0</v>
      </c>
      <c r="Q824" s="45" t="s">
        <v>60</v>
      </c>
    </row>
    <row r="825">
      <c r="A825" s="3" t="s">
        <v>1553</v>
      </c>
      <c r="B825" s="3" t="s">
        <v>1554</v>
      </c>
      <c r="C825" s="3" t="s">
        <v>1555</v>
      </c>
      <c r="D825" s="3" t="s">
        <v>356</v>
      </c>
      <c r="E825" s="3" t="s">
        <v>1570</v>
      </c>
      <c r="F825" s="7" t="s">
        <v>60</v>
      </c>
      <c r="H825" s="15" t="s">
        <v>48</v>
      </c>
      <c r="I825" s="3" t="s">
        <v>49</v>
      </c>
      <c r="J825" s="3">
        <v>5.0</v>
      </c>
      <c r="K825" s="3" t="s">
        <v>1557</v>
      </c>
      <c r="L825" s="3" t="s">
        <v>1558</v>
      </c>
      <c r="M825" s="3" t="s">
        <v>1559</v>
      </c>
      <c r="N825" s="6" t="s">
        <v>1560</v>
      </c>
      <c r="O825" s="6" t="s">
        <v>1561</v>
      </c>
      <c r="P825" s="3">
        <v>6054.0</v>
      </c>
      <c r="Q825" s="45" t="s">
        <v>60</v>
      </c>
    </row>
    <row r="826">
      <c r="A826" s="3" t="s">
        <v>1553</v>
      </c>
      <c r="B826" s="3" t="s">
        <v>1554</v>
      </c>
      <c r="C826" s="3" t="s">
        <v>1555</v>
      </c>
      <c r="D826" s="3" t="s">
        <v>356</v>
      </c>
      <c r="E826" s="3" t="s">
        <v>1571</v>
      </c>
      <c r="F826" s="7" t="s">
        <v>60</v>
      </c>
      <c r="H826" s="15" t="s">
        <v>48</v>
      </c>
      <c r="I826" s="3" t="s">
        <v>49</v>
      </c>
      <c r="J826" s="3">
        <v>5.0</v>
      </c>
      <c r="K826" s="3" t="s">
        <v>1557</v>
      </c>
      <c r="L826" s="3" t="s">
        <v>1558</v>
      </c>
      <c r="M826" s="3" t="s">
        <v>1559</v>
      </c>
      <c r="N826" s="6" t="s">
        <v>1560</v>
      </c>
      <c r="O826" s="6" t="s">
        <v>1561</v>
      </c>
      <c r="P826" s="3">
        <v>6056.0</v>
      </c>
      <c r="Q826" s="45" t="s">
        <v>60</v>
      </c>
    </row>
    <row r="827" ht="15.0" customHeight="1">
      <c r="A827" s="3" t="s">
        <v>1553</v>
      </c>
      <c r="B827" s="3" t="s">
        <v>1554</v>
      </c>
      <c r="C827" s="3" t="s">
        <v>1555</v>
      </c>
      <c r="D827" s="3" t="s">
        <v>356</v>
      </c>
      <c r="E827" s="3" t="s">
        <v>1572</v>
      </c>
      <c r="F827" s="7" t="s">
        <v>60</v>
      </c>
      <c r="H827" s="15" t="s">
        <v>48</v>
      </c>
      <c r="I827" s="3" t="s">
        <v>49</v>
      </c>
      <c r="J827" s="3">
        <v>5.0</v>
      </c>
      <c r="K827" s="3" t="s">
        <v>1557</v>
      </c>
      <c r="L827" s="3" t="s">
        <v>1558</v>
      </c>
      <c r="M827" s="3" t="s">
        <v>1559</v>
      </c>
      <c r="N827" s="6" t="s">
        <v>1560</v>
      </c>
      <c r="O827" s="6" t="s">
        <v>1561</v>
      </c>
      <c r="P827" s="3">
        <v>6056.0</v>
      </c>
      <c r="Q827" s="45" t="s">
        <v>60</v>
      </c>
    </row>
    <row r="828">
      <c r="A828" s="3" t="s">
        <v>1553</v>
      </c>
      <c r="B828" s="3" t="s">
        <v>1554</v>
      </c>
      <c r="C828" s="3" t="s">
        <v>1555</v>
      </c>
      <c r="D828" s="3" t="s">
        <v>356</v>
      </c>
      <c r="E828" s="3" t="s">
        <v>1573</v>
      </c>
      <c r="F828" s="7" t="s">
        <v>60</v>
      </c>
      <c r="H828" s="15" t="s">
        <v>48</v>
      </c>
      <c r="I828" s="3" t="s">
        <v>49</v>
      </c>
      <c r="J828" s="3">
        <v>3.0</v>
      </c>
      <c r="K828" s="3" t="s">
        <v>1574</v>
      </c>
      <c r="L828" s="3" t="s">
        <v>1558</v>
      </c>
      <c r="M828" s="3" t="s">
        <v>1559</v>
      </c>
      <c r="N828" s="6" t="s">
        <v>1560</v>
      </c>
      <c r="O828" s="6" t="s">
        <v>1561</v>
      </c>
      <c r="P828" s="3">
        <v>6063.0</v>
      </c>
      <c r="Q828" s="45" t="s">
        <v>60</v>
      </c>
    </row>
    <row r="829">
      <c r="A829" s="3" t="s">
        <v>1553</v>
      </c>
      <c r="B829" s="3" t="s">
        <v>1554</v>
      </c>
      <c r="C829" s="3" t="s">
        <v>1555</v>
      </c>
      <c r="D829" s="3" t="s">
        <v>356</v>
      </c>
      <c r="E829" s="3" t="s">
        <v>1575</v>
      </c>
      <c r="F829" s="7" t="s">
        <v>60</v>
      </c>
      <c r="H829" s="15" t="s">
        <v>48</v>
      </c>
      <c r="I829" s="3" t="s">
        <v>49</v>
      </c>
      <c r="J829" s="3">
        <v>1.0</v>
      </c>
      <c r="K829" s="3" t="s">
        <v>1558</v>
      </c>
      <c r="L829" s="3" t="s">
        <v>1558</v>
      </c>
      <c r="M829" s="3" t="s">
        <v>1559</v>
      </c>
      <c r="N829" s="6" t="s">
        <v>1560</v>
      </c>
      <c r="O829" s="6" t="s">
        <v>1561</v>
      </c>
      <c r="P829" s="3">
        <v>6069.0</v>
      </c>
      <c r="Q829" s="45" t="s">
        <v>60</v>
      </c>
    </row>
    <row r="830">
      <c r="A830" s="3" t="s">
        <v>1576</v>
      </c>
      <c r="B830" s="3" t="s">
        <v>1577</v>
      </c>
      <c r="C830" s="3" t="s">
        <v>1578</v>
      </c>
      <c r="D830" s="3" t="s">
        <v>472</v>
      </c>
      <c r="E830" s="3" t="s">
        <v>1579</v>
      </c>
      <c r="F830" s="14">
        <v>46057.0</v>
      </c>
      <c r="G830" s="26" t="s">
        <v>214</v>
      </c>
      <c r="H830" s="15" t="s">
        <v>48</v>
      </c>
      <c r="I830" s="3" t="s">
        <v>49</v>
      </c>
      <c r="J830" s="3">
        <v>15.0</v>
      </c>
      <c r="K830" s="3" t="s">
        <v>1580</v>
      </c>
      <c r="L830" s="3" t="s">
        <v>1581</v>
      </c>
      <c r="M830" s="3" t="s">
        <v>1582</v>
      </c>
      <c r="N830" s="6" t="s">
        <v>1583</v>
      </c>
      <c r="O830" s="6" t="s">
        <v>1584</v>
      </c>
      <c r="P830" s="3">
        <v>3040.0</v>
      </c>
      <c r="Q830" s="3">
        <v>2.0</v>
      </c>
    </row>
    <row r="831">
      <c r="A831" s="3" t="s">
        <v>1576</v>
      </c>
      <c r="B831" s="3" t="s">
        <v>1577</v>
      </c>
      <c r="C831" s="3" t="s">
        <v>1578</v>
      </c>
      <c r="D831" s="3" t="s">
        <v>472</v>
      </c>
      <c r="E831" s="3" t="s">
        <v>1585</v>
      </c>
      <c r="F831" s="7" t="s">
        <v>60</v>
      </c>
      <c r="H831" s="15" t="s">
        <v>48</v>
      </c>
      <c r="I831" s="3" t="s">
        <v>49</v>
      </c>
      <c r="J831" s="3">
        <v>15.0</v>
      </c>
      <c r="K831" s="3" t="s">
        <v>1580</v>
      </c>
      <c r="L831" s="3" t="s">
        <v>1581</v>
      </c>
      <c r="M831" s="3" t="s">
        <v>1582</v>
      </c>
      <c r="N831" s="6" t="s">
        <v>1583</v>
      </c>
      <c r="O831" s="6" t="s">
        <v>1584</v>
      </c>
      <c r="P831" s="3">
        <v>3039.0</v>
      </c>
      <c r="Q831" s="45" t="s">
        <v>60</v>
      </c>
    </row>
    <row r="832">
      <c r="A832" s="3" t="s">
        <v>1576</v>
      </c>
      <c r="B832" s="3" t="s">
        <v>1577</v>
      </c>
      <c r="C832" s="3" t="s">
        <v>1578</v>
      </c>
      <c r="D832" s="3" t="s">
        <v>472</v>
      </c>
      <c r="E832" s="3" t="s">
        <v>1586</v>
      </c>
      <c r="F832" s="7" t="s">
        <v>60</v>
      </c>
      <c r="H832" s="15" t="s">
        <v>48</v>
      </c>
      <c r="I832" s="3" t="s">
        <v>49</v>
      </c>
      <c r="J832" s="3">
        <v>15.0</v>
      </c>
      <c r="K832" s="3" t="s">
        <v>1580</v>
      </c>
      <c r="L832" s="3" t="s">
        <v>1581</v>
      </c>
      <c r="M832" s="3" t="s">
        <v>1582</v>
      </c>
      <c r="N832" s="6" t="s">
        <v>1583</v>
      </c>
      <c r="O832" s="6" t="s">
        <v>1584</v>
      </c>
      <c r="P832" s="3">
        <v>3040.0</v>
      </c>
      <c r="Q832" s="45" t="s">
        <v>60</v>
      </c>
    </row>
    <row r="833">
      <c r="A833" s="3" t="s">
        <v>1576</v>
      </c>
      <c r="B833" s="3" t="s">
        <v>1577</v>
      </c>
      <c r="C833" s="3" t="s">
        <v>1578</v>
      </c>
      <c r="D833" s="3" t="s">
        <v>472</v>
      </c>
      <c r="E833" s="3" t="s">
        <v>1587</v>
      </c>
      <c r="F833" s="7" t="s">
        <v>60</v>
      </c>
      <c r="H833" s="15" t="s">
        <v>48</v>
      </c>
      <c r="I833" s="3" t="s">
        <v>49</v>
      </c>
      <c r="J833" s="3">
        <v>15.0</v>
      </c>
      <c r="K833" s="3" t="s">
        <v>1580</v>
      </c>
      <c r="L833" s="3" t="s">
        <v>1581</v>
      </c>
      <c r="M833" s="3" t="s">
        <v>1582</v>
      </c>
      <c r="N833" s="6" t="s">
        <v>1583</v>
      </c>
      <c r="O833" s="6" t="s">
        <v>1584</v>
      </c>
      <c r="P833" s="3">
        <v>3040.0</v>
      </c>
      <c r="Q833" s="45" t="s">
        <v>60</v>
      </c>
    </row>
    <row r="834">
      <c r="A834" s="3" t="s">
        <v>1576</v>
      </c>
      <c r="B834" s="3" t="s">
        <v>1577</v>
      </c>
      <c r="C834" s="3" t="s">
        <v>1578</v>
      </c>
      <c r="D834" s="3" t="s">
        <v>472</v>
      </c>
      <c r="E834" s="3" t="s">
        <v>1588</v>
      </c>
      <c r="F834" s="7" t="s">
        <v>60</v>
      </c>
      <c r="H834" s="15" t="s">
        <v>48</v>
      </c>
      <c r="I834" s="3" t="s">
        <v>49</v>
      </c>
      <c r="J834" s="3">
        <v>15.0</v>
      </c>
      <c r="K834" s="3" t="s">
        <v>1580</v>
      </c>
      <c r="L834" s="3" t="s">
        <v>1581</v>
      </c>
      <c r="M834" s="3" t="s">
        <v>1582</v>
      </c>
      <c r="N834" s="6" t="s">
        <v>1583</v>
      </c>
      <c r="O834" s="6" t="s">
        <v>1584</v>
      </c>
      <c r="P834" s="3">
        <v>3042.0</v>
      </c>
      <c r="Q834" s="45" t="s">
        <v>60</v>
      </c>
    </row>
    <row r="835">
      <c r="A835" s="3" t="s">
        <v>1576</v>
      </c>
      <c r="B835" s="3" t="s">
        <v>1577</v>
      </c>
      <c r="C835" s="3" t="s">
        <v>1578</v>
      </c>
      <c r="D835" s="3" t="s">
        <v>472</v>
      </c>
      <c r="E835" s="3" t="s">
        <v>1589</v>
      </c>
      <c r="F835" s="7" t="s">
        <v>60</v>
      </c>
      <c r="H835" s="15" t="s">
        <v>48</v>
      </c>
      <c r="I835" s="3" t="s">
        <v>49</v>
      </c>
      <c r="J835" s="3">
        <v>15.0</v>
      </c>
      <c r="K835" s="3" t="s">
        <v>1580</v>
      </c>
      <c r="L835" s="3" t="s">
        <v>1581</v>
      </c>
      <c r="M835" s="3" t="s">
        <v>1582</v>
      </c>
      <c r="N835" s="6" t="s">
        <v>1583</v>
      </c>
      <c r="O835" s="6" t="s">
        <v>1584</v>
      </c>
      <c r="P835" s="3">
        <v>3041.0</v>
      </c>
      <c r="Q835" s="45" t="s">
        <v>60</v>
      </c>
    </row>
    <row r="836">
      <c r="A836" s="3" t="s">
        <v>1576</v>
      </c>
      <c r="B836" s="3" t="s">
        <v>1577</v>
      </c>
      <c r="C836" s="3" t="s">
        <v>1578</v>
      </c>
      <c r="D836" s="3" t="s">
        <v>472</v>
      </c>
      <c r="E836" s="3" t="s">
        <v>1590</v>
      </c>
      <c r="F836" s="7" t="s">
        <v>60</v>
      </c>
      <c r="H836" s="15" t="s">
        <v>48</v>
      </c>
      <c r="I836" s="3" t="s">
        <v>49</v>
      </c>
      <c r="J836" s="3">
        <v>15.0</v>
      </c>
      <c r="K836" s="3" t="s">
        <v>1580</v>
      </c>
      <c r="L836" s="3" t="s">
        <v>1581</v>
      </c>
      <c r="M836" s="3" t="s">
        <v>1582</v>
      </c>
      <c r="N836" s="6" t="s">
        <v>1583</v>
      </c>
      <c r="O836" s="6" t="s">
        <v>1584</v>
      </c>
      <c r="P836" s="3">
        <v>3041.0</v>
      </c>
      <c r="Q836" s="45" t="s">
        <v>60</v>
      </c>
    </row>
    <row r="837">
      <c r="A837" s="3" t="s">
        <v>1576</v>
      </c>
      <c r="B837" s="3" t="s">
        <v>1577</v>
      </c>
      <c r="C837" s="3" t="s">
        <v>1578</v>
      </c>
      <c r="D837" s="3" t="s">
        <v>472</v>
      </c>
      <c r="E837" s="3" t="s">
        <v>1591</v>
      </c>
      <c r="F837" s="7" t="s">
        <v>60</v>
      </c>
      <c r="H837" s="15" t="s">
        <v>48</v>
      </c>
      <c r="I837" s="3" t="s">
        <v>49</v>
      </c>
      <c r="J837" s="3">
        <v>15.0</v>
      </c>
      <c r="K837" s="3" t="s">
        <v>1580</v>
      </c>
      <c r="L837" s="3" t="s">
        <v>1581</v>
      </c>
      <c r="M837" s="3" t="s">
        <v>1582</v>
      </c>
      <c r="N837" s="6" t="s">
        <v>1583</v>
      </c>
      <c r="O837" s="6" t="s">
        <v>1584</v>
      </c>
      <c r="P837" s="3">
        <v>3044.0</v>
      </c>
      <c r="Q837" s="45" t="s">
        <v>60</v>
      </c>
    </row>
    <row r="838">
      <c r="A838" s="3" t="s">
        <v>1576</v>
      </c>
      <c r="B838" s="3" t="s">
        <v>1577</v>
      </c>
      <c r="C838" s="3" t="s">
        <v>1578</v>
      </c>
      <c r="D838" s="3" t="s">
        <v>472</v>
      </c>
      <c r="E838" s="3" t="s">
        <v>1592</v>
      </c>
      <c r="F838" s="7" t="s">
        <v>60</v>
      </c>
      <c r="H838" s="15" t="s">
        <v>48</v>
      </c>
      <c r="I838" s="3" t="s">
        <v>49</v>
      </c>
      <c r="J838" s="3">
        <v>15.0</v>
      </c>
      <c r="K838" s="3" t="s">
        <v>1580</v>
      </c>
      <c r="L838" s="3" t="s">
        <v>1581</v>
      </c>
      <c r="M838" s="3" t="s">
        <v>1582</v>
      </c>
      <c r="N838" s="6" t="s">
        <v>1583</v>
      </c>
      <c r="O838" s="6" t="s">
        <v>1584</v>
      </c>
      <c r="P838" s="3">
        <v>3055.0</v>
      </c>
      <c r="Q838" s="45" t="s">
        <v>60</v>
      </c>
    </row>
    <row r="839">
      <c r="A839" s="3" t="s">
        <v>1576</v>
      </c>
      <c r="B839" s="3" t="s">
        <v>1577</v>
      </c>
      <c r="C839" s="3" t="s">
        <v>1578</v>
      </c>
      <c r="D839" s="3" t="s">
        <v>472</v>
      </c>
      <c r="E839" s="3" t="s">
        <v>1593</v>
      </c>
      <c r="F839" s="7" t="s">
        <v>60</v>
      </c>
      <c r="H839" s="15" t="s">
        <v>48</v>
      </c>
      <c r="I839" s="3" t="s">
        <v>49</v>
      </c>
      <c r="J839" s="3">
        <v>10.0</v>
      </c>
      <c r="K839" s="3" t="s">
        <v>1594</v>
      </c>
      <c r="L839" s="3" t="s">
        <v>1581</v>
      </c>
      <c r="M839" s="3" t="s">
        <v>1582</v>
      </c>
      <c r="N839" s="6" t="s">
        <v>1583</v>
      </c>
      <c r="O839" s="6" t="s">
        <v>1584</v>
      </c>
      <c r="P839" s="3">
        <v>3057.0</v>
      </c>
      <c r="Q839" s="45" t="s">
        <v>60</v>
      </c>
    </row>
    <row r="840">
      <c r="A840" s="3" t="s">
        <v>1576</v>
      </c>
      <c r="B840" s="3" t="s">
        <v>1577</v>
      </c>
      <c r="C840" s="3" t="s">
        <v>1578</v>
      </c>
      <c r="D840" s="3" t="s">
        <v>472</v>
      </c>
      <c r="E840" s="3" t="s">
        <v>1595</v>
      </c>
      <c r="F840" s="7" t="s">
        <v>60</v>
      </c>
      <c r="H840" s="15" t="s">
        <v>48</v>
      </c>
      <c r="I840" s="3" t="s">
        <v>49</v>
      </c>
      <c r="J840" s="3">
        <v>4.0</v>
      </c>
      <c r="K840" s="3" t="s">
        <v>590</v>
      </c>
      <c r="L840" s="3" t="s">
        <v>1581</v>
      </c>
      <c r="M840" s="3" t="s">
        <v>1582</v>
      </c>
      <c r="N840" s="6" t="s">
        <v>1583</v>
      </c>
      <c r="O840" s="6" t="s">
        <v>1584</v>
      </c>
      <c r="P840" s="3">
        <v>3058.0</v>
      </c>
      <c r="Q840" s="45" t="s">
        <v>60</v>
      </c>
    </row>
    <row r="841">
      <c r="A841" s="3" t="s">
        <v>1596</v>
      </c>
      <c r="B841" s="3" t="s">
        <v>1597</v>
      </c>
      <c r="C841" s="3" t="s">
        <v>1598</v>
      </c>
      <c r="D841" s="3" t="s">
        <v>46</v>
      </c>
      <c r="E841" s="3" t="s">
        <v>1599</v>
      </c>
      <c r="F841" s="14">
        <v>46058.0</v>
      </c>
      <c r="G841" s="26" t="s">
        <v>214</v>
      </c>
      <c r="H841" s="15" t="s">
        <v>48</v>
      </c>
      <c r="I841" s="3" t="s">
        <v>49</v>
      </c>
      <c r="J841" s="3">
        <v>3.0</v>
      </c>
      <c r="K841" s="3" t="s">
        <v>1600</v>
      </c>
      <c r="L841" s="3" t="s">
        <v>1601</v>
      </c>
      <c r="M841" s="3" t="s">
        <v>1602</v>
      </c>
      <c r="N841" s="37" t="s">
        <v>1603</v>
      </c>
      <c r="O841" s="37" t="s">
        <v>1604</v>
      </c>
      <c r="P841" s="3">
        <v>2546.0</v>
      </c>
      <c r="Q841" s="3">
        <v>2.0</v>
      </c>
    </row>
    <row r="842">
      <c r="A842" s="17" t="s">
        <v>1596</v>
      </c>
      <c r="B842" s="17" t="s">
        <v>1597</v>
      </c>
      <c r="C842" s="17" t="s">
        <v>1598</v>
      </c>
      <c r="D842" s="17" t="s">
        <v>46</v>
      </c>
      <c r="E842" s="3" t="s">
        <v>1605</v>
      </c>
      <c r="F842" s="7" t="s">
        <v>60</v>
      </c>
      <c r="H842" s="15" t="s">
        <v>48</v>
      </c>
      <c r="I842" s="3" t="s">
        <v>49</v>
      </c>
      <c r="J842" s="19">
        <v>3.0</v>
      </c>
      <c r="K842" s="3" t="s">
        <v>1600</v>
      </c>
      <c r="L842" s="3" t="s">
        <v>1601</v>
      </c>
      <c r="M842" s="19" t="s">
        <v>1602</v>
      </c>
      <c r="N842" s="37" t="s">
        <v>1603</v>
      </c>
      <c r="O842" s="37" t="s">
        <v>1604</v>
      </c>
      <c r="P842" s="19">
        <v>2550.0</v>
      </c>
      <c r="Q842" s="45" t="s">
        <v>60</v>
      </c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</row>
    <row r="843">
      <c r="A843" s="17" t="s">
        <v>1596</v>
      </c>
      <c r="B843" s="17" t="s">
        <v>1597</v>
      </c>
      <c r="C843" s="17" t="s">
        <v>1598</v>
      </c>
      <c r="D843" s="17" t="s">
        <v>46</v>
      </c>
      <c r="E843" s="3" t="s">
        <v>1606</v>
      </c>
      <c r="F843" s="7" t="s">
        <v>60</v>
      </c>
      <c r="H843" s="15" t="s">
        <v>48</v>
      </c>
      <c r="I843" s="3" t="s">
        <v>49</v>
      </c>
      <c r="J843" s="19">
        <v>2.0</v>
      </c>
      <c r="K843" s="3" t="s">
        <v>158</v>
      </c>
      <c r="L843" s="3" t="s">
        <v>1601</v>
      </c>
      <c r="M843" s="19" t="s">
        <v>1602</v>
      </c>
      <c r="N843" s="37" t="s">
        <v>1603</v>
      </c>
      <c r="O843" s="37" t="s">
        <v>1604</v>
      </c>
      <c r="P843" s="3">
        <v>2546.0</v>
      </c>
      <c r="Q843" s="45" t="s">
        <v>60</v>
      </c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</row>
    <row r="844">
      <c r="A844" s="17" t="s">
        <v>1596</v>
      </c>
      <c r="B844" s="17" t="s">
        <v>1597</v>
      </c>
      <c r="C844" s="17" t="s">
        <v>1598</v>
      </c>
      <c r="D844" s="17" t="s">
        <v>46</v>
      </c>
      <c r="E844" s="3" t="s">
        <v>1607</v>
      </c>
      <c r="F844" s="7" t="s">
        <v>60</v>
      </c>
      <c r="H844" s="15" t="s">
        <v>48</v>
      </c>
      <c r="I844" s="3" t="s">
        <v>49</v>
      </c>
      <c r="J844" s="19">
        <v>2.0</v>
      </c>
      <c r="K844" s="3" t="s">
        <v>158</v>
      </c>
      <c r="L844" s="3" t="s">
        <v>1601</v>
      </c>
      <c r="M844" s="19" t="s">
        <v>1602</v>
      </c>
      <c r="N844" s="37" t="s">
        <v>1603</v>
      </c>
      <c r="O844" s="37" t="s">
        <v>1604</v>
      </c>
      <c r="P844" s="3">
        <v>2546.0</v>
      </c>
      <c r="Q844" s="45" t="s">
        <v>60</v>
      </c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</row>
    <row r="845">
      <c r="A845" s="17" t="s">
        <v>1596</v>
      </c>
      <c r="B845" s="17" t="s">
        <v>1597</v>
      </c>
      <c r="C845" s="17" t="s">
        <v>1598</v>
      </c>
      <c r="D845" s="17" t="s">
        <v>46</v>
      </c>
      <c r="E845" s="3" t="s">
        <v>1608</v>
      </c>
      <c r="F845" s="7" t="s">
        <v>60</v>
      </c>
      <c r="H845" s="15" t="s">
        <v>48</v>
      </c>
      <c r="I845" s="3" t="s">
        <v>49</v>
      </c>
      <c r="J845" s="19">
        <v>2.0</v>
      </c>
      <c r="K845" s="3" t="s">
        <v>158</v>
      </c>
      <c r="L845" s="3" t="s">
        <v>1601</v>
      </c>
      <c r="M845" s="19" t="s">
        <v>1602</v>
      </c>
      <c r="N845" s="37" t="s">
        <v>1603</v>
      </c>
      <c r="O845" s="37" t="s">
        <v>1604</v>
      </c>
      <c r="P845" s="19">
        <v>2550.0</v>
      </c>
      <c r="Q845" s="45" t="s">
        <v>60</v>
      </c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</row>
    <row r="846">
      <c r="A846" s="19" t="s">
        <v>1609</v>
      </c>
      <c r="B846" s="19" t="s">
        <v>1610</v>
      </c>
      <c r="C846" s="46" t="s">
        <v>1611</v>
      </c>
      <c r="D846" s="19" t="s">
        <v>531</v>
      </c>
      <c r="E846" s="3" t="s">
        <v>1612</v>
      </c>
      <c r="F846" s="14">
        <v>46062.0</v>
      </c>
      <c r="G846" s="26" t="s">
        <v>214</v>
      </c>
      <c r="H846" s="15" t="s">
        <v>48</v>
      </c>
      <c r="I846" s="3" t="s">
        <v>49</v>
      </c>
      <c r="J846" s="19">
        <v>1.0</v>
      </c>
      <c r="K846" s="3" t="s">
        <v>1613</v>
      </c>
      <c r="L846" s="3" t="s">
        <v>1613</v>
      </c>
      <c r="M846" s="19" t="s">
        <v>1614</v>
      </c>
      <c r="N846" s="47" t="s">
        <v>1615</v>
      </c>
      <c r="O846" s="37" t="s">
        <v>1616</v>
      </c>
      <c r="P846" s="3">
        <v>4152.0</v>
      </c>
      <c r="Q846" s="3">
        <v>2.0</v>
      </c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</row>
    <row r="847">
      <c r="A847" s="19" t="s">
        <v>1609</v>
      </c>
      <c r="B847" s="19" t="s">
        <v>1610</v>
      </c>
      <c r="C847" s="46" t="s">
        <v>1611</v>
      </c>
      <c r="D847" s="19" t="s">
        <v>531</v>
      </c>
      <c r="E847" s="3" t="s">
        <v>1617</v>
      </c>
      <c r="F847" s="14">
        <v>46062.0</v>
      </c>
      <c r="G847" s="26" t="s">
        <v>214</v>
      </c>
      <c r="H847" s="15" t="s">
        <v>48</v>
      </c>
      <c r="I847" s="3" t="s">
        <v>49</v>
      </c>
      <c r="J847" s="19">
        <v>1.0</v>
      </c>
      <c r="K847" s="3" t="s">
        <v>1613</v>
      </c>
      <c r="L847" s="3" t="s">
        <v>1613</v>
      </c>
      <c r="M847" s="19" t="s">
        <v>1614</v>
      </c>
      <c r="N847" s="47" t="s">
        <v>1615</v>
      </c>
      <c r="O847" s="37" t="s">
        <v>1616</v>
      </c>
      <c r="P847" s="3">
        <v>4152.0</v>
      </c>
      <c r="Q847" s="3">
        <v>2.0</v>
      </c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</row>
    <row r="848">
      <c r="A848" s="19" t="s">
        <v>1609</v>
      </c>
      <c r="B848" s="19" t="s">
        <v>1610</v>
      </c>
      <c r="C848" s="46" t="s">
        <v>1611</v>
      </c>
      <c r="D848" s="19" t="s">
        <v>531</v>
      </c>
      <c r="E848" s="3" t="s">
        <v>1618</v>
      </c>
      <c r="F848" s="7" t="s">
        <v>60</v>
      </c>
      <c r="H848" s="15" t="s">
        <v>48</v>
      </c>
      <c r="I848" s="3" t="s">
        <v>49</v>
      </c>
      <c r="J848" s="19">
        <v>1.0</v>
      </c>
      <c r="K848" s="3" t="s">
        <v>1613</v>
      </c>
      <c r="L848" s="3" t="s">
        <v>1613</v>
      </c>
      <c r="M848" s="19" t="s">
        <v>1614</v>
      </c>
      <c r="N848" s="47" t="s">
        <v>1615</v>
      </c>
      <c r="O848" s="37" t="s">
        <v>1616</v>
      </c>
      <c r="P848" s="3">
        <v>4173.0</v>
      </c>
      <c r="Q848" s="45" t="s">
        <v>60</v>
      </c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</row>
    <row r="849">
      <c r="A849" s="19" t="s">
        <v>1609</v>
      </c>
      <c r="B849" s="19" t="s">
        <v>1610</v>
      </c>
      <c r="C849" s="46" t="s">
        <v>1611</v>
      </c>
      <c r="D849" s="19" t="s">
        <v>531</v>
      </c>
      <c r="E849" s="3" t="s">
        <v>1619</v>
      </c>
      <c r="F849" s="7" t="s">
        <v>60</v>
      </c>
      <c r="H849" s="15" t="s">
        <v>48</v>
      </c>
      <c r="I849" s="3" t="s">
        <v>49</v>
      </c>
      <c r="J849" s="19">
        <v>1.0</v>
      </c>
      <c r="K849" s="3" t="s">
        <v>1613</v>
      </c>
      <c r="L849" s="3" t="s">
        <v>1613</v>
      </c>
      <c r="M849" s="19" t="s">
        <v>1614</v>
      </c>
      <c r="N849" s="47" t="s">
        <v>1615</v>
      </c>
      <c r="O849" s="37" t="s">
        <v>1616</v>
      </c>
      <c r="P849" s="3">
        <v>4152.0</v>
      </c>
      <c r="Q849" s="45" t="s">
        <v>60</v>
      </c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</row>
    <row r="850">
      <c r="A850" s="19" t="s">
        <v>1620</v>
      </c>
      <c r="B850" s="19" t="s">
        <v>1621</v>
      </c>
      <c r="C850" s="46" t="s">
        <v>1622</v>
      </c>
      <c r="D850" s="19" t="s">
        <v>531</v>
      </c>
      <c r="E850" s="3" t="s">
        <v>1623</v>
      </c>
      <c r="F850" s="14">
        <v>46060.0</v>
      </c>
      <c r="G850" s="12" t="s">
        <v>136</v>
      </c>
      <c r="H850" s="15" t="s">
        <v>48</v>
      </c>
      <c r="I850" s="3" t="s">
        <v>49</v>
      </c>
      <c r="J850" s="19">
        <v>4.0</v>
      </c>
      <c r="K850" s="3" t="s">
        <v>747</v>
      </c>
      <c r="L850" s="3" t="s">
        <v>1624</v>
      </c>
      <c r="M850" s="19" t="s">
        <v>1625</v>
      </c>
      <c r="N850" s="37" t="s">
        <v>1626</v>
      </c>
      <c r="O850" s="37" t="s">
        <v>1627</v>
      </c>
      <c r="P850" s="3">
        <v>4877.0</v>
      </c>
      <c r="Q850" s="3">
        <v>2.0</v>
      </c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</row>
    <row r="851">
      <c r="A851" s="19" t="s">
        <v>1620</v>
      </c>
      <c r="B851" s="19" t="s">
        <v>1621</v>
      </c>
      <c r="C851" s="46" t="s">
        <v>1622</v>
      </c>
      <c r="D851" s="19" t="s">
        <v>531</v>
      </c>
      <c r="E851" s="3" t="s">
        <v>1628</v>
      </c>
      <c r="F851" s="7" t="s">
        <v>60</v>
      </c>
      <c r="H851" s="15" t="s">
        <v>48</v>
      </c>
      <c r="I851" s="3" t="s">
        <v>49</v>
      </c>
      <c r="J851" s="19">
        <v>3.0</v>
      </c>
      <c r="K851" s="3" t="s">
        <v>757</v>
      </c>
      <c r="L851" s="3" t="s">
        <v>1624</v>
      </c>
      <c r="M851" s="19" t="s">
        <v>1625</v>
      </c>
      <c r="N851" s="37" t="s">
        <v>1626</v>
      </c>
      <c r="O851" s="37" t="s">
        <v>1627</v>
      </c>
      <c r="P851" s="3">
        <v>4873.0</v>
      </c>
      <c r="Q851" s="45" t="s">
        <v>60</v>
      </c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</row>
    <row r="852">
      <c r="A852" s="19" t="s">
        <v>1620</v>
      </c>
      <c r="B852" s="19" t="s">
        <v>1621</v>
      </c>
      <c r="C852" s="46" t="s">
        <v>1622</v>
      </c>
      <c r="D852" s="19" t="s">
        <v>531</v>
      </c>
      <c r="E852" s="3" t="s">
        <v>1629</v>
      </c>
      <c r="F852" s="7" t="s">
        <v>60</v>
      </c>
      <c r="H852" s="15" t="s">
        <v>48</v>
      </c>
      <c r="I852" s="3" t="s">
        <v>49</v>
      </c>
      <c r="J852" s="3">
        <v>2.0</v>
      </c>
      <c r="K852" s="3" t="s">
        <v>1630</v>
      </c>
      <c r="L852" s="3" t="s">
        <v>1624</v>
      </c>
      <c r="M852" s="3" t="s">
        <v>1625</v>
      </c>
      <c r="N852" s="37" t="s">
        <v>1626</v>
      </c>
      <c r="O852" s="37" t="s">
        <v>1627</v>
      </c>
      <c r="P852" s="3">
        <v>4877.0</v>
      </c>
      <c r="Q852" s="45" t="s">
        <v>60</v>
      </c>
    </row>
    <row r="853">
      <c r="A853" s="19" t="s">
        <v>1620</v>
      </c>
      <c r="B853" s="19" t="s">
        <v>1621</v>
      </c>
      <c r="C853" s="46" t="s">
        <v>1622</v>
      </c>
      <c r="D853" s="19" t="s">
        <v>531</v>
      </c>
      <c r="E853" s="3" t="s">
        <v>1631</v>
      </c>
      <c r="F853" s="7" t="s">
        <v>60</v>
      </c>
      <c r="H853" s="15" t="s">
        <v>48</v>
      </c>
      <c r="I853" s="3" t="s">
        <v>49</v>
      </c>
      <c r="J853" s="3">
        <v>2.0</v>
      </c>
      <c r="K853" s="3" t="s">
        <v>1630</v>
      </c>
      <c r="L853" s="3" t="s">
        <v>1624</v>
      </c>
      <c r="M853" s="3" t="s">
        <v>1625</v>
      </c>
      <c r="N853" s="37" t="s">
        <v>1626</v>
      </c>
      <c r="O853" s="37" t="s">
        <v>1627</v>
      </c>
      <c r="P853" s="3">
        <v>4877.0</v>
      </c>
      <c r="Q853" s="45" t="s">
        <v>60</v>
      </c>
    </row>
    <row r="854">
      <c r="A854" s="19" t="s">
        <v>1620</v>
      </c>
      <c r="B854" s="19" t="s">
        <v>1621</v>
      </c>
      <c r="C854" s="46" t="s">
        <v>1622</v>
      </c>
      <c r="D854" s="19" t="s">
        <v>531</v>
      </c>
      <c r="E854" s="3" t="s">
        <v>1632</v>
      </c>
      <c r="F854" s="7" t="s">
        <v>60</v>
      </c>
      <c r="H854" s="15" t="s">
        <v>48</v>
      </c>
      <c r="I854" s="3" t="s">
        <v>49</v>
      </c>
      <c r="J854" s="3">
        <v>2.0</v>
      </c>
      <c r="K854" s="3" t="s">
        <v>1630</v>
      </c>
      <c r="L854" s="3" t="s">
        <v>1624</v>
      </c>
      <c r="M854" s="3" t="s">
        <v>1625</v>
      </c>
      <c r="N854" s="37" t="s">
        <v>1626</v>
      </c>
      <c r="O854" s="37" t="s">
        <v>1627</v>
      </c>
      <c r="P854" s="3">
        <v>4877.0</v>
      </c>
      <c r="Q854" s="45" t="s">
        <v>60</v>
      </c>
    </row>
    <row r="855">
      <c r="A855" s="19" t="s">
        <v>1633</v>
      </c>
      <c r="B855" s="19" t="s">
        <v>1634</v>
      </c>
      <c r="C855" s="19" t="s">
        <v>1635</v>
      </c>
      <c r="D855" s="19" t="s">
        <v>46</v>
      </c>
      <c r="E855" s="3" t="s">
        <v>1636</v>
      </c>
      <c r="F855" s="5">
        <v>46063.0</v>
      </c>
      <c r="G855" s="26" t="s">
        <v>214</v>
      </c>
      <c r="H855" s="15" t="s">
        <v>48</v>
      </c>
      <c r="I855" s="3" t="s">
        <v>49</v>
      </c>
      <c r="J855" s="3">
        <v>2.0</v>
      </c>
      <c r="K855" s="3" t="s">
        <v>1637</v>
      </c>
      <c r="L855" s="3" t="s">
        <v>747</v>
      </c>
      <c r="M855" s="3" t="s">
        <v>1638</v>
      </c>
      <c r="N855" s="37" t="s">
        <v>1639</v>
      </c>
      <c r="O855" s="37" t="s">
        <v>1640</v>
      </c>
      <c r="P855" s="3">
        <v>2488.0</v>
      </c>
      <c r="Q855" s="3">
        <v>2.0</v>
      </c>
    </row>
    <row r="856">
      <c r="A856" s="19" t="s">
        <v>1633</v>
      </c>
      <c r="B856" s="19" t="s">
        <v>1634</v>
      </c>
      <c r="C856" s="19" t="s">
        <v>1635</v>
      </c>
      <c r="D856" s="19" t="s">
        <v>46</v>
      </c>
      <c r="E856" s="3" t="s">
        <v>1641</v>
      </c>
      <c r="F856" s="7" t="s">
        <v>60</v>
      </c>
      <c r="H856" s="15" t="s">
        <v>48</v>
      </c>
      <c r="I856" s="3" t="s">
        <v>49</v>
      </c>
      <c r="J856" s="3">
        <v>2.0</v>
      </c>
      <c r="K856" s="3" t="s">
        <v>1637</v>
      </c>
      <c r="L856" s="3" t="s">
        <v>747</v>
      </c>
      <c r="M856" s="3" t="s">
        <v>1638</v>
      </c>
      <c r="N856" s="37" t="s">
        <v>1639</v>
      </c>
      <c r="O856" s="37" t="s">
        <v>1640</v>
      </c>
      <c r="P856" s="3">
        <v>2488.0</v>
      </c>
      <c r="Q856" s="45" t="s">
        <v>60</v>
      </c>
    </row>
    <row r="857">
      <c r="A857" s="19" t="s">
        <v>1633</v>
      </c>
      <c r="B857" s="19" t="s">
        <v>1634</v>
      </c>
      <c r="C857" s="19" t="s">
        <v>1635</v>
      </c>
      <c r="D857" s="19" t="s">
        <v>46</v>
      </c>
      <c r="E857" s="3" t="s">
        <v>1642</v>
      </c>
      <c r="F857" s="7" t="s">
        <v>60</v>
      </c>
      <c r="H857" s="15" t="s">
        <v>48</v>
      </c>
      <c r="I857" s="3" t="s">
        <v>49</v>
      </c>
      <c r="J857" s="3">
        <v>2.0</v>
      </c>
      <c r="K857" s="3" t="s">
        <v>1637</v>
      </c>
      <c r="L857" s="3" t="s">
        <v>747</v>
      </c>
      <c r="M857" s="3" t="s">
        <v>1638</v>
      </c>
      <c r="N857" s="37" t="s">
        <v>1639</v>
      </c>
      <c r="O857" s="37" t="s">
        <v>1640</v>
      </c>
      <c r="P857" s="3">
        <v>2486.0</v>
      </c>
      <c r="Q857" s="3">
        <v>2.0</v>
      </c>
    </row>
    <row r="858">
      <c r="A858" s="19" t="s">
        <v>1633</v>
      </c>
      <c r="B858" s="19" t="s">
        <v>1634</v>
      </c>
      <c r="C858" s="19" t="s">
        <v>1635</v>
      </c>
      <c r="D858" s="19" t="s">
        <v>46</v>
      </c>
      <c r="E858" s="3" t="s">
        <v>1643</v>
      </c>
      <c r="F858" s="7" t="s">
        <v>60</v>
      </c>
      <c r="H858" s="15" t="s">
        <v>48</v>
      </c>
      <c r="I858" s="3" t="s">
        <v>49</v>
      </c>
      <c r="J858" s="3">
        <v>2.0</v>
      </c>
      <c r="K858" s="3" t="s">
        <v>1637</v>
      </c>
      <c r="L858" s="3" t="s">
        <v>747</v>
      </c>
      <c r="M858" s="3" t="s">
        <v>1638</v>
      </c>
      <c r="N858" s="37" t="s">
        <v>1639</v>
      </c>
      <c r="O858" s="37" t="s">
        <v>1640</v>
      </c>
      <c r="P858" s="3">
        <v>2486.0</v>
      </c>
      <c r="Q858" s="45" t="s">
        <v>60</v>
      </c>
    </row>
    <row r="859">
      <c r="A859" s="19" t="s">
        <v>1633</v>
      </c>
      <c r="B859" s="19" t="s">
        <v>1634</v>
      </c>
      <c r="C859" s="19" t="s">
        <v>1635</v>
      </c>
      <c r="D859" s="19" t="s">
        <v>46</v>
      </c>
      <c r="E859" s="3" t="s">
        <v>1644</v>
      </c>
      <c r="F859" s="7" t="s">
        <v>60</v>
      </c>
      <c r="H859" s="15" t="s">
        <v>48</v>
      </c>
      <c r="I859" s="3" t="s">
        <v>49</v>
      </c>
      <c r="J859" s="3">
        <v>2.0</v>
      </c>
      <c r="K859" s="3" t="s">
        <v>1637</v>
      </c>
      <c r="L859" s="3" t="s">
        <v>747</v>
      </c>
      <c r="M859" s="3" t="s">
        <v>1638</v>
      </c>
      <c r="N859" s="37" t="s">
        <v>1639</v>
      </c>
      <c r="O859" s="37" t="s">
        <v>1640</v>
      </c>
      <c r="P859" s="3">
        <v>2487.0</v>
      </c>
      <c r="Q859" s="3">
        <v>2.0</v>
      </c>
    </row>
    <row r="860">
      <c r="A860" s="19" t="s">
        <v>1633</v>
      </c>
      <c r="B860" s="19" t="s">
        <v>1634</v>
      </c>
      <c r="C860" s="19" t="s">
        <v>1635</v>
      </c>
      <c r="D860" s="19" t="s">
        <v>46</v>
      </c>
      <c r="E860" s="3" t="s">
        <v>1645</v>
      </c>
      <c r="F860" s="7" t="s">
        <v>60</v>
      </c>
      <c r="H860" s="15" t="s">
        <v>48</v>
      </c>
      <c r="I860" s="3" t="s">
        <v>49</v>
      </c>
      <c r="J860" s="3">
        <v>2.0</v>
      </c>
      <c r="K860" s="3" t="s">
        <v>1637</v>
      </c>
      <c r="L860" s="3" t="s">
        <v>747</v>
      </c>
      <c r="M860" s="3" t="s">
        <v>1638</v>
      </c>
      <c r="N860" s="37" t="s">
        <v>1639</v>
      </c>
      <c r="O860" s="37" t="s">
        <v>1640</v>
      </c>
      <c r="P860" s="3">
        <v>2487.0</v>
      </c>
      <c r="Q860" s="45" t="s">
        <v>60</v>
      </c>
    </row>
    <row r="861">
      <c r="A861" s="19" t="s">
        <v>1633</v>
      </c>
      <c r="B861" s="19" t="s">
        <v>1634</v>
      </c>
      <c r="C861" s="19" t="s">
        <v>1635</v>
      </c>
      <c r="D861" s="19" t="s">
        <v>46</v>
      </c>
      <c r="E861" s="3" t="s">
        <v>1646</v>
      </c>
      <c r="F861" s="7" t="s">
        <v>60</v>
      </c>
      <c r="H861" s="15" t="s">
        <v>48</v>
      </c>
      <c r="I861" s="3" t="s">
        <v>49</v>
      </c>
      <c r="J861" s="3">
        <v>2.0</v>
      </c>
      <c r="K861" s="3" t="s">
        <v>1637</v>
      </c>
      <c r="L861" s="3" t="s">
        <v>747</v>
      </c>
      <c r="M861" s="3" t="s">
        <v>1638</v>
      </c>
      <c r="N861" s="37" t="s">
        <v>1639</v>
      </c>
      <c r="O861" s="37" t="s">
        <v>1640</v>
      </c>
      <c r="P861" s="3">
        <v>2487.0</v>
      </c>
      <c r="Q861" s="45" t="s">
        <v>60</v>
      </c>
    </row>
    <row r="862">
      <c r="A862" s="19" t="s">
        <v>1633</v>
      </c>
      <c r="B862" s="19" t="s">
        <v>1634</v>
      </c>
      <c r="C862" s="19" t="s">
        <v>1635</v>
      </c>
      <c r="D862" s="19" t="s">
        <v>46</v>
      </c>
      <c r="E862" s="3" t="s">
        <v>1647</v>
      </c>
      <c r="F862" s="7" t="s">
        <v>60</v>
      </c>
      <c r="H862" s="15" t="s">
        <v>48</v>
      </c>
      <c r="I862" s="3" t="s">
        <v>49</v>
      </c>
      <c r="J862" s="3">
        <v>2.0</v>
      </c>
      <c r="K862" s="3" t="s">
        <v>1637</v>
      </c>
      <c r="L862" s="3" t="s">
        <v>747</v>
      </c>
      <c r="M862" s="3" t="s">
        <v>1638</v>
      </c>
      <c r="N862" s="37" t="s">
        <v>1639</v>
      </c>
      <c r="O862" s="37" t="s">
        <v>1640</v>
      </c>
      <c r="P862" s="3">
        <v>2487.0</v>
      </c>
      <c r="Q862" s="45" t="s">
        <v>60</v>
      </c>
    </row>
    <row r="863">
      <c r="A863" s="19" t="s">
        <v>1633</v>
      </c>
      <c r="B863" s="19" t="s">
        <v>1634</v>
      </c>
      <c r="C863" s="19" t="s">
        <v>1635</v>
      </c>
      <c r="D863" s="19" t="s">
        <v>46</v>
      </c>
      <c r="E863" s="3" t="s">
        <v>1648</v>
      </c>
      <c r="F863" s="7" t="s">
        <v>60</v>
      </c>
      <c r="H863" s="15" t="s">
        <v>48</v>
      </c>
      <c r="I863" s="3" t="s">
        <v>49</v>
      </c>
      <c r="J863" s="3">
        <v>2.0</v>
      </c>
      <c r="K863" s="3" t="s">
        <v>1637</v>
      </c>
      <c r="L863" s="3" t="s">
        <v>747</v>
      </c>
      <c r="M863" s="3" t="s">
        <v>1638</v>
      </c>
      <c r="N863" s="37" t="s">
        <v>1639</v>
      </c>
      <c r="O863" s="37" t="s">
        <v>1640</v>
      </c>
      <c r="P863" s="3">
        <v>2487.0</v>
      </c>
      <c r="Q863" s="45" t="s">
        <v>60</v>
      </c>
    </row>
    <row r="864">
      <c r="A864" s="19" t="s">
        <v>1633</v>
      </c>
      <c r="B864" s="19" t="s">
        <v>1634</v>
      </c>
      <c r="C864" s="19" t="s">
        <v>1635</v>
      </c>
      <c r="D864" s="19" t="s">
        <v>46</v>
      </c>
      <c r="E864" s="3" t="s">
        <v>1649</v>
      </c>
      <c r="F864" s="7" t="s">
        <v>60</v>
      </c>
      <c r="H864" s="15" t="s">
        <v>48</v>
      </c>
      <c r="I864" s="3" t="s">
        <v>49</v>
      </c>
      <c r="J864" s="3">
        <v>2.0</v>
      </c>
      <c r="K864" s="3" t="s">
        <v>1637</v>
      </c>
      <c r="L864" s="3" t="s">
        <v>747</v>
      </c>
      <c r="M864" s="3" t="s">
        <v>1638</v>
      </c>
      <c r="N864" s="37" t="s">
        <v>1639</v>
      </c>
      <c r="O864" s="37" t="s">
        <v>1640</v>
      </c>
      <c r="P864" s="3">
        <v>2487.0</v>
      </c>
      <c r="Q864" s="45" t="s">
        <v>60</v>
      </c>
    </row>
    <row r="865">
      <c r="A865" s="19" t="s">
        <v>1633</v>
      </c>
      <c r="B865" s="19" t="s">
        <v>1634</v>
      </c>
      <c r="C865" s="19" t="s">
        <v>1635</v>
      </c>
      <c r="D865" s="19" t="s">
        <v>46</v>
      </c>
      <c r="E865" s="3" t="s">
        <v>1650</v>
      </c>
      <c r="F865" s="7" t="s">
        <v>60</v>
      </c>
      <c r="H865" s="15" t="s">
        <v>48</v>
      </c>
      <c r="I865" s="3" t="s">
        <v>49</v>
      </c>
      <c r="J865" s="3">
        <v>2.0</v>
      </c>
      <c r="K865" s="3" t="s">
        <v>1637</v>
      </c>
      <c r="L865" s="3" t="s">
        <v>747</v>
      </c>
      <c r="M865" s="3" t="s">
        <v>1638</v>
      </c>
      <c r="N865" s="37" t="s">
        <v>1639</v>
      </c>
      <c r="O865" s="37" t="s">
        <v>1640</v>
      </c>
      <c r="P865" s="3">
        <v>2489.0</v>
      </c>
      <c r="Q865" s="3">
        <v>2.0</v>
      </c>
    </row>
    <row r="866">
      <c r="A866" s="3" t="s">
        <v>1651</v>
      </c>
      <c r="B866" s="3" t="s">
        <v>1652</v>
      </c>
      <c r="C866" s="3" t="s">
        <v>1653</v>
      </c>
      <c r="D866" s="3" t="s">
        <v>356</v>
      </c>
      <c r="E866" s="3" t="s">
        <v>1654</v>
      </c>
      <c r="F866" s="5">
        <v>46063.0</v>
      </c>
      <c r="G866" s="26" t="s">
        <v>214</v>
      </c>
      <c r="H866" s="15" t="s">
        <v>48</v>
      </c>
      <c r="I866" s="3" t="s">
        <v>49</v>
      </c>
      <c r="J866" s="3">
        <v>11.0</v>
      </c>
      <c r="K866" s="3" t="s">
        <v>1655</v>
      </c>
      <c r="L866" s="3" t="s">
        <v>1121</v>
      </c>
      <c r="M866" s="3" t="s">
        <v>1656</v>
      </c>
      <c r="N866" s="6" t="s">
        <v>1657</v>
      </c>
      <c r="O866" s="6" t="s">
        <v>1658</v>
      </c>
      <c r="P866" s="3">
        <v>6210.0</v>
      </c>
      <c r="Q866" s="45" t="s">
        <v>60</v>
      </c>
    </row>
    <row r="867">
      <c r="A867" s="3" t="s">
        <v>1651</v>
      </c>
      <c r="B867" s="3" t="s">
        <v>1652</v>
      </c>
      <c r="C867" s="3" t="s">
        <v>1653</v>
      </c>
      <c r="D867" s="3" t="s">
        <v>356</v>
      </c>
      <c r="E867" s="3" t="s">
        <v>1659</v>
      </c>
      <c r="F867" s="7" t="s">
        <v>60</v>
      </c>
      <c r="H867" s="15" t="s">
        <v>48</v>
      </c>
      <c r="I867" s="3" t="s">
        <v>49</v>
      </c>
      <c r="J867" s="3">
        <v>11.0</v>
      </c>
      <c r="K867" s="3" t="s">
        <v>1655</v>
      </c>
      <c r="L867" s="3" t="s">
        <v>1121</v>
      </c>
      <c r="M867" s="3" t="s">
        <v>1656</v>
      </c>
      <c r="N867" s="6" t="s">
        <v>1657</v>
      </c>
      <c r="O867" s="6" t="s">
        <v>1658</v>
      </c>
      <c r="P867" s="3">
        <v>6210.0</v>
      </c>
      <c r="Q867" s="45" t="s">
        <v>60</v>
      </c>
    </row>
    <row r="868">
      <c r="A868" s="3" t="s">
        <v>1651</v>
      </c>
      <c r="B868" s="3" t="s">
        <v>1652</v>
      </c>
      <c r="C868" s="3" t="s">
        <v>1653</v>
      </c>
      <c r="D868" s="3" t="s">
        <v>356</v>
      </c>
      <c r="E868" s="3" t="s">
        <v>404</v>
      </c>
      <c r="F868" s="7" t="s">
        <v>60</v>
      </c>
      <c r="H868" s="15" t="s">
        <v>48</v>
      </c>
      <c r="I868" s="3" t="s">
        <v>49</v>
      </c>
      <c r="J868" s="3">
        <v>11.0</v>
      </c>
      <c r="K868" s="3" t="s">
        <v>1655</v>
      </c>
      <c r="L868" s="3" t="s">
        <v>1121</v>
      </c>
      <c r="M868" s="3" t="s">
        <v>1656</v>
      </c>
      <c r="N868" s="6" t="s">
        <v>1657</v>
      </c>
      <c r="O868" s="6" t="s">
        <v>1658</v>
      </c>
      <c r="P868" s="3">
        <v>6210.0</v>
      </c>
      <c r="Q868" s="45" t="s">
        <v>60</v>
      </c>
    </row>
    <row r="869">
      <c r="A869" s="3" t="s">
        <v>1651</v>
      </c>
      <c r="B869" s="3" t="s">
        <v>1652</v>
      </c>
      <c r="C869" s="3" t="s">
        <v>1653</v>
      </c>
      <c r="D869" s="3" t="s">
        <v>356</v>
      </c>
      <c r="E869" s="3" t="s">
        <v>1660</v>
      </c>
      <c r="F869" s="7" t="s">
        <v>60</v>
      </c>
      <c r="H869" s="15" t="s">
        <v>48</v>
      </c>
      <c r="I869" s="3" t="s">
        <v>49</v>
      </c>
      <c r="J869" s="3">
        <v>11.0</v>
      </c>
      <c r="K869" s="3" t="s">
        <v>1655</v>
      </c>
      <c r="L869" s="3" t="s">
        <v>1121</v>
      </c>
      <c r="M869" s="3" t="s">
        <v>1656</v>
      </c>
      <c r="N869" s="6" t="s">
        <v>1657</v>
      </c>
      <c r="O869" s="6" t="s">
        <v>1658</v>
      </c>
      <c r="P869" s="3">
        <v>6210.0</v>
      </c>
      <c r="Q869" s="45" t="s">
        <v>60</v>
      </c>
    </row>
    <row r="870">
      <c r="A870" s="3" t="s">
        <v>1651</v>
      </c>
      <c r="B870" s="3" t="s">
        <v>1652</v>
      </c>
      <c r="C870" s="3" t="s">
        <v>1653</v>
      </c>
      <c r="D870" s="3" t="s">
        <v>356</v>
      </c>
      <c r="E870" s="3" t="s">
        <v>1661</v>
      </c>
      <c r="F870" s="7" t="s">
        <v>60</v>
      </c>
      <c r="H870" s="15" t="s">
        <v>48</v>
      </c>
      <c r="I870" s="3" t="s">
        <v>49</v>
      </c>
      <c r="J870" s="3">
        <v>11.0</v>
      </c>
      <c r="K870" s="3" t="s">
        <v>1655</v>
      </c>
      <c r="L870" s="3" t="s">
        <v>1121</v>
      </c>
      <c r="M870" s="3" t="s">
        <v>1656</v>
      </c>
      <c r="N870" s="6" t="s">
        <v>1657</v>
      </c>
      <c r="O870" s="6" t="s">
        <v>1658</v>
      </c>
      <c r="P870" s="3">
        <v>6210.0</v>
      </c>
      <c r="Q870" s="45" t="s">
        <v>60</v>
      </c>
    </row>
    <row r="871">
      <c r="A871" s="3" t="s">
        <v>1651</v>
      </c>
      <c r="B871" s="3" t="s">
        <v>1652</v>
      </c>
      <c r="C871" s="3" t="s">
        <v>1653</v>
      </c>
      <c r="D871" s="3" t="s">
        <v>356</v>
      </c>
      <c r="E871" s="3" t="s">
        <v>1662</v>
      </c>
      <c r="F871" s="7" t="s">
        <v>60</v>
      </c>
      <c r="H871" s="15" t="s">
        <v>48</v>
      </c>
      <c r="I871" s="3" t="s">
        <v>49</v>
      </c>
      <c r="J871" s="3">
        <v>11.0</v>
      </c>
      <c r="K871" s="3" t="s">
        <v>1655</v>
      </c>
      <c r="L871" s="3" t="s">
        <v>1121</v>
      </c>
      <c r="M871" s="3" t="s">
        <v>1656</v>
      </c>
      <c r="N871" s="6" t="s">
        <v>1657</v>
      </c>
      <c r="O871" s="6" t="s">
        <v>1658</v>
      </c>
      <c r="P871" s="3">
        <v>6210.0</v>
      </c>
      <c r="Q871" s="45" t="s">
        <v>60</v>
      </c>
    </row>
    <row r="872">
      <c r="A872" s="3" t="s">
        <v>1651</v>
      </c>
      <c r="B872" s="3" t="s">
        <v>1652</v>
      </c>
      <c r="C872" s="3" t="s">
        <v>1653</v>
      </c>
      <c r="D872" s="3" t="s">
        <v>356</v>
      </c>
      <c r="E872" s="3" t="s">
        <v>1663</v>
      </c>
      <c r="F872" s="7" t="s">
        <v>60</v>
      </c>
      <c r="H872" s="15" t="s">
        <v>48</v>
      </c>
      <c r="I872" s="3" t="s">
        <v>49</v>
      </c>
      <c r="J872" s="3">
        <v>11.0</v>
      </c>
      <c r="K872" s="3" t="s">
        <v>1655</v>
      </c>
      <c r="L872" s="3" t="s">
        <v>1121</v>
      </c>
      <c r="M872" s="3" t="s">
        <v>1656</v>
      </c>
      <c r="N872" s="6" t="s">
        <v>1657</v>
      </c>
      <c r="O872" s="6" t="s">
        <v>1658</v>
      </c>
      <c r="P872" s="3">
        <v>6210.0</v>
      </c>
      <c r="Q872" s="45" t="s">
        <v>60</v>
      </c>
    </row>
    <row r="873">
      <c r="A873" s="3" t="s">
        <v>1651</v>
      </c>
      <c r="B873" s="3" t="s">
        <v>1652</v>
      </c>
      <c r="C873" s="3" t="s">
        <v>1653</v>
      </c>
      <c r="D873" s="3" t="s">
        <v>356</v>
      </c>
      <c r="E873" s="3" t="s">
        <v>1664</v>
      </c>
      <c r="F873" s="7" t="s">
        <v>60</v>
      </c>
      <c r="H873" s="15" t="s">
        <v>48</v>
      </c>
      <c r="I873" s="3" t="s">
        <v>49</v>
      </c>
      <c r="J873" s="3">
        <v>6.0</v>
      </c>
      <c r="K873" s="3" t="s">
        <v>885</v>
      </c>
      <c r="L873" s="3" t="s">
        <v>1121</v>
      </c>
      <c r="M873" s="3" t="s">
        <v>1656</v>
      </c>
      <c r="N873" s="6" t="s">
        <v>1657</v>
      </c>
      <c r="O873" s="6" t="s">
        <v>1658</v>
      </c>
      <c r="P873" s="3">
        <v>6210.0</v>
      </c>
      <c r="Q873" s="45" t="s">
        <v>60</v>
      </c>
    </row>
    <row r="874">
      <c r="A874" s="3" t="s">
        <v>1665</v>
      </c>
      <c r="B874" s="3" t="s">
        <v>1666</v>
      </c>
      <c r="C874" s="3" t="s">
        <v>1667</v>
      </c>
      <c r="D874" s="3" t="s">
        <v>531</v>
      </c>
      <c r="E874" s="3" t="s">
        <v>1668</v>
      </c>
      <c r="F874" s="5">
        <v>46066.0</v>
      </c>
      <c r="G874" s="12" t="s">
        <v>136</v>
      </c>
      <c r="H874" s="15" t="s">
        <v>48</v>
      </c>
      <c r="I874" s="3" t="s">
        <v>49</v>
      </c>
      <c r="J874" s="3">
        <v>1.0</v>
      </c>
      <c r="K874" s="3" t="s">
        <v>655</v>
      </c>
      <c r="L874" s="3" t="s">
        <v>655</v>
      </c>
      <c r="M874" s="3" t="s">
        <v>1669</v>
      </c>
      <c r="N874" s="6" t="s">
        <v>1670</v>
      </c>
      <c r="O874" s="6" t="s">
        <v>1671</v>
      </c>
      <c r="P874" s="3">
        <v>4122.0</v>
      </c>
      <c r="Q874" s="3">
        <v>2.0</v>
      </c>
    </row>
    <row r="875">
      <c r="A875" s="3" t="s">
        <v>1665</v>
      </c>
      <c r="B875" s="3" t="s">
        <v>1666</v>
      </c>
      <c r="C875" s="3" t="s">
        <v>1667</v>
      </c>
      <c r="D875" s="3" t="s">
        <v>531</v>
      </c>
      <c r="E875" s="3" t="s">
        <v>1672</v>
      </c>
      <c r="F875" s="7" t="s">
        <v>60</v>
      </c>
      <c r="H875" s="15" t="s">
        <v>48</v>
      </c>
      <c r="I875" s="3" t="s">
        <v>49</v>
      </c>
      <c r="J875" s="3">
        <v>1.0</v>
      </c>
      <c r="K875" s="3" t="s">
        <v>655</v>
      </c>
      <c r="L875" s="3" t="s">
        <v>655</v>
      </c>
      <c r="M875" s="3" t="s">
        <v>1669</v>
      </c>
      <c r="N875" s="6" t="s">
        <v>1670</v>
      </c>
      <c r="O875" s="6" t="s">
        <v>1671</v>
      </c>
      <c r="P875" s="3">
        <v>4122.0</v>
      </c>
      <c r="Q875" s="45" t="s">
        <v>60</v>
      </c>
    </row>
    <row r="876">
      <c r="A876" s="3" t="s">
        <v>1665</v>
      </c>
      <c r="B876" s="3" t="s">
        <v>1666</v>
      </c>
      <c r="C876" s="3" t="s">
        <v>1667</v>
      </c>
      <c r="D876" s="3" t="s">
        <v>531</v>
      </c>
      <c r="E876" s="3" t="s">
        <v>1673</v>
      </c>
      <c r="F876" s="7" t="s">
        <v>60</v>
      </c>
      <c r="H876" s="15" t="s">
        <v>48</v>
      </c>
      <c r="I876" s="3" t="s">
        <v>49</v>
      </c>
      <c r="J876" s="3">
        <v>1.0</v>
      </c>
      <c r="K876" s="3" t="s">
        <v>655</v>
      </c>
      <c r="L876" s="3" t="s">
        <v>655</v>
      </c>
      <c r="M876" s="3" t="s">
        <v>1669</v>
      </c>
      <c r="N876" s="6" t="s">
        <v>1670</v>
      </c>
      <c r="O876" s="6" t="s">
        <v>1671</v>
      </c>
      <c r="P876" s="3">
        <v>4122.0</v>
      </c>
      <c r="Q876" s="45" t="s">
        <v>60</v>
      </c>
    </row>
    <row r="877">
      <c r="A877" s="3" t="s">
        <v>1665</v>
      </c>
      <c r="B877" s="3" t="s">
        <v>1666</v>
      </c>
      <c r="C877" s="3" t="s">
        <v>1667</v>
      </c>
      <c r="D877" s="3" t="s">
        <v>531</v>
      </c>
      <c r="E877" s="3" t="s">
        <v>1674</v>
      </c>
      <c r="F877" s="7" t="s">
        <v>60</v>
      </c>
      <c r="H877" s="15" t="s">
        <v>48</v>
      </c>
      <c r="I877" s="3" t="s">
        <v>49</v>
      </c>
      <c r="J877" s="3">
        <v>1.0</v>
      </c>
      <c r="K877" s="3" t="s">
        <v>655</v>
      </c>
      <c r="L877" s="3" t="s">
        <v>655</v>
      </c>
      <c r="M877" s="3" t="s">
        <v>1669</v>
      </c>
      <c r="N877" s="6" t="s">
        <v>1670</v>
      </c>
      <c r="O877" s="6" t="s">
        <v>1671</v>
      </c>
      <c r="P877" s="3">
        <v>4122.0</v>
      </c>
      <c r="Q877" s="45" t="s">
        <v>60</v>
      </c>
    </row>
    <row r="878">
      <c r="A878" s="3" t="s">
        <v>1665</v>
      </c>
      <c r="B878" s="3" t="s">
        <v>1666</v>
      </c>
      <c r="C878" s="3" t="s">
        <v>1667</v>
      </c>
      <c r="D878" s="3" t="s">
        <v>531</v>
      </c>
      <c r="E878" s="3" t="s">
        <v>1675</v>
      </c>
      <c r="F878" s="7" t="s">
        <v>60</v>
      </c>
      <c r="H878" s="15" t="s">
        <v>48</v>
      </c>
      <c r="I878" s="3" t="s">
        <v>49</v>
      </c>
      <c r="J878" s="3">
        <v>1.0</v>
      </c>
      <c r="K878" s="3" t="s">
        <v>655</v>
      </c>
      <c r="L878" s="3" t="s">
        <v>655</v>
      </c>
      <c r="M878" s="3" t="s">
        <v>1669</v>
      </c>
      <c r="N878" s="6" t="s">
        <v>1670</v>
      </c>
      <c r="O878" s="6" t="s">
        <v>1671</v>
      </c>
      <c r="P878" s="3">
        <v>4122.0</v>
      </c>
      <c r="Q878" s="45" t="s">
        <v>60</v>
      </c>
    </row>
    <row r="879">
      <c r="A879" s="3" t="s">
        <v>1676</v>
      </c>
      <c r="B879" s="3" t="s">
        <v>1677</v>
      </c>
      <c r="C879" s="3" t="s">
        <v>1678</v>
      </c>
      <c r="D879" s="3" t="s">
        <v>356</v>
      </c>
      <c r="E879" s="3" t="s">
        <v>1679</v>
      </c>
      <c r="F879" s="5">
        <v>46066.0</v>
      </c>
      <c r="G879" s="12" t="s">
        <v>136</v>
      </c>
      <c r="H879" s="15" t="s">
        <v>48</v>
      </c>
      <c r="I879" s="3" t="s">
        <v>49</v>
      </c>
      <c r="J879" s="3">
        <v>38.0</v>
      </c>
      <c r="K879" s="3" t="s">
        <v>137</v>
      </c>
      <c r="L879" s="3" t="s">
        <v>1601</v>
      </c>
      <c r="M879" s="3" t="s">
        <v>1559</v>
      </c>
      <c r="N879" s="6" t="s">
        <v>1680</v>
      </c>
      <c r="O879" s="6" t="s">
        <v>1561</v>
      </c>
      <c r="P879" s="3">
        <v>6062.0</v>
      </c>
      <c r="Q879" s="3">
        <v>2.0</v>
      </c>
    </row>
    <row r="880">
      <c r="A880" s="3" t="s">
        <v>1676</v>
      </c>
      <c r="B880" s="3" t="s">
        <v>1677</v>
      </c>
      <c r="C880" s="3" t="s">
        <v>1678</v>
      </c>
      <c r="D880" s="3" t="s">
        <v>356</v>
      </c>
      <c r="E880" s="3" t="s">
        <v>1681</v>
      </c>
      <c r="F880" s="7" t="s">
        <v>60</v>
      </c>
      <c r="H880" s="15" t="s">
        <v>48</v>
      </c>
      <c r="I880" s="3" t="s">
        <v>49</v>
      </c>
      <c r="J880" s="3">
        <v>25.0</v>
      </c>
      <c r="K880" s="3" t="s">
        <v>1682</v>
      </c>
      <c r="L880" s="3" t="s">
        <v>1683</v>
      </c>
      <c r="M880" s="3" t="s">
        <v>1559</v>
      </c>
      <c r="N880" s="6" t="s">
        <v>1680</v>
      </c>
      <c r="O880" s="6" t="s">
        <v>1561</v>
      </c>
      <c r="P880" s="3">
        <v>6062.0</v>
      </c>
      <c r="Q880" s="45" t="s">
        <v>60</v>
      </c>
    </row>
    <row r="881">
      <c r="A881" s="3" t="s">
        <v>1684</v>
      </c>
      <c r="B881" s="3" t="s">
        <v>1685</v>
      </c>
      <c r="C881" s="3" t="s">
        <v>1686</v>
      </c>
      <c r="D881" s="3" t="s">
        <v>356</v>
      </c>
      <c r="E881" s="3" t="s">
        <v>1687</v>
      </c>
      <c r="F881" s="5">
        <v>46070.0</v>
      </c>
      <c r="G881" s="26" t="s">
        <v>214</v>
      </c>
      <c r="H881" s="15" t="s">
        <v>48</v>
      </c>
      <c r="I881" s="3" t="s">
        <v>49</v>
      </c>
      <c r="J881" s="3">
        <v>2.0</v>
      </c>
      <c r="K881" s="3" t="s">
        <v>240</v>
      </c>
      <c r="L881" s="3" t="s">
        <v>1688</v>
      </c>
      <c r="M881" s="3" t="s">
        <v>1689</v>
      </c>
      <c r="N881" s="6" t="s">
        <v>1690</v>
      </c>
      <c r="O881" s="6" t="s">
        <v>1691</v>
      </c>
      <c r="P881" s="3">
        <v>6330.0</v>
      </c>
      <c r="Q881" s="3">
        <v>2.0</v>
      </c>
    </row>
    <row r="882">
      <c r="A882" s="3" t="s">
        <v>1684</v>
      </c>
      <c r="B882" s="3" t="s">
        <v>1685</v>
      </c>
      <c r="C882" s="3" t="s">
        <v>1686</v>
      </c>
      <c r="D882" s="3" t="s">
        <v>356</v>
      </c>
      <c r="E882" s="3" t="s">
        <v>1692</v>
      </c>
      <c r="F882" s="7" t="s">
        <v>60</v>
      </c>
      <c r="H882" s="15" t="s">
        <v>48</v>
      </c>
      <c r="I882" s="3" t="s">
        <v>49</v>
      </c>
      <c r="J882" s="3">
        <v>2.0</v>
      </c>
      <c r="K882" s="3" t="s">
        <v>240</v>
      </c>
      <c r="L882" s="3" t="s">
        <v>1688</v>
      </c>
      <c r="M882" s="3" t="s">
        <v>1689</v>
      </c>
      <c r="N882" s="6" t="s">
        <v>1690</v>
      </c>
      <c r="O882" s="6" t="s">
        <v>1691</v>
      </c>
      <c r="P882" s="3">
        <v>6330.0</v>
      </c>
      <c r="Q882" s="45" t="s">
        <v>60</v>
      </c>
    </row>
    <row r="883">
      <c r="A883" s="3" t="s">
        <v>1684</v>
      </c>
      <c r="B883" s="3" t="s">
        <v>1685</v>
      </c>
      <c r="C883" s="3" t="s">
        <v>1686</v>
      </c>
      <c r="D883" s="3" t="s">
        <v>356</v>
      </c>
      <c r="E883" s="3" t="s">
        <v>1693</v>
      </c>
      <c r="F883" s="7" t="s">
        <v>60</v>
      </c>
      <c r="H883" s="15" t="s">
        <v>48</v>
      </c>
      <c r="I883" s="3" t="s">
        <v>49</v>
      </c>
      <c r="J883" s="3">
        <v>2.0</v>
      </c>
      <c r="K883" s="3" t="s">
        <v>240</v>
      </c>
      <c r="L883" s="3" t="s">
        <v>1688</v>
      </c>
      <c r="M883" s="3" t="s">
        <v>1689</v>
      </c>
      <c r="N883" s="6" t="s">
        <v>1690</v>
      </c>
      <c r="O883" s="6" t="s">
        <v>1691</v>
      </c>
      <c r="P883" s="3">
        <v>6330.0</v>
      </c>
      <c r="Q883" s="45" t="s">
        <v>60</v>
      </c>
    </row>
    <row r="884">
      <c r="A884" s="3" t="s">
        <v>1684</v>
      </c>
      <c r="B884" s="3" t="s">
        <v>1685</v>
      </c>
      <c r="C884" s="3" t="s">
        <v>1686</v>
      </c>
      <c r="D884" s="3" t="s">
        <v>356</v>
      </c>
      <c r="E884" s="3" t="s">
        <v>1694</v>
      </c>
      <c r="F884" s="7" t="s">
        <v>60</v>
      </c>
      <c r="H884" s="15" t="s">
        <v>48</v>
      </c>
      <c r="I884" s="3" t="s">
        <v>49</v>
      </c>
      <c r="J884" s="3">
        <v>1.0</v>
      </c>
      <c r="K884" s="3" t="s">
        <v>1688</v>
      </c>
      <c r="L884" s="3" t="s">
        <v>1688</v>
      </c>
      <c r="M884" s="3" t="s">
        <v>1689</v>
      </c>
      <c r="N884" s="6" t="s">
        <v>1690</v>
      </c>
      <c r="O884" s="6" t="s">
        <v>1691</v>
      </c>
      <c r="P884" s="3">
        <v>6330.0</v>
      </c>
      <c r="Q884" s="45" t="s">
        <v>60</v>
      </c>
    </row>
    <row r="885">
      <c r="A885" s="3" t="s">
        <v>1684</v>
      </c>
      <c r="B885" s="3" t="s">
        <v>1685</v>
      </c>
      <c r="C885" s="3" t="s">
        <v>1686</v>
      </c>
      <c r="D885" s="3" t="s">
        <v>356</v>
      </c>
      <c r="E885" s="3" t="s">
        <v>1695</v>
      </c>
      <c r="F885" s="7" t="s">
        <v>60</v>
      </c>
      <c r="H885" s="15" t="s">
        <v>48</v>
      </c>
      <c r="I885" s="3" t="s">
        <v>49</v>
      </c>
      <c r="J885" s="3">
        <v>1.0</v>
      </c>
      <c r="K885" s="3" t="s">
        <v>1688</v>
      </c>
      <c r="L885" s="3" t="s">
        <v>1688</v>
      </c>
      <c r="M885" s="3" t="s">
        <v>1689</v>
      </c>
      <c r="N885" s="6" t="s">
        <v>1690</v>
      </c>
      <c r="O885" s="6" t="s">
        <v>1691</v>
      </c>
      <c r="P885" s="3">
        <v>6330.0</v>
      </c>
      <c r="Q885" s="45" t="s">
        <v>60</v>
      </c>
    </row>
    <row r="886">
      <c r="A886" s="3" t="s">
        <v>1684</v>
      </c>
      <c r="B886" s="3" t="s">
        <v>1685</v>
      </c>
      <c r="C886" s="3" t="s">
        <v>1686</v>
      </c>
      <c r="D886" s="3" t="s">
        <v>356</v>
      </c>
      <c r="E886" s="3" t="s">
        <v>1696</v>
      </c>
      <c r="F886" s="7" t="s">
        <v>60</v>
      </c>
      <c r="H886" s="15" t="s">
        <v>48</v>
      </c>
      <c r="I886" s="3" t="s">
        <v>49</v>
      </c>
      <c r="J886" s="3">
        <v>1.0</v>
      </c>
      <c r="K886" s="3" t="s">
        <v>1688</v>
      </c>
      <c r="L886" s="3" t="s">
        <v>1688</v>
      </c>
      <c r="M886" s="3" t="s">
        <v>1689</v>
      </c>
      <c r="N886" s="6" t="s">
        <v>1690</v>
      </c>
      <c r="O886" s="6" t="s">
        <v>1691</v>
      </c>
      <c r="P886" s="3">
        <v>6330.0</v>
      </c>
      <c r="Q886" s="45" t="s">
        <v>60</v>
      </c>
    </row>
    <row r="887">
      <c r="A887" s="3" t="s">
        <v>1684</v>
      </c>
      <c r="B887" s="3" t="s">
        <v>1685</v>
      </c>
      <c r="C887" s="3" t="s">
        <v>1686</v>
      </c>
      <c r="D887" s="3" t="s">
        <v>356</v>
      </c>
      <c r="E887" s="3" t="s">
        <v>1697</v>
      </c>
      <c r="F887" s="7" t="s">
        <v>60</v>
      </c>
      <c r="H887" s="15" t="s">
        <v>48</v>
      </c>
      <c r="I887" s="3" t="s">
        <v>49</v>
      </c>
      <c r="J887" s="3">
        <v>1.0</v>
      </c>
      <c r="K887" s="3" t="s">
        <v>1688</v>
      </c>
      <c r="L887" s="3" t="s">
        <v>1688</v>
      </c>
      <c r="M887" s="3" t="s">
        <v>1689</v>
      </c>
      <c r="N887" s="6" t="s">
        <v>1690</v>
      </c>
      <c r="O887" s="6" t="s">
        <v>1691</v>
      </c>
      <c r="P887" s="3">
        <v>6330.0</v>
      </c>
      <c r="Q887" s="45" t="s">
        <v>60</v>
      </c>
    </row>
    <row r="888">
      <c r="A888" s="3" t="s">
        <v>1684</v>
      </c>
      <c r="B888" s="3" t="s">
        <v>1685</v>
      </c>
      <c r="C888" s="3" t="s">
        <v>1686</v>
      </c>
      <c r="D888" s="3" t="s">
        <v>356</v>
      </c>
      <c r="E888" s="3" t="s">
        <v>1698</v>
      </c>
      <c r="F888" s="7" t="s">
        <v>60</v>
      </c>
      <c r="H888" s="15" t="s">
        <v>48</v>
      </c>
      <c r="I888" s="3" t="s">
        <v>49</v>
      </c>
      <c r="J888" s="3">
        <v>1.0</v>
      </c>
      <c r="K888" s="3" t="s">
        <v>1688</v>
      </c>
      <c r="L888" s="3" t="s">
        <v>1688</v>
      </c>
      <c r="M888" s="3" t="s">
        <v>1689</v>
      </c>
      <c r="N888" s="6" t="s">
        <v>1690</v>
      </c>
      <c r="O888" s="6" t="s">
        <v>1691</v>
      </c>
      <c r="P888" s="3">
        <v>6330.0</v>
      </c>
      <c r="Q888" s="45" t="s">
        <v>60</v>
      </c>
    </row>
    <row r="889">
      <c r="A889" s="3" t="s">
        <v>1684</v>
      </c>
      <c r="B889" s="3" t="s">
        <v>1685</v>
      </c>
      <c r="C889" s="3" t="s">
        <v>1686</v>
      </c>
      <c r="D889" s="3" t="s">
        <v>356</v>
      </c>
      <c r="E889" s="3" t="s">
        <v>1407</v>
      </c>
      <c r="F889" s="7" t="s">
        <v>60</v>
      </c>
      <c r="H889" s="15" t="s">
        <v>48</v>
      </c>
      <c r="I889" s="3" t="s">
        <v>49</v>
      </c>
      <c r="J889" s="3">
        <v>1.0</v>
      </c>
      <c r="K889" s="3" t="s">
        <v>1688</v>
      </c>
      <c r="L889" s="3" t="s">
        <v>1688</v>
      </c>
      <c r="M889" s="3" t="s">
        <v>1689</v>
      </c>
      <c r="N889" s="6" t="s">
        <v>1690</v>
      </c>
      <c r="O889" s="6" t="s">
        <v>1691</v>
      </c>
      <c r="P889" s="3">
        <v>6330.0</v>
      </c>
      <c r="Q889" s="45" t="s">
        <v>60</v>
      </c>
    </row>
    <row r="890">
      <c r="A890" s="3" t="s">
        <v>1684</v>
      </c>
      <c r="B890" s="3" t="s">
        <v>1685</v>
      </c>
      <c r="C890" s="3" t="s">
        <v>1686</v>
      </c>
      <c r="D890" s="3" t="s">
        <v>356</v>
      </c>
      <c r="E890" s="3" t="s">
        <v>1699</v>
      </c>
      <c r="F890" s="7" t="s">
        <v>60</v>
      </c>
      <c r="H890" s="15" t="s">
        <v>48</v>
      </c>
      <c r="I890" s="3" t="s">
        <v>49</v>
      </c>
      <c r="J890" s="3">
        <v>1.0</v>
      </c>
      <c r="K890" s="3" t="s">
        <v>1688</v>
      </c>
      <c r="L890" s="3" t="s">
        <v>1688</v>
      </c>
      <c r="M890" s="3" t="s">
        <v>1689</v>
      </c>
      <c r="N890" s="6" t="s">
        <v>1690</v>
      </c>
      <c r="O890" s="6" t="s">
        <v>1691</v>
      </c>
      <c r="P890" s="3">
        <v>6330.0</v>
      </c>
      <c r="Q890" s="45" t="s">
        <v>60</v>
      </c>
    </row>
    <row r="891">
      <c r="A891" s="3" t="s">
        <v>1684</v>
      </c>
      <c r="B891" s="3" t="s">
        <v>1685</v>
      </c>
      <c r="C891" s="3" t="s">
        <v>1686</v>
      </c>
      <c r="D891" s="3" t="s">
        <v>356</v>
      </c>
      <c r="E891" s="3" t="s">
        <v>1700</v>
      </c>
      <c r="F891" s="7" t="s">
        <v>60</v>
      </c>
      <c r="H891" s="15" t="s">
        <v>48</v>
      </c>
      <c r="I891" s="3" t="s">
        <v>49</v>
      </c>
      <c r="J891" s="3">
        <v>1.0</v>
      </c>
      <c r="K891" s="3" t="s">
        <v>1688</v>
      </c>
      <c r="L891" s="3" t="s">
        <v>1688</v>
      </c>
      <c r="M891" s="3" t="s">
        <v>1689</v>
      </c>
      <c r="N891" s="6" t="s">
        <v>1690</v>
      </c>
      <c r="O891" s="6" t="s">
        <v>1691</v>
      </c>
      <c r="P891" s="3">
        <v>6330.0</v>
      </c>
      <c r="Q891" s="45" t="s">
        <v>60</v>
      </c>
    </row>
    <row r="892">
      <c r="A892" s="3" t="s">
        <v>1684</v>
      </c>
      <c r="B892" s="3" t="s">
        <v>1685</v>
      </c>
      <c r="C892" s="3" t="s">
        <v>1686</v>
      </c>
      <c r="D892" s="3" t="s">
        <v>356</v>
      </c>
      <c r="E892" s="3" t="s">
        <v>1701</v>
      </c>
      <c r="F892" s="7" t="s">
        <v>60</v>
      </c>
      <c r="H892" s="15" t="s">
        <v>48</v>
      </c>
      <c r="I892" s="3" t="s">
        <v>49</v>
      </c>
      <c r="J892" s="3">
        <v>1.0</v>
      </c>
      <c r="K892" s="3" t="s">
        <v>1688</v>
      </c>
      <c r="L892" s="3" t="s">
        <v>1688</v>
      </c>
      <c r="M892" s="3" t="s">
        <v>1689</v>
      </c>
      <c r="N892" s="6" t="s">
        <v>1690</v>
      </c>
      <c r="O892" s="6" t="s">
        <v>1691</v>
      </c>
      <c r="P892" s="3">
        <v>6330.0</v>
      </c>
      <c r="Q892" s="45" t="s">
        <v>60</v>
      </c>
    </row>
    <row r="893">
      <c r="A893" s="3" t="s">
        <v>1684</v>
      </c>
      <c r="B893" s="3" t="s">
        <v>1685</v>
      </c>
      <c r="C893" s="3" t="s">
        <v>1686</v>
      </c>
      <c r="D893" s="3" t="s">
        <v>356</v>
      </c>
      <c r="E893" s="3" t="s">
        <v>1702</v>
      </c>
      <c r="F893" s="7" t="s">
        <v>60</v>
      </c>
      <c r="H893" s="15" t="s">
        <v>48</v>
      </c>
      <c r="I893" s="3" t="s">
        <v>49</v>
      </c>
      <c r="J893" s="3">
        <v>1.0</v>
      </c>
      <c r="K893" s="3" t="s">
        <v>1688</v>
      </c>
      <c r="L893" s="3" t="s">
        <v>1688</v>
      </c>
      <c r="M893" s="3" t="s">
        <v>1689</v>
      </c>
      <c r="N893" s="6" t="s">
        <v>1690</v>
      </c>
      <c r="O893" s="6" t="s">
        <v>1691</v>
      </c>
      <c r="P893" s="3">
        <v>6330.0</v>
      </c>
      <c r="Q893" s="45" t="s">
        <v>60</v>
      </c>
    </row>
    <row r="894">
      <c r="A894" s="3" t="s">
        <v>1684</v>
      </c>
      <c r="B894" s="3" t="s">
        <v>1685</v>
      </c>
      <c r="C894" s="3" t="s">
        <v>1686</v>
      </c>
      <c r="D894" s="3" t="s">
        <v>356</v>
      </c>
      <c r="E894" s="3" t="s">
        <v>1703</v>
      </c>
      <c r="F894" s="7" t="s">
        <v>60</v>
      </c>
      <c r="H894" s="15" t="s">
        <v>48</v>
      </c>
      <c r="I894" s="3" t="s">
        <v>49</v>
      </c>
      <c r="J894" s="3">
        <v>1.0</v>
      </c>
      <c r="K894" s="3" t="s">
        <v>1688</v>
      </c>
      <c r="L894" s="3" t="s">
        <v>1688</v>
      </c>
      <c r="M894" s="3" t="s">
        <v>1689</v>
      </c>
      <c r="N894" s="6" t="s">
        <v>1690</v>
      </c>
      <c r="O894" s="6" t="s">
        <v>1691</v>
      </c>
      <c r="P894" s="3">
        <v>6330.0</v>
      </c>
      <c r="Q894" s="45" t="s">
        <v>60</v>
      </c>
    </row>
    <row r="895">
      <c r="A895" s="3" t="s">
        <v>1684</v>
      </c>
      <c r="B895" s="3" t="s">
        <v>1685</v>
      </c>
      <c r="C895" s="3" t="s">
        <v>1686</v>
      </c>
      <c r="D895" s="3" t="s">
        <v>356</v>
      </c>
      <c r="E895" s="3" t="s">
        <v>1704</v>
      </c>
      <c r="F895" s="7" t="s">
        <v>60</v>
      </c>
      <c r="H895" s="15" t="s">
        <v>48</v>
      </c>
      <c r="I895" s="3" t="s">
        <v>49</v>
      </c>
      <c r="J895" s="3">
        <v>1.0</v>
      </c>
      <c r="K895" s="3" t="s">
        <v>1688</v>
      </c>
      <c r="L895" s="3" t="s">
        <v>1688</v>
      </c>
      <c r="M895" s="3" t="s">
        <v>1689</v>
      </c>
      <c r="N895" s="6" t="s">
        <v>1690</v>
      </c>
      <c r="O895" s="6" t="s">
        <v>1691</v>
      </c>
      <c r="P895" s="3">
        <v>6330.0</v>
      </c>
      <c r="Q895" s="45" t="s">
        <v>60</v>
      </c>
    </row>
    <row r="896">
      <c r="A896" s="3" t="s">
        <v>1684</v>
      </c>
      <c r="B896" s="3" t="s">
        <v>1685</v>
      </c>
      <c r="C896" s="3" t="s">
        <v>1686</v>
      </c>
      <c r="D896" s="3" t="s">
        <v>356</v>
      </c>
      <c r="E896" s="3" t="s">
        <v>1705</v>
      </c>
      <c r="F896" s="7" t="s">
        <v>60</v>
      </c>
      <c r="H896" s="15" t="s">
        <v>48</v>
      </c>
      <c r="I896" s="3" t="s">
        <v>49</v>
      </c>
      <c r="J896" s="3">
        <v>1.0</v>
      </c>
      <c r="K896" s="3" t="s">
        <v>1688</v>
      </c>
      <c r="L896" s="3" t="s">
        <v>1688</v>
      </c>
      <c r="M896" s="3" t="s">
        <v>1689</v>
      </c>
      <c r="N896" s="6" t="s">
        <v>1690</v>
      </c>
      <c r="O896" s="6" t="s">
        <v>1691</v>
      </c>
      <c r="P896" s="3">
        <v>6330.0</v>
      </c>
      <c r="Q896" s="45" t="s">
        <v>60</v>
      </c>
    </row>
    <row r="897">
      <c r="A897" s="3" t="s">
        <v>1684</v>
      </c>
      <c r="B897" s="3" t="s">
        <v>1685</v>
      </c>
      <c r="C897" s="3" t="s">
        <v>1686</v>
      </c>
      <c r="D897" s="3" t="s">
        <v>356</v>
      </c>
      <c r="E897" s="3" t="s">
        <v>1706</v>
      </c>
      <c r="F897" s="7" t="s">
        <v>60</v>
      </c>
      <c r="H897" s="15" t="s">
        <v>48</v>
      </c>
      <c r="I897" s="3" t="s">
        <v>49</v>
      </c>
      <c r="J897" s="3">
        <v>1.0</v>
      </c>
      <c r="K897" s="3" t="s">
        <v>1688</v>
      </c>
      <c r="L897" s="3" t="s">
        <v>1688</v>
      </c>
      <c r="M897" s="3" t="s">
        <v>1689</v>
      </c>
      <c r="N897" s="6" t="s">
        <v>1690</v>
      </c>
      <c r="O897" s="6" t="s">
        <v>1691</v>
      </c>
      <c r="P897" s="3">
        <v>6330.0</v>
      </c>
      <c r="Q897" s="45" t="s">
        <v>60</v>
      </c>
    </row>
    <row r="898">
      <c r="A898" s="3" t="s">
        <v>1684</v>
      </c>
      <c r="B898" s="3" t="s">
        <v>1685</v>
      </c>
      <c r="C898" s="3" t="s">
        <v>1686</v>
      </c>
      <c r="D898" s="3" t="s">
        <v>356</v>
      </c>
      <c r="E898" s="3" t="s">
        <v>1707</v>
      </c>
      <c r="F898" s="7" t="s">
        <v>60</v>
      </c>
      <c r="H898" s="15" t="s">
        <v>48</v>
      </c>
      <c r="I898" s="3" t="s">
        <v>49</v>
      </c>
      <c r="J898" s="3">
        <v>1.0</v>
      </c>
      <c r="K898" s="3" t="s">
        <v>1688</v>
      </c>
      <c r="L898" s="3" t="s">
        <v>1688</v>
      </c>
      <c r="M898" s="3" t="s">
        <v>1689</v>
      </c>
      <c r="N898" s="6" t="s">
        <v>1690</v>
      </c>
      <c r="O898" s="6" t="s">
        <v>1691</v>
      </c>
      <c r="P898" s="3">
        <v>6330.0</v>
      </c>
      <c r="Q898" s="45" t="s">
        <v>60</v>
      </c>
    </row>
    <row r="899">
      <c r="A899" s="3" t="s">
        <v>1684</v>
      </c>
      <c r="B899" s="3" t="s">
        <v>1685</v>
      </c>
      <c r="C899" s="3" t="s">
        <v>1686</v>
      </c>
      <c r="D899" s="3" t="s">
        <v>356</v>
      </c>
      <c r="E899" s="3" t="s">
        <v>1708</v>
      </c>
      <c r="F899" s="7" t="s">
        <v>60</v>
      </c>
      <c r="H899" s="15" t="s">
        <v>48</v>
      </c>
      <c r="I899" s="3" t="s">
        <v>49</v>
      </c>
      <c r="J899" s="3">
        <v>1.0</v>
      </c>
      <c r="K899" s="3" t="s">
        <v>1688</v>
      </c>
      <c r="L899" s="3" t="s">
        <v>1688</v>
      </c>
      <c r="M899" s="3" t="s">
        <v>1689</v>
      </c>
      <c r="N899" s="6" t="s">
        <v>1690</v>
      </c>
      <c r="O899" s="6" t="s">
        <v>1691</v>
      </c>
      <c r="P899" s="3">
        <v>6330.0</v>
      </c>
      <c r="Q899" s="45" t="s">
        <v>60</v>
      </c>
    </row>
    <row r="900">
      <c r="A900" s="3" t="s">
        <v>1684</v>
      </c>
      <c r="B900" s="3" t="s">
        <v>1685</v>
      </c>
      <c r="C900" s="3" t="s">
        <v>1686</v>
      </c>
      <c r="D900" s="3" t="s">
        <v>356</v>
      </c>
      <c r="E900" s="3" t="s">
        <v>1709</v>
      </c>
      <c r="F900" s="7" t="s">
        <v>60</v>
      </c>
      <c r="H900" s="15" t="s">
        <v>48</v>
      </c>
      <c r="I900" s="3" t="s">
        <v>49</v>
      </c>
      <c r="J900" s="3">
        <v>1.0</v>
      </c>
      <c r="K900" s="3" t="s">
        <v>1688</v>
      </c>
      <c r="L900" s="3" t="s">
        <v>1688</v>
      </c>
      <c r="M900" s="3" t="s">
        <v>1689</v>
      </c>
      <c r="N900" s="6" t="s">
        <v>1690</v>
      </c>
      <c r="O900" s="6" t="s">
        <v>1691</v>
      </c>
      <c r="P900" s="3">
        <v>6330.0</v>
      </c>
      <c r="Q900" s="45" t="s">
        <v>60</v>
      </c>
    </row>
    <row r="901">
      <c r="A901" s="3" t="s">
        <v>1684</v>
      </c>
      <c r="B901" s="3" t="s">
        <v>1685</v>
      </c>
      <c r="C901" s="3" t="s">
        <v>1686</v>
      </c>
      <c r="D901" s="3" t="s">
        <v>356</v>
      </c>
      <c r="E901" s="3" t="s">
        <v>1710</v>
      </c>
      <c r="F901" s="7" t="s">
        <v>60</v>
      </c>
      <c r="H901" s="15" t="s">
        <v>48</v>
      </c>
      <c r="I901" s="3" t="s">
        <v>49</v>
      </c>
      <c r="J901" s="3">
        <v>1.0</v>
      </c>
      <c r="K901" s="3" t="s">
        <v>1688</v>
      </c>
      <c r="L901" s="3" t="s">
        <v>1688</v>
      </c>
      <c r="M901" s="3" t="s">
        <v>1689</v>
      </c>
      <c r="N901" s="6" t="s">
        <v>1690</v>
      </c>
      <c r="O901" s="6" t="s">
        <v>1691</v>
      </c>
      <c r="P901" s="3">
        <v>6330.0</v>
      </c>
      <c r="Q901" s="45" t="s">
        <v>60</v>
      </c>
    </row>
    <row r="902">
      <c r="A902" s="3" t="s">
        <v>1684</v>
      </c>
      <c r="B902" s="3" t="s">
        <v>1685</v>
      </c>
      <c r="C902" s="3" t="s">
        <v>1686</v>
      </c>
      <c r="D902" s="3" t="s">
        <v>356</v>
      </c>
      <c r="E902" s="3" t="s">
        <v>1711</v>
      </c>
      <c r="F902" s="7" t="s">
        <v>60</v>
      </c>
      <c r="H902" s="15" t="s">
        <v>48</v>
      </c>
      <c r="I902" s="3" t="s">
        <v>49</v>
      </c>
      <c r="J902" s="3">
        <v>1.0</v>
      </c>
      <c r="K902" s="3" t="s">
        <v>1688</v>
      </c>
      <c r="L902" s="3" t="s">
        <v>1688</v>
      </c>
      <c r="M902" s="3" t="s">
        <v>1689</v>
      </c>
      <c r="N902" s="6" t="s">
        <v>1690</v>
      </c>
      <c r="O902" s="6" t="s">
        <v>1691</v>
      </c>
      <c r="P902" s="3">
        <v>6330.0</v>
      </c>
      <c r="Q902" s="45" t="s">
        <v>60</v>
      </c>
    </row>
    <row r="903">
      <c r="A903" s="3" t="s">
        <v>1684</v>
      </c>
      <c r="B903" s="3" t="s">
        <v>1685</v>
      </c>
      <c r="C903" s="3" t="s">
        <v>1686</v>
      </c>
      <c r="D903" s="3" t="s">
        <v>356</v>
      </c>
      <c r="E903" s="3" t="s">
        <v>1712</v>
      </c>
      <c r="F903" s="7" t="s">
        <v>60</v>
      </c>
      <c r="H903" s="15" t="s">
        <v>48</v>
      </c>
      <c r="I903" s="3" t="s">
        <v>49</v>
      </c>
      <c r="J903" s="3">
        <v>1.0</v>
      </c>
      <c r="K903" s="3" t="s">
        <v>1688</v>
      </c>
      <c r="L903" s="3" t="s">
        <v>1688</v>
      </c>
      <c r="M903" s="3" t="s">
        <v>1689</v>
      </c>
      <c r="N903" s="6" t="s">
        <v>1690</v>
      </c>
      <c r="O903" s="6" t="s">
        <v>1691</v>
      </c>
      <c r="P903" s="3">
        <v>6330.0</v>
      </c>
      <c r="Q903" s="45" t="s">
        <v>60</v>
      </c>
    </row>
    <row r="904">
      <c r="A904" s="3" t="s">
        <v>1684</v>
      </c>
      <c r="B904" s="3" t="s">
        <v>1685</v>
      </c>
      <c r="C904" s="3" t="s">
        <v>1686</v>
      </c>
      <c r="D904" s="3" t="s">
        <v>356</v>
      </c>
      <c r="E904" s="3" t="s">
        <v>1713</v>
      </c>
      <c r="F904" s="7" t="s">
        <v>60</v>
      </c>
      <c r="H904" s="15" t="s">
        <v>48</v>
      </c>
      <c r="I904" s="3" t="s">
        <v>49</v>
      </c>
      <c r="J904" s="3">
        <v>1.0</v>
      </c>
      <c r="K904" s="3" t="s">
        <v>1688</v>
      </c>
      <c r="L904" s="3" t="s">
        <v>1688</v>
      </c>
      <c r="M904" s="3" t="s">
        <v>1689</v>
      </c>
      <c r="N904" s="6" t="s">
        <v>1690</v>
      </c>
      <c r="O904" s="6" t="s">
        <v>1691</v>
      </c>
      <c r="P904" s="3">
        <v>6330.0</v>
      </c>
      <c r="Q904" s="45" t="s">
        <v>60</v>
      </c>
    </row>
    <row r="905">
      <c r="A905" s="3" t="s">
        <v>1684</v>
      </c>
      <c r="B905" s="3" t="s">
        <v>1685</v>
      </c>
      <c r="C905" s="3" t="s">
        <v>1686</v>
      </c>
      <c r="D905" s="3" t="s">
        <v>356</v>
      </c>
      <c r="E905" s="3" t="s">
        <v>1714</v>
      </c>
      <c r="F905" s="7" t="s">
        <v>60</v>
      </c>
      <c r="H905" s="15" t="s">
        <v>48</v>
      </c>
      <c r="I905" s="3" t="s">
        <v>49</v>
      </c>
      <c r="J905" s="3">
        <v>1.0</v>
      </c>
      <c r="K905" s="3" t="s">
        <v>1688</v>
      </c>
      <c r="L905" s="3" t="s">
        <v>1688</v>
      </c>
      <c r="M905" s="3" t="s">
        <v>1689</v>
      </c>
      <c r="N905" s="6" t="s">
        <v>1690</v>
      </c>
      <c r="O905" s="6" t="s">
        <v>1691</v>
      </c>
      <c r="P905" s="3">
        <v>6330.0</v>
      </c>
      <c r="Q905" s="45" t="s">
        <v>60</v>
      </c>
    </row>
    <row r="906">
      <c r="A906" s="3" t="s">
        <v>1684</v>
      </c>
      <c r="B906" s="3" t="s">
        <v>1685</v>
      </c>
      <c r="C906" s="3" t="s">
        <v>1686</v>
      </c>
      <c r="D906" s="3" t="s">
        <v>356</v>
      </c>
      <c r="E906" s="3" t="s">
        <v>1715</v>
      </c>
      <c r="F906" s="7" t="s">
        <v>60</v>
      </c>
      <c r="H906" s="15" t="s">
        <v>48</v>
      </c>
      <c r="I906" s="3" t="s">
        <v>49</v>
      </c>
      <c r="J906" s="3">
        <v>1.0</v>
      </c>
      <c r="K906" s="3" t="s">
        <v>1688</v>
      </c>
      <c r="L906" s="3" t="s">
        <v>1688</v>
      </c>
      <c r="M906" s="3" t="s">
        <v>1689</v>
      </c>
      <c r="N906" s="6" t="s">
        <v>1690</v>
      </c>
      <c r="O906" s="6" t="s">
        <v>1691</v>
      </c>
      <c r="P906" s="3">
        <v>6330.0</v>
      </c>
      <c r="Q906" s="45" t="s">
        <v>60</v>
      </c>
    </row>
    <row r="907">
      <c r="A907" s="3" t="s">
        <v>1684</v>
      </c>
      <c r="B907" s="3" t="s">
        <v>1685</v>
      </c>
      <c r="C907" s="3" t="s">
        <v>1686</v>
      </c>
      <c r="D907" s="3" t="s">
        <v>356</v>
      </c>
      <c r="E907" s="3" t="s">
        <v>1716</v>
      </c>
      <c r="F907" s="7" t="s">
        <v>60</v>
      </c>
      <c r="H907" s="15" t="s">
        <v>48</v>
      </c>
      <c r="I907" s="3" t="s">
        <v>49</v>
      </c>
      <c r="J907" s="3">
        <v>1.0</v>
      </c>
      <c r="K907" s="3" t="s">
        <v>1688</v>
      </c>
      <c r="L907" s="3" t="s">
        <v>1688</v>
      </c>
      <c r="M907" s="3" t="s">
        <v>1689</v>
      </c>
      <c r="N907" s="6" t="s">
        <v>1690</v>
      </c>
      <c r="O907" s="6" t="s">
        <v>1691</v>
      </c>
      <c r="P907" s="3">
        <v>6330.0</v>
      </c>
      <c r="Q907" s="45" t="s">
        <v>60</v>
      </c>
    </row>
    <row r="908">
      <c r="A908" s="3" t="s">
        <v>1684</v>
      </c>
      <c r="B908" s="3" t="s">
        <v>1685</v>
      </c>
      <c r="C908" s="3" t="s">
        <v>1686</v>
      </c>
      <c r="D908" s="3" t="s">
        <v>356</v>
      </c>
      <c r="E908" s="3" t="s">
        <v>1717</v>
      </c>
      <c r="F908" s="7" t="s">
        <v>60</v>
      </c>
      <c r="H908" s="15" t="s">
        <v>48</v>
      </c>
      <c r="I908" s="3" t="s">
        <v>49</v>
      </c>
      <c r="J908" s="3">
        <v>1.0</v>
      </c>
      <c r="K908" s="3" t="s">
        <v>1688</v>
      </c>
      <c r="L908" s="3" t="s">
        <v>1688</v>
      </c>
      <c r="M908" s="3" t="s">
        <v>1689</v>
      </c>
      <c r="N908" s="6" t="s">
        <v>1690</v>
      </c>
      <c r="O908" s="6" t="s">
        <v>1691</v>
      </c>
      <c r="P908" s="3">
        <v>6330.0</v>
      </c>
      <c r="Q908" s="45" t="s">
        <v>60</v>
      </c>
    </row>
    <row r="909">
      <c r="A909" s="3" t="s">
        <v>1684</v>
      </c>
      <c r="B909" s="3" t="s">
        <v>1685</v>
      </c>
      <c r="C909" s="3" t="s">
        <v>1686</v>
      </c>
      <c r="D909" s="3" t="s">
        <v>356</v>
      </c>
      <c r="E909" s="3" t="s">
        <v>1718</v>
      </c>
      <c r="F909" s="7" t="s">
        <v>60</v>
      </c>
      <c r="H909" s="15" t="s">
        <v>48</v>
      </c>
      <c r="I909" s="3" t="s">
        <v>49</v>
      </c>
      <c r="J909" s="3">
        <v>1.0</v>
      </c>
      <c r="K909" s="3" t="s">
        <v>1688</v>
      </c>
      <c r="L909" s="3" t="s">
        <v>1688</v>
      </c>
      <c r="M909" s="3" t="s">
        <v>1689</v>
      </c>
      <c r="N909" s="6" t="s">
        <v>1690</v>
      </c>
      <c r="O909" s="6" t="s">
        <v>1691</v>
      </c>
      <c r="P909" s="3">
        <v>6330.0</v>
      </c>
      <c r="Q909" s="45" t="s">
        <v>60</v>
      </c>
    </row>
    <row r="910">
      <c r="A910" s="3" t="s">
        <v>1684</v>
      </c>
      <c r="B910" s="3" t="s">
        <v>1685</v>
      </c>
      <c r="C910" s="3" t="s">
        <v>1686</v>
      </c>
      <c r="D910" s="3" t="s">
        <v>356</v>
      </c>
      <c r="E910" s="3" t="s">
        <v>1719</v>
      </c>
      <c r="F910" s="7" t="s">
        <v>60</v>
      </c>
      <c r="H910" s="15" t="s">
        <v>48</v>
      </c>
      <c r="I910" s="3" t="s">
        <v>49</v>
      </c>
      <c r="J910" s="3">
        <v>1.0</v>
      </c>
      <c r="K910" s="3" t="s">
        <v>1688</v>
      </c>
      <c r="L910" s="3" t="s">
        <v>1688</v>
      </c>
      <c r="M910" s="3" t="s">
        <v>1689</v>
      </c>
      <c r="N910" s="6" t="s">
        <v>1690</v>
      </c>
      <c r="O910" s="6" t="s">
        <v>1691</v>
      </c>
      <c r="P910" s="3">
        <v>6330.0</v>
      </c>
      <c r="Q910" s="45" t="s">
        <v>60</v>
      </c>
    </row>
    <row r="911">
      <c r="A911" s="3" t="s">
        <v>1684</v>
      </c>
      <c r="B911" s="3" t="s">
        <v>1685</v>
      </c>
      <c r="C911" s="3" t="s">
        <v>1686</v>
      </c>
      <c r="D911" s="3" t="s">
        <v>356</v>
      </c>
      <c r="E911" s="3" t="s">
        <v>1720</v>
      </c>
      <c r="F911" s="7" t="s">
        <v>60</v>
      </c>
      <c r="H911" s="15" t="s">
        <v>48</v>
      </c>
      <c r="I911" s="3" t="s">
        <v>49</v>
      </c>
      <c r="J911" s="3">
        <v>1.0</v>
      </c>
      <c r="K911" s="3" t="s">
        <v>1688</v>
      </c>
      <c r="L911" s="3" t="s">
        <v>1688</v>
      </c>
      <c r="M911" s="3" t="s">
        <v>1689</v>
      </c>
      <c r="N911" s="6" t="s">
        <v>1690</v>
      </c>
      <c r="O911" s="6" t="s">
        <v>1691</v>
      </c>
      <c r="P911" s="3">
        <v>6330.0</v>
      </c>
      <c r="Q911" s="45" t="s">
        <v>60</v>
      </c>
    </row>
    <row r="912">
      <c r="A912" s="3" t="s">
        <v>1684</v>
      </c>
      <c r="B912" s="3" t="s">
        <v>1685</v>
      </c>
      <c r="C912" s="3" t="s">
        <v>1686</v>
      </c>
      <c r="D912" s="3" t="s">
        <v>356</v>
      </c>
      <c r="E912" s="3" t="s">
        <v>1721</v>
      </c>
      <c r="F912" s="7" t="s">
        <v>60</v>
      </c>
      <c r="H912" s="15" t="s">
        <v>48</v>
      </c>
      <c r="I912" s="3" t="s">
        <v>49</v>
      </c>
      <c r="J912" s="3">
        <v>1.0</v>
      </c>
      <c r="K912" s="3" t="s">
        <v>1688</v>
      </c>
      <c r="L912" s="3" t="s">
        <v>1688</v>
      </c>
      <c r="M912" s="3" t="s">
        <v>1689</v>
      </c>
      <c r="N912" s="6" t="s">
        <v>1690</v>
      </c>
      <c r="O912" s="6" t="s">
        <v>1691</v>
      </c>
      <c r="P912" s="3">
        <v>6330.0</v>
      </c>
      <c r="Q912" s="45" t="s">
        <v>60</v>
      </c>
    </row>
    <row r="913">
      <c r="A913" s="3" t="s">
        <v>1684</v>
      </c>
      <c r="B913" s="3" t="s">
        <v>1685</v>
      </c>
      <c r="C913" s="3" t="s">
        <v>1686</v>
      </c>
      <c r="D913" s="3" t="s">
        <v>356</v>
      </c>
      <c r="E913" s="3" t="s">
        <v>1722</v>
      </c>
      <c r="F913" s="7" t="s">
        <v>60</v>
      </c>
      <c r="H913" s="15" t="s">
        <v>48</v>
      </c>
      <c r="I913" s="3" t="s">
        <v>49</v>
      </c>
      <c r="J913" s="3">
        <v>1.0</v>
      </c>
      <c r="K913" s="3" t="s">
        <v>1688</v>
      </c>
      <c r="L913" s="3" t="s">
        <v>1688</v>
      </c>
      <c r="M913" s="3" t="s">
        <v>1689</v>
      </c>
      <c r="N913" s="6" t="s">
        <v>1690</v>
      </c>
      <c r="O913" s="6" t="s">
        <v>1691</v>
      </c>
      <c r="P913" s="3">
        <v>6330.0</v>
      </c>
      <c r="Q913" s="45" t="s">
        <v>60</v>
      </c>
    </row>
    <row r="914">
      <c r="A914" s="3" t="s">
        <v>1684</v>
      </c>
      <c r="B914" s="3" t="s">
        <v>1685</v>
      </c>
      <c r="C914" s="3" t="s">
        <v>1686</v>
      </c>
      <c r="D914" s="3" t="s">
        <v>356</v>
      </c>
      <c r="E914" s="3" t="s">
        <v>1723</v>
      </c>
      <c r="F914" s="7" t="s">
        <v>60</v>
      </c>
      <c r="H914" s="15" t="s">
        <v>48</v>
      </c>
      <c r="I914" s="3" t="s">
        <v>49</v>
      </c>
      <c r="J914" s="3">
        <v>1.0</v>
      </c>
      <c r="K914" s="3" t="s">
        <v>1688</v>
      </c>
      <c r="L914" s="3" t="s">
        <v>1688</v>
      </c>
      <c r="M914" s="3" t="s">
        <v>1689</v>
      </c>
      <c r="N914" s="6" t="s">
        <v>1690</v>
      </c>
      <c r="O914" s="6" t="s">
        <v>1691</v>
      </c>
      <c r="P914" s="3">
        <v>6330.0</v>
      </c>
      <c r="Q914" s="45" t="s">
        <v>60</v>
      </c>
    </row>
    <row r="915">
      <c r="A915" s="3" t="s">
        <v>1684</v>
      </c>
      <c r="B915" s="3" t="s">
        <v>1685</v>
      </c>
      <c r="C915" s="3" t="s">
        <v>1686</v>
      </c>
      <c r="D915" s="3" t="s">
        <v>356</v>
      </c>
      <c r="E915" s="3" t="s">
        <v>1724</v>
      </c>
      <c r="F915" s="7" t="s">
        <v>60</v>
      </c>
      <c r="H915" s="15" t="s">
        <v>48</v>
      </c>
      <c r="I915" s="3" t="s">
        <v>49</v>
      </c>
      <c r="J915" s="3">
        <v>1.0</v>
      </c>
      <c r="K915" s="3" t="s">
        <v>1688</v>
      </c>
      <c r="L915" s="3" t="s">
        <v>1688</v>
      </c>
      <c r="M915" s="3" t="s">
        <v>1689</v>
      </c>
      <c r="N915" s="6" t="s">
        <v>1690</v>
      </c>
      <c r="O915" s="6" t="s">
        <v>1691</v>
      </c>
      <c r="P915" s="3">
        <v>6330.0</v>
      </c>
      <c r="Q915" s="45" t="s">
        <v>60</v>
      </c>
    </row>
    <row r="916">
      <c r="A916" s="3" t="s">
        <v>1684</v>
      </c>
      <c r="B916" s="3" t="s">
        <v>1685</v>
      </c>
      <c r="C916" s="3" t="s">
        <v>1686</v>
      </c>
      <c r="D916" s="3" t="s">
        <v>356</v>
      </c>
      <c r="E916" s="3" t="s">
        <v>1725</v>
      </c>
      <c r="F916" s="7" t="s">
        <v>60</v>
      </c>
      <c r="H916" s="15" t="s">
        <v>48</v>
      </c>
      <c r="I916" s="3" t="s">
        <v>49</v>
      </c>
      <c r="J916" s="3">
        <v>1.0</v>
      </c>
      <c r="K916" s="3" t="s">
        <v>1688</v>
      </c>
      <c r="L916" s="3" t="s">
        <v>1688</v>
      </c>
      <c r="M916" s="3" t="s">
        <v>1689</v>
      </c>
      <c r="N916" s="6" t="s">
        <v>1690</v>
      </c>
      <c r="O916" s="6" t="s">
        <v>1691</v>
      </c>
      <c r="P916" s="3">
        <v>6330.0</v>
      </c>
      <c r="Q916" s="45" t="s">
        <v>60</v>
      </c>
    </row>
    <row r="917">
      <c r="A917" s="3" t="s">
        <v>1684</v>
      </c>
      <c r="B917" s="3" t="s">
        <v>1685</v>
      </c>
      <c r="C917" s="3" t="s">
        <v>1686</v>
      </c>
      <c r="D917" s="3" t="s">
        <v>356</v>
      </c>
      <c r="E917" s="3" t="s">
        <v>1726</v>
      </c>
      <c r="F917" s="7" t="s">
        <v>60</v>
      </c>
      <c r="H917" s="15" t="s">
        <v>48</v>
      </c>
      <c r="I917" s="3" t="s">
        <v>49</v>
      </c>
      <c r="J917" s="3">
        <v>1.0</v>
      </c>
      <c r="K917" s="3" t="s">
        <v>1688</v>
      </c>
      <c r="L917" s="3" t="s">
        <v>1688</v>
      </c>
      <c r="M917" s="3" t="s">
        <v>1689</v>
      </c>
      <c r="N917" s="6" t="s">
        <v>1690</v>
      </c>
      <c r="O917" s="6" t="s">
        <v>1691</v>
      </c>
      <c r="P917" s="3">
        <v>6330.0</v>
      </c>
      <c r="Q917" s="45" t="s">
        <v>60</v>
      </c>
    </row>
    <row r="918">
      <c r="A918" s="3" t="s">
        <v>1684</v>
      </c>
      <c r="B918" s="3" t="s">
        <v>1685</v>
      </c>
      <c r="C918" s="3" t="s">
        <v>1686</v>
      </c>
      <c r="D918" s="3" t="s">
        <v>356</v>
      </c>
      <c r="E918" s="3" t="s">
        <v>1727</v>
      </c>
      <c r="F918" s="7" t="s">
        <v>60</v>
      </c>
      <c r="H918" s="15" t="s">
        <v>48</v>
      </c>
      <c r="I918" s="3" t="s">
        <v>49</v>
      </c>
      <c r="J918" s="3">
        <v>1.0</v>
      </c>
      <c r="K918" s="3" t="s">
        <v>1688</v>
      </c>
      <c r="L918" s="3" t="s">
        <v>1688</v>
      </c>
      <c r="M918" s="3" t="s">
        <v>1689</v>
      </c>
      <c r="N918" s="6" t="s">
        <v>1690</v>
      </c>
      <c r="O918" s="6" t="s">
        <v>1691</v>
      </c>
      <c r="P918" s="3">
        <v>6330.0</v>
      </c>
      <c r="Q918" s="45" t="s">
        <v>60</v>
      </c>
    </row>
    <row r="919">
      <c r="A919" s="3" t="s">
        <v>1684</v>
      </c>
      <c r="B919" s="3" t="s">
        <v>1685</v>
      </c>
      <c r="C919" s="3" t="s">
        <v>1686</v>
      </c>
      <c r="D919" s="3" t="s">
        <v>356</v>
      </c>
      <c r="E919" s="3" t="s">
        <v>1728</v>
      </c>
      <c r="F919" s="7" t="s">
        <v>60</v>
      </c>
      <c r="H919" s="15" t="s">
        <v>48</v>
      </c>
      <c r="I919" s="3" t="s">
        <v>49</v>
      </c>
      <c r="J919" s="3">
        <v>1.0</v>
      </c>
      <c r="K919" s="3" t="s">
        <v>1688</v>
      </c>
      <c r="L919" s="3" t="s">
        <v>1688</v>
      </c>
      <c r="M919" s="3" t="s">
        <v>1689</v>
      </c>
      <c r="N919" s="6" t="s">
        <v>1690</v>
      </c>
      <c r="O919" s="6" t="s">
        <v>1691</v>
      </c>
      <c r="P919" s="3">
        <v>6330.0</v>
      </c>
      <c r="Q919" s="45" t="s">
        <v>60</v>
      </c>
    </row>
    <row r="920">
      <c r="A920" s="3" t="s">
        <v>1684</v>
      </c>
      <c r="B920" s="3" t="s">
        <v>1685</v>
      </c>
      <c r="C920" s="3" t="s">
        <v>1686</v>
      </c>
      <c r="D920" s="3" t="s">
        <v>356</v>
      </c>
      <c r="E920" s="3" t="s">
        <v>1729</v>
      </c>
      <c r="F920" s="7" t="s">
        <v>60</v>
      </c>
      <c r="H920" s="15" t="s">
        <v>48</v>
      </c>
      <c r="I920" s="3" t="s">
        <v>49</v>
      </c>
      <c r="J920" s="3">
        <v>1.0</v>
      </c>
      <c r="K920" s="3" t="s">
        <v>1688</v>
      </c>
      <c r="L920" s="3" t="s">
        <v>1688</v>
      </c>
      <c r="M920" s="3" t="s">
        <v>1689</v>
      </c>
      <c r="N920" s="6" t="s">
        <v>1690</v>
      </c>
      <c r="O920" s="6" t="s">
        <v>1691</v>
      </c>
      <c r="P920" s="3">
        <v>6330.0</v>
      </c>
      <c r="Q920" s="45" t="s">
        <v>60</v>
      </c>
    </row>
    <row r="921">
      <c r="A921" s="3" t="s">
        <v>1684</v>
      </c>
      <c r="B921" s="3" t="s">
        <v>1685</v>
      </c>
      <c r="C921" s="3" t="s">
        <v>1686</v>
      </c>
      <c r="D921" s="3" t="s">
        <v>356</v>
      </c>
      <c r="E921" s="3" t="s">
        <v>1730</v>
      </c>
      <c r="F921" s="7" t="s">
        <v>60</v>
      </c>
      <c r="H921" s="15" t="s">
        <v>48</v>
      </c>
      <c r="I921" s="3" t="s">
        <v>49</v>
      </c>
      <c r="J921" s="3">
        <v>1.0</v>
      </c>
      <c r="K921" s="3" t="s">
        <v>1688</v>
      </c>
      <c r="L921" s="3" t="s">
        <v>1688</v>
      </c>
      <c r="M921" s="3" t="s">
        <v>1689</v>
      </c>
      <c r="N921" s="6" t="s">
        <v>1690</v>
      </c>
      <c r="O921" s="6" t="s">
        <v>1691</v>
      </c>
      <c r="P921" s="3">
        <v>6330.0</v>
      </c>
      <c r="Q921" s="45" t="s">
        <v>60</v>
      </c>
    </row>
    <row r="922">
      <c r="A922" s="3" t="s">
        <v>1684</v>
      </c>
      <c r="B922" s="3" t="s">
        <v>1685</v>
      </c>
      <c r="C922" s="3" t="s">
        <v>1686</v>
      </c>
      <c r="D922" s="3" t="s">
        <v>356</v>
      </c>
      <c r="E922" s="3" t="s">
        <v>1731</v>
      </c>
      <c r="F922" s="7" t="s">
        <v>60</v>
      </c>
      <c r="H922" s="15" t="s">
        <v>48</v>
      </c>
      <c r="I922" s="3" t="s">
        <v>49</v>
      </c>
      <c r="J922" s="3">
        <v>1.0</v>
      </c>
      <c r="K922" s="3" t="s">
        <v>1688</v>
      </c>
      <c r="L922" s="3" t="s">
        <v>1688</v>
      </c>
      <c r="M922" s="3" t="s">
        <v>1689</v>
      </c>
      <c r="N922" s="6" t="s">
        <v>1690</v>
      </c>
      <c r="O922" s="6" t="s">
        <v>1691</v>
      </c>
      <c r="P922" s="3">
        <v>6330.0</v>
      </c>
      <c r="Q922" s="45" t="s">
        <v>60</v>
      </c>
    </row>
    <row r="923">
      <c r="A923" s="3" t="s">
        <v>1684</v>
      </c>
      <c r="B923" s="3" t="s">
        <v>1685</v>
      </c>
      <c r="C923" s="3" t="s">
        <v>1686</v>
      </c>
      <c r="D923" s="3" t="s">
        <v>356</v>
      </c>
      <c r="E923" s="3" t="s">
        <v>1732</v>
      </c>
      <c r="F923" s="7" t="s">
        <v>60</v>
      </c>
      <c r="H923" s="15" t="s">
        <v>48</v>
      </c>
      <c r="I923" s="3" t="s">
        <v>49</v>
      </c>
      <c r="J923" s="3">
        <v>1.0</v>
      </c>
      <c r="K923" s="3" t="s">
        <v>1688</v>
      </c>
      <c r="L923" s="3" t="s">
        <v>1688</v>
      </c>
      <c r="M923" s="3" t="s">
        <v>1689</v>
      </c>
      <c r="N923" s="6" t="s">
        <v>1690</v>
      </c>
      <c r="O923" s="6" t="s">
        <v>1691</v>
      </c>
      <c r="P923" s="3">
        <v>6330.0</v>
      </c>
      <c r="Q923" s="45" t="s">
        <v>60</v>
      </c>
    </row>
    <row r="924">
      <c r="A924" s="3" t="s">
        <v>1684</v>
      </c>
      <c r="B924" s="3" t="s">
        <v>1685</v>
      </c>
      <c r="C924" s="3" t="s">
        <v>1686</v>
      </c>
      <c r="D924" s="3" t="s">
        <v>356</v>
      </c>
      <c r="E924" s="3" t="s">
        <v>1733</v>
      </c>
      <c r="F924" s="7" t="s">
        <v>60</v>
      </c>
      <c r="H924" s="15" t="s">
        <v>48</v>
      </c>
      <c r="I924" s="3" t="s">
        <v>49</v>
      </c>
      <c r="J924" s="3">
        <v>1.0</v>
      </c>
      <c r="K924" s="3" t="s">
        <v>1688</v>
      </c>
      <c r="L924" s="3" t="s">
        <v>1688</v>
      </c>
      <c r="M924" s="3" t="s">
        <v>1689</v>
      </c>
      <c r="N924" s="6" t="s">
        <v>1690</v>
      </c>
      <c r="O924" s="6" t="s">
        <v>1691</v>
      </c>
      <c r="P924" s="3">
        <v>6330.0</v>
      </c>
      <c r="Q924" s="45" t="s">
        <v>60</v>
      </c>
    </row>
    <row r="925">
      <c r="A925" s="3" t="s">
        <v>1684</v>
      </c>
      <c r="B925" s="3" t="s">
        <v>1685</v>
      </c>
      <c r="C925" s="3" t="s">
        <v>1686</v>
      </c>
      <c r="D925" s="3" t="s">
        <v>356</v>
      </c>
      <c r="E925" s="3" t="s">
        <v>1734</v>
      </c>
      <c r="F925" s="7" t="s">
        <v>60</v>
      </c>
      <c r="H925" s="15" t="s">
        <v>48</v>
      </c>
      <c r="I925" s="3" t="s">
        <v>49</v>
      </c>
      <c r="J925" s="3">
        <v>1.0</v>
      </c>
      <c r="K925" s="3" t="s">
        <v>1688</v>
      </c>
      <c r="L925" s="3" t="s">
        <v>1688</v>
      </c>
      <c r="M925" s="3" t="s">
        <v>1689</v>
      </c>
      <c r="N925" s="6" t="s">
        <v>1690</v>
      </c>
      <c r="O925" s="6" t="s">
        <v>1691</v>
      </c>
      <c r="P925" s="3">
        <v>6330.0</v>
      </c>
      <c r="Q925" s="45" t="s">
        <v>60</v>
      </c>
    </row>
    <row r="926">
      <c r="A926" s="3" t="s">
        <v>1684</v>
      </c>
      <c r="B926" s="3" t="s">
        <v>1685</v>
      </c>
      <c r="C926" s="3" t="s">
        <v>1686</v>
      </c>
      <c r="D926" s="3" t="s">
        <v>356</v>
      </c>
      <c r="E926" s="3" t="s">
        <v>1735</v>
      </c>
      <c r="F926" s="7" t="s">
        <v>60</v>
      </c>
      <c r="H926" s="15" t="s">
        <v>48</v>
      </c>
      <c r="I926" s="3" t="s">
        <v>49</v>
      </c>
      <c r="J926" s="3">
        <v>1.0</v>
      </c>
      <c r="K926" s="3" t="s">
        <v>1688</v>
      </c>
      <c r="L926" s="3" t="s">
        <v>1688</v>
      </c>
      <c r="M926" s="3" t="s">
        <v>1689</v>
      </c>
      <c r="N926" s="6" t="s">
        <v>1690</v>
      </c>
      <c r="O926" s="6" t="s">
        <v>1691</v>
      </c>
      <c r="P926" s="3">
        <v>6330.0</v>
      </c>
      <c r="Q926" s="45" t="s">
        <v>60</v>
      </c>
    </row>
    <row r="927">
      <c r="A927" s="3" t="s">
        <v>1684</v>
      </c>
      <c r="B927" s="3" t="s">
        <v>1685</v>
      </c>
      <c r="C927" s="3" t="s">
        <v>1686</v>
      </c>
      <c r="D927" s="3" t="s">
        <v>356</v>
      </c>
      <c r="E927" s="3" t="s">
        <v>1736</v>
      </c>
      <c r="F927" s="7" t="s">
        <v>60</v>
      </c>
      <c r="H927" s="15" t="s">
        <v>48</v>
      </c>
      <c r="I927" s="3" t="s">
        <v>49</v>
      </c>
      <c r="J927" s="3">
        <v>1.0</v>
      </c>
      <c r="K927" s="3" t="s">
        <v>1688</v>
      </c>
      <c r="L927" s="3" t="s">
        <v>1688</v>
      </c>
      <c r="M927" s="3" t="s">
        <v>1689</v>
      </c>
      <c r="N927" s="6" t="s">
        <v>1690</v>
      </c>
      <c r="O927" s="6" t="s">
        <v>1691</v>
      </c>
      <c r="P927" s="3">
        <v>6330.0</v>
      </c>
      <c r="Q927" s="45" t="s">
        <v>60</v>
      </c>
    </row>
    <row r="928">
      <c r="A928" s="3" t="s">
        <v>1684</v>
      </c>
      <c r="B928" s="3" t="s">
        <v>1685</v>
      </c>
      <c r="C928" s="3" t="s">
        <v>1686</v>
      </c>
      <c r="D928" s="3" t="s">
        <v>356</v>
      </c>
      <c r="E928" s="3" t="s">
        <v>1737</v>
      </c>
      <c r="F928" s="7" t="s">
        <v>60</v>
      </c>
      <c r="H928" s="15" t="s">
        <v>48</v>
      </c>
      <c r="I928" s="3" t="s">
        <v>49</v>
      </c>
      <c r="J928" s="3">
        <v>1.0</v>
      </c>
      <c r="K928" s="3" t="s">
        <v>1688</v>
      </c>
      <c r="L928" s="3" t="s">
        <v>1688</v>
      </c>
      <c r="M928" s="3" t="s">
        <v>1689</v>
      </c>
      <c r="N928" s="6" t="s">
        <v>1690</v>
      </c>
      <c r="O928" s="6" t="s">
        <v>1691</v>
      </c>
      <c r="P928" s="3">
        <v>6330.0</v>
      </c>
      <c r="Q928" s="45" t="s">
        <v>60</v>
      </c>
    </row>
    <row r="929">
      <c r="A929" s="3" t="s">
        <v>1684</v>
      </c>
      <c r="B929" s="3" t="s">
        <v>1685</v>
      </c>
      <c r="C929" s="3" t="s">
        <v>1686</v>
      </c>
      <c r="D929" s="3" t="s">
        <v>356</v>
      </c>
      <c r="E929" s="3" t="s">
        <v>1738</v>
      </c>
      <c r="F929" s="7" t="s">
        <v>60</v>
      </c>
      <c r="H929" s="15" t="s">
        <v>48</v>
      </c>
      <c r="I929" s="3" t="s">
        <v>49</v>
      </c>
      <c r="J929" s="3">
        <v>1.0</v>
      </c>
      <c r="K929" s="3" t="s">
        <v>1688</v>
      </c>
      <c r="L929" s="3" t="s">
        <v>1688</v>
      </c>
      <c r="M929" s="3" t="s">
        <v>1689</v>
      </c>
      <c r="N929" s="6" t="s">
        <v>1690</v>
      </c>
      <c r="O929" s="6" t="s">
        <v>1691</v>
      </c>
      <c r="P929" s="3">
        <v>6330.0</v>
      </c>
      <c r="Q929" s="45" t="s">
        <v>60</v>
      </c>
    </row>
    <row r="930">
      <c r="A930" s="3" t="s">
        <v>1684</v>
      </c>
      <c r="B930" s="3" t="s">
        <v>1685</v>
      </c>
      <c r="C930" s="3" t="s">
        <v>1686</v>
      </c>
      <c r="D930" s="3" t="s">
        <v>356</v>
      </c>
      <c r="E930" s="3" t="s">
        <v>1739</v>
      </c>
      <c r="F930" s="7" t="s">
        <v>60</v>
      </c>
      <c r="H930" s="15" t="s">
        <v>48</v>
      </c>
      <c r="I930" s="3" t="s">
        <v>49</v>
      </c>
      <c r="J930" s="3">
        <v>1.0</v>
      </c>
      <c r="K930" s="3" t="s">
        <v>1688</v>
      </c>
      <c r="L930" s="3" t="s">
        <v>1688</v>
      </c>
      <c r="M930" s="3" t="s">
        <v>1689</v>
      </c>
      <c r="N930" s="6" t="s">
        <v>1690</v>
      </c>
      <c r="O930" s="6" t="s">
        <v>1691</v>
      </c>
      <c r="P930" s="3">
        <v>6330.0</v>
      </c>
      <c r="Q930" s="45" t="s">
        <v>60</v>
      </c>
    </row>
    <row r="931">
      <c r="A931" s="3" t="s">
        <v>1740</v>
      </c>
      <c r="B931" s="3" t="s">
        <v>1741</v>
      </c>
      <c r="C931" s="3" t="s">
        <v>1742</v>
      </c>
      <c r="D931" s="3" t="s">
        <v>46</v>
      </c>
      <c r="E931" s="3" t="s">
        <v>1743</v>
      </c>
      <c r="F931" s="5">
        <v>46070.0</v>
      </c>
      <c r="G931" s="12" t="s">
        <v>136</v>
      </c>
      <c r="H931" s="15" t="s">
        <v>48</v>
      </c>
      <c r="I931" s="3" t="s">
        <v>49</v>
      </c>
      <c r="J931" s="3">
        <v>51.0</v>
      </c>
      <c r="K931" s="3" t="s">
        <v>1744</v>
      </c>
      <c r="L931" s="3" t="s">
        <v>1745</v>
      </c>
      <c r="M931" s="3" t="s">
        <v>1746</v>
      </c>
      <c r="N931" s="6" t="s">
        <v>1747</v>
      </c>
      <c r="O931" s="6" t="s">
        <v>1748</v>
      </c>
      <c r="P931" s="3">
        <v>2350.0</v>
      </c>
      <c r="Q931" s="3">
        <v>1.0</v>
      </c>
    </row>
    <row r="932">
      <c r="A932" s="3" t="s">
        <v>1740</v>
      </c>
      <c r="B932" s="3" t="s">
        <v>1741</v>
      </c>
      <c r="C932" s="3" t="s">
        <v>1742</v>
      </c>
      <c r="D932" s="3" t="s">
        <v>46</v>
      </c>
      <c r="E932" s="3" t="s">
        <v>1749</v>
      </c>
      <c r="F932" s="7" t="s">
        <v>60</v>
      </c>
      <c r="H932" s="15" t="s">
        <v>48</v>
      </c>
      <c r="I932" s="3" t="s">
        <v>49</v>
      </c>
      <c r="J932" s="3">
        <v>1.0</v>
      </c>
      <c r="K932" s="3" t="s">
        <v>1745</v>
      </c>
      <c r="L932" s="3" t="s">
        <v>1745</v>
      </c>
      <c r="M932" s="3" t="s">
        <v>1746</v>
      </c>
      <c r="N932" s="6" t="s">
        <v>1747</v>
      </c>
      <c r="O932" s="6" t="s">
        <v>1748</v>
      </c>
      <c r="P932" s="3">
        <v>2350.0</v>
      </c>
      <c r="Q932" s="45" t="s">
        <v>60</v>
      </c>
    </row>
    <row r="933">
      <c r="A933" s="3" t="s">
        <v>1740</v>
      </c>
      <c r="B933" s="3" t="s">
        <v>1741</v>
      </c>
      <c r="C933" s="3" t="s">
        <v>1742</v>
      </c>
      <c r="D933" s="3" t="s">
        <v>46</v>
      </c>
      <c r="E933" s="3" t="s">
        <v>1750</v>
      </c>
      <c r="F933" s="7" t="s">
        <v>60</v>
      </c>
      <c r="H933" s="15" t="s">
        <v>48</v>
      </c>
      <c r="I933" s="3" t="s">
        <v>49</v>
      </c>
      <c r="J933" s="3">
        <v>1.0</v>
      </c>
      <c r="K933" s="3" t="s">
        <v>1745</v>
      </c>
      <c r="L933" s="3" t="s">
        <v>1745</v>
      </c>
      <c r="M933" s="3" t="s">
        <v>1746</v>
      </c>
      <c r="N933" s="6" t="s">
        <v>1747</v>
      </c>
      <c r="O933" s="6" t="s">
        <v>1748</v>
      </c>
      <c r="P933" s="3">
        <v>2350.0</v>
      </c>
      <c r="Q933" s="45" t="s">
        <v>60</v>
      </c>
    </row>
    <row r="934">
      <c r="A934" s="3" t="s">
        <v>1740</v>
      </c>
      <c r="B934" s="3" t="s">
        <v>1741</v>
      </c>
      <c r="C934" s="3" t="s">
        <v>1742</v>
      </c>
      <c r="D934" s="3" t="s">
        <v>46</v>
      </c>
      <c r="E934" s="3" t="s">
        <v>1751</v>
      </c>
      <c r="F934" s="7" t="s">
        <v>60</v>
      </c>
      <c r="H934" s="15" t="s">
        <v>48</v>
      </c>
      <c r="I934" s="3" t="s">
        <v>49</v>
      </c>
      <c r="J934" s="3">
        <v>1.0</v>
      </c>
      <c r="K934" s="3" t="s">
        <v>1745</v>
      </c>
      <c r="L934" s="3" t="s">
        <v>1745</v>
      </c>
      <c r="M934" s="3" t="s">
        <v>1746</v>
      </c>
      <c r="N934" s="6" t="s">
        <v>1747</v>
      </c>
      <c r="O934" s="6" t="s">
        <v>1748</v>
      </c>
      <c r="P934" s="3">
        <v>2350.0</v>
      </c>
      <c r="Q934" s="45" t="s">
        <v>60</v>
      </c>
    </row>
    <row r="935">
      <c r="A935" s="3" t="s">
        <v>1740</v>
      </c>
      <c r="B935" s="3" t="s">
        <v>1741</v>
      </c>
      <c r="C935" s="3" t="s">
        <v>1742</v>
      </c>
      <c r="D935" s="3" t="s">
        <v>46</v>
      </c>
      <c r="E935" s="3" t="s">
        <v>1752</v>
      </c>
      <c r="F935" s="7" t="s">
        <v>60</v>
      </c>
      <c r="H935" s="15" t="s">
        <v>48</v>
      </c>
      <c r="I935" s="3" t="s">
        <v>49</v>
      </c>
      <c r="J935" s="3">
        <v>1.0</v>
      </c>
      <c r="K935" s="3" t="s">
        <v>1745</v>
      </c>
      <c r="L935" s="3" t="s">
        <v>1745</v>
      </c>
      <c r="M935" s="3" t="s">
        <v>1746</v>
      </c>
      <c r="N935" s="6" t="s">
        <v>1747</v>
      </c>
      <c r="O935" s="6" t="s">
        <v>1748</v>
      </c>
      <c r="P935" s="3">
        <v>2350.0</v>
      </c>
      <c r="Q935" s="45" t="s">
        <v>60</v>
      </c>
    </row>
    <row r="936">
      <c r="A936" s="3" t="s">
        <v>1740</v>
      </c>
      <c r="B936" s="3" t="s">
        <v>1741</v>
      </c>
      <c r="C936" s="3" t="s">
        <v>1742</v>
      </c>
      <c r="D936" s="3" t="s">
        <v>46</v>
      </c>
      <c r="E936" s="3" t="s">
        <v>1753</v>
      </c>
      <c r="F936" s="7" t="s">
        <v>60</v>
      </c>
      <c r="H936" s="15" t="s">
        <v>48</v>
      </c>
      <c r="I936" s="3" t="s">
        <v>49</v>
      </c>
      <c r="J936" s="3">
        <v>1.0</v>
      </c>
      <c r="K936" s="3" t="s">
        <v>1745</v>
      </c>
      <c r="L936" s="3" t="s">
        <v>1745</v>
      </c>
      <c r="M936" s="3" t="s">
        <v>1746</v>
      </c>
      <c r="N936" s="6" t="s">
        <v>1747</v>
      </c>
      <c r="O936" s="6" t="s">
        <v>1748</v>
      </c>
      <c r="P936" s="3">
        <v>2350.0</v>
      </c>
      <c r="Q936" s="45" t="s">
        <v>60</v>
      </c>
    </row>
    <row r="937">
      <c r="A937" s="3" t="s">
        <v>1740</v>
      </c>
      <c r="B937" s="3" t="s">
        <v>1741</v>
      </c>
      <c r="C937" s="3" t="s">
        <v>1742</v>
      </c>
      <c r="D937" s="3" t="s">
        <v>46</v>
      </c>
      <c r="E937" s="3" t="s">
        <v>1754</v>
      </c>
      <c r="F937" s="7" t="s">
        <v>60</v>
      </c>
      <c r="H937" s="15" t="s">
        <v>48</v>
      </c>
      <c r="I937" s="3" t="s">
        <v>49</v>
      </c>
      <c r="J937" s="3">
        <v>1.0</v>
      </c>
      <c r="K937" s="3" t="s">
        <v>1745</v>
      </c>
      <c r="L937" s="3" t="s">
        <v>1745</v>
      </c>
      <c r="M937" s="3" t="s">
        <v>1746</v>
      </c>
      <c r="N937" s="6" t="s">
        <v>1747</v>
      </c>
      <c r="O937" s="6" t="s">
        <v>1748</v>
      </c>
      <c r="P937" s="3">
        <v>2350.0</v>
      </c>
      <c r="Q937" s="45" t="s">
        <v>60</v>
      </c>
    </row>
    <row r="938">
      <c r="A938" s="3" t="s">
        <v>1740</v>
      </c>
      <c r="B938" s="3" t="s">
        <v>1741</v>
      </c>
      <c r="C938" s="3" t="s">
        <v>1742</v>
      </c>
      <c r="D938" s="3" t="s">
        <v>46</v>
      </c>
      <c r="E938" s="3" t="s">
        <v>1755</v>
      </c>
      <c r="F938" s="7" t="s">
        <v>60</v>
      </c>
      <c r="H938" s="15" t="s">
        <v>48</v>
      </c>
      <c r="I938" s="3" t="s">
        <v>49</v>
      </c>
      <c r="J938" s="3">
        <v>1.0</v>
      </c>
      <c r="K938" s="3" t="s">
        <v>1745</v>
      </c>
      <c r="L938" s="3" t="s">
        <v>1745</v>
      </c>
      <c r="M938" s="3" t="s">
        <v>1746</v>
      </c>
      <c r="N938" s="6" t="s">
        <v>1747</v>
      </c>
      <c r="O938" s="6" t="s">
        <v>1748</v>
      </c>
      <c r="P938" s="3">
        <v>2350.0</v>
      </c>
      <c r="Q938" s="45" t="s">
        <v>60</v>
      </c>
    </row>
    <row r="939">
      <c r="A939" s="3" t="s">
        <v>1740</v>
      </c>
      <c r="B939" s="3" t="s">
        <v>1741</v>
      </c>
      <c r="C939" s="3" t="s">
        <v>1742</v>
      </c>
      <c r="D939" s="3" t="s">
        <v>46</v>
      </c>
      <c r="E939" s="3" t="s">
        <v>1756</v>
      </c>
      <c r="F939" s="7" t="s">
        <v>60</v>
      </c>
      <c r="H939" s="15" t="s">
        <v>48</v>
      </c>
      <c r="I939" s="3" t="s">
        <v>49</v>
      </c>
      <c r="J939" s="3">
        <v>1.0</v>
      </c>
      <c r="K939" s="3" t="s">
        <v>1745</v>
      </c>
      <c r="L939" s="3" t="s">
        <v>1745</v>
      </c>
      <c r="M939" s="3" t="s">
        <v>1746</v>
      </c>
      <c r="N939" s="6" t="s">
        <v>1747</v>
      </c>
      <c r="O939" s="6" t="s">
        <v>1748</v>
      </c>
      <c r="P939" s="3">
        <v>2350.0</v>
      </c>
      <c r="Q939" s="45" t="s">
        <v>60</v>
      </c>
    </row>
    <row r="940">
      <c r="A940" s="3" t="s">
        <v>1740</v>
      </c>
      <c r="B940" s="3" t="s">
        <v>1741</v>
      </c>
      <c r="C940" s="3" t="s">
        <v>1742</v>
      </c>
      <c r="D940" s="3" t="s">
        <v>46</v>
      </c>
      <c r="E940" s="3" t="s">
        <v>1757</v>
      </c>
      <c r="F940" s="7" t="s">
        <v>60</v>
      </c>
      <c r="H940" s="15" t="s">
        <v>48</v>
      </c>
      <c r="I940" s="3" t="s">
        <v>49</v>
      </c>
      <c r="J940" s="3">
        <v>1.0</v>
      </c>
      <c r="K940" s="3" t="s">
        <v>1745</v>
      </c>
      <c r="L940" s="3" t="s">
        <v>1745</v>
      </c>
      <c r="M940" s="3" t="s">
        <v>1746</v>
      </c>
      <c r="N940" s="6" t="s">
        <v>1747</v>
      </c>
      <c r="O940" s="6" t="s">
        <v>1748</v>
      </c>
      <c r="P940" s="3">
        <v>2350.0</v>
      </c>
      <c r="Q940" s="45" t="s">
        <v>60</v>
      </c>
    </row>
    <row r="941">
      <c r="A941" s="3" t="s">
        <v>1740</v>
      </c>
      <c r="B941" s="3" t="s">
        <v>1741</v>
      </c>
      <c r="C941" s="3" t="s">
        <v>1742</v>
      </c>
      <c r="D941" s="3" t="s">
        <v>46</v>
      </c>
      <c r="E941" s="3" t="s">
        <v>1758</v>
      </c>
      <c r="F941" s="7" t="s">
        <v>60</v>
      </c>
      <c r="H941" s="15" t="s">
        <v>48</v>
      </c>
      <c r="I941" s="3" t="s">
        <v>49</v>
      </c>
      <c r="J941" s="3">
        <v>1.0</v>
      </c>
      <c r="K941" s="3" t="s">
        <v>1745</v>
      </c>
      <c r="L941" s="3" t="s">
        <v>1745</v>
      </c>
      <c r="M941" s="3" t="s">
        <v>1746</v>
      </c>
      <c r="N941" s="6" t="s">
        <v>1747</v>
      </c>
      <c r="O941" s="6" t="s">
        <v>1748</v>
      </c>
      <c r="P941" s="3">
        <v>2350.0</v>
      </c>
      <c r="Q941" s="45" t="s">
        <v>60</v>
      </c>
    </row>
    <row r="942">
      <c r="A942" s="3" t="s">
        <v>1740</v>
      </c>
      <c r="B942" s="3" t="s">
        <v>1741</v>
      </c>
      <c r="C942" s="3" t="s">
        <v>1742</v>
      </c>
      <c r="D942" s="3" t="s">
        <v>46</v>
      </c>
      <c r="E942" s="3" t="s">
        <v>1759</v>
      </c>
      <c r="F942" s="7" t="s">
        <v>60</v>
      </c>
      <c r="H942" s="15" t="s">
        <v>48</v>
      </c>
      <c r="I942" s="3" t="s">
        <v>49</v>
      </c>
      <c r="J942" s="3">
        <v>1.0</v>
      </c>
      <c r="K942" s="3" t="s">
        <v>1745</v>
      </c>
      <c r="L942" s="3" t="s">
        <v>1745</v>
      </c>
      <c r="M942" s="3" t="s">
        <v>1746</v>
      </c>
      <c r="N942" s="6" t="s">
        <v>1747</v>
      </c>
      <c r="O942" s="6" t="s">
        <v>1748</v>
      </c>
      <c r="P942" s="3">
        <v>2350.0</v>
      </c>
      <c r="Q942" s="45" t="s">
        <v>60</v>
      </c>
    </row>
    <row r="943">
      <c r="A943" s="3" t="s">
        <v>1740</v>
      </c>
      <c r="B943" s="3" t="s">
        <v>1741</v>
      </c>
      <c r="C943" s="3" t="s">
        <v>1742</v>
      </c>
      <c r="D943" s="3" t="s">
        <v>46</v>
      </c>
      <c r="E943" s="3" t="s">
        <v>1760</v>
      </c>
      <c r="F943" s="7" t="s">
        <v>60</v>
      </c>
      <c r="H943" s="15" t="s">
        <v>48</v>
      </c>
      <c r="I943" s="3" t="s">
        <v>49</v>
      </c>
      <c r="J943" s="3">
        <v>1.0</v>
      </c>
      <c r="K943" s="3" t="s">
        <v>1745</v>
      </c>
      <c r="L943" s="3" t="s">
        <v>1745</v>
      </c>
      <c r="M943" s="3" t="s">
        <v>1746</v>
      </c>
      <c r="N943" s="6" t="s">
        <v>1747</v>
      </c>
      <c r="O943" s="6" t="s">
        <v>1748</v>
      </c>
      <c r="P943" s="3">
        <v>2350.0</v>
      </c>
      <c r="Q943" s="45" t="s">
        <v>60</v>
      </c>
    </row>
    <row r="944">
      <c r="A944" s="3" t="s">
        <v>1740</v>
      </c>
      <c r="B944" s="3" t="s">
        <v>1741</v>
      </c>
      <c r="C944" s="3" t="s">
        <v>1742</v>
      </c>
      <c r="D944" s="3" t="s">
        <v>46</v>
      </c>
      <c r="E944" s="3" t="s">
        <v>1761</v>
      </c>
      <c r="F944" s="7" t="s">
        <v>60</v>
      </c>
      <c r="H944" s="15" t="s">
        <v>48</v>
      </c>
      <c r="I944" s="3" t="s">
        <v>49</v>
      </c>
      <c r="J944" s="3">
        <v>1.0</v>
      </c>
      <c r="K944" s="3" t="s">
        <v>1745</v>
      </c>
      <c r="L944" s="3" t="s">
        <v>1745</v>
      </c>
      <c r="M944" s="3" t="s">
        <v>1746</v>
      </c>
      <c r="N944" s="6" t="s">
        <v>1747</v>
      </c>
      <c r="O944" s="6" t="s">
        <v>1748</v>
      </c>
      <c r="P944" s="3">
        <v>2350.0</v>
      </c>
      <c r="Q944" s="45" t="s">
        <v>60</v>
      </c>
    </row>
    <row r="945">
      <c r="A945" s="3" t="s">
        <v>1740</v>
      </c>
      <c r="B945" s="3" t="s">
        <v>1741</v>
      </c>
      <c r="C945" s="3" t="s">
        <v>1742</v>
      </c>
      <c r="D945" s="3" t="s">
        <v>46</v>
      </c>
      <c r="E945" s="3" t="s">
        <v>1762</v>
      </c>
      <c r="F945" s="7" t="s">
        <v>60</v>
      </c>
      <c r="H945" s="15" t="s">
        <v>48</v>
      </c>
      <c r="I945" s="3" t="s">
        <v>49</v>
      </c>
      <c r="J945" s="3">
        <v>1.0</v>
      </c>
      <c r="K945" s="3" t="s">
        <v>1745</v>
      </c>
      <c r="L945" s="3" t="s">
        <v>1745</v>
      </c>
      <c r="M945" s="3" t="s">
        <v>1746</v>
      </c>
      <c r="N945" s="6" t="s">
        <v>1747</v>
      </c>
      <c r="O945" s="6" t="s">
        <v>1748</v>
      </c>
      <c r="P945" s="3">
        <v>2350.0</v>
      </c>
      <c r="Q945" s="45" t="s">
        <v>60</v>
      </c>
    </row>
    <row r="946">
      <c r="A946" s="3" t="s">
        <v>1740</v>
      </c>
      <c r="B946" s="3" t="s">
        <v>1741</v>
      </c>
      <c r="C946" s="3" t="s">
        <v>1742</v>
      </c>
      <c r="D946" s="3" t="s">
        <v>46</v>
      </c>
      <c r="E946" s="3" t="s">
        <v>1763</v>
      </c>
      <c r="F946" s="7" t="s">
        <v>60</v>
      </c>
      <c r="H946" s="15" t="s">
        <v>48</v>
      </c>
      <c r="I946" s="3" t="s">
        <v>49</v>
      </c>
      <c r="J946" s="3">
        <v>1.0</v>
      </c>
      <c r="K946" s="3" t="s">
        <v>1745</v>
      </c>
      <c r="L946" s="3" t="s">
        <v>1745</v>
      </c>
      <c r="M946" s="3" t="s">
        <v>1746</v>
      </c>
      <c r="N946" s="6" t="s">
        <v>1747</v>
      </c>
      <c r="O946" s="6" t="s">
        <v>1748</v>
      </c>
      <c r="P946" s="3">
        <v>2350.0</v>
      </c>
      <c r="Q946" s="45" t="s">
        <v>60</v>
      </c>
    </row>
    <row r="947">
      <c r="A947" s="3" t="s">
        <v>1740</v>
      </c>
      <c r="B947" s="3" t="s">
        <v>1741</v>
      </c>
      <c r="C947" s="3" t="s">
        <v>1742</v>
      </c>
      <c r="D947" s="3" t="s">
        <v>46</v>
      </c>
      <c r="E947" s="3" t="s">
        <v>1764</v>
      </c>
      <c r="F947" s="7" t="s">
        <v>60</v>
      </c>
      <c r="H947" s="15" t="s">
        <v>48</v>
      </c>
      <c r="I947" s="3" t="s">
        <v>49</v>
      </c>
      <c r="J947" s="3">
        <v>1.0</v>
      </c>
      <c r="K947" s="3" t="s">
        <v>1745</v>
      </c>
      <c r="L947" s="3" t="s">
        <v>1745</v>
      </c>
      <c r="M947" s="3" t="s">
        <v>1746</v>
      </c>
      <c r="N947" s="6" t="s">
        <v>1747</v>
      </c>
      <c r="O947" s="6" t="s">
        <v>1748</v>
      </c>
      <c r="P947" s="3">
        <v>2350.0</v>
      </c>
      <c r="Q947" s="45" t="s">
        <v>60</v>
      </c>
    </row>
    <row r="948">
      <c r="A948" s="3" t="s">
        <v>1740</v>
      </c>
      <c r="B948" s="3" t="s">
        <v>1741</v>
      </c>
      <c r="C948" s="3" t="s">
        <v>1742</v>
      </c>
      <c r="D948" s="3" t="s">
        <v>46</v>
      </c>
      <c r="E948" s="3" t="s">
        <v>1765</v>
      </c>
      <c r="F948" s="7" t="s">
        <v>60</v>
      </c>
      <c r="H948" s="15" t="s">
        <v>48</v>
      </c>
      <c r="I948" s="3" t="s">
        <v>49</v>
      </c>
      <c r="J948" s="3">
        <v>1.0</v>
      </c>
      <c r="K948" s="3" t="s">
        <v>1745</v>
      </c>
      <c r="L948" s="3" t="s">
        <v>1745</v>
      </c>
      <c r="M948" s="3" t="s">
        <v>1746</v>
      </c>
      <c r="N948" s="6" t="s">
        <v>1747</v>
      </c>
      <c r="O948" s="6" t="s">
        <v>1748</v>
      </c>
      <c r="P948" s="3">
        <v>2350.0</v>
      </c>
      <c r="Q948" s="45" t="s">
        <v>60</v>
      </c>
    </row>
    <row r="949">
      <c r="A949" s="3" t="s">
        <v>1740</v>
      </c>
      <c r="B949" s="3" t="s">
        <v>1741</v>
      </c>
      <c r="C949" s="3" t="s">
        <v>1742</v>
      </c>
      <c r="D949" s="3" t="s">
        <v>46</v>
      </c>
      <c r="E949" s="3" t="s">
        <v>1766</v>
      </c>
      <c r="F949" s="7" t="s">
        <v>60</v>
      </c>
      <c r="H949" s="15" t="s">
        <v>48</v>
      </c>
      <c r="I949" s="3" t="s">
        <v>49</v>
      </c>
      <c r="J949" s="3">
        <v>1.0</v>
      </c>
      <c r="K949" s="3" t="s">
        <v>1745</v>
      </c>
      <c r="L949" s="3" t="s">
        <v>1745</v>
      </c>
      <c r="M949" s="3" t="s">
        <v>1746</v>
      </c>
      <c r="N949" s="6" t="s">
        <v>1747</v>
      </c>
      <c r="O949" s="6" t="s">
        <v>1748</v>
      </c>
      <c r="P949" s="3">
        <v>2350.0</v>
      </c>
      <c r="Q949" s="45" t="s">
        <v>60</v>
      </c>
    </row>
    <row r="950">
      <c r="A950" s="3" t="s">
        <v>1740</v>
      </c>
      <c r="B950" s="3" t="s">
        <v>1741</v>
      </c>
      <c r="C950" s="3" t="s">
        <v>1742</v>
      </c>
      <c r="D950" s="3" t="s">
        <v>46</v>
      </c>
      <c r="E950" s="3" t="s">
        <v>1767</v>
      </c>
      <c r="F950" s="7" t="s">
        <v>60</v>
      </c>
      <c r="H950" s="15" t="s">
        <v>48</v>
      </c>
      <c r="I950" s="3" t="s">
        <v>49</v>
      </c>
      <c r="J950" s="3">
        <v>1.0</v>
      </c>
      <c r="K950" s="3" t="s">
        <v>1745</v>
      </c>
      <c r="L950" s="3" t="s">
        <v>1745</v>
      </c>
      <c r="M950" s="3" t="s">
        <v>1746</v>
      </c>
      <c r="N950" s="6" t="s">
        <v>1747</v>
      </c>
      <c r="O950" s="6" t="s">
        <v>1748</v>
      </c>
      <c r="P950" s="3">
        <v>2350.0</v>
      </c>
      <c r="Q950" s="45" t="s">
        <v>60</v>
      </c>
    </row>
    <row r="951">
      <c r="A951" s="3" t="s">
        <v>1740</v>
      </c>
      <c r="B951" s="3" t="s">
        <v>1741</v>
      </c>
      <c r="C951" s="3" t="s">
        <v>1742</v>
      </c>
      <c r="D951" s="3" t="s">
        <v>46</v>
      </c>
      <c r="E951" s="3" t="s">
        <v>1768</v>
      </c>
      <c r="F951" s="7" t="s">
        <v>60</v>
      </c>
      <c r="H951" s="15" t="s">
        <v>48</v>
      </c>
      <c r="I951" s="3" t="s">
        <v>49</v>
      </c>
      <c r="J951" s="3">
        <v>1.0</v>
      </c>
      <c r="K951" s="3" t="s">
        <v>1745</v>
      </c>
      <c r="L951" s="3" t="s">
        <v>1745</v>
      </c>
      <c r="M951" s="3" t="s">
        <v>1746</v>
      </c>
      <c r="N951" s="6" t="s">
        <v>1747</v>
      </c>
      <c r="O951" s="6" t="s">
        <v>1748</v>
      </c>
      <c r="P951" s="3">
        <v>2350.0</v>
      </c>
      <c r="Q951" s="45" t="s">
        <v>60</v>
      </c>
    </row>
    <row r="952">
      <c r="A952" s="3" t="s">
        <v>1740</v>
      </c>
      <c r="B952" s="3" t="s">
        <v>1741</v>
      </c>
      <c r="C952" s="3" t="s">
        <v>1742</v>
      </c>
      <c r="D952" s="3" t="s">
        <v>46</v>
      </c>
      <c r="E952" s="3" t="s">
        <v>1769</v>
      </c>
      <c r="F952" s="7" t="s">
        <v>60</v>
      </c>
      <c r="H952" s="15" t="s">
        <v>48</v>
      </c>
      <c r="I952" s="3" t="s">
        <v>49</v>
      </c>
      <c r="J952" s="3">
        <v>1.0</v>
      </c>
      <c r="K952" s="3" t="s">
        <v>1745</v>
      </c>
      <c r="L952" s="3" t="s">
        <v>1745</v>
      </c>
      <c r="M952" s="3" t="s">
        <v>1746</v>
      </c>
      <c r="N952" s="6" t="s">
        <v>1747</v>
      </c>
      <c r="O952" s="6" t="s">
        <v>1748</v>
      </c>
      <c r="P952" s="3">
        <v>2350.0</v>
      </c>
      <c r="Q952" s="45" t="s">
        <v>60</v>
      </c>
    </row>
    <row r="953">
      <c r="A953" s="3" t="s">
        <v>1740</v>
      </c>
      <c r="B953" s="3" t="s">
        <v>1741</v>
      </c>
      <c r="C953" s="3" t="s">
        <v>1742</v>
      </c>
      <c r="D953" s="3" t="s">
        <v>46</v>
      </c>
      <c r="E953" s="3" t="s">
        <v>1770</v>
      </c>
      <c r="F953" s="7" t="s">
        <v>60</v>
      </c>
      <c r="H953" s="15" t="s">
        <v>48</v>
      </c>
      <c r="I953" s="3" t="s">
        <v>49</v>
      </c>
      <c r="J953" s="3">
        <v>1.0</v>
      </c>
      <c r="K953" s="3" t="s">
        <v>1745</v>
      </c>
      <c r="L953" s="3" t="s">
        <v>1745</v>
      </c>
      <c r="M953" s="3" t="s">
        <v>1746</v>
      </c>
      <c r="N953" s="6" t="s">
        <v>1747</v>
      </c>
      <c r="O953" s="6" t="s">
        <v>1748</v>
      </c>
      <c r="P953" s="3">
        <v>2350.0</v>
      </c>
      <c r="Q953" s="45" t="s">
        <v>60</v>
      </c>
    </row>
    <row r="954">
      <c r="A954" s="3" t="s">
        <v>1740</v>
      </c>
      <c r="B954" s="3" t="s">
        <v>1741</v>
      </c>
      <c r="C954" s="3" t="s">
        <v>1742</v>
      </c>
      <c r="D954" s="3" t="s">
        <v>46</v>
      </c>
      <c r="E954" s="3" t="s">
        <v>1771</v>
      </c>
      <c r="F954" s="7" t="s">
        <v>60</v>
      </c>
      <c r="H954" s="15" t="s">
        <v>48</v>
      </c>
      <c r="I954" s="3" t="s">
        <v>49</v>
      </c>
      <c r="J954" s="3">
        <v>1.0</v>
      </c>
      <c r="K954" s="3" t="s">
        <v>1745</v>
      </c>
      <c r="L954" s="3" t="s">
        <v>1745</v>
      </c>
      <c r="M954" s="3" t="s">
        <v>1746</v>
      </c>
      <c r="N954" s="6" t="s">
        <v>1747</v>
      </c>
      <c r="O954" s="6" t="s">
        <v>1748</v>
      </c>
      <c r="P954" s="3">
        <v>2350.0</v>
      </c>
      <c r="Q954" s="45" t="s">
        <v>60</v>
      </c>
    </row>
    <row r="955">
      <c r="A955" s="3" t="s">
        <v>1740</v>
      </c>
      <c r="B955" s="3" t="s">
        <v>1741</v>
      </c>
      <c r="C955" s="3" t="s">
        <v>1742</v>
      </c>
      <c r="D955" s="3" t="s">
        <v>46</v>
      </c>
      <c r="E955" s="3" t="s">
        <v>1772</v>
      </c>
      <c r="F955" s="7" t="s">
        <v>60</v>
      </c>
      <c r="H955" s="15" t="s">
        <v>48</v>
      </c>
      <c r="I955" s="3" t="s">
        <v>49</v>
      </c>
      <c r="J955" s="3">
        <v>1.0</v>
      </c>
      <c r="K955" s="3" t="s">
        <v>1745</v>
      </c>
      <c r="L955" s="3" t="s">
        <v>1745</v>
      </c>
      <c r="M955" s="3" t="s">
        <v>1746</v>
      </c>
      <c r="N955" s="6" t="s">
        <v>1747</v>
      </c>
      <c r="O955" s="6" t="s">
        <v>1748</v>
      </c>
      <c r="P955" s="3">
        <v>2350.0</v>
      </c>
      <c r="Q955" s="45" t="s">
        <v>60</v>
      </c>
    </row>
    <row r="956">
      <c r="A956" s="3" t="s">
        <v>1740</v>
      </c>
      <c r="B956" s="3" t="s">
        <v>1741</v>
      </c>
      <c r="C956" s="3" t="s">
        <v>1742</v>
      </c>
      <c r="D956" s="3" t="s">
        <v>46</v>
      </c>
      <c r="E956" s="3" t="s">
        <v>1773</v>
      </c>
      <c r="F956" s="7" t="s">
        <v>60</v>
      </c>
      <c r="H956" s="15" t="s">
        <v>48</v>
      </c>
      <c r="I956" s="3" t="s">
        <v>49</v>
      </c>
      <c r="J956" s="3">
        <v>1.0</v>
      </c>
      <c r="K956" s="3" t="s">
        <v>1745</v>
      </c>
      <c r="L956" s="3" t="s">
        <v>1745</v>
      </c>
      <c r="M956" s="3" t="s">
        <v>1746</v>
      </c>
      <c r="N956" s="6" t="s">
        <v>1747</v>
      </c>
      <c r="O956" s="6" t="s">
        <v>1748</v>
      </c>
      <c r="P956" s="3">
        <v>2350.0</v>
      </c>
      <c r="Q956" s="45" t="s">
        <v>60</v>
      </c>
    </row>
    <row r="957">
      <c r="A957" s="22" t="s">
        <v>1774</v>
      </c>
      <c r="B957" s="19" t="s">
        <v>1775</v>
      </c>
      <c r="C957" s="19" t="s">
        <v>1776</v>
      </c>
      <c r="D957" s="19" t="s">
        <v>531</v>
      </c>
      <c r="E957" s="3" t="s">
        <v>1777</v>
      </c>
      <c r="F957" s="5">
        <v>46071.0</v>
      </c>
      <c r="G957" s="24" t="s">
        <v>214</v>
      </c>
      <c r="H957" s="48" t="s">
        <v>48</v>
      </c>
      <c r="I957" s="3" t="s">
        <v>49</v>
      </c>
      <c r="J957" s="3">
        <v>5.0</v>
      </c>
      <c r="K957" s="3" t="s">
        <v>1778</v>
      </c>
      <c r="L957" s="3" t="s">
        <v>1688</v>
      </c>
      <c r="M957" s="3" t="s">
        <v>1779</v>
      </c>
      <c r="N957" s="6" t="s">
        <v>1780</v>
      </c>
      <c r="O957" s="6" t="s">
        <v>1781</v>
      </c>
      <c r="P957" s="3">
        <v>4217.0</v>
      </c>
      <c r="Q957" s="3">
        <v>1.0</v>
      </c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</row>
    <row r="958">
      <c r="A958" s="22" t="s">
        <v>1774</v>
      </c>
      <c r="B958" s="19" t="s">
        <v>1775</v>
      </c>
      <c r="C958" s="19" t="s">
        <v>1776</v>
      </c>
      <c r="D958" s="17" t="s">
        <v>531</v>
      </c>
      <c r="E958" s="17" t="s">
        <v>1782</v>
      </c>
      <c r="F958" s="7" t="s">
        <v>60</v>
      </c>
      <c r="H958" s="48" t="s">
        <v>48</v>
      </c>
      <c r="I958" s="3" t="s">
        <v>49</v>
      </c>
      <c r="J958" s="3">
        <v>2.0</v>
      </c>
      <c r="K958" s="3" t="s">
        <v>738</v>
      </c>
      <c r="L958" s="3" t="s">
        <v>1688</v>
      </c>
      <c r="M958" s="3" t="s">
        <v>1779</v>
      </c>
      <c r="N958" s="6" t="s">
        <v>1780</v>
      </c>
      <c r="O958" s="6" t="s">
        <v>1781</v>
      </c>
      <c r="P958" s="3">
        <v>4217.0</v>
      </c>
      <c r="Q958" s="45" t="s">
        <v>60</v>
      </c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</row>
    <row r="959">
      <c r="A959" s="22" t="s">
        <v>1774</v>
      </c>
      <c r="B959" s="19" t="s">
        <v>1775</v>
      </c>
      <c r="C959" s="19" t="s">
        <v>1776</v>
      </c>
      <c r="D959" s="17" t="s">
        <v>531</v>
      </c>
      <c r="E959" s="17" t="s">
        <v>1783</v>
      </c>
      <c r="F959" s="7" t="s">
        <v>60</v>
      </c>
      <c r="H959" s="48" t="s">
        <v>48</v>
      </c>
      <c r="I959" s="3" t="s">
        <v>49</v>
      </c>
      <c r="J959" s="3">
        <v>2.0</v>
      </c>
      <c r="K959" s="3" t="s">
        <v>738</v>
      </c>
      <c r="L959" s="3" t="s">
        <v>1688</v>
      </c>
      <c r="M959" s="3" t="s">
        <v>1779</v>
      </c>
      <c r="N959" s="6" t="s">
        <v>1780</v>
      </c>
      <c r="O959" s="6" t="s">
        <v>1781</v>
      </c>
      <c r="P959" s="3">
        <v>4218.0</v>
      </c>
      <c r="Q959" s="3">
        <v>1.0</v>
      </c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</row>
    <row r="960">
      <c r="A960" s="22" t="s">
        <v>1774</v>
      </c>
      <c r="B960" s="19" t="s">
        <v>1775</v>
      </c>
      <c r="C960" s="19" t="s">
        <v>1776</v>
      </c>
      <c r="D960" s="17" t="s">
        <v>531</v>
      </c>
      <c r="E960" s="19" t="s">
        <v>1784</v>
      </c>
      <c r="F960" s="7" t="s">
        <v>60</v>
      </c>
      <c r="H960" s="48" t="s">
        <v>48</v>
      </c>
      <c r="I960" s="3" t="s">
        <v>49</v>
      </c>
      <c r="J960" s="3">
        <v>2.0</v>
      </c>
      <c r="K960" s="3" t="s">
        <v>738</v>
      </c>
      <c r="L960" s="3" t="s">
        <v>1688</v>
      </c>
      <c r="M960" s="3" t="s">
        <v>1779</v>
      </c>
      <c r="N960" s="6" t="s">
        <v>1780</v>
      </c>
      <c r="O960" s="6" t="s">
        <v>1781</v>
      </c>
      <c r="P960" s="3">
        <v>4215.0</v>
      </c>
      <c r="Q960" s="45" t="s">
        <v>60</v>
      </c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</row>
    <row r="961">
      <c r="A961" s="19" t="s">
        <v>1785</v>
      </c>
      <c r="B961" s="19" t="s">
        <v>1786</v>
      </c>
      <c r="C961" s="19" t="s">
        <v>1787</v>
      </c>
      <c r="D961" s="19" t="s">
        <v>1788</v>
      </c>
      <c r="E961" s="3" t="s">
        <v>1789</v>
      </c>
      <c r="F961" s="5">
        <v>46078.0</v>
      </c>
      <c r="G961" s="24" t="s">
        <v>214</v>
      </c>
      <c r="H961" s="48" t="s">
        <v>48</v>
      </c>
      <c r="I961" s="3" t="s">
        <v>49</v>
      </c>
      <c r="J961" s="3">
        <v>4.0</v>
      </c>
      <c r="K961" s="3" t="s">
        <v>158</v>
      </c>
      <c r="L961" s="3" t="s">
        <v>1790</v>
      </c>
      <c r="M961" s="3" t="s">
        <v>1791</v>
      </c>
      <c r="N961" s="6" t="s">
        <v>1792</v>
      </c>
      <c r="O961" s="6" t="s">
        <v>1793</v>
      </c>
      <c r="P961" s="3">
        <v>7250.0</v>
      </c>
      <c r="Q961" s="3">
        <v>2.0</v>
      </c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</row>
    <row r="962">
      <c r="A962" s="19" t="s">
        <v>1785</v>
      </c>
      <c r="B962" s="19" t="s">
        <v>1786</v>
      </c>
      <c r="C962" s="19" t="s">
        <v>1787</v>
      </c>
      <c r="D962" s="19" t="s">
        <v>1788</v>
      </c>
      <c r="E962" s="3" t="s">
        <v>1794</v>
      </c>
      <c r="F962" s="7" t="s">
        <v>60</v>
      </c>
      <c r="H962" s="19" t="s">
        <v>48</v>
      </c>
      <c r="I962" s="3" t="s">
        <v>49</v>
      </c>
      <c r="J962" s="3">
        <v>4.0</v>
      </c>
      <c r="K962" s="3" t="s">
        <v>158</v>
      </c>
      <c r="L962" s="3" t="s">
        <v>1790</v>
      </c>
      <c r="M962" s="3" t="s">
        <v>1791</v>
      </c>
      <c r="N962" s="6" t="s">
        <v>1792</v>
      </c>
      <c r="O962" s="6" t="s">
        <v>1793</v>
      </c>
      <c r="P962" s="3">
        <v>7250.0</v>
      </c>
      <c r="Q962" s="45" t="s">
        <v>60</v>
      </c>
    </row>
    <row r="963">
      <c r="A963" s="19" t="s">
        <v>1785</v>
      </c>
      <c r="B963" s="19" t="s">
        <v>1786</v>
      </c>
      <c r="C963" s="19" t="s">
        <v>1787</v>
      </c>
      <c r="D963" s="19" t="s">
        <v>1788</v>
      </c>
      <c r="E963" s="3" t="s">
        <v>563</v>
      </c>
      <c r="F963" s="7" t="s">
        <v>60</v>
      </c>
      <c r="H963" s="19" t="s">
        <v>48</v>
      </c>
      <c r="I963" s="3" t="s">
        <v>49</v>
      </c>
      <c r="J963" s="3">
        <v>4.0</v>
      </c>
      <c r="K963" s="3" t="s">
        <v>158</v>
      </c>
      <c r="L963" s="3" t="s">
        <v>1790</v>
      </c>
      <c r="M963" s="3" t="s">
        <v>1791</v>
      </c>
      <c r="N963" s="6" t="s">
        <v>1792</v>
      </c>
      <c r="O963" s="6" t="s">
        <v>1793</v>
      </c>
      <c r="P963" s="3">
        <v>7250.0</v>
      </c>
      <c r="Q963" s="45" t="s">
        <v>60</v>
      </c>
    </row>
    <row r="964">
      <c r="A964" s="19" t="s">
        <v>1785</v>
      </c>
      <c r="B964" s="19" t="s">
        <v>1786</v>
      </c>
      <c r="C964" s="19" t="s">
        <v>1787</v>
      </c>
      <c r="D964" s="19" t="s">
        <v>1788</v>
      </c>
      <c r="E964" s="3" t="s">
        <v>1795</v>
      </c>
      <c r="F964" s="7" t="s">
        <v>60</v>
      </c>
      <c r="H964" s="19" t="s">
        <v>48</v>
      </c>
      <c r="I964" s="3" t="s">
        <v>49</v>
      </c>
      <c r="J964" s="3">
        <v>4.0</v>
      </c>
      <c r="K964" s="3" t="s">
        <v>158</v>
      </c>
      <c r="L964" s="3" t="s">
        <v>1790</v>
      </c>
      <c r="M964" s="3" t="s">
        <v>1791</v>
      </c>
      <c r="N964" s="6" t="s">
        <v>1792</v>
      </c>
      <c r="O964" s="6" t="s">
        <v>1793</v>
      </c>
      <c r="P964" s="3">
        <v>7250.0</v>
      </c>
      <c r="Q964" s="45" t="s">
        <v>60</v>
      </c>
    </row>
    <row r="965">
      <c r="A965" s="19" t="s">
        <v>1785</v>
      </c>
      <c r="B965" s="19" t="s">
        <v>1786</v>
      </c>
      <c r="C965" s="19" t="s">
        <v>1787</v>
      </c>
      <c r="D965" s="19" t="s">
        <v>1788</v>
      </c>
      <c r="E965" s="3" t="s">
        <v>1796</v>
      </c>
      <c r="F965" s="7" t="s">
        <v>60</v>
      </c>
      <c r="H965" s="19" t="s">
        <v>48</v>
      </c>
      <c r="I965" s="3" t="s">
        <v>49</v>
      </c>
      <c r="J965" s="3">
        <v>4.0</v>
      </c>
      <c r="K965" s="3" t="s">
        <v>158</v>
      </c>
      <c r="L965" s="3" t="s">
        <v>1790</v>
      </c>
      <c r="M965" s="3" t="s">
        <v>1791</v>
      </c>
      <c r="N965" s="6" t="s">
        <v>1792</v>
      </c>
      <c r="O965" s="6" t="s">
        <v>1793</v>
      </c>
      <c r="P965" s="3">
        <v>7250.0</v>
      </c>
      <c r="Q965" s="45" t="s">
        <v>60</v>
      </c>
    </row>
    <row r="966">
      <c r="A966" s="19" t="s">
        <v>1785</v>
      </c>
      <c r="B966" s="19" t="s">
        <v>1786</v>
      </c>
      <c r="C966" s="19" t="s">
        <v>1787</v>
      </c>
      <c r="D966" s="19" t="s">
        <v>1788</v>
      </c>
      <c r="E966" s="3" t="s">
        <v>1797</v>
      </c>
      <c r="F966" s="7" t="s">
        <v>60</v>
      </c>
      <c r="H966" s="19" t="s">
        <v>48</v>
      </c>
      <c r="I966" s="3" t="s">
        <v>49</v>
      </c>
      <c r="J966" s="3">
        <v>4.0</v>
      </c>
      <c r="K966" s="3" t="s">
        <v>158</v>
      </c>
      <c r="L966" s="3" t="s">
        <v>1790</v>
      </c>
      <c r="M966" s="3" t="s">
        <v>1791</v>
      </c>
      <c r="N966" s="6" t="s">
        <v>1792</v>
      </c>
      <c r="O966" s="6" t="s">
        <v>1793</v>
      </c>
      <c r="P966" s="3">
        <v>7250.0</v>
      </c>
      <c r="Q966" s="45" t="s">
        <v>60</v>
      </c>
    </row>
    <row r="967">
      <c r="A967" s="19" t="s">
        <v>1785</v>
      </c>
      <c r="B967" s="19" t="s">
        <v>1786</v>
      </c>
      <c r="C967" s="19" t="s">
        <v>1787</v>
      </c>
      <c r="D967" s="19" t="s">
        <v>1788</v>
      </c>
      <c r="E967" s="3" t="s">
        <v>1347</v>
      </c>
      <c r="F967" s="7" t="s">
        <v>60</v>
      </c>
      <c r="H967" s="19" t="s">
        <v>48</v>
      </c>
      <c r="I967" s="3" t="s">
        <v>49</v>
      </c>
      <c r="J967" s="3">
        <v>4.0</v>
      </c>
      <c r="K967" s="3" t="s">
        <v>158</v>
      </c>
      <c r="L967" s="3" t="s">
        <v>1790</v>
      </c>
      <c r="M967" s="3" t="s">
        <v>1791</v>
      </c>
      <c r="N967" s="6" t="s">
        <v>1792</v>
      </c>
      <c r="O967" s="6" t="s">
        <v>1793</v>
      </c>
      <c r="P967" s="3">
        <v>7250.0</v>
      </c>
      <c r="Q967" s="45" t="s">
        <v>60</v>
      </c>
    </row>
    <row r="968">
      <c r="A968" s="19" t="s">
        <v>1785</v>
      </c>
      <c r="B968" s="19" t="s">
        <v>1786</v>
      </c>
      <c r="C968" s="19" t="s">
        <v>1787</v>
      </c>
      <c r="D968" s="19" t="s">
        <v>1788</v>
      </c>
      <c r="E968" s="3" t="s">
        <v>1798</v>
      </c>
      <c r="F968" s="7" t="s">
        <v>60</v>
      </c>
      <c r="H968" s="19" t="s">
        <v>48</v>
      </c>
      <c r="I968" s="3" t="s">
        <v>49</v>
      </c>
      <c r="J968" s="3">
        <v>4.0</v>
      </c>
      <c r="K968" s="3" t="s">
        <v>158</v>
      </c>
      <c r="L968" s="3" t="s">
        <v>1790</v>
      </c>
      <c r="M968" s="3" t="s">
        <v>1791</v>
      </c>
      <c r="N968" s="6" t="s">
        <v>1792</v>
      </c>
      <c r="O968" s="6" t="s">
        <v>1793</v>
      </c>
      <c r="P968" s="3">
        <v>7250.0</v>
      </c>
      <c r="Q968" s="45" t="s">
        <v>60</v>
      </c>
    </row>
    <row r="969">
      <c r="A969" s="19" t="s">
        <v>1785</v>
      </c>
      <c r="B969" s="19" t="s">
        <v>1786</v>
      </c>
      <c r="C969" s="19" t="s">
        <v>1787</v>
      </c>
      <c r="D969" s="19" t="s">
        <v>1788</v>
      </c>
      <c r="E969" s="3" t="s">
        <v>1799</v>
      </c>
      <c r="F969" s="7" t="s">
        <v>60</v>
      </c>
      <c r="H969" s="19" t="s">
        <v>48</v>
      </c>
      <c r="I969" s="3" t="s">
        <v>49</v>
      </c>
      <c r="J969" s="3">
        <v>4.0</v>
      </c>
      <c r="K969" s="3" t="s">
        <v>158</v>
      </c>
      <c r="L969" s="3" t="s">
        <v>1790</v>
      </c>
      <c r="M969" s="3" t="s">
        <v>1791</v>
      </c>
      <c r="N969" s="6" t="s">
        <v>1792</v>
      </c>
      <c r="O969" s="6" t="s">
        <v>1793</v>
      </c>
      <c r="P969" s="3">
        <v>7250.0</v>
      </c>
      <c r="Q969" s="45" t="s">
        <v>60</v>
      </c>
    </row>
    <row r="970">
      <c r="A970" s="19" t="s">
        <v>1785</v>
      </c>
      <c r="B970" s="19" t="s">
        <v>1786</v>
      </c>
      <c r="C970" s="19" t="s">
        <v>1787</v>
      </c>
      <c r="D970" s="19" t="s">
        <v>1788</v>
      </c>
      <c r="E970" s="3" t="s">
        <v>1800</v>
      </c>
      <c r="F970" s="7" t="s">
        <v>60</v>
      </c>
      <c r="H970" s="19" t="s">
        <v>48</v>
      </c>
      <c r="I970" s="3" t="s">
        <v>49</v>
      </c>
      <c r="J970" s="3">
        <v>4.0</v>
      </c>
      <c r="K970" s="3" t="s">
        <v>158</v>
      </c>
      <c r="L970" s="3" t="s">
        <v>1790</v>
      </c>
      <c r="M970" s="3" t="s">
        <v>1791</v>
      </c>
      <c r="N970" s="6" t="s">
        <v>1792</v>
      </c>
      <c r="O970" s="6" t="s">
        <v>1793</v>
      </c>
      <c r="P970" s="3">
        <v>7250.0</v>
      </c>
      <c r="Q970" s="45" t="s">
        <v>60</v>
      </c>
    </row>
    <row r="971">
      <c r="A971" s="19" t="s">
        <v>1785</v>
      </c>
      <c r="B971" s="19" t="s">
        <v>1786</v>
      </c>
      <c r="C971" s="19" t="s">
        <v>1787</v>
      </c>
      <c r="D971" s="19" t="s">
        <v>1788</v>
      </c>
      <c r="E971" s="3" t="s">
        <v>1801</v>
      </c>
      <c r="F971" s="7" t="s">
        <v>60</v>
      </c>
      <c r="H971" s="19" t="s">
        <v>48</v>
      </c>
      <c r="I971" s="3" t="s">
        <v>49</v>
      </c>
      <c r="J971" s="3">
        <v>4.0</v>
      </c>
      <c r="K971" s="3" t="s">
        <v>158</v>
      </c>
      <c r="L971" s="3" t="s">
        <v>1790</v>
      </c>
      <c r="M971" s="3" t="s">
        <v>1791</v>
      </c>
      <c r="N971" s="6" t="s">
        <v>1792</v>
      </c>
      <c r="O971" s="6" t="s">
        <v>1793</v>
      </c>
      <c r="P971" s="3">
        <v>7250.0</v>
      </c>
      <c r="Q971" s="45" t="s">
        <v>60</v>
      </c>
    </row>
    <row r="972">
      <c r="A972" s="19" t="s">
        <v>1785</v>
      </c>
      <c r="B972" s="19" t="s">
        <v>1786</v>
      </c>
      <c r="C972" s="19" t="s">
        <v>1787</v>
      </c>
      <c r="D972" s="19" t="s">
        <v>1788</v>
      </c>
      <c r="E972" s="3" t="s">
        <v>1802</v>
      </c>
      <c r="F972" s="7" t="s">
        <v>60</v>
      </c>
      <c r="H972" s="19" t="s">
        <v>48</v>
      </c>
      <c r="I972" s="3" t="s">
        <v>49</v>
      </c>
      <c r="J972" s="3">
        <v>4.0</v>
      </c>
      <c r="K972" s="3" t="s">
        <v>158</v>
      </c>
      <c r="L972" s="3" t="s">
        <v>1790</v>
      </c>
      <c r="M972" s="3" t="s">
        <v>1791</v>
      </c>
      <c r="N972" s="6" t="s">
        <v>1792</v>
      </c>
      <c r="O972" s="6" t="s">
        <v>1793</v>
      </c>
      <c r="P972" s="3">
        <v>7250.0</v>
      </c>
      <c r="Q972" s="45" t="s">
        <v>60</v>
      </c>
    </row>
    <row r="973">
      <c r="A973" s="19" t="s">
        <v>1785</v>
      </c>
      <c r="B973" s="19" t="s">
        <v>1786</v>
      </c>
      <c r="C973" s="19" t="s">
        <v>1787</v>
      </c>
      <c r="D973" s="19" t="s">
        <v>1788</v>
      </c>
      <c r="E973" s="3" t="s">
        <v>1803</v>
      </c>
      <c r="F973" s="7" t="s">
        <v>60</v>
      </c>
      <c r="H973" s="19" t="s">
        <v>48</v>
      </c>
      <c r="I973" s="3" t="s">
        <v>49</v>
      </c>
      <c r="J973" s="3">
        <v>4.0</v>
      </c>
      <c r="K973" s="3" t="s">
        <v>158</v>
      </c>
      <c r="L973" s="3" t="s">
        <v>1790</v>
      </c>
      <c r="M973" s="3" t="s">
        <v>1791</v>
      </c>
      <c r="N973" s="6" t="s">
        <v>1792</v>
      </c>
      <c r="O973" s="6" t="s">
        <v>1793</v>
      </c>
      <c r="P973" s="3">
        <v>7250.0</v>
      </c>
      <c r="Q973" s="45" t="s">
        <v>60</v>
      </c>
    </row>
    <row r="974">
      <c r="A974" s="19" t="s">
        <v>1785</v>
      </c>
      <c r="B974" s="19" t="s">
        <v>1786</v>
      </c>
      <c r="C974" s="19" t="s">
        <v>1787</v>
      </c>
      <c r="D974" s="19" t="s">
        <v>1788</v>
      </c>
      <c r="E974" s="3" t="s">
        <v>1804</v>
      </c>
      <c r="F974" s="7" t="s">
        <v>60</v>
      </c>
      <c r="H974" s="19" t="s">
        <v>48</v>
      </c>
      <c r="I974" s="3" t="s">
        <v>49</v>
      </c>
      <c r="J974" s="3">
        <v>4.0</v>
      </c>
      <c r="K974" s="3" t="s">
        <v>158</v>
      </c>
      <c r="L974" s="3" t="s">
        <v>1790</v>
      </c>
      <c r="M974" s="3" t="s">
        <v>1791</v>
      </c>
      <c r="N974" s="6" t="s">
        <v>1792</v>
      </c>
      <c r="O974" s="6" t="s">
        <v>1793</v>
      </c>
      <c r="P974" s="3">
        <v>7250.0</v>
      </c>
      <c r="Q974" s="45" t="s">
        <v>60</v>
      </c>
    </row>
    <row r="975">
      <c r="A975" s="19" t="s">
        <v>1785</v>
      </c>
      <c r="B975" s="19" t="s">
        <v>1786</v>
      </c>
      <c r="C975" s="19" t="s">
        <v>1787</v>
      </c>
      <c r="D975" s="19" t="s">
        <v>1788</v>
      </c>
      <c r="E975" s="19" t="s">
        <v>1805</v>
      </c>
      <c r="F975" s="7" t="s">
        <v>60</v>
      </c>
      <c r="H975" s="19" t="s">
        <v>48</v>
      </c>
      <c r="I975" s="3" t="s">
        <v>49</v>
      </c>
      <c r="J975" s="3">
        <v>4.0</v>
      </c>
      <c r="K975" s="3" t="s">
        <v>158</v>
      </c>
      <c r="L975" s="3" t="s">
        <v>1790</v>
      </c>
      <c r="M975" s="3" t="s">
        <v>1791</v>
      </c>
      <c r="N975" s="6" t="s">
        <v>1792</v>
      </c>
      <c r="O975" s="6" t="s">
        <v>1793</v>
      </c>
      <c r="P975" s="3">
        <v>7250.0</v>
      </c>
      <c r="Q975" s="45" t="s">
        <v>60</v>
      </c>
    </row>
    <row r="976">
      <c r="A976" s="19" t="s">
        <v>1785</v>
      </c>
      <c r="B976" s="19" t="s">
        <v>1786</v>
      </c>
      <c r="C976" s="19" t="s">
        <v>1787</v>
      </c>
      <c r="D976" s="19" t="s">
        <v>1788</v>
      </c>
      <c r="E976" s="3" t="s">
        <v>1806</v>
      </c>
      <c r="F976" s="7" t="s">
        <v>60</v>
      </c>
      <c r="H976" s="19" t="s">
        <v>48</v>
      </c>
      <c r="I976" s="3" t="s">
        <v>49</v>
      </c>
      <c r="J976" s="3">
        <v>4.0</v>
      </c>
      <c r="K976" s="3" t="s">
        <v>158</v>
      </c>
      <c r="L976" s="3" t="s">
        <v>1790</v>
      </c>
      <c r="M976" s="3" t="s">
        <v>1791</v>
      </c>
      <c r="N976" s="6" t="s">
        <v>1792</v>
      </c>
      <c r="O976" s="6" t="s">
        <v>1793</v>
      </c>
      <c r="P976" s="3">
        <v>7249.0</v>
      </c>
      <c r="Q976" s="3">
        <v>2.0</v>
      </c>
    </row>
    <row r="977">
      <c r="A977" s="19" t="s">
        <v>1785</v>
      </c>
      <c r="B977" s="19" t="s">
        <v>1786</v>
      </c>
      <c r="C977" s="19" t="s">
        <v>1787</v>
      </c>
      <c r="D977" s="19" t="s">
        <v>1788</v>
      </c>
      <c r="E977" s="3" t="s">
        <v>1807</v>
      </c>
      <c r="F977" s="7" t="s">
        <v>60</v>
      </c>
      <c r="H977" s="19" t="s">
        <v>48</v>
      </c>
      <c r="I977" s="3" t="s">
        <v>49</v>
      </c>
      <c r="J977" s="3">
        <v>4.0</v>
      </c>
      <c r="K977" s="3" t="s">
        <v>158</v>
      </c>
      <c r="L977" s="3" t="s">
        <v>1790</v>
      </c>
      <c r="M977" s="3" t="s">
        <v>1791</v>
      </c>
      <c r="N977" s="6" t="s">
        <v>1792</v>
      </c>
      <c r="O977" s="6" t="s">
        <v>1793</v>
      </c>
      <c r="P977" s="3">
        <v>7249.0</v>
      </c>
      <c r="Q977" s="45" t="s">
        <v>60</v>
      </c>
    </row>
    <row r="978">
      <c r="A978" s="19" t="s">
        <v>1785</v>
      </c>
      <c r="B978" s="19" t="s">
        <v>1786</v>
      </c>
      <c r="C978" s="19" t="s">
        <v>1787</v>
      </c>
      <c r="D978" s="19" t="s">
        <v>1788</v>
      </c>
      <c r="E978" s="3" t="s">
        <v>1808</v>
      </c>
      <c r="F978" s="7" t="s">
        <v>60</v>
      </c>
      <c r="H978" s="19" t="s">
        <v>48</v>
      </c>
      <c r="I978" s="3" t="s">
        <v>49</v>
      </c>
      <c r="J978" s="3">
        <v>4.0</v>
      </c>
      <c r="K978" s="3" t="s">
        <v>158</v>
      </c>
      <c r="L978" s="3" t="s">
        <v>1790</v>
      </c>
      <c r="M978" s="3" t="s">
        <v>1791</v>
      </c>
      <c r="N978" s="6" t="s">
        <v>1792</v>
      </c>
      <c r="O978" s="6" t="s">
        <v>1793</v>
      </c>
      <c r="P978" s="3">
        <v>7249.0</v>
      </c>
      <c r="Q978" s="45" t="s">
        <v>60</v>
      </c>
    </row>
    <row r="979">
      <c r="A979" s="19" t="s">
        <v>1785</v>
      </c>
      <c r="B979" s="19" t="s">
        <v>1786</v>
      </c>
      <c r="C979" s="19" t="s">
        <v>1787</v>
      </c>
      <c r="D979" s="19" t="s">
        <v>1788</v>
      </c>
      <c r="E979" s="3" t="s">
        <v>1809</v>
      </c>
      <c r="F979" s="7" t="s">
        <v>60</v>
      </c>
      <c r="H979" s="19" t="s">
        <v>48</v>
      </c>
      <c r="I979" s="3" t="s">
        <v>49</v>
      </c>
      <c r="J979" s="3">
        <v>4.0</v>
      </c>
      <c r="K979" s="3" t="s">
        <v>158</v>
      </c>
      <c r="L979" s="3" t="s">
        <v>1790</v>
      </c>
      <c r="M979" s="3" t="s">
        <v>1791</v>
      </c>
      <c r="N979" s="6" t="s">
        <v>1792</v>
      </c>
      <c r="O979" s="6" t="s">
        <v>1793</v>
      </c>
      <c r="P979" s="3">
        <v>7249.0</v>
      </c>
      <c r="Q979" s="45" t="s">
        <v>60</v>
      </c>
    </row>
    <row r="980">
      <c r="A980" s="19" t="s">
        <v>1785</v>
      </c>
      <c r="B980" s="19" t="s">
        <v>1786</v>
      </c>
      <c r="C980" s="19" t="s">
        <v>1787</v>
      </c>
      <c r="D980" s="19" t="s">
        <v>1788</v>
      </c>
      <c r="E980" s="3" t="s">
        <v>1810</v>
      </c>
      <c r="F980" s="7" t="s">
        <v>60</v>
      </c>
      <c r="H980" s="19" t="s">
        <v>48</v>
      </c>
      <c r="I980" s="3" t="s">
        <v>49</v>
      </c>
      <c r="J980" s="3">
        <v>4.0</v>
      </c>
      <c r="K980" s="3" t="s">
        <v>158</v>
      </c>
      <c r="L980" s="3" t="s">
        <v>1790</v>
      </c>
      <c r="M980" s="3" t="s">
        <v>1791</v>
      </c>
      <c r="N980" s="6" t="s">
        <v>1792</v>
      </c>
      <c r="O980" s="6" t="s">
        <v>1793</v>
      </c>
      <c r="P980" s="3">
        <v>7249.0</v>
      </c>
      <c r="Q980" s="45" t="s">
        <v>60</v>
      </c>
    </row>
    <row r="981">
      <c r="A981" s="19" t="s">
        <v>1785</v>
      </c>
      <c r="B981" s="19" t="s">
        <v>1786</v>
      </c>
      <c r="C981" s="19" t="s">
        <v>1787</v>
      </c>
      <c r="D981" s="19" t="s">
        <v>1788</v>
      </c>
      <c r="E981" s="3" t="s">
        <v>1811</v>
      </c>
      <c r="F981" s="7" t="s">
        <v>60</v>
      </c>
      <c r="H981" s="19" t="s">
        <v>48</v>
      </c>
      <c r="I981" s="3" t="s">
        <v>49</v>
      </c>
      <c r="J981" s="3">
        <v>4.0</v>
      </c>
      <c r="K981" s="3" t="s">
        <v>158</v>
      </c>
      <c r="L981" s="3" t="s">
        <v>1790</v>
      </c>
      <c r="M981" s="3" t="s">
        <v>1791</v>
      </c>
      <c r="N981" s="6" t="s">
        <v>1792</v>
      </c>
      <c r="O981" s="6" t="s">
        <v>1793</v>
      </c>
      <c r="P981" s="3">
        <v>7249.0</v>
      </c>
      <c r="Q981" s="45" t="s">
        <v>60</v>
      </c>
    </row>
    <row r="982">
      <c r="A982" s="19" t="s">
        <v>1785</v>
      </c>
      <c r="B982" s="19" t="s">
        <v>1786</v>
      </c>
      <c r="C982" s="19" t="s">
        <v>1787</v>
      </c>
      <c r="D982" s="19" t="s">
        <v>1788</v>
      </c>
      <c r="E982" s="3" t="s">
        <v>1812</v>
      </c>
      <c r="F982" s="7" t="s">
        <v>60</v>
      </c>
      <c r="H982" s="19" t="s">
        <v>48</v>
      </c>
      <c r="I982" s="3" t="s">
        <v>49</v>
      </c>
      <c r="J982" s="3">
        <v>4.0</v>
      </c>
      <c r="K982" s="3" t="s">
        <v>158</v>
      </c>
      <c r="L982" s="3" t="s">
        <v>1790</v>
      </c>
      <c r="M982" s="3" t="s">
        <v>1791</v>
      </c>
      <c r="N982" s="6" t="s">
        <v>1792</v>
      </c>
      <c r="O982" s="6" t="s">
        <v>1793</v>
      </c>
      <c r="P982" s="3">
        <v>7248.0</v>
      </c>
      <c r="Q982" s="3">
        <v>2.0</v>
      </c>
    </row>
    <row r="983">
      <c r="A983" s="19" t="s">
        <v>1785</v>
      </c>
      <c r="B983" s="19" t="s">
        <v>1786</v>
      </c>
      <c r="C983" s="19" t="s">
        <v>1787</v>
      </c>
      <c r="D983" s="19" t="s">
        <v>1788</v>
      </c>
      <c r="E983" s="3" t="s">
        <v>1813</v>
      </c>
      <c r="F983" s="7" t="s">
        <v>60</v>
      </c>
      <c r="H983" s="19" t="s">
        <v>48</v>
      </c>
      <c r="I983" s="3" t="s">
        <v>49</v>
      </c>
      <c r="J983" s="3">
        <v>4.0</v>
      </c>
      <c r="K983" s="3" t="s">
        <v>158</v>
      </c>
      <c r="L983" s="3" t="s">
        <v>1790</v>
      </c>
      <c r="M983" s="3" t="s">
        <v>1791</v>
      </c>
      <c r="N983" s="6" t="s">
        <v>1792</v>
      </c>
      <c r="O983" s="6" t="s">
        <v>1793</v>
      </c>
      <c r="P983" s="3">
        <v>7248.0</v>
      </c>
      <c r="Q983" s="45" t="s">
        <v>60</v>
      </c>
    </row>
    <row r="984">
      <c r="A984" s="19" t="s">
        <v>1785</v>
      </c>
      <c r="B984" s="19" t="s">
        <v>1786</v>
      </c>
      <c r="C984" s="19" t="s">
        <v>1787</v>
      </c>
      <c r="D984" s="19" t="s">
        <v>1788</v>
      </c>
      <c r="E984" s="3" t="s">
        <v>1814</v>
      </c>
      <c r="F984" s="7" t="s">
        <v>60</v>
      </c>
      <c r="H984" s="19" t="s">
        <v>48</v>
      </c>
      <c r="I984" s="3" t="s">
        <v>49</v>
      </c>
      <c r="J984" s="3">
        <v>4.0</v>
      </c>
      <c r="K984" s="3" t="s">
        <v>158</v>
      </c>
      <c r="L984" s="3" t="s">
        <v>1790</v>
      </c>
      <c r="M984" s="3" t="s">
        <v>1791</v>
      </c>
      <c r="N984" s="6" t="s">
        <v>1792</v>
      </c>
      <c r="O984" s="6" t="s">
        <v>1793</v>
      </c>
      <c r="P984" s="3">
        <v>7248.0</v>
      </c>
      <c r="Q984" s="45" t="s">
        <v>60</v>
      </c>
    </row>
    <row r="985">
      <c r="A985" s="19" t="s">
        <v>1785</v>
      </c>
      <c r="B985" s="19" t="s">
        <v>1786</v>
      </c>
      <c r="C985" s="19" t="s">
        <v>1787</v>
      </c>
      <c r="D985" s="19" t="s">
        <v>1788</v>
      </c>
      <c r="E985" s="3" t="s">
        <v>336</v>
      </c>
      <c r="F985" s="7" t="s">
        <v>60</v>
      </c>
      <c r="H985" s="19" t="s">
        <v>48</v>
      </c>
      <c r="I985" s="3" t="s">
        <v>49</v>
      </c>
      <c r="J985" s="3">
        <v>4.0</v>
      </c>
      <c r="K985" s="3" t="s">
        <v>158</v>
      </c>
      <c r="L985" s="3" t="s">
        <v>1790</v>
      </c>
      <c r="M985" s="3" t="s">
        <v>1791</v>
      </c>
      <c r="N985" s="6" t="s">
        <v>1792</v>
      </c>
      <c r="O985" s="6" t="s">
        <v>1793</v>
      </c>
      <c r="P985" s="3">
        <v>7248.0</v>
      </c>
      <c r="Q985" s="45" t="s">
        <v>60</v>
      </c>
    </row>
    <row r="986">
      <c r="A986" s="19" t="s">
        <v>1785</v>
      </c>
      <c r="B986" s="19" t="s">
        <v>1786</v>
      </c>
      <c r="C986" s="19" t="s">
        <v>1787</v>
      </c>
      <c r="D986" s="19" t="s">
        <v>1788</v>
      </c>
      <c r="E986" s="3" t="s">
        <v>1631</v>
      </c>
      <c r="F986" s="7" t="s">
        <v>60</v>
      </c>
      <c r="H986" s="19" t="s">
        <v>48</v>
      </c>
      <c r="I986" s="3" t="s">
        <v>49</v>
      </c>
      <c r="J986" s="3">
        <v>4.0</v>
      </c>
      <c r="K986" s="3" t="s">
        <v>158</v>
      </c>
      <c r="L986" s="3" t="s">
        <v>1790</v>
      </c>
      <c r="M986" s="3" t="s">
        <v>1791</v>
      </c>
      <c r="N986" s="6" t="s">
        <v>1792</v>
      </c>
      <c r="O986" s="6" t="s">
        <v>1793</v>
      </c>
      <c r="P986" s="3">
        <v>7248.0</v>
      </c>
      <c r="Q986" s="45" t="s">
        <v>60</v>
      </c>
    </row>
    <row r="987">
      <c r="A987" s="19" t="s">
        <v>1785</v>
      </c>
      <c r="B987" s="19" t="s">
        <v>1786</v>
      </c>
      <c r="C987" s="19" t="s">
        <v>1787</v>
      </c>
      <c r="D987" s="19" t="s">
        <v>1788</v>
      </c>
      <c r="E987" s="3" t="s">
        <v>1815</v>
      </c>
      <c r="F987" s="7" t="s">
        <v>60</v>
      </c>
      <c r="H987" s="19" t="s">
        <v>48</v>
      </c>
      <c r="I987" s="3" t="s">
        <v>49</v>
      </c>
      <c r="J987" s="3">
        <v>4.0</v>
      </c>
      <c r="K987" s="3" t="s">
        <v>158</v>
      </c>
      <c r="L987" s="3" t="s">
        <v>1790</v>
      </c>
      <c r="M987" s="3" t="s">
        <v>1791</v>
      </c>
      <c r="N987" s="6" t="s">
        <v>1792</v>
      </c>
      <c r="O987" s="6" t="s">
        <v>1793</v>
      </c>
      <c r="P987" s="3">
        <v>7248.0</v>
      </c>
      <c r="Q987" s="45" t="s">
        <v>60</v>
      </c>
    </row>
    <row r="988">
      <c r="A988" s="19" t="s">
        <v>1785</v>
      </c>
      <c r="B988" s="19" t="s">
        <v>1786</v>
      </c>
      <c r="C988" s="19" t="s">
        <v>1787</v>
      </c>
      <c r="D988" s="19" t="s">
        <v>1788</v>
      </c>
      <c r="E988" s="3" t="s">
        <v>1816</v>
      </c>
      <c r="F988" s="7" t="s">
        <v>60</v>
      </c>
      <c r="H988" s="19" t="s">
        <v>48</v>
      </c>
      <c r="I988" s="3" t="s">
        <v>49</v>
      </c>
      <c r="J988" s="3">
        <v>4.0</v>
      </c>
      <c r="K988" s="3" t="s">
        <v>158</v>
      </c>
      <c r="L988" s="3" t="s">
        <v>1790</v>
      </c>
      <c r="M988" s="3" t="s">
        <v>1791</v>
      </c>
      <c r="N988" s="6" t="s">
        <v>1792</v>
      </c>
      <c r="O988" s="6" t="s">
        <v>1793</v>
      </c>
      <c r="P988" s="3">
        <v>7248.0</v>
      </c>
      <c r="Q988" s="45" t="s">
        <v>60</v>
      </c>
    </row>
    <row r="989">
      <c r="A989" s="19" t="s">
        <v>1785</v>
      </c>
      <c r="B989" s="19" t="s">
        <v>1786</v>
      </c>
      <c r="C989" s="19" t="s">
        <v>1787</v>
      </c>
      <c r="D989" s="19" t="s">
        <v>1788</v>
      </c>
      <c r="E989" s="3" t="s">
        <v>1817</v>
      </c>
      <c r="F989" s="7" t="s">
        <v>60</v>
      </c>
      <c r="H989" s="19" t="s">
        <v>48</v>
      </c>
      <c r="I989" s="3" t="s">
        <v>49</v>
      </c>
      <c r="J989" s="3">
        <v>4.0</v>
      </c>
      <c r="K989" s="3" t="s">
        <v>158</v>
      </c>
      <c r="L989" s="3" t="s">
        <v>1790</v>
      </c>
      <c r="M989" s="3" t="s">
        <v>1791</v>
      </c>
      <c r="N989" s="6" t="s">
        <v>1792</v>
      </c>
      <c r="O989" s="6" t="s">
        <v>1793</v>
      </c>
      <c r="P989" s="3">
        <v>7248.0</v>
      </c>
      <c r="Q989" s="45" t="s">
        <v>60</v>
      </c>
    </row>
    <row r="990">
      <c r="A990" s="19" t="s">
        <v>1785</v>
      </c>
      <c r="B990" s="19" t="s">
        <v>1786</v>
      </c>
      <c r="C990" s="19" t="s">
        <v>1787</v>
      </c>
      <c r="D990" s="19" t="s">
        <v>1788</v>
      </c>
      <c r="E990" s="3" t="s">
        <v>1818</v>
      </c>
      <c r="F990" s="7" t="s">
        <v>60</v>
      </c>
      <c r="H990" s="19" t="s">
        <v>48</v>
      </c>
      <c r="I990" s="3" t="s">
        <v>49</v>
      </c>
      <c r="J990" s="3">
        <v>4.0</v>
      </c>
      <c r="K990" s="3" t="s">
        <v>158</v>
      </c>
      <c r="L990" s="3" t="s">
        <v>1790</v>
      </c>
      <c r="M990" s="3" t="s">
        <v>1791</v>
      </c>
      <c r="N990" s="6" t="s">
        <v>1792</v>
      </c>
      <c r="O990" s="6" t="s">
        <v>1793</v>
      </c>
      <c r="P990" s="3">
        <v>7290.0</v>
      </c>
      <c r="Q990" s="45" t="s">
        <v>60</v>
      </c>
    </row>
    <row r="991">
      <c r="A991" s="19" t="s">
        <v>1819</v>
      </c>
      <c r="B991" s="19" t="s">
        <v>1820</v>
      </c>
      <c r="C991" s="19" t="s">
        <v>1821</v>
      </c>
      <c r="D991" s="3" t="s">
        <v>531</v>
      </c>
      <c r="E991" s="3" t="s">
        <v>1822</v>
      </c>
      <c r="F991" s="14">
        <v>46086.0</v>
      </c>
      <c r="G991" s="24" t="s">
        <v>214</v>
      </c>
      <c r="H991" s="48" t="s">
        <v>48</v>
      </c>
      <c r="I991" s="3" t="s">
        <v>49</v>
      </c>
      <c r="J991" s="3">
        <v>4.0</v>
      </c>
      <c r="K991" s="3" t="s">
        <v>1218</v>
      </c>
      <c r="L991" s="3" t="s">
        <v>1823</v>
      </c>
      <c r="M991" s="3" t="s">
        <v>1824</v>
      </c>
      <c r="N991" s="9" t="s">
        <v>1825</v>
      </c>
      <c r="O991" s="6" t="s">
        <v>1826</v>
      </c>
      <c r="P991" s="3">
        <v>4567.0</v>
      </c>
      <c r="Q991" s="3">
        <v>1.0</v>
      </c>
    </row>
    <row r="992">
      <c r="A992" s="19" t="s">
        <v>1819</v>
      </c>
      <c r="B992" s="19" t="s">
        <v>1820</v>
      </c>
      <c r="C992" s="19" t="s">
        <v>1821</v>
      </c>
      <c r="D992" s="3" t="s">
        <v>531</v>
      </c>
      <c r="E992" s="3" t="s">
        <v>1827</v>
      </c>
      <c r="F992" s="7" t="s">
        <v>60</v>
      </c>
      <c r="H992" s="48" t="s">
        <v>48</v>
      </c>
      <c r="I992" s="3" t="s">
        <v>49</v>
      </c>
      <c r="J992" s="3">
        <v>4.0</v>
      </c>
      <c r="K992" s="3" t="s">
        <v>1218</v>
      </c>
      <c r="L992" s="3" t="s">
        <v>1823</v>
      </c>
      <c r="M992" s="3" t="s">
        <v>1824</v>
      </c>
      <c r="N992" s="9" t="s">
        <v>1825</v>
      </c>
      <c r="O992" s="6" t="s">
        <v>1826</v>
      </c>
      <c r="P992" s="3">
        <v>4566.0</v>
      </c>
      <c r="Q992" s="3">
        <v>1.0</v>
      </c>
    </row>
    <row r="993">
      <c r="A993" s="19" t="s">
        <v>1819</v>
      </c>
      <c r="B993" s="19" t="s">
        <v>1820</v>
      </c>
      <c r="C993" s="19" t="s">
        <v>1821</v>
      </c>
      <c r="D993" s="3" t="s">
        <v>531</v>
      </c>
      <c r="E993" s="3" t="s">
        <v>1828</v>
      </c>
      <c r="F993" s="7" t="s">
        <v>60</v>
      </c>
      <c r="H993" s="48" t="s">
        <v>48</v>
      </c>
      <c r="I993" s="3" t="s">
        <v>49</v>
      </c>
      <c r="J993" s="3">
        <v>2.0</v>
      </c>
      <c r="K993" s="3" t="s">
        <v>1310</v>
      </c>
      <c r="L993" s="3" t="s">
        <v>1823</v>
      </c>
      <c r="M993" s="3" t="s">
        <v>1824</v>
      </c>
      <c r="N993" s="9" t="s">
        <v>1825</v>
      </c>
      <c r="O993" s="6" t="s">
        <v>1826</v>
      </c>
      <c r="P993" s="3">
        <v>4567.0</v>
      </c>
      <c r="Q993" s="45" t="s">
        <v>60</v>
      </c>
    </row>
    <row r="994">
      <c r="A994" s="19" t="s">
        <v>1819</v>
      </c>
      <c r="B994" s="19" t="s">
        <v>1820</v>
      </c>
      <c r="C994" s="19" t="s">
        <v>1821</v>
      </c>
      <c r="D994" s="3" t="s">
        <v>531</v>
      </c>
      <c r="E994" s="3" t="s">
        <v>1829</v>
      </c>
      <c r="F994" s="7" t="s">
        <v>60</v>
      </c>
      <c r="H994" s="48" t="s">
        <v>48</v>
      </c>
      <c r="I994" s="3" t="s">
        <v>49</v>
      </c>
      <c r="J994" s="3">
        <v>2.0</v>
      </c>
      <c r="K994" s="3" t="s">
        <v>1310</v>
      </c>
      <c r="L994" s="3" t="s">
        <v>1823</v>
      </c>
      <c r="M994" s="3" t="s">
        <v>1824</v>
      </c>
      <c r="N994" s="9" t="s">
        <v>1825</v>
      </c>
      <c r="O994" s="6" t="s">
        <v>1826</v>
      </c>
      <c r="P994" s="3">
        <v>4567.0</v>
      </c>
      <c r="Q994" s="45" t="s">
        <v>60</v>
      </c>
    </row>
    <row r="995">
      <c r="A995" s="19" t="s">
        <v>1819</v>
      </c>
      <c r="B995" s="19" t="s">
        <v>1820</v>
      </c>
      <c r="C995" s="19" t="s">
        <v>1821</v>
      </c>
      <c r="D995" s="3" t="s">
        <v>531</v>
      </c>
      <c r="E995" s="3" t="s">
        <v>1830</v>
      </c>
      <c r="F995" s="7" t="s">
        <v>60</v>
      </c>
      <c r="H995" s="48" t="s">
        <v>48</v>
      </c>
      <c r="I995" s="3" t="s">
        <v>49</v>
      </c>
      <c r="J995" s="3">
        <v>2.0</v>
      </c>
      <c r="K995" s="3" t="s">
        <v>1310</v>
      </c>
      <c r="L995" s="3" t="s">
        <v>1823</v>
      </c>
      <c r="M995" s="3" t="s">
        <v>1824</v>
      </c>
      <c r="N995" s="9" t="s">
        <v>1825</v>
      </c>
      <c r="O995" s="6" t="s">
        <v>1826</v>
      </c>
      <c r="P995" s="3">
        <v>4567.0</v>
      </c>
      <c r="Q995" s="45" t="s">
        <v>60</v>
      </c>
    </row>
    <row r="996">
      <c r="A996" s="19" t="s">
        <v>1819</v>
      </c>
      <c r="B996" s="19" t="s">
        <v>1820</v>
      </c>
      <c r="C996" s="19" t="s">
        <v>1821</v>
      </c>
      <c r="D996" s="3" t="s">
        <v>531</v>
      </c>
      <c r="E996" s="3" t="s">
        <v>1831</v>
      </c>
      <c r="F996" s="7" t="s">
        <v>60</v>
      </c>
      <c r="H996" s="48" t="s">
        <v>48</v>
      </c>
      <c r="I996" s="3" t="s">
        <v>49</v>
      </c>
      <c r="J996" s="3">
        <v>1.0</v>
      </c>
      <c r="K996" s="3" t="s">
        <v>1823</v>
      </c>
      <c r="L996" s="3" t="s">
        <v>1823</v>
      </c>
      <c r="M996" s="3" t="s">
        <v>1824</v>
      </c>
      <c r="N996" s="9" t="s">
        <v>1825</v>
      </c>
      <c r="O996" s="6" t="s">
        <v>1826</v>
      </c>
      <c r="P996" s="3">
        <v>4562.0</v>
      </c>
      <c r="Q996" s="45" t="s">
        <v>60</v>
      </c>
    </row>
    <row r="997">
      <c r="A997" s="3" t="s">
        <v>1832</v>
      </c>
      <c r="B997" s="3" t="s">
        <v>1833</v>
      </c>
      <c r="C997" s="19" t="s">
        <v>1834</v>
      </c>
      <c r="D997" s="3" t="s">
        <v>46</v>
      </c>
      <c r="E997" s="3" t="s">
        <v>1835</v>
      </c>
      <c r="F997" s="14">
        <v>46094.0</v>
      </c>
      <c r="G997" s="12" t="s">
        <v>260</v>
      </c>
      <c r="H997" s="48" t="s">
        <v>48</v>
      </c>
      <c r="I997" s="3" t="s">
        <v>49</v>
      </c>
      <c r="J997" s="3">
        <v>2.0</v>
      </c>
      <c r="K997" s="3" t="s">
        <v>1836</v>
      </c>
      <c r="L997" s="3" t="s">
        <v>1837</v>
      </c>
      <c r="M997" s="3" t="s">
        <v>1838</v>
      </c>
      <c r="N997" s="6" t="s">
        <v>1839</v>
      </c>
      <c r="O997" s="6" t="s">
        <v>1840</v>
      </c>
      <c r="P997" s="3">
        <v>2576.0</v>
      </c>
      <c r="Q997" s="3">
        <v>2.0</v>
      </c>
    </row>
    <row r="998">
      <c r="A998" s="3" t="s">
        <v>1832</v>
      </c>
      <c r="B998" s="3" t="s">
        <v>1833</v>
      </c>
      <c r="C998" s="19" t="s">
        <v>1834</v>
      </c>
      <c r="D998" s="3" t="s">
        <v>46</v>
      </c>
      <c r="E998" s="3" t="s">
        <v>1841</v>
      </c>
      <c r="F998" s="7" t="s">
        <v>60</v>
      </c>
      <c r="H998" s="48" t="s">
        <v>48</v>
      </c>
      <c r="I998" s="3" t="s">
        <v>49</v>
      </c>
      <c r="J998" s="3">
        <v>2.0</v>
      </c>
      <c r="K998" s="3" t="s">
        <v>1836</v>
      </c>
      <c r="L998" s="3" t="s">
        <v>1837</v>
      </c>
      <c r="M998" s="3" t="s">
        <v>1838</v>
      </c>
      <c r="N998" s="6" t="s">
        <v>1839</v>
      </c>
      <c r="O998" s="6" t="s">
        <v>1840</v>
      </c>
      <c r="P998" s="3">
        <v>2576.0</v>
      </c>
      <c r="Q998" s="45" t="s">
        <v>60</v>
      </c>
    </row>
    <row r="999">
      <c r="A999" s="3" t="s">
        <v>1832</v>
      </c>
      <c r="B999" s="3" t="s">
        <v>1833</v>
      </c>
      <c r="C999" s="19" t="s">
        <v>1834</v>
      </c>
      <c r="D999" s="3" t="s">
        <v>46</v>
      </c>
      <c r="E999" s="3" t="s">
        <v>1842</v>
      </c>
      <c r="F999" s="7" t="s">
        <v>60</v>
      </c>
      <c r="H999" s="48" t="s">
        <v>48</v>
      </c>
      <c r="I999" s="3" t="s">
        <v>49</v>
      </c>
      <c r="J999" s="3">
        <v>2.0</v>
      </c>
      <c r="K999" s="3" t="s">
        <v>1836</v>
      </c>
      <c r="L999" s="3" t="s">
        <v>1837</v>
      </c>
      <c r="M999" s="3" t="s">
        <v>1838</v>
      </c>
      <c r="N999" s="6" t="s">
        <v>1839</v>
      </c>
      <c r="O999" s="6" t="s">
        <v>1840</v>
      </c>
      <c r="P999" s="3">
        <v>2576.0</v>
      </c>
      <c r="Q999" s="45" t="s">
        <v>60</v>
      </c>
    </row>
    <row r="1000">
      <c r="A1000" s="3" t="s">
        <v>1832</v>
      </c>
      <c r="B1000" s="3" t="s">
        <v>1833</v>
      </c>
      <c r="C1000" s="19" t="s">
        <v>1834</v>
      </c>
      <c r="D1000" s="3" t="s">
        <v>46</v>
      </c>
      <c r="E1000" s="3" t="s">
        <v>1843</v>
      </c>
      <c r="F1000" s="7" t="s">
        <v>60</v>
      </c>
      <c r="H1000" s="48" t="s">
        <v>48</v>
      </c>
      <c r="I1000" s="3" t="s">
        <v>49</v>
      </c>
      <c r="J1000" s="3">
        <v>2.0</v>
      </c>
      <c r="K1000" s="3" t="s">
        <v>1836</v>
      </c>
      <c r="L1000" s="3" t="s">
        <v>1837</v>
      </c>
      <c r="M1000" s="3" t="s">
        <v>1838</v>
      </c>
      <c r="N1000" s="6" t="s">
        <v>1839</v>
      </c>
      <c r="O1000" s="6" t="s">
        <v>1840</v>
      </c>
      <c r="P1000" s="3">
        <v>2576.0</v>
      </c>
      <c r="Q1000" s="45" t="s">
        <v>60</v>
      </c>
    </row>
    <row r="1001">
      <c r="A1001" s="3" t="s">
        <v>1832</v>
      </c>
      <c r="B1001" s="3" t="s">
        <v>1833</v>
      </c>
      <c r="C1001" s="19" t="s">
        <v>1834</v>
      </c>
      <c r="D1001" s="3" t="s">
        <v>46</v>
      </c>
      <c r="E1001" s="3" t="s">
        <v>1844</v>
      </c>
      <c r="F1001" s="7" t="s">
        <v>60</v>
      </c>
      <c r="H1001" s="48" t="s">
        <v>48</v>
      </c>
      <c r="I1001" s="3" t="s">
        <v>49</v>
      </c>
      <c r="J1001" s="3">
        <v>2.0</v>
      </c>
      <c r="K1001" s="3" t="s">
        <v>1836</v>
      </c>
      <c r="L1001" s="3" t="s">
        <v>1837</v>
      </c>
      <c r="M1001" s="3" t="s">
        <v>1838</v>
      </c>
      <c r="N1001" s="6" t="s">
        <v>1839</v>
      </c>
      <c r="O1001" s="6" t="s">
        <v>1840</v>
      </c>
      <c r="P1001" s="3">
        <v>2576.0</v>
      </c>
      <c r="Q1001" s="45" t="s">
        <v>60</v>
      </c>
    </row>
    <row r="1002">
      <c r="A1002" s="3" t="s">
        <v>1832</v>
      </c>
      <c r="B1002" s="3" t="s">
        <v>1833</v>
      </c>
      <c r="C1002" s="19" t="s">
        <v>1834</v>
      </c>
      <c r="D1002" s="3" t="s">
        <v>46</v>
      </c>
      <c r="E1002" s="3" t="s">
        <v>1845</v>
      </c>
      <c r="F1002" s="7" t="s">
        <v>60</v>
      </c>
      <c r="H1002" s="48" t="s">
        <v>48</v>
      </c>
      <c r="I1002" s="3" t="s">
        <v>49</v>
      </c>
      <c r="J1002" s="3">
        <v>2.0</v>
      </c>
      <c r="K1002" s="3" t="s">
        <v>1836</v>
      </c>
      <c r="L1002" s="3" t="s">
        <v>1837</v>
      </c>
      <c r="M1002" s="3" t="s">
        <v>1838</v>
      </c>
      <c r="N1002" s="6" t="s">
        <v>1839</v>
      </c>
      <c r="O1002" s="6" t="s">
        <v>1840</v>
      </c>
      <c r="P1002" s="3">
        <v>2576.0</v>
      </c>
      <c r="Q1002" s="45" t="s">
        <v>60</v>
      </c>
    </row>
    <row r="1003">
      <c r="A1003" s="3" t="s">
        <v>1832</v>
      </c>
      <c r="B1003" s="3" t="s">
        <v>1833</v>
      </c>
      <c r="C1003" s="19" t="s">
        <v>1834</v>
      </c>
      <c r="D1003" s="3" t="s">
        <v>46</v>
      </c>
      <c r="E1003" s="3" t="s">
        <v>1846</v>
      </c>
      <c r="F1003" s="7" t="s">
        <v>60</v>
      </c>
      <c r="H1003" s="48" t="s">
        <v>48</v>
      </c>
      <c r="I1003" s="3" t="s">
        <v>49</v>
      </c>
      <c r="J1003" s="3">
        <v>2.0</v>
      </c>
      <c r="K1003" s="3" t="s">
        <v>1836</v>
      </c>
      <c r="L1003" s="3" t="s">
        <v>1837</v>
      </c>
      <c r="M1003" s="3" t="s">
        <v>1838</v>
      </c>
      <c r="N1003" s="6" t="s">
        <v>1839</v>
      </c>
      <c r="O1003" s="6" t="s">
        <v>1840</v>
      </c>
      <c r="P1003" s="3">
        <v>2575.0</v>
      </c>
      <c r="Q1003" s="3">
        <v>2.0</v>
      </c>
    </row>
    <row r="1004">
      <c r="A1004" s="3" t="s">
        <v>1832</v>
      </c>
      <c r="B1004" s="3" t="s">
        <v>1833</v>
      </c>
      <c r="C1004" s="19" t="s">
        <v>1834</v>
      </c>
      <c r="D1004" s="3" t="s">
        <v>46</v>
      </c>
      <c r="E1004" s="3" t="s">
        <v>1847</v>
      </c>
      <c r="F1004" s="7" t="s">
        <v>60</v>
      </c>
      <c r="H1004" s="48" t="s">
        <v>48</v>
      </c>
      <c r="I1004" s="3" t="s">
        <v>49</v>
      </c>
      <c r="J1004" s="3">
        <v>2.0</v>
      </c>
      <c r="K1004" s="3" t="s">
        <v>1836</v>
      </c>
      <c r="L1004" s="3" t="s">
        <v>1837</v>
      </c>
      <c r="M1004" s="3" t="s">
        <v>1838</v>
      </c>
      <c r="N1004" s="6" t="s">
        <v>1839</v>
      </c>
      <c r="O1004" s="6" t="s">
        <v>1840</v>
      </c>
      <c r="P1004" s="3">
        <v>2575.0</v>
      </c>
      <c r="Q1004" s="45" t="s">
        <v>60</v>
      </c>
    </row>
    <row r="1005">
      <c r="A1005" s="3" t="s">
        <v>1832</v>
      </c>
      <c r="B1005" s="3" t="s">
        <v>1833</v>
      </c>
      <c r="C1005" s="19" t="s">
        <v>1834</v>
      </c>
      <c r="D1005" s="3" t="s">
        <v>46</v>
      </c>
      <c r="E1005" s="3" t="s">
        <v>1442</v>
      </c>
      <c r="F1005" s="7" t="s">
        <v>60</v>
      </c>
      <c r="H1005" s="48" t="s">
        <v>48</v>
      </c>
      <c r="I1005" s="3" t="s">
        <v>49</v>
      </c>
      <c r="J1005" s="3">
        <v>2.0</v>
      </c>
      <c r="K1005" s="3" t="s">
        <v>1836</v>
      </c>
      <c r="L1005" s="3" t="s">
        <v>1837</v>
      </c>
      <c r="M1005" s="3" t="s">
        <v>1838</v>
      </c>
      <c r="N1005" s="6" t="s">
        <v>1839</v>
      </c>
      <c r="O1005" s="6" t="s">
        <v>1840</v>
      </c>
      <c r="P1005" s="3">
        <v>2575.0</v>
      </c>
      <c r="Q1005" s="45" t="s">
        <v>60</v>
      </c>
    </row>
    <row r="1006">
      <c r="A1006" s="3" t="s">
        <v>1832</v>
      </c>
      <c r="B1006" s="3" t="s">
        <v>1833</v>
      </c>
      <c r="C1006" s="19" t="s">
        <v>1834</v>
      </c>
      <c r="D1006" s="3" t="s">
        <v>46</v>
      </c>
      <c r="E1006" s="3" t="s">
        <v>1848</v>
      </c>
      <c r="F1006" s="7" t="s">
        <v>60</v>
      </c>
      <c r="H1006" s="48" t="s">
        <v>48</v>
      </c>
      <c r="I1006" s="3" t="s">
        <v>49</v>
      </c>
      <c r="J1006" s="3">
        <v>2.0</v>
      </c>
      <c r="K1006" s="3" t="s">
        <v>1836</v>
      </c>
      <c r="L1006" s="3" t="s">
        <v>1837</v>
      </c>
      <c r="M1006" s="3" t="s">
        <v>1838</v>
      </c>
      <c r="N1006" s="6" t="s">
        <v>1839</v>
      </c>
      <c r="O1006" s="6" t="s">
        <v>1840</v>
      </c>
      <c r="P1006" s="3">
        <v>2575.0</v>
      </c>
      <c r="Q1006" s="45" t="s">
        <v>60</v>
      </c>
    </row>
    <row r="1007">
      <c r="A1007" s="3" t="s">
        <v>1832</v>
      </c>
      <c r="B1007" s="3" t="s">
        <v>1833</v>
      </c>
      <c r="C1007" s="19" t="s">
        <v>1834</v>
      </c>
      <c r="D1007" s="3" t="s">
        <v>46</v>
      </c>
      <c r="E1007" s="3" t="s">
        <v>1849</v>
      </c>
      <c r="F1007" s="7" t="s">
        <v>60</v>
      </c>
      <c r="H1007" s="48" t="s">
        <v>48</v>
      </c>
      <c r="I1007" s="3" t="s">
        <v>49</v>
      </c>
      <c r="J1007" s="3">
        <v>2.0</v>
      </c>
      <c r="K1007" s="3" t="s">
        <v>1836</v>
      </c>
      <c r="L1007" s="3" t="s">
        <v>1837</v>
      </c>
      <c r="M1007" s="3" t="s">
        <v>1838</v>
      </c>
      <c r="N1007" s="6" t="s">
        <v>1839</v>
      </c>
      <c r="O1007" s="6" t="s">
        <v>1840</v>
      </c>
      <c r="P1007" s="3">
        <v>2575.0</v>
      </c>
      <c r="Q1007" s="45" t="s">
        <v>60</v>
      </c>
    </row>
    <row r="1008">
      <c r="A1008" s="3" t="s">
        <v>1832</v>
      </c>
      <c r="B1008" s="3" t="s">
        <v>1833</v>
      </c>
      <c r="C1008" s="19" t="s">
        <v>1834</v>
      </c>
      <c r="D1008" s="3" t="s">
        <v>46</v>
      </c>
      <c r="E1008" s="3" t="s">
        <v>1850</v>
      </c>
      <c r="F1008" s="7" t="s">
        <v>60</v>
      </c>
      <c r="H1008" s="48" t="s">
        <v>48</v>
      </c>
      <c r="I1008" s="3" t="s">
        <v>49</v>
      </c>
      <c r="J1008" s="3">
        <v>2.0</v>
      </c>
      <c r="K1008" s="3" t="s">
        <v>1836</v>
      </c>
      <c r="L1008" s="3" t="s">
        <v>1837</v>
      </c>
      <c r="M1008" s="3" t="s">
        <v>1838</v>
      </c>
      <c r="N1008" s="6" t="s">
        <v>1839</v>
      </c>
      <c r="O1008" s="6" t="s">
        <v>1840</v>
      </c>
      <c r="P1008" s="3">
        <v>2575.0</v>
      </c>
      <c r="Q1008" s="45" t="s">
        <v>60</v>
      </c>
    </row>
    <row r="1009">
      <c r="A1009" s="3" t="s">
        <v>1832</v>
      </c>
      <c r="B1009" s="3" t="s">
        <v>1833</v>
      </c>
      <c r="C1009" s="19" t="s">
        <v>1834</v>
      </c>
      <c r="D1009" s="3" t="s">
        <v>46</v>
      </c>
      <c r="E1009" s="3" t="s">
        <v>1851</v>
      </c>
      <c r="F1009" s="7" t="s">
        <v>60</v>
      </c>
      <c r="H1009" s="48" t="s">
        <v>48</v>
      </c>
      <c r="I1009" s="3" t="s">
        <v>49</v>
      </c>
      <c r="J1009" s="3">
        <v>2.0</v>
      </c>
      <c r="K1009" s="3" t="s">
        <v>1836</v>
      </c>
      <c r="L1009" s="3" t="s">
        <v>1837</v>
      </c>
      <c r="M1009" s="3" t="s">
        <v>1838</v>
      </c>
      <c r="N1009" s="6" t="s">
        <v>1839</v>
      </c>
      <c r="O1009" s="6" t="s">
        <v>1840</v>
      </c>
      <c r="P1009" s="3">
        <v>2575.0</v>
      </c>
      <c r="Q1009" s="45" t="s">
        <v>60</v>
      </c>
    </row>
    <row r="1010">
      <c r="A1010" s="3" t="s">
        <v>1832</v>
      </c>
      <c r="B1010" s="3" t="s">
        <v>1833</v>
      </c>
      <c r="C1010" s="19" t="s">
        <v>1834</v>
      </c>
      <c r="D1010" s="3" t="s">
        <v>46</v>
      </c>
      <c r="E1010" s="3" t="s">
        <v>1852</v>
      </c>
      <c r="F1010" s="7" t="s">
        <v>60</v>
      </c>
      <c r="H1010" s="48" t="s">
        <v>48</v>
      </c>
      <c r="I1010" s="3" t="s">
        <v>49</v>
      </c>
      <c r="J1010" s="3">
        <v>2.0</v>
      </c>
      <c r="K1010" s="3" t="s">
        <v>1836</v>
      </c>
      <c r="L1010" s="3" t="s">
        <v>1837</v>
      </c>
      <c r="M1010" s="3" t="s">
        <v>1838</v>
      </c>
      <c r="N1010" s="6" t="s">
        <v>1839</v>
      </c>
      <c r="O1010" s="6" t="s">
        <v>1840</v>
      </c>
      <c r="P1010" s="3">
        <v>2575.0</v>
      </c>
      <c r="Q1010" s="45" t="s">
        <v>60</v>
      </c>
    </row>
    <row r="1011">
      <c r="A1011" s="3" t="s">
        <v>1832</v>
      </c>
      <c r="B1011" s="3" t="s">
        <v>1833</v>
      </c>
      <c r="C1011" s="19" t="s">
        <v>1834</v>
      </c>
      <c r="D1011" s="3" t="s">
        <v>46</v>
      </c>
      <c r="E1011" s="3" t="s">
        <v>1853</v>
      </c>
      <c r="F1011" s="7" t="s">
        <v>60</v>
      </c>
      <c r="H1011" s="48" t="s">
        <v>48</v>
      </c>
      <c r="I1011" s="3" t="s">
        <v>49</v>
      </c>
      <c r="J1011" s="3">
        <v>2.0</v>
      </c>
      <c r="K1011" s="3" t="s">
        <v>1836</v>
      </c>
      <c r="L1011" s="3" t="s">
        <v>1837</v>
      </c>
      <c r="M1011" s="3" t="s">
        <v>1838</v>
      </c>
      <c r="N1011" s="6" t="s">
        <v>1839</v>
      </c>
      <c r="O1011" s="6" t="s">
        <v>1840</v>
      </c>
      <c r="P1011" s="3">
        <v>2575.0</v>
      </c>
      <c r="Q1011" s="45" t="s">
        <v>60</v>
      </c>
    </row>
    <row r="1012">
      <c r="A1012" s="3" t="s">
        <v>1832</v>
      </c>
      <c r="B1012" s="3" t="s">
        <v>1833</v>
      </c>
      <c r="C1012" s="19" t="s">
        <v>1834</v>
      </c>
      <c r="D1012" s="3" t="s">
        <v>46</v>
      </c>
      <c r="E1012" s="3" t="s">
        <v>1854</v>
      </c>
      <c r="F1012" s="7" t="s">
        <v>60</v>
      </c>
      <c r="H1012" s="48" t="s">
        <v>48</v>
      </c>
      <c r="I1012" s="3" t="s">
        <v>49</v>
      </c>
      <c r="J1012" s="3">
        <v>2.0</v>
      </c>
      <c r="K1012" s="3" t="s">
        <v>1836</v>
      </c>
      <c r="L1012" s="3" t="s">
        <v>1837</v>
      </c>
      <c r="M1012" s="3" t="s">
        <v>1838</v>
      </c>
      <c r="N1012" s="6" t="s">
        <v>1839</v>
      </c>
      <c r="O1012" s="6" t="s">
        <v>1840</v>
      </c>
      <c r="P1012" s="3">
        <v>2575.0</v>
      </c>
      <c r="Q1012" s="45" t="s">
        <v>60</v>
      </c>
    </row>
    <row r="1013">
      <c r="A1013" s="3" t="s">
        <v>1832</v>
      </c>
      <c r="B1013" s="3" t="s">
        <v>1833</v>
      </c>
      <c r="C1013" s="19" t="s">
        <v>1834</v>
      </c>
      <c r="D1013" s="3" t="s">
        <v>46</v>
      </c>
      <c r="E1013" s="3" t="s">
        <v>1855</v>
      </c>
      <c r="F1013" s="7" t="s">
        <v>60</v>
      </c>
      <c r="H1013" s="48" t="s">
        <v>48</v>
      </c>
      <c r="I1013" s="3" t="s">
        <v>49</v>
      </c>
      <c r="J1013" s="3">
        <v>2.0</v>
      </c>
      <c r="K1013" s="3" t="s">
        <v>1836</v>
      </c>
      <c r="L1013" s="3" t="s">
        <v>1837</v>
      </c>
      <c r="M1013" s="3" t="s">
        <v>1838</v>
      </c>
      <c r="N1013" s="6" t="s">
        <v>1839</v>
      </c>
      <c r="O1013" s="6" t="s">
        <v>1840</v>
      </c>
      <c r="P1013" s="3">
        <v>2575.0</v>
      </c>
      <c r="Q1013" s="45" t="s">
        <v>60</v>
      </c>
    </row>
    <row r="1014">
      <c r="A1014" s="3" t="s">
        <v>1832</v>
      </c>
      <c r="B1014" s="3" t="s">
        <v>1833</v>
      </c>
      <c r="C1014" s="19" t="s">
        <v>1834</v>
      </c>
      <c r="D1014" s="3" t="s">
        <v>46</v>
      </c>
      <c r="E1014" s="3" t="s">
        <v>1856</v>
      </c>
      <c r="F1014" s="7" t="s">
        <v>60</v>
      </c>
      <c r="H1014" s="48" t="s">
        <v>48</v>
      </c>
      <c r="I1014" s="3" t="s">
        <v>49</v>
      </c>
      <c r="J1014" s="3">
        <v>2.0</v>
      </c>
      <c r="K1014" s="3" t="s">
        <v>1836</v>
      </c>
      <c r="L1014" s="3" t="s">
        <v>1837</v>
      </c>
      <c r="M1014" s="3" t="s">
        <v>1838</v>
      </c>
      <c r="N1014" s="6" t="s">
        <v>1839</v>
      </c>
      <c r="O1014" s="6" t="s">
        <v>1840</v>
      </c>
      <c r="P1014" s="3">
        <v>2575.0</v>
      </c>
      <c r="Q1014" s="45" t="s">
        <v>60</v>
      </c>
    </row>
    <row r="1015">
      <c r="A1015" s="3" t="s">
        <v>1832</v>
      </c>
      <c r="B1015" s="3" t="s">
        <v>1833</v>
      </c>
      <c r="C1015" s="19" t="s">
        <v>1834</v>
      </c>
      <c r="D1015" s="3" t="s">
        <v>46</v>
      </c>
      <c r="E1015" s="3" t="s">
        <v>1857</v>
      </c>
      <c r="F1015" s="7" t="s">
        <v>60</v>
      </c>
      <c r="H1015" s="48" t="s">
        <v>48</v>
      </c>
      <c r="I1015" s="3" t="s">
        <v>49</v>
      </c>
      <c r="J1015" s="3">
        <v>2.0</v>
      </c>
      <c r="K1015" s="3" t="s">
        <v>1836</v>
      </c>
      <c r="L1015" s="3" t="s">
        <v>1837</v>
      </c>
      <c r="M1015" s="3" t="s">
        <v>1838</v>
      </c>
      <c r="N1015" s="6" t="s">
        <v>1839</v>
      </c>
      <c r="O1015" s="6" t="s">
        <v>1840</v>
      </c>
      <c r="P1015" s="3">
        <v>2575.0</v>
      </c>
      <c r="Q1015" s="45" t="s">
        <v>60</v>
      </c>
    </row>
    <row r="1016">
      <c r="A1016" s="3" t="s">
        <v>1832</v>
      </c>
      <c r="B1016" s="3" t="s">
        <v>1833</v>
      </c>
      <c r="C1016" s="19" t="s">
        <v>1834</v>
      </c>
      <c r="D1016" s="3" t="s">
        <v>46</v>
      </c>
      <c r="E1016" s="3" t="s">
        <v>1858</v>
      </c>
      <c r="F1016" s="7" t="s">
        <v>60</v>
      </c>
      <c r="H1016" s="48" t="s">
        <v>48</v>
      </c>
      <c r="I1016" s="3" t="s">
        <v>49</v>
      </c>
      <c r="J1016" s="3">
        <v>2.0</v>
      </c>
      <c r="K1016" s="3" t="s">
        <v>1836</v>
      </c>
      <c r="L1016" s="3" t="s">
        <v>1837</v>
      </c>
      <c r="M1016" s="3" t="s">
        <v>1838</v>
      </c>
      <c r="N1016" s="6" t="s">
        <v>1839</v>
      </c>
      <c r="O1016" s="6" t="s">
        <v>1840</v>
      </c>
      <c r="P1016" s="3">
        <v>2575.0</v>
      </c>
      <c r="Q1016" s="45" t="s">
        <v>60</v>
      </c>
    </row>
    <row r="1017">
      <c r="A1017" s="3" t="s">
        <v>1832</v>
      </c>
      <c r="B1017" s="3" t="s">
        <v>1833</v>
      </c>
      <c r="C1017" s="19" t="s">
        <v>1834</v>
      </c>
      <c r="D1017" s="3" t="s">
        <v>46</v>
      </c>
      <c r="E1017" s="3" t="s">
        <v>1859</v>
      </c>
      <c r="F1017" s="7" t="s">
        <v>60</v>
      </c>
      <c r="H1017" s="48" t="s">
        <v>48</v>
      </c>
      <c r="I1017" s="3" t="s">
        <v>49</v>
      </c>
      <c r="J1017" s="3">
        <v>2.0</v>
      </c>
      <c r="K1017" s="3" t="s">
        <v>1836</v>
      </c>
      <c r="L1017" s="3" t="s">
        <v>1837</v>
      </c>
      <c r="M1017" s="3" t="s">
        <v>1838</v>
      </c>
      <c r="N1017" s="6" t="s">
        <v>1839</v>
      </c>
      <c r="O1017" s="6" t="s">
        <v>1840</v>
      </c>
      <c r="P1017" s="3">
        <v>2575.0</v>
      </c>
      <c r="Q1017" s="45" t="s">
        <v>60</v>
      </c>
    </row>
    <row r="1018">
      <c r="A1018" s="3" t="s">
        <v>1832</v>
      </c>
      <c r="B1018" s="3" t="s">
        <v>1833</v>
      </c>
      <c r="C1018" s="19" t="s">
        <v>1834</v>
      </c>
      <c r="D1018" s="3" t="s">
        <v>46</v>
      </c>
      <c r="E1018" s="3" t="s">
        <v>1860</v>
      </c>
      <c r="F1018" s="7" t="s">
        <v>60</v>
      </c>
      <c r="H1018" s="48" t="s">
        <v>48</v>
      </c>
      <c r="I1018" s="3" t="s">
        <v>49</v>
      </c>
      <c r="J1018" s="3">
        <v>2.0</v>
      </c>
      <c r="K1018" s="3" t="s">
        <v>1836</v>
      </c>
      <c r="L1018" s="3" t="s">
        <v>1837</v>
      </c>
      <c r="M1018" s="3" t="s">
        <v>1838</v>
      </c>
      <c r="N1018" s="6" t="s">
        <v>1839</v>
      </c>
      <c r="O1018" s="6" t="s">
        <v>1840</v>
      </c>
      <c r="P1018" s="3">
        <v>2575.0</v>
      </c>
      <c r="Q1018" s="45" t="s">
        <v>60</v>
      </c>
    </row>
    <row r="1019">
      <c r="A1019" s="3" t="s">
        <v>1832</v>
      </c>
      <c r="B1019" s="3" t="s">
        <v>1833</v>
      </c>
      <c r="C1019" s="19" t="s">
        <v>1834</v>
      </c>
      <c r="D1019" s="3" t="s">
        <v>46</v>
      </c>
      <c r="E1019" s="3" t="s">
        <v>1861</v>
      </c>
      <c r="F1019" s="7" t="s">
        <v>60</v>
      </c>
      <c r="H1019" s="48" t="s">
        <v>48</v>
      </c>
      <c r="I1019" s="3" t="s">
        <v>49</v>
      </c>
      <c r="J1019" s="3">
        <v>2.0</v>
      </c>
      <c r="K1019" s="3" t="s">
        <v>1836</v>
      </c>
      <c r="L1019" s="3" t="s">
        <v>1837</v>
      </c>
      <c r="M1019" s="3" t="s">
        <v>1838</v>
      </c>
      <c r="N1019" s="6" t="s">
        <v>1839</v>
      </c>
      <c r="O1019" s="6" t="s">
        <v>1840</v>
      </c>
      <c r="P1019" s="3">
        <v>2575.0</v>
      </c>
      <c r="Q1019" s="45" t="s">
        <v>60</v>
      </c>
    </row>
    <row r="1020">
      <c r="A1020" s="3" t="s">
        <v>1832</v>
      </c>
      <c r="B1020" s="3" t="s">
        <v>1833</v>
      </c>
      <c r="C1020" s="19" t="s">
        <v>1834</v>
      </c>
      <c r="D1020" s="3" t="s">
        <v>46</v>
      </c>
      <c r="E1020" s="3" t="s">
        <v>1862</v>
      </c>
      <c r="F1020" s="7" t="s">
        <v>60</v>
      </c>
      <c r="H1020" s="48" t="s">
        <v>48</v>
      </c>
      <c r="I1020" s="3" t="s">
        <v>49</v>
      </c>
      <c r="J1020" s="3">
        <v>2.0</v>
      </c>
      <c r="K1020" s="3" t="s">
        <v>1836</v>
      </c>
      <c r="L1020" s="3" t="s">
        <v>1837</v>
      </c>
      <c r="M1020" s="3" t="s">
        <v>1838</v>
      </c>
      <c r="N1020" s="6" t="s">
        <v>1839</v>
      </c>
      <c r="O1020" s="6" t="s">
        <v>1840</v>
      </c>
      <c r="P1020" s="3">
        <v>2575.0</v>
      </c>
      <c r="Q1020" s="45" t="s">
        <v>60</v>
      </c>
    </row>
    <row r="1021">
      <c r="A1021" s="3" t="s">
        <v>1832</v>
      </c>
      <c r="B1021" s="3" t="s">
        <v>1833</v>
      </c>
      <c r="C1021" s="19" t="s">
        <v>1834</v>
      </c>
      <c r="D1021" s="3" t="s">
        <v>46</v>
      </c>
      <c r="E1021" s="3" t="s">
        <v>1863</v>
      </c>
      <c r="F1021" s="7" t="s">
        <v>60</v>
      </c>
      <c r="H1021" s="48" t="s">
        <v>48</v>
      </c>
      <c r="I1021" s="3" t="s">
        <v>49</v>
      </c>
      <c r="J1021" s="3">
        <v>2.0</v>
      </c>
      <c r="K1021" s="3" t="s">
        <v>1836</v>
      </c>
      <c r="L1021" s="3" t="s">
        <v>1837</v>
      </c>
      <c r="M1021" s="3" t="s">
        <v>1838</v>
      </c>
      <c r="N1021" s="6" t="s">
        <v>1839</v>
      </c>
      <c r="O1021" s="6" t="s">
        <v>1840</v>
      </c>
      <c r="P1021" s="3">
        <v>2575.0</v>
      </c>
      <c r="Q1021" s="45" t="s">
        <v>60</v>
      </c>
    </row>
    <row r="1022">
      <c r="A1022" s="3" t="s">
        <v>1864</v>
      </c>
      <c r="B1022" s="3" t="s">
        <v>1865</v>
      </c>
      <c r="C1022" s="19" t="s">
        <v>1866</v>
      </c>
      <c r="D1022" s="3" t="s">
        <v>472</v>
      </c>
      <c r="E1022" s="3" t="s">
        <v>1129</v>
      </c>
      <c r="F1022" s="14">
        <v>46098.0</v>
      </c>
      <c r="G1022" s="12" t="s">
        <v>260</v>
      </c>
      <c r="H1022" s="48" t="s">
        <v>48</v>
      </c>
      <c r="I1022" s="3" t="s">
        <v>49</v>
      </c>
      <c r="J1022" s="3">
        <v>6.0</v>
      </c>
      <c r="K1022" s="3" t="s">
        <v>1867</v>
      </c>
      <c r="L1022" s="3" t="s">
        <v>757</v>
      </c>
      <c r="M1022" s="3" t="s">
        <v>1868</v>
      </c>
      <c r="N1022" s="6" t="s">
        <v>1869</v>
      </c>
      <c r="O1022" s="6" t="s">
        <v>1870</v>
      </c>
      <c r="P1022" s="3">
        <v>3220.0</v>
      </c>
      <c r="Q1022" s="3">
        <v>1.0</v>
      </c>
    </row>
    <row r="1023">
      <c r="A1023" s="3" t="s">
        <v>1864</v>
      </c>
      <c r="B1023" s="3" t="s">
        <v>1865</v>
      </c>
      <c r="C1023" s="19" t="s">
        <v>1866</v>
      </c>
      <c r="D1023" s="3" t="s">
        <v>472</v>
      </c>
      <c r="E1023" s="3" t="s">
        <v>1871</v>
      </c>
      <c r="F1023" s="7" t="s">
        <v>60</v>
      </c>
      <c r="H1023" s="48" t="s">
        <v>48</v>
      </c>
      <c r="I1023" s="3" t="s">
        <v>49</v>
      </c>
      <c r="J1023" s="3">
        <v>6.0</v>
      </c>
      <c r="K1023" s="3" t="s">
        <v>1867</v>
      </c>
      <c r="L1023" s="3" t="s">
        <v>757</v>
      </c>
      <c r="M1023" s="3" t="s">
        <v>1868</v>
      </c>
      <c r="N1023" s="6" t="s">
        <v>1869</v>
      </c>
      <c r="O1023" s="6" t="s">
        <v>1870</v>
      </c>
      <c r="P1023" s="3">
        <v>3220.0</v>
      </c>
      <c r="Q1023" s="45" t="s">
        <v>60</v>
      </c>
    </row>
    <row r="1024">
      <c r="A1024" s="3" t="s">
        <v>1864</v>
      </c>
      <c r="B1024" s="3" t="s">
        <v>1865</v>
      </c>
      <c r="C1024" s="19" t="s">
        <v>1866</v>
      </c>
      <c r="D1024" s="3" t="s">
        <v>472</v>
      </c>
      <c r="E1024" s="3" t="s">
        <v>1872</v>
      </c>
      <c r="F1024" s="7" t="s">
        <v>60</v>
      </c>
      <c r="H1024" s="48" t="s">
        <v>48</v>
      </c>
      <c r="I1024" s="3" t="s">
        <v>49</v>
      </c>
      <c r="J1024" s="3">
        <v>2.0</v>
      </c>
      <c r="K1024" s="3" t="s">
        <v>1867</v>
      </c>
      <c r="L1024" s="3" t="s">
        <v>757</v>
      </c>
      <c r="M1024" s="3" t="s">
        <v>1868</v>
      </c>
      <c r="N1024" s="6" t="s">
        <v>1869</v>
      </c>
      <c r="O1024" s="6" t="s">
        <v>1870</v>
      </c>
      <c r="P1024" s="3">
        <v>3220.0</v>
      </c>
      <c r="Q1024" s="45" t="s">
        <v>60</v>
      </c>
    </row>
    <row r="1025">
      <c r="A1025" s="3" t="s">
        <v>1864</v>
      </c>
      <c r="B1025" s="3" t="s">
        <v>1865</v>
      </c>
      <c r="C1025" s="19" t="s">
        <v>1866</v>
      </c>
      <c r="D1025" s="3" t="s">
        <v>472</v>
      </c>
      <c r="E1025" s="27" t="s">
        <v>1873</v>
      </c>
      <c r="F1025" s="7" t="s">
        <v>60</v>
      </c>
      <c r="H1025" s="48" t="s">
        <v>48</v>
      </c>
      <c r="I1025" s="3" t="s">
        <v>49</v>
      </c>
      <c r="J1025" s="3">
        <v>2.0</v>
      </c>
      <c r="K1025" s="3" t="s">
        <v>1867</v>
      </c>
      <c r="L1025" s="3" t="s">
        <v>757</v>
      </c>
      <c r="M1025" s="3" t="s">
        <v>1868</v>
      </c>
      <c r="N1025" s="6" t="s">
        <v>1869</v>
      </c>
      <c r="O1025" s="6" t="s">
        <v>1870</v>
      </c>
      <c r="P1025" s="3">
        <v>3219.0</v>
      </c>
      <c r="Q1025" s="45" t="s">
        <v>60</v>
      </c>
    </row>
    <row r="1026">
      <c r="A1026" s="3" t="s">
        <v>1874</v>
      </c>
      <c r="B1026" s="3" t="s">
        <v>1875</v>
      </c>
      <c r="C1026" s="3" t="s">
        <v>1876</v>
      </c>
      <c r="D1026" s="3" t="s">
        <v>46</v>
      </c>
      <c r="E1026" s="3" t="s">
        <v>1877</v>
      </c>
      <c r="F1026" s="14">
        <v>46099.0</v>
      </c>
      <c r="G1026" s="12" t="s">
        <v>260</v>
      </c>
      <c r="H1026" s="3" t="s">
        <v>48</v>
      </c>
      <c r="I1026" s="3" t="s">
        <v>49</v>
      </c>
      <c r="J1026" s="3">
        <v>2.0</v>
      </c>
      <c r="K1026" s="3" t="s">
        <v>718</v>
      </c>
      <c r="L1026" s="3" t="s">
        <v>578</v>
      </c>
      <c r="M1026" s="3" t="s">
        <v>1878</v>
      </c>
      <c r="N1026" s="6" t="s">
        <v>1879</v>
      </c>
      <c r="O1026" s="6" t="s">
        <v>1880</v>
      </c>
      <c r="P1026" s="3">
        <v>2763.0</v>
      </c>
      <c r="Q1026" s="3">
        <v>1.0</v>
      </c>
    </row>
    <row r="1027">
      <c r="A1027" s="3" t="s">
        <v>1874</v>
      </c>
      <c r="B1027" s="3" t="s">
        <v>1875</v>
      </c>
      <c r="C1027" s="3" t="s">
        <v>1876</v>
      </c>
      <c r="D1027" s="3" t="s">
        <v>46</v>
      </c>
      <c r="E1027" s="3" t="s">
        <v>1881</v>
      </c>
      <c r="F1027" s="7" t="s">
        <v>60</v>
      </c>
      <c r="H1027" s="3" t="s">
        <v>48</v>
      </c>
      <c r="I1027" s="3" t="s">
        <v>49</v>
      </c>
      <c r="J1027" s="3">
        <v>2.0</v>
      </c>
      <c r="K1027" s="3" t="s">
        <v>718</v>
      </c>
      <c r="L1027" s="3" t="s">
        <v>578</v>
      </c>
      <c r="M1027" s="3" t="s">
        <v>1878</v>
      </c>
      <c r="N1027" s="6" t="s">
        <v>1879</v>
      </c>
      <c r="O1027" s="6" t="s">
        <v>1880</v>
      </c>
      <c r="P1027" s="3">
        <v>2763.0</v>
      </c>
      <c r="Q1027" s="45" t="s">
        <v>60</v>
      </c>
    </row>
    <row r="1028">
      <c r="A1028" s="3" t="s">
        <v>1874</v>
      </c>
      <c r="B1028" s="3" t="s">
        <v>1875</v>
      </c>
      <c r="C1028" s="3" t="s">
        <v>1876</v>
      </c>
      <c r="D1028" s="3" t="s">
        <v>46</v>
      </c>
      <c r="E1028" s="3" t="s">
        <v>1882</v>
      </c>
      <c r="F1028" s="7" t="s">
        <v>60</v>
      </c>
      <c r="H1028" s="3" t="s">
        <v>48</v>
      </c>
      <c r="I1028" s="3" t="s">
        <v>49</v>
      </c>
      <c r="J1028" s="3">
        <v>2.0</v>
      </c>
      <c r="K1028" s="3" t="s">
        <v>718</v>
      </c>
      <c r="L1028" s="3" t="s">
        <v>578</v>
      </c>
      <c r="M1028" s="3" t="s">
        <v>1878</v>
      </c>
      <c r="N1028" s="6" t="s">
        <v>1879</v>
      </c>
      <c r="O1028" s="6" t="s">
        <v>1880</v>
      </c>
      <c r="P1028" s="3">
        <v>2763.0</v>
      </c>
      <c r="Q1028" s="45" t="s">
        <v>60</v>
      </c>
    </row>
    <row r="1030">
      <c r="E1030" s="3"/>
    </row>
    <row r="1031">
      <c r="E1031" s="3"/>
    </row>
    <row r="1032">
      <c r="E1032" s="3"/>
    </row>
    <row r="1033">
      <c r="E1033" s="3"/>
    </row>
    <row r="1034">
      <c r="E1034" s="3"/>
    </row>
    <row r="1035">
      <c r="E1035" s="3"/>
    </row>
    <row r="1036">
      <c r="E1036" s="3"/>
    </row>
    <row r="1037">
      <c r="E1037" s="3"/>
    </row>
    <row r="1038">
      <c r="E1038" s="3"/>
    </row>
    <row r="1039">
      <c r="E1039" s="3"/>
    </row>
    <row r="1040">
      <c r="E1040" s="3"/>
    </row>
    <row r="1041">
      <c r="E1041" s="3"/>
    </row>
    <row r="1042">
      <c r="E1042" s="3"/>
    </row>
    <row r="1043">
      <c r="E1043" s="3"/>
    </row>
    <row r="1044">
      <c r="E1044" s="3"/>
    </row>
    <row r="1045">
      <c r="E1045" s="3"/>
    </row>
    <row r="1046">
      <c r="E1046" s="3"/>
    </row>
    <row r="1047">
      <c r="E1047" s="3"/>
    </row>
    <row r="1048">
      <c r="E1048" s="3"/>
    </row>
    <row r="1049">
      <c r="E1049" s="3"/>
    </row>
    <row r="1050">
      <c r="E1050" s="3"/>
    </row>
    <row r="1051">
      <c r="E1051" s="3"/>
    </row>
    <row r="1052">
      <c r="E1052" s="3"/>
    </row>
    <row r="1053">
      <c r="E1053" s="3"/>
    </row>
    <row r="1054">
      <c r="E1054" s="3"/>
    </row>
    <row r="1055">
      <c r="E1055" s="3"/>
    </row>
    <row r="1056">
      <c r="E1056" s="3"/>
    </row>
    <row r="1057">
      <c r="E1057" s="3"/>
    </row>
    <row r="1058">
      <c r="E1058" s="3"/>
    </row>
    <row r="1059">
      <c r="E1059" s="3"/>
    </row>
    <row r="1060">
      <c r="E1060" s="3"/>
    </row>
    <row r="1061">
      <c r="E1061" s="3"/>
    </row>
    <row r="1062">
      <c r="E1062" s="3"/>
    </row>
    <row r="1063">
      <c r="E1063" s="3"/>
    </row>
    <row r="1064">
      <c r="E1064" s="3"/>
    </row>
    <row r="1065">
      <c r="E1065" s="3"/>
    </row>
    <row r="1066">
      <c r="E1066" s="3"/>
    </row>
    <row r="1067">
      <c r="E1067" s="3"/>
    </row>
    <row r="1068">
      <c r="E1068" s="3"/>
    </row>
    <row r="1069">
      <c r="E1069" s="3"/>
    </row>
    <row r="1070">
      <c r="E1070" s="3"/>
    </row>
    <row r="1071">
      <c r="E1071" s="3"/>
    </row>
    <row r="1072">
      <c r="E1072" s="3"/>
    </row>
    <row r="1073">
      <c r="E1073" s="3"/>
    </row>
    <row r="1074">
      <c r="E1074" s="3"/>
    </row>
    <row r="1075">
      <c r="E1075" s="3"/>
    </row>
    <row r="1076">
      <c r="E1076" s="3"/>
    </row>
    <row r="1077">
      <c r="E1077" s="3"/>
    </row>
    <row r="1078">
      <c r="E1078" s="3"/>
    </row>
    <row r="1079">
      <c r="E1079" s="3"/>
    </row>
    <row r="1080">
      <c r="E1080" s="3"/>
    </row>
    <row r="1081">
      <c r="E1081" s="3"/>
    </row>
    <row r="1082">
      <c r="E1082" s="3"/>
    </row>
    <row r="1083">
      <c r="E1083" s="3"/>
    </row>
    <row r="1084">
      <c r="E1084" s="3"/>
    </row>
    <row r="1085">
      <c r="E1085" s="3"/>
    </row>
    <row r="1086">
      <c r="E1086" s="3"/>
    </row>
    <row r="1087">
      <c r="E1087" s="3"/>
    </row>
    <row r="1088">
      <c r="E1088" s="3"/>
    </row>
    <row r="1089">
      <c r="E1089" s="3"/>
    </row>
    <row r="1090">
      <c r="E1090" s="3"/>
    </row>
    <row r="1091">
      <c r="E1091" s="3"/>
    </row>
    <row r="1092">
      <c r="E1092" s="3"/>
    </row>
    <row r="1093">
      <c r="E1093" s="3"/>
    </row>
    <row r="1094">
      <c r="E1094" s="3"/>
    </row>
    <row r="1095">
      <c r="E1095" s="3"/>
    </row>
    <row r="1096">
      <c r="E1096" s="3"/>
    </row>
    <row r="1097">
      <c r="E1097" s="3"/>
    </row>
    <row r="1098">
      <c r="E1098" s="3"/>
    </row>
    <row r="1099">
      <c r="E1099" s="3"/>
    </row>
    <row r="1100">
      <c r="E1100" s="3"/>
    </row>
    <row r="1101">
      <c r="E1101" s="3"/>
    </row>
    <row r="1102">
      <c r="E1102" s="3"/>
    </row>
    <row r="1103">
      <c r="E1103" s="3"/>
    </row>
    <row r="1104">
      <c r="E1104" s="3"/>
    </row>
    <row r="1105">
      <c r="E1105" s="3"/>
    </row>
    <row r="1106">
      <c r="E1106" s="3"/>
    </row>
    <row r="1107">
      <c r="E1107" s="3"/>
    </row>
    <row r="1108">
      <c r="E1108" s="3"/>
    </row>
    <row r="1109">
      <c r="E1109" s="3"/>
    </row>
    <row r="1110">
      <c r="E1110" s="3"/>
    </row>
    <row r="1111">
      <c r="E1111" s="3"/>
    </row>
    <row r="1112">
      <c r="E1112" s="3"/>
    </row>
    <row r="1113">
      <c r="E1113" s="3"/>
    </row>
    <row r="1114">
      <c r="E1114" s="3"/>
    </row>
    <row r="1115">
      <c r="E1115" s="3"/>
    </row>
    <row r="1116">
      <c r="E1116" s="3"/>
    </row>
    <row r="1117">
      <c r="E1117" s="3"/>
    </row>
    <row r="1118">
      <c r="E1118" s="3"/>
    </row>
    <row r="1119">
      <c r="E1119" s="3"/>
    </row>
    <row r="1120">
      <c r="E1120" s="3"/>
    </row>
    <row r="1121">
      <c r="E1121" s="3"/>
    </row>
    <row r="1122">
      <c r="E1122" s="3"/>
    </row>
    <row r="1123">
      <c r="E1123" s="3"/>
    </row>
    <row r="1124">
      <c r="E1124" s="3"/>
    </row>
    <row r="1125">
      <c r="E1125" s="3"/>
    </row>
    <row r="1126">
      <c r="E1126" s="3"/>
    </row>
    <row r="1127">
      <c r="E1127" s="3"/>
    </row>
    <row r="1128">
      <c r="E1128" s="3"/>
    </row>
    <row r="1129">
      <c r="E1129" s="3"/>
    </row>
    <row r="1130">
      <c r="E1130" s="3"/>
    </row>
    <row r="1131">
      <c r="E1131" s="3"/>
    </row>
    <row r="1132">
      <c r="E1132" s="3"/>
    </row>
    <row r="1133">
      <c r="E1133" s="3"/>
    </row>
    <row r="1134">
      <c r="E1134" s="3"/>
    </row>
    <row r="1135">
      <c r="E1135" s="3"/>
    </row>
    <row r="1136">
      <c r="E1136" s="3"/>
    </row>
    <row r="1137">
      <c r="E1137" s="3"/>
    </row>
    <row r="1138">
      <c r="E1138" s="3"/>
    </row>
    <row r="1139">
      <c r="E1139" s="3"/>
    </row>
    <row r="1140">
      <c r="E1140" s="3"/>
    </row>
    <row r="1141">
      <c r="E1141" s="3"/>
    </row>
    <row r="1142">
      <c r="E1142" s="3"/>
    </row>
    <row r="1143">
      <c r="E1143" s="3"/>
    </row>
    <row r="1144">
      <c r="E1144" s="3"/>
    </row>
    <row r="1145">
      <c r="E1145" s="3"/>
    </row>
    <row r="1146">
      <c r="E1146" s="3"/>
    </row>
    <row r="1147">
      <c r="E1147" s="3"/>
    </row>
    <row r="1148">
      <c r="E1148" s="3"/>
    </row>
    <row r="1149">
      <c r="E1149" s="3"/>
    </row>
    <row r="1150">
      <c r="E1150" s="3"/>
    </row>
    <row r="1151">
      <c r="E1151" s="3"/>
    </row>
    <row r="1152">
      <c r="E1152" s="3"/>
    </row>
    <row r="1153">
      <c r="E1153" s="3"/>
    </row>
    <row r="1154">
      <c r="E1154" s="3"/>
    </row>
    <row r="1155">
      <c r="E1155" s="3"/>
    </row>
    <row r="1156">
      <c r="E1156" s="3"/>
    </row>
    <row r="1157">
      <c r="E1157" s="3"/>
    </row>
    <row r="1158">
      <c r="E1158" s="3"/>
    </row>
    <row r="1159">
      <c r="E1159" s="3"/>
    </row>
    <row r="1160">
      <c r="E1160" s="3"/>
    </row>
    <row r="1161">
      <c r="E1161" s="3"/>
    </row>
    <row r="1162">
      <c r="E1162" s="3"/>
    </row>
    <row r="1163">
      <c r="E1163" s="3"/>
    </row>
    <row r="1164">
      <c r="E1164" s="3"/>
    </row>
    <row r="1165">
      <c r="E1165" s="3"/>
    </row>
    <row r="1166">
      <c r="E1166" s="3"/>
    </row>
    <row r="1167">
      <c r="E1167" s="3"/>
    </row>
    <row r="1168">
      <c r="E1168" s="3"/>
    </row>
    <row r="1169">
      <c r="E1169" s="3"/>
    </row>
    <row r="1170">
      <c r="E1170" s="3"/>
    </row>
    <row r="1171">
      <c r="E1171" s="3"/>
    </row>
    <row r="1172">
      <c r="E1172" s="3"/>
    </row>
    <row r="1173">
      <c r="E1173" s="3"/>
    </row>
    <row r="1174">
      <c r="E1174" s="3"/>
    </row>
    <row r="1175">
      <c r="E1175" s="3"/>
    </row>
    <row r="1176">
      <c r="E1176" s="3"/>
    </row>
    <row r="1177">
      <c r="E1177" s="3"/>
    </row>
    <row r="1178">
      <c r="E1178" s="3"/>
    </row>
    <row r="1179">
      <c r="E1179" s="3"/>
    </row>
    <row r="1180">
      <c r="E1180" s="3"/>
    </row>
    <row r="1181">
      <c r="E1181" s="3"/>
    </row>
    <row r="1182">
      <c r="E1182" s="3"/>
    </row>
    <row r="1183">
      <c r="E1183" s="3"/>
    </row>
    <row r="1184">
      <c r="E1184" s="3"/>
    </row>
    <row r="1185">
      <c r="E1185" s="3"/>
    </row>
    <row r="1186">
      <c r="E1186" s="3"/>
    </row>
    <row r="1187">
      <c r="E1187" s="3"/>
    </row>
    <row r="1188">
      <c r="E1188" s="3"/>
    </row>
    <row r="1189">
      <c r="E1189" s="3"/>
    </row>
    <row r="1190">
      <c r="E1190" s="3"/>
    </row>
    <row r="1191">
      <c r="E1191" s="3"/>
    </row>
    <row r="1192">
      <c r="E1192" s="3"/>
    </row>
    <row r="1193">
      <c r="E1193" s="3"/>
    </row>
    <row r="1194">
      <c r="E1194" s="3"/>
    </row>
    <row r="1195">
      <c r="E1195" s="3"/>
    </row>
    <row r="1196">
      <c r="E1196" s="3"/>
    </row>
    <row r="1197">
      <c r="E1197" s="3"/>
    </row>
    <row r="1198">
      <c r="E1198" s="3"/>
    </row>
    <row r="1199">
      <c r="E1199" s="3"/>
    </row>
    <row r="1200">
      <c r="E1200" s="3"/>
    </row>
    <row r="1201">
      <c r="E1201" s="3"/>
    </row>
    <row r="1202">
      <c r="E1202" s="3"/>
    </row>
    <row r="1203">
      <c r="E1203" s="3"/>
    </row>
    <row r="1204">
      <c r="E1204" s="3"/>
    </row>
    <row r="1205">
      <c r="E1205" s="3"/>
    </row>
    <row r="1206">
      <c r="E1206" s="3"/>
    </row>
    <row r="1207">
      <c r="E1207" s="3"/>
    </row>
    <row r="1208">
      <c r="E1208" s="3"/>
    </row>
    <row r="1209">
      <c r="E1209" s="3"/>
    </row>
    <row r="1210">
      <c r="E1210" s="3"/>
    </row>
    <row r="1211">
      <c r="E1211" s="3"/>
    </row>
    <row r="1212">
      <c r="E1212" s="3"/>
    </row>
    <row r="1213">
      <c r="E1213" s="3"/>
    </row>
    <row r="1214">
      <c r="E1214" s="3"/>
    </row>
    <row r="1215">
      <c r="E1215" s="3"/>
    </row>
    <row r="1216">
      <c r="E1216" s="3"/>
    </row>
    <row r="1217">
      <c r="E1217" s="3"/>
    </row>
    <row r="1218">
      <c r="E1218" s="3"/>
    </row>
    <row r="1219">
      <c r="E1219" s="3"/>
    </row>
    <row r="1220">
      <c r="E1220" s="3"/>
    </row>
    <row r="1221">
      <c r="E1221" s="3"/>
    </row>
    <row r="1222">
      <c r="E1222" s="3"/>
    </row>
    <row r="1223">
      <c r="E1223" s="3"/>
    </row>
    <row r="1224">
      <c r="E1224" s="3"/>
    </row>
    <row r="1225">
      <c r="E1225" s="3"/>
    </row>
    <row r="1226">
      <c r="E1226" s="3"/>
    </row>
    <row r="1227">
      <c r="E1227" s="3"/>
    </row>
    <row r="1228">
      <c r="E1228" s="3"/>
    </row>
    <row r="1229">
      <c r="E1229" s="3"/>
    </row>
    <row r="1230">
      <c r="E1230" s="3"/>
    </row>
    <row r="1231">
      <c r="E1231" s="3"/>
    </row>
    <row r="1232">
      <c r="E1232" s="3"/>
    </row>
    <row r="1233">
      <c r="E1233" s="3"/>
    </row>
    <row r="1234">
      <c r="E1234" s="3"/>
    </row>
    <row r="1235">
      <c r="E1235" s="3"/>
    </row>
    <row r="1236">
      <c r="E1236" s="3"/>
    </row>
    <row r="1237">
      <c r="E1237" s="3"/>
    </row>
    <row r="1238">
      <c r="E1238" s="3"/>
    </row>
    <row r="1239">
      <c r="E1239" s="3"/>
    </row>
    <row r="1240">
      <c r="E1240" s="3"/>
    </row>
    <row r="1241">
      <c r="E1241" s="3"/>
    </row>
    <row r="1242">
      <c r="E1242" s="3"/>
    </row>
    <row r="1243">
      <c r="E1243" s="3"/>
    </row>
    <row r="1244">
      <c r="E1244" s="3"/>
    </row>
    <row r="1245">
      <c r="E1245" s="3"/>
    </row>
    <row r="1246">
      <c r="E1246" s="3"/>
    </row>
    <row r="1247">
      <c r="E1247" s="3"/>
    </row>
    <row r="1248">
      <c r="E1248" s="3"/>
    </row>
    <row r="1249">
      <c r="E1249" s="3"/>
    </row>
    <row r="1250">
      <c r="E1250" s="3"/>
    </row>
    <row r="1251">
      <c r="E1251" s="3"/>
    </row>
    <row r="1252">
      <c r="E1252" s="3"/>
    </row>
    <row r="1253">
      <c r="E1253" s="3"/>
    </row>
    <row r="1254">
      <c r="E1254" s="3"/>
    </row>
    <row r="1255">
      <c r="E1255" s="3"/>
    </row>
    <row r="1256">
      <c r="E1256" s="3"/>
    </row>
    <row r="1257">
      <c r="E1257" s="3"/>
    </row>
    <row r="1258">
      <c r="E1258" s="3"/>
    </row>
    <row r="1259">
      <c r="E1259" s="3"/>
    </row>
    <row r="1260">
      <c r="E1260" s="3"/>
    </row>
    <row r="1261">
      <c r="E1261" s="3"/>
    </row>
    <row r="1262">
      <c r="E1262" s="3"/>
    </row>
    <row r="1263">
      <c r="E1263" s="3"/>
    </row>
    <row r="1264">
      <c r="E1264" s="3"/>
    </row>
    <row r="1265">
      <c r="E1265" s="3"/>
    </row>
    <row r="1266">
      <c r="E1266" s="3"/>
    </row>
    <row r="1267">
      <c r="E1267" s="3"/>
    </row>
    <row r="1268">
      <c r="E1268" s="3"/>
    </row>
    <row r="1269">
      <c r="E1269" s="3"/>
    </row>
    <row r="1270">
      <c r="E1270" s="3"/>
    </row>
    <row r="1271">
      <c r="E1271" s="3"/>
    </row>
    <row r="1272">
      <c r="E1272" s="3"/>
    </row>
    <row r="1273">
      <c r="E1273" s="3"/>
    </row>
    <row r="1274">
      <c r="E1274" s="3"/>
    </row>
    <row r="1275">
      <c r="E1275" s="3"/>
    </row>
    <row r="1276">
      <c r="E1276" s="3"/>
    </row>
    <row r="1277">
      <c r="E1277" s="3"/>
    </row>
    <row r="1278">
      <c r="E1278" s="3"/>
    </row>
    <row r="1279">
      <c r="E1279" s="3"/>
    </row>
    <row r="1280">
      <c r="E1280" s="3"/>
    </row>
    <row r="1281">
      <c r="E1281" s="3"/>
    </row>
    <row r="1282">
      <c r="E1282" s="3"/>
    </row>
    <row r="1283">
      <c r="E1283" s="3"/>
    </row>
    <row r="1284">
      <c r="E1284" s="3"/>
    </row>
    <row r="1285">
      <c r="E1285" s="3"/>
    </row>
    <row r="1286">
      <c r="E1286" s="3"/>
    </row>
    <row r="1287">
      <c r="E1287" s="3"/>
    </row>
    <row r="1288">
      <c r="E1288" s="3"/>
    </row>
    <row r="1289">
      <c r="E1289" s="3"/>
    </row>
    <row r="1290">
      <c r="E1290" s="3"/>
    </row>
    <row r="1291">
      <c r="E1291" s="3"/>
    </row>
    <row r="1292">
      <c r="E1292" s="3"/>
    </row>
    <row r="1293">
      <c r="E1293" s="3"/>
    </row>
    <row r="1294">
      <c r="E1294" s="3"/>
    </row>
    <row r="1295">
      <c r="E1295" s="3"/>
    </row>
    <row r="1296">
      <c r="E1296" s="3"/>
    </row>
    <row r="1297">
      <c r="E1297" s="3"/>
    </row>
    <row r="1298">
      <c r="E1298" s="3"/>
    </row>
    <row r="1299">
      <c r="E1299" s="3"/>
    </row>
    <row r="1300">
      <c r="E1300" s="3"/>
    </row>
    <row r="1301">
      <c r="E1301" s="3"/>
    </row>
    <row r="1302">
      <c r="E1302" s="3"/>
    </row>
    <row r="1303">
      <c r="E1303" s="3"/>
    </row>
    <row r="1304">
      <c r="E1304" s="3"/>
    </row>
    <row r="1305">
      <c r="E1305" s="3"/>
    </row>
    <row r="1306">
      <c r="E1306" s="3"/>
    </row>
    <row r="1307">
      <c r="E1307" s="3"/>
    </row>
    <row r="1308">
      <c r="E1308" s="3"/>
    </row>
    <row r="1309">
      <c r="E1309" s="3"/>
    </row>
    <row r="1310">
      <c r="E1310" s="3"/>
    </row>
    <row r="1311">
      <c r="E1311" s="3"/>
    </row>
    <row r="1312">
      <c r="E1312" s="3"/>
    </row>
    <row r="1313">
      <c r="E1313" s="3"/>
    </row>
    <row r="1314">
      <c r="E1314" s="3"/>
    </row>
    <row r="1315">
      <c r="E1315" s="3"/>
    </row>
    <row r="1316">
      <c r="E1316" s="3"/>
    </row>
    <row r="1317">
      <c r="E1317" s="3"/>
    </row>
    <row r="1318">
      <c r="E1318" s="3"/>
    </row>
    <row r="1319">
      <c r="E1319" s="3"/>
    </row>
    <row r="1320">
      <c r="E1320" s="3"/>
    </row>
    <row r="1321">
      <c r="E1321" s="3"/>
    </row>
    <row r="1322">
      <c r="E1322" s="3"/>
    </row>
    <row r="1323">
      <c r="E1323" s="3"/>
    </row>
    <row r="1324">
      <c r="E1324" s="3"/>
    </row>
    <row r="1325">
      <c r="E1325" s="3"/>
    </row>
    <row r="1326">
      <c r="E1326" s="3"/>
    </row>
    <row r="1327">
      <c r="E1327" s="3"/>
    </row>
    <row r="1328">
      <c r="E1328" s="3"/>
    </row>
    <row r="1329">
      <c r="E1329" s="3"/>
    </row>
    <row r="1330">
      <c r="E1330" s="3"/>
    </row>
    <row r="1331">
      <c r="E1331" s="3"/>
    </row>
    <row r="1332">
      <c r="E1332" s="3"/>
    </row>
    <row r="1333">
      <c r="E1333" s="3"/>
    </row>
    <row r="1334">
      <c r="E1334" s="3"/>
    </row>
    <row r="1335">
      <c r="E1335" s="3"/>
    </row>
    <row r="1336">
      <c r="E1336" s="3"/>
    </row>
    <row r="1337">
      <c r="E1337" s="3"/>
    </row>
    <row r="1338">
      <c r="E1338" s="3"/>
    </row>
    <row r="1339">
      <c r="E1339" s="3"/>
    </row>
    <row r="1340">
      <c r="E1340" s="3"/>
    </row>
    <row r="1341">
      <c r="E1341" s="3"/>
    </row>
    <row r="1342">
      <c r="E1342" s="3"/>
    </row>
    <row r="1343">
      <c r="E1343" s="3"/>
    </row>
    <row r="1344">
      <c r="E1344" s="3"/>
    </row>
    <row r="1345">
      <c r="E1345" s="3"/>
    </row>
    <row r="1346">
      <c r="E1346" s="3"/>
    </row>
    <row r="1347">
      <c r="E1347" s="3"/>
    </row>
    <row r="1348">
      <c r="E1348" s="3"/>
    </row>
    <row r="1349">
      <c r="E1349" s="3"/>
    </row>
    <row r="1350">
      <c r="E1350" s="3"/>
    </row>
    <row r="1351">
      <c r="E1351" s="3"/>
    </row>
    <row r="1352">
      <c r="E1352" s="3"/>
    </row>
    <row r="1353">
      <c r="E1353" s="3"/>
    </row>
    <row r="1354">
      <c r="E1354" s="3"/>
    </row>
    <row r="1355">
      <c r="E1355" s="3"/>
    </row>
    <row r="1356">
      <c r="E1356" s="3"/>
    </row>
    <row r="1357">
      <c r="E1357" s="3"/>
    </row>
    <row r="1358">
      <c r="E1358" s="3"/>
    </row>
    <row r="1359">
      <c r="E1359" s="3"/>
    </row>
    <row r="1360">
      <c r="E1360" s="3"/>
    </row>
    <row r="1361">
      <c r="E1361" s="3"/>
    </row>
    <row r="1362">
      <c r="E1362" s="3"/>
    </row>
    <row r="1363">
      <c r="E1363" s="3"/>
    </row>
    <row r="1364">
      <c r="E1364" s="3"/>
    </row>
    <row r="1365">
      <c r="E1365" s="3"/>
    </row>
    <row r="1366">
      <c r="E1366" s="3"/>
    </row>
    <row r="1367">
      <c r="E1367" s="3"/>
    </row>
    <row r="1368">
      <c r="E1368" s="3"/>
    </row>
    <row r="1369">
      <c r="E1369" s="3"/>
    </row>
    <row r="1370">
      <c r="E1370" s="3"/>
    </row>
    <row r="1371">
      <c r="E1371" s="3"/>
    </row>
    <row r="1372">
      <c r="E1372" s="3"/>
    </row>
    <row r="1373">
      <c r="E1373" s="3"/>
    </row>
    <row r="1374">
      <c r="E1374" s="3"/>
    </row>
    <row r="1375">
      <c r="E1375" s="3"/>
    </row>
    <row r="1376">
      <c r="E1376" s="3"/>
    </row>
    <row r="1377">
      <c r="E1377" s="3"/>
    </row>
    <row r="1378">
      <c r="E1378" s="3"/>
    </row>
    <row r="1379">
      <c r="E1379" s="3"/>
    </row>
    <row r="1380">
      <c r="E1380" s="3"/>
    </row>
    <row r="1381">
      <c r="E1381" s="3"/>
    </row>
    <row r="1382">
      <c r="E1382" s="3"/>
    </row>
    <row r="1383">
      <c r="E1383" s="3"/>
    </row>
    <row r="1384">
      <c r="E1384" s="3"/>
    </row>
    <row r="1385">
      <c r="E1385" s="3"/>
    </row>
    <row r="1386">
      <c r="E1386" s="3"/>
    </row>
    <row r="1387">
      <c r="E1387" s="3"/>
    </row>
    <row r="1388">
      <c r="E1388" s="3"/>
    </row>
    <row r="1389">
      <c r="E1389" s="3"/>
    </row>
    <row r="1390">
      <c r="E1390" s="3"/>
    </row>
    <row r="1391">
      <c r="E1391" s="3"/>
    </row>
    <row r="1392">
      <c r="E1392" s="3"/>
    </row>
    <row r="1393">
      <c r="E1393" s="3"/>
    </row>
    <row r="1394">
      <c r="E1394" s="3"/>
    </row>
    <row r="1395">
      <c r="E1395" s="3"/>
    </row>
    <row r="1396">
      <c r="E1396" s="3"/>
    </row>
    <row r="1397">
      <c r="E1397" s="3"/>
    </row>
    <row r="1398">
      <c r="E1398" s="3"/>
    </row>
  </sheetData>
  <conditionalFormatting sqref="E191:E193">
    <cfRule type="expression" dxfId="0" priority="1">
      <formula>COUNTIFS(#REF!,D191,#REF!,E191,#REF!,P191)&gt;1</formula>
    </cfRule>
  </conditionalFormatting>
  <conditionalFormatting sqref="E961">
    <cfRule type="expression" dxfId="0" priority="2">
      <formula>COUNTIFS(D$2:D1398,D963,E$2:E1398,E961,P$2:P1398,P963)&gt;1</formula>
    </cfRule>
  </conditionalFormatting>
  <conditionalFormatting sqref="S139">
    <cfRule type="cellIs" dxfId="1" priority="3" operator="equal">
      <formula>"Cancelled"</formula>
    </cfRule>
  </conditionalFormatting>
  <conditionalFormatting sqref="E2:E1398">
    <cfRule type="expression" dxfId="0" priority="4">
      <formula>COUNTIFS(D$2:D1398,D2,E$2:E1398,E2,P$2:P1398,P2)&gt;1</formula>
    </cfRule>
  </conditionalFormatting>
  <conditionalFormatting sqref="T16">
    <cfRule type="expression" dxfId="2" priority="5">
      <formula>COUNTIF(E:E,E1)&gt;1</formula>
    </cfRule>
  </conditionalFormatting>
  <conditionalFormatting sqref="P2:P1398 O1027:O1028">
    <cfRule type="expression" dxfId="2" priority="6">
      <formula>AND($P2&lt;&gt;"",COUNTIF($P$2:$P1398,$P2)&gt;1,COUNTIFS($P$2:$P1398,$P2,$A$2:$A1398,"&lt;&gt;"&amp;$A2)&gt;0)</formula>
    </cfRule>
  </conditionalFormatting>
  <dataValidations>
    <dataValidation type="list" allowBlank="1" showErrorMessage="1" sqref="S139:S141">
      <formula1>"Active,Complimentary,Paused,Cancelled"</formula1>
    </dataValidation>
  </dataValidations>
  <hyperlinks>
    <hyperlink r:id="rId1" ref="N2"/>
    <hyperlink r:id="rId2" ref="O2"/>
    <hyperlink r:id="rId3" ref="N3"/>
    <hyperlink r:id="rId4" ref="O3"/>
    <hyperlink r:id="rId5" ref="N4"/>
    <hyperlink r:id="rId6" ref="O4"/>
    <hyperlink r:id="rId7" ref="N5"/>
    <hyperlink r:id="rId8" ref="O5"/>
    <hyperlink r:id="rId9" ref="N6"/>
    <hyperlink r:id="rId10" ref="O6"/>
    <hyperlink r:id="rId11" ref="N7"/>
    <hyperlink r:id="rId12" ref="O7"/>
    <hyperlink r:id="rId13" ref="N8"/>
    <hyperlink r:id="rId14" ref="O8"/>
    <hyperlink r:id="rId15" ref="N9"/>
    <hyperlink r:id="rId16" ref="O9"/>
    <hyperlink r:id="rId17" ref="N10"/>
    <hyperlink r:id="rId18" ref="O10"/>
    <hyperlink r:id="rId19" ref="N11"/>
    <hyperlink r:id="rId20" ref="O11"/>
    <hyperlink r:id="rId21" ref="N12"/>
    <hyperlink r:id="rId22" ref="O12"/>
    <hyperlink r:id="rId23" ref="N13"/>
    <hyperlink r:id="rId24" ref="O13"/>
    <hyperlink r:id="rId25" ref="N14"/>
    <hyperlink r:id="rId26" ref="O14"/>
    <hyperlink r:id="rId27" ref="N15"/>
    <hyperlink r:id="rId28" ref="O15"/>
    <hyperlink r:id="rId29" ref="N17"/>
    <hyperlink r:id="rId30" ref="O17"/>
    <hyperlink r:id="rId31" ref="N18"/>
    <hyperlink r:id="rId32" ref="O18"/>
    <hyperlink r:id="rId33" ref="N19"/>
    <hyperlink r:id="rId34" ref="O19"/>
    <hyperlink r:id="rId35" ref="N20"/>
    <hyperlink r:id="rId36" ref="O20"/>
    <hyperlink r:id="rId37" ref="N21"/>
    <hyperlink r:id="rId38" ref="O21"/>
    <hyperlink r:id="rId39" ref="N22"/>
    <hyperlink r:id="rId40" ref="O22"/>
    <hyperlink r:id="rId41" ref="N23"/>
    <hyperlink r:id="rId42" ref="O23"/>
    <hyperlink r:id="rId43" ref="N24"/>
    <hyperlink r:id="rId44" ref="O24"/>
    <hyperlink r:id="rId45" ref="N25"/>
    <hyperlink r:id="rId46" ref="O25"/>
    <hyperlink r:id="rId47" ref="N26"/>
    <hyperlink r:id="rId48" ref="O26"/>
    <hyperlink r:id="rId49" ref="N27"/>
    <hyperlink r:id="rId50" ref="O27"/>
    <hyperlink r:id="rId51" ref="N28"/>
    <hyperlink r:id="rId52" ref="O28"/>
    <hyperlink r:id="rId53" ref="N29"/>
    <hyperlink r:id="rId54" ref="O29"/>
    <hyperlink r:id="rId55" ref="N30"/>
    <hyperlink r:id="rId56" ref="O30"/>
    <hyperlink r:id="rId57" ref="N31"/>
    <hyperlink r:id="rId58" ref="O31"/>
    <hyperlink r:id="rId59" ref="N32"/>
    <hyperlink r:id="rId60" ref="O32"/>
    <hyperlink r:id="rId61" ref="N33"/>
    <hyperlink r:id="rId62" ref="O33"/>
    <hyperlink r:id="rId63" ref="N34"/>
    <hyperlink r:id="rId64" ref="O34"/>
    <hyperlink r:id="rId65" ref="N35"/>
    <hyperlink r:id="rId66" ref="O35"/>
    <hyperlink r:id="rId67" ref="N36"/>
    <hyperlink r:id="rId68" ref="O36"/>
    <hyperlink r:id="rId69" ref="N37"/>
    <hyperlink r:id="rId70" ref="O37"/>
    <hyperlink r:id="rId71" ref="N38"/>
    <hyperlink r:id="rId72" ref="O38"/>
    <hyperlink r:id="rId73" ref="N39"/>
    <hyperlink r:id="rId74" ref="O39"/>
    <hyperlink r:id="rId75" ref="N40"/>
    <hyperlink r:id="rId76" ref="O40"/>
    <hyperlink r:id="rId77" ref="N41"/>
    <hyperlink r:id="rId78" ref="O41"/>
    <hyperlink r:id="rId79" ref="N42"/>
    <hyperlink r:id="rId80" ref="O42"/>
    <hyperlink r:id="rId81" ref="N43"/>
    <hyperlink r:id="rId82" ref="O43"/>
    <hyperlink r:id="rId83" ref="N44"/>
    <hyperlink r:id="rId84" ref="O44"/>
    <hyperlink r:id="rId85" ref="N45"/>
    <hyperlink r:id="rId86" ref="O45"/>
    <hyperlink r:id="rId87" ref="N46"/>
    <hyperlink r:id="rId88" ref="O46"/>
    <hyperlink r:id="rId89" ref="N47"/>
    <hyperlink r:id="rId90" ref="O47"/>
    <hyperlink r:id="rId91" ref="N48"/>
    <hyperlink r:id="rId92" ref="O48"/>
    <hyperlink r:id="rId93" ref="N49"/>
    <hyperlink r:id="rId94" ref="O49"/>
    <hyperlink r:id="rId95" ref="N50"/>
    <hyperlink r:id="rId96" ref="O50"/>
    <hyperlink r:id="rId97" ref="N51"/>
    <hyperlink r:id="rId98" ref="O51"/>
    <hyperlink r:id="rId99" ref="N52"/>
    <hyperlink r:id="rId100" ref="O52"/>
    <hyperlink r:id="rId101" ref="N53"/>
    <hyperlink r:id="rId102" ref="O53"/>
    <hyperlink r:id="rId103" ref="N54"/>
    <hyperlink r:id="rId104" ref="O54"/>
    <hyperlink r:id="rId105" ref="N55"/>
    <hyperlink r:id="rId106" ref="O55"/>
    <hyperlink r:id="rId107" ref="N56"/>
    <hyperlink r:id="rId108" ref="O56"/>
    <hyperlink r:id="rId109" ref="N57"/>
    <hyperlink r:id="rId110" ref="O57"/>
    <hyperlink r:id="rId111" ref="N58"/>
    <hyperlink r:id="rId112" ref="O58"/>
    <hyperlink r:id="rId113" ref="N59"/>
    <hyperlink r:id="rId114" ref="O59"/>
    <hyperlink r:id="rId115" ref="N60"/>
    <hyperlink r:id="rId116" ref="O60"/>
    <hyperlink r:id="rId117" ref="N61"/>
    <hyperlink r:id="rId118" ref="O61"/>
    <hyperlink r:id="rId119" ref="N62"/>
    <hyperlink r:id="rId120" ref="O62"/>
    <hyperlink r:id="rId121" ref="N63"/>
    <hyperlink r:id="rId122" ref="O63"/>
    <hyperlink r:id="rId123" ref="N64"/>
    <hyperlink r:id="rId124" ref="O64"/>
    <hyperlink r:id="rId125" ref="N65"/>
    <hyperlink r:id="rId126" ref="O65"/>
    <hyperlink r:id="rId127" ref="N66"/>
    <hyperlink r:id="rId128" ref="O66"/>
    <hyperlink r:id="rId129" ref="N67"/>
    <hyperlink r:id="rId130" ref="O67"/>
    <hyperlink r:id="rId131" ref="N68"/>
    <hyperlink r:id="rId132" ref="O68"/>
    <hyperlink r:id="rId133" ref="N69"/>
    <hyperlink r:id="rId134" ref="O69"/>
    <hyperlink r:id="rId135" ref="N70"/>
    <hyperlink r:id="rId136" ref="O70"/>
    <hyperlink r:id="rId137" ref="N71"/>
    <hyperlink r:id="rId138" ref="O71"/>
    <hyperlink r:id="rId139" ref="N72"/>
    <hyperlink r:id="rId140" ref="O72"/>
    <hyperlink r:id="rId141" ref="N73"/>
    <hyperlink r:id="rId142" ref="O73"/>
    <hyperlink r:id="rId143" ref="N74"/>
    <hyperlink r:id="rId144" ref="O74"/>
    <hyperlink r:id="rId145" ref="N75"/>
    <hyperlink r:id="rId146" ref="O75"/>
    <hyperlink r:id="rId147" ref="N76"/>
    <hyperlink r:id="rId148" ref="O76"/>
    <hyperlink r:id="rId149" ref="N77"/>
    <hyperlink r:id="rId150" ref="O77"/>
    <hyperlink r:id="rId151" ref="N78"/>
    <hyperlink r:id="rId152" ref="O78"/>
    <hyperlink r:id="rId153" ref="N79"/>
    <hyperlink r:id="rId154" ref="O79"/>
    <hyperlink r:id="rId155" ref="N80"/>
    <hyperlink r:id="rId156" ref="O80"/>
    <hyperlink r:id="rId157" ref="N81"/>
    <hyperlink r:id="rId158" ref="O81"/>
    <hyperlink r:id="rId159" ref="N82"/>
    <hyperlink r:id="rId160" ref="O82"/>
    <hyperlink r:id="rId161" ref="N83"/>
    <hyperlink r:id="rId162" ref="O83"/>
    <hyperlink r:id="rId163" ref="N84"/>
    <hyperlink r:id="rId164" ref="O84"/>
    <hyperlink r:id="rId165" ref="N85"/>
    <hyperlink r:id="rId166" ref="O85"/>
    <hyperlink r:id="rId167" ref="N86"/>
    <hyperlink r:id="rId168" ref="O86"/>
    <hyperlink r:id="rId169" ref="N87"/>
    <hyperlink r:id="rId170" ref="O87"/>
    <hyperlink r:id="rId171" ref="N88"/>
    <hyperlink r:id="rId172" ref="O88"/>
    <hyperlink r:id="rId173" ref="N89"/>
    <hyperlink r:id="rId174" ref="O89"/>
    <hyperlink r:id="rId175" ref="N90"/>
    <hyperlink r:id="rId176" ref="O90"/>
    <hyperlink r:id="rId177" ref="N91"/>
    <hyperlink r:id="rId178" ref="O91"/>
    <hyperlink r:id="rId179" ref="N92"/>
    <hyperlink r:id="rId180" ref="O92"/>
    <hyperlink r:id="rId181" ref="N93"/>
    <hyperlink r:id="rId182" ref="O93"/>
    <hyperlink r:id="rId183" ref="N94"/>
    <hyperlink r:id="rId184" ref="O94"/>
    <hyperlink r:id="rId185" ref="N95"/>
    <hyperlink r:id="rId186" ref="O95"/>
    <hyperlink r:id="rId187" ref="N96"/>
    <hyperlink r:id="rId188" ref="O96"/>
    <hyperlink r:id="rId189" ref="N97"/>
    <hyperlink r:id="rId190" ref="O97"/>
    <hyperlink r:id="rId191" ref="N98"/>
    <hyperlink r:id="rId192" ref="O98"/>
    <hyperlink r:id="rId193" ref="N99"/>
    <hyperlink r:id="rId194" ref="O99"/>
    <hyperlink r:id="rId195" ref="N100"/>
    <hyperlink r:id="rId196" ref="O100"/>
    <hyperlink r:id="rId197" ref="N101"/>
    <hyperlink r:id="rId198" ref="O101"/>
    <hyperlink r:id="rId199" ref="N102"/>
    <hyperlink r:id="rId200" ref="O102"/>
    <hyperlink r:id="rId201" ref="N103"/>
    <hyperlink r:id="rId202" ref="O103"/>
    <hyperlink r:id="rId203" ref="N104"/>
    <hyperlink r:id="rId204" ref="O104"/>
    <hyperlink r:id="rId205" ref="N105"/>
    <hyperlink r:id="rId206" ref="O105"/>
    <hyperlink r:id="rId207" ref="N106"/>
    <hyperlink r:id="rId208" ref="O106"/>
    <hyperlink r:id="rId209" ref="N107"/>
    <hyperlink r:id="rId210" ref="O107"/>
    <hyperlink r:id="rId211" ref="N108"/>
    <hyperlink r:id="rId212" ref="O108"/>
    <hyperlink r:id="rId213" ref="N109"/>
    <hyperlink r:id="rId214" ref="O109"/>
    <hyperlink r:id="rId215" ref="N110"/>
    <hyperlink r:id="rId216" ref="O110"/>
    <hyperlink r:id="rId217" ref="N111"/>
    <hyperlink r:id="rId218" ref="O111"/>
    <hyperlink r:id="rId219" ref="N112"/>
    <hyperlink r:id="rId220" ref="O112"/>
    <hyperlink r:id="rId221" ref="N113"/>
    <hyperlink r:id="rId222" ref="O113"/>
    <hyperlink r:id="rId223" ref="N114"/>
    <hyperlink r:id="rId224" ref="O114"/>
    <hyperlink r:id="rId225" ref="N115"/>
    <hyperlink r:id="rId226" ref="O115"/>
    <hyperlink r:id="rId227" ref="N116"/>
    <hyperlink r:id="rId228" ref="O116"/>
    <hyperlink r:id="rId229" ref="N117"/>
    <hyperlink r:id="rId230" ref="O117"/>
    <hyperlink r:id="rId231" ref="N118"/>
    <hyperlink r:id="rId232" ref="O118"/>
    <hyperlink r:id="rId233" ref="N119"/>
    <hyperlink r:id="rId234" ref="O119"/>
    <hyperlink r:id="rId235" ref="N120"/>
    <hyperlink r:id="rId236" ref="O120"/>
    <hyperlink r:id="rId237" ref="N121"/>
    <hyperlink r:id="rId238" ref="O121"/>
    <hyperlink r:id="rId239" ref="N122"/>
    <hyperlink r:id="rId240" ref="O122"/>
    <hyperlink r:id="rId241" ref="N123"/>
    <hyperlink r:id="rId242" ref="O123"/>
    <hyperlink r:id="rId243" ref="N124"/>
    <hyperlink r:id="rId244" ref="O124"/>
    <hyperlink r:id="rId245" ref="N125"/>
    <hyperlink r:id="rId246" ref="O125"/>
    <hyperlink r:id="rId247" ref="N126"/>
    <hyperlink r:id="rId248" ref="O126"/>
    <hyperlink r:id="rId249" ref="N127"/>
    <hyperlink r:id="rId250" ref="O127"/>
    <hyperlink r:id="rId251" ref="N128"/>
    <hyperlink r:id="rId252" ref="O128"/>
    <hyperlink r:id="rId253" ref="N129"/>
    <hyperlink r:id="rId254" ref="O129"/>
    <hyperlink r:id="rId255" ref="N130"/>
    <hyperlink r:id="rId256" ref="O130"/>
    <hyperlink r:id="rId257" ref="N131"/>
    <hyperlink r:id="rId258" ref="O131"/>
    <hyperlink r:id="rId259" ref="N132"/>
    <hyperlink r:id="rId260" ref="O132"/>
    <hyperlink r:id="rId261" ref="N133"/>
    <hyperlink r:id="rId262" ref="O133"/>
    <hyperlink r:id="rId263" ref="N134"/>
    <hyperlink r:id="rId264" ref="O134"/>
    <hyperlink r:id="rId265" ref="N135"/>
    <hyperlink r:id="rId266" ref="O135"/>
    <hyperlink r:id="rId267" ref="N136"/>
    <hyperlink r:id="rId268" ref="O136"/>
    <hyperlink r:id="rId269" ref="N137"/>
    <hyperlink r:id="rId270" ref="O137"/>
    <hyperlink r:id="rId271" ref="N138"/>
    <hyperlink r:id="rId272" ref="O138"/>
    <hyperlink r:id="rId273" ref="N139"/>
    <hyperlink r:id="rId274" ref="O139"/>
    <hyperlink r:id="rId275" ref="N140"/>
    <hyperlink r:id="rId276" ref="O140"/>
    <hyperlink r:id="rId277" ref="N141"/>
    <hyperlink r:id="rId278" ref="O141"/>
    <hyperlink r:id="rId279" ref="N142"/>
    <hyperlink r:id="rId280" ref="O142"/>
    <hyperlink r:id="rId281" ref="N143"/>
    <hyperlink r:id="rId282" ref="O143"/>
    <hyperlink r:id="rId283" ref="N144"/>
    <hyperlink r:id="rId284" ref="O144"/>
    <hyperlink r:id="rId285" ref="N145"/>
    <hyperlink r:id="rId286" ref="O145"/>
    <hyperlink r:id="rId287" ref="N146"/>
    <hyperlink r:id="rId288" ref="O146"/>
    <hyperlink r:id="rId289" ref="N147"/>
    <hyperlink r:id="rId290" ref="O147"/>
    <hyperlink r:id="rId291" ref="N148"/>
    <hyperlink r:id="rId292" ref="O148"/>
    <hyperlink r:id="rId293" ref="N149"/>
    <hyperlink r:id="rId294" ref="O149"/>
    <hyperlink r:id="rId295" ref="N150"/>
    <hyperlink r:id="rId296" ref="O150"/>
    <hyperlink r:id="rId297" ref="N151"/>
    <hyperlink r:id="rId298" ref="O151"/>
    <hyperlink r:id="rId299" ref="N152"/>
    <hyperlink r:id="rId300" ref="O152"/>
    <hyperlink r:id="rId301" ref="N153"/>
    <hyperlink r:id="rId302" ref="O153"/>
    <hyperlink r:id="rId303" ref="N154"/>
    <hyperlink r:id="rId304" ref="O154"/>
    <hyperlink r:id="rId305" ref="N155"/>
    <hyperlink r:id="rId306" ref="O155"/>
    <hyperlink r:id="rId307" ref="N156"/>
    <hyperlink r:id="rId308" ref="O156"/>
    <hyperlink r:id="rId309" ref="N157"/>
    <hyperlink r:id="rId310" ref="O157"/>
    <hyperlink r:id="rId311" ref="N158"/>
    <hyperlink r:id="rId312" ref="O158"/>
    <hyperlink r:id="rId313" ref="N159"/>
    <hyperlink r:id="rId314" ref="O159"/>
    <hyperlink r:id="rId315" ref="N160"/>
    <hyperlink r:id="rId316" ref="O160"/>
    <hyperlink r:id="rId317" ref="N161"/>
    <hyperlink r:id="rId318" ref="O161"/>
    <hyperlink r:id="rId319" ref="N162"/>
    <hyperlink r:id="rId320" ref="O162"/>
    <hyperlink r:id="rId321" ref="N163"/>
    <hyperlink r:id="rId322" ref="O163"/>
    <hyperlink r:id="rId323" ref="N164"/>
    <hyperlink r:id="rId324" ref="O164"/>
    <hyperlink r:id="rId325" ref="N165"/>
    <hyperlink r:id="rId326" ref="O165"/>
    <hyperlink r:id="rId327" ref="N166"/>
    <hyperlink r:id="rId328" ref="O166"/>
    <hyperlink r:id="rId329" ref="N167"/>
    <hyperlink r:id="rId330" ref="O167"/>
    <hyperlink r:id="rId331" ref="N168"/>
    <hyperlink r:id="rId332" ref="O168"/>
    <hyperlink r:id="rId333" ref="N169"/>
    <hyperlink r:id="rId334" ref="O169"/>
    <hyperlink r:id="rId335" ref="N170"/>
    <hyperlink r:id="rId336" ref="O170"/>
    <hyperlink r:id="rId337" ref="N171"/>
    <hyperlink r:id="rId338" ref="O171"/>
    <hyperlink r:id="rId339" ref="N172"/>
    <hyperlink r:id="rId340" ref="O172"/>
    <hyperlink r:id="rId341" ref="N173"/>
    <hyperlink r:id="rId342" ref="O173"/>
    <hyperlink r:id="rId343" ref="N174"/>
    <hyperlink r:id="rId344" ref="O174"/>
    <hyperlink r:id="rId345" ref="N175"/>
    <hyperlink r:id="rId346" ref="O175"/>
    <hyperlink r:id="rId347" ref="N176"/>
    <hyperlink r:id="rId348" ref="O176"/>
    <hyperlink r:id="rId349" ref="N177"/>
    <hyperlink r:id="rId350" ref="O177"/>
    <hyperlink r:id="rId351" ref="N178"/>
    <hyperlink r:id="rId352" ref="O178"/>
    <hyperlink r:id="rId353" ref="N179"/>
    <hyperlink r:id="rId354" ref="O179"/>
    <hyperlink r:id="rId355" ref="N180"/>
    <hyperlink r:id="rId356" ref="O180"/>
    <hyperlink r:id="rId357" ref="N181"/>
    <hyperlink r:id="rId358" ref="O181"/>
    <hyperlink r:id="rId359" ref="N182"/>
    <hyperlink r:id="rId360" ref="O182"/>
    <hyperlink r:id="rId361" ref="N183"/>
    <hyperlink r:id="rId362" ref="O183"/>
    <hyperlink r:id="rId363" ref="N184"/>
    <hyperlink r:id="rId364" ref="O184"/>
    <hyperlink r:id="rId365" ref="N185"/>
    <hyperlink r:id="rId366" ref="O185"/>
    <hyperlink r:id="rId367" ref="N186"/>
    <hyperlink r:id="rId368" ref="O186"/>
    <hyperlink r:id="rId369" ref="N187"/>
    <hyperlink r:id="rId370" ref="O187"/>
    <hyperlink r:id="rId371" ref="N188"/>
    <hyperlink r:id="rId372" ref="O188"/>
    <hyperlink r:id="rId373" ref="N189"/>
    <hyperlink r:id="rId374" ref="O189"/>
    <hyperlink r:id="rId375" ref="N190"/>
    <hyperlink r:id="rId376" ref="O190"/>
    <hyperlink r:id="rId377" ref="N191"/>
    <hyperlink r:id="rId378" ref="O191"/>
    <hyperlink r:id="rId379" ref="N192"/>
    <hyperlink r:id="rId380" ref="O192"/>
    <hyperlink r:id="rId381" ref="N193"/>
    <hyperlink r:id="rId382" ref="O193"/>
    <hyperlink r:id="rId383" ref="N194"/>
    <hyperlink r:id="rId384" ref="O194"/>
    <hyperlink r:id="rId385" ref="N195"/>
    <hyperlink r:id="rId386" ref="O195"/>
    <hyperlink r:id="rId387" ref="N196"/>
    <hyperlink r:id="rId388" ref="O196"/>
    <hyperlink r:id="rId389" ref="N197"/>
    <hyperlink r:id="rId390" ref="O197"/>
    <hyperlink r:id="rId391" ref="N198"/>
    <hyperlink r:id="rId392" ref="O198"/>
    <hyperlink r:id="rId393" ref="N199"/>
    <hyperlink r:id="rId394" ref="O199"/>
    <hyperlink r:id="rId395" ref="N200"/>
    <hyperlink r:id="rId396" ref="O200"/>
    <hyperlink r:id="rId397" ref="N201"/>
    <hyperlink r:id="rId398" ref="O201"/>
    <hyperlink r:id="rId399" ref="N202"/>
    <hyperlink r:id="rId400" ref="O202"/>
    <hyperlink r:id="rId401" ref="N203"/>
    <hyperlink r:id="rId402" ref="O203"/>
    <hyperlink r:id="rId403" ref="N204"/>
    <hyperlink r:id="rId404" ref="O204"/>
    <hyperlink r:id="rId405" ref="N205"/>
    <hyperlink r:id="rId406" ref="O205"/>
    <hyperlink r:id="rId407" ref="N206"/>
    <hyperlink r:id="rId408" ref="O206"/>
    <hyperlink r:id="rId409" ref="N207"/>
    <hyperlink r:id="rId410" ref="O207"/>
    <hyperlink r:id="rId411" ref="N208"/>
    <hyperlink r:id="rId412" ref="O208"/>
    <hyperlink r:id="rId413" ref="N209"/>
    <hyperlink r:id="rId414" ref="O209"/>
    <hyperlink r:id="rId415" ref="N210"/>
    <hyperlink r:id="rId416" ref="O210"/>
    <hyperlink r:id="rId417" ref="N211"/>
    <hyperlink r:id="rId418" ref="O211"/>
    <hyperlink r:id="rId419" ref="N212"/>
    <hyperlink r:id="rId420" ref="O212"/>
    <hyperlink r:id="rId421" ref="N213"/>
    <hyperlink r:id="rId422" ref="O213"/>
    <hyperlink r:id="rId423" ref="N214"/>
    <hyperlink r:id="rId424" ref="O214"/>
    <hyperlink r:id="rId425" ref="N215"/>
    <hyperlink r:id="rId426" ref="O215"/>
    <hyperlink r:id="rId427" ref="N216"/>
    <hyperlink r:id="rId428" ref="O216"/>
    <hyperlink r:id="rId429" ref="N217"/>
    <hyperlink r:id="rId430" ref="O217"/>
    <hyperlink r:id="rId431" ref="N218"/>
    <hyperlink r:id="rId432" ref="O218"/>
    <hyperlink r:id="rId433" ref="N219"/>
    <hyperlink r:id="rId434" ref="O219"/>
    <hyperlink r:id="rId435" ref="N220"/>
    <hyperlink r:id="rId436" ref="O220"/>
    <hyperlink r:id="rId437" ref="N221"/>
    <hyperlink r:id="rId438" ref="O221"/>
    <hyperlink r:id="rId439" ref="N222"/>
    <hyperlink r:id="rId440" ref="O222"/>
    <hyperlink r:id="rId441" ref="N223"/>
    <hyperlink r:id="rId442" ref="O223"/>
    <hyperlink r:id="rId443" ref="N224"/>
    <hyperlink r:id="rId444" ref="O224"/>
    <hyperlink r:id="rId445" ref="N225"/>
    <hyperlink r:id="rId446" ref="O225"/>
    <hyperlink r:id="rId447" ref="N226"/>
    <hyperlink r:id="rId448" ref="O226"/>
    <hyperlink r:id="rId449" ref="N227"/>
    <hyperlink r:id="rId450" ref="O227"/>
    <hyperlink r:id="rId451" ref="N228"/>
    <hyperlink r:id="rId452" ref="O228"/>
    <hyperlink r:id="rId453" ref="N229"/>
    <hyperlink r:id="rId454" ref="O229"/>
    <hyperlink r:id="rId455" ref="N230"/>
    <hyperlink r:id="rId456" ref="O230"/>
    <hyperlink r:id="rId457" ref="N231"/>
    <hyperlink r:id="rId458" ref="O231"/>
    <hyperlink r:id="rId459" ref="N232"/>
    <hyperlink r:id="rId460" ref="O232"/>
    <hyperlink r:id="rId461" ref="N233"/>
    <hyperlink r:id="rId462" ref="O233"/>
    <hyperlink r:id="rId463" ref="N234"/>
    <hyperlink r:id="rId464" ref="O234"/>
    <hyperlink r:id="rId465" ref="N235"/>
    <hyperlink r:id="rId466" ref="O235"/>
    <hyperlink r:id="rId467" ref="N236"/>
    <hyperlink r:id="rId468" ref="O236"/>
    <hyperlink r:id="rId469" ref="N237"/>
    <hyperlink r:id="rId470" ref="O237"/>
    <hyperlink r:id="rId471" ref="N238"/>
    <hyperlink r:id="rId472" ref="O238"/>
    <hyperlink r:id="rId473" ref="N239"/>
    <hyperlink r:id="rId474" ref="O239"/>
    <hyperlink r:id="rId475" ref="N240"/>
    <hyperlink r:id="rId476" ref="O240"/>
    <hyperlink r:id="rId477" ref="N241"/>
    <hyperlink r:id="rId478" ref="O241"/>
    <hyperlink r:id="rId479" ref="N242"/>
    <hyperlink r:id="rId480" ref="O242"/>
    <hyperlink r:id="rId481" ref="N243"/>
    <hyperlink r:id="rId482" ref="O243"/>
    <hyperlink r:id="rId483" ref="N244"/>
    <hyperlink r:id="rId484" ref="O244"/>
    <hyperlink r:id="rId485" ref="N245"/>
    <hyperlink r:id="rId486" ref="O245"/>
    <hyperlink r:id="rId487" ref="N246"/>
    <hyperlink r:id="rId488" ref="O246"/>
    <hyperlink r:id="rId489" ref="N247"/>
    <hyperlink r:id="rId490" ref="O247"/>
    <hyperlink r:id="rId491" ref="N248"/>
    <hyperlink r:id="rId492" ref="O248"/>
    <hyperlink r:id="rId493" ref="N249"/>
    <hyperlink r:id="rId494" ref="O249"/>
    <hyperlink r:id="rId495" ref="N250"/>
    <hyperlink r:id="rId496" ref="O250"/>
    <hyperlink r:id="rId497" ref="N251"/>
    <hyperlink r:id="rId498" ref="O251"/>
    <hyperlink r:id="rId499" ref="N252"/>
    <hyperlink r:id="rId500" ref="O252"/>
    <hyperlink r:id="rId501" ref="N253"/>
    <hyperlink r:id="rId502" ref="O253"/>
    <hyperlink r:id="rId503" ref="N254"/>
    <hyperlink r:id="rId504" ref="O254"/>
    <hyperlink r:id="rId505" ref="N255"/>
    <hyperlink r:id="rId506" ref="O255"/>
    <hyperlink r:id="rId507" ref="N256"/>
    <hyperlink r:id="rId508" ref="O256"/>
    <hyperlink r:id="rId509" ref="N257"/>
    <hyperlink r:id="rId510" ref="O257"/>
    <hyperlink r:id="rId511" ref="N258"/>
    <hyperlink r:id="rId512" ref="O258"/>
    <hyperlink r:id="rId513" ref="N259"/>
    <hyperlink r:id="rId514" ref="O259"/>
    <hyperlink r:id="rId515" ref="N260"/>
    <hyperlink r:id="rId516" ref="O260"/>
    <hyperlink r:id="rId517" ref="N261"/>
    <hyperlink r:id="rId518" ref="O261"/>
    <hyperlink r:id="rId519" ref="N262"/>
    <hyperlink r:id="rId520" ref="O262"/>
    <hyperlink r:id="rId521" ref="N263"/>
    <hyperlink r:id="rId522" ref="O263"/>
    <hyperlink r:id="rId523" ref="N264"/>
    <hyperlink r:id="rId524" ref="O264"/>
    <hyperlink r:id="rId525" ref="N265"/>
    <hyperlink r:id="rId526" ref="O265"/>
    <hyperlink r:id="rId527" ref="N266"/>
    <hyperlink r:id="rId528" ref="O266"/>
    <hyperlink r:id="rId529" ref="N267"/>
    <hyperlink r:id="rId530" ref="O267"/>
    <hyperlink r:id="rId531" ref="N268"/>
    <hyperlink r:id="rId532" ref="O268"/>
    <hyperlink r:id="rId533" ref="N269"/>
    <hyperlink r:id="rId534" ref="O269"/>
    <hyperlink r:id="rId535" ref="N270"/>
    <hyperlink r:id="rId536" ref="O270"/>
    <hyperlink r:id="rId537" ref="N271"/>
    <hyperlink r:id="rId538" ref="O271"/>
    <hyperlink r:id="rId539" ref="N272"/>
    <hyperlink r:id="rId540" ref="O272"/>
    <hyperlink r:id="rId541" ref="N273"/>
    <hyperlink r:id="rId542" ref="O273"/>
    <hyperlink r:id="rId543" ref="N274"/>
    <hyperlink r:id="rId544" ref="O274"/>
    <hyperlink r:id="rId545" ref="N275"/>
    <hyperlink r:id="rId546" ref="O275"/>
    <hyperlink r:id="rId547" ref="N276"/>
    <hyperlink r:id="rId548" ref="O276"/>
    <hyperlink r:id="rId549" ref="N277"/>
    <hyperlink r:id="rId550" ref="O277"/>
    <hyperlink r:id="rId551" ref="N278"/>
    <hyperlink r:id="rId552" ref="O278"/>
    <hyperlink r:id="rId553" ref="N279"/>
    <hyperlink r:id="rId554" ref="O279"/>
    <hyperlink r:id="rId555" ref="N280"/>
    <hyperlink r:id="rId556" ref="O280"/>
    <hyperlink r:id="rId557" ref="N281"/>
    <hyperlink r:id="rId558" ref="O281"/>
    <hyperlink r:id="rId559" ref="N282"/>
    <hyperlink r:id="rId560" ref="O282"/>
    <hyperlink r:id="rId561" ref="N283"/>
    <hyperlink r:id="rId562" ref="O283"/>
    <hyperlink r:id="rId563" ref="N284"/>
    <hyperlink r:id="rId564" ref="O284"/>
    <hyperlink r:id="rId565" ref="N285"/>
    <hyperlink r:id="rId566" ref="O285"/>
    <hyperlink r:id="rId567" ref="N286"/>
    <hyperlink r:id="rId568" ref="O286"/>
    <hyperlink r:id="rId569" ref="N287"/>
    <hyperlink r:id="rId570" ref="O287"/>
    <hyperlink r:id="rId571" ref="N288"/>
    <hyperlink r:id="rId572" ref="O288"/>
    <hyperlink r:id="rId573" ref="N289"/>
    <hyperlink r:id="rId574" ref="O289"/>
    <hyperlink r:id="rId575" ref="N290"/>
    <hyperlink r:id="rId576" ref="O290"/>
    <hyperlink r:id="rId577" ref="N291"/>
    <hyperlink r:id="rId578" ref="O291"/>
    <hyperlink r:id="rId579" ref="N292"/>
    <hyperlink r:id="rId580" ref="O292"/>
    <hyperlink r:id="rId581" ref="N293"/>
    <hyperlink r:id="rId582" ref="O293"/>
    <hyperlink r:id="rId583" ref="N294"/>
    <hyperlink r:id="rId584" ref="O294"/>
    <hyperlink r:id="rId585" ref="N295"/>
    <hyperlink r:id="rId586" ref="O295"/>
    <hyperlink r:id="rId587" ref="N296"/>
    <hyperlink r:id="rId588" ref="O296"/>
    <hyperlink r:id="rId589" ref="N297"/>
    <hyperlink r:id="rId590" ref="O297"/>
    <hyperlink r:id="rId591" ref="N298"/>
    <hyperlink r:id="rId592" ref="O298"/>
    <hyperlink r:id="rId593" ref="N299"/>
    <hyperlink r:id="rId594" ref="O299"/>
    <hyperlink r:id="rId595" ref="N300"/>
    <hyperlink r:id="rId596" ref="O300"/>
    <hyperlink r:id="rId597" ref="N301"/>
    <hyperlink r:id="rId598" ref="O301"/>
    <hyperlink r:id="rId599" ref="N302"/>
    <hyperlink r:id="rId600" ref="O302"/>
    <hyperlink r:id="rId601" ref="N303"/>
    <hyperlink r:id="rId602" ref="O303"/>
    <hyperlink r:id="rId603" ref="N304"/>
    <hyperlink r:id="rId604" ref="O304"/>
    <hyperlink r:id="rId605" ref="N305"/>
    <hyperlink r:id="rId606" ref="O305"/>
    <hyperlink r:id="rId607" ref="N306"/>
    <hyperlink r:id="rId608" ref="O306"/>
    <hyperlink r:id="rId609" ref="N307"/>
    <hyperlink r:id="rId610" ref="O307"/>
    <hyperlink r:id="rId611" ref="N308"/>
    <hyperlink r:id="rId612" ref="O308"/>
    <hyperlink r:id="rId613" ref="N309"/>
    <hyperlink r:id="rId614" ref="O309"/>
    <hyperlink r:id="rId615" ref="N310"/>
    <hyperlink r:id="rId616" ref="O310"/>
    <hyperlink r:id="rId617" ref="N311"/>
    <hyperlink r:id="rId618" ref="O311"/>
    <hyperlink r:id="rId619" ref="N312"/>
    <hyperlink r:id="rId620" ref="O312"/>
    <hyperlink r:id="rId621" ref="N313"/>
    <hyperlink r:id="rId622" ref="O313"/>
    <hyperlink r:id="rId623" ref="N314"/>
    <hyperlink r:id="rId624" ref="O314"/>
    <hyperlink r:id="rId625" ref="N315"/>
    <hyperlink r:id="rId626" ref="O315"/>
    <hyperlink r:id="rId627" ref="N316"/>
    <hyperlink r:id="rId628" ref="O316"/>
    <hyperlink r:id="rId629" ref="N317"/>
    <hyperlink r:id="rId630" ref="O317"/>
    <hyperlink r:id="rId631" ref="N318"/>
    <hyperlink r:id="rId632" ref="O318"/>
    <hyperlink r:id="rId633" ref="N319"/>
    <hyperlink r:id="rId634" ref="O319"/>
    <hyperlink r:id="rId635" ref="N320"/>
    <hyperlink r:id="rId636" ref="O320"/>
    <hyperlink r:id="rId637" ref="N321"/>
    <hyperlink r:id="rId638" ref="O321"/>
    <hyperlink r:id="rId639" ref="N322"/>
    <hyperlink r:id="rId640" ref="O322"/>
    <hyperlink r:id="rId641" ref="N323"/>
    <hyperlink r:id="rId642" ref="O323"/>
    <hyperlink r:id="rId643" ref="N324"/>
    <hyperlink r:id="rId644" ref="O324"/>
    <hyperlink r:id="rId645" ref="N325"/>
    <hyperlink r:id="rId646" ref="O325"/>
    <hyperlink r:id="rId647" ref="N326"/>
    <hyperlink r:id="rId648" ref="O326"/>
    <hyperlink r:id="rId649" ref="N327"/>
    <hyperlink r:id="rId650" ref="O327"/>
    <hyperlink r:id="rId651" ref="N328"/>
    <hyperlink r:id="rId652" ref="O328"/>
    <hyperlink r:id="rId653" ref="N329"/>
    <hyperlink r:id="rId654" ref="O329"/>
    <hyperlink r:id="rId655" ref="N330"/>
    <hyperlink r:id="rId656" ref="O330"/>
    <hyperlink r:id="rId657" ref="N331"/>
    <hyperlink r:id="rId658" ref="O331"/>
    <hyperlink r:id="rId659" ref="N332"/>
    <hyperlink r:id="rId660" ref="O332"/>
    <hyperlink r:id="rId661" ref="N333"/>
    <hyperlink r:id="rId662" ref="O333"/>
    <hyperlink r:id="rId663" ref="N334"/>
    <hyperlink r:id="rId664" ref="O334"/>
    <hyperlink r:id="rId665" ref="N335"/>
    <hyperlink r:id="rId666" ref="O335"/>
    <hyperlink r:id="rId667" ref="N336"/>
    <hyperlink r:id="rId668" ref="O336"/>
    <hyperlink r:id="rId669" ref="N337"/>
    <hyperlink r:id="rId670" ref="O337"/>
    <hyperlink r:id="rId671" ref="N338"/>
    <hyperlink r:id="rId672" ref="O338"/>
    <hyperlink r:id="rId673" ref="N339"/>
    <hyperlink r:id="rId674" ref="O339"/>
    <hyperlink r:id="rId675" ref="N340"/>
    <hyperlink r:id="rId676" ref="O340"/>
    <hyperlink r:id="rId677" ref="N341"/>
    <hyperlink r:id="rId678" ref="O341"/>
    <hyperlink r:id="rId679" ref="N342"/>
    <hyperlink r:id="rId680" ref="O342"/>
    <hyperlink r:id="rId681" ref="N343"/>
    <hyperlink r:id="rId682" ref="O343"/>
    <hyperlink r:id="rId683" ref="N344"/>
    <hyperlink r:id="rId684" ref="O344"/>
    <hyperlink r:id="rId685" ref="N345"/>
    <hyperlink r:id="rId686" ref="O345"/>
    <hyperlink r:id="rId687" ref="N346"/>
    <hyperlink r:id="rId688" ref="O346"/>
    <hyperlink r:id="rId689" ref="N347"/>
    <hyperlink r:id="rId690" ref="O347"/>
    <hyperlink r:id="rId691" ref="N348"/>
    <hyperlink r:id="rId692" ref="O348"/>
    <hyperlink r:id="rId693" ref="N349"/>
    <hyperlink r:id="rId694" ref="O349"/>
    <hyperlink r:id="rId695" ref="N350"/>
    <hyperlink r:id="rId696" ref="O350"/>
    <hyperlink r:id="rId697" ref="N351"/>
    <hyperlink r:id="rId698" ref="O351"/>
    <hyperlink r:id="rId699" ref="N352"/>
    <hyperlink r:id="rId700" ref="O352"/>
    <hyperlink r:id="rId701" ref="N353"/>
    <hyperlink r:id="rId702" ref="O353"/>
    <hyperlink r:id="rId703" ref="N354"/>
    <hyperlink r:id="rId704" ref="O354"/>
    <hyperlink r:id="rId705" ref="N355"/>
    <hyperlink r:id="rId706" ref="O355"/>
    <hyperlink r:id="rId707" ref="N356"/>
    <hyperlink r:id="rId708" ref="O356"/>
    <hyperlink r:id="rId709" ref="N357"/>
    <hyperlink r:id="rId710" ref="O357"/>
    <hyperlink r:id="rId711" ref="N358"/>
    <hyperlink r:id="rId712" ref="O358"/>
    <hyperlink r:id="rId713" ref="N359"/>
    <hyperlink r:id="rId714" ref="O359"/>
    <hyperlink r:id="rId715" ref="N360"/>
    <hyperlink r:id="rId716" ref="O360"/>
    <hyperlink r:id="rId717" ref="N361"/>
    <hyperlink r:id="rId718" ref="O361"/>
    <hyperlink r:id="rId719" ref="N362"/>
    <hyperlink r:id="rId720" ref="O362"/>
    <hyperlink r:id="rId721" ref="N363"/>
    <hyperlink r:id="rId722" ref="O363"/>
    <hyperlink r:id="rId723" ref="N364"/>
    <hyperlink r:id="rId724" ref="O364"/>
    <hyperlink r:id="rId725" ref="N365"/>
    <hyperlink r:id="rId726" ref="O365"/>
    <hyperlink r:id="rId727" ref="N366"/>
    <hyperlink r:id="rId728" ref="O366"/>
    <hyperlink r:id="rId729" ref="N367"/>
    <hyperlink r:id="rId730" ref="O367"/>
    <hyperlink r:id="rId731" ref="N368"/>
    <hyperlink r:id="rId732" ref="O368"/>
    <hyperlink r:id="rId733" ref="N369"/>
    <hyperlink r:id="rId734" ref="O369"/>
    <hyperlink r:id="rId735" ref="N370"/>
    <hyperlink r:id="rId736" ref="O370"/>
    <hyperlink r:id="rId737" ref="N371"/>
    <hyperlink r:id="rId738" ref="O371"/>
    <hyperlink r:id="rId739" ref="N372"/>
    <hyperlink r:id="rId740" ref="O372"/>
    <hyperlink r:id="rId741" ref="N373"/>
    <hyperlink r:id="rId742" ref="O373"/>
    <hyperlink r:id="rId743" ref="N374"/>
    <hyperlink r:id="rId744" ref="O374"/>
    <hyperlink r:id="rId745" ref="N375"/>
    <hyperlink r:id="rId746" ref="O375"/>
    <hyperlink r:id="rId747" ref="N376"/>
    <hyperlink r:id="rId748" ref="O376"/>
    <hyperlink r:id="rId749" ref="N377"/>
    <hyperlink r:id="rId750" ref="O377"/>
    <hyperlink r:id="rId751" ref="N378"/>
    <hyperlink r:id="rId752" ref="O378"/>
    <hyperlink r:id="rId753" ref="N379"/>
    <hyperlink r:id="rId754" ref="O379"/>
    <hyperlink r:id="rId755" ref="N380"/>
    <hyperlink r:id="rId756" ref="O380"/>
    <hyperlink r:id="rId757" ref="N381"/>
    <hyperlink r:id="rId758" ref="O381"/>
    <hyperlink r:id="rId759" ref="N382"/>
    <hyperlink r:id="rId760" ref="O382"/>
    <hyperlink r:id="rId761" ref="N383"/>
    <hyperlink r:id="rId762" ref="O383"/>
    <hyperlink r:id="rId763" ref="N384"/>
    <hyperlink r:id="rId764" ref="O384"/>
    <hyperlink r:id="rId765" ref="N385"/>
    <hyperlink r:id="rId766" ref="O385"/>
    <hyperlink r:id="rId767" ref="N386"/>
    <hyperlink r:id="rId768" ref="O386"/>
    <hyperlink r:id="rId769" ref="N387"/>
    <hyperlink r:id="rId770" ref="O387"/>
    <hyperlink r:id="rId771" ref="N388"/>
    <hyperlink r:id="rId772" ref="O388"/>
    <hyperlink r:id="rId773" ref="N389"/>
    <hyperlink r:id="rId774" ref="O389"/>
    <hyperlink r:id="rId775" ref="N390"/>
    <hyperlink r:id="rId776" ref="O390"/>
    <hyperlink r:id="rId777" ref="N391"/>
    <hyperlink r:id="rId778" ref="O391"/>
    <hyperlink r:id="rId779" ref="N392"/>
    <hyperlink r:id="rId780" ref="O392"/>
    <hyperlink r:id="rId781" ref="N393"/>
    <hyperlink r:id="rId782" ref="O393"/>
    <hyperlink r:id="rId783" ref="N394"/>
    <hyperlink r:id="rId784" ref="O394"/>
    <hyperlink r:id="rId785" ref="N395"/>
    <hyperlink r:id="rId786" ref="O395"/>
    <hyperlink r:id="rId787" ref="N396"/>
    <hyperlink r:id="rId788" ref="O396"/>
    <hyperlink r:id="rId789" ref="N397"/>
    <hyperlink r:id="rId790" ref="O397"/>
    <hyperlink r:id="rId791" ref="N398"/>
    <hyperlink r:id="rId792" ref="O398"/>
    <hyperlink r:id="rId793" ref="N399"/>
    <hyperlink r:id="rId794" ref="O399"/>
    <hyperlink r:id="rId795" ref="N400"/>
    <hyperlink r:id="rId796" ref="O400"/>
    <hyperlink r:id="rId797" ref="N401"/>
    <hyperlink r:id="rId798" ref="O401"/>
    <hyperlink r:id="rId799" ref="N402"/>
    <hyperlink r:id="rId800" ref="O402"/>
    <hyperlink r:id="rId801" ref="N403"/>
    <hyperlink r:id="rId802" ref="O403"/>
    <hyperlink r:id="rId803" ref="N404"/>
    <hyperlink r:id="rId804" ref="O404"/>
    <hyperlink r:id="rId805" ref="N405"/>
    <hyperlink r:id="rId806" ref="O405"/>
    <hyperlink r:id="rId807" ref="N406"/>
    <hyperlink r:id="rId808" ref="O406"/>
    <hyperlink r:id="rId809" ref="N407"/>
    <hyperlink r:id="rId810" ref="O407"/>
    <hyperlink r:id="rId811" ref="N408"/>
    <hyperlink r:id="rId812" ref="O408"/>
    <hyperlink r:id="rId813" ref="N409"/>
    <hyperlink r:id="rId814" ref="O409"/>
    <hyperlink r:id="rId815" ref="N410"/>
    <hyperlink r:id="rId816" ref="O410"/>
    <hyperlink r:id="rId817" ref="N411"/>
    <hyperlink r:id="rId818" ref="O411"/>
    <hyperlink r:id="rId819" ref="N412"/>
    <hyperlink r:id="rId820" ref="O412"/>
    <hyperlink r:id="rId821" ref="N413"/>
    <hyperlink r:id="rId822" ref="O413"/>
    <hyperlink r:id="rId823" ref="N414"/>
    <hyperlink r:id="rId824" ref="O414"/>
    <hyperlink r:id="rId825" ref="N415"/>
    <hyperlink r:id="rId826" ref="O415"/>
    <hyperlink r:id="rId827" ref="N416"/>
    <hyperlink r:id="rId828" ref="O416"/>
    <hyperlink r:id="rId829" ref="N417"/>
    <hyperlink r:id="rId830" ref="O417"/>
    <hyperlink r:id="rId831" ref="N418"/>
    <hyperlink r:id="rId832" ref="O418"/>
    <hyperlink r:id="rId833" ref="N419"/>
    <hyperlink r:id="rId834" ref="O419"/>
    <hyperlink r:id="rId835" ref="N420"/>
    <hyperlink r:id="rId836" ref="O420"/>
    <hyperlink r:id="rId837" ref="N421"/>
    <hyperlink r:id="rId838" ref="O421"/>
    <hyperlink r:id="rId839" ref="N422"/>
    <hyperlink r:id="rId840" ref="O422"/>
    <hyperlink r:id="rId841" ref="N423"/>
    <hyperlink r:id="rId842" ref="O423"/>
    <hyperlink r:id="rId843" ref="N424"/>
    <hyperlink r:id="rId844" ref="O424"/>
    <hyperlink r:id="rId845" ref="N425"/>
    <hyperlink r:id="rId846" ref="O425"/>
    <hyperlink r:id="rId847" ref="N426"/>
    <hyperlink r:id="rId848" ref="O426"/>
    <hyperlink r:id="rId849" ref="N427"/>
    <hyperlink r:id="rId850" ref="O427"/>
    <hyperlink r:id="rId851" ref="N428"/>
    <hyperlink r:id="rId852" ref="O428"/>
    <hyperlink r:id="rId853" ref="N429"/>
    <hyperlink r:id="rId854" ref="O429"/>
    <hyperlink r:id="rId855" ref="N430"/>
    <hyperlink r:id="rId856" ref="O430"/>
    <hyperlink r:id="rId857" ref="N431"/>
    <hyperlink r:id="rId858" ref="O431"/>
    <hyperlink r:id="rId859" ref="N432"/>
    <hyperlink r:id="rId860" ref="O432"/>
    <hyperlink r:id="rId861" ref="N433"/>
    <hyperlink r:id="rId862" ref="O433"/>
    <hyperlink r:id="rId863" ref="N434"/>
    <hyperlink r:id="rId864" ref="O434"/>
    <hyperlink r:id="rId865" ref="N435"/>
    <hyperlink r:id="rId866" ref="O435"/>
    <hyperlink r:id="rId867" ref="N436"/>
    <hyperlink r:id="rId868" ref="O436"/>
    <hyperlink r:id="rId869" ref="N437"/>
    <hyperlink r:id="rId870" ref="O437"/>
    <hyperlink r:id="rId871" ref="N438"/>
    <hyperlink r:id="rId872" ref="O438"/>
    <hyperlink r:id="rId873" ref="N439"/>
    <hyperlink r:id="rId874" ref="O439"/>
    <hyperlink r:id="rId875" ref="N440"/>
    <hyperlink r:id="rId876" ref="O440"/>
    <hyperlink r:id="rId877" ref="N441"/>
    <hyperlink r:id="rId878" ref="O441"/>
    <hyperlink r:id="rId879" ref="N442"/>
    <hyperlink r:id="rId880" ref="O442"/>
    <hyperlink r:id="rId881" ref="N443"/>
    <hyperlink r:id="rId882" ref="O443"/>
    <hyperlink r:id="rId883" ref="N444"/>
    <hyperlink r:id="rId884" ref="O444"/>
    <hyperlink r:id="rId885" ref="N445"/>
    <hyperlink r:id="rId886" ref="O445"/>
    <hyperlink r:id="rId887" ref="N446"/>
    <hyperlink r:id="rId888" ref="O446"/>
    <hyperlink r:id="rId889" ref="N447"/>
    <hyperlink r:id="rId890" ref="O447"/>
    <hyperlink r:id="rId891" ref="N448"/>
    <hyperlink r:id="rId892" ref="O448"/>
    <hyperlink r:id="rId893" ref="N449"/>
    <hyperlink r:id="rId894" ref="O449"/>
    <hyperlink r:id="rId895" ref="N450"/>
    <hyperlink r:id="rId896" ref="O450"/>
    <hyperlink r:id="rId897" ref="N451"/>
    <hyperlink r:id="rId898" ref="O451"/>
    <hyperlink r:id="rId899" ref="N452"/>
    <hyperlink r:id="rId900" ref="O452"/>
    <hyperlink r:id="rId901" ref="N453"/>
    <hyperlink r:id="rId902" ref="O453"/>
    <hyperlink r:id="rId903" ref="N454"/>
    <hyperlink r:id="rId904" ref="O454"/>
    <hyperlink r:id="rId905" ref="N455"/>
    <hyperlink r:id="rId906" ref="O455"/>
    <hyperlink r:id="rId907" ref="N456"/>
    <hyperlink r:id="rId908" ref="O456"/>
    <hyperlink r:id="rId909" ref="N457"/>
    <hyperlink r:id="rId910" ref="O457"/>
    <hyperlink r:id="rId911" ref="N458"/>
    <hyperlink r:id="rId912" ref="O458"/>
    <hyperlink r:id="rId913" ref="N459"/>
    <hyperlink r:id="rId914" ref="O459"/>
    <hyperlink r:id="rId915" ref="N460"/>
    <hyperlink r:id="rId916" ref="O460"/>
    <hyperlink r:id="rId917" ref="N461"/>
    <hyperlink r:id="rId918" ref="O461"/>
    <hyperlink r:id="rId919" ref="N462"/>
    <hyperlink r:id="rId920" ref="O462"/>
    <hyperlink r:id="rId921" ref="N463"/>
    <hyperlink r:id="rId922" ref="O463"/>
    <hyperlink r:id="rId923" ref="N464"/>
    <hyperlink r:id="rId924" ref="O464"/>
    <hyperlink r:id="rId925" ref="N465"/>
    <hyperlink r:id="rId926" ref="O465"/>
    <hyperlink r:id="rId927" ref="N466"/>
    <hyperlink r:id="rId928" ref="O466"/>
    <hyperlink r:id="rId929" ref="N467"/>
    <hyperlink r:id="rId930" ref="O467"/>
    <hyperlink r:id="rId931" ref="N468"/>
    <hyperlink r:id="rId932" ref="O468"/>
    <hyperlink r:id="rId933" ref="N469"/>
    <hyperlink r:id="rId934" ref="O469"/>
    <hyperlink r:id="rId935" ref="N470"/>
    <hyperlink r:id="rId936" ref="O470"/>
    <hyperlink r:id="rId937" ref="N471"/>
    <hyperlink r:id="rId938" ref="O471"/>
    <hyperlink r:id="rId939" ref="N472"/>
    <hyperlink r:id="rId940" ref="O472"/>
    <hyperlink r:id="rId941" ref="N473"/>
    <hyperlink r:id="rId942" ref="O473"/>
    <hyperlink r:id="rId943" ref="N474"/>
    <hyperlink r:id="rId944" ref="O474"/>
    <hyperlink r:id="rId945" ref="N475"/>
    <hyperlink r:id="rId946" ref="O475"/>
    <hyperlink r:id="rId947" ref="N476"/>
    <hyperlink r:id="rId948" ref="O476"/>
    <hyperlink r:id="rId949" ref="N477"/>
    <hyperlink r:id="rId950" ref="O477"/>
    <hyperlink r:id="rId951" ref="N478"/>
    <hyperlink r:id="rId952" ref="O478"/>
    <hyperlink r:id="rId953" ref="N479"/>
    <hyperlink r:id="rId954" ref="O479"/>
    <hyperlink r:id="rId955" ref="N480"/>
    <hyperlink r:id="rId956" ref="O480"/>
    <hyperlink r:id="rId957" ref="N481"/>
    <hyperlink r:id="rId958" ref="O481"/>
    <hyperlink r:id="rId959" ref="N482"/>
    <hyperlink r:id="rId960" ref="O482"/>
    <hyperlink r:id="rId961" ref="N483"/>
    <hyperlink r:id="rId962" ref="O483"/>
    <hyperlink r:id="rId963" ref="N484"/>
    <hyperlink r:id="rId964" ref="O484"/>
    <hyperlink r:id="rId965" ref="N485"/>
    <hyperlink r:id="rId966" ref="O485"/>
    <hyperlink r:id="rId967" ref="N486"/>
    <hyperlink r:id="rId968" ref="O486"/>
    <hyperlink r:id="rId969" ref="N487"/>
    <hyperlink r:id="rId970" ref="O487"/>
    <hyperlink r:id="rId971" ref="N488"/>
    <hyperlink r:id="rId972" ref="O488"/>
    <hyperlink r:id="rId973" ref="N489"/>
    <hyperlink r:id="rId974" ref="O489"/>
    <hyperlink r:id="rId975" ref="N490"/>
    <hyperlink r:id="rId976" ref="O490"/>
    <hyperlink r:id="rId977" ref="N491"/>
    <hyperlink r:id="rId978" ref="O491"/>
    <hyperlink r:id="rId979" ref="N492"/>
    <hyperlink r:id="rId980" ref="O492"/>
    <hyperlink r:id="rId981" ref="N493"/>
    <hyperlink r:id="rId982" ref="O493"/>
    <hyperlink r:id="rId983" ref="N494"/>
    <hyperlink r:id="rId984" ref="O494"/>
    <hyperlink r:id="rId985" ref="N495"/>
    <hyperlink r:id="rId986" ref="O495"/>
    <hyperlink r:id="rId987" ref="N496"/>
    <hyperlink r:id="rId988" ref="O496"/>
    <hyperlink r:id="rId989" ref="N497"/>
    <hyperlink r:id="rId990" ref="O497"/>
    <hyperlink r:id="rId991" ref="N498"/>
    <hyperlink r:id="rId992" ref="O498"/>
    <hyperlink r:id="rId993" ref="N499"/>
    <hyperlink r:id="rId994" ref="O499"/>
    <hyperlink r:id="rId995" ref="N500"/>
    <hyperlink r:id="rId996" ref="O500"/>
    <hyperlink r:id="rId997" ref="N501"/>
    <hyperlink r:id="rId998" ref="O501"/>
    <hyperlink r:id="rId999" ref="N502"/>
    <hyperlink r:id="rId1000" ref="O502"/>
    <hyperlink r:id="rId1001" ref="N503"/>
    <hyperlink r:id="rId1002" ref="O503"/>
    <hyperlink r:id="rId1003" ref="N504"/>
    <hyperlink r:id="rId1004" ref="O504"/>
    <hyperlink r:id="rId1005" ref="N505"/>
    <hyperlink r:id="rId1006" ref="O505"/>
    <hyperlink r:id="rId1007" ref="N506"/>
    <hyperlink r:id="rId1008" ref="O506"/>
    <hyperlink r:id="rId1009" ref="N507"/>
    <hyperlink r:id="rId1010" ref="O507"/>
    <hyperlink r:id="rId1011" ref="N508"/>
    <hyperlink r:id="rId1012" ref="O508"/>
    <hyperlink r:id="rId1013" ref="N509"/>
    <hyperlink r:id="rId1014" ref="O509"/>
    <hyperlink r:id="rId1015" ref="N510"/>
    <hyperlink r:id="rId1016" ref="O510"/>
    <hyperlink r:id="rId1017" ref="N511"/>
    <hyperlink r:id="rId1018" ref="O511"/>
    <hyperlink r:id="rId1019" ref="N512"/>
    <hyperlink r:id="rId1020" ref="O512"/>
    <hyperlink r:id="rId1021" ref="N513"/>
    <hyperlink r:id="rId1022" ref="O513"/>
    <hyperlink r:id="rId1023" ref="N514"/>
    <hyperlink r:id="rId1024" ref="O514"/>
    <hyperlink r:id="rId1025" ref="N515"/>
    <hyperlink r:id="rId1026" ref="O515"/>
    <hyperlink r:id="rId1027" ref="N516"/>
    <hyperlink r:id="rId1028" ref="O516"/>
    <hyperlink r:id="rId1029" ref="N517"/>
    <hyperlink r:id="rId1030" ref="O517"/>
    <hyperlink r:id="rId1031" ref="N518"/>
    <hyperlink r:id="rId1032" ref="O518"/>
    <hyperlink r:id="rId1033" ref="N519"/>
    <hyperlink r:id="rId1034" ref="O519"/>
    <hyperlink r:id="rId1035" ref="N520"/>
    <hyperlink r:id="rId1036" ref="O520"/>
    <hyperlink r:id="rId1037" ref="N521"/>
    <hyperlink r:id="rId1038" ref="O521"/>
    <hyperlink r:id="rId1039" ref="N522"/>
    <hyperlink r:id="rId1040" ref="O522"/>
    <hyperlink r:id="rId1041" ref="N523"/>
    <hyperlink r:id="rId1042" ref="O523"/>
    <hyperlink r:id="rId1043" ref="N524"/>
    <hyperlink r:id="rId1044" ref="O524"/>
    <hyperlink r:id="rId1045" ref="N525"/>
    <hyperlink r:id="rId1046" ref="O525"/>
    <hyperlink r:id="rId1047" ref="N526"/>
    <hyperlink r:id="rId1048" ref="O526"/>
    <hyperlink r:id="rId1049" ref="N527"/>
    <hyperlink r:id="rId1050" ref="O527"/>
    <hyperlink r:id="rId1051" ref="N528"/>
    <hyperlink r:id="rId1052" ref="O528"/>
    <hyperlink r:id="rId1053" ref="N529"/>
    <hyperlink r:id="rId1054" ref="O529"/>
    <hyperlink r:id="rId1055" ref="N530"/>
    <hyperlink r:id="rId1056" ref="O530"/>
    <hyperlink r:id="rId1057" ref="N531"/>
    <hyperlink r:id="rId1058" ref="O531"/>
    <hyperlink r:id="rId1059" ref="N532"/>
    <hyperlink r:id="rId1060" ref="O532"/>
    <hyperlink r:id="rId1061" ref="N533"/>
    <hyperlink r:id="rId1062" ref="O533"/>
    <hyperlink r:id="rId1063" ref="N534"/>
    <hyperlink r:id="rId1064" ref="O534"/>
    <hyperlink r:id="rId1065" ref="N535"/>
    <hyperlink r:id="rId1066" ref="O535"/>
    <hyperlink r:id="rId1067" ref="N536"/>
    <hyperlink r:id="rId1068" ref="O536"/>
    <hyperlink r:id="rId1069" ref="N537"/>
    <hyperlink r:id="rId1070" ref="O537"/>
    <hyperlink r:id="rId1071" ref="N538"/>
    <hyperlink r:id="rId1072" ref="O538"/>
    <hyperlink r:id="rId1073" ref="N539"/>
    <hyperlink r:id="rId1074" ref="O539"/>
    <hyperlink r:id="rId1075" ref="N540"/>
    <hyperlink r:id="rId1076" ref="O540"/>
    <hyperlink r:id="rId1077" ref="N541"/>
    <hyperlink r:id="rId1078" ref="O541"/>
    <hyperlink r:id="rId1079" ref="N542"/>
    <hyperlink r:id="rId1080" ref="O542"/>
    <hyperlink r:id="rId1081" ref="N543"/>
    <hyperlink r:id="rId1082" ref="O543"/>
    <hyperlink r:id="rId1083" ref="N544"/>
    <hyperlink r:id="rId1084" ref="O544"/>
    <hyperlink r:id="rId1085" ref="N545"/>
    <hyperlink r:id="rId1086" ref="O545"/>
    <hyperlink r:id="rId1087" ref="N546"/>
    <hyperlink r:id="rId1088" ref="O546"/>
    <hyperlink r:id="rId1089" ref="N547"/>
    <hyperlink r:id="rId1090" ref="O547"/>
    <hyperlink r:id="rId1091" ref="N548"/>
    <hyperlink r:id="rId1092" ref="O548"/>
    <hyperlink r:id="rId1093" ref="N549"/>
    <hyperlink r:id="rId1094" ref="O549"/>
    <hyperlink r:id="rId1095" ref="N550"/>
    <hyperlink r:id="rId1096" ref="O550"/>
    <hyperlink r:id="rId1097" ref="N551"/>
    <hyperlink r:id="rId1098" ref="O551"/>
    <hyperlink r:id="rId1099" ref="N552"/>
    <hyperlink r:id="rId1100" ref="O552"/>
    <hyperlink r:id="rId1101" ref="N553"/>
    <hyperlink r:id="rId1102" ref="O553"/>
    <hyperlink r:id="rId1103" ref="N554"/>
    <hyperlink r:id="rId1104" ref="O554"/>
    <hyperlink r:id="rId1105" ref="N555"/>
    <hyperlink r:id="rId1106" ref="O555"/>
    <hyperlink r:id="rId1107" ref="N556"/>
    <hyperlink r:id="rId1108" ref="O556"/>
    <hyperlink r:id="rId1109" ref="N557"/>
    <hyperlink r:id="rId1110" ref="O557"/>
    <hyperlink r:id="rId1111" ref="N558"/>
    <hyperlink r:id="rId1112" ref="O558"/>
    <hyperlink r:id="rId1113" ref="N559"/>
    <hyperlink r:id="rId1114" ref="O559"/>
    <hyperlink r:id="rId1115" ref="N560"/>
    <hyperlink r:id="rId1116" ref="O560"/>
    <hyperlink r:id="rId1117" ref="N561"/>
    <hyperlink r:id="rId1118" ref="O561"/>
    <hyperlink r:id="rId1119" ref="N562"/>
    <hyperlink r:id="rId1120" ref="O562"/>
    <hyperlink r:id="rId1121" ref="N563"/>
    <hyperlink r:id="rId1122" ref="O563"/>
    <hyperlink r:id="rId1123" ref="N564"/>
    <hyperlink r:id="rId1124" ref="O564"/>
    <hyperlink r:id="rId1125" ref="N565"/>
    <hyperlink r:id="rId1126" ref="O565"/>
    <hyperlink r:id="rId1127" ref="N566"/>
    <hyperlink r:id="rId1128" ref="O566"/>
    <hyperlink r:id="rId1129" ref="N567"/>
    <hyperlink r:id="rId1130" ref="O567"/>
    <hyperlink r:id="rId1131" ref="N568"/>
    <hyperlink r:id="rId1132" ref="O568"/>
    <hyperlink r:id="rId1133" ref="N569"/>
    <hyperlink r:id="rId1134" ref="O569"/>
    <hyperlink r:id="rId1135" ref="N570"/>
    <hyperlink r:id="rId1136" ref="O570"/>
    <hyperlink r:id="rId1137" ref="N571"/>
    <hyperlink r:id="rId1138" ref="O571"/>
    <hyperlink r:id="rId1139" ref="N572"/>
    <hyperlink r:id="rId1140" ref="O572"/>
    <hyperlink r:id="rId1141" ref="N573"/>
    <hyperlink r:id="rId1142" ref="O573"/>
    <hyperlink r:id="rId1143" ref="N574"/>
    <hyperlink r:id="rId1144" ref="O574"/>
    <hyperlink r:id="rId1145" ref="N575"/>
    <hyperlink r:id="rId1146" ref="O575"/>
    <hyperlink r:id="rId1147" ref="N576"/>
    <hyperlink r:id="rId1148" ref="O576"/>
    <hyperlink r:id="rId1149" ref="N577"/>
    <hyperlink r:id="rId1150" ref="O577"/>
    <hyperlink r:id="rId1151" ref="N578"/>
    <hyperlink r:id="rId1152" ref="O578"/>
    <hyperlink r:id="rId1153" ref="N579"/>
    <hyperlink r:id="rId1154" ref="O579"/>
    <hyperlink r:id="rId1155" ref="N580"/>
    <hyperlink r:id="rId1156" ref="O580"/>
    <hyperlink r:id="rId1157" ref="N581"/>
    <hyperlink r:id="rId1158" ref="O581"/>
    <hyperlink r:id="rId1159" ref="N582"/>
    <hyperlink r:id="rId1160" ref="O582"/>
    <hyperlink r:id="rId1161" ref="N583"/>
    <hyperlink r:id="rId1162" ref="O583"/>
    <hyperlink r:id="rId1163" ref="N584"/>
    <hyperlink r:id="rId1164" ref="O584"/>
    <hyperlink r:id="rId1165" ref="N585"/>
    <hyperlink r:id="rId1166" ref="O585"/>
    <hyperlink r:id="rId1167" ref="N586"/>
    <hyperlink r:id="rId1168" ref="O586"/>
    <hyperlink r:id="rId1169" ref="N587"/>
    <hyperlink r:id="rId1170" ref="O587"/>
    <hyperlink r:id="rId1171" ref="N588"/>
    <hyperlink r:id="rId1172" ref="O588"/>
    <hyperlink r:id="rId1173" ref="N589"/>
    <hyperlink r:id="rId1174" ref="O589"/>
    <hyperlink r:id="rId1175" ref="N590"/>
    <hyperlink r:id="rId1176" ref="O590"/>
    <hyperlink r:id="rId1177" ref="N591"/>
    <hyperlink r:id="rId1178" ref="O591"/>
    <hyperlink r:id="rId1179" ref="N592"/>
    <hyperlink r:id="rId1180" ref="O592"/>
    <hyperlink r:id="rId1181" ref="N593"/>
    <hyperlink r:id="rId1182" ref="O593"/>
    <hyperlink r:id="rId1183" ref="N594"/>
    <hyperlink r:id="rId1184" ref="O594"/>
    <hyperlink r:id="rId1185" ref="N595"/>
    <hyperlink r:id="rId1186" ref="O595"/>
    <hyperlink r:id="rId1187" ref="N596"/>
    <hyperlink r:id="rId1188" ref="O596"/>
    <hyperlink r:id="rId1189" ref="N597"/>
    <hyperlink r:id="rId1190" ref="O597"/>
    <hyperlink r:id="rId1191" ref="N598"/>
    <hyperlink r:id="rId1192" ref="O598"/>
    <hyperlink r:id="rId1193" ref="N599"/>
    <hyperlink r:id="rId1194" ref="O599"/>
    <hyperlink r:id="rId1195" ref="N600"/>
    <hyperlink r:id="rId1196" ref="O600"/>
    <hyperlink r:id="rId1197" ref="N601"/>
    <hyperlink r:id="rId1198" ref="O601"/>
    <hyperlink r:id="rId1199" ref="N602"/>
    <hyperlink r:id="rId1200" ref="O602"/>
    <hyperlink r:id="rId1201" ref="N603"/>
    <hyperlink r:id="rId1202" ref="O603"/>
    <hyperlink r:id="rId1203" ref="N604"/>
    <hyperlink r:id="rId1204" ref="O604"/>
    <hyperlink r:id="rId1205" ref="N605"/>
    <hyperlink r:id="rId1206" ref="O605"/>
    <hyperlink r:id="rId1207" ref="N606"/>
    <hyperlink r:id="rId1208" ref="O606"/>
    <hyperlink r:id="rId1209" ref="N607"/>
    <hyperlink r:id="rId1210" ref="O607"/>
    <hyperlink r:id="rId1211" ref="N608"/>
    <hyperlink r:id="rId1212" ref="O608"/>
    <hyperlink r:id="rId1213" ref="N609"/>
    <hyperlink r:id="rId1214" ref="O609"/>
    <hyperlink r:id="rId1215" ref="N610"/>
    <hyperlink r:id="rId1216" ref="O610"/>
    <hyperlink r:id="rId1217" ref="N611"/>
    <hyperlink r:id="rId1218" ref="O611"/>
    <hyperlink r:id="rId1219" ref="N612"/>
    <hyperlink r:id="rId1220" ref="O612"/>
    <hyperlink r:id="rId1221" ref="N613"/>
    <hyperlink r:id="rId1222" ref="O613"/>
    <hyperlink r:id="rId1223" ref="N614"/>
    <hyperlink r:id="rId1224" ref="O614"/>
    <hyperlink r:id="rId1225" ref="N615"/>
    <hyperlink r:id="rId1226" ref="O615"/>
    <hyperlink r:id="rId1227" ref="N616"/>
    <hyperlink r:id="rId1228" ref="O616"/>
    <hyperlink r:id="rId1229" ref="N617"/>
    <hyperlink r:id="rId1230" ref="O617"/>
    <hyperlink r:id="rId1231" ref="N618"/>
    <hyperlink r:id="rId1232" ref="O618"/>
    <hyperlink r:id="rId1233" ref="N619"/>
    <hyperlink r:id="rId1234" ref="O619"/>
    <hyperlink r:id="rId1235" ref="N620"/>
    <hyperlink r:id="rId1236" ref="O620"/>
    <hyperlink r:id="rId1237" ref="N621"/>
    <hyperlink r:id="rId1238" ref="O621"/>
    <hyperlink r:id="rId1239" ref="N622"/>
    <hyperlink r:id="rId1240" ref="O622"/>
    <hyperlink r:id="rId1241" ref="N623"/>
    <hyperlink r:id="rId1242" ref="O623"/>
    <hyperlink r:id="rId1243" ref="N624"/>
    <hyperlink r:id="rId1244" ref="O624"/>
    <hyperlink r:id="rId1245" ref="N625"/>
    <hyperlink r:id="rId1246" ref="O625"/>
    <hyperlink r:id="rId1247" ref="N626"/>
    <hyperlink r:id="rId1248" ref="O626"/>
    <hyperlink r:id="rId1249" ref="N627"/>
    <hyperlink r:id="rId1250" ref="O627"/>
    <hyperlink r:id="rId1251" ref="N628"/>
    <hyperlink r:id="rId1252" ref="O628"/>
    <hyperlink r:id="rId1253" ref="N629"/>
    <hyperlink r:id="rId1254" ref="O629"/>
    <hyperlink r:id="rId1255" ref="N630"/>
    <hyperlink r:id="rId1256" ref="O630"/>
    <hyperlink r:id="rId1257" ref="N631"/>
    <hyperlink r:id="rId1258" ref="O631"/>
    <hyperlink r:id="rId1259" ref="N632"/>
    <hyperlink r:id="rId1260" ref="O632"/>
    <hyperlink r:id="rId1261" ref="N633"/>
    <hyperlink r:id="rId1262" ref="O633"/>
    <hyperlink r:id="rId1263" ref="N634"/>
    <hyperlink r:id="rId1264" ref="O634"/>
    <hyperlink r:id="rId1265" ref="N635"/>
    <hyperlink r:id="rId1266" ref="O635"/>
    <hyperlink r:id="rId1267" ref="N636"/>
    <hyperlink r:id="rId1268" ref="O636"/>
    <hyperlink r:id="rId1269" ref="N637"/>
    <hyperlink r:id="rId1270" ref="O637"/>
    <hyperlink r:id="rId1271" ref="N638"/>
    <hyperlink r:id="rId1272" ref="O638"/>
    <hyperlink r:id="rId1273" ref="N639"/>
    <hyperlink r:id="rId1274" ref="O639"/>
    <hyperlink r:id="rId1275" ref="N640"/>
    <hyperlink r:id="rId1276" ref="O640"/>
    <hyperlink r:id="rId1277" ref="N641"/>
    <hyperlink r:id="rId1278" ref="O641"/>
    <hyperlink r:id="rId1279" ref="N642"/>
    <hyperlink r:id="rId1280" ref="O642"/>
    <hyperlink r:id="rId1281" ref="N643"/>
    <hyperlink r:id="rId1282" ref="O643"/>
    <hyperlink r:id="rId1283" ref="N644"/>
    <hyperlink r:id="rId1284" ref="O644"/>
    <hyperlink r:id="rId1285" ref="N645"/>
    <hyperlink r:id="rId1286" ref="O645"/>
    <hyperlink r:id="rId1287" ref="N646"/>
    <hyperlink r:id="rId1288" ref="O646"/>
    <hyperlink r:id="rId1289" ref="N647"/>
    <hyperlink r:id="rId1290" ref="O647"/>
    <hyperlink r:id="rId1291" ref="N648"/>
    <hyperlink r:id="rId1292" ref="O648"/>
    <hyperlink r:id="rId1293" ref="N649"/>
    <hyperlink r:id="rId1294" ref="O649"/>
    <hyperlink r:id="rId1295" ref="N650"/>
    <hyperlink r:id="rId1296" ref="O650"/>
    <hyperlink r:id="rId1297" ref="N651"/>
    <hyperlink r:id="rId1298" ref="O651"/>
    <hyperlink r:id="rId1299" ref="N652"/>
    <hyperlink r:id="rId1300" ref="O652"/>
    <hyperlink r:id="rId1301" ref="N653"/>
    <hyperlink r:id="rId1302" ref="O653"/>
    <hyperlink r:id="rId1303" ref="N654"/>
    <hyperlink r:id="rId1304" ref="O654"/>
    <hyperlink r:id="rId1305" ref="N655"/>
    <hyperlink r:id="rId1306" ref="O655"/>
    <hyperlink r:id="rId1307" ref="N656"/>
    <hyperlink r:id="rId1308" ref="O656"/>
    <hyperlink r:id="rId1309" ref="N657"/>
    <hyperlink r:id="rId1310" ref="O657"/>
    <hyperlink r:id="rId1311" ref="N658"/>
    <hyperlink r:id="rId1312" ref="O658"/>
    <hyperlink r:id="rId1313" ref="N659"/>
    <hyperlink r:id="rId1314" ref="O659"/>
    <hyperlink r:id="rId1315" ref="N660"/>
    <hyperlink r:id="rId1316" ref="O660"/>
    <hyperlink r:id="rId1317" ref="N661"/>
    <hyperlink r:id="rId1318" ref="O661"/>
    <hyperlink r:id="rId1319" ref="N662"/>
    <hyperlink r:id="rId1320" ref="O662"/>
    <hyperlink r:id="rId1321" ref="N663"/>
    <hyperlink r:id="rId1322" ref="O663"/>
    <hyperlink r:id="rId1323" ref="N664"/>
    <hyperlink r:id="rId1324" ref="O664"/>
    <hyperlink r:id="rId1325" ref="N665"/>
    <hyperlink r:id="rId1326" ref="O665"/>
    <hyperlink r:id="rId1327" ref="N666"/>
    <hyperlink r:id="rId1328" ref="O666"/>
    <hyperlink r:id="rId1329" ref="N667"/>
    <hyperlink r:id="rId1330" ref="O667"/>
    <hyperlink r:id="rId1331" ref="N668"/>
    <hyperlink r:id="rId1332" ref="O668"/>
    <hyperlink r:id="rId1333" ref="N669"/>
    <hyperlink r:id="rId1334" ref="O669"/>
    <hyperlink r:id="rId1335" ref="N670"/>
    <hyperlink r:id="rId1336" ref="O670"/>
    <hyperlink r:id="rId1337" ref="N671"/>
    <hyperlink r:id="rId1338" ref="O671"/>
    <hyperlink r:id="rId1339" ref="N672"/>
    <hyperlink r:id="rId1340" ref="O672"/>
    <hyperlink r:id="rId1341" ref="N673"/>
    <hyperlink r:id="rId1342" ref="O673"/>
    <hyperlink r:id="rId1343" ref="N674"/>
    <hyperlink r:id="rId1344" ref="O674"/>
    <hyperlink r:id="rId1345" ref="N675"/>
    <hyperlink r:id="rId1346" ref="O675"/>
    <hyperlink r:id="rId1347" ref="N676"/>
    <hyperlink r:id="rId1348" ref="O676"/>
    <hyperlink r:id="rId1349" ref="N677"/>
    <hyperlink r:id="rId1350" ref="O677"/>
    <hyperlink r:id="rId1351" ref="N678"/>
    <hyperlink r:id="rId1352" ref="O678"/>
    <hyperlink r:id="rId1353" ref="N679"/>
    <hyperlink r:id="rId1354" ref="O679"/>
    <hyperlink r:id="rId1355" ref="N680"/>
    <hyperlink r:id="rId1356" ref="O680"/>
    <hyperlink r:id="rId1357" ref="N681"/>
    <hyperlink r:id="rId1358" ref="O681"/>
    <hyperlink r:id="rId1359" ref="N682"/>
    <hyperlink r:id="rId1360" ref="O682"/>
    <hyperlink r:id="rId1361" ref="N683"/>
    <hyperlink r:id="rId1362" ref="O683"/>
    <hyperlink r:id="rId1363" ref="N684"/>
    <hyperlink r:id="rId1364" ref="O684"/>
    <hyperlink r:id="rId1365" ref="N685"/>
    <hyperlink r:id="rId1366" ref="O685"/>
    <hyperlink r:id="rId1367" ref="N686"/>
    <hyperlink r:id="rId1368" ref="O686"/>
    <hyperlink r:id="rId1369" ref="N687"/>
    <hyperlink r:id="rId1370" ref="O687"/>
    <hyperlink r:id="rId1371" ref="N688"/>
    <hyperlink r:id="rId1372" ref="O688"/>
    <hyperlink r:id="rId1373" ref="N689"/>
    <hyperlink r:id="rId1374" ref="O689"/>
    <hyperlink r:id="rId1375" ref="N690"/>
    <hyperlink r:id="rId1376" ref="O690"/>
    <hyperlink r:id="rId1377" ref="N691"/>
    <hyperlink r:id="rId1378" ref="O691"/>
    <hyperlink r:id="rId1379" ref="N692"/>
    <hyperlink r:id="rId1380" ref="O692"/>
    <hyperlink r:id="rId1381" ref="N693"/>
    <hyperlink r:id="rId1382" ref="O693"/>
    <hyperlink r:id="rId1383" ref="N694"/>
    <hyperlink r:id="rId1384" ref="O694"/>
    <hyperlink r:id="rId1385" ref="N695"/>
    <hyperlink r:id="rId1386" ref="O695"/>
    <hyperlink r:id="rId1387" ref="N696"/>
    <hyperlink r:id="rId1388" ref="O696"/>
    <hyperlink r:id="rId1389" ref="N697"/>
    <hyperlink r:id="rId1390" ref="O697"/>
    <hyperlink r:id="rId1391" ref="N698"/>
    <hyperlink r:id="rId1392" ref="O698"/>
    <hyperlink r:id="rId1393" ref="N699"/>
    <hyperlink r:id="rId1394" ref="O699"/>
    <hyperlink r:id="rId1395" ref="N700"/>
    <hyperlink r:id="rId1396" ref="O700"/>
    <hyperlink r:id="rId1397" ref="N701"/>
    <hyperlink r:id="rId1398" ref="O701"/>
    <hyperlink r:id="rId1399" ref="N702"/>
    <hyperlink r:id="rId1400" ref="O702"/>
    <hyperlink r:id="rId1401" ref="N703"/>
    <hyperlink r:id="rId1402" ref="O703"/>
    <hyperlink r:id="rId1403" ref="N704"/>
    <hyperlink r:id="rId1404" ref="O704"/>
    <hyperlink r:id="rId1405" ref="N705"/>
    <hyperlink r:id="rId1406" ref="O705"/>
    <hyperlink r:id="rId1407" ref="N706"/>
    <hyperlink r:id="rId1408" ref="O706"/>
    <hyperlink r:id="rId1409" ref="N707"/>
    <hyperlink r:id="rId1410" ref="O707"/>
    <hyperlink r:id="rId1411" ref="N708"/>
    <hyperlink r:id="rId1412" ref="O708"/>
    <hyperlink r:id="rId1413" ref="N709"/>
    <hyperlink r:id="rId1414" ref="O709"/>
    <hyperlink r:id="rId1415" ref="N710"/>
    <hyperlink r:id="rId1416" ref="O710"/>
    <hyperlink r:id="rId1417" ref="N711"/>
    <hyperlink r:id="rId1418" ref="O711"/>
    <hyperlink r:id="rId1419" ref="N712"/>
    <hyperlink r:id="rId1420" ref="O712"/>
    <hyperlink r:id="rId1421" ref="N713"/>
    <hyperlink r:id="rId1422" ref="O713"/>
    <hyperlink r:id="rId1423" ref="N714"/>
    <hyperlink r:id="rId1424" ref="O714"/>
    <hyperlink r:id="rId1425" ref="N715"/>
    <hyperlink r:id="rId1426" ref="O715"/>
    <hyperlink r:id="rId1427" ref="N716"/>
    <hyperlink r:id="rId1428" ref="O716"/>
    <hyperlink r:id="rId1429" ref="N717"/>
    <hyperlink r:id="rId1430" ref="O717"/>
    <hyperlink r:id="rId1431" ref="N718"/>
    <hyperlink r:id="rId1432" ref="O718"/>
    <hyperlink r:id="rId1433" ref="N719"/>
    <hyperlink r:id="rId1434" ref="O719"/>
    <hyperlink r:id="rId1435" ref="N720"/>
    <hyperlink r:id="rId1436" ref="O720"/>
    <hyperlink r:id="rId1437" ref="N721"/>
    <hyperlink r:id="rId1438" ref="O721"/>
    <hyperlink r:id="rId1439" ref="N722"/>
    <hyperlink r:id="rId1440" ref="O722"/>
    <hyperlink r:id="rId1441" ref="N723"/>
    <hyperlink r:id="rId1442" ref="O723"/>
    <hyperlink r:id="rId1443" ref="N724"/>
    <hyperlink r:id="rId1444" ref="O724"/>
    <hyperlink r:id="rId1445" ref="N725"/>
    <hyperlink r:id="rId1446" ref="O725"/>
    <hyperlink r:id="rId1447" ref="N726"/>
    <hyperlink r:id="rId1448" ref="O726"/>
    <hyperlink r:id="rId1449" ref="N727"/>
    <hyperlink r:id="rId1450" ref="O727"/>
    <hyperlink r:id="rId1451" ref="N728"/>
    <hyperlink r:id="rId1452" ref="O728"/>
    <hyperlink r:id="rId1453" ref="N729"/>
    <hyperlink r:id="rId1454" ref="O729"/>
    <hyperlink r:id="rId1455" ref="N730"/>
    <hyperlink r:id="rId1456" ref="O730"/>
    <hyperlink r:id="rId1457" ref="N731"/>
    <hyperlink r:id="rId1458" ref="O731"/>
    <hyperlink r:id="rId1459" ref="N732"/>
    <hyperlink r:id="rId1460" ref="O732"/>
    <hyperlink r:id="rId1461" ref="N733"/>
    <hyperlink r:id="rId1462" ref="O733"/>
    <hyperlink r:id="rId1463" ref="N734"/>
    <hyperlink r:id="rId1464" ref="O734"/>
    <hyperlink r:id="rId1465" ref="N735"/>
    <hyperlink r:id="rId1466" ref="O735"/>
    <hyperlink r:id="rId1467" ref="N736"/>
    <hyperlink r:id="rId1468" ref="O736"/>
    <hyperlink r:id="rId1469" ref="N737"/>
    <hyperlink r:id="rId1470" ref="O737"/>
    <hyperlink r:id="rId1471" ref="N738"/>
    <hyperlink r:id="rId1472" ref="O738"/>
    <hyperlink r:id="rId1473" ref="N739"/>
    <hyperlink r:id="rId1474" ref="O739"/>
    <hyperlink r:id="rId1475" ref="N740"/>
    <hyperlink r:id="rId1476" ref="O740"/>
    <hyperlink r:id="rId1477" ref="N741"/>
    <hyperlink r:id="rId1478" ref="O741"/>
    <hyperlink r:id="rId1479" ref="N742"/>
    <hyperlink r:id="rId1480" ref="O742"/>
    <hyperlink r:id="rId1481" ref="N743"/>
    <hyperlink r:id="rId1482" ref="O743"/>
    <hyperlink r:id="rId1483" ref="N744"/>
    <hyperlink r:id="rId1484" ref="O744"/>
    <hyperlink r:id="rId1485" ref="N745"/>
    <hyperlink r:id="rId1486" ref="O745"/>
    <hyperlink r:id="rId1487" ref="N746"/>
    <hyperlink r:id="rId1488" ref="O746"/>
    <hyperlink r:id="rId1489" ref="N747"/>
    <hyperlink r:id="rId1490" ref="O747"/>
    <hyperlink r:id="rId1491" ref="N748"/>
    <hyperlink r:id="rId1492" ref="O748"/>
    <hyperlink r:id="rId1493" ref="N749"/>
    <hyperlink r:id="rId1494" ref="O749"/>
    <hyperlink r:id="rId1495" ref="N750"/>
    <hyperlink r:id="rId1496" ref="O750"/>
    <hyperlink r:id="rId1497" ref="N751"/>
    <hyperlink r:id="rId1498" ref="O751"/>
    <hyperlink r:id="rId1499" ref="N752"/>
    <hyperlink r:id="rId1500" ref="O752"/>
    <hyperlink r:id="rId1501" ref="N753"/>
    <hyperlink r:id="rId1502" ref="O753"/>
    <hyperlink r:id="rId1503" ref="N754"/>
    <hyperlink r:id="rId1504" ref="O754"/>
    <hyperlink r:id="rId1505" ref="N755"/>
    <hyperlink r:id="rId1506" ref="O755"/>
    <hyperlink r:id="rId1507" ref="N756"/>
    <hyperlink r:id="rId1508" ref="O756"/>
    <hyperlink r:id="rId1509" ref="N757"/>
    <hyperlink r:id="rId1510" ref="O757"/>
    <hyperlink r:id="rId1511" ref="N758"/>
    <hyperlink r:id="rId1512" ref="O758"/>
    <hyperlink r:id="rId1513" ref="N759"/>
    <hyperlink r:id="rId1514" ref="O759"/>
    <hyperlink r:id="rId1515" ref="N760"/>
    <hyperlink r:id="rId1516" ref="O760"/>
    <hyperlink r:id="rId1517" ref="N761"/>
    <hyperlink r:id="rId1518" ref="O761"/>
    <hyperlink r:id="rId1519" ref="N762"/>
    <hyperlink r:id="rId1520" ref="O762"/>
    <hyperlink r:id="rId1521" ref="N763"/>
    <hyperlink r:id="rId1522" ref="O763"/>
    <hyperlink r:id="rId1523" ref="N764"/>
    <hyperlink r:id="rId1524" ref="O764"/>
    <hyperlink r:id="rId1525" ref="N765"/>
    <hyperlink r:id="rId1526" ref="O765"/>
    <hyperlink r:id="rId1527" ref="N766"/>
    <hyperlink r:id="rId1528" ref="O766"/>
    <hyperlink r:id="rId1529" ref="N767"/>
    <hyperlink r:id="rId1530" ref="O767"/>
    <hyperlink r:id="rId1531" ref="N768"/>
    <hyperlink r:id="rId1532" ref="O768"/>
    <hyperlink r:id="rId1533" ref="N769"/>
    <hyperlink r:id="rId1534" ref="O769"/>
    <hyperlink r:id="rId1535" ref="N770"/>
    <hyperlink r:id="rId1536" ref="O770"/>
    <hyperlink r:id="rId1537" ref="N771"/>
    <hyperlink r:id="rId1538" ref="O771"/>
    <hyperlink r:id="rId1539" ref="N772"/>
    <hyperlink r:id="rId1540" ref="O772"/>
    <hyperlink r:id="rId1541" ref="N773"/>
    <hyperlink r:id="rId1542" ref="O773"/>
    <hyperlink r:id="rId1543" ref="N774"/>
    <hyperlink r:id="rId1544" ref="O774"/>
    <hyperlink r:id="rId1545" ref="N775"/>
    <hyperlink r:id="rId1546" ref="O775"/>
    <hyperlink r:id="rId1547" ref="N776"/>
    <hyperlink r:id="rId1548" ref="O776"/>
    <hyperlink r:id="rId1549" ref="N777"/>
    <hyperlink r:id="rId1550" ref="O777"/>
    <hyperlink r:id="rId1551" ref="N778"/>
    <hyperlink r:id="rId1552" ref="O778"/>
    <hyperlink r:id="rId1553" ref="N779"/>
    <hyperlink r:id="rId1554" ref="O779"/>
    <hyperlink r:id="rId1555" ref="N780"/>
    <hyperlink r:id="rId1556" ref="O780"/>
    <hyperlink r:id="rId1557" ref="N781"/>
    <hyperlink r:id="rId1558" ref="O781"/>
    <hyperlink r:id="rId1559" ref="N782"/>
    <hyperlink r:id="rId1560" ref="O782"/>
    <hyperlink r:id="rId1561" ref="N783"/>
    <hyperlink r:id="rId1562" ref="O783"/>
    <hyperlink r:id="rId1563" ref="N784"/>
    <hyperlink r:id="rId1564" ref="O784"/>
    <hyperlink r:id="rId1565" ref="N785"/>
    <hyperlink r:id="rId1566" ref="O785"/>
    <hyperlink r:id="rId1567" ref="N786"/>
    <hyperlink r:id="rId1568" ref="O786"/>
    <hyperlink r:id="rId1569" ref="N787"/>
    <hyperlink r:id="rId1570" ref="O787"/>
    <hyperlink r:id="rId1571" ref="N788"/>
    <hyperlink r:id="rId1572" ref="O788"/>
    <hyperlink r:id="rId1573" ref="N789"/>
    <hyperlink r:id="rId1574" ref="O789"/>
    <hyperlink r:id="rId1575" ref="N790"/>
    <hyperlink r:id="rId1576" ref="O790"/>
    <hyperlink r:id="rId1577" ref="N791"/>
    <hyperlink r:id="rId1578" ref="O791"/>
    <hyperlink r:id="rId1579" ref="N792"/>
    <hyperlink r:id="rId1580" ref="O792"/>
    <hyperlink r:id="rId1581" ref="N793"/>
    <hyperlink r:id="rId1582" ref="O793"/>
    <hyperlink r:id="rId1583" ref="N794"/>
    <hyperlink r:id="rId1584" ref="O794"/>
    <hyperlink r:id="rId1585" ref="N795"/>
    <hyperlink r:id="rId1586" ref="O795"/>
    <hyperlink r:id="rId1587" ref="N796"/>
    <hyperlink r:id="rId1588" ref="O796"/>
    <hyperlink r:id="rId1589" ref="N797"/>
    <hyperlink r:id="rId1590" ref="O797"/>
    <hyperlink r:id="rId1591" ref="N798"/>
    <hyperlink r:id="rId1592" ref="O798"/>
    <hyperlink r:id="rId1593" ref="N799"/>
    <hyperlink r:id="rId1594" ref="O799"/>
    <hyperlink r:id="rId1595" ref="N800"/>
    <hyperlink r:id="rId1596" ref="O800"/>
    <hyperlink r:id="rId1597" ref="N801"/>
    <hyperlink r:id="rId1598" ref="O801"/>
    <hyperlink r:id="rId1599" ref="N802"/>
    <hyperlink r:id="rId1600" ref="O802"/>
    <hyperlink r:id="rId1601" ref="N803"/>
    <hyperlink r:id="rId1602" ref="O803"/>
    <hyperlink r:id="rId1603" ref="N804"/>
    <hyperlink r:id="rId1604" ref="O804"/>
    <hyperlink r:id="rId1605" ref="N805"/>
    <hyperlink r:id="rId1606" ref="O805"/>
    <hyperlink r:id="rId1607" ref="N806"/>
    <hyperlink r:id="rId1608" ref="O806"/>
    <hyperlink r:id="rId1609" ref="N807"/>
    <hyperlink r:id="rId1610" ref="O807"/>
    <hyperlink r:id="rId1611" ref="N808"/>
    <hyperlink r:id="rId1612" ref="O808"/>
    <hyperlink r:id="rId1613" ref="N809"/>
    <hyperlink r:id="rId1614" ref="O809"/>
    <hyperlink r:id="rId1615" ref="N810"/>
    <hyperlink r:id="rId1616" ref="O810"/>
    <hyperlink r:id="rId1617" ref="N811"/>
    <hyperlink r:id="rId1618" ref="O811"/>
    <hyperlink r:id="rId1619" ref="N812"/>
    <hyperlink r:id="rId1620" ref="O812"/>
    <hyperlink r:id="rId1621" ref="N813"/>
    <hyperlink r:id="rId1622" ref="O813"/>
    <hyperlink r:id="rId1623" ref="N814"/>
    <hyperlink r:id="rId1624" ref="O814"/>
    <hyperlink r:id="rId1625" ref="N815"/>
    <hyperlink r:id="rId1626" ref="O815"/>
    <hyperlink r:id="rId1627" ref="N816"/>
    <hyperlink r:id="rId1628" ref="O816"/>
    <hyperlink r:id="rId1629" ref="N817"/>
    <hyperlink r:id="rId1630" ref="O817"/>
    <hyperlink r:id="rId1631" ref="N818"/>
    <hyperlink r:id="rId1632" ref="O818"/>
    <hyperlink r:id="rId1633" ref="N819"/>
    <hyperlink r:id="rId1634" ref="O819"/>
    <hyperlink r:id="rId1635" ref="N820"/>
    <hyperlink r:id="rId1636" ref="O820"/>
    <hyperlink r:id="rId1637" ref="N821"/>
    <hyperlink r:id="rId1638" ref="O821"/>
    <hyperlink r:id="rId1639" ref="N822"/>
    <hyperlink r:id="rId1640" ref="O822"/>
    <hyperlink r:id="rId1641" ref="N823"/>
    <hyperlink r:id="rId1642" ref="O823"/>
    <hyperlink r:id="rId1643" ref="N824"/>
    <hyperlink r:id="rId1644" ref="O824"/>
    <hyperlink r:id="rId1645" ref="N825"/>
    <hyperlink r:id="rId1646" ref="O825"/>
    <hyperlink r:id="rId1647" ref="N826"/>
    <hyperlink r:id="rId1648" ref="O826"/>
    <hyperlink r:id="rId1649" ref="N827"/>
    <hyperlink r:id="rId1650" ref="O827"/>
    <hyperlink r:id="rId1651" ref="N828"/>
    <hyperlink r:id="rId1652" ref="O828"/>
    <hyperlink r:id="rId1653" ref="N829"/>
    <hyperlink r:id="rId1654" ref="O829"/>
    <hyperlink r:id="rId1655" ref="N830"/>
    <hyperlink r:id="rId1656" ref="O830"/>
    <hyperlink r:id="rId1657" ref="N831"/>
    <hyperlink r:id="rId1658" ref="O831"/>
    <hyperlink r:id="rId1659" ref="N832"/>
    <hyperlink r:id="rId1660" ref="O832"/>
    <hyperlink r:id="rId1661" ref="N833"/>
    <hyperlink r:id="rId1662" ref="O833"/>
    <hyperlink r:id="rId1663" ref="N834"/>
    <hyperlink r:id="rId1664" ref="O834"/>
    <hyperlink r:id="rId1665" ref="N835"/>
    <hyperlink r:id="rId1666" ref="O835"/>
    <hyperlink r:id="rId1667" ref="N836"/>
    <hyperlink r:id="rId1668" ref="O836"/>
    <hyperlink r:id="rId1669" ref="N837"/>
    <hyperlink r:id="rId1670" ref="O837"/>
    <hyperlink r:id="rId1671" ref="N838"/>
    <hyperlink r:id="rId1672" ref="O838"/>
    <hyperlink r:id="rId1673" ref="N839"/>
    <hyperlink r:id="rId1674" ref="O839"/>
    <hyperlink r:id="rId1675" ref="N840"/>
    <hyperlink r:id="rId1676" ref="O840"/>
    <hyperlink r:id="rId1677" ref="N841"/>
    <hyperlink r:id="rId1678" ref="O841"/>
    <hyperlink r:id="rId1679" ref="N842"/>
    <hyperlink r:id="rId1680" ref="O842"/>
    <hyperlink r:id="rId1681" ref="N843"/>
    <hyperlink r:id="rId1682" ref="O843"/>
    <hyperlink r:id="rId1683" ref="N844"/>
    <hyperlink r:id="rId1684" ref="O844"/>
    <hyperlink r:id="rId1685" ref="N845"/>
    <hyperlink r:id="rId1686" ref="O845"/>
    <hyperlink r:id="rId1687" ref="N846"/>
    <hyperlink r:id="rId1688" ref="O846"/>
    <hyperlink r:id="rId1689" ref="N847"/>
    <hyperlink r:id="rId1690" ref="O847"/>
    <hyperlink r:id="rId1691" ref="N848"/>
    <hyperlink r:id="rId1692" ref="O848"/>
    <hyperlink r:id="rId1693" ref="N849"/>
    <hyperlink r:id="rId1694" ref="O849"/>
    <hyperlink r:id="rId1695" ref="N850"/>
    <hyperlink r:id="rId1696" ref="O850"/>
    <hyperlink r:id="rId1697" ref="N851"/>
    <hyperlink r:id="rId1698" ref="O851"/>
    <hyperlink r:id="rId1699" ref="N852"/>
    <hyperlink r:id="rId1700" ref="O852"/>
    <hyperlink r:id="rId1701" ref="N853"/>
    <hyperlink r:id="rId1702" ref="O853"/>
    <hyperlink r:id="rId1703" ref="N854"/>
    <hyperlink r:id="rId1704" ref="O854"/>
    <hyperlink r:id="rId1705" ref="N855"/>
    <hyperlink r:id="rId1706" ref="O855"/>
    <hyperlink r:id="rId1707" ref="N856"/>
    <hyperlink r:id="rId1708" ref="O856"/>
    <hyperlink r:id="rId1709" ref="N857"/>
    <hyperlink r:id="rId1710" ref="O857"/>
    <hyperlink r:id="rId1711" ref="N858"/>
    <hyperlink r:id="rId1712" ref="O858"/>
    <hyperlink r:id="rId1713" ref="N859"/>
    <hyperlink r:id="rId1714" ref="O859"/>
    <hyperlink r:id="rId1715" ref="N860"/>
    <hyperlink r:id="rId1716" ref="O860"/>
    <hyperlink r:id="rId1717" ref="N861"/>
    <hyperlink r:id="rId1718" ref="O861"/>
    <hyperlink r:id="rId1719" ref="N862"/>
    <hyperlink r:id="rId1720" ref="O862"/>
    <hyperlink r:id="rId1721" ref="N863"/>
    <hyperlink r:id="rId1722" ref="O863"/>
    <hyperlink r:id="rId1723" ref="N864"/>
    <hyperlink r:id="rId1724" ref="O864"/>
    <hyperlink r:id="rId1725" ref="N865"/>
    <hyperlink r:id="rId1726" ref="O865"/>
    <hyperlink r:id="rId1727" ref="N866"/>
    <hyperlink r:id="rId1728" ref="O866"/>
    <hyperlink r:id="rId1729" ref="N867"/>
    <hyperlink r:id="rId1730" ref="O867"/>
    <hyperlink r:id="rId1731" ref="N868"/>
    <hyperlink r:id="rId1732" ref="O868"/>
    <hyperlink r:id="rId1733" ref="N869"/>
    <hyperlink r:id="rId1734" ref="O869"/>
    <hyperlink r:id="rId1735" ref="N870"/>
    <hyperlink r:id="rId1736" ref="O870"/>
    <hyperlink r:id="rId1737" ref="N871"/>
    <hyperlink r:id="rId1738" ref="O871"/>
    <hyperlink r:id="rId1739" ref="N872"/>
    <hyperlink r:id="rId1740" ref="O872"/>
    <hyperlink r:id="rId1741" ref="N873"/>
    <hyperlink r:id="rId1742" ref="O873"/>
    <hyperlink r:id="rId1743" ref="N874"/>
    <hyperlink r:id="rId1744" ref="O874"/>
    <hyperlink r:id="rId1745" ref="N875"/>
    <hyperlink r:id="rId1746" ref="O875"/>
    <hyperlink r:id="rId1747" ref="N876"/>
    <hyperlink r:id="rId1748" ref="O876"/>
    <hyperlink r:id="rId1749" ref="N877"/>
    <hyperlink r:id="rId1750" ref="O877"/>
    <hyperlink r:id="rId1751" ref="N878"/>
    <hyperlink r:id="rId1752" ref="O878"/>
    <hyperlink r:id="rId1753" ref="N879"/>
    <hyperlink r:id="rId1754" ref="O879"/>
    <hyperlink r:id="rId1755" ref="N880"/>
    <hyperlink r:id="rId1756" ref="O880"/>
    <hyperlink r:id="rId1757" ref="N881"/>
    <hyperlink r:id="rId1758" ref="O881"/>
    <hyperlink r:id="rId1759" ref="N882"/>
    <hyperlink r:id="rId1760" ref="O882"/>
    <hyperlink r:id="rId1761" ref="N883"/>
    <hyperlink r:id="rId1762" ref="O883"/>
    <hyperlink r:id="rId1763" ref="N884"/>
    <hyperlink r:id="rId1764" ref="O884"/>
    <hyperlink r:id="rId1765" ref="N885"/>
    <hyperlink r:id="rId1766" ref="O885"/>
    <hyperlink r:id="rId1767" ref="N886"/>
    <hyperlink r:id="rId1768" ref="O886"/>
    <hyperlink r:id="rId1769" ref="N887"/>
    <hyperlink r:id="rId1770" ref="O887"/>
    <hyperlink r:id="rId1771" ref="N888"/>
    <hyperlink r:id="rId1772" ref="O888"/>
    <hyperlink r:id="rId1773" ref="N889"/>
    <hyperlink r:id="rId1774" ref="O889"/>
    <hyperlink r:id="rId1775" ref="N890"/>
    <hyperlink r:id="rId1776" ref="O890"/>
    <hyperlink r:id="rId1777" ref="N891"/>
    <hyperlink r:id="rId1778" ref="O891"/>
    <hyperlink r:id="rId1779" ref="N892"/>
    <hyperlink r:id="rId1780" ref="O892"/>
    <hyperlink r:id="rId1781" ref="N893"/>
    <hyperlink r:id="rId1782" ref="O893"/>
    <hyperlink r:id="rId1783" ref="N894"/>
    <hyperlink r:id="rId1784" ref="O894"/>
    <hyperlink r:id="rId1785" ref="N895"/>
    <hyperlink r:id="rId1786" ref="O895"/>
    <hyperlink r:id="rId1787" ref="N896"/>
    <hyperlink r:id="rId1788" ref="O896"/>
    <hyperlink r:id="rId1789" ref="N897"/>
    <hyperlink r:id="rId1790" ref="O897"/>
    <hyperlink r:id="rId1791" ref="N898"/>
    <hyperlink r:id="rId1792" ref="O898"/>
    <hyperlink r:id="rId1793" ref="N899"/>
    <hyperlink r:id="rId1794" ref="O899"/>
    <hyperlink r:id="rId1795" ref="N900"/>
    <hyperlink r:id="rId1796" ref="O900"/>
    <hyperlink r:id="rId1797" ref="N901"/>
    <hyperlink r:id="rId1798" ref="O901"/>
    <hyperlink r:id="rId1799" ref="N902"/>
    <hyperlink r:id="rId1800" ref="O902"/>
    <hyperlink r:id="rId1801" ref="N903"/>
    <hyperlink r:id="rId1802" ref="O903"/>
    <hyperlink r:id="rId1803" ref="N904"/>
    <hyperlink r:id="rId1804" ref="O904"/>
    <hyperlink r:id="rId1805" ref="N905"/>
    <hyperlink r:id="rId1806" ref="O905"/>
    <hyperlink r:id="rId1807" ref="N906"/>
    <hyperlink r:id="rId1808" ref="O906"/>
    <hyperlink r:id="rId1809" ref="N907"/>
    <hyperlink r:id="rId1810" ref="O907"/>
    <hyperlink r:id="rId1811" ref="N908"/>
    <hyperlink r:id="rId1812" ref="O908"/>
    <hyperlink r:id="rId1813" ref="N909"/>
    <hyperlink r:id="rId1814" ref="O909"/>
    <hyperlink r:id="rId1815" ref="N910"/>
    <hyperlink r:id="rId1816" ref="O910"/>
    <hyperlink r:id="rId1817" ref="N911"/>
    <hyperlink r:id="rId1818" ref="O911"/>
    <hyperlink r:id="rId1819" ref="N912"/>
    <hyperlink r:id="rId1820" ref="O912"/>
    <hyperlink r:id="rId1821" ref="N913"/>
    <hyperlink r:id="rId1822" ref="O913"/>
    <hyperlink r:id="rId1823" ref="N914"/>
    <hyperlink r:id="rId1824" ref="O914"/>
    <hyperlink r:id="rId1825" ref="N915"/>
    <hyperlink r:id="rId1826" ref="O915"/>
    <hyperlink r:id="rId1827" ref="N916"/>
    <hyperlink r:id="rId1828" ref="O916"/>
    <hyperlink r:id="rId1829" ref="N917"/>
    <hyperlink r:id="rId1830" ref="O917"/>
    <hyperlink r:id="rId1831" ref="N918"/>
    <hyperlink r:id="rId1832" ref="O918"/>
    <hyperlink r:id="rId1833" ref="N919"/>
    <hyperlink r:id="rId1834" ref="O919"/>
    <hyperlink r:id="rId1835" ref="N920"/>
    <hyperlink r:id="rId1836" ref="O920"/>
    <hyperlink r:id="rId1837" ref="N921"/>
    <hyperlink r:id="rId1838" ref="O921"/>
    <hyperlink r:id="rId1839" ref="N922"/>
    <hyperlink r:id="rId1840" ref="O922"/>
    <hyperlink r:id="rId1841" ref="N923"/>
    <hyperlink r:id="rId1842" ref="O923"/>
    <hyperlink r:id="rId1843" ref="N924"/>
    <hyperlink r:id="rId1844" ref="O924"/>
    <hyperlink r:id="rId1845" ref="N925"/>
    <hyperlink r:id="rId1846" ref="O925"/>
    <hyperlink r:id="rId1847" ref="N926"/>
    <hyperlink r:id="rId1848" ref="O926"/>
    <hyperlink r:id="rId1849" ref="N927"/>
    <hyperlink r:id="rId1850" ref="O927"/>
    <hyperlink r:id="rId1851" ref="N928"/>
    <hyperlink r:id="rId1852" ref="O928"/>
    <hyperlink r:id="rId1853" ref="N929"/>
    <hyperlink r:id="rId1854" ref="O929"/>
    <hyperlink r:id="rId1855" ref="N930"/>
    <hyperlink r:id="rId1856" ref="O930"/>
    <hyperlink r:id="rId1857" ref="N931"/>
    <hyperlink r:id="rId1858" ref="O931"/>
    <hyperlink r:id="rId1859" ref="N932"/>
    <hyperlink r:id="rId1860" ref="O932"/>
    <hyperlink r:id="rId1861" ref="N933"/>
    <hyperlink r:id="rId1862" ref="O933"/>
    <hyperlink r:id="rId1863" ref="N934"/>
    <hyperlink r:id="rId1864" ref="O934"/>
    <hyperlink r:id="rId1865" ref="N935"/>
    <hyperlink r:id="rId1866" ref="O935"/>
    <hyperlink r:id="rId1867" ref="N936"/>
    <hyperlink r:id="rId1868" ref="O936"/>
    <hyperlink r:id="rId1869" ref="N937"/>
    <hyperlink r:id="rId1870" ref="O937"/>
    <hyperlink r:id="rId1871" ref="N938"/>
    <hyperlink r:id="rId1872" ref="O938"/>
    <hyperlink r:id="rId1873" ref="N939"/>
    <hyperlink r:id="rId1874" ref="O939"/>
    <hyperlink r:id="rId1875" ref="N940"/>
    <hyperlink r:id="rId1876" ref="O940"/>
    <hyperlink r:id="rId1877" ref="N941"/>
    <hyperlink r:id="rId1878" ref="O941"/>
    <hyperlink r:id="rId1879" ref="N942"/>
    <hyperlink r:id="rId1880" ref="O942"/>
    <hyperlink r:id="rId1881" ref="N943"/>
    <hyperlink r:id="rId1882" ref="O943"/>
    <hyperlink r:id="rId1883" ref="N944"/>
    <hyperlink r:id="rId1884" ref="O944"/>
    <hyperlink r:id="rId1885" ref="N945"/>
    <hyperlink r:id="rId1886" ref="O945"/>
    <hyperlink r:id="rId1887" ref="N946"/>
    <hyperlink r:id="rId1888" ref="O946"/>
    <hyperlink r:id="rId1889" ref="N947"/>
    <hyperlink r:id="rId1890" ref="O947"/>
    <hyperlink r:id="rId1891" ref="N948"/>
    <hyperlink r:id="rId1892" ref="O948"/>
    <hyperlink r:id="rId1893" ref="N949"/>
    <hyperlink r:id="rId1894" ref="O949"/>
    <hyperlink r:id="rId1895" ref="N950"/>
    <hyperlink r:id="rId1896" ref="O950"/>
    <hyperlink r:id="rId1897" ref="N951"/>
    <hyperlink r:id="rId1898" ref="O951"/>
    <hyperlink r:id="rId1899" ref="N952"/>
    <hyperlink r:id="rId1900" ref="O952"/>
    <hyperlink r:id="rId1901" ref="N953"/>
    <hyperlink r:id="rId1902" ref="O953"/>
    <hyperlink r:id="rId1903" ref="N954"/>
    <hyperlink r:id="rId1904" ref="O954"/>
    <hyperlink r:id="rId1905" ref="N955"/>
    <hyperlink r:id="rId1906" ref="O955"/>
    <hyperlink r:id="rId1907" ref="N956"/>
    <hyperlink r:id="rId1908" ref="O956"/>
    <hyperlink r:id="rId1909" ref="N957"/>
    <hyperlink r:id="rId1910" ref="O957"/>
    <hyperlink r:id="rId1911" ref="N958"/>
    <hyperlink r:id="rId1912" ref="O958"/>
    <hyperlink r:id="rId1913" ref="N959"/>
    <hyperlink r:id="rId1914" ref="O959"/>
    <hyperlink r:id="rId1915" ref="N960"/>
    <hyperlink r:id="rId1916" ref="O960"/>
    <hyperlink r:id="rId1917" ref="N961"/>
    <hyperlink r:id="rId1918" ref="O961"/>
    <hyperlink r:id="rId1919" ref="N962"/>
    <hyperlink r:id="rId1920" ref="O962"/>
    <hyperlink r:id="rId1921" ref="N963"/>
    <hyperlink r:id="rId1922" ref="O963"/>
    <hyperlink r:id="rId1923" ref="N964"/>
    <hyperlink r:id="rId1924" ref="O964"/>
    <hyperlink r:id="rId1925" ref="N965"/>
    <hyperlink r:id="rId1926" ref="O965"/>
    <hyperlink r:id="rId1927" ref="N966"/>
    <hyperlink r:id="rId1928" ref="O966"/>
    <hyperlink r:id="rId1929" ref="N967"/>
    <hyperlink r:id="rId1930" ref="O967"/>
    <hyperlink r:id="rId1931" ref="N968"/>
    <hyperlink r:id="rId1932" ref="O968"/>
    <hyperlink r:id="rId1933" ref="N969"/>
    <hyperlink r:id="rId1934" ref="O969"/>
    <hyperlink r:id="rId1935" ref="N970"/>
    <hyperlink r:id="rId1936" ref="O970"/>
    <hyperlink r:id="rId1937" ref="N971"/>
    <hyperlink r:id="rId1938" ref="O971"/>
    <hyperlink r:id="rId1939" ref="N972"/>
    <hyperlink r:id="rId1940" ref="O972"/>
    <hyperlink r:id="rId1941" ref="N973"/>
    <hyperlink r:id="rId1942" ref="O973"/>
    <hyperlink r:id="rId1943" ref="N974"/>
    <hyperlink r:id="rId1944" ref="O974"/>
    <hyperlink r:id="rId1945" ref="N975"/>
    <hyperlink r:id="rId1946" ref="O975"/>
    <hyperlink r:id="rId1947" ref="N976"/>
    <hyperlink r:id="rId1948" ref="O976"/>
    <hyperlink r:id="rId1949" ref="N977"/>
    <hyperlink r:id="rId1950" ref="O977"/>
    <hyperlink r:id="rId1951" ref="N978"/>
    <hyperlink r:id="rId1952" ref="O978"/>
    <hyperlink r:id="rId1953" ref="N979"/>
    <hyperlink r:id="rId1954" ref="O979"/>
    <hyperlink r:id="rId1955" ref="N980"/>
    <hyperlink r:id="rId1956" ref="O980"/>
    <hyperlink r:id="rId1957" ref="N981"/>
    <hyperlink r:id="rId1958" ref="O981"/>
    <hyperlink r:id="rId1959" ref="N982"/>
    <hyperlink r:id="rId1960" ref="O982"/>
    <hyperlink r:id="rId1961" ref="N983"/>
    <hyperlink r:id="rId1962" ref="O983"/>
    <hyperlink r:id="rId1963" ref="N984"/>
    <hyperlink r:id="rId1964" ref="O984"/>
    <hyperlink r:id="rId1965" ref="N985"/>
    <hyperlink r:id="rId1966" ref="O985"/>
    <hyperlink r:id="rId1967" ref="N986"/>
    <hyperlink r:id="rId1968" ref="O986"/>
    <hyperlink r:id="rId1969" ref="N987"/>
    <hyperlink r:id="rId1970" ref="O987"/>
    <hyperlink r:id="rId1971" ref="N988"/>
    <hyperlink r:id="rId1972" ref="O988"/>
    <hyperlink r:id="rId1973" ref="N989"/>
    <hyperlink r:id="rId1974" ref="O989"/>
    <hyperlink r:id="rId1975" ref="N990"/>
    <hyperlink r:id="rId1976" ref="O990"/>
    <hyperlink r:id="rId1977" ref="N991"/>
    <hyperlink r:id="rId1978" ref="O991"/>
    <hyperlink r:id="rId1979" ref="N992"/>
    <hyperlink r:id="rId1980" ref="O992"/>
    <hyperlink r:id="rId1981" ref="N993"/>
    <hyperlink r:id="rId1982" ref="O993"/>
    <hyperlink r:id="rId1983" ref="N994"/>
    <hyperlink r:id="rId1984" ref="O994"/>
    <hyperlink r:id="rId1985" ref="N995"/>
    <hyperlink r:id="rId1986" ref="O995"/>
    <hyperlink r:id="rId1987" ref="N996"/>
    <hyperlink r:id="rId1988" ref="O996"/>
    <hyperlink r:id="rId1989" ref="N997"/>
    <hyperlink r:id="rId1990" ref="O997"/>
    <hyperlink r:id="rId1991" ref="N998"/>
    <hyperlink r:id="rId1992" ref="O998"/>
    <hyperlink r:id="rId1993" ref="N999"/>
    <hyperlink r:id="rId1994" ref="O999"/>
    <hyperlink r:id="rId1995" ref="N1000"/>
    <hyperlink r:id="rId1996" ref="O1000"/>
    <hyperlink r:id="rId1997" ref="N1001"/>
    <hyperlink r:id="rId1998" ref="O1001"/>
    <hyperlink r:id="rId1999" ref="N1002"/>
    <hyperlink r:id="rId2000" ref="O1002"/>
    <hyperlink r:id="rId2001" ref="N1003"/>
    <hyperlink r:id="rId2002" ref="O1003"/>
    <hyperlink r:id="rId2003" ref="N1004"/>
    <hyperlink r:id="rId2004" ref="O1004"/>
    <hyperlink r:id="rId2005" ref="N1005"/>
    <hyperlink r:id="rId2006" ref="O1005"/>
    <hyperlink r:id="rId2007" ref="N1006"/>
    <hyperlink r:id="rId2008" ref="O1006"/>
    <hyperlink r:id="rId2009" ref="N1007"/>
    <hyperlink r:id="rId2010" ref="O1007"/>
    <hyperlink r:id="rId2011" ref="N1008"/>
    <hyperlink r:id="rId2012" ref="O1008"/>
    <hyperlink r:id="rId2013" ref="N1009"/>
    <hyperlink r:id="rId2014" ref="O1009"/>
    <hyperlink r:id="rId2015" ref="N1010"/>
    <hyperlink r:id="rId2016" ref="O1010"/>
    <hyperlink r:id="rId2017" ref="N1011"/>
    <hyperlink r:id="rId2018" ref="O1011"/>
    <hyperlink r:id="rId2019" ref="N1012"/>
    <hyperlink r:id="rId2020" ref="O1012"/>
    <hyperlink r:id="rId2021" ref="N1013"/>
    <hyperlink r:id="rId2022" ref="O1013"/>
    <hyperlink r:id="rId2023" ref="N1014"/>
    <hyperlink r:id="rId2024" ref="O1014"/>
    <hyperlink r:id="rId2025" ref="N1015"/>
    <hyperlink r:id="rId2026" ref="O1015"/>
    <hyperlink r:id="rId2027" ref="N1016"/>
    <hyperlink r:id="rId2028" ref="O1016"/>
    <hyperlink r:id="rId2029" ref="N1017"/>
    <hyperlink r:id="rId2030" ref="O1017"/>
    <hyperlink r:id="rId2031" ref="N1018"/>
    <hyperlink r:id="rId2032" ref="O1018"/>
    <hyperlink r:id="rId2033" ref="N1019"/>
    <hyperlink r:id="rId2034" ref="O1019"/>
    <hyperlink r:id="rId2035" ref="N1020"/>
    <hyperlink r:id="rId2036" ref="O1020"/>
    <hyperlink r:id="rId2037" ref="N1021"/>
    <hyperlink r:id="rId2038" ref="O1021"/>
    <hyperlink r:id="rId2039" ref="N1022"/>
    <hyperlink r:id="rId2040" ref="O1022"/>
    <hyperlink r:id="rId2041" ref="N1023"/>
    <hyperlink r:id="rId2042" ref="O1023"/>
    <hyperlink r:id="rId2043" ref="N1024"/>
    <hyperlink r:id="rId2044" ref="O1024"/>
    <hyperlink r:id="rId2045" ref="N1025"/>
    <hyperlink r:id="rId2046" ref="O1025"/>
    <hyperlink r:id="rId2047" ref="N1026"/>
    <hyperlink r:id="rId2048" ref="O1026"/>
    <hyperlink r:id="rId2049" ref="N1027"/>
    <hyperlink r:id="rId2050" ref="O1027"/>
    <hyperlink r:id="rId2051" ref="N1028"/>
    <hyperlink r:id="rId2052" ref="O1028"/>
  </hyperlinks>
  <drawing r:id="rId205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4" width="16.38"/>
    <col customWidth="1" min="5" max="6" width="17.25"/>
    <col customWidth="1" min="7" max="8" width="18.38"/>
    <col customWidth="1" min="9" max="9" width="12.88"/>
    <col customWidth="1" min="10" max="10" width="7.0"/>
    <col customWidth="1" min="11" max="11" width="17.5"/>
  </cols>
  <sheetData>
    <row r="1">
      <c r="A1" s="49" t="s">
        <v>1883</v>
      </c>
      <c r="B1" s="49" t="s">
        <v>1884</v>
      </c>
      <c r="C1" s="12" t="s">
        <v>1885</v>
      </c>
      <c r="D1" s="12" t="s">
        <v>1886</v>
      </c>
      <c r="E1" s="50" t="s">
        <v>1887</v>
      </c>
      <c r="F1" s="50" t="s">
        <v>1888</v>
      </c>
      <c r="G1" s="51" t="s">
        <v>1889</v>
      </c>
      <c r="H1" s="51" t="s">
        <v>1890</v>
      </c>
      <c r="I1" s="52" t="s">
        <v>1891</v>
      </c>
      <c r="J1" s="53" t="s">
        <v>1892</v>
      </c>
      <c r="K1" s="54" t="s">
        <v>1893</v>
      </c>
    </row>
    <row r="2" ht="16.5" customHeight="1">
      <c r="A2" s="49">
        <v>63.0</v>
      </c>
      <c r="B2" s="49">
        <v>24.0</v>
      </c>
      <c r="C2" s="55">
        <f>D2/30</f>
        <v>580</v>
      </c>
      <c r="D2" s="56">
        <f>(A2*200)+(B2*200)</f>
        <v>17400</v>
      </c>
      <c r="E2" s="57">
        <f>F2/30</f>
        <v>50</v>
      </c>
      <c r="F2" s="58">
        <f>1500</f>
        <v>1500</v>
      </c>
      <c r="G2" s="59">
        <f>H2/30</f>
        <v>0</v>
      </c>
      <c r="H2" s="60">
        <f>H17</f>
        <v>0</v>
      </c>
      <c r="I2" s="61">
        <f>B35+(B48/12)</f>
        <v>2825.7622</v>
      </c>
      <c r="J2" s="62">
        <f>(A11*1.1)/11</f>
        <v>2916.3</v>
      </c>
      <c r="K2" s="63">
        <f>A12-D2-F2-H2-I2-J2</f>
        <v>7437.2378</v>
      </c>
    </row>
    <row r="4">
      <c r="C4" s="25"/>
      <c r="G4" s="25"/>
    </row>
    <row r="7">
      <c r="A7" s="3" t="s">
        <v>1894</v>
      </c>
    </row>
    <row r="8">
      <c r="A8" s="49" t="s">
        <v>1883</v>
      </c>
      <c r="B8" s="49" t="s">
        <v>1884</v>
      </c>
      <c r="C8" s="12" t="s">
        <v>1885</v>
      </c>
      <c r="D8" s="12" t="s">
        <v>1886</v>
      </c>
      <c r="E8" s="50" t="s">
        <v>1887</v>
      </c>
      <c r="F8" s="50" t="s">
        <v>1888</v>
      </c>
      <c r="G8" s="51" t="s">
        <v>1889</v>
      </c>
      <c r="H8" s="51" t="s">
        <v>1890</v>
      </c>
      <c r="I8" s="52" t="s">
        <v>1891</v>
      </c>
      <c r="J8" s="53" t="s">
        <v>1892</v>
      </c>
      <c r="K8" s="54" t="s">
        <v>1893</v>
      </c>
    </row>
    <row r="9">
      <c r="A9" s="49">
        <f t="shared" ref="A9:B9" si="1">A2</f>
        <v>63</v>
      </c>
      <c r="B9" s="49">
        <f t="shared" si="1"/>
        <v>24</v>
      </c>
      <c r="C9" s="55">
        <f>D9/30</f>
        <v>827.9079267</v>
      </c>
      <c r="D9" s="64">
        <f>A11-F9-H9-I9</f>
        <v>24837.2378</v>
      </c>
      <c r="E9" s="57">
        <f>F9/30</f>
        <v>50</v>
      </c>
      <c r="F9" s="58">
        <v>1500.0</v>
      </c>
      <c r="G9" s="59">
        <f>H9/30</f>
        <v>0</v>
      </c>
      <c r="H9" s="65">
        <f>H17</f>
        <v>0</v>
      </c>
      <c r="I9" s="61">
        <f t="shared" ref="I9:J9" si="2">I2</f>
        <v>2825.7622</v>
      </c>
      <c r="J9" s="53">
        <f t="shared" si="2"/>
        <v>2916.3</v>
      </c>
      <c r="K9" s="54">
        <v>0.0</v>
      </c>
    </row>
    <row r="10">
      <c r="A10" s="66">
        <f>A9*349</f>
        <v>21987</v>
      </c>
      <c r="B10" s="31">
        <f>B9*299</f>
        <v>7176</v>
      </c>
    </row>
    <row r="11">
      <c r="A11" s="31">
        <f>A10+B10</f>
        <v>29163</v>
      </c>
      <c r="C11" s="25"/>
      <c r="G11" s="25"/>
    </row>
    <row r="12">
      <c r="A12" s="67">
        <f>A11*1.1</f>
        <v>32079.3</v>
      </c>
    </row>
    <row r="15">
      <c r="A15" s="3" t="s">
        <v>1895</v>
      </c>
    </row>
    <row r="16" ht="17.25" customHeight="1">
      <c r="A16" s="49" t="s">
        <v>1883</v>
      </c>
      <c r="B16" s="49" t="s">
        <v>1884</v>
      </c>
      <c r="C16" s="12" t="s">
        <v>1885</v>
      </c>
      <c r="D16" s="12" t="s">
        <v>1886</v>
      </c>
      <c r="E16" s="50" t="s">
        <v>1887</v>
      </c>
      <c r="F16" s="50" t="s">
        <v>1888</v>
      </c>
      <c r="G16" s="51" t="s">
        <v>1889</v>
      </c>
      <c r="H16" s="51" t="s">
        <v>1890</v>
      </c>
      <c r="I16" s="52" t="s">
        <v>1891</v>
      </c>
      <c r="J16" s="53" t="s">
        <v>1892</v>
      </c>
      <c r="K16" s="54" t="s">
        <v>1893</v>
      </c>
    </row>
    <row r="17">
      <c r="A17" s="49">
        <f t="shared" ref="A17:B17" si="3">A2</f>
        <v>63</v>
      </c>
      <c r="B17" s="49">
        <f t="shared" si="3"/>
        <v>24</v>
      </c>
      <c r="C17" s="55">
        <v>700.0</v>
      </c>
      <c r="D17" s="64">
        <f>C17*30</f>
        <v>21000</v>
      </c>
      <c r="E17" s="68">
        <v>50.0</v>
      </c>
      <c r="F17" s="58">
        <f>E17*30</f>
        <v>1500</v>
      </c>
      <c r="G17" s="59">
        <v>0.0</v>
      </c>
      <c r="H17" s="60">
        <f>G17*30</f>
        <v>0</v>
      </c>
      <c r="I17" s="61">
        <f t="shared" ref="I17:J17" si="4">I2</f>
        <v>2825.7622</v>
      </c>
      <c r="J17" s="62">
        <f t="shared" si="4"/>
        <v>2916.3</v>
      </c>
      <c r="K17" s="63">
        <f>A12-(I17+H17+F17+D17+J17)</f>
        <v>3837.2378</v>
      </c>
    </row>
    <row r="20">
      <c r="A20" s="3" t="s">
        <v>1665</v>
      </c>
    </row>
    <row r="23">
      <c r="A23" s="3" t="s">
        <v>1896</v>
      </c>
    </row>
    <row r="24">
      <c r="A24" s="3" t="s">
        <v>2</v>
      </c>
      <c r="B24" s="28">
        <v>83.33</v>
      </c>
    </row>
    <row r="25">
      <c r="A25" s="3" t="s">
        <v>1897</v>
      </c>
      <c r="B25" s="25">
        <v>218.9</v>
      </c>
    </row>
    <row r="26">
      <c r="A26" s="3" t="s">
        <v>1898</v>
      </c>
      <c r="B26" s="25">
        <v>550.0</v>
      </c>
    </row>
    <row r="27">
      <c r="A27" s="3" t="s">
        <v>1899</v>
      </c>
      <c r="B27" s="25">
        <v>110.0</v>
      </c>
    </row>
    <row r="28">
      <c r="A28" s="3" t="s">
        <v>1900</v>
      </c>
      <c r="B28" s="25">
        <v>31.0</v>
      </c>
    </row>
    <row r="29">
      <c r="A29" s="3" t="s">
        <v>1901</v>
      </c>
      <c r="B29" s="25">
        <v>20.0</v>
      </c>
    </row>
    <row r="30">
      <c r="A30" s="3" t="s">
        <v>1902</v>
      </c>
      <c r="B30" s="25">
        <v>5.0</v>
      </c>
    </row>
    <row r="31">
      <c r="A31" s="3" t="s">
        <v>1903</v>
      </c>
      <c r="B31" s="25"/>
    </row>
    <row r="32">
      <c r="A32" s="3" t="s">
        <v>1904</v>
      </c>
      <c r="B32" s="25">
        <v>350.0</v>
      </c>
    </row>
    <row r="33">
      <c r="A33" s="3" t="s">
        <v>1905</v>
      </c>
      <c r="B33" s="28">
        <v>38.75</v>
      </c>
    </row>
    <row r="34">
      <c r="A34" s="3" t="s">
        <v>1906</v>
      </c>
      <c r="B34" s="69">
        <f>A12*0.029</f>
        <v>930.2997</v>
      </c>
    </row>
    <row r="35">
      <c r="A35" s="3" t="s">
        <v>1907</v>
      </c>
      <c r="B35" s="70">
        <f>SUM(B24:B34)</f>
        <v>2337.2797</v>
      </c>
    </row>
    <row r="37">
      <c r="A37" s="3" t="s">
        <v>1908</v>
      </c>
    </row>
    <row r="38">
      <c r="A38" s="3" t="s">
        <v>1909</v>
      </c>
      <c r="B38" s="25">
        <v>1200.0</v>
      </c>
    </row>
    <row r="39">
      <c r="A39" s="3" t="s">
        <v>1910</v>
      </c>
      <c r="B39" s="25">
        <v>1100.0</v>
      </c>
    </row>
    <row r="40">
      <c r="A40" s="3" t="s">
        <v>1911</v>
      </c>
      <c r="B40" s="25">
        <v>185.0</v>
      </c>
    </row>
    <row r="41">
      <c r="A41" s="3" t="s">
        <v>1912</v>
      </c>
      <c r="B41" s="25">
        <v>330.0</v>
      </c>
    </row>
    <row r="42">
      <c r="A42" s="71" t="s">
        <v>1913</v>
      </c>
      <c r="B42" s="25">
        <v>170.0</v>
      </c>
    </row>
    <row r="43">
      <c r="A43" s="3" t="s">
        <v>1914</v>
      </c>
      <c r="B43" s="25">
        <v>470.0</v>
      </c>
    </row>
    <row r="44">
      <c r="A44" s="3" t="s">
        <v>1</v>
      </c>
      <c r="B44" s="25">
        <v>350.0</v>
      </c>
    </row>
    <row r="45">
      <c r="A45" s="3" t="s">
        <v>1915</v>
      </c>
      <c r="B45" s="25">
        <v>770.0</v>
      </c>
    </row>
    <row r="46">
      <c r="A46" s="3" t="s">
        <v>1916</v>
      </c>
      <c r="B46" s="28">
        <v>516.79</v>
      </c>
    </row>
    <row r="47">
      <c r="A47" s="3" t="s">
        <v>1917</v>
      </c>
      <c r="B47" s="25">
        <v>770.0</v>
      </c>
    </row>
    <row r="48">
      <c r="A48" s="3" t="s">
        <v>1907</v>
      </c>
      <c r="B48" s="72">
        <f>SUM(B38:B47)</f>
        <v>5861.79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1918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>
      <c r="A2" s="3" t="s">
        <v>1919</v>
      </c>
      <c r="B2" s="3" t="s">
        <v>1920</v>
      </c>
      <c r="C2" s="3" t="s">
        <v>1921</v>
      </c>
      <c r="D2" s="3" t="s">
        <v>472</v>
      </c>
      <c r="E2" s="32" t="s">
        <v>1922</v>
      </c>
      <c r="F2" s="5">
        <v>45764.0</v>
      </c>
      <c r="G2" s="3" t="s">
        <v>214</v>
      </c>
      <c r="H2" s="3" t="s">
        <v>48</v>
      </c>
    </row>
    <row r="3">
      <c r="A3" s="3" t="s">
        <v>1923</v>
      </c>
      <c r="B3" s="3" t="s">
        <v>1924</v>
      </c>
      <c r="C3" s="3" t="s">
        <v>1925</v>
      </c>
      <c r="D3" s="3" t="s">
        <v>472</v>
      </c>
      <c r="E3" s="32" t="s">
        <v>1926</v>
      </c>
      <c r="F3" s="5">
        <v>45766.0</v>
      </c>
      <c r="G3" s="3" t="s">
        <v>214</v>
      </c>
      <c r="H3" s="3" t="s">
        <v>48</v>
      </c>
    </row>
    <row r="4">
      <c r="A4" s="3" t="s">
        <v>1927</v>
      </c>
      <c r="B4" s="3" t="s">
        <v>1928</v>
      </c>
      <c r="C4" s="3" t="s">
        <v>1929</v>
      </c>
      <c r="D4" s="3" t="s">
        <v>531</v>
      </c>
      <c r="E4" s="3" t="s">
        <v>863</v>
      </c>
      <c r="F4" s="5">
        <v>45756.0</v>
      </c>
      <c r="G4" s="3" t="s">
        <v>214</v>
      </c>
      <c r="H4" s="3" t="s">
        <v>48</v>
      </c>
    </row>
    <row r="5">
      <c r="A5" s="3" t="s">
        <v>1927</v>
      </c>
      <c r="B5" s="3" t="s">
        <v>1928</v>
      </c>
      <c r="C5" s="3" t="s">
        <v>1929</v>
      </c>
      <c r="D5" s="3" t="s">
        <v>531</v>
      </c>
      <c r="E5" s="32" t="s">
        <v>857</v>
      </c>
      <c r="F5" s="5">
        <v>45756.0</v>
      </c>
      <c r="G5" s="3" t="s">
        <v>214</v>
      </c>
      <c r="H5" s="3" t="s">
        <v>48</v>
      </c>
    </row>
    <row r="6">
      <c r="A6" s="32" t="s">
        <v>1930</v>
      </c>
      <c r="B6" s="3" t="s">
        <v>1931</v>
      </c>
      <c r="C6" s="3" t="s">
        <v>1932</v>
      </c>
      <c r="D6" s="3" t="s">
        <v>531</v>
      </c>
      <c r="E6" s="73" t="s">
        <v>854</v>
      </c>
      <c r="F6" s="5">
        <v>45756.0</v>
      </c>
      <c r="G6" s="3" t="s">
        <v>214</v>
      </c>
      <c r="H6" s="3" t="s">
        <v>48</v>
      </c>
    </row>
    <row r="7">
      <c r="A7" s="3" t="s">
        <v>1933</v>
      </c>
      <c r="B7" s="3" t="s">
        <v>1934</v>
      </c>
      <c r="C7" s="3" t="s">
        <v>1935</v>
      </c>
      <c r="D7" s="3" t="s">
        <v>531</v>
      </c>
      <c r="E7" s="32" t="s">
        <v>810</v>
      </c>
      <c r="F7" s="5">
        <v>45777.0</v>
      </c>
      <c r="G7" s="3" t="s">
        <v>214</v>
      </c>
      <c r="H7" s="3" t="s">
        <v>48</v>
      </c>
    </row>
    <row r="8">
      <c r="A8" s="3" t="s">
        <v>932</v>
      </c>
      <c r="B8" s="3" t="s">
        <v>1936</v>
      </c>
      <c r="C8" s="3" t="s">
        <v>934</v>
      </c>
      <c r="D8" s="3" t="s">
        <v>531</v>
      </c>
      <c r="E8" s="32" t="s">
        <v>939</v>
      </c>
      <c r="F8" s="5">
        <v>45770.0</v>
      </c>
      <c r="G8" s="3" t="s">
        <v>214</v>
      </c>
      <c r="H8" s="3" t="s">
        <v>110</v>
      </c>
    </row>
    <row r="9">
      <c r="A9" s="3" t="s">
        <v>1937</v>
      </c>
      <c r="B9" s="3" t="s">
        <v>1938</v>
      </c>
      <c r="C9" s="3" t="s">
        <v>1939</v>
      </c>
      <c r="D9" s="3" t="s">
        <v>531</v>
      </c>
      <c r="E9" s="3" t="s">
        <v>1784</v>
      </c>
      <c r="F9" s="5">
        <v>45768.0</v>
      </c>
      <c r="G9" s="3" t="s">
        <v>214</v>
      </c>
      <c r="H9" s="3" t="s">
        <v>48</v>
      </c>
    </row>
    <row r="10">
      <c r="A10" s="3" t="s">
        <v>1940</v>
      </c>
      <c r="B10" s="3" t="s">
        <v>1941</v>
      </c>
      <c r="C10" s="3" t="s">
        <v>1942</v>
      </c>
      <c r="D10" s="3" t="s">
        <v>356</v>
      </c>
      <c r="E10" s="32" t="s">
        <v>1247</v>
      </c>
      <c r="F10" s="5">
        <v>45753.0</v>
      </c>
      <c r="G10" s="3" t="s">
        <v>214</v>
      </c>
      <c r="H10" s="3" t="s">
        <v>48</v>
      </c>
    </row>
    <row r="11">
      <c r="A11" s="3" t="s">
        <v>1940</v>
      </c>
      <c r="B11" s="3" t="s">
        <v>1941</v>
      </c>
      <c r="C11" s="3" t="s">
        <v>1942</v>
      </c>
      <c r="D11" s="3" t="s">
        <v>356</v>
      </c>
      <c r="E11" s="32" t="s">
        <v>1255</v>
      </c>
      <c r="F11" s="5">
        <v>45753.0</v>
      </c>
      <c r="G11" s="3" t="s">
        <v>214</v>
      </c>
      <c r="H11" s="3" t="s">
        <v>48</v>
      </c>
    </row>
    <row r="12">
      <c r="A12" s="3" t="s">
        <v>1940</v>
      </c>
      <c r="B12" s="3" t="s">
        <v>1941</v>
      </c>
      <c r="C12" s="3" t="s">
        <v>1942</v>
      </c>
      <c r="D12" s="3" t="s">
        <v>356</v>
      </c>
      <c r="E12" s="32" t="s">
        <v>449</v>
      </c>
      <c r="F12" s="5">
        <v>45753.0</v>
      </c>
      <c r="G12" s="3" t="s">
        <v>214</v>
      </c>
      <c r="H12" s="3" t="s">
        <v>48</v>
      </c>
    </row>
    <row r="13">
      <c r="A13" s="3" t="s">
        <v>1943</v>
      </c>
      <c r="B13" s="3" t="s">
        <v>1944</v>
      </c>
      <c r="C13" s="3" t="s">
        <v>1945</v>
      </c>
      <c r="D13" s="19" t="s">
        <v>356</v>
      </c>
      <c r="E13" s="22" t="s">
        <v>1240</v>
      </c>
      <c r="F13" s="14">
        <v>45812.0</v>
      </c>
      <c r="G13" s="3" t="s">
        <v>214</v>
      </c>
      <c r="H13" s="3" t="s">
        <v>48</v>
      </c>
    </row>
    <row r="14">
      <c r="A14" s="3" t="s">
        <v>1946</v>
      </c>
      <c r="B14" s="3" t="s">
        <v>1947</v>
      </c>
      <c r="C14" s="3" t="s">
        <v>1948</v>
      </c>
      <c r="D14" s="3" t="s">
        <v>457</v>
      </c>
      <c r="E14" s="32" t="s">
        <v>1949</v>
      </c>
      <c r="F14" s="5">
        <v>45755.0</v>
      </c>
      <c r="G14" s="3" t="s">
        <v>214</v>
      </c>
      <c r="H14" s="3" t="s">
        <v>48</v>
      </c>
    </row>
    <row r="15">
      <c r="A15" s="3" t="s">
        <v>1950</v>
      </c>
      <c r="B15" s="3" t="s">
        <v>1951</v>
      </c>
      <c r="C15" s="3" t="s">
        <v>1952</v>
      </c>
      <c r="D15" s="3" t="s">
        <v>472</v>
      </c>
      <c r="E15" s="32" t="s">
        <v>499</v>
      </c>
      <c r="F15" s="5">
        <v>45753.0</v>
      </c>
      <c r="G15" s="3" t="s">
        <v>214</v>
      </c>
      <c r="H15" s="3" t="s">
        <v>48</v>
      </c>
    </row>
    <row r="16">
      <c r="A16" s="19" t="s">
        <v>1953</v>
      </c>
      <c r="B16" s="35" t="s">
        <v>1954</v>
      </c>
      <c r="C16" s="3" t="s">
        <v>1955</v>
      </c>
      <c r="D16" s="19" t="s">
        <v>531</v>
      </c>
      <c r="E16" s="22" t="s">
        <v>1956</v>
      </c>
      <c r="F16" s="5">
        <v>45790.0</v>
      </c>
      <c r="G16" s="3" t="s">
        <v>214</v>
      </c>
      <c r="H16" s="3" t="s">
        <v>48</v>
      </c>
    </row>
    <row r="17">
      <c r="A17" s="3" t="s">
        <v>932</v>
      </c>
      <c r="B17" s="3" t="s">
        <v>1936</v>
      </c>
      <c r="C17" s="3" t="s">
        <v>934</v>
      </c>
      <c r="D17" s="3" t="s">
        <v>531</v>
      </c>
      <c r="E17" s="13" t="s">
        <v>939</v>
      </c>
      <c r="F17" s="5">
        <v>45770.0</v>
      </c>
      <c r="G17" s="3" t="s">
        <v>214</v>
      </c>
      <c r="H17" s="3" t="s">
        <v>48</v>
      </c>
      <c r="I17" s="3" t="s">
        <v>49</v>
      </c>
      <c r="J17" s="3">
        <v>1.0</v>
      </c>
      <c r="K17" s="3" t="s">
        <v>936</v>
      </c>
      <c r="L17" s="3" t="s">
        <v>936</v>
      </c>
      <c r="M17" s="3" t="s">
        <v>1957</v>
      </c>
      <c r="N17" s="6" t="s">
        <v>937</v>
      </c>
      <c r="O17" s="6" t="s">
        <v>1958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>
      <c r="A18" s="3" t="s">
        <v>1959</v>
      </c>
      <c r="B18" s="3" t="s">
        <v>1960</v>
      </c>
      <c r="C18" s="3" t="s">
        <v>1961</v>
      </c>
      <c r="D18" s="3" t="s">
        <v>472</v>
      </c>
      <c r="E18" s="3" t="s">
        <v>1962</v>
      </c>
      <c r="F18" s="5">
        <v>45772.0</v>
      </c>
      <c r="G18" s="3" t="s">
        <v>214</v>
      </c>
      <c r="H18" s="3" t="s">
        <v>48</v>
      </c>
      <c r="I18" s="3" t="s">
        <v>49</v>
      </c>
      <c r="J18" s="3">
        <v>4.0</v>
      </c>
      <c r="K18" s="3" t="s">
        <v>1963</v>
      </c>
      <c r="L18" s="3" t="s">
        <v>869</v>
      </c>
      <c r="M18" s="3" t="s">
        <v>1964</v>
      </c>
    </row>
    <row r="19">
      <c r="A19" s="3" t="s">
        <v>1959</v>
      </c>
      <c r="B19" s="3" t="s">
        <v>1960</v>
      </c>
      <c r="C19" s="3" t="s">
        <v>1961</v>
      </c>
      <c r="D19" s="3" t="s">
        <v>472</v>
      </c>
      <c r="E19" s="3" t="s">
        <v>1460</v>
      </c>
      <c r="F19" s="5">
        <v>45772.0</v>
      </c>
      <c r="G19" s="3" t="s">
        <v>214</v>
      </c>
      <c r="H19" s="3" t="s">
        <v>48</v>
      </c>
      <c r="I19" s="3" t="s">
        <v>49</v>
      </c>
      <c r="J19" s="3">
        <v>4.0</v>
      </c>
      <c r="K19" s="3" t="s">
        <v>1963</v>
      </c>
      <c r="L19" s="3" t="s">
        <v>869</v>
      </c>
      <c r="M19" s="3" t="s">
        <v>1964</v>
      </c>
    </row>
    <row r="20">
      <c r="A20" s="3" t="s">
        <v>1959</v>
      </c>
      <c r="B20" s="3" t="s">
        <v>1960</v>
      </c>
      <c r="C20" s="3" t="s">
        <v>1961</v>
      </c>
      <c r="D20" s="3" t="s">
        <v>472</v>
      </c>
      <c r="E20" s="3" t="s">
        <v>1965</v>
      </c>
      <c r="F20" s="5">
        <v>45772.0</v>
      </c>
      <c r="G20" s="3" t="s">
        <v>214</v>
      </c>
      <c r="H20" s="3" t="s">
        <v>48</v>
      </c>
      <c r="I20" s="3" t="s">
        <v>49</v>
      </c>
      <c r="J20" s="3">
        <v>4.0</v>
      </c>
      <c r="K20" s="3" t="s">
        <v>1963</v>
      </c>
      <c r="L20" s="3" t="s">
        <v>869</v>
      </c>
      <c r="M20" s="3" t="s">
        <v>1964</v>
      </c>
    </row>
    <row r="21">
      <c r="A21" s="3" t="s">
        <v>1966</v>
      </c>
      <c r="B21" s="3" t="s">
        <v>1967</v>
      </c>
      <c r="C21" s="3" t="s">
        <v>1968</v>
      </c>
      <c r="D21" s="3" t="s">
        <v>531</v>
      </c>
      <c r="E21" s="3" t="s">
        <v>1145</v>
      </c>
      <c r="F21" s="14">
        <v>45840.0</v>
      </c>
      <c r="G21" s="3" t="s">
        <v>214</v>
      </c>
      <c r="H21" s="3" t="s">
        <v>48</v>
      </c>
      <c r="I21" s="3"/>
      <c r="J21" s="3"/>
      <c r="K21" s="3"/>
      <c r="L21" s="3"/>
      <c r="M21" s="3"/>
      <c r="N21" s="6" t="s">
        <v>1969</v>
      </c>
      <c r="O21" s="6" t="s">
        <v>1970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>
      <c r="A22" s="32" t="s">
        <v>1045</v>
      </c>
      <c r="B22" s="3" t="s">
        <v>1046</v>
      </c>
      <c r="C22" s="3" t="s">
        <v>1047</v>
      </c>
      <c r="D22" s="19" t="s">
        <v>531</v>
      </c>
      <c r="E22" s="74" t="s">
        <v>1048</v>
      </c>
      <c r="F22" s="14">
        <v>45813.0</v>
      </c>
      <c r="G22" s="3" t="s">
        <v>214</v>
      </c>
      <c r="H22" s="3" t="s">
        <v>48</v>
      </c>
    </row>
    <row r="23">
      <c r="A23" s="73" t="s">
        <v>1971</v>
      </c>
      <c r="B23" s="3" t="s">
        <v>1972</v>
      </c>
      <c r="D23" s="3" t="s">
        <v>531</v>
      </c>
      <c r="E23" s="73" t="s">
        <v>858</v>
      </c>
      <c r="F23" s="3" t="s">
        <v>1973</v>
      </c>
      <c r="G23" s="3" t="s">
        <v>214</v>
      </c>
      <c r="H23" s="3" t="s">
        <v>48</v>
      </c>
    </row>
    <row r="24">
      <c r="A24" s="73" t="s">
        <v>1974</v>
      </c>
      <c r="B24" s="3" t="s">
        <v>1972</v>
      </c>
      <c r="D24" s="3" t="s">
        <v>531</v>
      </c>
      <c r="E24" s="73" t="s">
        <v>859</v>
      </c>
      <c r="F24" s="3" t="s">
        <v>1973</v>
      </c>
      <c r="G24" s="3" t="s">
        <v>214</v>
      </c>
      <c r="H24" s="3" t="s">
        <v>48</v>
      </c>
    </row>
    <row r="25">
      <c r="A25" s="73" t="s">
        <v>1975</v>
      </c>
      <c r="B25" s="6" t="s">
        <v>1976</v>
      </c>
      <c r="D25" s="17" t="s">
        <v>531</v>
      </c>
      <c r="E25" s="75" t="s">
        <v>907</v>
      </c>
      <c r="F25" s="3" t="s">
        <v>1977</v>
      </c>
      <c r="G25" s="3" t="s">
        <v>214</v>
      </c>
      <c r="H25" s="3" t="s">
        <v>48</v>
      </c>
    </row>
    <row r="26">
      <c r="A26" s="73" t="s">
        <v>1978</v>
      </c>
      <c r="B26" s="6" t="s">
        <v>1979</v>
      </c>
      <c r="D26" s="17" t="s">
        <v>531</v>
      </c>
      <c r="E26" s="75" t="s">
        <v>905</v>
      </c>
      <c r="F26" s="3" t="s">
        <v>1977</v>
      </c>
      <c r="G26" s="3" t="s">
        <v>214</v>
      </c>
      <c r="H26" s="3" t="s">
        <v>48</v>
      </c>
    </row>
    <row r="27">
      <c r="A27" s="22" t="s">
        <v>1980</v>
      </c>
      <c r="B27" s="19" t="s">
        <v>1981</v>
      </c>
      <c r="C27" s="19" t="s">
        <v>1982</v>
      </c>
      <c r="D27" s="19" t="s">
        <v>531</v>
      </c>
      <c r="E27" s="76" t="s">
        <v>1033</v>
      </c>
      <c r="F27" s="5">
        <v>45867.0</v>
      </c>
      <c r="G27" s="24" t="s">
        <v>214</v>
      </c>
      <c r="H27" s="19" t="s">
        <v>48</v>
      </c>
    </row>
    <row r="28">
      <c r="A28" s="19" t="s">
        <v>1983</v>
      </c>
      <c r="B28" s="19" t="s">
        <v>1984</v>
      </c>
      <c r="C28" s="19" t="s">
        <v>1985</v>
      </c>
      <c r="D28" s="19" t="s">
        <v>46</v>
      </c>
      <c r="E28" s="3" t="s">
        <v>337</v>
      </c>
      <c r="F28" s="5">
        <v>45911.0</v>
      </c>
      <c r="G28" s="24" t="s">
        <v>214</v>
      </c>
      <c r="H28" s="19" t="s">
        <v>48</v>
      </c>
    </row>
    <row r="29">
      <c r="A29" s="19" t="s">
        <v>1983</v>
      </c>
      <c r="B29" s="19" t="s">
        <v>1984</v>
      </c>
      <c r="C29" s="19" t="s">
        <v>1985</v>
      </c>
      <c r="D29" s="19" t="s">
        <v>46</v>
      </c>
      <c r="E29" s="3" t="s">
        <v>335</v>
      </c>
      <c r="F29" s="7" t="s">
        <v>60</v>
      </c>
      <c r="G29" s="3" t="s">
        <v>214</v>
      </c>
      <c r="H29" s="19" t="s">
        <v>48</v>
      </c>
    </row>
    <row r="30">
      <c r="A30" s="19" t="s">
        <v>1983</v>
      </c>
      <c r="B30" s="19" t="s">
        <v>1984</v>
      </c>
      <c r="C30" s="19" t="s">
        <v>1985</v>
      </c>
      <c r="D30" s="19" t="s">
        <v>46</v>
      </c>
      <c r="E30" s="3" t="s">
        <v>336</v>
      </c>
      <c r="F30" s="5">
        <v>45911.0</v>
      </c>
      <c r="G30" s="24" t="s">
        <v>214</v>
      </c>
      <c r="H30" s="19" t="s">
        <v>48</v>
      </c>
    </row>
    <row r="31">
      <c r="A31" s="19" t="s">
        <v>1983</v>
      </c>
      <c r="B31" s="19" t="s">
        <v>1984</v>
      </c>
      <c r="C31" s="19" t="s">
        <v>1985</v>
      </c>
      <c r="D31" s="19" t="s">
        <v>46</v>
      </c>
      <c r="E31" s="3" t="s">
        <v>332</v>
      </c>
      <c r="F31" s="7" t="s">
        <v>60</v>
      </c>
      <c r="G31" s="3" t="s">
        <v>214</v>
      </c>
      <c r="H31" s="19" t="s">
        <v>48</v>
      </c>
    </row>
    <row r="32">
      <c r="A32" s="19" t="s">
        <v>1986</v>
      </c>
      <c r="B32" s="19" t="s">
        <v>1987</v>
      </c>
      <c r="C32" s="19" t="s">
        <v>1988</v>
      </c>
      <c r="D32" s="19" t="s">
        <v>472</v>
      </c>
      <c r="E32" s="3" t="s">
        <v>1989</v>
      </c>
      <c r="F32" s="5">
        <v>45880.0</v>
      </c>
      <c r="G32" s="24" t="s">
        <v>214</v>
      </c>
      <c r="H32" s="19" t="s">
        <v>48</v>
      </c>
      <c r="I32" s="3" t="s">
        <v>49</v>
      </c>
      <c r="J32" s="3">
        <v>6.0</v>
      </c>
      <c r="K32" s="3" t="s">
        <v>1990</v>
      </c>
      <c r="L32" s="3" t="s">
        <v>1745</v>
      </c>
      <c r="M32" s="3" t="s">
        <v>1991</v>
      </c>
      <c r="N32" s="6" t="s">
        <v>1992</v>
      </c>
      <c r="O32" s="6" t="s">
        <v>1993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</row>
    <row r="33">
      <c r="A33" s="19" t="s">
        <v>1986</v>
      </c>
      <c r="B33" s="19" t="s">
        <v>1987</v>
      </c>
      <c r="C33" s="19" t="s">
        <v>1988</v>
      </c>
      <c r="D33" s="19" t="s">
        <v>472</v>
      </c>
      <c r="E33" s="3" t="s">
        <v>1994</v>
      </c>
      <c r="F33" s="7" t="s">
        <v>60</v>
      </c>
      <c r="G33" s="3" t="s">
        <v>214</v>
      </c>
      <c r="H33" s="19" t="s">
        <v>48</v>
      </c>
      <c r="I33" s="3" t="s">
        <v>49</v>
      </c>
      <c r="J33" s="3">
        <v>3.0</v>
      </c>
      <c r="K33" s="3" t="s">
        <v>1995</v>
      </c>
      <c r="L33" s="3" t="s">
        <v>1745</v>
      </c>
      <c r="M33" s="3" t="s">
        <v>1991</v>
      </c>
      <c r="N33" s="6" t="s">
        <v>1992</v>
      </c>
      <c r="O33" s="6" t="s">
        <v>1993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</row>
    <row r="34">
      <c r="A34" s="19" t="s">
        <v>1986</v>
      </c>
      <c r="B34" s="19" t="s">
        <v>1987</v>
      </c>
      <c r="C34" s="19" t="s">
        <v>1988</v>
      </c>
      <c r="D34" s="19" t="s">
        <v>472</v>
      </c>
      <c r="E34" s="3" t="s">
        <v>1996</v>
      </c>
      <c r="F34" s="7" t="s">
        <v>60</v>
      </c>
      <c r="G34" s="3" t="s">
        <v>214</v>
      </c>
      <c r="H34" s="19" t="s">
        <v>48</v>
      </c>
      <c r="I34" s="3" t="s">
        <v>49</v>
      </c>
      <c r="J34" s="3">
        <v>33.0</v>
      </c>
      <c r="K34" s="3" t="s">
        <v>1997</v>
      </c>
      <c r="L34" s="3" t="s">
        <v>1688</v>
      </c>
      <c r="M34" s="3" t="s">
        <v>1991</v>
      </c>
      <c r="N34" s="6" t="s">
        <v>1992</v>
      </c>
      <c r="O34" s="6" t="s">
        <v>1993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</row>
    <row r="35">
      <c r="A35" s="19" t="s">
        <v>1998</v>
      </c>
      <c r="B35" s="19" t="s">
        <v>1999</v>
      </c>
      <c r="C35" s="19" t="s">
        <v>2000</v>
      </c>
      <c r="D35" s="19" t="s">
        <v>356</v>
      </c>
      <c r="E35" s="3" t="s">
        <v>2001</v>
      </c>
      <c r="F35" s="14">
        <v>45876.0</v>
      </c>
      <c r="G35" s="24" t="s">
        <v>214</v>
      </c>
      <c r="H35" s="19" t="s">
        <v>48</v>
      </c>
      <c r="I35" s="3" t="s">
        <v>49</v>
      </c>
      <c r="J35" s="3">
        <v>1.0</v>
      </c>
      <c r="K35" s="3" t="s">
        <v>877</v>
      </c>
      <c r="L35" s="3" t="s">
        <v>877</v>
      </c>
      <c r="M35" s="3" t="s">
        <v>2002</v>
      </c>
      <c r="N35" s="6" t="s">
        <v>2003</v>
      </c>
      <c r="O35" s="6" t="s">
        <v>2004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</row>
    <row r="36">
      <c r="A36" s="17" t="s">
        <v>2005</v>
      </c>
      <c r="B36" s="17" t="s">
        <v>2006</v>
      </c>
      <c r="C36" s="17" t="s">
        <v>2007</v>
      </c>
      <c r="D36" s="17" t="s">
        <v>531</v>
      </c>
      <c r="E36" s="77"/>
      <c r="F36" s="78">
        <v>45775.0</v>
      </c>
      <c r="G36" s="17" t="s">
        <v>136</v>
      </c>
      <c r="H36" s="17" t="s">
        <v>48</v>
      </c>
    </row>
    <row r="37">
      <c r="A37" s="19" t="s">
        <v>2008</v>
      </c>
      <c r="B37" s="19" t="s">
        <v>2009</v>
      </c>
      <c r="C37" s="19" t="s">
        <v>2010</v>
      </c>
      <c r="D37" s="19" t="s">
        <v>46</v>
      </c>
      <c r="E37" s="3" t="s">
        <v>2011</v>
      </c>
      <c r="F37" s="5">
        <v>45918.0</v>
      </c>
      <c r="G37" s="24" t="s">
        <v>214</v>
      </c>
      <c r="H37" s="19" t="s">
        <v>48</v>
      </c>
    </row>
    <row r="38">
      <c r="A38" s="19" t="s">
        <v>2008</v>
      </c>
      <c r="B38" s="19" t="s">
        <v>2009</v>
      </c>
      <c r="C38" s="19" t="s">
        <v>2010</v>
      </c>
      <c r="D38" s="19" t="s">
        <v>46</v>
      </c>
      <c r="E38" s="3" t="s">
        <v>287</v>
      </c>
      <c r="F38" s="7" t="s">
        <v>60</v>
      </c>
      <c r="G38" s="3" t="s">
        <v>214</v>
      </c>
      <c r="H38" s="19" t="s">
        <v>48</v>
      </c>
    </row>
    <row r="39">
      <c r="A39" s="22" t="s">
        <v>2012</v>
      </c>
      <c r="B39" s="19" t="s">
        <v>2013</v>
      </c>
      <c r="C39" s="19" t="s">
        <v>2014</v>
      </c>
      <c r="D39" s="19" t="s">
        <v>531</v>
      </c>
      <c r="E39" s="73" t="s">
        <v>863</v>
      </c>
      <c r="F39" s="5">
        <v>45881.0</v>
      </c>
      <c r="G39" s="24" t="s">
        <v>214</v>
      </c>
      <c r="H39" s="19" t="s">
        <v>48</v>
      </c>
    </row>
    <row r="40">
      <c r="A40" s="22" t="s">
        <v>814</v>
      </c>
      <c r="B40" s="19" t="s">
        <v>815</v>
      </c>
      <c r="C40" s="19" t="s">
        <v>816</v>
      </c>
      <c r="D40" s="19" t="s">
        <v>531</v>
      </c>
      <c r="E40" s="79" t="s">
        <v>817</v>
      </c>
      <c r="F40" s="33">
        <v>45860.0</v>
      </c>
      <c r="G40" s="3" t="s">
        <v>214</v>
      </c>
      <c r="H40" s="19" t="s">
        <v>48</v>
      </c>
    </row>
    <row r="41">
      <c r="A41" s="22" t="s">
        <v>814</v>
      </c>
      <c r="B41" s="19" t="s">
        <v>815</v>
      </c>
      <c r="C41" s="19" t="s">
        <v>816</v>
      </c>
      <c r="D41" s="19" t="s">
        <v>531</v>
      </c>
      <c r="E41" s="80" t="s">
        <v>822</v>
      </c>
      <c r="F41" s="7" t="s">
        <v>60</v>
      </c>
      <c r="G41" s="3" t="s">
        <v>214</v>
      </c>
      <c r="H41" s="19" t="s">
        <v>48</v>
      </c>
    </row>
    <row r="42">
      <c r="A42" s="22" t="s">
        <v>2015</v>
      </c>
      <c r="B42" s="19" t="s">
        <v>2016</v>
      </c>
      <c r="C42" s="19" t="s">
        <v>2017</v>
      </c>
      <c r="D42" s="19" t="s">
        <v>531</v>
      </c>
      <c r="E42" s="81" t="s">
        <v>2018</v>
      </c>
      <c r="F42" s="14">
        <v>45908.0</v>
      </c>
      <c r="G42" s="26" t="s">
        <v>214</v>
      </c>
      <c r="H42" s="19" t="s">
        <v>48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</row>
    <row r="43">
      <c r="A43" s="22" t="s">
        <v>2019</v>
      </c>
      <c r="B43" s="19" t="s">
        <v>2020</v>
      </c>
      <c r="C43" s="19" t="s">
        <v>2021</v>
      </c>
      <c r="D43" s="19" t="s">
        <v>46</v>
      </c>
      <c r="E43" s="3" t="s">
        <v>2022</v>
      </c>
      <c r="F43" s="5">
        <v>45885.0</v>
      </c>
      <c r="G43" s="24" t="s">
        <v>214</v>
      </c>
      <c r="H43" s="19" t="s">
        <v>48</v>
      </c>
      <c r="I43" s="3" t="s">
        <v>49</v>
      </c>
      <c r="J43" s="3">
        <v>3.0</v>
      </c>
      <c r="K43" s="3" t="s">
        <v>2023</v>
      </c>
      <c r="L43" s="3" t="s">
        <v>877</v>
      </c>
      <c r="M43" s="3" t="s">
        <v>139</v>
      </c>
      <c r="N43" s="6" t="s">
        <v>2024</v>
      </c>
      <c r="O43" s="6" t="s">
        <v>141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>
      <c r="A44" s="22" t="s">
        <v>2025</v>
      </c>
      <c r="B44" s="19" t="s">
        <v>2026</v>
      </c>
      <c r="C44" s="19" t="s">
        <v>2027</v>
      </c>
      <c r="D44" s="19" t="s">
        <v>531</v>
      </c>
      <c r="E44" s="76" t="s">
        <v>1037</v>
      </c>
      <c r="F44" s="5">
        <v>45946.0</v>
      </c>
      <c r="G44" s="24" t="s">
        <v>214</v>
      </c>
      <c r="H44" s="19" t="s">
        <v>48</v>
      </c>
      <c r="I44" s="3" t="s">
        <v>49</v>
      </c>
      <c r="J44" s="3">
        <v>3.0</v>
      </c>
      <c r="K44" s="3" t="s">
        <v>2028</v>
      </c>
      <c r="L44" s="3" t="s">
        <v>2029</v>
      </c>
      <c r="M44" s="3" t="s">
        <v>2030</v>
      </c>
      <c r="N44" s="6" t="s">
        <v>2031</v>
      </c>
      <c r="O44" s="6" t="s">
        <v>2032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>
      <c r="A45" s="22" t="s">
        <v>2025</v>
      </c>
      <c r="B45" s="19" t="s">
        <v>2026</v>
      </c>
      <c r="C45" s="19" t="s">
        <v>2027</v>
      </c>
      <c r="D45" s="19" t="s">
        <v>531</v>
      </c>
      <c r="E45" s="76" t="s">
        <v>1038</v>
      </c>
      <c r="F45" s="7" t="s">
        <v>60</v>
      </c>
      <c r="H45" s="19" t="s">
        <v>48</v>
      </c>
      <c r="I45" s="3" t="s">
        <v>49</v>
      </c>
      <c r="J45" s="3">
        <v>3.0</v>
      </c>
      <c r="K45" s="3" t="s">
        <v>2028</v>
      </c>
      <c r="L45" s="3" t="s">
        <v>2029</v>
      </c>
      <c r="M45" s="3" t="s">
        <v>2030</v>
      </c>
      <c r="N45" s="6" t="s">
        <v>2031</v>
      </c>
      <c r="O45" s="6" t="s">
        <v>2032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>
      <c r="A46" s="22" t="s">
        <v>2025</v>
      </c>
      <c r="B46" s="19" t="s">
        <v>2026</v>
      </c>
      <c r="C46" s="19" t="s">
        <v>2027</v>
      </c>
      <c r="D46" s="19" t="s">
        <v>531</v>
      </c>
      <c r="E46" s="76" t="s">
        <v>1040</v>
      </c>
      <c r="F46" s="7" t="s">
        <v>60</v>
      </c>
      <c r="H46" s="15" t="s">
        <v>48</v>
      </c>
      <c r="I46" s="3" t="s">
        <v>49</v>
      </c>
      <c r="J46" s="3">
        <v>3.0</v>
      </c>
      <c r="K46" s="3" t="s">
        <v>2028</v>
      </c>
      <c r="L46" s="3" t="s">
        <v>2029</v>
      </c>
      <c r="M46" s="3" t="s">
        <v>2030</v>
      </c>
      <c r="N46" s="6" t="s">
        <v>2031</v>
      </c>
      <c r="O46" s="6" t="s">
        <v>2032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>
      <c r="A47" s="19" t="s">
        <v>2033</v>
      </c>
      <c r="B47" s="19" t="s">
        <v>2034</v>
      </c>
      <c r="C47" s="19" t="s">
        <v>2035</v>
      </c>
      <c r="D47" s="19" t="s">
        <v>531</v>
      </c>
      <c r="E47" s="80" t="s">
        <v>1668</v>
      </c>
      <c r="F47" s="14">
        <v>45876.0</v>
      </c>
      <c r="G47" s="24" t="s">
        <v>214</v>
      </c>
      <c r="H47" s="19" t="s">
        <v>48</v>
      </c>
      <c r="I47" s="3" t="s">
        <v>49</v>
      </c>
      <c r="J47" s="3">
        <v>11.0</v>
      </c>
      <c r="K47" s="3" t="s">
        <v>2036</v>
      </c>
      <c r="L47" s="3" t="s">
        <v>2037</v>
      </c>
      <c r="M47" s="3" t="s">
        <v>188</v>
      </c>
      <c r="N47" s="6" t="s">
        <v>2038</v>
      </c>
      <c r="O47" s="6" t="s">
        <v>190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>
      <c r="A48" s="19" t="s">
        <v>2033</v>
      </c>
      <c r="B48" s="19" t="s">
        <v>2034</v>
      </c>
      <c r="C48" s="19" t="s">
        <v>2035</v>
      </c>
      <c r="D48" s="19" t="s">
        <v>531</v>
      </c>
      <c r="E48" s="80" t="s">
        <v>2039</v>
      </c>
      <c r="F48" s="7" t="s">
        <v>60</v>
      </c>
      <c r="H48" s="19" t="s">
        <v>48</v>
      </c>
      <c r="I48" s="3" t="s">
        <v>49</v>
      </c>
      <c r="J48" s="3">
        <v>2.0</v>
      </c>
      <c r="K48" s="3" t="s">
        <v>2040</v>
      </c>
      <c r="L48" s="3" t="s">
        <v>2037</v>
      </c>
      <c r="M48" s="3" t="s">
        <v>188</v>
      </c>
      <c r="N48" s="6" t="s">
        <v>2038</v>
      </c>
      <c r="O48" s="6" t="s">
        <v>190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>
      <c r="A49" s="19" t="s">
        <v>2041</v>
      </c>
      <c r="B49" s="19" t="s">
        <v>2042</v>
      </c>
      <c r="C49" s="19" t="s">
        <v>2043</v>
      </c>
      <c r="D49" s="19" t="s">
        <v>2044</v>
      </c>
      <c r="E49" s="3" t="s">
        <v>2045</v>
      </c>
      <c r="F49" s="5">
        <v>45980.0</v>
      </c>
      <c r="G49" s="24" t="s">
        <v>214</v>
      </c>
      <c r="H49" s="19" t="s">
        <v>48</v>
      </c>
      <c r="I49" s="3" t="s">
        <v>49</v>
      </c>
      <c r="J49" s="3">
        <v>4.0</v>
      </c>
      <c r="K49" s="3" t="s">
        <v>2046</v>
      </c>
      <c r="L49" s="3" t="s">
        <v>757</v>
      </c>
      <c r="M49" s="3" t="s">
        <v>344</v>
      </c>
      <c r="N49" s="6" t="s">
        <v>2047</v>
      </c>
      <c r="O49" s="6" t="s">
        <v>152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</row>
    <row r="50">
      <c r="A50" s="19" t="s">
        <v>2041</v>
      </c>
      <c r="B50" s="19" t="s">
        <v>2042</v>
      </c>
      <c r="C50" s="19" t="s">
        <v>2043</v>
      </c>
      <c r="D50" s="19" t="s">
        <v>2044</v>
      </c>
      <c r="E50" s="3" t="s">
        <v>2048</v>
      </c>
      <c r="F50" s="7" t="s">
        <v>60</v>
      </c>
      <c r="H50" s="19" t="s">
        <v>48</v>
      </c>
      <c r="I50" s="3" t="s">
        <v>49</v>
      </c>
      <c r="J50" s="3">
        <v>4.0</v>
      </c>
      <c r="K50" s="3" t="s">
        <v>2046</v>
      </c>
      <c r="L50" s="3" t="s">
        <v>757</v>
      </c>
      <c r="M50" s="3" t="s">
        <v>344</v>
      </c>
      <c r="N50" s="6" t="s">
        <v>2047</v>
      </c>
      <c r="O50" s="6" t="s">
        <v>152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>
      <c r="A51" s="17" t="s">
        <v>2041</v>
      </c>
      <c r="B51" s="17" t="s">
        <v>2042</v>
      </c>
      <c r="C51" s="17" t="s">
        <v>2043</v>
      </c>
      <c r="D51" s="17" t="s">
        <v>2044</v>
      </c>
      <c r="E51" s="19" t="s">
        <v>2049</v>
      </c>
      <c r="F51" s="7" t="s">
        <v>60</v>
      </c>
      <c r="H51" s="17" t="s">
        <v>48</v>
      </c>
      <c r="I51" s="17" t="s">
        <v>49</v>
      </c>
      <c r="J51" s="82">
        <v>4.0</v>
      </c>
      <c r="K51" s="17" t="s">
        <v>2046</v>
      </c>
      <c r="L51" s="17" t="s">
        <v>757</v>
      </c>
      <c r="M51" s="17" t="s">
        <v>344</v>
      </c>
      <c r="N51" s="83" t="s">
        <v>2047</v>
      </c>
      <c r="O51" s="83" t="s">
        <v>152</v>
      </c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</row>
    <row r="52">
      <c r="A52" s="17" t="s">
        <v>2041</v>
      </c>
      <c r="B52" s="17" t="s">
        <v>2042</v>
      </c>
      <c r="C52" s="17" t="s">
        <v>2043</v>
      </c>
      <c r="D52" s="17" t="s">
        <v>2044</v>
      </c>
      <c r="E52" s="19" t="s">
        <v>2050</v>
      </c>
      <c r="F52" s="7" t="s">
        <v>60</v>
      </c>
      <c r="H52" s="17" t="s">
        <v>48</v>
      </c>
      <c r="I52" s="17" t="s">
        <v>49</v>
      </c>
      <c r="J52" s="82">
        <v>4.0</v>
      </c>
      <c r="K52" s="17" t="s">
        <v>2046</v>
      </c>
      <c r="L52" s="17" t="s">
        <v>757</v>
      </c>
      <c r="M52" s="17" t="s">
        <v>344</v>
      </c>
      <c r="N52" s="83" t="s">
        <v>2047</v>
      </c>
      <c r="O52" s="83" t="s">
        <v>152</v>
      </c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</row>
    <row r="53">
      <c r="A53" s="17" t="s">
        <v>2041</v>
      </c>
      <c r="B53" s="17" t="s">
        <v>2042</v>
      </c>
      <c r="C53" s="17" t="s">
        <v>2043</v>
      </c>
      <c r="D53" s="17" t="s">
        <v>2044</v>
      </c>
      <c r="E53" s="19" t="s">
        <v>2051</v>
      </c>
      <c r="F53" s="7" t="s">
        <v>60</v>
      </c>
      <c r="H53" s="17" t="s">
        <v>48</v>
      </c>
      <c r="I53" s="17" t="s">
        <v>49</v>
      </c>
      <c r="J53" s="82">
        <v>4.0</v>
      </c>
      <c r="K53" s="17" t="s">
        <v>2046</v>
      </c>
      <c r="L53" s="17" t="s">
        <v>757</v>
      </c>
      <c r="M53" s="17" t="s">
        <v>344</v>
      </c>
      <c r="N53" s="83" t="s">
        <v>2047</v>
      </c>
      <c r="O53" s="83" t="s">
        <v>152</v>
      </c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</row>
    <row r="54">
      <c r="A54" s="17" t="s">
        <v>2041</v>
      </c>
      <c r="B54" s="17" t="s">
        <v>2042</v>
      </c>
      <c r="C54" s="17" t="s">
        <v>2043</v>
      </c>
      <c r="D54" s="17" t="s">
        <v>2044</v>
      </c>
      <c r="E54" s="19" t="s">
        <v>2052</v>
      </c>
      <c r="F54" s="7" t="s">
        <v>60</v>
      </c>
      <c r="H54" s="17" t="s">
        <v>48</v>
      </c>
      <c r="I54" s="17" t="s">
        <v>49</v>
      </c>
      <c r="J54" s="82">
        <v>4.0</v>
      </c>
      <c r="K54" s="17" t="s">
        <v>2046</v>
      </c>
      <c r="L54" s="17" t="s">
        <v>757</v>
      </c>
      <c r="M54" s="17" t="s">
        <v>344</v>
      </c>
      <c r="N54" s="83" t="s">
        <v>2047</v>
      </c>
      <c r="O54" s="83" t="s">
        <v>152</v>
      </c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</row>
    <row r="55">
      <c r="A55" s="17" t="s">
        <v>2041</v>
      </c>
      <c r="B55" s="17" t="s">
        <v>2042</v>
      </c>
      <c r="C55" s="17" t="s">
        <v>2043</v>
      </c>
      <c r="D55" s="17" t="s">
        <v>2044</v>
      </c>
      <c r="E55" s="19" t="s">
        <v>2053</v>
      </c>
      <c r="F55" s="7" t="s">
        <v>60</v>
      </c>
      <c r="H55" s="17" t="s">
        <v>48</v>
      </c>
      <c r="I55" s="17" t="s">
        <v>49</v>
      </c>
      <c r="J55" s="82">
        <v>4.0</v>
      </c>
      <c r="K55" s="17" t="s">
        <v>2046</v>
      </c>
      <c r="L55" s="17" t="s">
        <v>757</v>
      </c>
      <c r="M55" s="17" t="s">
        <v>344</v>
      </c>
      <c r="N55" s="83" t="s">
        <v>2047</v>
      </c>
      <c r="O55" s="83" t="s">
        <v>152</v>
      </c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</row>
    <row r="56">
      <c r="A56" s="17" t="s">
        <v>2041</v>
      </c>
      <c r="B56" s="17" t="s">
        <v>2042</v>
      </c>
      <c r="C56" s="17" t="s">
        <v>2043</v>
      </c>
      <c r="D56" s="17" t="s">
        <v>2044</v>
      </c>
      <c r="E56" s="19" t="s">
        <v>2054</v>
      </c>
      <c r="F56" s="7" t="s">
        <v>60</v>
      </c>
      <c r="H56" s="17" t="s">
        <v>48</v>
      </c>
      <c r="I56" s="17" t="s">
        <v>49</v>
      </c>
      <c r="J56" s="82">
        <v>4.0</v>
      </c>
      <c r="K56" s="17" t="s">
        <v>2046</v>
      </c>
      <c r="L56" s="17" t="s">
        <v>757</v>
      </c>
      <c r="M56" s="17" t="s">
        <v>344</v>
      </c>
      <c r="N56" s="83" t="s">
        <v>2047</v>
      </c>
      <c r="O56" s="83" t="s">
        <v>152</v>
      </c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</row>
    <row r="57">
      <c r="A57" s="17" t="s">
        <v>2041</v>
      </c>
      <c r="B57" s="17" t="s">
        <v>2042</v>
      </c>
      <c r="C57" s="17" t="s">
        <v>2043</v>
      </c>
      <c r="D57" s="17" t="s">
        <v>2044</v>
      </c>
      <c r="E57" s="19" t="s">
        <v>2055</v>
      </c>
      <c r="F57" s="7" t="s">
        <v>60</v>
      </c>
      <c r="H57" s="17" t="s">
        <v>48</v>
      </c>
      <c r="I57" s="17" t="s">
        <v>49</v>
      </c>
      <c r="J57" s="82">
        <v>4.0</v>
      </c>
      <c r="K57" s="17" t="s">
        <v>2046</v>
      </c>
      <c r="L57" s="17" t="s">
        <v>757</v>
      </c>
      <c r="M57" s="17" t="s">
        <v>344</v>
      </c>
      <c r="N57" s="83" t="s">
        <v>2047</v>
      </c>
      <c r="O57" s="83" t="s">
        <v>152</v>
      </c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</row>
    <row r="58">
      <c r="A58" s="17" t="s">
        <v>2041</v>
      </c>
      <c r="B58" s="17" t="s">
        <v>2042</v>
      </c>
      <c r="C58" s="17" t="s">
        <v>2043</v>
      </c>
      <c r="D58" s="17" t="s">
        <v>2044</v>
      </c>
      <c r="E58" s="19" t="s">
        <v>2056</v>
      </c>
      <c r="F58" s="7" t="s">
        <v>60</v>
      </c>
      <c r="H58" s="17" t="s">
        <v>48</v>
      </c>
      <c r="I58" s="17" t="s">
        <v>49</v>
      </c>
      <c r="J58" s="82">
        <v>4.0</v>
      </c>
      <c r="K58" s="17" t="s">
        <v>2046</v>
      </c>
      <c r="L58" s="17" t="s">
        <v>757</v>
      </c>
      <c r="M58" s="17" t="s">
        <v>344</v>
      </c>
      <c r="N58" s="83" t="s">
        <v>2047</v>
      </c>
      <c r="O58" s="83" t="s">
        <v>152</v>
      </c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</row>
    <row r="59">
      <c r="A59" s="17" t="s">
        <v>2041</v>
      </c>
      <c r="B59" s="17" t="s">
        <v>2042</v>
      </c>
      <c r="C59" s="17" t="s">
        <v>2043</v>
      </c>
      <c r="D59" s="17" t="s">
        <v>2044</v>
      </c>
      <c r="E59" s="19" t="s">
        <v>2057</v>
      </c>
      <c r="F59" s="7" t="s">
        <v>60</v>
      </c>
      <c r="H59" s="17" t="s">
        <v>48</v>
      </c>
      <c r="I59" s="17" t="s">
        <v>49</v>
      </c>
      <c r="J59" s="82">
        <v>4.0</v>
      </c>
      <c r="K59" s="17" t="s">
        <v>2046</v>
      </c>
      <c r="L59" s="17" t="s">
        <v>757</v>
      </c>
      <c r="M59" s="17" t="s">
        <v>344</v>
      </c>
      <c r="N59" s="83" t="s">
        <v>2047</v>
      </c>
      <c r="O59" s="83" t="s">
        <v>152</v>
      </c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</row>
    <row r="60">
      <c r="A60" s="17" t="s">
        <v>2041</v>
      </c>
      <c r="B60" s="17" t="s">
        <v>2042</v>
      </c>
      <c r="C60" s="17" t="s">
        <v>2043</v>
      </c>
      <c r="D60" s="17" t="s">
        <v>2044</v>
      </c>
      <c r="E60" s="19" t="s">
        <v>2058</v>
      </c>
      <c r="F60" s="7" t="s">
        <v>60</v>
      </c>
      <c r="H60" s="17" t="s">
        <v>48</v>
      </c>
      <c r="I60" s="17" t="s">
        <v>49</v>
      </c>
      <c r="J60" s="82">
        <v>4.0</v>
      </c>
      <c r="K60" s="17" t="s">
        <v>2046</v>
      </c>
      <c r="L60" s="17" t="s">
        <v>757</v>
      </c>
      <c r="M60" s="17" t="s">
        <v>344</v>
      </c>
      <c r="N60" s="83" t="s">
        <v>2047</v>
      </c>
      <c r="O60" s="83" t="s">
        <v>152</v>
      </c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</row>
    <row r="61">
      <c r="A61" s="22" t="s">
        <v>2059</v>
      </c>
      <c r="B61" s="19" t="s">
        <v>2060</v>
      </c>
      <c r="C61" s="19" t="s">
        <v>2061</v>
      </c>
      <c r="D61" s="19" t="s">
        <v>531</v>
      </c>
      <c r="E61" s="80" t="s">
        <v>683</v>
      </c>
      <c r="F61" s="5">
        <v>45882.0</v>
      </c>
      <c r="H61" s="19" t="s">
        <v>48</v>
      </c>
      <c r="I61" s="3" t="s">
        <v>49</v>
      </c>
      <c r="J61" s="3">
        <v>13.0</v>
      </c>
      <c r="K61" s="3" t="s">
        <v>2062</v>
      </c>
      <c r="L61" s="3" t="s">
        <v>578</v>
      </c>
      <c r="M61" s="3" t="s">
        <v>2063</v>
      </c>
      <c r="N61" s="6" t="s">
        <v>2064</v>
      </c>
      <c r="O61" s="6" t="s">
        <v>2065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>
      <c r="A62" s="19" t="s">
        <v>2066</v>
      </c>
      <c r="B62" s="19" t="s">
        <v>2067</v>
      </c>
      <c r="C62" s="19" t="s">
        <v>2068</v>
      </c>
      <c r="D62" s="19" t="s">
        <v>457</v>
      </c>
      <c r="E62" s="3" t="s">
        <v>2069</v>
      </c>
      <c r="F62" s="5">
        <v>45894.0</v>
      </c>
      <c r="G62" s="24" t="s">
        <v>214</v>
      </c>
      <c r="H62" s="19" t="s">
        <v>48</v>
      </c>
      <c r="I62" s="3" t="s">
        <v>49</v>
      </c>
      <c r="J62" s="3">
        <v>5.0</v>
      </c>
      <c r="K62" s="3" t="s">
        <v>1277</v>
      </c>
      <c r="L62" s="3" t="s">
        <v>2070</v>
      </c>
      <c r="M62" s="3" t="s">
        <v>2071</v>
      </c>
      <c r="N62" s="6" t="s">
        <v>2072</v>
      </c>
      <c r="O62" s="6" t="s">
        <v>2073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>
      <c r="A63" s="19" t="s">
        <v>2066</v>
      </c>
      <c r="B63" s="19" t="s">
        <v>2067</v>
      </c>
      <c r="C63" s="19" t="s">
        <v>2068</v>
      </c>
      <c r="D63" s="19" t="s">
        <v>457</v>
      </c>
      <c r="E63" s="3" t="s">
        <v>2074</v>
      </c>
      <c r="F63" s="7" t="s">
        <v>60</v>
      </c>
      <c r="H63" s="19" t="s">
        <v>48</v>
      </c>
      <c r="I63" s="3" t="s">
        <v>49</v>
      </c>
      <c r="J63" s="3">
        <v>5.0</v>
      </c>
      <c r="K63" s="3" t="s">
        <v>1277</v>
      </c>
      <c r="L63" s="3" t="s">
        <v>2070</v>
      </c>
      <c r="M63" s="3" t="s">
        <v>2071</v>
      </c>
      <c r="N63" s="6" t="s">
        <v>2072</v>
      </c>
      <c r="O63" s="6" t="s">
        <v>2073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</row>
    <row r="64">
      <c r="A64" s="22" t="s">
        <v>2075</v>
      </c>
      <c r="B64" s="19" t="s">
        <v>2076</v>
      </c>
      <c r="C64" s="19" t="s">
        <v>2077</v>
      </c>
      <c r="D64" s="19" t="s">
        <v>46</v>
      </c>
      <c r="E64" s="3" t="s">
        <v>2078</v>
      </c>
      <c r="F64" s="5">
        <v>45897.0</v>
      </c>
      <c r="G64" s="24" t="s">
        <v>214</v>
      </c>
      <c r="H64" s="19" t="s">
        <v>48</v>
      </c>
      <c r="I64" s="3" t="s">
        <v>49</v>
      </c>
      <c r="J64" s="3">
        <v>5.0</v>
      </c>
      <c r="K64" s="3" t="s">
        <v>2079</v>
      </c>
      <c r="L64" s="3" t="s">
        <v>2080</v>
      </c>
      <c r="M64" s="3" t="s">
        <v>2081</v>
      </c>
      <c r="N64" s="6" t="s">
        <v>2082</v>
      </c>
      <c r="O64" s="6" t="s">
        <v>2083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</row>
    <row r="65">
      <c r="A65" s="22" t="s">
        <v>2075</v>
      </c>
      <c r="B65" s="19" t="s">
        <v>2076</v>
      </c>
      <c r="C65" s="19" t="s">
        <v>2077</v>
      </c>
      <c r="D65" s="19" t="s">
        <v>46</v>
      </c>
      <c r="E65" s="84" t="s">
        <v>1803</v>
      </c>
      <c r="F65" s="7" t="s">
        <v>60</v>
      </c>
      <c r="H65" s="19" t="s">
        <v>48</v>
      </c>
      <c r="I65" s="3" t="s">
        <v>49</v>
      </c>
      <c r="J65" s="3">
        <v>4.0</v>
      </c>
      <c r="K65" s="3" t="s">
        <v>2084</v>
      </c>
      <c r="L65" s="3" t="s">
        <v>2085</v>
      </c>
      <c r="M65" s="3" t="s">
        <v>2081</v>
      </c>
      <c r="N65" s="6" t="s">
        <v>2082</v>
      </c>
      <c r="O65" s="6" t="s">
        <v>2083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>
      <c r="A66" s="22" t="s">
        <v>2075</v>
      </c>
      <c r="B66" s="19" t="s">
        <v>2076</v>
      </c>
      <c r="C66" s="19" t="s">
        <v>2077</v>
      </c>
      <c r="D66" s="19" t="s">
        <v>46</v>
      </c>
      <c r="E66" s="84" t="s">
        <v>2086</v>
      </c>
      <c r="F66" s="7" t="s">
        <v>60</v>
      </c>
      <c r="H66" s="19" t="s">
        <v>48</v>
      </c>
      <c r="I66" s="3" t="s">
        <v>49</v>
      </c>
      <c r="J66" s="3">
        <v>4.0</v>
      </c>
      <c r="K66" s="3" t="s">
        <v>2084</v>
      </c>
      <c r="L66" s="3" t="s">
        <v>2085</v>
      </c>
      <c r="M66" s="3" t="s">
        <v>2081</v>
      </c>
      <c r="N66" s="6" t="s">
        <v>2082</v>
      </c>
      <c r="O66" s="6" t="s">
        <v>2083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>
      <c r="A67" s="22" t="s">
        <v>2075</v>
      </c>
      <c r="B67" s="19" t="s">
        <v>2076</v>
      </c>
      <c r="C67" s="19" t="s">
        <v>2077</v>
      </c>
      <c r="D67" s="19" t="s">
        <v>46</v>
      </c>
      <c r="E67" s="84" t="s">
        <v>119</v>
      </c>
      <c r="F67" s="7" t="s">
        <v>60</v>
      </c>
      <c r="H67" s="19" t="s">
        <v>48</v>
      </c>
      <c r="I67" s="3" t="s">
        <v>49</v>
      </c>
      <c r="J67" s="3">
        <v>4.0</v>
      </c>
      <c r="K67" s="3" t="s">
        <v>2084</v>
      </c>
      <c r="L67" s="3" t="s">
        <v>2085</v>
      </c>
      <c r="M67" s="3" t="s">
        <v>2081</v>
      </c>
      <c r="N67" s="6" t="s">
        <v>2082</v>
      </c>
      <c r="O67" s="6" t="s">
        <v>2083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>
      <c r="A68" s="22" t="s">
        <v>2075</v>
      </c>
      <c r="B68" s="19" t="s">
        <v>2076</v>
      </c>
      <c r="C68" s="19" t="s">
        <v>2077</v>
      </c>
      <c r="D68" s="19" t="s">
        <v>46</v>
      </c>
      <c r="E68" s="84" t="s">
        <v>121</v>
      </c>
      <c r="F68" s="7" t="s">
        <v>60</v>
      </c>
      <c r="H68" s="19" t="s">
        <v>48</v>
      </c>
      <c r="I68" s="3" t="s">
        <v>49</v>
      </c>
      <c r="J68" s="3">
        <v>4.0</v>
      </c>
      <c r="K68" s="3" t="s">
        <v>2084</v>
      </c>
      <c r="L68" s="3" t="s">
        <v>2085</v>
      </c>
      <c r="M68" s="3" t="s">
        <v>2081</v>
      </c>
      <c r="N68" s="6" t="s">
        <v>2082</v>
      </c>
      <c r="O68" s="6" t="s">
        <v>2083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>
      <c r="A69" s="22" t="s">
        <v>2075</v>
      </c>
      <c r="B69" s="19" t="s">
        <v>2076</v>
      </c>
      <c r="C69" s="19" t="s">
        <v>2077</v>
      </c>
      <c r="D69" s="19" t="s">
        <v>46</v>
      </c>
      <c r="E69" s="23" t="s">
        <v>2087</v>
      </c>
      <c r="F69" s="7" t="s">
        <v>60</v>
      </c>
      <c r="H69" s="19" t="s">
        <v>48</v>
      </c>
      <c r="I69" s="3" t="s">
        <v>49</v>
      </c>
      <c r="J69" s="3">
        <v>4.0</v>
      </c>
      <c r="K69" s="3" t="s">
        <v>2084</v>
      </c>
      <c r="L69" s="3" t="s">
        <v>2085</v>
      </c>
      <c r="M69" s="3" t="s">
        <v>2081</v>
      </c>
      <c r="N69" s="6" t="s">
        <v>2082</v>
      </c>
      <c r="O69" s="6" t="s">
        <v>2083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>
      <c r="A70" s="22" t="s">
        <v>2075</v>
      </c>
      <c r="B70" s="19" t="s">
        <v>2076</v>
      </c>
      <c r="C70" s="19" t="s">
        <v>2077</v>
      </c>
      <c r="D70" s="19" t="s">
        <v>46</v>
      </c>
      <c r="E70" s="23" t="s">
        <v>2088</v>
      </c>
      <c r="F70" s="7" t="s">
        <v>60</v>
      </c>
      <c r="H70" s="19" t="s">
        <v>48</v>
      </c>
      <c r="I70" s="3" t="s">
        <v>49</v>
      </c>
      <c r="J70" s="3">
        <v>4.0</v>
      </c>
      <c r="K70" s="3" t="s">
        <v>2084</v>
      </c>
      <c r="L70" s="3" t="s">
        <v>2085</v>
      </c>
      <c r="M70" s="3" t="s">
        <v>2081</v>
      </c>
      <c r="N70" s="6" t="s">
        <v>2082</v>
      </c>
      <c r="O70" s="6" t="s">
        <v>2083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>
      <c r="A71" s="22" t="s">
        <v>2075</v>
      </c>
      <c r="B71" s="19" t="s">
        <v>2076</v>
      </c>
      <c r="C71" s="19" t="s">
        <v>2077</v>
      </c>
      <c r="D71" s="19" t="s">
        <v>46</v>
      </c>
      <c r="E71" s="3" t="s">
        <v>2089</v>
      </c>
      <c r="F71" s="7" t="s">
        <v>60</v>
      </c>
      <c r="H71" s="19" t="s">
        <v>48</v>
      </c>
      <c r="I71" s="3" t="s">
        <v>49</v>
      </c>
      <c r="J71" s="3">
        <v>4.0</v>
      </c>
      <c r="K71" s="3" t="s">
        <v>2084</v>
      </c>
      <c r="L71" s="3" t="s">
        <v>2085</v>
      </c>
      <c r="M71" s="3" t="s">
        <v>2081</v>
      </c>
      <c r="N71" s="6" t="s">
        <v>2082</v>
      </c>
      <c r="O71" s="6" t="s">
        <v>2083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</row>
    <row r="72">
      <c r="A72" s="22" t="s">
        <v>2075</v>
      </c>
      <c r="B72" s="19" t="s">
        <v>2076</v>
      </c>
      <c r="C72" s="19" t="s">
        <v>2077</v>
      </c>
      <c r="D72" s="19" t="s">
        <v>46</v>
      </c>
      <c r="E72" s="3" t="s">
        <v>2090</v>
      </c>
      <c r="F72" s="7" t="s">
        <v>60</v>
      </c>
      <c r="H72" s="19" t="s">
        <v>48</v>
      </c>
      <c r="I72" s="3" t="s">
        <v>49</v>
      </c>
      <c r="J72" s="3">
        <v>4.0</v>
      </c>
      <c r="K72" s="3" t="s">
        <v>2084</v>
      </c>
      <c r="L72" s="3" t="s">
        <v>2085</v>
      </c>
      <c r="M72" s="3" t="s">
        <v>2081</v>
      </c>
      <c r="N72" s="6" t="s">
        <v>2082</v>
      </c>
      <c r="O72" s="6" t="s">
        <v>2083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</row>
    <row r="73">
      <c r="A73" s="19" t="s">
        <v>1874</v>
      </c>
      <c r="B73" s="19" t="s">
        <v>1875</v>
      </c>
      <c r="C73" s="19" t="s">
        <v>1876</v>
      </c>
      <c r="D73" s="19" t="s">
        <v>46</v>
      </c>
      <c r="E73" s="3" t="s">
        <v>2091</v>
      </c>
      <c r="F73" s="5">
        <v>45923.0</v>
      </c>
      <c r="G73" s="24" t="s">
        <v>214</v>
      </c>
      <c r="H73" s="19" t="s">
        <v>48</v>
      </c>
      <c r="I73" s="3" t="s">
        <v>49</v>
      </c>
      <c r="J73" s="3">
        <v>2.0</v>
      </c>
      <c r="K73" s="3" t="s">
        <v>718</v>
      </c>
      <c r="L73" s="3" t="s">
        <v>578</v>
      </c>
      <c r="M73" s="3" t="s">
        <v>1878</v>
      </c>
      <c r="N73" s="6" t="s">
        <v>1879</v>
      </c>
      <c r="O73" s="6" t="s">
        <v>1880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</row>
    <row r="74">
      <c r="A74" s="19" t="s">
        <v>1874</v>
      </c>
      <c r="B74" s="19" t="s">
        <v>1875</v>
      </c>
      <c r="C74" s="19" t="s">
        <v>1876</v>
      </c>
      <c r="D74" s="19" t="s">
        <v>46</v>
      </c>
      <c r="E74" s="3" t="s">
        <v>2092</v>
      </c>
      <c r="F74" s="7" t="s">
        <v>60</v>
      </c>
      <c r="H74" s="19" t="s">
        <v>48</v>
      </c>
      <c r="I74" s="3" t="s">
        <v>49</v>
      </c>
      <c r="J74" s="3">
        <v>2.0</v>
      </c>
      <c r="K74" s="3" t="s">
        <v>718</v>
      </c>
      <c r="L74" s="3" t="s">
        <v>578</v>
      </c>
      <c r="M74" s="3" t="s">
        <v>1878</v>
      </c>
      <c r="N74" s="6" t="s">
        <v>1879</v>
      </c>
      <c r="O74" s="6" t="s">
        <v>1880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  <row r="75">
      <c r="A75" s="19" t="s">
        <v>2093</v>
      </c>
      <c r="B75" s="19" t="s">
        <v>2094</v>
      </c>
      <c r="C75" s="19" t="s">
        <v>2095</v>
      </c>
      <c r="D75" s="19" t="s">
        <v>46</v>
      </c>
      <c r="E75" s="3" t="s">
        <v>2096</v>
      </c>
      <c r="F75" s="14">
        <v>45932.0</v>
      </c>
      <c r="G75" s="24" t="s">
        <v>214</v>
      </c>
      <c r="H75" s="19" t="s">
        <v>48</v>
      </c>
      <c r="I75" s="3" t="s">
        <v>49</v>
      </c>
      <c r="J75" s="3">
        <v>2.0</v>
      </c>
      <c r="K75" s="3" t="s">
        <v>2097</v>
      </c>
      <c r="L75" s="3" t="s">
        <v>158</v>
      </c>
      <c r="M75" s="3" t="s">
        <v>414</v>
      </c>
      <c r="N75" s="6" t="s">
        <v>2098</v>
      </c>
      <c r="O75" s="6" t="s">
        <v>2099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</row>
    <row r="76">
      <c r="A76" s="19" t="s">
        <v>2093</v>
      </c>
      <c r="B76" s="19" t="s">
        <v>2094</v>
      </c>
      <c r="C76" s="19" t="s">
        <v>2095</v>
      </c>
      <c r="D76" s="19" t="s">
        <v>46</v>
      </c>
      <c r="E76" s="15" t="s">
        <v>2100</v>
      </c>
      <c r="F76" s="7" t="s">
        <v>60</v>
      </c>
      <c r="H76" s="19" t="s">
        <v>48</v>
      </c>
      <c r="I76" s="3" t="s">
        <v>49</v>
      </c>
      <c r="J76" s="3">
        <v>2.0</v>
      </c>
      <c r="K76" s="3" t="s">
        <v>2097</v>
      </c>
      <c r="L76" s="3" t="s">
        <v>158</v>
      </c>
      <c r="M76" s="3" t="s">
        <v>414</v>
      </c>
      <c r="N76" s="6" t="s">
        <v>2098</v>
      </c>
      <c r="O76" s="6" t="s">
        <v>2099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</row>
    <row r="77">
      <c r="A77" s="19" t="s">
        <v>2093</v>
      </c>
      <c r="B77" s="19" t="s">
        <v>2094</v>
      </c>
      <c r="C77" s="19" t="s">
        <v>2095</v>
      </c>
      <c r="D77" s="19" t="s">
        <v>46</v>
      </c>
      <c r="E77" s="17" t="s">
        <v>2101</v>
      </c>
      <c r="F77" s="7" t="s">
        <v>60</v>
      </c>
      <c r="H77" s="19" t="s">
        <v>48</v>
      </c>
      <c r="I77" s="3" t="s">
        <v>49</v>
      </c>
      <c r="J77" s="3">
        <v>1.0</v>
      </c>
      <c r="K77" s="3" t="s">
        <v>158</v>
      </c>
      <c r="L77" s="3" t="s">
        <v>158</v>
      </c>
      <c r="M77" s="3" t="s">
        <v>414</v>
      </c>
      <c r="N77" s="6" t="s">
        <v>2098</v>
      </c>
      <c r="O77" s="6" t="s">
        <v>2099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</row>
    <row r="78">
      <c r="A78" s="19" t="s">
        <v>2093</v>
      </c>
      <c r="B78" s="19" t="s">
        <v>2094</v>
      </c>
      <c r="C78" s="19" t="s">
        <v>2095</v>
      </c>
      <c r="D78" s="19" t="s">
        <v>46</v>
      </c>
      <c r="E78" s="17" t="s">
        <v>2102</v>
      </c>
      <c r="F78" s="7" t="s">
        <v>60</v>
      </c>
      <c r="H78" s="19" t="s">
        <v>48</v>
      </c>
      <c r="I78" s="3" t="s">
        <v>49</v>
      </c>
      <c r="J78" s="3">
        <v>8.0</v>
      </c>
      <c r="K78" s="3" t="s">
        <v>2103</v>
      </c>
      <c r="L78" s="3" t="s">
        <v>158</v>
      </c>
      <c r="M78" s="3" t="s">
        <v>414</v>
      </c>
      <c r="N78" s="6" t="s">
        <v>2098</v>
      </c>
      <c r="O78" s="6" t="s">
        <v>2099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</row>
    <row r="79">
      <c r="A79" s="19" t="s">
        <v>2093</v>
      </c>
      <c r="B79" s="19" t="s">
        <v>2094</v>
      </c>
      <c r="C79" s="19" t="s">
        <v>2095</v>
      </c>
      <c r="D79" s="19" t="s">
        <v>46</v>
      </c>
      <c r="E79" s="17" t="s">
        <v>2104</v>
      </c>
      <c r="F79" s="7" t="s">
        <v>60</v>
      </c>
      <c r="H79" s="19" t="s">
        <v>48</v>
      </c>
      <c r="I79" s="3" t="s">
        <v>49</v>
      </c>
      <c r="J79" s="3">
        <v>2.0</v>
      </c>
      <c r="K79" s="3" t="s">
        <v>2097</v>
      </c>
      <c r="L79" s="3" t="s">
        <v>158</v>
      </c>
      <c r="M79" s="3" t="s">
        <v>414</v>
      </c>
      <c r="N79" s="6" t="s">
        <v>2098</v>
      </c>
      <c r="O79" s="6" t="s">
        <v>2099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</row>
    <row r="80">
      <c r="A80" s="19" t="s">
        <v>2093</v>
      </c>
      <c r="B80" s="19" t="s">
        <v>2094</v>
      </c>
      <c r="C80" s="19" t="s">
        <v>2095</v>
      </c>
      <c r="D80" s="19" t="s">
        <v>46</v>
      </c>
      <c r="E80" s="17" t="s">
        <v>2105</v>
      </c>
      <c r="F80" s="7" t="s">
        <v>60</v>
      </c>
      <c r="H80" s="19" t="s">
        <v>48</v>
      </c>
      <c r="I80" s="3" t="s">
        <v>49</v>
      </c>
      <c r="J80" s="3">
        <v>2.0</v>
      </c>
      <c r="K80" s="3" t="s">
        <v>2097</v>
      </c>
      <c r="L80" s="3" t="s">
        <v>158</v>
      </c>
      <c r="M80" s="3" t="s">
        <v>414</v>
      </c>
      <c r="N80" s="6" t="s">
        <v>2098</v>
      </c>
      <c r="O80" s="6" t="s">
        <v>2099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</row>
    <row r="81">
      <c r="A81" s="19" t="s">
        <v>2093</v>
      </c>
      <c r="B81" s="19" t="s">
        <v>2094</v>
      </c>
      <c r="C81" s="19" t="s">
        <v>2095</v>
      </c>
      <c r="D81" s="19" t="s">
        <v>46</v>
      </c>
      <c r="E81" s="3" t="s">
        <v>2106</v>
      </c>
      <c r="F81" s="7" t="s">
        <v>60</v>
      </c>
      <c r="H81" s="19" t="s">
        <v>48</v>
      </c>
      <c r="I81" s="3" t="s">
        <v>49</v>
      </c>
      <c r="J81" s="3">
        <v>1.0</v>
      </c>
      <c r="K81" s="3" t="s">
        <v>158</v>
      </c>
      <c r="L81" s="3" t="s">
        <v>158</v>
      </c>
      <c r="M81" s="3" t="s">
        <v>414</v>
      </c>
      <c r="N81" s="6" t="s">
        <v>2098</v>
      </c>
      <c r="O81" s="6" t="s">
        <v>2099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</row>
    <row r="82">
      <c r="A82" s="19" t="s">
        <v>2093</v>
      </c>
      <c r="B82" s="19" t="s">
        <v>2094</v>
      </c>
      <c r="C82" s="19" t="s">
        <v>2095</v>
      </c>
      <c r="D82" s="19" t="s">
        <v>46</v>
      </c>
      <c r="E82" s="3" t="s">
        <v>2107</v>
      </c>
      <c r="F82" s="7" t="s">
        <v>60</v>
      </c>
      <c r="H82" s="19" t="s">
        <v>48</v>
      </c>
      <c r="I82" s="3" t="s">
        <v>49</v>
      </c>
      <c r="J82" s="3">
        <v>1.0</v>
      </c>
      <c r="K82" s="3" t="s">
        <v>158</v>
      </c>
      <c r="L82" s="3" t="s">
        <v>158</v>
      </c>
      <c r="M82" s="3" t="s">
        <v>414</v>
      </c>
      <c r="N82" s="6" t="s">
        <v>2098</v>
      </c>
      <c r="O82" s="6" t="s">
        <v>2099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>
      <c r="A83" s="32" t="s">
        <v>2108</v>
      </c>
      <c r="B83" s="3" t="s">
        <v>2109</v>
      </c>
      <c r="C83" s="19" t="s">
        <v>2110</v>
      </c>
      <c r="D83" s="19" t="s">
        <v>531</v>
      </c>
      <c r="E83" s="79" t="s">
        <v>2111</v>
      </c>
      <c r="F83" s="5">
        <v>46001.0</v>
      </c>
      <c r="G83" s="85" t="s">
        <v>214</v>
      </c>
      <c r="H83" s="15" t="s">
        <v>48</v>
      </c>
      <c r="I83" s="3" t="s">
        <v>49</v>
      </c>
      <c r="J83" s="3">
        <v>1.0</v>
      </c>
      <c r="K83" s="3" t="s">
        <v>2112</v>
      </c>
      <c r="L83" s="3" t="s">
        <v>2112</v>
      </c>
      <c r="M83" s="3" t="s">
        <v>2113</v>
      </c>
      <c r="N83" s="6" t="s">
        <v>2114</v>
      </c>
      <c r="O83" s="6" t="s">
        <v>2115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</row>
    <row r="84">
      <c r="A84" s="32" t="s">
        <v>2108</v>
      </c>
      <c r="B84" s="3" t="s">
        <v>2109</v>
      </c>
      <c r="C84" s="19" t="s">
        <v>2110</v>
      </c>
      <c r="D84" s="19" t="s">
        <v>531</v>
      </c>
      <c r="E84" s="80" t="s">
        <v>2116</v>
      </c>
      <c r="F84" s="7" t="s">
        <v>60</v>
      </c>
      <c r="H84" s="15" t="s">
        <v>48</v>
      </c>
      <c r="I84" s="3" t="s">
        <v>49</v>
      </c>
      <c r="J84" s="3">
        <v>1.0</v>
      </c>
      <c r="K84" s="3" t="s">
        <v>2112</v>
      </c>
      <c r="L84" s="3" t="s">
        <v>2112</v>
      </c>
      <c r="M84" s="3" t="s">
        <v>2113</v>
      </c>
      <c r="N84" s="6" t="s">
        <v>2114</v>
      </c>
      <c r="O84" s="6" t="s">
        <v>2115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</row>
    <row r="85">
      <c r="A85" s="32" t="s">
        <v>2108</v>
      </c>
      <c r="B85" s="3" t="s">
        <v>2109</v>
      </c>
      <c r="C85" s="19" t="s">
        <v>2110</v>
      </c>
      <c r="D85" s="19" t="s">
        <v>531</v>
      </c>
      <c r="E85" s="80" t="s">
        <v>549</v>
      </c>
      <c r="F85" s="7" t="s">
        <v>60</v>
      </c>
      <c r="H85" s="15" t="s">
        <v>48</v>
      </c>
      <c r="I85" s="3" t="s">
        <v>49</v>
      </c>
      <c r="J85" s="3">
        <v>1.0</v>
      </c>
      <c r="K85" s="3" t="s">
        <v>2112</v>
      </c>
      <c r="L85" s="3" t="s">
        <v>2112</v>
      </c>
      <c r="M85" s="3" t="s">
        <v>2113</v>
      </c>
      <c r="N85" s="6" t="s">
        <v>2114</v>
      </c>
      <c r="O85" s="6" t="s">
        <v>2115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</row>
    <row r="86">
      <c r="A86" s="32" t="s">
        <v>2108</v>
      </c>
      <c r="B86" s="3" t="s">
        <v>2109</v>
      </c>
      <c r="C86" s="19" t="s">
        <v>2110</v>
      </c>
      <c r="D86" s="19" t="s">
        <v>531</v>
      </c>
      <c r="E86" s="80" t="s">
        <v>2117</v>
      </c>
      <c r="F86" s="7" t="s">
        <v>60</v>
      </c>
      <c r="H86" s="15" t="s">
        <v>48</v>
      </c>
      <c r="I86" s="3" t="s">
        <v>49</v>
      </c>
      <c r="J86" s="3">
        <v>1.0</v>
      </c>
      <c r="K86" s="3" t="s">
        <v>2112</v>
      </c>
      <c r="L86" s="3" t="s">
        <v>2112</v>
      </c>
      <c r="M86" s="3" t="s">
        <v>2113</v>
      </c>
      <c r="N86" s="6" t="s">
        <v>2114</v>
      </c>
      <c r="O86" s="6" t="s">
        <v>2115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</row>
    <row r="87">
      <c r="A87" s="32" t="s">
        <v>2108</v>
      </c>
      <c r="B87" s="3" t="s">
        <v>2109</v>
      </c>
      <c r="C87" s="19" t="s">
        <v>2110</v>
      </c>
      <c r="D87" s="19" t="s">
        <v>531</v>
      </c>
      <c r="E87" s="80" t="s">
        <v>2118</v>
      </c>
      <c r="F87" s="7" t="s">
        <v>60</v>
      </c>
      <c r="H87" s="15" t="s">
        <v>48</v>
      </c>
      <c r="I87" s="3" t="s">
        <v>49</v>
      </c>
      <c r="J87" s="3">
        <v>1.0</v>
      </c>
      <c r="K87" s="3" t="s">
        <v>2112</v>
      </c>
      <c r="L87" s="3" t="s">
        <v>2112</v>
      </c>
      <c r="M87" s="3" t="s">
        <v>2113</v>
      </c>
      <c r="N87" s="6" t="s">
        <v>2114</v>
      </c>
      <c r="O87" s="6" t="s">
        <v>2115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</row>
    <row r="88">
      <c r="A88" s="32" t="s">
        <v>2108</v>
      </c>
      <c r="B88" s="3" t="s">
        <v>2109</v>
      </c>
      <c r="C88" s="19" t="s">
        <v>2110</v>
      </c>
      <c r="D88" s="19" t="s">
        <v>531</v>
      </c>
      <c r="E88" s="80" t="s">
        <v>550</v>
      </c>
      <c r="F88" s="7" t="s">
        <v>60</v>
      </c>
      <c r="H88" s="15" t="s">
        <v>48</v>
      </c>
      <c r="I88" s="3" t="s">
        <v>49</v>
      </c>
      <c r="J88" s="3">
        <v>1.0</v>
      </c>
      <c r="K88" s="3" t="s">
        <v>2112</v>
      </c>
      <c r="L88" s="3" t="s">
        <v>2112</v>
      </c>
      <c r="M88" s="3" t="s">
        <v>2113</v>
      </c>
      <c r="N88" s="6" t="s">
        <v>2114</v>
      </c>
      <c r="O88" s="6" t="s">
        <v>2115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</row>
    <row r="89">
      <c r="A89" s="32" t="s">
        <v>2119</v>
      </c>
      <c r="B89" s="3" t="s">
        <v>2120</v>
      </c>
      <c r="C89" s="19" t="s">
        <v>2121</v>
      </c>
      <c r="D89" s="3" t="s">
        <v>472</v>
      </c>
      <c r="E89" s="3" t="s">
        <v>2122</v>
      </c>
      <c r="F89" s="5">
        <v>46008.0</v>
      </c>
      <c r="G89" s="26" t="s">
        <v>214</v>
      </c>
      <c r="H89" s="15" t="s">
        <v>48</v>
      </c>
      <c r="I89" s="3" t="s">
        <v>49</v>
      </c>
      <c r="J89" s="3">
        <v>9.0</v>
      </c>
      <c r="K89" s="3" t="s">
        <v>2123</v>
      </c>
      <c r="L89" s="3" t="s">
        <v>958</v>
      </c>
      <c r="M89" s="3" t="s">
        <v>2124</v>
      </c>
      <c r="N89" s="6" t="s">
        <v>2125</v>
      </c>
      <c r="O89" s="6" t="s">
        <v>2126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</row>
    <row r="90">
      <c r="A90" s="3" t="s">
        <v>2119</v>
      </c>
      <c r="B90" s="3" t="s">
        <v>2120</v>
      </c>
      <c r="C90" s="19" t="s">
        <v>2121</v>
      </c>
      <c r="D90" s="3" t="s">
        <v>472</v>
      </c>
      <c r="E90" s="3" t="s">
        <v>2127</v>
      </c>
      <c r="F90" s="7" t="s">
        <v>60</v>
      </c>
      <c r="H90" s="15" t="s">
        <v>48</v>
      </c>
      <c r="I90" s="3" t="s">
        <v>49</v>
      </c>
      <c r="J90" s="3">
        <v>5.0</v>
      </c>
      <c r="K90" s="3" t="s">
        <v>639</v>
      </c>
      <c r="L90" s="3" t="s">
        <v>958</v>
      </c>
      <c r="M90" s="3" t="s">
        <v>2124</v>
      </c>
      <c r="N90" s="6" t="s">
        <v>2125</v>
      </c>
      <c r="O90" s="6" t="s">
        <v>2126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>
      <c r="A91" s="3" t="s">
        <v>2119</v>
      </c>
      <c r="B91" s="3" t="s">
        <v>2120</v>
      </c>
      <c r="C91" s="19" t="s">
        <v>2121</v>
      </c>
      <c r="D91" s="3" t="s">
        <v>472</v>
      </c>
      <c r="E91" s="3" t="s">
        <v>2128</v>
      </c>
      <c r="F91" s="7" t="s">
        <v>60</v>
      </c>
      <c r="H91" s="15" t="s">
        <v>48</v>
      </c>
      <c r="I91" s="3" t="s">
        <v>49</v>
      </c>
      <c r="J91" s="3">
        <v>5.0</v>
      </c>
      <c r="K91" s="3" t="s">
        <v>639</v>
      </c>
      <c r="L91" s="3" t="s">
        <v>958</v>
      </c>
      <c r="M91" s="3" t="s">
        <v>2124</v>
      </c>
      <c r="N91" s="6" t="s">
        <v>2125</v>
      </c>
      <c r="O91" s="6" t="s">
        <v>2126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</row>
    <row r="92">
      <c r="A92" s="3" t="s">
        <v>2119</v>
      </c>
      <c r="B92" s="3" t="s">
        <v>2120</v>
      </c>
      <c r="C92" s="19" t="s">
        <v>2121</v>
      </c>
      <c r="D92" s="3" t="s">
        <v>472</v>
      </c>
      <c r="E92" s="3" t="s">
        <v>2129</v>
      </c>
      <c r="F92" s="7" t="s">
        <v>60</v>
      </c>
      <c r="H92" s="15" t="s">
        <v>48</v>
      </c>
      <c r="I92" s="3" t="s">
        <v>49</v>
      </c>
      <c r="J92" s="3">
        <v>5.0</v>
      </c>
      <c r="K92" s="3" t="s">
        <v>639</v>
      </c>
      <c r="L92" s="3" t="s">
        <v>958</v>
      </c>
      <c r="M92" s="3" t="s">
        <v>2124</v>
      </c>
      <c r="N92" s="6" t="s">
        <v>2125</v>
      </c>
      <c r="O92" s="6" t="s">
        <v>2126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</row>
    <row r="93">
      <c r="A93" s="3" t="s">
        <v>2119</v>
      </c>
      <c r="B93" s="3" t="s">
        <v>2120</v>
      </c>
      <c r="C93" s="19" t="s">
        <v>2121</v>
      </c>
      <c r="D93" s="3" t="s">
        <v>472</v>
      </c>
      <c r="E93" s="3" t="s">
        <v>1457</v>
      </c>
      <c r="F93" s="7" t="s">
        <v>60</v>
      </c>
      <c r="H93" s="15" t="s">
        <v>48</v>
      </c>
      <c r="I93" s="3" t="s">
        <v>49</v>
      </c>
      <c r="J93" s="3">
        <v>5.0</v>
      </c>
      <c r="K93" s="3" t="s">
        <v>639</v>
      </c>
      <c r="L93" s="3" t="s">
        <v>958</v>
      </c>
      <c r="M93" s="3" t="s">
        <v>2124</v>
      </c>
      <c r="N93" s="6" t="s">
        <v>2125</v>
      </c>
      <c r="O93" s="6" t="s">
        <v>2126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</row>
    <row r="94">
      <c r="A94" s="3" t="s">
        <v>2119</v>
      </c>
      <c r="B94" s="3" t="s">
        <v>2120</v>
      </c>
      <c r="C94" s="19" t="s">
        <v>2121</v>
      </c>
      <c r="D94" s="3" t="s">
        <v>472</v>
      </c>
      <c r="E94" s="3" t="s">
        <v>447</v>
      </c>
      <c r="F94" s="7" t="s">
        <v>60</v>
      </c>
      <c r="H94" s="15" t="s">
        <v>48</v>
      </c>
      <c r="I94" s="3" t="s">
        <v>49</v>
      </c>
      <c r="J94" s="3">
        <v>5.0</v>
      </c>
      <c r="K94" s="3" t="s">
        <v>639</v>
      </c>
      <c r="L94" s="3" t="s">
        <v>958</v>
      </c>
      <c r="M94" s="3" t="s">
        <v>2124</v>
      </c>
      <c r="N94" s="6" t="s">
        <v>2125</v>
      </c>
      <c r="O94" s="6" t="s">
        <v>2126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</row>
    <row r="95">
      <c r="A95" s="3" t="s">
        <v>2119</v>
      </c>
      <c r="B95" s="3" t="s">
        <v>2120</v>
      </c>
      <c r="C95" s="19" t="s">
        <v>2121</v>
      </c>
      <c r="D95" s="3" t="s">
        <v>472</v>
      </c>
      <c r="E95" s="3" t="s">
        <v>2130</v>
      </c>
      <c r="F95" s="7" t="s">
        <v>60</v>
      </c>
      <c r="H95" s="15" t="s">
        <v>48</v>
      </c>
      <c r="I95" s="3" t="s">
        <v>49</v>
      </c>
      <c r="J95" s="3">
        <v>5.0</v>
      </c>
      <c r="K95" s="3" t="s">
        <v>639</v>
      </c>
      <c r="L95" s="3" t="s">
        <v>958</v>
      </c>
      <c r="M95" s="3" t="s">
        <v>2124</v>
      </c>
      <c r="N95" s="6" t="s">
        <v>2125</v>
      </c>
      <c r="O95" s="6" t="s">
        <v>2126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>
      <c r="A96" s="3" t="s">
        <v>2119</v>
      </c>
      <c r="B96" s="3" t="s">
        <v>2120</v>
      </c>
      <c r="C96" s="19" t="s">
        <v>2121</v>
      </c>
      <c r="D96" s="3" t="s">
        <v>472</v>
      </c>
      <c r="E96" s="3" t="s">
        <v>2131</v>
      </c>
      <c r="F96" s="7" t="s">
        <v>60</v>
      </c>
      <c r="H96" s="15" t="s">
        <v>48</v>
      </c>
      <c r="I96" s="3" t="s">
        <v>49</v>
      </c>
      <c r="J96" s="3">
        <v>5.0</v>
      </c>
      <c r="K96" s="3" t="s">
        <v>639</v>
      </c>
      <c r="L96" s="3" t="s">
        <v>958</v>
      </c>
      <c r="M96" s="3" t="s">
        <v>2124</v>
      </c>
      <c r="N96" s="6" t="s">
        <v>2125</v>
      </c>
      <c r="O96" s="6" t="s">
        <v>2126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</row>
    <row r="97">
      <c r="A97" s="3" t="s">
        <v>2119</v>
      </c>
      <c r="B97" s="3" t="s">
        <v>2120</v>
      </c>
      <c r="C97" s="19" t="s">
        <v>2121</v>
      </c>
      <c r="D97" s="3" t="s">
        <v>472</v>
      </c>
      <c r="E97" s="3" t="s">
        <v>2132</v>
      </c>
      <c r="F97" s="7" t="s">
        <v>60</v>
      </c>
      <c r="H97" s="15" t="s">
        <v>48</v>
      </c>
      <c r="I97" s="3" t="s">
        <v>49</v>
      </c>
      <c r="J97" s="3">
        <v>5.0</v>
      </c>
      <c r="K97" s="3" t="s">
        <v>639</v>
      </c>
      <c r="L97" s="3" t="s">
        <v>958</v>
      </c>
      <c r="M97" s="3" t="s">
        <v>2124</v>
      </c>
      <c r="N97" s="6" t="s">
        <v>2125</v>
      </c>
      <c r="O97" s="6" t="s">
        <v>2126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</row>
    <row r="98">
      <c r="A98" s="19" t="s">
        <v>2133</v>
      </c>
      <c r="B98" s="19" t="s">
        <v>2134</v>
      </c>
      <c r="C98" s="19" t="s">
        <v>2135</v>
      </c>
      <c r="D98" s="19" t="s">
        <v>472</v>
      </c>
      <c r="E98" s="3" t="s">
        <v>1996</v>
      </c>
      <c r="F98" s="7" t="s">
        <v>60</v>
      </c>
      <c r="H98" s="19" t="s">
        <v>48</v>
      </c>
      <c r="I98" s="3" t="s">
        <v>49</v>
      </c>
      <c r="J98" s="3">
        <v>2.0</v>
      </c>
      <c r="K98" s="3" t="s">
        <v>423</v>
      </c>
      <c r="L98" s="3" t="s">
        <v>2136</v>
      </c>
      <c r="M98" s="3" t="s">
        <v>2137</v>
      </c>
      <c r="N98" s="6" t="s">
        <v>2138</v>
      </c>
      <c r="O98" s="6" t="s">
        <v>2139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</row>
    <row r="99">
      <c r="A99" s="19" t="s">
        <v>2133</v>
      </c>
      <c r="B99" s="19" t="s">
        <v>2134</v>
      </c>
      <c r="C99" s="19" t="s">
        <v>2135</v>
      </c>
      <c r="D99" s="19" t="s">
        <v>472</v>
      </c>
      <c r="E99" s="3" t="s">
        <v>2140</v>
      </c>
      <c r="F99" s="5">
        <v>45867.0</v>
      </c>
      <c r="G99" s="24" t="s">
        <v>214</v>
      </c>
      <c r="H99" s="19" t="s">
        <v>48</v>
      </c>
      <c r="I99" s="3" t="s">
        <v>49</v>
      </c>
      <c r="J99" s="3">
        <v>6.0</v>
      </c>
      <c r="K99" s="3" t="s">
        <v>1310</v>
      </c>
      <c r="L99" s="3" t="s">
        <v>2141</v>
      </c>
      <c r="M99" s="3" t="s">
        <v>2137</v>
      </c>
      <c r="N99" s="6" t="s">
        <v>2138</v>
      </c>
      <c r="O99" s="6" t="s">
        <v>2139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</row>
    <row r="100">
      <c r="A100" s="19" t="s">
        <v>2133</v>
      </c>
      <c r="B100" s="19" t="s">
        <v>2134</v>
      </c>
      <c r="C100" s="19" t="s">
        <v>2135</v>
      </c>
      <c r="D100" s="19" t="s">
        <v>472</v>
      </c>
      <c r="E100" s="3" t="s">
        <v>2142</v>
      </c>
      <c r="F100" s="7" t="s">
        <v>60</v>
      </c>
      <c r="H100" s="19" t="s">
        <v>48</v>
      </c>
      <c r="I100" s="3" t="s">
        <v>49</v>
      </c>
      <c r="J100" s="3">
        <v>4.0</v>
      </c>
      <c r="K100" s="3" t="s">
        <v>2143</v>
      </c>
      <c r="L100" s="3" t="s">
        <v>2141</v>
      </c>
      <c r="M100" s="3" t="s">
        <v>2137</v>
      </c>
      <c r="N100" s="6" t="s">
        <v>2138</v>
      </c>
      <c r="O100" s="6" t="s">
        <v>2139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</row>
    <row r="101">
      <c r="A101" s="19" t="s">
        <v>2133</v>
      </c>
      <c r="B101" s="19" t="s">
        <v>2134</v>
      </c>
      <c r="C101" s="19" t="s">
        <v>2135</v>
      </c>
      <c r="D101" s="19" t="s">
        <v>472</v>
      </c>
      <c r="E101" s="3" t="s">
        <v>2144</v>
      </c>
      <c r="F101" s="7" t="s">
        <v>60</v>
      </c>
      <c r="H101" s="19" t="s">
        <v>48</v>
      </c>
      <c r="I101" s="3" t="s">
        <v>49</v>
      </c>
      <c r="J101" s="3">
        <v>6.0</v>
      </c>
      <c r="K101" s="3" t="s">
        <v>1310</v>
      </c>
      <c r="L101" s="3" t="s">
        <v>2141</v>
      </c>
      <c r="M101" s="3" t="s">
        <v>2137</v>
      </c>
      <c r="N101" s="6" t="s">
        <v>2138</v>
      </c>
      <c r="O101" s="6" t="s">
        <v>2139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</row>
    <row r="102">
      <c r="A102" s="19" t="s">
        <v>2133</v>
      </c>
      <c r="B102" s="19" t="s">
        <v>2134</v>
      </c>
      <c r="C102" s="19" t="s">
        <v>2135</v>
      </c>
      <c r="D102" s="19" t="s">
        <v>472</v>
      </c>
      <c r="E102" s="3" t="s">
        <v>2145</v>
      </c>
      <c r="F102" s="7" t="s">
        <v>60</v>
      </c>
      <c r="H102" s="19" t="s">
        <v>48</v>
      </c>
      <c r="I102" s="3" t="s">
        <v>49</v>
      </c>
      <c r="J102" s="3">
        <v>4.0</v>
      </c>
      <c r="K102" s="3" t="s">
        <v>2143</v>
      </c>
      <c r="L102" s="3" t="s">
        <v>2141</v>
      </c>
      <c r="M102" s="3" t="s">
        <v>2137</v>
      </c>
      <c r="N102" s="6" t="s">
        <v>2138</v>
      </c>
      <c r="O102" s="6" t="s">
        <v>2139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</row>
    <row r="103">
      <c r="A103" s="86" t="s">
        <v>2146</v>
      </c>
      <c r="B103" s="19" t="s">
        <v>2147</v>
      </c>
      <c r="C103" s="19" t="s">
        <v>2148</v>
      </c>
      <c r="D103" s="17" t="s">
        <v>356</v>
      </c>
      <c r="E103" s="3" t="s">
        <v>2149</v>
      </c>
      <c r="F103" s="5">
        <v>45971.0</v>
      </c>
      <c r="G103" s="24" t="s">
        <v>214</v>
      </c>
      <c r="H103" s="19" t="s">
        <v>48</v>
      </c>
      <c r="I103" s="3" t="s">
        <v>49</v>
      </c>
      <c r="J103" s="3">
        <v>44.0</v>
      </c>
      <c r="K103" s="3" t="s">
        <v>2150</v>
      </c>
      <c r="L103" s="3" t="s">
        <v>506</v>
      </c>
      <c r="M103" s="3" t="s">
        <v>2151</v>
      </c>
      <c r="N103" s="6" t="s">
        <v>2152</v>
      </c>
      <c r="O103" s="6" t="s">
        <v>2153</v>
      </c>
      <c r="P103" s="3">
        <v>6058.0</v>
      </c>
      <c r="Q103" s="3">
        <v>2.0</v>
      </c>
      <c r="R103" s="3">
        <v>383.9</v>
      </c>
      <c r="S103" s="87" t="s">
        <v>2154</v>
      </c>
    </row>
    <row r="104">
      <c r="A104" s="86" t="s">
        <v>2146</v>
      </c>
      <c r="B104" s="19" t="s">
        <v>2147</v>
      </c>
      <c r="C104" s="19" t="s">
        <v>2148</v>
      </c>
      <c r="D104" s="17" t="s">
        <v>356</v>
      </c>
      <c r="E104" s="3" t="s">
        <v>436</v>
      </c>
      <c r="F104" s="7" t="s">
        <v>60</v>
      </c>
      <c r="G104" s="3"/>
      <c r="H104" s="19" t="s">
        <v>48</v>
      </c>
      <c r="I104" s="3" t="s">
        <v>49</v>
      </c>
      <c r="J104" s="3">
        <v>5.0</v>
      </c>
      <c r="K104" s="3" t="s">
        <v>324</v>
      </c>
      <c r="L104" s="3" t="s">
        <v>506</v>
      </c>
      <c r="M104" s="3" t="s">
        <v>2151</v>
      </c>
      <c r="N104" s="6" t="s">
        <v>2152</v>
      </c>
      <c r="O104" s="6" t="s">
        <v>2153</v>
      </c>
      <c r="P104" s="3">
        <v>6057.0</v>
      </c>
      <c r="Q104" s="7" t="s">
        <v>60</v>
      </c>
    </row>
    <row r="105">
      <c r="A105" s="86" t="s">
        <v>2146</v>
      </c>
      <c r="B105" s="19" t="s">
        <v>2147</v>
      </c>
      <c r="C105" s="19" t="s">
        <v>2148</v>
      </c>
      <c r="D105" s="17" t="s">
        <v>356</v>
      </c>
      <c r="E105" s="3" t="s">
        <v>2155</v>
      </c>
      <c r="F105" s="7" t="s">
        <v>60</v>
      </c>
      <c r="G105" s="3"/>
      <c r="H105" s="19" t="s">
        <v>48</v>
      </c>
      <c r="I105" s="3" t="s">
        <v>49</v>
      </c>
      <c r="J105" s="3">
        <v>4.0</v>
      </c>
      <c r="K105" s="3" t="s">
        <v>2156</v>
      </c>
      <c r="L105" s="3" t="s">
        <v>506</v>
      </c>
      <c r="M105" s="3" t="s">
        <v>2151</v>
      </c>
      <c r="N105" s="6" t="s">
        <v>2152</v>
      </c>
      <c r="O105" s="6" t="s">
        <v>2153</v>
      </c>
      <c r="P105" s="3">
        <v>6057.0</v>
      </c>
      <c r="Q105" s="7" t="s">
        <v>60</v>
      </c>
    </row>
    <row r="106">
      <c r="A106" s="86" t="s">
        <v>2146</v>
      </c>
      <c r="B106" s="19" t="s">
        <v>2147</v>
      </c>
      <c r="C106" s="19" t="s">
        <v>2148</v>
      </c>
      <c r="D106" s="17" t="s">
        <v>356</v>
      </c>
      <c r="E106" s="3" t="s">
        <v>2157</v>
      </c>
      <c r="F106" s="7" t="s">
        <v>60</v>
      </c>
      <c r="G106" s="3"/>
      <c r="H106" s="19" t="s">
        <v>48</v>
      </c>
      <c r="I106" s="3" t="s">
        <v>49</v>
      </c>
      <c r="J106" s="3">
        <v>3.0</v>
      </c>
      <c r="K106" s="3" t="s">
        <v>642</v>
      </c>
      <c r="L106" s="3" t="s">
        <v>506</v>
      </c>
      <c r="M106" s="3" t="s">
        <v>2151</v>
      </c>
      <c r="N106" s="6" t="s">
        <v>2152</v>
      </c>
      <c r="O106" s="6" t="s">
        <v>2153</v>
      </c>
      <c r="P106" s="3">
        <v>6107.0</v>
      </c>
      <c r="Q106" s="7" t="s">
        <v>60</v>
      </c>
    </row>
    <row r="107">
      <c r="A107" s="86" t="s">
        <v>2146</v>
      </c>
      <c r="B107" s="19" t="s">
        <v>2147</v>
      </c>
      <c r="C107" s="19" t="s">
        <v>2148</v>
      </c>
      <c r="D107" s="17" t="s">
        <v>356</v>
      </c>
      <c r="E107" s="3" t="s">
        <v>2158</v>
      </c>
      <c r="F107" s="7" t="s">
        <v>60</v>
      </c>
      <c r="G107" s="3"/>
      <c r="H107" s="19" t="s">
        <v>48</v>
      </c>
      <c r="I107" s="3" t="s">
        <v>49</v>
      </c>
      <c r="J107" s="3">
        <v>3.0</v>
      </c>
      <c r="K107" s="3" t="s">
        <v>642</v>
      </c>
      <c r="L107" s="3" t="s">
        <v>506</v>
      </c>
      <c r="M107" s="3" t="s">
        <v>2151</v>
      </c>
      <c r="N107" s="6" t="s">
        <v>2152</v>
      </c>
      <c r="O107" s="6" t="s">
        <v>2153</v>
      </c>
      <c r="P107" s="3">
        <v>6107.0</v>
      </c>
      <c r="Q107" s="7" t="s">
        <v>60</v>
      </c>
    </row>
    <row r="108">
      <c r="A108" s="22" t="s">
        <v>2159</v>
      </c>
      <c r="B108" s="19" t="s">
        <v>2160</v>
      </c>
      <c r="C108" s="19" t="s">
        <v>2161</v>
      </c>
      <c r="D108" s="19" t="s">
        <v>46</v>
      </c>
      <c r="E108" s="3" t="s">
        <v>2162</v>
      </c>
      <c r="F108" s="14">
        <v>45876.0</v>
      </c>
      <c r="G108" s="24" t="s">
        <v>214</v>
      </c>
      <c r="H108" s="19" t="s">
        <v>48</v>
      </c>
      <c r="I108" s="3" t="s">
        <v>49</v>
      </c>
      <c r="J108" s="3">
        <v>14.0</v>
      </c>
      <c r="K108" s="3" t="s">
        <v>2163</v>
      </c>
      <c r="L108" s="3" t="s">
        <v>2164</v>
      </c>
      <c r="M108" s="3" t="s">
        <v>2165</v>
      </c>
      <c r="N108" s="6" t="s">
        <v>2166</v>
      </c>
      <c r="O108" s="6" t="s">
        <v>2167</v>
      </c>
      <c r="P108" s="3">
        <v>2529.0</v>
      </c>
      <c r="Q108" s="3">
        <v>3.0</v>
      </c>
      <c r="R108" s="3">
        <v>383.9</v>
      </c>
      <c r="S108" s="87" t="s">
        <v>2154</v>
      </c>
    </row>
    <row r="109">
      <c r="A109" s="22" t="s">
        <v>2159</v>
      </c>
      <c r="B109" s="19" t="s">
        <v>2160</v>
      </c>
      <c r="C109" s="19" t="s">
        <v>2161</v>
      </c>
      <c r="D109" s="19" t="s">
        <v>46</v>
      </c>
      <c r="E109" s="3" t="s">
        <v>2168</v>
      </c>
      <c r="F109" s="7" t="s">
        <v>60</v>
      </c>
      <c r="H109" s="19" t="s">
        <v>48</v>
      </c>
      <c r="I109" s="3" t="s">
        <v>49</v>
      </c>
      <c r="J109" s="3">
        <v>2.0</v>
      </c>
      <c r="K109" s="3" t="s">
        <v>1026</v>
      </c>
      <c r="L109" s="3" t="s">
        <v>262</v>
      </c>
      <c r="M109" s="3" t="s">
        <v>2165</v>
      </c>
      <c r="N109" s="6" t="s">
        <v>2166</v>
      </c>
      <c r="O109" s="6" t="s">
        <v>2167</v>
      </c>
      <c r="P109" s="3">
        <v>2529.0</v>
      </c>
      <c r="Q109" s="7" t="s">
        <v>60</v>
      </c>
    </row>
    <row r="110">
      <c r="A110" s="22" t="s">
        <v>2159</v>
      </c>
      <c r="B110" s="19" t="s">
        <v>2160</v>
      </c>
      <c r="C110" s="19" t="s">
        <v>2161</v>
      </c>
      <c r="D110" s="19" t="s">
        <v>46</v>
      </c>
      <c r="E110" s="3" t="s">
        <v>2169</v>
      </c>
      <c r="F110" s="7" t="s">
        <v>60</v>
      </c>
      <c r="H110" s="19" t="s">
        <v>48</v>
      </c>
      <c r="I110" s="3" t="s">
        <v>49</v>
      </c>
      <c r="J110" s="3">
        <v>8.0</v>
      </c>
      <c r="K110" s="3" t="s">
        <v>2170</v>
      </c>
      <c r="L110" s="3" t="s">
        <v>618</v>
      </c>
      <c r="M110" s="3" t="s">
        <v>2165</v>
      </c>
      <c r="N110" s="6" t="s">
        <v>2166</v>
      </c>
      <c r="O110" s="6" t="s">
        <v>2167</v>
      </c>
      <c r="P110" s="3">
        <v>2529.0</v>
      </c>
      <c r="Q110" s="7" t="s">
        <v>60</v>
      </c>
    </row>
    <row r="111">
      <c r="A111" s="22" t="s">
        <v>2159</v>
      </c>
      <c r="B111" s="19" t="s">
        <v>2160</v>
      </c>
      <c r="C111" s="19" t="s">
        <v>2161</v>
      </c>
      <c r="D111" s="19" t="s">
        <v>46</v>
      </c>
      <c r="E111" s="3" t="s">
        <v>2171</v>
      </c>
      <c r="F111" s="7" t="s">
        <v>60</v>
      </c>
      <c r="H111" s="19" t="s">
        <v>48</v>
      </c>
      <c r="I111" s="3" t="s">
        <v>49</v>
      </c>
      <c r="J111" s="3">
        <v>1.0</v>
      </c>
      <c r="K111" s="3" t="s">
        <v>262</v>
      </c>
      <c r="L111" s="3" t="s">
        <v>262</v>
      </c>
      <c r="M111" s="3" t="s">
        <v>2165</v>
      </c>
      <c r="N111" s="6" t="s">
        <v>2166</v>
      </c>
      <c r="O111" s="6" t="s">
        <v>2167</v>
      </c>
      <c r="P111" s="3">
        <v>2527.0</v>
      </c>
      <c r="Q111" s="7" t="s">
        <v>60</v>
      </c>
    </row>
    <row r="112">
      <c r="A112" s="22" t="s">
        <v>2159</v>
      </c>
      <c r="B112" s="19" t="s">
        <v>2160</v>
      </c>
      <c r="C112" s="19" t="s">
        <v>2161</v>
      </c>
      <c r="D112" s="19" t="s">
        <v>46</v>
      </c>
      <c r="E112" s="3" t="s">
        <v>2172</v>
      </c>
      <c r="F112" s="7" t="s">
        <v>60</v>
      </c>
      <c r="H112" s="19" t="s">
        <v>48</v>
      </c>
      <c r="I112" s="3" t="s">
        <v>49</v>
      </c>
      <c r="J112" s="3">
        <v>1.0</v>
      </c>
      <c r="K112" s="3" t="s">
        <v>262</v>
      </c>
      <c r="L112" s="3" t="s">
        <v>262</v>
      </c>
      <c r="M112" s="3" t="s">
        <v>2165</v>
      </c>
      <c r="N112" s="6" t="s">
        <v>2166</v>
      </c>
      <c r="O112" s="6" t="s">
        <v>2167</v>
      </c>
      <c r="P112" s="3">
        <v>2527.0</v>
      </c>
      <c r="Q112" s="7" t="s">
        <v>60</v>
      </c>
    </row>
    <row r="113">
      <c r="A113" s="22" t="s">
        <v>2159</v>
      </c>
      <c r="B113" s="19" t="s">
        <v>2160</v>
      </c>
      <c r="C113" s="19" t="s">
        <v>2161</v>
      </c>
      <c r="D113" s="19" t="s">
        <v>46</v>
      </c>
      <c r="E113" s="3" t="s">
        <v>2173</v>
      </c>
      <c r="F113" s="7" t="s">
        <v>60</v>
      </c>
      <c r="H113" s="19" t="s">
        <v>48</v>
      </c>
      <c r="I113" s="3" t="s">
        <v>49</v>
      </c>
      <c r="J113" s="3">
        <v>1.0</v>
      </c>
      <c r="K113" s="3" t="s">
        <v>262</v>
      </c>
      <c r="L113" s="3" t="s">
        <v>262</v>
      </c>
      <c r="M113" s="3" t="s">
        <v>2165</v>
      </c>
      <c r="N113" s="6" t="s">
        <v>2166</v>
      </c>
      <c r="O113" s="6" t="s">
        <v>2167</v>
      </c>
      <c r="P113" s="3">
        <v>2527.0</v>
      </c>
      <c r="Q113" s="7" t="s">
        <v>60</v>
      </c>
    </row>
    <row r="114">
      <c r="A114" s="22" t="s">
        <v>2159</v>
      </c>
      <c r="B114" s="19" t="s">
        <v>2160</v>
      </c>
      <c r="C114" s="19" t="s">
        <v>2161</v>
      </c>
      <c r="D114" s="19" t="s">
        <v>46</v>
      </c>
      <c r="E114" s="3" t="s">
        <v>2174</v>
      </c>
      <c r="F114" s="7" t="s">
        <v>60</v>
      </c>
      <c r="H114" s="19" t="s">
        <v>48</v>
      </c>
      <c r="I114" s="3" t="s">
        <v>49</v>
      </c>
      <c r="J114" s="3">
        <v>1.0</v>
      </c>
      <c r="K114" s="3" t="s">
        <v>262</v>
      </c>
      <c r="L114" s="3" t="s">
        <v>262</v>
      </c>
      <c r="M114" s="3" t="s">
        <v>2165</v>
      </c>
      <c r="N114" s="6" t="s">
        <v>2166</v>
      </c>
      <c r="O114" s="6" t="s">
        <v>2167</v>
      </c>
      <c r="P114" s="3">
        <v>2527.0</v>
      </c>
      <c r="Q114" s="7" t="s">
        <v>60</v>
      </c>
    </row>
    <row r="115">
      <c r="A115" s="22" t="s">
        <v>2159</v>
      </c>
      <c r="B115" s="19" t="s">
        <v>2160</v>
      </c>
      <c r="C115" s="19" t="s">
        <v>2161</v>
      </c>
      <c r="D115" s="19" t="s">
        <v>46</v>
      </c>
      <c r="E115" s="3" t="s">
        <v>2175</v>
      </c>
      <c r="F115" s="7" t="s">
        <v>60</v>
      </c>
      <c r="H115" s="19" t="s">
        <v>48</v>
      </c>
      <c r="I115" s="3" t="s">
        <v>49</v>
      </c>
      <c r="J115" s="3">
        <v>1.0</v>
      </c>
      <c r="K115" s="3" t="s">
        <v>262</v>
      </c>
      <c r="L115" s="3" t="s">
        <v>262</v>
      </c>
      <c r="M115" s="3" t="s">
        <v>2165</v>
      </c>
      <c r="N115" s="6" t="s">
        <v>2166</v>
      </c>
      <c r="O115" s="6" t="s">
        <v>2167</v>
      </c>
      <c r="P115" s="3">
        <v>2527.0</v>
      </c>
      <c r="Q115" s="7" t="s">
        <v>60</v>
      </c>
    </row>
    <row r="116">
      <c r="A116" s="22" t="s">
        <v>2159</v>
      </c>
      <c r="B116" s="19" t="s">
        <v>2160</v>
      </c>
      <c r="C116" s="19" t="s">
        <v>2161</v>
      </c>
      <c r="D116" s="19" t="s">
        <v>46</v>
      </c>
      <c r="E116" s="3" t="s">
        <v>2176</v>
      </c>
      <c r="F116" s="7" t="s">
        <v>60</v>
      </c>
      <c r="H116" s="19" t="s">
        <v>48</v>
      </c>
      <c r="I116" s="3" t="s">
        <v>49</v>
      </c>
      <c r="J116" s="3">
        <v>1.0</v>
      </c>
      <c r="K116" s="3" t="s">
        <v>262</v>
      </c>
      <c r="L116" s="3" t="s">
        <v>262</v>
      </c>
      <c r="M116" s="3" t="s">
        <v>2165</v>
      </c>
      <c r="N116" s="6" t="s">
        <v>2166</v>
      </c>
      <c r="O116" s="6" t="s">
        <v>2167</v>
      </c>
      <c r="P116" s="3">
        <v>2527.0</v>
      </c>
      <c r="Q116" s="7" t="s">
        <v>60</v>
      </c>
    </row>
    <row r="117">
      <c r="A117" s="22" t="s">
        <v>2159</v>
      </c>
      <c r="B117" s="19" t="s">
        <v>2160</v>
      </c>
      <c r="C117" s="19" t="s">
        <v>2161</v>
      </c>
      <c r="D117" s="19" t="s">
        <v>46</v>
      </c>
      <c r="E117" s="3" t="s">
        <v>2177</v>
      </c>
      <c r="F117" s="7" t="s">
        <v>60</v>
      </c>
      <c r="H117" s="19" t="s">
        <v>48</v>
      </c>
      <c r="I117" s="3" t="s">
        <v>49</v>
      </c>
      <c r="J117" s="3">
        <v>1.0</v>
      </c>
      <c r="K117" s="3" t="s">
        <v>262</v>
      </c>
      <c r="L117" s="3" t="s">
        <v>262</v>
      </c>
      <c r="M117" s="3" t="s">
        <v>2165</v>
      </c>
      <c r="N117" s="6" t="s">
        <v>2166</v>
      </c>
      <c r="O117" s="6" t="s">
        <v>2167</v>
      </c>
      <c r="P117" s="3">
        <v>2529.0</v>
      </c>
      <c r="Q117" s="7" t="s">
        <v>60</v>
      </c>
    </row>
    <row r="118">
      <c r="A118" s="22" t="s">
        <v>2159</v>
      </c>
      <c r="B118" s="19" t="s">
        <v>2160</v>
      </c>
      <c r="C118" s="19" t="s">
        <v>2161</v>
      </c>
      <c r="D118" s="19" t="s">
        <v>46</v>
      </c>
      <c r="E118" s="3" t="s">
        <v>2178</v>
      </c>
      <c r="F118" s="7" t="s">
        <v>60</v>
      </c>
      <c r="H118" s="19" t="s">
        <v>48</v>
      </c>
      <c r="I118" s="3" t="s">
        <v>49</v>
      </c>
      <c r="J118" s="3">
        <v>1.0</v>
      </c>
      <c r="K118" s="3" t="s">
        <v>262</v>
      </c>
      <c r="L118" s="3" t="s">
        <v>262</v>
      </c>
      <c r="M118" s="3" t="s">
        <v>2165</v>
      </c>
      <c r="N118" s="6" t="s">
        <v>2166</v>
      </c>
      <c r="O118" s="6" t="s">
        <v>2167</v>
      </c>
      <c r="P118" s="3">
        <v>2529.0</v>
      </c>
      <c r="Q118" s="7" t="s">
        <v>60</v>
      </c>
    </row>
    <row r="119">
      <c r="A119" s="22" t="s">
        <v>2179</v>
      </c>
      <c r="B119" s="19" t="s">
        <v>2180</v>
      </c>
      <c r="C119" s="19" t="s">
        <v>2181</v>
      </c>
      <c r="D119" s="19" t="s">
        <v>472</v>
      </c>
      <c r="E119" s="3" t="s">
        <v>484</v>
      </c>
      <c r="F119" s="5">
        <v>45882.0</v>
      </c>
      <c r="G119" s="24" t="s">
        <v>214</v>
      </c>
      <c r="H119" s="19" t="s">
        <v>48</v>
      </c>
      <c r="I119" s="3" t="s">
        <v>49</v>
      </c>
      <c r="J119" s="3">
        <v>39.0</v>
      </c>
      <c r="K119" s="3" t="s">
        <v>2182</v>
      </c>
      <c r="L119" s="3" t="s">
        <v>2183</v>
      </c>
      <c r="M119" s="3" t="s">
        <v>2184</v>
      </c>
      <c r="N119" s="6" t="s">
        <v>2185</v>
      </c>
      <c r="O119" s="6" t="s">
        <v>2186</v>
      </c>
      <c r="P119" s="3">
        <v>3199.0</v>
      </c>
      <c r="Q119" s="3">
        <v>2.0</v>
      </c>
      <c r="R119" s="3">
        <v>383.9</v>
      </c>
    </row>
    <row r="120">
      <c r="A120" s="22" t="s">
        <v>2179</v>
      </c>
      <c r="B120" s="19" t="s">
        <v>2180</v>
      </c>
      <c r="C120" s="19" t="s">
        <v>2181</v>
      </c>
      <c r="D120" s="19" t="s">
        <v>472</v>
      </c>
      <c r="E120" s="3" t="s">
        <v>485</v>
      </c>
      <c r="F120" s="7" t="s">
        <v>60</v>
      </c>
      <c r="H120" s="19" t="s">
        <v>48</v>
      </c>
      <c r="I120" s="3" t="s">
        <v>49</v>
      </c>
      <c r="J120" s="3">
        <v>39.0</v>
      </c>
      <c r="K120" s="3" t="s">
        <v>2182</v>
      </c>
      <c r="L120" s="3" t="s">
        <v>2183</v>
      </c>
      <c r="M120" s="3" t="s">
        <v>2184</v>
      </c>
      <c r="N120" s="6" t="s">
        <v>2185</v>
      </c>
      <c r="O120" s="6" t="s">
        <v>2186</v>
      </c>
      <c r="P120" s="3">
        <v>3199.0</v>
      </c>
      <c r="Q120" s="7" t="s">
        <v>60</v>
      </c>
    </row>
    <row r="121">
      <c r="A121" s="22" t="s">
        <v>2179</v>
      </c>
      <c r="B121" s="19" t="s">
        <v>2180</v>
      </c>
      <c r="C121" s="19" t="s">
        <v>2181</v>
      </c>
      <c r="D121" s="19" t="s">
        <v>472</v>
      </c>
      <c r="E121" s="3" t="s">
        <v>486</v>
      </c>
      <c r="F121" s="7" t="s">
        <v>60</v>
      </c>
      <c r="H121" s="19" t="s">
        <v>48</v>
      </c>
      <c r="I121" s="3" t="s">
        <v>49</v>
      </c>
      <c r="J121" s="3">
        <v>11.0</v>
      </c>
      <c r="K121" s="3" t="s">
        <v>2187</v>
      </c>
      <c r="L121" s="3" t="s">
        <v>2183</v>
      </c>
      <c r="M121" s="3" t="s">
        <v>2184</v>
      </c>
      <c r="N121" s="6" t="s">
        <v>2185</v>
      </c>
      <c r="O121" s="6" t="s">
        <v>2186</v>
      </c>
      <c r="P121" s="3">
        <v>3910.0</v>
      </c>
      <c r="Q121" s="7" t="s">
        <v>60</v>
      </c>
    </row>
    <row r="122">
      <c r="A122" s="22" t="s">
        <v>2179</v>
      </c>
      <c r="B122" s="19" t="s">
        <v>2180</v>
      </c>
      <c r="C122" s="19" t="s">
        <v>2181</v>
      </c>
      <c r="D122" s="19" t="s">
        <v>472</v>
      </c>
      <c r="E122" s="3" t="s">
        <v>2188</v>
      </c>
      <c r="F122" s="7" t="s">
        <v>60</v>
      </c>
      <c r="H122" s="19" t="s">
        <v>48</v>
      </c>
      <c r="I122" s="3" t="s">
        <v>49</v>
      </c>
      <c r="J122" s="3">
        <v>2.0</v>
      </c>
      <c r="K122" s="3" t="s">
        <v>2189</v>
      </c>
      <c r="L122" s="3" t="s">
        <v>2183</v>
      </c>
      <c r="M122" s="3" t="s">
        <v>2184</v>
      </c>
      <c r="N122" s="6" t="s">
        <v>2185</v>
      </c>
      <c r="O122" s="6" t="s">
        <v>2186</v>
      </c>
      <c r="P122" s="3">
        <v>3977.0</v>
      </c>
      <c r="Q122" s="7" t="s">
        <v>60</v>
      </c>
    </row>
    <row r="123">
      <c r="A123" s="22" t="s">
        <v>2190</v>
      </c>
      <c r="B123" s="19" t="s">
        <v>2191</v>
      </c>
      <c r="C123" s="19" t="s">
        <v>2192</v>
      </c>
      <c r="D123" s="19" t="s">
        <v>472</v>
      </c>
      <c r="E123" s="3" t="s">
        <v>2193</v>
      </c>
      <c r="F123" s="5">
        <v>45974.0</v>
      </c>
      <c r="G123" s="24" t="s">
        <v>214</v>
      </c>
      <c r="H123" s="19" t="s">
        <v>48</v>
      </c>
      <c r="I123" s="3" t="s">
        <v>49</v>
      </c>
      <c r="J123" s="3">
        <v>11.0</v>
      </c>
      <c r="K123" s="3" t="s">
        <v>1594</v>
      </c>
      <c r="L123" s="3" t="s">
        <v>2194</v>
      </c>
      <c r="M123" s="3" t="s">
        <v>2195</v>
      </c>
      <c r="N123" s="6" t="s">
        <v>2196</v>
      </c>
      <c r="O123" s="6" t="s">
        <v>2197</v>
      </c>
      <c r="P123" s="3">
        <v>3810.0</v>
      </c>
      <c r="Q123" s="3">
        <v>2.0</v>
      </c>
      <c r="R123" s="3">
        <v>383.9</v>
      </c>
    </row>
    <row r="124">
      <c r="A124" s="22" t="s">
        <v>2190</v>
      </c>
      <c r="B124" s="19" t="s">
        <v>2191</v>
      </c>
      <c r="C124" s="19" t="s">
        <v>2192</v>
      </c>
      <c r="D124" s="19" t="s">
        <v>472</v>
      </c>
      <c r="E124" s="3" t="s">
        <v>2198</v>
      </c>
      <c r="F124" s="7" t="s">
        <v>60</v>
      </c>
      <c r="H124" s="19" t="s">
        <v>48</v>
      </c>
      <c r="I124" s="3" t="s">
        <v>49</v>
      </c>
      <c r="J124" s="3">
        <v>11.0</v>
      </c>
      <c r="K124" s="3" t="s">
        <v>1594</v>
      </c>
      <c r="L124" s="3" t="s">
        <v>2194</v>
      </c>
      <c r="M124" s="3" t="s">
        <v>2195</v>
      </c>
      <c r="N124" s="6" t="s">
        <v>2196</v>
      </c>
      <c r="O124" s="6" t="s">
        <v>2197</v>
      </c>
      <c r="P124" s="3">
        <v>3809.0</v>
      </c>
      <c r="Q124" s="7" t="s">
        <v>60</v>
      </c>
    </row>
    <row r="125">
      <c r="A125" s="22" t="s">
        <v>2190</v>
      </c>
      <c r="B125" s="19" t="s">
        <v>2191</v>
      </c>
      <c r="C125" s="19" t="s">
        <v>2192</v>
      </c>
      <c r="D125" s="19" t="s">
        <v>472</v>
      </c>
      <c r="E125" s="3" t="s">
        <v>2199</v>
      </c>
      <c r="F125" s="7" t="s">
        <v>60</v>
      </c>
      <c r="H125" s="19" t="s">
        <v>48</v>
      </c>
      <c r="I125" s="3" t="s">
        <v>49</v>
      </c>
      <c r="J125" s="3">
        <v>11.0</v>
      </c>
      <c r="K125" s="3" t="s">
        <v>1594</v>
      </c>
      <c r="L125" s="3" t="s">
        <v>2194</v>
      </c>
      <c r="M125" s="3" t="s">
        <v>2195</v>
      </c>
      <c r="N125" s="6" t="s">
        <v>2196</v>
      </c>
      <c r="O125" s="6" t="s">
        <v>2197</v>
      </c>
      <c r="P125" s="3">
        <v>3809.0</v>
      </c>
      <c r="Q125" s="7" t="s">
        <v>60</v>
      </c>
    </row>
    <row r="126">
      <c r="A126" s="22" t="s">
        <v>2200</v>
      </c>
      <c r="B126" s="3" t="s">
        <v>2201</v>
      </c>
      <c r="C126" s="19" t="s">
        <v>2202</v>
      </c>
      <c r="D126" s="3" t="s">
        <v>472</v>
      </c>
      <c r="E126" s="3" t="s">
        <v>2203</v>
      </c>
      <c r="F126" s="5">
        <v>45922.0</v>
      </c>
      <c r="G126" s="24" t="s">
        <v>214</v>
      </c>
      <c r="H126" s="19" t="s">
        <v>48</v>
      </c>
      <c r="I126" s="3" t="s">
        <v>49</v>
      </c>
      <c r="J126" s="3">
        <v>9.0</v>
      </c>
      <c r="K126" s="3" t="s">
        <v>2204</v>
      </c>
      <c r="L126" s="3" t="s">
        <v>506</v>
      </c>
      <c r="M126" s="3" t="s">
        <v>2205</v>
      </c>
      <c r="N126" s="6" t="s">
        <v>2206</v>
      </c>
      <c r="O126" s="6" t="s">
        <v>2207</v>
      </c>
      <c r="P126" s="3">
        <v>3140.0</v>
      </c>
      <c r="Q126" s="3">
        <v>2.0</v>
      </c>
      <c r="R126" s="3">
        <v>383.9</v>
      </c>
    </row>
    <row r="127">
      <c r="A127" s="22" t="s">
        <v>2200</v>
      </c>
      <c r="B127" s="3" t="s">
        <v>2201</v>
      </c>
      <c r="C127" s="19" t="s">
        <v>2202</v>
      </c>
      <c r="D127" s="3" t="s">
        <v>472</v>
      </c>
      <c r="E127" s="3" t="s">
        <v>2208</v>
      </c>
      <c r="F127" s="7" t="s">
        <v>60</v>
      </c>
      <c r="H127" s="19" t="s">
        <v>48</v>
      </c>
      <c r="I127" s="3" t="s">
        <v>49</v>
      </c>
      <c r="J127" s="3">
        <v>9.0</v>
      </c>
      <c r="K127" s="3" t="s">
        <v>2204</v>
      </c>
      <c r="L127" s="3" t="s">
        <v>506</v>
      </c>
      <c r="M127" s="3" t="s">
        <v>2205</v>
      </c>
      <c r="N127" s="6" t="s">
        <v>2206</v>
      </c>
      <c r="O127" s="6" t="s">
        <v>2207</v>
      </c>
      <c r="P127" s="3">
        <v>3116.0</v>
      </c>
      <c r="Q127" s="7" t="s">
        <v>60</v>
      </c>
    </row>
    <row r="128">
      <c r="A128" s="22" t="s">
        <v>2200</v>
      </c>
      <c r="B128" s="3" t="s">
        <v>2201</v>
      </c>
      <c r="C128" s="19" t="s">
        <v>2202</v>
      </c>
      <c r="D128" s="3" t="s">
        <v>472</v>
      </c>
      <c r="E128" s="3" t="s">
        <v>2209</v>
      </c>
      <c r="F128" s="7" t="s">
        <v>60</v>
      </c>
      <c r="H128" s="19" t="s">
        <v>48</v>
      </c>
      <c r="I128" s="3" t="s">
        <v>49</v>
      </c>
      <c r="J128" s="3">
        <v>4.0</v>
      </c>
      <c r="K128" s="3" t="s">
        <v>1557</v>
      </c>
      <c r="L128" s="3" t="s">
        <v>506</v>
      </c>
      <c r="M128" s="3" t="s">
        <v>2205</v>
      </c>
      <c r="N128" s="6" t="s">
        <v>2206</v>
      </c>
      <c r="O128" s="6" t="s">
        <v>2207</v>
      </c>
      <c r="P128" s="3">
        <v>3116.0</v>
      </c>
      <c r="Q128" s="7" t="s">
        <v>60</v>
      </c>
    </row>
    <row r="129">
      <c r="A129" s="22" t="s">
        <v>2200</v>
      </c>
      <c r="B129" s="3" t="s">
        <v>2201</v>
      </c>
      <c r="C129" s="19" t="s">
        <v>2202</v>
      </c>
      <c r="D129" s="3" t="s">
        <v>472</v>
      </c>
      <c r="E129" s="3" t="s">
        <v>2210</v>
      </c>
      <c r="F129" s="7" t="s">
        <v>60</v>
      </c>
      <c r="H129" s="19" t="s">
        <v>48</v>
      </c>
      <c r="I129" s="3" t="s">
        <v>49</v>
      </c>
      <c r="J129" s="3">
        <v>1.0</v>
      </c>
      <c r="K129" s="3" t="s">
        <v>506</v>
      </c>
      <c r="L129" s="3" t="s">
        <v>506</v>
      </c>
      <c r="M129" s="3" t="s">
        <v>2205</v>
      </c>
      <c r="N129" s="6" t="s">
        <v>2206</v>
      </c>
      <c r="O129" s="6" t="s">
        <v>2207</v>
      </c>
      <c r="P129" s="3">
        <v>3155.0</v>
      </c>
      <c r="Q129" s="7" t="s">
        <v>60</v>
      </c>
    </row>
    <row r="130">
      <c r="A130" s="22" t="s">
        <v>2211</v>
      </c>
      <c r="B130" s="19" t="s">
        <v>2212</v>
      </c>
      <c r="C130" s="19" t="s">
        <v>2213</v>
      </c>
      <c r="D130" s="19" t="s">
        <v>531</v>
      </c>
      <c r="E130" s="3" t="s">
        <v>2214</v>
      </c>
      <c r="F130" s="5">
        <v>45897.0</v>
      </c>
      <c r="G130" s="26" t="s">
        <v>214</v>
      </c>
      <c r="H130" s="15" t="s">
        <v>48</v>
      </c>
      <c r="I130" s="3" t="s">
        <v>49</v>
      </c>
      <c r="J130" s="3">
        <v>13.0</v>
      </c>
      <c r="K130" s="3" t="s">
        <v>2215</v>
      </c>
      <c r="L130" s="3" t="s">
        <v>2216</v>
      </c>
      <c r="M130" s="3" t="s">
        <v>2217</v>
      </c>
      <c r="N130" s="6" t="s">
        <v>2218</v>
      </c>
      <c r="O130" s="6" t="s">
        <v>2219</v>
      </c>
      <c r="P130" s="3">
        <v>4869.0</v>
      </c>
      <c r="Q130" s="3">
        <v>2.0</v>
      </c>
      <c r="R130" s="3">
        <v>383.9</v>
      </c>
    </row>
    <row r="131">
      <c r="A131" s="22" t="s">
        <v>2211</v>
      </c>
      <c r="B131" s="19" t="s">
        <v>2212</v>
      </c>
      <c r="C131" s="19" t="s">
        <v>2213</v>
      </c>
      <c r="D131" s="19" t="s">
        <v>531</v>
      </c>
      <c r="E131" s="3" t="s">
        <v>1388</v>
      </c>
      <c r="F131" s="7" t="s">
        <v>60</v>
      </c>
      <c r="H131" s="15" t="s">
        <v>48</v>
      </c>
      <c r="I131" s="3" t="s">
        <v>49</v>
      </c>
      <c r="J131" s="3">
        <v>1.0</v>
      </c>
      <c r="K131" s="3" t="s">
        <v>2216</v>
      </c>
      <c r="L131" s="3" t="s">
        <v>2216</v>
      </c>
      <c r="M131" s="3" t="s">
        <v>2217</v>
      </c>
      <c r="N131" s="6" t="s">
        <v>2218</v>
      </c>
      <c r="O131" s="6" t="s">
        <v>2219</v>
      </c>
      <c r="P131" s="3">
        <v>4878.0</v>
      </c>
      <c r="Q131" s="7" t="s">
        <v>60</v>
      </c>
    </row>
    <row r="132">
      <c r="A132" s="22" t="s">
        <v>2211</v>
      </c>
      <c r="B132" s="19" t="s">
        <v>2212</v>
      </c>
      <c r="C132" s="19" t="s">
        <v>2213</v>
      </c>
      <c r="D132" s="19" t="s">
        <v>531</v>
      </c>
      <c r="E132" s="3" t="s">
        <v>2220</v>
      </c>
      <c r="F132" s="7" t="s">
        <v>60</v>
      </c>
      <c r="H132" s="15" t="s">
        <v>48</v>
      </c>
      <c r="I132" s="3" t="s">
        <v>49</v>
      </c>
      <c r="J132" s="3">
        <v>8.0</v>
      </c>
      <c r="K132" s="3" t="s">
        <v>2221</v>
      </c>
      <c r="L132" s="3" t="s">
        <v>2216</v>
      </c>
      <c r="M132" s="3" t="s">
        <v>2217</v>
      </c>
      <c r="N132" s="6" t="s">
        <v>2218</v>
      </c>
      <c r="O132" s="6" t="s">
        <v>2219</v>
      </c>
      <c r="P132" s="3">
        <v>4870.0</v>
      </c>
      <c r="Q132" s="7" t="s">
        <v>60</v>
      </c>
    </row>
    <row r="133">
      <c r="A133" s="22" t="s">
        <v>2211</v>
      </c>
      <c r="B133" s="19" t="s">
        <v>2212</v>
      </c>
      <c r="C133" s="19" t="s">
        <v>2213</v>
      </c>
      <c r="D133" s="19" t="s">
        <v>531</v>
      </c>
      <c r="E133" s="3" t="s">
        <v>2222</v>
      </c>
      <c r="F133" s="7" t="s">
        <v>60</v>
      </c>
      <c r="H133" s="15" t="s">
        <v>48</v>
      </c>
      <c r="I133" s="3" t="s">
        <v>49</v>
      </c>
      <c r="J133" s="3">
        <v>8.0</v>
      </c>
      <c r="K133" s="3" t="s">
        <v>2221</v>
      </c>
      <c r="L133" s="3" t="s">
        <v>2216</v>
      </c>
      <c r="M133" s="3" t="s">
        <v>2217</v>
      </c>
      <c r="N133" s="6" t="s">
        <v>2218</v>
      </c>
      <c r="O133" s="6" t="s">
        <v>2219</v>
      </c>
      <c r="P133" s="3">
        <v>4868.0</v>
      </c>
      <c r="Q133" s="7" t="s">
        <v>60</v>
      </c>
    </row>
    <row r="134">
      <c r="A134" s="22" t="s">
        <v>2211</v>
      </c>
      <c r="B134" s="19" t="s">
        <v>2212</v>
      </c>
      <c r="C134" s="19" t="s">
        <v>2213</v>
      </c>
      <c r="D134" s="19" t="s">
        <v>531</v>
      </c>
      <c r="E134" s="3" t="s">
        <v>1408</v>
      </c>
      <c r="F134" s="7" t="s">
        <v>60</v>
      </c>
      <c r="H134" s="15" t="s">
        <v>48</v>
      </c>
      <c r="I134" s="3" t="s">
        <v>49</v>
      </c>
      <c r="J134" s="3">
        <v>1.0</v>
      </c>
      <c r="K134" s="3" t="s">
        <v>2216</v>
      </c>
      <c r="L134" s="3" t="s">
        <v>2216</v>
      </c>
      <c r="M134" s="3" t="s">
        <v>2217</v>
      </c>
      <c r="N134" s="6" t="s">
        <v>2218</v>
      </c>
      <c r="O134" s="6" t="s">
        <v>2219</v>
      </c>
      <c r="P134" s="3">
        <v>4868.0</v>
      </c>
      <c r="Q134" s="7" t="s">
        <v>60</v>
      </c>
    </row>
    <row r="135">
      <c r="A135" s="22" t="s">
        <v>2211</v>
      </c>
      <c r="B135" s="19" t="s">
        <v>2212</v>
      </c>
      <c r="C135" s="19" t="s">
        <v>2213</v>
      </c>
      <c r="D135" s="19" t="s">
        <v>531</v>
      </c>
      <c r="E135" s="3" t="s">
        <v>2223</v>
      </c>
      <c r="F135" s="7" t="s">
        <v>60</v>
      </c>
      <c r="H135" s="15" t="s">
        <v>48</v>
      </c>
      <c r="I135" s="3" t="s">
        <v>49</v>
      </c>
      <c r="J135" s="3">
        <v>1.0</v>
      </c>
      <c r="K135" s="3" t="s">
        <v>2216</v>
      </c>
      <c r="L135" s="3" t="s">
        <v>2216</v>
      </c>
      <c r="M135" s="3" t="s">
        <v>2217</v>
      </c>
      <c r="N135" s="6" t="s">
        <v>2218</v>
      </c>
      <c r="O135" s="6" t="s">
        <v>2219</v>
      </c>
      <c r="P135" s="3">
        <v>4879.0</v>
      </c>
      <c r="Q135" s="7" t="s">
        <v>60</v>
      </c>
    </row>
    <row r="136">
      <c r="A136" s="22" t="s">
        <v>2211</v>
      </c>
      <c r="B136" s="19" t="s">
        <v>2212</v>
      </c>
      <c r="C136" s="19" t="s">
        <v>2213</v>
      </c>
      <c r="D136" s="19" t="s">
        <v>531</v>
      </c>
      <c r="E136" s="3" t="s">
        <v>2224</v>
      </c>
      <c r="F136" s="7" t="s">
        <v>60</v>
      </c>
      <c r="H136" s="15" t="s">
        <v>48</v>
      </c>
      <c r="I136" s="3" t="s">
        <v>49</v>
      </c>
      <c r="J136" s="3">
        <v>1.0</v>
      </c>
      <c r="K136" s="3" t="s">
        <v>2216</v>
      </c>
      <c r="L136" s="3" t="s">
        <v>2216</v>
      </c>
      <c r="M136" s="3" t="s">
        <v>2217</v>
      </c>
      <c r="N136" s="6" t="s">
        <v>2218</v>
      </c>
      <c r="O136" s="6" t="s">
        <v>2219</v>
      </c>
      <c r="P136" s="3">
        <v>4879.0</v>
      </c>
      <c r="Q136" s="7" t="s">
        <v>60</v>
      </c>
    </row>
    <row r="137">
      <c r="A137" s="22" t="s">
        <v>2211</v>
      </c>
      <c r="B137" s="19" t="s">
        <v>2212</v>
      </c>
      <c r="C137" s="19" t="s">
        <v>2213</v>
      </c>
      <c r="D137" s="19" t="s">
        <v>531</v>
      </c>
      <c r="E137" s="3" t="s">
        <v>2225</v>
      </c>
      <c r="F137" s="7" t="s">
        <v>60</v>
      </c>
      <c r="H137" s="15" t="s">
        <v>48</v>
      </c>
      <c r="I137" s="3" t="s">
        <v>49</v>
      </c>
      <c r="J137" s="3">
        <v>1.0</v>
      </c>
      <c r="K137" s="3" t="s">
        <v>2216</v>
      </c>
      <c r="L137" s="3" t="s">
        <v>2216</v>
      </c>
      <c r="M137" s="3" t="s">
        <v>2217</v>
      </c>
      <c r="N137" s="6" t="s">
        <v>2218</v>
      </c>
      <c r="O137" s="6" t="s">
        <v>2219</v>
      </c>
      <c r="P137" s="3">
        <v>4869.0</v>
      </c>
      <c r="Q137" s="7" t="s">
        <v>60</v>
      </c>
    </row>
    <row r="138">
      <c r="A138" s="22" t="s">
        <v>2211</v>
      </c>
      <c r="B138" s="19" t="s">
        <v>2212</v>
      </c>
      <c r="C138" s="19" t="s">
        <v>2213</v>
      </c>
      <c r="D138" s="19" t="s">
        <v>531</v>
      </c>
      <c r="E138" s="3" t="s">
        <v>2226</v>
      </c>
      <c r="F138" s="7" t="s">
        <v>60</v>
      </c>
      <c r="H138" s="15" t="s">
        <v>48</v>
      </c>
      <c r="I138" s="3" t="s">
        <v>49</v>
      </c>
      <c r="J138" s="3">
        <v>1.0</v>
      </c>
      <c r="K138" s="3" t="s">
        <v>2216</v>
      </c>
      <c r="L138" s="3" t="s">
        <v>2216</v>
      </c>
      <c r="M138" s="3" t="s">
        <v>2217</v>
      </c>
      <c r="N138" s="6" t="s">
        <v>2218</v>
      </c>
      <c r="O138" s="6" t="s">
        <v>2219</v>
      </c>
      <c r="P138" s="3">
        <v>4869.0</v>
      </c>
      <c r="Q138" s="7" t="s">
        <v>60</v>
      </c>
    </row>
    <row r="139">
      <c r="A139" s="22" t="s">
        <v>2211</v>
      </c>
      <c r="B139" s="19" t="s">
        <v>2212</v>
      </c>
      <c r="C139" s="19" t="s">
        <v>2213</v>
      </c>
      <c r="D139" s="19" t="s">
        <v>531</v>
      </c>
      <c r="E139" s="3" t="s">
        <v>2227</v>
      </c>
      <c r="F139" s="7" t="s">
        <v>60</v>
      </c>
      <c r="H139" s="15" t="s">
        <v>48</v>
      </c>
      <c r="I139" s="3" t="s">
        <v>49</v>
      </c>
      <c r="J139" s="3">
        <v>1.0</v>
      </c>
      <c r="K139" s="3" t="s">
        <v>2216</v>
      </c>
      <c r="L139" s="3" t="s">
        <v>2216</v>
      </c>
      <c r="M139" s="3" t="s">
        <v>2217</v>
      </c>
      <c r="N139" s="6" t="s">
        <v>2218</v>
      </c>
      <c r="O139" s="6" t="s">
        <v>2219</v>
      </c>
      <c r="P139" s="3">
        <v>4878.0</v>
      </c>
      <c r="Q139" s="7" t="s">
        <v>60</v>
      </c>
    </row>
    <row r="140">
      <c r="A140" s="22" t="s">
        <v>2211</v>
      </c>
      <c r="B140" s="19" t="s">
        <v>2212</v>
      </c>
      <c r="C140" s="19" t="s">
        <v>2213</v>
      </c>
      <c r="D140" s="19" t="s">
        <v>531</v>
      </c>
      <c r="E140" s="3" t="s">
        <v>2228</v>
      </c>
      <c r="F140" s="7" t="s">
        <v>60</v>
      </c>
      <c r="H140" s="15" t="s">
        <v>48</v>
      </c>
      <c r="I140" s="3" t="s">
        <v>49</v>
      </c>
      <c r="J140" s="3">
        <v>1.0</v>
      </c>
      <c r="K140" s="3" t="s">
        <v>2216</v>
      </c>
      <c r="L140" s="3" t="s">
        <v>2216</v>
      </c>
      <c r="M140" s="3" t="s">
        <v>2217</v>
      </c>
      <c r="N140" s="6" t="s">
        <v>2218</v>
      </c>
      <c r="O140" s="6" t="s">
        <v>2219</v>
      </c>
      <c r="P140" s="3">
        <v>4878.0</v>
      </c>
      <c r="Q140" s="7" t="s">
        <v>60</v>
      </c>
    </row>
    <row r="141">
      <c r="A141" s="22" t="s">
        <v>2211</v>
      </c>
      <c r="B141" s="19" t="s">
        <v>2212</v>
      </c>
      <c r="C141" s="19" t="s">
        <v>2213</v>
      </c>
      <c r="D141" s="19" t="s">
        <v>531</v>
      </c>
      <c r="E141" s="3" t="s">
        <v>2229</v>
      </c>
      <c r="F141" s="7" t="s">
        <v>60</v>
      </c>
      <c r="H141" s="15" t="s">
        <v>48</v>
      </c>
      <c r="I141" s="3" t="s">
        <v>49</v>
      </c>
      <c r="J141" s="3">
        <v>1.0</v>
      </c>
      <c r="K141" s="3" t="s">
        <v>2216</v>
      </c>
      <c r="L141" s="3" t="s">
        <v>2216</v>
      </c>
      <c r="M141" s="3" t="s">
        <v>2217</v>
      </c>
      <c r="N141" s="6" t="s">
        <v>2218</v>
      </c>
      <c r="O141" s="6" t="s">
        <v>2219</v>
      </c>
      <c r="P141" s="3">
        <v>4870.0</v>
      </c>
      <c r="Q141" s="7" t="s">
        <v>60</v>
      </c>
    </row>
    <row r="142">
      <c r="A142" s="22" t="s">
        <v>2211</v>
      </c>
      <c r="B142" s="19" t="s">
        <v>2212</v>
      </c>
      <c r="C142" s="19" t="s">
        <v>2213</v>
      </c>
      <c r="D142" s="19" t="s">
        <v>531</v>
      </c>
      <c r="E142" s="3" t="s">
        <v>2230</v>
      </c>
      <c r="F142" s="7" t="s">
        <v>60</v>
      </c>
      <c r="H142" s="15" t="s">
        <v>48</v>
      </c>
      <c r="I142" s="3" t="s">
        <v>49</v>
      </c>
      <c r="J142" s="3">
        <v>1.0</v>
      </c>
      <c r="K142" s="3" t="s">
        <v>2216</v>
      </c>
      <c r="L142" s="3" t="s">
        <v>2216</v>
      </c>
      <c r="M142" s="3" t="s">
        <v>2217</v>
      </c>
      <c r="N142" s="6" t="s">
        <v>2218</v>
      </c>
      <c r="O142" s="6" t="s">
        <v>2219</v>
      </c>
      <c r="P142" s="3">
        <v>4870.0</v>
      </c>
      <c r="Q142" s="7" t="s">
        <v>60</v>
      </c>
    </row>
    <row r="143">
      <c r="A143" s="22" t="s">
        <v>2211</v>
      </c>
      <c r="B143" s="19" t="s">
        <v>2212</v>
      </c>
      <c r="C143" s="19" t="s">
        <v>2213</v>
      </c>
      <c r="D143" s="19" t="s">
        <v>531</v>
      </c>
      <c r="E143" s="3" t="s">
        <v>2231</v>
      </c>
      <c r="F143" s="7" t="s">
        <v>60</v>
      </c>
      <c r="H143" s="15" t="s">
        <v>48</v>
      </c>
      <c r="I143" s="3" t="s">
        <v>49</v>
      </c>
      <c r="J143" s="3">
        <v>1.0</v>
      </c>
      <c r="K143" s="3" t="s">
        <v>2216</v>
      </c>
      <c r="L143" s="3" t="s">
        <v>2216</v>
      </c>
      <c r="M143" s="3" t="s">
        <v>2217</v>
      </c>
      <c r="N143" s="6" t="s">
        <v>2218</v>
      </c>
      <c r="O143" s="6" t="s">
        <v>2219</v>
      </c>
      <c r="P143" s="3">
        <v>4870.0</v>
      </c>
      <c r="Q143" s="7" t="s">
        <v>60</v>
      </c>
    </row>
    <row r="144">
      <c r="A144" s="22" t="s">
        <v>2211</v>
      </c>
      <c r="B144" s="19" t="s">
        <v>2212</v>
      </c>
      <c r="C144" s="19" t="s">
        <v>2213</v>
      </c>
      <c r="D144" s="19" t="s">
        <v>531</v>
      </c>
      <c r="E144" s="3" t="s">
        <v>156</v>
      </c>
      <c r="F144" s="7" t="s">
        <v>60</v>
      </c>
      <c r="H144" s="15" t="s">
        <v>48</v>
      </c>
      <c r="I144" s="3" t="s">
        <v>49</v>
      </c>
      <c r="J144" s="3">
        <v>1.0</v>
      </c>
      <c r="K144" s="3" t="s">
        <v>2216</v>
      </c>
      <c r="L144" s="3" t="s">
        <v>2216</v>
      </c>
      <c r="M144" s="3" t="s">
        <v>2217</v>
      </c>
      <c r="N144" s="6" t="s">
        <v>2218</v>
      </c>
      <c r="O144" s="6" t="s">
        <v>2219</v>
      </c>
      <c r="P144" s="3">
        <v>4870.0</v>
      </c>
      <c r="Q144" s="7" t="s">
        <v>60</v>
      </c>
    </row>
    <row r="145">
      <c r="A145" s="22" t="s">
        <v>2211</v>
      </c>
      <c r="B145" s="19" t="s">
        <v>2212</v>
      </c>
      <c r="C145" s="19" t="s">
        <v>2213</v>
      </c>
      <c r="D145" s="19" t="s">
        <v>531</v>
      </c>
      <c r="E145" s="3" t="s">
        <v>2232</v>
      </c>
      <c r="F145" s="7" t="s">
        <v>60</v>
      </c>
      <c r="H145" s="15" t="s">
        <v>48</v>
      </c>
      <c r="I145" s="3" t="s">
        <v>49</v>
      </c>
      <c r="J145" s="3">
        <v>1.0</v>
      </c>
      <c r="K145" s="3" t="s">
        <v>2216</v>
      </c>
      <c r="L145" s="3" t="s">
        <v>2216</v>
      </c>
      <c r="M145" s="3" t="s">
        <v>2217</v>
      </c>
      <c r="N145" s="6" t="s">
        <v>2218</v>
      </c>
      <c r="O145" s="6" t="s">
        <v>2219</v>
      </c>
      <c r="P145" s="3">
        <v>4870.0</v>
      </c>
      <c r="Q145" s="7" t="s">
        <v>60</v>
      </c>
    </row>
    <row r="146">
      <c r="A146" s="22" t="s">
        <v>2211</v>
      </c>
      <c r="B146" s="19" t="s">
        <v>2212</v>
      </c>
      <c r="C146" s="19" t="s">
        <v>2213</v>
      </c>
      <c r="D146" s="19" t="s">
        <v>531</v>
      </c>
      <c r="E146" s="3" t="s">
        <v>2233</v>
      </c>
      <c r="F146" s="7" t="s">
        <v>60</v>
      </c>
      <c r="H146" s="15" t="s">
        <v>48</v>
      </c>
      <c r="I146" s="3" t="s">
        <v>49</v>
      </c>
      <c r="J146" s="3">
        <v>1.0</v>
      </c>
      <c r="K146" s="3" t="s">
        <v>2216</v>
      </c>
      <c r="L146" s="3" t="s">
        <v>2216</v>
      </c>
      <c r="M146" s="3" t="s">
        <v>2217</v>
      </c>
      <c r="N146" s="6" t="s">
        <v>2218</v>
      </c>
      <c r="O146" s="6" t="s">
        <v>2219</v>
      </c>
      <c r="P146" s="3">
        <v>4870.0</v>
      </c>
      <c r="Q146" s="7" t="s">
        <v>60</v>
      </c>
    </row>
    <row r="147">
      <c r="A147" s="22" t="s">
        <v>2211</v>
      </c>
      <c r="B147" s="19" t="s">
        <v>2212</v>
      </c>
      <c r="C147" s="19" t="s">
        <v>2213</v>
      </c>
      <c r="D147" s="19" t="s">
        <v>531</v>
      </c>
      <c r="E147" s="3" t="s">
        <v>2234</v>
      </c>
      <c r="F147" s="7" t="s">
        <v>60</v>
      </c>
      <c r="H147" s="15" t="s">
        <v>48</v>
      </c>
      <c r="I147" s="3" t="s">
        <v>49</v>
      </c>
      <c r="J147" s="3">
        <v>1.0</v>
      </c>
      <c r="K147" s="3" t="s">
        <v>2216</v>
      </c>
      <c r="L147" s="3" t="s">
        <v>2216</v>
      </c>
      <c r="M147" s="3" t="s">
        <v>2217</v>
      </c>
      <c r="N147" s="6" t="s">
        <v>2218</v>
      </c>
      <c r="O147" s="6" t="s">
        <v>2219</v>
      </c>
      <c r="P147" s="3">
        <v>4870.0</v>
      </c>
      <c r="Q147" s="7" t="s">
        <v>60</v>
      </c>
    </row>
    <row r="148">
      <c r="A148" s="22" t="s">
        <v>2211</v>
      </c>
      <c r="B148" s="19" t="s">
        <v>2212</v>
      </c>
      <c r="C148" s="19" t="s">
        <v>2213</v>
      </c>
      <c r="D148" s="19" t="s">
        <v>531</v>
      </c>
      <c r="E148" s="3" t="s">
        <v>2235</v>
      </c>
      <c r="F148" s="7" t="s">
        <v>60</v>
      </c>
      <c r="H148" s="15" t="s">
        <v>48</v>
      </c>
      <c r="I148" s="3" t="s">
        <v>49</v>
      </c>
      <c r="J148" s="3">
        <v>1.0</v>
      </c>
      <c r="K148" s="3" t="s">
        <v>2216</v>
      </c>
      <c r="L148" s="3" t="s">
        <v>2216</v>
      </c>
      <c r="M148" s="3" t="s">
        <v>2217</v>
      </c>
      <c r="N148" s="6" t="s">
        <v>2218</v>
      </c>
      <c r="O148" s="6" t="s">
        <v>2219</v>
      </c>
      <c r="P148" s="3">
        <v>4878.0</v>
      </c>
      <c r="Q148" s="7" t="s">
        <v>60</v>
      </c>
    </row>
    <row r="149">
      <c r="A149" s="22" t="s">
        <v>2211</v>
      </c>
      <c r="B149" s="19" t="s">
        <v>2212</v>
      </c>
      <c r="C149" s="19" t="s">
        <v>2213</v>
      </c>
      <c r="D149" s="19" t="s">
        <v>531</v>
      </c>
      <c r="E149" s="3" t="s">
        <v>2236</v>
      </c>
      <c r="F149" s="7" t="s">
        <v>60</v>
      </c>
      <c r="H149" s="15" t="s">
        <v>48</v>
      </c>
      <c r="I149" s="3" t="s">
        <v>49</v>
      </c>
      <c r="J149" s="3">
        <v>1.0</v>
      </c>
      <c r="K149" s="3" t="s">
        <v>2216</v>
      </c>
      <c r="L149" s="3" t="s">
        <v>2216</v>
      </c>
      <c r="M149" s="3" t="s">
        <v>2217</v>
      </c>
      <c r="N149" s="6" t="s">
        <v>2218</v>
      </c>
      <c r="O149" s="6" t="s">
        <v>2219</v>
      </c>
      <c r="P149" s="3">
        <v>4870.0</v>
      </c>
      <c r="Q149" s="7" t="s">
        <v>60</v>
      </c>
    </row>
    <row r="150">
      <c r="A150" s="22" t="s">
        <v>2211</v>
      </c>
      <c r="B150" s="19" t="s">
        <v>2212</v>
      </c>
      <c r="C150" s="19" t="s">
        <v>2213</v>
      </c>
      <c r="D150" s="19" t="s">
        <v>531</v>
      </c>
      <c r="E150" s="3" t="s">
        <v>2237</v>
      </c>
      <c r="F150" s="7" t="s">
        <v>60</v>
      </c>
      <c r="H150" s="15" t="s">
        <v>48</v>
      </c>
      <c r="I150" s="3" t="s">
        <v>49</v>
      </c>
      <c r="J150" s="3">
        <v>1.0</v>
      </c>
      <c r="K150" s="3" t="s">
        <v>2216</v>
      </c>
      <c r="L150" s="3" t="s">
        <v>2216</v>
      </c>
      <c r="M150" s="3" t="s">
        <v>2217</v>
      </c>
      <c r="N150" s="6" t="s">
        <v>2218</v>
      </c>
      <c r="O150" s="6" t="s">
        <v>2219</v>
      </c>
      <c r="P150" s="3">
        <v>4870.0</v>
      </c>
      <c r="Q150" s="7" t="s">
        <v>60</v>
      </c>
    </row>
    <row r="151">
      <c r="A151" s="32" t="s">
        <v>2238</v>
      </c>
      <c r="B151" s="3" t="s">
        <v>2239</v>
      </c>
      <c r="C151" s="3" t="s">
        <v>2240</v>
      </c>
      <c r="D151" s="3" t="s">
        <v>472</v>
      </c>
      <c r="E151" s="3" t="s">
        <v>2142</v>
      </c>
      <c r="F151" s="14">
        <v>46056.0</v>
      </c>
      <c r="G151" s="26" t="s">
        <v>214</v>
      </c>
      <c r="H151" s="15" t="s">
        <v>48</v>
      </c>
      <c r="I151" s="3" t="s">
        <v>49</v>
      </c>
      <c r="J151" s="3">
        <v>21.0</v>
      </c>
      <c r="K151" s="3" t="s">
        <v>2241</v>
      </c>
      <c r="L151" s="3" t="s">
        <v>2242</v>
      </c>
      <c r="M151" s="3" t="s">
        <v>2243</v>
      </c>
      <c r="N151" s="6" t="s">
        <v>2244</v>
      </c>
      <c r="O151" s="6" t="s">
        <v>2245</v>
      </c>
      <c r="P151" s="3">
        <v>3750.0</v>
      </c>
      <c r="Q151" s="3">
        <v>3.0</v>
      </c>
    </row>
    <row r="152">
      <c r="A152" s="32" t="s">
        <v>2238</v>
      </c>
      <c r="B152" s="3" t="s">
        <v>2239</v>
      </c>
      <c r="C152" s="3" t="s">
        <v>2240</v>
      </c>
      <c r="D152" s="3" t="s">
        <v>472</v>
      </c>
      <c r="E152" s="3" t="s">
        <v>2140</v>
      </c>
      <c r="F152" s="7" t="s">
        <v>60</v>
      </c>
      <c r="H152" s="15" t="s">
        <v>48</v>
      </c>
      <c r="I152" s="3" t="s">
        <v>49</v>
      </c>
      <c r="J152" s="3">
        <v>21.0</v>
      </c>
      <c r="K152" s="3" t="s">
        <v>2241</v>
      </c>
      <c r="L152" s="3" t="s">
        <v>2242</v>
      </c>
      <c r="M152" s="3" t="s">
        <v>2243</v>
      </c>
      <c r="N152" s="6" t="s">
        <v>2244</v>
      </c>
      <c r="O152" s="6" t="s">
        <v>2245</v>
      </c>
      <c r="P152" s="3">
        <v>3064.0</v>
      </c>
      <c r="Q152" s="45" t="s">
        <v>60</v>
      </c>
    </row>
    <row r="153">
      <c r="A153" s="32" t="s">
        <v>2238</v>
      </c>
      <c r="B153" s="3" t="s">
        <v>2239</v>
      </c>
      <c r="C153" s="3" t="s">
        <v>2240</v>
      </c>
      <c r="D153" s="3" t="s">
        <v>472</v>
      </c>
      <c r="E153" s="3" t="s">
        <v>2144</v>
      </c>
      <c r="F153" s="7" t="s">
        <v>60</v>
      </c>
      <c r="H153" s="15" t="s">
        <v>48</v>
      </c>
      <c r="I153" s="3" t="s">
        <v>49</v>
      </c>
      <c r="J153" s="3">
        <v>21.0</v>
      </c>
      <c r="K153" s="3" t="s">
        <v>2241</v>
      </c>
      <c r="L153" s="3" t="s">
        <v>2242</v>
      </c>
      <c r="M153" s="3" t="s">
        <v>2243</v>
      </c>
      <c r="N153" s="6" t="s">
        <v>2244</v>
      </c>
      <c r="O153" s="6" t="s">
        <v>2245</v>
      </c>
      <c r="P153" s="3">
        <v>3076.0</v>
      </c>
      <c r="Q153" s="45" t="s">
        <v>60</v>
      </c>
    </row>
    <row r="154">
      <c r="A154" s="32" t="s">
        <v>2238</v>
      </c>
      <c r="B154" s="3" t="s">
        <v>2239</v>
      </c>
      <c r="C154" s="3" t="s">
        <v>2240</v>
      </c>
      <c r="D154" s="3" t="s">
        <v>472</v>
      </c>
      <c r="E154" s="3" t="s">
        <v>2145</v>
      </c>
      <c r="F154" s="7" t="s">
        <v>60</v>
      </c>
      <c r="H154" s="15" t="s">
        <v>48</v>
      </c>
      <c r="I154" s="3" t="s">
        <v>49</v>
      </c>
      <c r="J154" s="3">
        <v>21.0</v>
      </c>
      <c r="K154" s="3" t="s">
        <v>2241</v>
      </c>
      <c r="L154" s="3" t="s">
        <v>2242</v>
      </c>
      <c r="M154" s="3" t="s">
        <v>2243</v>
      </c>
      <c r="N154" s="6" t="s">
        <v>2244</v>
      </c>
      <c r="O154" s="6" t="s">
        <v>2245</v>
      </c>
      <c r="P154" s="3">
        <v>3075.0</v>
      </c>
      <c r="Q154" s="45" t="s">
        <v>60</v>
      </c>
    </row>
    <row r="155">
      <c r="A155" s="32" t="s">
        <v>2238</v>
      </c>
      <c r="B155" s="3" t="s">
        <v>2239</v>
      </c>
      <c r="C155" s="3" t="s">
        <v>2240</v>
      </c>
      <c r="D155" s="3" t="s">
        <v>472</v>
      </c>
      <c r="E155" s="3" t="s">
        <v>2246</v>
      </c>
      <c r="F155" s="7" t="s">
        <v>60</v>
      </c>
      <c r="H155" s="15" t="s">
        <v>48</v>
      </c>
      <c r="I155" s="3" t="s">
        <v>49</v>
      </c>
      <c r="J155" s="3">
        <v>21.0</v>
      </c>
      <c r="K155" s="3" t="s">
        <v>2241</v>
      </c>
      <c r="L155" s="3" t="s">
        <v>2242</v>
      </c>
      <c r="M155" s="3" t="s">
        <v>2243</v>
      </c>
      <c r="N155" s="6" t="s">
        <v>2244</v>
      </c>
      <c r="O155" s="6" t="s">
        <v>2245</v>
      </c>
      <c r="P155" s="3">
        <v>3752.0</v>
      </c>
      <c r="Q155" s="45" t="s">
        <v>60</v>
      </c>
    </row>
    <row r="156">
      <c r="A156" s="22" t="s">
        <v>2247</v>
      </c>
      <c r="B156" s="19" t="s">
        <v>2248</v>
      </c>
      <c r="C156" s="19" t="s">
        <v>2249</v>
      </c>
      <c r="D156" s="19" t="s">
        <v>46</v>
      </c>
      <c r="E156" s="3" t="s">
        <v>2250</v>
      </c>
      <c r="F156" s="5">
        <v>45973.0</v>
      </c>
      <c r="G156" s="12" t="s">
        <v>260</v>
      </c>
      <c r="H156" s="19" t="s">
        <v>48</v>
      </c>
      <c r="I156" s="3" t="s">
        <v>49</v>
      </c>
      <c r="J156" s="3">
        <v>9.0</v>
      </c>
      <c r="K156" s="3" t="s">
        <v>2251</v>
      </c>
      <c r="L156" s="3" t="s">
        <v>1204</v>
      </c>
      <c r="M156" s="3" t="s">
        <v>2252</v>
      </c>
      <c r="N156" s="6" t="s">
        <v>2253</v>
      </c>
      <c r="O156" s="6" t="s">
        <v>54</v>
      </c>
      <c r="P156" s="3">
        <v>2155.0</v>
      </c>
      <c r="Q156" s="3">
        <v>1.0</v>
      </c>
      <c r="R156" s="3">
        <v>328.9</v>
      </c>
    </row>
    <row r="157">
      <c r="A157" s="22" t="s">
        <v>2247</v>
      </c>
      <c r="B157" s="19" t="s">
        <v>2248</v>
      </c>
      <c r="C157" s="19" t="s">
        <v>2249</v>
      </c>
      <c r="D157" s="19" t="s">
        <v>46</v>
      </c>
      <c r="E157" s="3" t="s">
        <v>2254</v>
      </c>
      <c r="F157" s="7" t="s">
        <v>60</v>
      </c>
      <c r="H157" s="19" t="s">
        <v>48</v>
      </c>
      <c r="I157" s="3" t="s">
        <v>49</v>
      </c>
      <c r="J157" s="3">
        <v>9.0</v>
      </c>
      <c r="K157" s="3" t="s">
        <v>2251</v>
      </c>
      <c r="L157" s="3" t="s">
        <v>1204</v>
      </c>
      <c r="M157" s="3" t="s">
        <v>2252</v>
      </c>
      <c r="N157" s="6" t="s">
        <v>2253</v>
      </c>
      <c r="O157" s="6" t="s">
        <v>54</v>
      </c>
      <c r="P157" s="3">
        <v>2155.0</v>
      </c>
      <c r="Q157" s="7" t="s">
        <v>60</v>
      </c>
    </row>
    <row r="158">
      <c r="A158" s="22" t="s">
        <v>2247</v>
      </c>
      <c r="B158" s="19" t="s">
        <v>2248</v>
      </c>
      <c r="C158" s="19" t="s">
        <v>2249</v>
      </c>
      <c r="D158" s="19" t="s">
        <v>46</v>
      </c>
      <c r="E158" s="3" t="s">
        <v>2255</v>
      </c>
      <c r="F158" s="7" t="s">
        <v>60</v>
      </c>
      <c r="H158" s="19" t="s">
        <v>48</v>
      </c>
      <c r="I158" s="3" t="s">
        <v>49</v>
      </c>
      <c r="J158" s="3">
        <v>9.0</v>
      </c>
      <c r="K158" s="3" t="s">
        <v>2251</v>
      </c>
      <c r="L158" s="3" t="s">
        <v>1204</v>
      </c>
      <c r="M158" s="3" t="s">
        <v>2252</v>
      </c>
      <c r="N158" s="6" t="s">
        <v>2253</v>
      </c>
      <c r="O158" s="6" t="s">
        <v>54</v>
      </c>
      <c r="P158" s="3">
        <v>2155.0</v>
      </c>
      <c r="Q158" s="7" t="s">
        <v>60</v>
      </c>
    </row>
    <row r="159">
      <c r="A159" s="22" t="s">
        <v>2247</v>
      </c>
      <c r="B159" s="19" t="s">
        <v>2248</v>
      </c>
      <c r="C159" s="19" t="s">
        <v>2249</v>
      </c>
      <c r="D159" s="19" t="s">
        <v>46</v>
      </c>
      <c r="E159" s="3" t="s">
        <v>2256</v>
      </c>
      <c r="F159" s="7" t="s">
        <v>60</v>
      </c>
      <c r="H159" s="19" t="s">
        <v>48</v>
      </c>
      <c r="I159" s="3" t="s">
        <v>49</v>
      </c>
      <c r="J159" s="3">
        <v>9.0</v>
      </c>
      <c r="K159" s="3" t="s">
        <v>2251</v>
      </c>
      <c r="L159" s="3" t="s">
        <v>1204</v>
      </c>
      <c r="M159" s="3" t="s">
        <v>2252</v>
      </c>
      <c r="N159" s="6" t="s">
        <v>2253</v>
      </c>
      <c r="O159" s="6" t="s">
        <v>54</v>
      </c>
      <c r="P159" s="3">
        <v>2765.0</v>
      </c>
      <c r="Q159" s="7" t="s">
        <v>60</v>
      </c>
    </row>
    <row r="160">
      <c r="A160" s="22" t="s">
        <v>2247</v>
      </c>
      <c r="B160" s="19" t="s">
        <v>2248</v>
      </c>
      <c r="C160" s="19" t="s">
        <v>2249</v>
      </c>
      <c r="D160" s="19" t="s">
        <v>46</v>
      </c>
      <c r="E160" s="3" t="s">
        <v>2257</v>
      </c>
      <c r="F160" s="7" t="s">
        <v>60</v>
      </c>
      <c r="H160" s="19" t="s">
        <v>48</v>
      </c>
      <c r="I160" s="3" t="s">
        <v>49</v>
      </c>
      <c r="J160" s="3">
        <v>9.0</v>
      </c>
      <c r="K160" s="3" t="s">
        <v>2251</v>
      </c>
      <c r="L160" s="3" t="s">
        <v>1204</v>
      </c>
      <c r="M160" s="3" t="s">
        <v>2252</v>
      </c>
      <c r="N160" s="6" t="s">
        <v>2253</v>
      </c>
      <c r="O160" s="6" t="s">
        <v>54</v>
      </c>
      <c r="P160" s="3">
        <v>2762.0</v>
      </c>
      <c r="Q160" s="7" t="s">
        <v>60</v>
      </c>
    </row>
    <row r="161">
      <c r="A161" s="22" t="s">
        <v>2247</v>
      </c>
      <c r="B161" s="19" t="s">
        <v>2248</v>
      </c>
      <c r="C161" s="19" t="s">
        <v>2249</v>
      </c>
      <c r="D161" s="19" t="s">
        <v>46</v>
      </c>
      <c r="E161" s="3" t="s">
        <v>2258</v>
      </c>
      <c r="F161" s="7" t="s">
        <v>60</v>
      </c>
      <c r="H161" s="19" t="s">
        <v>48</v>
      </c>
      <c r="I161" s="3" t="s">
        <v>49</v>
      </c>
      <c r="J161" s="3">
        <v>9.0</v>
      </c>
      <c r="K161" s="3" t="s">
        <v>2251</v>
      </c>
      <c r="L161" s="3" t="s">
        <v>1204</v>
      </c>
      <c r="M161" s="3" t="s">
        <v>2252</v>
      </c>
      <c r="N161" s="6" t="s">
        <v>2253</v>
      </c>
      <c r="O161" s="6" t="s">
        <v>54</v>
      </c>
      <c r="P161" s="3">
        <v>2153.0</v>
      </c>
      <c r="Q161" s="7" t="s">
        <v>60</v>
      </c>
    </row>
    <row r="162">
      <c r="A162" s="22" t="s">
        <v>2247</v>
      </c>
      <c r="B162" s="19" t="s">
        <v>2248</v>
      </c>
      <c r="C162" s="19" t="s">
        <v>2249</v>
      </c>
      <c r="D162" s="19" t="s">
        <v>46</v>
      </c>
      <c r="E162" s="3" t="s">
        <v>2259</v>
      </c>
      <c r="F162" s="7" t="s">
        <v>60</v>
      </c>
      <c r="H162" s="19" t="s">
        <v>48</v>
      </c>
      <c r="I162" s="3" t="s">
        <v>49</v>
      </c>
      <c r="J162" s="3">
        <v>9.0</v>
      </c>
      <c r="K162" s="3" t="s">
        <v>2251</v>
      </c>
      <c r="L162" s="3" t="s">
        <v>1204</v>
      </c>
      <c r="M162" s="3" t="s">
        <v>2252</v>
      </c>
      <c r="N162" s="6" t="s">
        <v>2253</v>
      </c>
      <c r="O162" s="6" t="s">
        <v>54</v>
      </c>
      <c r="P162" s="3">
        <v>2153.0</v>
      </c>
      <c r="Q162" s="7" t="s">
        <v>60</v>
      </c>
    </row>
    <row r="163">
      <c r="A163" s="22" t="s">
        <v>2247</v>
      </c>
      <c r="B163" s="19" t="s">
        <v>2248</v>
      </c>
      <c r="C163" s="19" t="s">
        <v>2249</v>
      </c>
      <c r="D163" s="19" t="s">
        <v>46</v>
      </c>
      <c r="E163" s="3" t="s">
        <v>2260</v>
      </c>
      <c r="F163" s="7" t="s">
        <v>60</v>
      </c>
      <c r="H163" s="19" t="s">
        <v>48</v>
      </c>
      <c r="I163" s="3" t="s">
        <v>49</v>
      </c>
      <c r="J163" s="3">
        <v>9.0</v>
      </c>
      <c r="K163" s="3" t="s">
        <v>2251</v>
      </c>
      <c r="L163" s="3" t="s">
        <v>1204</v>
      </c>
      <c r="M163" s="3" t="s">
        <v>2252</v>
      </c>
      <c r="N163" s="6" t="s">
        <v>2253</v>
      </c>
      <c r="O163" s="6" t="s">
        <v>54</v>
      </c>
      <c r="P163" s="3">
        <v>2155.0</v>
      </c>
      <c r="Q163" s="7" t="s">
        <v>60</v>
      </c>
    </row>
    <row r="164">
      <c r="A164" s="22" t="s">
        <v>2247</v>
      </c>
      <c r="B164" s="19" t="s">
        <v>2248</v>
      </c>
      <c r="C164" s="19" t="s">
        <v>2249</v>
      </c>
      <c r="D164" s="19" t="s">
        <v>46</v>
      </c>
      <c r="E164" s="3" t="s">
        <v>2261</v>
      </c>
      <c r="F164" s="7" t="s">
        <v>60</v>
      </c>
      <c r="H164" s="19" t="s">
        <v>48</v>
      </c>
      <c r="I164" s="3" t="s">
        <v>49</v>
      </c>
      <c r="J164" s="3">
        <v>9.0</v>
      </c>
      <c r="K164" s="3" t="s">
        <v>2251</v>
      </c>
      <c r="L164" s="3" t="s">
        <v>1204</v>
      </c>
      <c r="M164" s="3" t="s">
        <v>2252</v>
      </c>
      <c r="N164" s="6" t="s">
        <v>2253</v>
      </c>
      <c r="O164" s="6" t="s">
        <v>54</v>
      </c>
      <c r="P164" s="3">
        <v>2155.0</v>
      </c>
      <c r="Q164" s="7" t="s">
        <v>60</v>
      </c>
    </row>
    <row r="165">
      <c r="A165" s="22" t="s">
        <v>2247</v>
      </c>
      <c r="B165" s="19" t="s">
        <v>2248</v>
      </c>
      <c r="C165" s="19" t="s">
        <v>2249</v>
      </c>
      <c r="D165" s="19" t="s">
        <v>46</v>
      </c>
      <c r="E165" s="3" t="s">
        <v>2262</v>
      </c>
      <c r="F165" s="7" t="s">
        <v>60</v>
      </c>
      <c r="H165" s="19" t="s">
        <v>48</v>
      </c>
      <c r="I165" s="3" t="s">
        <v>49</v>
      </c>
      <c r="J165" s="3">
        <v>9.0</v>
      </c>
      <c r="K165" s="3" t="s">
        <v>2251</v>
      </c>
      <c r="L165" s="3" t="s">
        <v>1204</v>
      </c>
      <c r="M165" s="3" t="s">
        <v>2252</v>
      </c>
      <c r="N165" s="6" t="s">
        <v>2253</v>
      </c>
      <c r="O165" s="6" t="s">
        <v>54</v>
      </c>
      <c r="P165" s="3">
        <v>2765.0</v>
      </c>
      <c r="Q165" s="7" t="s">
        <v>60</v>
      </c>
    </row>
    <row r="166">
      <c r="A166" s="22" t="s">
        <v>2247</v>
      </c>
      <c r="B166" s="19" t="s">
        <v>2248</v>
      </c>
      <c r="C166" s="19" t="s">
        <v>2249</v>
      </c>
      <c r="D166" s="19" t="s">
        <v>46</v>
      </c>
      <c r="E166" s="3" t="s">
        <v>2263</v>
      </c>
      <c r="F166" s="7" t="s">
        <v>60</v>
      </c>
      <c r="H166" s="19" t="s">
        <v>48</v>
      </c>
      <c r="I166" s="3" t="s">
        <v>49</v>
      </c>
      <c r="J166" s="3">
        <v>9.0</v>
      </c>
      <c r="K166" s="3" t="s">
        <v>2251</v>
      </c>
      <c r="L166" s="3" t="s">
        <v>1204</v>
      </c>
      <c r="M166" s="3" t="s">
        <v>2252</v>
      </c>
      <c r="N166" s="6" t="s">
        <v>2253</v>
      </c>
      <c r="O166" s="6" t="s">
        <v>54</v>
      </c>
      <c r="P166" s="3">
        <v>2153.0</v>
      </c>
      <c r="Q166" s="7" t="s">
        <v>60</v>
      </c>
    </row>
    <row r="167">
      <c r="A167" s="22" t="s">
        <v>2247</v>
      </c>
      <c r="B167" s="19" t="s">
        <v>2248</v>
      </c>
      <c r="C167" s="19" t="s">
        <v>2249</v>
      </c>
      <c r="D167" s="19" t="s">
        <v>46</v>
      </c>
      <c r="E167" s="3" t="s">
        <v>2091</v>
      </c>
      <c r="F167" s="7" t="s">
        <v>60</v>
      </c>
      <c r="H167" s="19" t="s">
        <v>48</v>
      </c>
      <c r="I167" s="3" t="s">
        <v>49</v>
      </c>
      <c r="J167" s="3">
        <v>9.0</v>
      </c>
      <c r="K167" s="3" t="s">
        <v>2251</v>
      </c>
      <c r="L167" s="3" t="s">
        <v>1204</v>
      </c>
      <c r="M167" s="3" t="s">
        <v>2252</v>
      </c>
      <c r="N167" s="6" t="s">
        <v>2253</v>
      </c>
      <c r="O167" s="6" t="s">
        <v>54</v>
      </c>
      <c r="P167" s="3">
        <v>2155.0</v>
      </c>
      <c r="Q167" s="7" t="s">
        <v>60</v>
      </c>
    </row>
    <row r="168">
      <c r="A168" s="22" t="s">
        <v>2247</v>
      </c>
      <c r="B168" s="19" t="s">
        <v>2248</v>
      </c>
      <c r="C168" s="19" t="s">
        <v>2249</v>
      </c>
      <c r="D168" s="19" t="s">
        <v>46</v>
      </c>
      <c r="E168" s="3" t="s">
        <v>2092</v>
      </c>
      <c r="F168" s="7" t="s">
        <v>60</v>
      </c>
      <c r="H168" s="19" t="s">
        <v>48</v>
      </c>
      <c r="I168" s="3" t="s">
        <v>49</v>
      </c>
      <c r="J168" s="3">
        <v>9.0</v>
      </c>
      <c r="K168" s="3" t="s">
        <v>2251</v>
      </c>
      <c r="L168" s="3" t="s">
        <v>1204</v>
      </c>
      <c r="M168" s="3" t="s">
        <v>2252</v>
      </c>
      <c r="N168" s="6" t="s">
        <v>2253</v>
      </c>
      <c r="O168" s="6" t="s">
        <v>54</v>
      </c>
      <c r="P168" s="3">
        <v>2153.0</v>
      </c>
      <c r="Q168" s="7" t="s">
        <v>60</v>
      </c>
    </row>
    <row r="169">
      <c r="A169" s="22" t="s">
        <v>2247</v>
      </c>
      <c r="B169" s="19" t="s">
        <v>2248</v>
      </c>
      <c r="C169" s="19" t="s">
        <v>2249</v>
      </c>
      <c r="D169" s="19" t="s">
        <v>46</v>
      </c>
      <c r="E169" s="3" t="s">
        <v>2264</v>
      </c>
      <c r="F169" s="7" t="s">
        <v>60</v>
      </c>
      <c r="H169" s="19" t="s">
        <v>48</v>
      </c>
      <c r="I169" s="3" t="s">
        <v>49</v>
      </c>
      <c r="J169" s="3">
        <v>9.0</v>
      </c>
      <c r="K169" s="3" t="s">
        <v>2251</v>
      </c>
      <c r="L169" s="3" t="s">
        <v>1204</v>
      </c>
      <c r="M169" s="3" t="s">
        <v>2252</v>
      </c>
      <c r="N169" s="6" t="s">
        <v>2253</v>
      </c>
      <c r="O169" s="6" t="s">
        <v>54</v>
      </c>
      <c r="P169" s="3">
        <v>2769.0</v>
      </c>
      <c r="Q169" s="7" t="s">
        <v>60</v>
      </c>
    </row>
    <row r="170">
      <c r="A170" s="3" t="s">
        <v>2265</v>
      </c>
      <c r="B170" s="3" t="s">
        <v>2266</v>
      </c>
      <c r="C170" s="3" t="s">
        <v>2267</v>
      </c>
      <c r="D170" s="3" t="s">
        <v>46</v>
      </c>
      <c r="E170" s="3" t="s">
        <v>334</v>
      </c>
      <c r="F170" s="5">
        <v>46051.0</v>
      </c>
      <c r="G170" s="26" t="s">
        <v>214</v>
      </c>
      <c r="H170" s="15" t="s">
        <v>48</v>
      </c>
      <c r="I170" s="3" t="s">
        <v>49</v>
      </c>
      <c r="J170" s="3">
        <v>2.0</v>
      </c>
      <c r="K170" s="3" t="s">
        <v>2268</v>
      </c>
      <c r="L170" s="3" t="s">
        <v>995</v>
      </c>
      <c r="M170" s="3" t="s">
        <v>2269</v>
      </c>
      <c r="N170" s="6" t="s">
        <v>2270</v>
      </c>
      <c r="O170" s="6" t="s">
        <v>2271</v>
      </c>
      <c r="P170" s="3">
        <v>2299.0</v>
      </c>
      <c r="Q170" s="3">
        <v>3.0</v>
      </c>
    </row>
    <row r="171">
      <c r="A171" s="3" t="s">
        <v>2265</v>
      </c>
      <c r="B171" s="3" t="s">
        <v>2266</v>
      </c>
      <c r="C171" s="3" t="s">
        <v>2267</v>
      </c>
      <c r="D171" s="3" t="s">
        <v>46</v>
      </c>
      <c r="E171" s="3" t="s">
        <v>335</v>
      </c>
      <c r="F171" s="7" t="s">
        <v>60</v>
      </c>
      <c r="H171" s="15" t="s">
        <v>48</v>
      </c>
      <c r="I171" s="3" t="s">
        <v>49</v>
      </c>
      <c r="J171" s="3">
        <v>2.0</v>
      </c>
      <c r="K171" s="3" t="s">
        <v>2268</v>
      </c>
      <c r="L171" s="3" t="s">
        <v>995</v>
      </c>
      <c r="M171" s="3" t="s">
        <v>2269</v>
      </c>
      <c r="N171" s="6" t="s">
        <v>2270</v>
      </c>
      <c r="O171" s="6" t="s">
        <v>2271</v>
      </c>
      <c r="P171" s="3">
        <v>2305.0</v>
      </c>
      <c r="Q171" s="7" t="s">
        <v>60</v>
      </c>
    </row>
    <row r="172">
      <c r="A172" s="3" t="s">
        <v>2265</v>
      </c>
      <c r="B172" s="3" t="s">
        <v>2266</v>
      </c>
      <c r="C172" s="3" t="s">
        <v>2267</v>
      </c>
      <c r="D172" s="3" t="s">
        <v>46</v>
      </c>
      <c r="E172" s="3" t="s">
        <v>336</v>
      </c>
      <c r="F172" s="7" t="s">
        <v>60</v>
      </c>
      <c r="H172" s="15" t="s">
        <v>48</v>
      </c>
      <c r="I172" s="3" t="s">
        <v>49</v>
      </c>
      <c r="J172" s="3">
        <v>2.0</v>
      </c>
      <c r="K172" s="3" t="s">
        <v>2268</v>
      </c>
      <c r="L172" s="3" t="s">
        <v>995</v>
      </c>
      <c r="M172" s="3" t="s">
        <v>2269</v>
      </c>
      <c r="N172" s="6" t="s">
        <v>2270</v>
      </c>
      <c r="O172" s="6" t="s">
        <v>2271</v>
      </c>
      <c r="P172" s="3">
        <v>2304.0</v>
      </c>
      <c r="Q172" s="7" t="s">
        <v>60</v>
      </c>
    </row>
    <row r="173">
      <c r="A173" s="3" t="s">
        <v>2265</v>
      </c>
      <c r="B173" s="3" t="s">
        <v>2266</v>
      </c>
      <c r="C173" s="3" t="s">
        <v>2267</v>
      </c>
      <c r="D173" s="3" t="s">
        <v>46</v>
      </c>
      <c r="E173" s="3" t="s">
        <v>337</v>
      </c>
      <c r="F173" s="7" t="s">
        <v>60</v>
      </c>
      <c r="H173" s="15" t="s">
        <v>48</v>
      </c>
      <c r="I173" s="3" t="s">
        <v>49</v>
      </c>
      <c r="J173" s="3">
        <v>2.0</v>
      </c>
      <c r="K173" s="3" t="s">
        <v>2268</v>
      </c>
      <c r="L173" s="3" t="s">
        <v>995</v>
      </c>
      <c r="M173" s="3" t="s">
        <v>2269</v>
      </c>
      <c r="N173" s="6" t="s">
        <v>2270</v>
      </c>
      <c r="O173" s="6" t="s">
        <v>2271</v>
      </c>
      <c r="P173" s="3">
        <v>2305.0</v>
      </c>
      <c r="Q173" s="7" t="s">
        <v>60</v>
      </c>
    </row>
    <row r="174">
      <c r="A174" s="22" t="s">
        <v>2272</v>
      </c>
      <c r="B174" s="19" t="s">
        <v>2273</v>
      </c>
      <c r="C174" s="19" t="s">
        <v>2274</v>
      </c>
      <c r="D174" s="19" t="s">
        <v>531</v>
      </c>
      <c r="E174" s="3" t="s">
        <v>2275</v>
      </c>
      <c r="F174" s="14">
        <v>45938.0</v>
      </c>
      <c r="G174" s="24" t="s">
        <v>214</v>
      </c>
      <c r="H174" s="19" t="s">
        <v>48</v>
      </c>
      <c r="I174" s="3" t="s">
        <v>49</v>
      </c>
      <c r="J174" s="3">
        <v>6.0</v>
      </c>
      <c r="K174" s="3" t="s">
        <v>1200</v>
      </c>
      <c r="L174" s="3" t="s">
        <v>757</v>
      </c>
      <c r="M174" s="3" t="s">
        <v>758</v>
      </c>
      <c r="N174" s="6" t="s">
        <v>2276</v>
      </c>
      <c r="O174" s="6" t="s">
        <v>760</v>
      </c>
      <c r="P174" s="3">
        <v>4053.0</v>
      </c>
      <c r="Q174" s="3">
        <v>2.0</v>
      </c>
      <c r="R174" s="3">
        <v>383.9</v>
      </c>
    </row>
    <row r="175">
      <c r="A175" s="22" t="s">
        <v>2272</v>
      </c>
      <c r="B175" s="19" t="s">
        <v>2273</v>
      </c>
      <c r="C175" s="19" t="s">
        <v>2274</v>
      </c>
      <c r="D175" s="19" t="s">
        <v>531</v>
      </c>
      <c r="E175" s="3" t="s">
        <v>2277</v>
      </c>
      <c r="F175" s="7" t="s">
        <v>60</v>
      </c>
      <c r="H175" s="19" t="s">
        <v>48</v>
      </c>
      <c r="I175" s="3" t="s">
        <v>49</v>
      </c>
      <c r="J175" s="3">
        <v>6.0</v>
      </c>
      <c r="K175" s="3" t="s">
        <v>1200</v>
      </c>
      <c r="L175" s="3" t="s">
        <v>757</v>
      </c>
      <c r="M175" s="3" t="s">
        <v>758</v>
      </c>
      <c r="N175" s="6" t="s">
        <v>2276</v>
      </c>
      <c r="O175" s="6" t="s">
        <v>760</v>
      </c>
      <c r="P175" s="3">
        <v>4055.0</v>
      </c>
      <c r="Q175" s="7" t="s">
        <v>60</v>
      </c>
    </row>
    <row r="176">
      <c r="A176" s="22" t="s">
        <v>2272</v>
      </c>
      <c r="B176" s="19" t="s">
        <v>2273</v>
      </c>
      <c r="C176" s="19" t="s">
        <v>2274</v>
      </c>
      <c r="D176" s="19" t="s">
        <v>531</v>
      </c>
      <c r="E176" s="3" t="s">
        <v>2278</v>
      </c>
      <c r="F176" s="7" t="s">
        <v>60</v>
      </c>
      <c r="H176" s="19" t="s">
        <v>48</v>
      </c>
      <c r="I176" s="3" t="s">
        <v>49</v>
      </c>
      <c r="J176" s="3">
        <v>6.0</v>
      </c>
      <c r="K176" s="3" t="s">
        <v>1200</v>
      </c>
      <c r="L176" s="3" t="s">
        <v>757</v>
      </c>
      <c r="M176" s="3" t="s">
        <v>758</v>
      </c>
      <c r="N176" s="6" t="s">
        <v>2276</v>
      </c>
      <c r="O176" s="6" t="s">
        <v>760</v>
      </c>
      <c r="P176" s="3">
        <v>4054.0</v>
      </c>
      <c r="Q176" s="7" t="s">
        <v>60</v>
      </c>
    </row>
    <row r="177">
      <c r="A177" s="22" t="s">
        <v>2272</v>
      </c>
      <c r="B177" s="19" t="s">
        <v>2273</v>
      </c>
      <c r="C177" s="19" t="s">
        <v>2274</v>
      </c>
      <c r="D177" s="19" t="s">
        <v>531</v>
      </c>
      <c r="E177" s="3" t="s">
        <v>2279</v>
      </c>
      <c r="F177" s="7" t="s">
        <v>60</v>
      </c>
      <c r="H177" s="19" t="s">
        <v>48</v>
      </c>
      <c r="I177" s="3" t="s">
        <v>49</v>
      </c>
      <c r="J177" s="3">
        <v>6.0</v>
      </c>
      <c r="K177" s="3" t="s">
        <v>1200</v>
      </c>
      <c r="L177" s="3" t="s">
        <v>757</v>
      </c>
      <c r="M177" s="3" t="s">
        <v>758</v>
      </c>
      <c r="N177" s="6" t="s">
        <v>2276</v>
      </c>
      <c r="O177" s="6" t="s">
        <v>760</v>
      </c>
      <c r="P177" s="3">
        <v>4055.0</v>
      </c>
      <c r="Q177" s="7" t="s">
        <v>60</v>
      </c>
    </row>
    <row r="178">
      <c r="A178" s="22" t="s">
        <v>2272</v>
      </c>
      <c r="B178" s="19" t="s">
        <v>2273</v>
      </c>
      <c r="C178" s="19" t="s">
        <v>2274</v>
      </c>
      <c r="D178" s="19" t="s">
        <v>531</v>
      </c>
      <c r="E178" s="3" t="s">
        <v>2280</v>
      </c>
      <c r="F178" s="7" t="s">
        <v>60</v>
      </c>
      <c r="H178" s="19" t="s">
        <v>48</v>
      </c>
      <c r="I178" s="3" t="s">
        <v>49</v>
      </c>
      <c r="J178" s="3">
        <v>6.0</v>
      </c>
      <c r="K178" s="3" t="s">
        <v>1200</v>
      </c>
      <c r="L178" s="3" t="s">
        <v>757</v>
      </c>
      <c r="M178" s="3" t="s">
        <v>758</v>
      </c>
      <c r="N178" s="6" t="s">
        <v>2276</v>
      </c>
      <c r="O178" s="6" t="s">
        <v>760</v>
      </c>
      <c r="P178" s="3">
        <v>4053.0</v>
      </c>
      <c r="Q178" s="7" t="s">
        <v>60</v>
      </c>
    </row>
    <row r="179">
      <c r="A179" s="22" t="s">
        <v>2272</v>
      </c>
      <c r="B179" s="19" t="s">
        <v>2273</v>
      </c>
      <c r="C179" s="19" t="s">
        <v>2274</v>
      </c>
      <c r="D179" s="19" t="s">
        <v>531</v>
      </c>
      <c r="E179" s="3" t="s">
        <v>2281</v>
      </c>
      <c r="F179" s="7" t="s">
        <v>60</v>
      </c>
      <c r="H179" s="19" t="s">
        <v>48</v>
      </c>
      <c r="I179" s="3" t="s">
        <v>49</v>
      </c>
      <c r="J179" s="3">
        <v>6.0</v>
      </c>
      <c r="K179" s="3" t="s">
        <v>1200</v>
      </c>
      <c r="L179" s="3" t="s">
        <v>757</v>
      </c>
      <c r="M179" s="3" t="s">
        <v>758</v>
      </c>
      <c r="N179" s="6" t="s">
        <v>2276</v>
      </c>
      <c r="O179" s="6" t="s">
        <v>760</v>
      </c>
      <c r="P179" s="3">
        <v>4053.0</v>
      </c>
      <c r="Q179" s="7" t="s">
        <v>60</v>
      </c>
    </row>
    <row r="180">
      <c r="A180" s="22" t="s">
        <v>2272</v>
      </c>
      <c r="B180" s="19" t="s">
        <v>2273</v>
      </c>
      <c r="C180" s="19" t="s">
        <v>2274</v>
      </c>
      <c r="D180" s="19" t="s">
        <v>531</v>
      </c>
      <c r="E180" s="3" t="s">
        <v>2282</v>
      </c>
      <c r="F180" s="7" t="s">
        <v>60</v>
      </c>
      <c r="H180" s="19" t="s">
        <v>48</v>
      </c>
      <c r="I180" s="3" t="s">
        <v>49</v>
      </c>
      <c r="J180" s="3">
        <v>6.0</v>
      </c>
      <c r="K180" s="3" t="s">
        <v>1200</v>
      </c>
      <c r="L180" s="3" t="s">
        <v>757</v>
      </c>
      <c r="M180" s="3" t="s">
        <v>758</v>
      </c>
      <c r="N180" s="6" t="s">
        <v>2276</v>
      </c>
      <c r="O180" s="6" t="s">
        <v>760</v>
      </c>
      <c r="P180" s="3">
        <v>4053.0</v>
      </c>
      <c r="Q180" s="7" t="s">
        <v>60</v>
      </c>
    </row>
    <row r="181">
      <c r="A181" s="22" t="s">
        <v>2272</v>
      </c>
      <c r="B181" s="19" t="s">
        <v>2273</v>
      </c>
      <c r="C181" s="19" t="s">
        <v>2274</v>
      </c>
      <c r="D181" s="19" t="s">
        <v>531</v>
      </c>
      <c r="E181" s="3" t="s">
        <v>2283</v>
      </c>
      <c r="F181" s="7" t="s">
        <v>60</v>
      </c>
      <c r="H181" s="19" t="s">
        <v>48</v>
      </c>
      <c r="I181" s="3" t="s">
        <v>49</v>
      </c>
      <c r="J181" s="3">
        <v>6.0</v>
      </c>
      <c r="K181" s="3" t="s">
        <v>1200</v>
      </c>
      <c r="L181" s="3" t="s">
        <v>757</v>
      </c>
      <c r="M181" s="3" t="s">
        <v>758</v>
      </c>
      <c r="N181" s="6" t="s">
        <v>2276</v>
      </c>
      <c r="O181" s="6" t="s">
        <v>760</v>
      </c>
      <c r="P181" s="3">
        <v>4053.0</v>
      </c>
      <c r="Q181" s="7" t="s">
        <v>60</v>
      </c>
    </row>
    <row r="182">
      <c r="A182" s="22" t="s">
        <v>2272</v>
      </c>
      <c r="B182" s="19" t="s">
        <v>2273</v>
      </c>
      <c r="C182" s="19" t="s">
        <v>2274</v>
      </c>
      <c r="D182" s="19" t="s">
        <v>531</v>
      </c>
      <c r="E182" s="3" t="s">
        <v>2284</v>
      </c>
      <c r="F182" s="7" t="s">
        <v>60</v>
      </c>
      <c r="H182" s="19" t="s">
        <v>48</v>
      </c>
      <c r="I182" s="3" t="s">
        <v>49</v>
      </c>
      <c r="J182" s="3">
        <v>6.0</v>
      </c>
      <c r="K182" s="3" t="s">
        <v>1200</v>
      </c>
      <c r="L182" s="3" t="s">
        <v>757</v>
      </c>
      <c r="M182" s="3" t="s">
        <v>758</v>
      </c>
      <c r="N182" s="6" t="s">
        <v>2276</v>
      </c>
      <c r="O182" s="6" t="s">
        <v>760</v>
      </c>
      <c r="P182" s="3">
        <v>4051.0</v>
      </c>
      <c r="Q182" s="7" t="s">
        <v>60</v>
      </c>
    </row>
    <row r="183">
      <c r="A183" s="22" t="s">
        <v>2272</v>
      </c>
      <c r="B183" s="19" t="s">
        <v>2273</v>
      </c>
      <c r="C183" s="19" t="s">
        <v>2274</v>
      </c>
      <c r="D183" s="19" t="s">
        <v>531</v>
      </c>
      <c r="E183" s="3" t="s">
        <v>2285</v>
      </c>
      <c r="F183" s="7" t="s">
        <v>60</v>
      </c>
      <c r="H183" s="19" t="s">
        <v>48</v>
      </c>
      <c r="I183" s="3" t="s">
        <v>49</v>
      </c>
      <c r="J183" s="3">
        <v>6.0</v>
      </c>
      <c r="K183" s="3" t="s">
        <v>1200</v>
      </c>
      <c r="L183" s="3" t="s">
        <v>757</v>
      </c>
      <c r="M183" s="3" t="s">
        <v>758</v>
      </c>
      <c r="N183" s="6" t="s">
        <v>2276</v>
      </c>
      <c r="O183" s="6" t="s">
        <v>760</v>
      </c>
      <c r="P183" s="3">
        <v>4054.0</v>
      </c>
      <c r="Q183" s="7" t="s">
        <v>60</v>
      </c>
    </row>
    <row r="184">
      <c r="A184" s="22" t="s">
        <v>2272</v>
      </c>
      <c r="B184" s="19" t="s">
        <v>2273</v>
      </c>
      <c r="C184" s="19" t="s">
        <v>2274</v>
      </c>
      <c r="D184" s="19" t="s">
        <v>531</v>
      </c>
      <c r="E184" s="3" t="s">
        <v>2286</v>
      </c>
      <c r="F184" s="7" t="s">
        <v>60</v>
      </c>
      <c r="H184" s="19" t="s">
        <v>48</v>
      </c>
      <c r="I184" s="3" t="s">
        <v>49</v>
      </c>
      <c r="J184" s="3">
        <v>6.0</v>
      </c>
      <c r="K184" s="3" t="s">
        <v>1200</v>
      </c>
      <c r="L184" s="3" t="s">
        <v>757</v>
      </c>
      <c r="M184" s="3" t="s">
        <v>758</v>
      </c>
      <c r="N184" s="6" t="s">
        <v>2276</v>
      </c>
      <c r="O184" s="6" t="s">
        <v>760</v>
      </c>
      <c r="P184" s="3">
        <v>4054.0</v>
      </c>
      <c r="Q184" s="7" t="s">
        <v>60</v>
      </c>
    </row>
    <row r="185">
      <c r="A185" s="22" t="s">
        <v>2272</v>
      </c>
      <c r="B185" s="19" t="s">
        <v>2273</v>
      </c>
      <c r="C185" s="19" t="s">
        <v>2274</v>
      </c>
      <c r="D185" s="19" t="s">
        <v>531</v>
      </c>
      <c r="E185" s="3" t="s">
        <v>2287</v>
      </c>
      <c r="F185" s="7" t="s">
        <v>60</v>
      </c>
      <c r="H185" s="19" t="s">
        <v>48</v>
      </c>
      <c r="I185" s="3" t="s">
        <v>49</v>
      </c>
      <c r="J185" s="3">
        <v>6.0</v>
      </c>
      <c r="K185" s="3" t="s">
        <v>1200</v>
      </c>
      <c r="L185" s="3" t="s">
        <v>757</v>
      </c>
      <c r="M185" s="3" t="s">
        <v>758</v>
      </c>
      <c r="N185" s="6" t="s">
        <v>2276</v>
      </c>
      <c r="O185" s="6" t="s">
        <v>760</v>
      </c>
      <c r="P185" s="3">
        <v>4054.0</v>
      </c>
      <c r="Q185" s="7" t="s">
        <v>60</v>
      </c>
    </row>
    <row r="186">
      <c r="A186" s="22" t="s">
        <v>2272</v>
      </c>
      <c r="B186" s="19" t="s">
        <v>2273</v>
      </c>
      <c r="C186" s="19" t="s">
        <v>2274</v>
      </c>
      <c r="D186" s="19" t="s">
        <v>531</v>
      </c>
      <c r="E186" s="3" t="s">
        <v>2288</v>
      </c>
      <c r="F186" s="7" t="s">
        <v>60</v>
      </c>
      <c r="H186" s="19" t="s">
        <v>48</v>
      </c>
      <c r="I186" s="3" t="s">
        <v>49</v>
      </c>
      <c r="J186" s="3">
        <v>6.0</v>
      </c>
      <c r="K186" s="3" t="s">
        <v>1200</v>
      </c>
      <c r="L186" s="3" t="s">
        <v>757</v>
      </c>
      <c r="M186" s="3" t="s">
        <v>758</v>
      </c>
      <c r="N186" s="6" t="s">
        <v>2276</v>
      </c>
      <c r="O186" s="6" t="s">
        <v>760</v>
      </c>
      <c r="P186" s="3">
        <v>4053.0</v>
      </c>
      <c r="Q186" s="7" t="s">
        <v>60</v>
      </c>
    </row>
    <row r="187">
      <c r="A187" s="22" t="s">
        <v>2272</v>
      </c>
      <c r="B187" s="19" t="s">
        <v>2273</v>
      </c>
      <c r="C187" s="19" t="s">
        <v>2274</v>
      </c>
      <c r="D187" s="19" t="s">
        <v>531</v>
      </c>
      <c r="E187" s="3" t="s">
        <v>2289</v>
      </c>
      <c r="F187" s="7" t="s">
        <v>60</v>
      </c>
      <c r="H187" s="19" t="s">
        <v>48</v>
      </c>
      <c r="I187" s="3" t="s">
        <v>49</v>
      </c>
      <c r="J187" s="3">
        <v>2.0</v>
      </c>
      <c r="K187" s="3" t="s">
        <v>642</v>
      </c>
      <c r="L187" s="3" t="s">
        <v>757</v>
      </c>
      <c r="M187" s="3" t="s">
        <v>758</v>
      </c>
      <c r="N187" s="6" t="s">
        <v>2276</v>
      </c>
      <c r="O187" s="6" t="s">
        <v>760</v>
      </c>
      <c r="P187" s="3">
        <v>4520.0</v>
      </c>
      <c r="Q187" s="7" t="s">
        <v>60</v>
      </c>
    </row>
    <row r="188">
      <c r="A188" s="22" t="s">
        <v>2272</v>
      </c>
      <c r="B188" s="19" t="s">
        <v>2273</v>
      </c>
      <c r="C188" s="19" t="s">
        <v>2274</v>
      </c>
      <c r="D188" s="19" t="s">
        <v>531</v>
      </c>
      <c r="E188" s="3" t="s">
        <v>2290</v>
      </c>
      <c r="F188" s="7" t="s">
        <v>60</v>
      </c>
      <c r="H188" s="19" t="s">
        <v>48</v>
      </c>
      <c r="I188" s="3" t="s">
        <v>49</v>
      </c>
      <c r="J188" s="3">
        <v>2.0</v>
      </c>
      <c r="K188" s="3" t="s">
        <v>642</v>
      </c>
      <c r="L188" s="3" t="s">
        <v>757</v>
      </c>
      <c r="M188" s="3" t="s">
        <v>758</v>
      </c>
      <c r="N188" s="6" t="s">
        <v>2276</v>
      </c>
      <c r="O188" s="6" t="s">
        <v>760</v>
      </c>
      <c r="P188" s="3">
        <v>4520.0</v>
      </c>
      <c r="Q188" s="7" t="s">
        <v>60</v>
      </c>
    </row>
    <row r="189">
      <c r="A189" s="22" t="s">
        <v>2272</v>
      </c>
      <c r="B189" s="19" t="s">
        <v>2273</v>
      </c>
      <c r="C189" s="19" t="s">
        <v>2274</v>
      </c>
      <c r="D189" s="19" t="s">
        <v>531</v>
      </c>
      <c r="E189" s="3" t="s">
        <v>2291</v>
      </c>
      <c r="F189" s="7" t="s">
        <v>60</v>
      </c>
      <c r="H189" s="19" t="s">
        <v>48</v>
      </c>
      <c r="I189" s="3" t="s">
        <v>49</v>
      </c>
      <c r="J189" s="3">
        <v>1.0</v>
      </c>
      <c r="K189" s="3" t="s">
        <v>757</v>
      </c>
      <c r="L189" s="3" t="s">
        <v>757</v>
      </c>
      <c r="M189" s="3" t="s">
        <v>758</v>
      </c>
      <c r="N189" s="6" t="s">
        <v>2276</v>
      </c>
      <c r="O189" s="6" t="s">
        <v>760</v>
      </c>
      <c r="P189" s="3">
        <v>4051.0</v>
      </c>
      <c r="Q189" s="7" t="s">
        <v>60</v>
      </c>
    </row>
    <row r="190">
      <c r="A190" s="22" t="s">
        <v>2272</v>
      </c>
      <c r="B190" s="19" t="s">
        <v>2273</v>
      </c>
      <c r="C190" s="19" t="s">
        <v>2274</v>
      </c>
      <c r="D190" s="19" t="s">
        <v>531</v>
      </c>
      <c r="E190" s="3" t="s">
        <v>2292</v>
      </c>
      <c r="F190" s="7" t="s">
        <v>60</v>
      </c>
      <c r="H190" s="19" t="s">
        <v>48</v>
      </c>
      <c r="I190" s="3" t="s">
        <v>49</v>
      </c>
      <c r="J190" s="3">
        <v>1.0</v>
      </c>
      <c r="K190" s="3" t="s">
        <v>757</v>
      </c>
      <c r="L190" s="3" t="s">
        <v>757</v>
      </c>
      <c r="M190" s="3" t="s">
        <v>758</v>
      </c>
      <c r="N190" s="6" t="s">
        <v>2276</v>
      </c>
      <c r="O190" s="6" t="s">
        <v>760</v>
      </c>
      <c r="P190" s="3">
        <v>4061.0</v>
      </c>
      <c r="Q190" s="7" t="s">
        <v>60</v>
      </c>
    </row>
    <row r="191">
      <c r="A191" s="22" t="s">
        <v>2272</v>
      </c>
      <c r="B191" s="19" t="s">
        <v>2273</v>
      </c>
      <c r="C191" s="19" t="s">
        <v>2274</v>
      </c>
      <c r="D191" s="19" t="s">
        <v>531</v>
      </c>
      <c r="E191" s="3" t="s">
        <v>2293</v>
      </c>
      <c r="F191" s="7" t="s">
        <v>60</v>
      </c>
      <c r="H191" s="19" t="s">
        <v>48</v>
      </c>
      <c r="I191" s="3" t="s">
        <v>49</v>
      </c>
      <c r="J191" s="3">
        <v>1.0</v>
      </c>
      <c r="K191" s="3" t="s">
        <v>757</v>
      </c>
      <c r="L191" s="3" t="s">
        <v>757</v>
      </c>
      <c r="M191" s="3" t="s">
        <v>758</v>
      </c>
      <c r="N191" s="6" t="s">
        <v>2276</v>
      </c>
      <c r="O191" s="6" t="s">
        <v>760</v>
      </c>
      <c r="P191" s="3">
        <v>4034.0</v>
      </c>
      <c r="Q191" s="7" t="s">
        <v>60</v>
      </c>
    </row>
    <row r="192">
      <c r="A192" s="22" t="s">
        <v>2294</v>
      </c>
      <c r="B192" s="19" t="s">
        <v>2295</v>
      </c>
      <c r="C192" s="19" t="s">
        <v>2296</v>
      </c>
      <c r="D192" s="19" t="s">
        <v>472</v>
      </c>
      <c r="E192" s="3" t="s">
        <v>2297</v>
      </c>
      <c r="F192" s="5">
        <v>45978.0</v>
      </c>
      <c r="G192" s="24" t="s">
        <v>214</v>
      </c>
      <c r="H192" s="19" t="s">
        <v>48</v>
      </c>
      <c r="I192" s="3" t="s">
        <v>49</v>
      </c>
      <c r="J192" s="3">
        <v>2.0</v>
      </c>
      <c r="K192" s="3" t="s">
        <v>757</v>
      </c>
      <c r="L192" s="3" t="s">
        <v>527</v>
      </c>
      <c r="M192" s="3" t="s">
        <v>2298</v>
      </c>
      <c r="N192" s="6" t="s">
        <v>2299</v>
      </c>
      <c r="O192" s="6" t="s">
        <v>2300</v>
      </c>
      <c r="P192" s="3">
        <v>3032.0</v>
      </c>
      <c r="Q192" s="3">
        <v>2.0</v>
      </c>
      <c r="R192" s="3">
        <v>383.9</v>
      </c>
    </row>
    <row r="193">
      <c r="A193" s="22" t="s">
        <v>2294</v>
      </c>
      <c r="B193" s="19" t="s">
        <v>2295</v>
      </c>
      <c r="C193" s="19" t="s">
        <v>2296</v>
      </c>
      <c r="D193" s="19" t="s">
        <v>472</v>
      </c>
      <c r="E193" s="3" t="s">
        <v>2301</v>
      </c>
      <c r="F193" s="7" t="s">
        <v>60</v>
      </c>
      <c r="H193" s="19" t="s">
        <v>48</v>
      </c>
      <c r="I193" s="3" t="s">
        <v>49</v>
      </c>
      <c r="J193" s="3">
        <v>2.0</v>
      </c>
      <c r="K193" s="3" t="s">
        <v>757</v>
      </c>
      <c r="L193" s="3" t="s">
        <v>527</v>
      </c>
      <c r="M193" s="3" t="s">
        <v>2298</v>
      </c>
      <c r="N193" s="6" t="s">
        <v>2299</v>
      </c>
      <c r="O193" s="6" t="s">
        <v>2300</v>
      </c>
      <c r="P193" s="3">
        <v>3032.0</v>
      </c>
      <c r="Q193" s="7" t="s">
        <v>60</v>
      </c>
    </row>
    <row r="194">
      <c r="A194" s="22" t="s">
        <v>2294</v>
      </c>
      <c r="B194" s="19" t="s">
        <v>2295</v>
      </c>
      <c r="C194" s="19" t="s">
        <v>2296</v>
      </c>
      <c r="D194" s="19" t="s">
        <v>472</v>
      </c>
      <c r="E194" s="3" t="s">
        <v>2302</v>
      </c>
      <c r="F194" s="7" t="s">
        <v>60</v>
      </c>
      <c r="H194" s="19" t="s">
        <v>48</v>
      </c>
      <c r="I194" s="3" t="s">
        <v>49</v>
      </c>
      <c r="J194" s="3">
        <v>2.0</v>
      </c>
      <c r="K194" s="3" t="s">
        <v>757</v>
      </c>
      <c r="L194" s="3" t="s">
        <v>527</v>
      </c>
      <c r="M194" s="3" t="s">
        <v>2298</v>
      </c>
      <c r="N194" s="6" t="s">
        <v>2299</v>
      </c>
      <c r="O194" s="6" t="s">
        <v>2300</v>
      </c>
      <c r="P194" s="3">
        <v>3032.0</v>
      </c>
      <c r="Q194" s="7" t="s">
        <v>60</v>
      </c>
    </row>
    <row r="195">
      <c r="A195" s="22" t="s">
        <v>2294</v>
      </c>
      <c r="B195" s="19" t="s">
        <v>2295</v>
      </c>
      <c r="C195" s="19" t="s">
        <v>2296</v>
      </c>
      <c r="D195" s="19" t="s">
        <v>472</v>
      </c>
      <c r="E195" s="3" t="s">
        <v>2303</v>
      </c>
      <c r="F195" s="7" t="s">
        <v>60</v>
      </c>
      <c r="H195" s="19" t="s">
        <v>48</v>
      </c>
      <c r="I195" s="3" t="s">
        <v>49</v>
      </c>
      <c r="J195" s="3">
        <v>2.0</v>
      </c>
      <c r="K195" s="3" t="s">
        <v>757</v>
      </c>
      <c r="L195" s="3" t="s">
        <v>527</v>
      </c>
      <c r="M195" s="3" t="s">
        <v>2298</v>
      </c>
      <c r="N195" s="6" t="s">
        <v>2299</v>
      </c>
      <c r="O195" s="6" t="s">
        <v>2300</v>
      </c>
      <c r="P195" s="3">
        <v>3053.0</v>
      </c>
      <c r="Q195" s="7" t="s">
        <v>60</v>
      </c>
    </row>
    <row r="196">
      <c r="A196" s="32" t="s">
        <v>2304</v>
      </c>
      <c r="B196" s="3" t="s">
        <v>2305</v>
      </c>
      <c r="C196" s="19" t="s">
        <v>2306</v>
      </c>
      <c r="D196" s="3" t="s">
        <v>457</v>
      </c>
      <c r="E196" s="3" t="s">
        <v>2307</v>
      </c>
      <c r="F196" s="7" t="s">
        <v>60</v>
      </c>
      <c r="H196" s="19" t="s">
        <v>48</v>
      </c>
      <c r="I196" s="3" t="s">
        <v>49</v>
      </c>
      <c r="J196" s="3">
        <v>1.0</v>
      </c>
      <c r="K196" s="3" t="s">
        <v>990</v>
      </c>
      <c r="L196" s="3" t="s">
        <v>990</v>
      </c>
      <c r="M196" s="3" t="s">
        <v>2308</v>
      </c>
      <c r="N196" s="6" t="s">
        <v>2309</v>
      </c>
      <c r="O196" s="6" t="s">
        <v>2310</v>
      </c>
      <c r="P196" s="3">
        <v>5158.0</v>
      </c>
      <c r="Q196" s="3">
        <v>2.0</v>
      </c>
      <c r="R196" s="3">
        <v>383.9</v>
      </c>
      <c r="S196" s="87"/>
    </row>
    <row r="197">
      <c r="A197" s="32" t="s">
        <v>2304</v>
      </c>
      <c r="B197" s="3" t="s">
        <v>2305</v>
      </c>
      <c r="C197" s="19" t="s">
        <v>2306</v>
      </c>
      <c r="D197" s="3" t="s">
        <v>457</v>
      </c>
      <c r="E197" s="3" t="s">
        <v>2311</v>
      </c>
      <c r="F197" s="7" t="s">
        <v>60</v>
      </c>
      <c r="H197" s="19" t="s">
        <v>48</v>
      </c>
      <c r="I197" s="3" t="s">
        <v>49</v>
      </c>
      <c r="J197" s="3">
        <v>1.0</v>
      </c>
      <c r="K197" s="3" t="s">
        <v>990</v>
      </c>
      <c r="L197" s="3" t="s">
        <v>990</v>
      </c>
      <c r="M197" s="3" t="s">
        <v>2308</v>
      </c>
      <c r="N197" s="6" t="s">
        <v>2309</v>
      </c>
      <c r="O197" s="6" t="s">
        <v>2310</v>
      </c>
      <c r="P197" s="3">
        <v>5161.0</v>
      </c>
      <c r="Q197" s="7" t="s">
        <v>60</v>
      </c>
    </row>
    <row r="198">
      <c r="A198" s="32" t="s">
        <v>2304</v>
      </c>
      <c r="B198" s="3" t="s">
        <v>2305</v>
      </c>
      <c r="C198" s="19" t="s">
        <v>2306</v>
      </c>
      <c r="D198" s="3" t="s">
        <v>457</v>
      </c>
      <c r="E198" s="3" t="s">
        <v>2312</v>
      </c>
      <c r="F198" s="7" t="s">
        <v>60</v>
      </c>
      <c r="H198" s="19" t="s">
        <v>48</v>
      </c>
      <c r="I198" s="3" t="s">
        <v>49</v>
      </c>
      <c r="J198" s="3">
        <v>1.0</v>
      </c>
      <c r="K198" s="3" t="s">
        <v>990</v>
      </c>
      <c r="L198" s="3" t="s">
        <v>990</v>
      </c>
      <c r="M198" s="3" t="s">
        <v>2308</v>
      </c>
      <c r="N198" s="6" t="s">
        <v>2309</v>
      </c>
      <c r="O198" s="6" t="s">
        <v>2310</v>
      </c>
      <c r="P198" s="3">
        <v>5158.0</v>
      </c>
      <c r="Q198" s="7" t="s">
        <v>60</v>
      </c>
    </row>
    <row r="199">
      <c r="A199" s="32" t="s">
        <v>2304</v>
      </c>
      <c r="B199" s="3" t="s">
        <v>2305</v>
      </c>
      <c r="C199" s="19" t="s">
        <v>2306</v>
      </c>
      <c r="D199" s="3" t="s">
        <v>457</v>
      </c>
      <c r="E199" s="3" t="s">
        <v>2313</v>
      </c>
      <c r="F199" s="7" t="s">
        <v>60</v>
      </c>
      <c r="H199" s="19" t="s">
        <v>48</v>
      </c>
      <c r="I199" s="3" t="s">
        <v>49</v>
      </c>
      <c r="J199" s="3">
        <v>1.0</v>
      </c>
      <c r="K199" s="3" t="s">
        <v>990</v>
      </c>
      <c r="L199" s="3" t="s">
        <v>990</v>
      </c>
      <c r="M199" s="3" t="s">
        <v>2308</v>
      </c>
      <c r="N199" s="6" t="s">
        <v>2309</v>
      </c>
      <c r="O199" s="6" t="s">
        <v>2310</v>
      </c>
      <c r="P199" s="3">
        <v>5159.0</v>
      </c>
      <c r="Q199" s="7" t="s">
        <v>60</v>
      </c>
    </row>
    <row r="200">
      <c r="A200" s="32" t="s">
        <v>2304</v>
      </c>
      <c r="B200" s="3" t="s">
        <v>2305</v>
      </c>
      <c r="C200" s="19" t="s">
        <v>2306</v>
      </c>
      <c r="D200" s="3" t="s">
        <v>457</v>
      </c>
      <c r="E200" s="3" t="s">
        <v>2314</v>
      </c>
      <c r="F200" s="5">
        <v>46006.0</v>
      </c>
      <c r="G200" s="26" t="s">
        <v>214</v>
      </c>
      <c r="H200" s="15" t="s">
        <v>48</v>
      </c>
      <c r="I200" s="3" t="s">
        <v>49</v>
      </c>
      <c r="J200" s="3">
        <v>1.0</v>
      </c>
      <c r="K200" s="3" t="s">
        <v>990</v>
      </c>
      <c r="L200" s="3" t="s">
        <v>990</v>
      </c>
      <c r="M200" s="3" t="s">
        <v>2308</v>
      </c>
      <c r="N200" s="6" t="s">
        <v>2309</v>
      </c>
      <c r="O200" s="6" t="s">
        <v>2310</v>
      </c>
      <c r="P200" s="3">
        <v>5162.0</v>
      </c>
      <c r="Q200" s="3">
        <v>2.0</v>
      </c>
      <c r="R200" s="3">
        <v>383.9</v>
      </c>
    </row>
    <row r="201">
      <c r="A201" s="32" t="s">
        <v>2304</v>
      </c>
      <c r="B201" s="3" t="s">
        <v>2305</v>
      </c>
      <c r="C201" s="19" t="s">
        <v>2306</v>
      </c>
      <c r="D201" s="3" t="s">
        <v>457</v>
      </c>
      <c r="E201" s="3" t="s">
        <v>2074</v>
      </c>
      <c r="F201" s="7" t="s">
        <v>60</v>
      </c>
      <c r="H201" s="15" t="s">
        <v>48</v>
      </c>
      <c r="I201" s="3" t="s">
        <v>49</v>
      </c>
      <c r="J201" s="3">
        <v>1.0</v>
      </c>
      <c r="K201" s="3" t="s">
        <v>990</v>
      </c>
      <c r="L201" s="3" t="s">
        <v>990</v>
      </c>
      <c r="M201" s="3" t="s">
        <v>2308</v>
      </c>
      <c r="N201" s="6" t="s">
        <v>2309</v>
      </c>
      <c r="O201" s="6" t="s">
        <v>2310</v>
      </c>
      <c r="P201" s="3">
        <v>5162.0</v>
      </c>
      <c r="Q201" s="7" t="s">
        <v>60</v>
      </c>
    </row>
    <row r="202">
      <c r="A202" s="32" t="s">
        <v>2304</v>
      </c>
      <c r="B202" s="3" t="s">
        <v>2305</v>
      </c>
      <c r="C202" s="19" t="s">
        <v>2306</v>
      </c>
      <c r="D202" s="3" t="s">
        <v>457</v>
      </c>
      <c r="E202" s="3" t="s">
        <v>2069</v>
      </c>
      <c r="F202" s="7" t="s">
        <v>60</v>
      </c>
      <c r="H202" s="15" t="s">
        <v>48</v>
      </c>
      <c r="I202" s="3" t="s">
        <v>49</v>
      </c>
      <c r="J202" s="3">
        <v>1.0</v>
      </c>
      <c r="K202" s="3" t="s">
        <v>990</v>
      </c>
      <c r="L202" s="3" t="s">
        <v>990</v>
      </c>
      <c r="M202" s="3" t="s">
        <v>2308</v>
      </c>
      <c r="N202" s="6" t="s">
        <v>2309</v>
      </c>
      <c r="O202" s="6" t="s">
        <v>2310</v>
      </c>
      <c r="P202" s="3">
        <v>5164.0</v>
      </c>
      <c r="Q202" s="7" t="s">
        <v>60</v>
      </c>
    </row>
    <row r="203">
      <c r="A203" s="32" t="s">
        <v>2304</v>
      </c>
      <c r="B203" s="3" t="s">
        <v>2305</v>
      </c>
      <c r="C203" s="19" t="s">
        <v>2306</v>
      </c>
      <c r="D203" s="3" t="s">
        <v>457</v>
      </c>
      <c r="E203" s="3" t="s">
        <v>2315</v>
      </c>
      <c r="F203" s="7" t="s">
        <v>60</v>
      </c>
      <c r="H203" s="15" t="s">
        <v>48</v>
      </c>
      <c r="I203" s="3" t="s">
        <v>49</v>
      </c>
      <c r="J203" s="3">
        <v>1.0</v>
      </c>
      <c r="K203" s="3" t="s">
        <v>990</v>
      </c>
      <c r="L203" s="3" t="s">
        <v>990</v>
      </c>
      <c r="M203" s="3" t="s">
        <v>2308</v>
      </c>
      <c r="N203" s="6" t="s">
        <v>2309</v>
      </c>
      <c r="O203" s="6" t="s">
        <v>2310</v>
      </c>
      <c r="P203" s="3">
        <v>5159.0</v>
      </c>
      <c r="Q203" s="7" t="s">
        <v>60</v>
      </c>
    </row>
    <row r="204">
      <c r="A204" s="32" t="s">
        <v>2304</v>
      </c>
      <c r="B204" s="3" t="s">
        <v>2305</v>
      </c>
      <c r="C204" s="19" t="s">
        <v>2306</v>
      </c>
      <c r="D204" s="3" t="s">
        <v>457</v>
      </c>
      <c r="E204" s="3" t="s">
        <v>2316</v>
      </c>
      <c r="F204" s="7" t="s">
        <v>60</v>
      </c>
      <c r="H204" s="15" t="s">
        <v>48</v>
      </c>
      <c r="I204" s="3" t="s">
        <v>49</v>
      </c>
      <c r="J204" s="3">
        <v>1.0</v>
      </c>
      <c r="K204" s="3" t="s">
        <v>990</v>
      </c>
      <c r="L204" s="3" t="s">
        <v>990</v>
      </c>
      <c r="M204" s="3" t="s">
        <v>2308</v>
      </c>
      <c r="N204" s="6" t="s">
        <v>2309</v>
      </c>
      <c r="O204" s="6" t="s">
        <v>2310</v>
      </c>
      <c r="P204" s="3">
        <v>5158.0</v>
      </c>
      <c r="Q204" s="7" t="s">
        <v>60</v>
      </c>
    </row>
  </sheetData>
  <conditionalFormatting sqref="P196:P204">
    <cfRule type="expression" dxfId="2" priority="1">
      <formula>AND($P196&lt;&gt;"",COUNTIF(#REF!,$P196)&gt;1,COUNTIFS(#REF!,$P196,#REF!,"&lt;&gt;"&amp;$A196)&gt;0)</formula>
    </cfRule>
  </conditionalFormatting>
  <conditionalFormatting sqref="E196:E204">
    <cfRule type="expression" dxfId="0" priority="2">
      <formula>COUNTIFS(#REF!,D196,#REF!,E196,#REF!,P196)&gt;1</formula>
    </cfRule>
  </conditionalFormatting>
  <conditionalFormatting sqref="E192:E195">
    <cfRule type="expression" dxfId="0" priority="3">
      <formula>COUNTIFS(#REF!,D192,#REF!,E192,#REF!,P192)&gt;1</formula>
    </cfRule>
  </conditionalFormatting>
  <conditionalFormatting sqref="P192:P195">
    <cfRule type="expression" dxfId="2" priority="4">
      <formula>AND($P192&lt;&gt;"",COUNTIF(#REF!,$P192)&gt;1,COUNTIFS(#REF!,$P192,#REF!,"&lt;&gt;"&amp;$A192)&gt;0)</formula>
    </cfRule>
  </conditionalFormatting>
  <conditionalFormatting sqref="P175">
    <cfRule type="containsBlanks" dxfId="2" priority="5">
      <formula>LEN(TRIM(P175))=0</formula>
    </cfRule>
  </conditionalFormatting>
  <conditionalFormatting sqref="E174:E191">
    <cfRule type="expression" dxfId="0" priority="6">
      <formula>COUNTIFS(#REF!,D174,#REF!,E174,#REF!,P174)&gt;1</formula>
    </cfRule>
  </conditionalFormatting>
  <conditionalFormatting sqref="P174:P191">
    <cfRule type="expression" dxfId="2" priority="7">
      <formula>AND($P174&lt;&gt;"",COUNTIF(#REF!,$P174)&gt;1,COUNTIFS(#REF!,$P174,#REF!,"&lt;&gt;"&amp;$A174)&gt;0)</formula>
    </cfRule>
  </conditionalFormatting>
  <conditionalFormatting sqref="E170:E173">
    <cfRule type="expression" dxfId="0" priority="8">
      <formula>COUNTIFS(D$2:D977,D170,E$2:E977,E170,P$2:P977,P170)&gt;1</formula>
    </cfRule>
  </conditionalFormatting>
  <conditionalFormatting sqref="E156:E169">
    <cfRule type="expression" dxfId="0" priority="9">
      <formula>COUNTIFS(#REF!,D156,#REF!,E156,#REF!,P156)&gt;1</formula>
    </cfRule>
  </conditionalFormatting>
  <conditionalFormatting sqref="E151:E155">
    <cfRule type="expression" dxfId="0" priority="10">
      <formula>COUNTIFS(#REF!,D151,#REF!,E151,#REF!,P151)&gt;1</formula>
    </cfRule>
  </conditionalFormatting>
  <conditionalFormatting sqref="E130:E150">
    <cfRule type="expression" dxfId="0" priority="11">
      <formula>COUNTIFS(#REF!,D130,#REF!,E130,#REF!,P130)&gt;1</formula>
    </cfRule>
  </conditionalFormatting>
  <conditionalFormatting sqref="E126:E129">
    <cfRule type="expression" dxfId="0" priority="12">
      <formula>COUNTIFS(#REF!,D126,#REF!,E126,#REF!,P126)&gt;1</formula>
    </cfRule>
  </conditionalFormatting>
  <conditionalFormatting sqref="E123:E125">
    <cfRule type="expression" dxfId="0" priority="13">
      <formula>COUNTIFS(#REF!,D123,#REF!,E123,#REF!,P123)&gt;1</formula>
    </cfRule>
  </conditionalFormatting>
  <conditionalFormatting sqref="E119:E122">
    <cfRule type="expression" dxfId="0" priority="14">
      <formula>COUNTIFS(#REF!,D119,#REF!,E119,#REF!,P119)&gt;1</formula>
    </cfRule>
  </conditionalFormatting>
  <conditionalFormatting sqref="E108:E118">
    <cfRule type="expression" dxfId="0" priority="15">
      <formula>COUNTIFS(#REF!,D108,#REF!,E108,#REF!,P108)&gt;1</formula>
    </cfRule>
  </conditionalFormatting>
  <conditionalFormatting sqref="E103:E107">
    <cfRule type="expression" dxfId="0" priority="16">
      <formula>COUNTIFS(#REF!,D103,#REF!,E103,#REF!,P103)&gt;1</formula>
    </cfRule>
  </conditionalFormatting>
  <hyperlinks>
    <hyperlink r:id="rId1" ref="N17"/>
    <hyperlink r:id="rId2" ref="O17"/>
    <hyperlink r:id="rId3" ref="N21"/>
    <hyperlink r:id="rId4" ref="O21"/>
    <hyperlink r:id="rId5" ref="B25"/>
    <hyperlink r:id="rId6" ref="B26"/>
    <hyperlink r:id="rId7" ref="N32"/>
    <hyperlink r:id="rId8" ref="O32"/>
    <hyperlink r:id="rId9" ref="N33"/>
    <hyperlink r:id="rId10" ref="O33"/>
    <hyperlink r:id="rId11" ref="N34"/>
    <hyperlink r:id="rId12" ref="O34"/>
    <hyperlink r:id="rId13" ref="N35"/>
    <hyperlink r:id="rId14" ref="O35"/>
    <hyperlink r:id="rId15" ref="N43"/>
    <hyperlink r:id="rId16" ref="O43"/>
    <hyperlink r:id="rId17" ref="N44"/>
    <hyperlink r:id="rId18" ref="O44"/>
    <hyperlink r:id="rId19" ref="N45"/>
    <hyperlink r:id="rId20" ref="O45"/>
    <hyperlink r:id="rId21" ref="N46"/>
    <hyperlink r:id="rId22" ref="O46"/>
    <hyperlink r:id="rId23" ref="N47"/>
    <hyperlink r:id="rId24" ref="O47"/>
    <hyperlink r:id="rId25" ref="N48"/>
    <hyperlink r:id="rId26" ref="O48"/>
    <hyperlink r:id="rId27" ref="N49"/>
    <hyperlink r:id="rId28" ref="O49"/>
    <hyperlink r:id="rId29" ref="N50"/>
    <hyperlink r:id="rId30" ref="O50"/>
    <hyperlink r:id="rId31" ref="N51"/>
    <hyperlink r:id="rId32" ref="O51"/>
    <hyperlink r:id="rId33" ref="N52"/>
    <hyperlink r:id="rId34" ref="O52"/>
    <hyperlink r:id="rId35" ref="N53"/>
    <hyperlink r:id="rId36" ref="O53"/>
    <hyperlink r:id="rId37" ref="N54"/>
    <hyperlink r:id="rId38" ref="O54"/>
    <hyperlink r:id="rId39" ref="N55"/>
    <hyperlink r:id="rId40" ref="O55"/>
    <hyperlink r:id="rId41" ref="N56"/>
    <hyperlink r:id="rId42" ref="O56"/>
    <hyperlink r:id="rId43" ref="N57"/>
    <hyperlink r:id="rId44" ref="O57"/>
    <hyperlink r:id="rId45" ref="N58"/>
    <hyperlink r:id="rId46" ref="O58"/>
    <hyperlink r:id="rId47" ref="N59"/>
    <hyperlink r:id="rId48" ref="O59"/>
    <hyperlink r:id="rId49" ref="N60"/>
    <hyperlink r:id="rId50" ref="O60"/>
    <hyperlink r:id="rId51" ref="N61"/>
    <hyperlink r:id="rId52" ref="O61"/>
    <hyperlink r:id="rId53" ref="N62"/>
    <hyperlink r:id="rId54" ref="O62"/>
    <hyperlink r:id="rId55" ref="N63"/>
    <hyperlink r:id="rId56" ref="O63"/>
    <hyperlink r:id="rId57" ref="N64"/>
    <hyperlink r:id="rId58" ref="O64"/>
    <hyperlink r:id="rId59" ref="N65"/>
    <hyperlink r:id="rId60" ref="O65"/>
    <hyperlink r:id="rId61" ref="N66"/>
    <hyperlink r:id="rId62" ref="O66"/>
    <hyperlink r:id="rId63" ref="N67"/>
    <hyperlink r:id="rId64" ref="O67"/>
    <hyperlink r:id="rId65" ref="N68"/>
    <hyperlink r:id="rId66" ref="O68"/>
    <hyperlink r:id="rId67" ref="N69"/>
    <hyperlink r:id="rId68" ref="O69"/>
    <hyperlink r:id="rId69" ref="N70"/>
    <hyperlink r:id="rId70" ref="O70"/>
    <hyperlink r:id="rId71" ref="N71"/>
    <hyperlink r:id="rId72" ref="O71"/>
    <hyperlink r:id="rId73" ref="N72"/>
    <hyperlink r:id="rId74" ref="O72"/>
    <hyperlink r:id="rId75" ref="N73"/>
    <hyperlink r:id="rId76" ref="O73"/>
    <hyperlink r:id="rId77" ref="N74"/>
    <hyperlink r:id="rId78" ref="O74"/>
    <hyperlink r:id="rId79" ref="N75"/>
    <hyperlink r:id="rId80" ref="O75"/>
    <hyperlink r:id="rId81" ref="N76"/>
    <hyperlink r:id="rId82" ref="O76"/>
    <hyperlink r:id="rId83" ref="N77"/>
    <hyperlink r:id="rId84" ref="O77"/>
    <hyperlink r:id="rId85" ref="N78"/>
    <hyperlink r:id="rId86" ref="O78"/>
    <hyperlink r:id="rId87" ref="N79"/>
    <hyperlink r:id="rId88" ref="O79"/>
    <hyperlink r:id="rId89" ref="N80"/>
    <hyperlink r:id="rId90" ref="O80"/>
    <hyperlink r:id="rId91" ref="N81"/>
    <hyperlink r:id="rId92" ref="O81"/>
    <hyperlink r:id="rId93" ref="N82"/>
    <hyperlink r:id="rId94" ref="O82"/>
    <hyperlink r:id="rId95" ref="N83"/>
    <hyperlink r:id="rId96" ref="O83"/>
    <hyperlink r:id="rId97" ref="N84"/>
    <hyperlink r:id="rId98" ref="O84"/>
    <hyperlink r:id="rId99" ref="N85"/>
    <hyperlink r:id="rId100" ref="O85"/>
    <hyperlink r:id="rId101" ref="N86"/>
    <hyperlink r:id="rId102" ref="O86"/>
    <hyperlink r:id="rId103" ref="N87"/>
    <hyperlink r:id="rId104" ref="O87"/>
    <hyperlink r:id="rId105" ref="N88"/>
    <hyperlink r:id="rId106" ref="O88"/>
    <hyperlink r:id="rId107" ref="N89"/>
    <hyperlink r:id="rId108" ref="O89"/>
    <hyperlink r:id="rId109" ref="N90"/>
    <hyperlink r:id="rId110" ref="O90"/>
    <hyperlink r:id="rId111" ref="N91"/>
    <hyperlink r:id="rId112" ref="O91"/>
    <hyperlink r:id="rId113" ref="N92"/>
    <hyperlink r:id="rId114" ref="O92"/>
    <hyperlink r:id="rId115" ref="N93"/>
    <hyperlink r:id="rId116" ref="O93"/>
    <hyperlink r:id="rId117" ref="N94"/>
    <hyperlink r:id="rId118" ref="O94"/>
    <hyperlink r:id="rId119" ref="N95"/>
    <hyperlink r:id="rId120" ref="O95"/>
    <hyperlink r:id="rId121" ref="N96"/>
    <hyperlink r:id="rId122" ref="O96"/>
    <hyperlink r:id="rId123" ref="N97"/>
    <hyperlink r:id="rId124" ref="O97"/>
    <hyperlink r:id="rId125" ref="N98"/>
    <hyperlink r:id="rId126" ref="O98"/>
    <hyperlink r:id="rId127" ref="N99"/>
    <hyperlink r:id="rId128" ref="O99"/>
    <hyperlink r:id="rId129" ref="N100"/>
    <hyperlink r:id="rId130" ref="O100"/>
    <hyperlink r:id="rId131" ref="N101"/>
    <hyperlink r:id="rId132" ref="O101"/>
    <hyperlink r:id="rId133" ref="N102"/>
    <hyperlink r:id="rId134" ref="O102"/>
    <hyperlink r:id="rId135" ref="N103"/>
    <hyperlink r:id="rId136" ref="O103"/>
    <hyperlink r:id="rId137" ref="N104"/>
    <hyperlink r:id="rId138" ref="O104"/>
    <hyperlink r:id="rId139" ref="N105"/>
    <hyperlink r:id="rId140" ref="O105"/>
    <hyperlink r:id="rId141" ref="N106"/>
    <hyperlink r:id="rId142" ref="O106"/>
    <hyperlink r:id="rId143" ref="N107"/>
    <hyperlink r:id="rId144" ref="O107"/>
    <hyperlink r:id="rId145" ref="N108"/>
    <hyperlink r:id="rId146" ref="O108"/>
    <hyperlink r:id="rId147" ref="N109"/>
    <hyperlink r:id="rId148" ref="O109"/>
    <hyperlink r:id="rId149" ref="N110"/>
    <hyperlink r:id="rId150" ref="O110"/>
    <hyperlink r:id="rId151" ref="N111"/>
    <hyperlink r:id="rId152" ref="O111"/>
    <hyperlink r:id="rId153" ref="N112"/>
    <hyperlink r:id="rId154" ref="O112"/>
    <hyperlink r:id="rId155" ref="N113"/>
    <hyperlink r:id="rId156" ref="O113"/>
    <hyperlink r:id="rId157" ref="N114"/>
    <hyperlink r:id="rId158" ref="O114"/>
    <hyperlink r:id="rId159" ref="N115"/>
    <hyperlink r:id="rId160" ref="O115"/>
    <hyperlink r:id="rId161" ref="N116"/>
    <hyperlink r:id="rId162" ref="O116"/>
    <hyperlink r:id="rId163" ref="N117"/>
    <hyperlink r:id="rId164" ref="O117"/>
    <hyperlink r:id="rId165" ref="N118"/>
    <hyperlink r:id="rId166" ref="O118"/>
    <hyperlink r:id="rId167" ref="N119"/>
    <hyperlink r:id="rId168" ref="O119"/>
    <hyperlink r:id="rId169" ref="N120"/>
    <hyperlink r:id="rId170" ref="O120"/>
    <hyperlink r:id="rId171" ref="N121"/>
    <hyperlink r:id="rId172" ref="O121"/>
    <hyperlink r:id="rId173" ref="N122"/>
    <hyperlink r:id="rId174" ref="O122"/>
    <hyperlink r:id="rId175" ref="N123"/>
    <hyperlink r:id="rId176" ref="O123"/>
    <hyperlink r:id="rId177" ref="N124"/>
    <hyperlink r:id="rId178" ref="O124"/>
    <hyperlink r:id="rId179" ref="N125"/>
    <hyperlink r:id="rId180" ref="O125"/>
    <hyperlink r:id="rId181" ref="N126"/>
    <hyperlink r:id="rId182" ref="O126"/>
    <hyperlink r:id="rId183" ref="N127"/>
    <hyperlink r:id="rId184" ref="O127"/>
    <hyperlink r:id="rId185" ref="N128"/>
    <hyperlink r:id="rId186" ref="O128"/>
    <hyperlink r:id="rId187" ref="N129"/>
    <hyperlink r:id="rId188" ref="O129"/>
    <hyperlink r:id="rId189" ref="N130"/>
    <hyperlink r:id="rId190" ref="O130"/>
    <hyperlink r:id="rId191" ref="N131"/>
    <hyperlink r:id="rId192" ref="O131"/>
    <hyperlink r:id="rId193" ref="N132"/>
    <hyperlink r:id="rId194" ref="O132"/>
    <hyperlink r:id="rId195" ref="N133"/>
    <hyperlink r:id="rId196" ref="O133"/>
    <hyperlink r:id="rId197" ref="N134"/>
    <hyperlink r:id="rId198" ref="O134"/>
    <hyperlink r:id="rId199" ref="N135"/>
    <hyperlink r:id="rId200" ref="O135"/>
    <hyperlink r:id="rId201" ref="N136"/>
    <hyperlink r:id="rId202" ref="O136"/>
    <hyperlink r:id="rId203" ref="N137"/>
    <hyperlink r:id="rId204" ref="O137"/>
    <hyperlink r:id="rId205" ref="N138"/>
    <hyperlink r:id="rId206" ref="O138"/>
    <hyperlink r:id="rId207" ref="N139"/>
    <hyperlink r:id="rId208" ref="O139"/>
    <hyperlink r:id="rId209" ref="N140"/>
    <hyperlink r:id="rId210" ref="O140"/>
    <hyperlink r:id="rId211" ref="N141"/>
    <hyperlink r:id="rId212" ref="O141"/>
    <hyperlink r:id="rId213" ref="N142"/>
    <hyperlink r:id="rId214" ref="O142"/>
    <hyperlink r:id="rId215" ref="N143"/>
    <hyperlink r:id="rId216" ref="O143"/>
    <hyperlink r:id="rId217" ref="N144"/>
    <hyperlink r:id="rId218" ref="O144"/>
    <hyperlink r:id="rId219" ref="N145"/>
    <hyperlink r:id="rId220" ref="O145"/>
    <hyperlink r:id="rId221" ref="N146"/>
    <hyperlink r:id="rId222" ref="O146"/>
    <hyperlink r:id="rId223" ref="N147"/>
    <hyperlink r:id="rId224" ref="O147"/>
    <hyperlink r:id="rId225" ref="N148"/>
    <hyperlink r:id="rId226" ref="O148"/>
    <hyperlink r:id="rId227" ref="N149"/>
    <hyperlink r:id="rId228" ref="O149"/>
    <hyperlink r:id="rId229" ref="N150"/>
    <hyperlink r:id="rId230" ref="O150"/>
    <hyperlink r:id="rId231" ref="N151"/>
    <hyperlink r:id="rId232" ref="O151"/>
    <hyperlink r:id="rId233" ref="N152"/>
    <hyperlink r:id="rId234" ref="O152"/>
    <hyperlink r:id="rId235" ref="N153"/>
    <hyperlink r:id="rId236" ref="O153"/>
    <hyperlink r:id="rId237" ref="N154"/>
    <hyperlink r:id="rId238" ref="O154"/>
    <hyperlink r:id="rId239" ref="N155"/>
    <hyperlink r:id="rId240" ref="O155"/>
    <hyperlink r:id="rId241" ref="N156"/>
    <hyperlink r:id="rId242" ref="O156"/>
    <hyperlink r:id="rId243" ref="N157"/>
    <hyperlink r:id="rId244" ref="O157"/>
    <hyperlink r:id="rId245" ref="N158"/>
    <hyperlink r:id="rId246" ref="O158"/>
    <hyperlink r:id="rId247" ref="N159"/>
    <hyperlink r:id="rId248" ref="O159"/>
    <hyperlink r:id="rId249" ref="N160"/>
    <hyperlink r:id="rId250" ref="O160"/>
    <hyperlink r:id="rId251" ref="N161"/>
    <hyperlink r:id="rId252" ref="O161"/>
    <hyperlink r:id="rId253" ref="N162"/>
    <hyperlink r:id="rId254" ref="O162"/>
    <hyperlink r:id="rId255" ref="N163"/>
    <hyperlink r:id="rId256" ref="O163"/>
    <hyperlink r:id="rId257" ref="N164"/>
    <hyperlink r:id="rId258" ref="O164"/>
    <hyperlink r:id="rId259" ref="N165"/>
    <hyperlink r:id="rId260" ref="O165"/>
    <hyperlink r:id="rId261" ref="N166"/>
    <hyperlink r:id="rId262" ref="O166"/>
    <hyperlink r:id="rId263" ref="N167"/>
    <hyperlink r:id="rId264" ref="O167"/>
    <hyperlink r:id="rId265" ref="N168"/>
    <hyperlink r:id="rId266" ref="O168"/>
    <hyperlink r:id="rId267" ref="N169"/>
    <hyperlink r:id="rId268" ref="O169"/>
    <hyperlink r:id="rId269" ref="N170"/>
    <hyperlink r:id="rId270" ref="O170"/>
    <hyperlink r:id="rId271" ref="N171"/>
    <hyperlink r:id="rId272" ref="O171"/>
    <hyperlink r:id="rId273" ref="N172"/>
    <hyperlink r:id="rId274" ref="O172"/>
    <hyperlink r:id="rId275" ref="N173"/>
    <hyperlink r:id="rId276" ref="O173"/>
    <hyperlink r:id="rId277" ref="N174"/>
    <hyperlink r:id="rId278" ref="O174"/>
    <hyperlink r:id="rId279" ref="N175"/>
    <hyperlink r:id="rId280" ref="O175"/>
    <hyperlink r:id="rId281" ref="N176"/>
    <hyperlink r:id="rId282" ref="O176"/>
    <hyperlink r:id="rId283" ref="N177"/>
    <hyperlink r:id="rId284" ref="O177"/>
    <hyperlink r:id="rId285" ref="N178"/>
    <hyperlink r:id="rId286" ref="O178"/>
    <hyperlink r:id="rId287" ref="N179"/>
    <hyperlink r:id="rId288" ref="O179"/>
    <hyperlink r:id="rId289" ref="N180"/>
    <hyperlink r:id="rId290" ref="O180"/>
    <hyperlink r:id="rId291" ref="N181"/>
    <hyperlink r:id="rId292" ref="O181"/>
    <hyperlink r:id="rId293" ref="N182"/>
    <hyperlink r:id="rId294" ref="O182"/>
    <hyperlink r:id="rId295" ref="N183"/>
    <hyperlink r:id="rId296" ref="O183"/>
    <hyperlink r:id="rId297" ref="N184"/>
    <hyperlink r:id="rId298" ref="O184"/>
    <hyperlink r:id="rId299" ref="N185"/>
    <hyperlink r:id="rId300" ref="O185"/>
    <hyperlink r:id="rId301" ref="N186"/>
    <hyperlink r:id="rId302" ref="O186"/>
    <hyperlink r:id="rId303" ref="N187"/>
    <hyperlink r:id="rId304" ref="O187"/>
    <hyperlink r:id="rId305" ref="N188"/>
    <hyperlink r:id="rId306" ref="O188"/>
    <hyperlink r:id="rId307" ref="N189"/>
    <hyperlink r:id="rId308" ref="O189"/>
    <hyperlink r:id="rId309" ref="N190"/>
    <hyperlink r:id="rId310" ref="O190"/>
    <hyperlink r:id="rId311" ref="N191"/>
    <hyperlink r:id="rId312" ref="O191"/>
    <hyperlink r:id="rId313" ref="N192"/>
    <hyperlink r:id="rId314" ref="O192"/>
    <hyperlink r:id="rId315" ref="N193"/>
    <hyperlink r:id="rId316" ref="O193"/>
    <hyperlink r:id="rId317" ref="N194"/>
    <hyperlink r:id="rId318" ref="O194"/>
    <hyperlink r:id="rId319" ref="N195"/>
    <hyperlink r:id="rId320" ref="O195"/>
    <hyperlink r:id="rId321" ref="N196"/>
    <hyperlink r:id="rId322" ref="O196"/>
    <hyperlink r:id="rId323" ref="N197"/>
    <hyperlink r:id="rId324" ref="O197"/>
    <hyperlink r:id="rId325" ref="N198"/>
    <hyperlink r:id="rId326" ref="O198"/>
    <hyperlink r:id="rId327" ref="N199"/>
    <hyperlink r:id="rId328" ref="O199"/>
    <hyperlink r:id="rId329" ref="N200"/>
    <hyperlink r:id="rId330" ref="O200"/>
    <hyperlink r:id="rId331" ref="N201"/>
    <hyperlink r:id="rId332" ref="O201"/>
    <hyperlink r:id="rId333" ref="N202"/>
    <hyperlink r:id="rId334" ref="O202"/>
    <hyperlink r:id="rId335" ref="N203"/>
    <hyperlink r:id="rId336" ref="O203"/>
    <hyperlink r:id="rId337" ref="N204"/>
    <hyperlink r:id="rId338" ref="O204"/>
  </hyperlinks>
  <drawing r:id="rId33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38"/>
    <col customWidth="1" min="3" max="3" width="14.0"/>
    <col customWidth="1" min="4" max="4" width="17.38"/>
    <col customWidth="1" min="5" max="5" width="16.75"/>
    <col customWidth="1" min="6" max="6" width="17.38"/>
    <col customWidth="1" min="7" max="7" width="15.88"/>
    <col customWidth="1" min="8" max="8" width="16.13"/>
    <col customWidth="1" min="9" max="9" width="13.38"/>
    <col customWidth="1" min="10" max="10" width="16.25"/>
    <col customWidth="1" min="11" max="11" width="15.0"/>
    <col customWidth="1" min="12" max="12" width="13.75"/>
    <col customWidth="1" min="13" max="13" width="14.38"/>
    <col customWidth="1" min="14" max="14" width="14.0"/>
    <col customWidth="1" min="15" max="15" width="14.5"/>
    <col customWidth="1" min="16" max="16" width="14.88"/>
    <col customWidth="1" min="17" max="17" width="14.5"/>
    <col customWidth="1" min="18" max="18" width="11.25"/>
    <col customWidth="1" min="19" max="19" width="13.25"/>
    <col customWidth="1" min="20" max="20" width="13.13"/>
    <col customWidth="1" min="21" max="21" width="14.5"/>
    <col customWidth="1" min="22" max="22" width="12.38"/>
    <col customWidth="1" min="23" max="23" width="10.13"/>
    <col customWidth="1" min="24" max="24" width="14.63"/>
    <col customWidth="1" min="25" max="25" width="10.0"/>
    <col customWidth="1" min="26" max="26" width="14.13"/>
    <col customWidth="1" min="27" max="27" width="11.88"/>
    <col customWidth="1" min="28" max="28" width="11.13"/>
    <col customWidth="1" min="29" max="29" width="10.75"/>
    <col customWidth="1" min="30" max="30" width="13.5"/>
    <col customWidth="1" min="31" max="31" width="10.38"/>
    <col customWidth="1" min="32" max="32" width="14.88"/>
    <col customWidth="1" min="33" max="33" width="12.75"/>
    <col customWidth="1" min="34" max="34" width="14.88"/>
    <col customWidth="1" min="35" max="35" width="10.88"/>
    <col customWidth="1" min="36" max="36" width="11.63"/>
    <col customWidth="1" min="37" max="37" width="9.13"/>
    <col customWidth="1" min="38" max="38" width="11.63"/>
    <col customWidth="1" min="39" max="39" width="9.13"/>
    <col customWidth="1" min="40" max="40" width="9.63"/>
    <col customWidth="1" min="41" max="41" width="9.13"/>
    <col customWidth="1" min="42" max="42" width="11.63"/>
    <col customWidth="1" min="43" max="43" width="10.13"/>
  </cols>
  <sheetData>
    <row r="1">
      <c r="A1" s="88" t="str">
        <f>IFERROR(__xludf.DUMMYFUNCTION("ARRAYFORMULA(LET(allRows,FILTER({Sheet1!D2:D1000,Sheet1!A2:A1000,Sheet1!E2:E1000},Sheet1!D2:D1000&lt;&gt;"""",Sheet1!A2:A1000&lt;&gt;"""",Sheet1!E2:E1000&lt;&gt;""""),heroData,FILTER({Sheet1!D2:D1000&amp;""♦""&amp;Sheet1!A2:A1000,Sheet1!D2:D1000,Sheet1!A2:A1000,Sheet1!B2:B1000,She"&amp;"et1!M2:M1000},ISNUMBER(Sheet1!F2:F1000),Sheet1!D2:D1000&lt;&gt;"""",Sheet1!A2:A1000&lt;&gt;""""),heroKeys,UNIQUE(INDEX(heroData,,1)),st,INDEX(SPLIT(heroKeys,""♦""),,1),nm,INDEX(SPLIT(heroKeys,""♦""),,2),emails,IFNA(VLOOKUP(heroKeys,{INDEX(heroData,,1),INDEX(heroData,"&amp;",4)},2,FALSE),""""),agencies,IFNA(VLOOKUP(heroKeys,{INDEX(heroData,,1),INDEX(heroData,,5)},2,FALSE),""""),subs,MAP(heroKeys,LAMBDA(k,TEXTJOIN(""♦"",TRUE,UNIQUE(FILTER(INDEX(allRows,,3),INDEX(allRows,,1)&amp;""♦""&amp;INDEX(allRows,,2)=k))))),maxN,MAX(LEN(subs)-LE"&amp;"N(SUBSTITUTE(subs,""♦"",""""))+1),header,HSTACK(""#"",""State"",""Name"",""Email"",""Agency"",MAP(SEQUENCE(1,maxN),LAMBDA(n,""Suburb ""&amp;n))),subTable,IFERROR(SPLIT(subs,""♦""),MAKEARRAY(ROWS(heroKeys),maxN,LAMBDA(r,c,""""))),body,SORT(HSTACK(st,nm,emails,"&amp;"agencies,subTable),1,TRUE,2,TRUE),blank,MAKEARRAY(1,COLUMNS(body),LAMBDA(r,c,"""")),out,IF(ROWS(body)=0,body,REDUCE(INDEX(body,1,0),SEQUENCE(ROWS(body)-1,1,2,1),LAMBDA(acc,r,LET(prev,INDEX(body,r-1,1),curr,INDEX(body,r,1),row,INDEX(body,r,0),IF(curr&lt;&gt;prev"&amp;",VSTACK(acc,blank,row),VSTACK(acc,row)))))),stateCol,INDEX(out,,1),rawCount,SCAN(0,SEQUENCE(ROWS(out)),LAMBDA(acc,r,LET(curr,INDEX(stateCol,r,1),IF(curr="""",acc,acc+1)))),numberedOut,MAP(SEQUENCE(ROWS(out)),LAMBDA(r,IF(INDEX(stateCol,r,1)="""","""",INDEX"&amp;"(rawCount,r,1)))),VSTACK(header,HSTACK(numberedOut,out))))"),"#")</f>
        <v>#</v>
      </c>
      <c r="B1" s="89" t="str">
        <f>IFERROR(__xludf.DUMMYFUNCTION("""COMPUTED_VALUE"""),"State")</f>
        <v>State</v>
      </c>
      <c r="C1" s="89" t="str">
        <f>IFERROR(__xludf.DUMMYFUNCTION("""COMPUTED_VALUE"""),"Name")</f>
        <v>Name</v>
      </c>
      <c r="D1" s="89" t="str">
        <f>IFERROR(__xludf.DUMMYFUNCTION("""COMPUTED_VALUE"""),"Email")</f>
        <v>Email</v>
      </c>
      <c r="E1" s="89" t="str">
        <f>IFERROR(__xludf.DUMMYFUNCTION("""COMPUTED_VALUE"""),"Agency")</f>
        <v>Agency</v>
      </c>
      <c r="F1" s="89" t="str">
        <f>IFERROR(__xludf.DUMMYFUNCTION("""COMPUTED_VALUE"""),"Suburb 1")</f>
        <v>Suburb 1</v>
      </c>
      <c r="G1" s="89" t="str">
        <f>IFERROR(__xludf.DUMMYFUNCTION("""COMPUTED_VALUE"""),"Suburb 2")</f>
        <v>Suburb 2</v>
      </c>
      <c r="H1" s="89" t="str">
        <f>IFERROR(__xludf.DUMMYFUNCTION("""COMPUTED_VALUE"""),"Suburb 3")</f>
        <v>Suburb 3</v>
      </c>
      <c r="I1" s="89" t="str">
        <f>IFERROR(__xludf.DUMMYFUNCTION("""COMPUTED_VALUE"""),"Suburb 4")</f>
        <v>Suburb 4</v>
      </c>
      <c r="J1" s="89" t="str">
        <f>IFERROR(__xludf.DUMMYFUNCTION("""COMPUTED_VALUE"""),"Suburb 5")</f>
        <v>Suburb 5</v>
      </c>
      <c r="K1" s="89" t="str">
        <f>IFERROR(__xludf.DUMMYFUNCTION("""COMPUTED_VALUE"""),"Suburb 6")</f>
        <v>Suburb 6</v>
      </c>
      <c r="L1" s="89" t="str">
        <f>IFERROR(__xludf.DUMMYFUNCTION("""COMPUTED_VALUE"""),"Suburb 7")</f>
        <v>Suburb 7</v>
      </c>
      <c r="M1" s="89" t="str">
        <f>IFERROR(__xludf.DUMMYFUNCTION("""COMPUTED_VALUE"""),"Suburb 8")</f>
        <v>Suburb 8</v>
      </c>
      <c r="N1" s="89" t="str">
        <f>IFERROR(__xludf.DUMMYFUNCTION("""COMPUTED_VALUE"""),"Suburb 9")</f>
        <v>Suburb 9</v>
      </c>
      <c r="O1" s="89" t="str">
        <f>IFERROR(__xludf.DUMMYFUNCTION("""COMPUTED_VALUE"""),"Suburb 10")</f>
        <v>Suburb 10</v>
      </c>
      <c r="P1" s="89" t="str">
        <f>IFERROR(__xludf.DUMMYFUNCTION("""COMPUTED_VALUE"""),"Suburb 11")</f>
        <v>Suburb 11</v>
      </c>
      <c r="Q1" s="89" t="str">
        <f>IFERROR(__xludf.DUMMYFUNCTION("""COMPUTED_VALUE"""),"Suburb 12")</f>
        <v>Suburb 12</v>
      </c>
      <c r="R1" s="89" t="str">
        <f>IFERROR(__xludf.DUMMYFUNCTION("""COMPUTED_VALUE"""),"Suburb 13")</f>
        <v>Suburb 13</v>
      </c>
      <c r="S1" s="89" t="str">
        <f>IFERROR(__xludf.DUMMYFUNCTION("""COMPUTED_VALUE"""),"Suburb 14")</f>
        <v>Suburb 14</v>
      </c>
      <c r="T1" s="89" t="str">
        <f>IFERROR(__xludf.DUMMYFUNCTION("""COMPUTED_VALUE"""),"Suburb 15")</f>
        <v>Suburb 15</v>
      </c>
      <c r="U1" s="89" t="str">
        <f>IFERROR(__xludf.DUMMYFUNCTION("""COMPUTED_VALUE"""),"Suburb 16")</f>
        <v>Suburb 16</v>
      </c>
      <c r="V1" s="89" t="str">
        <f>IFERROR(__xludf.DUMMYFUNCTION("""COMPUTED_VALUE"""),"Suburb 17")</f>
        <v>Suburb 17</v>
      </c>
      <c r="W1" s="89" t="str">
        <f>IFERROR(__xludf.DUMMYFUNCTION("""COMPUTED_VALUE"""),"Suburb 18")</f>
        <v>Suburb 18</v>
      </c>
      <c r="X1" s="89" t="str">
        <f>IFERROR(__xludf.DUMMYFUNCTION("""COMPUTED_VALUE"""),"Suburb 19")</f>
        <v>Suburb 19</v>
      </c>
      <c r="Y1" s="89" t="str">
        <f>IFERROR(__xludf.DUMMYFUNCTION("""COMPUTED_VALUE"""),"Suburb 20")</f>
        <v>Suburb 20</v>
      </c>
      <c r="Z1" s="89" t="str">
        <f>IFERROR(__xludf.DUMMYFUNCTION("""COMPUTED_VALUE"""),"Suburb 21")</f>
        <v>Suburb 21</v>
      </c>
      <c r="AA1" s="89" t="str">
        <f>IFERROR(__xludf.DUMMYFUNCTION("""COMPUTED_VALUE"""),"Suburb 22")</f>
        <v>Suburb 22</v>
      </c>
      <c r="AB1" s="89" t="str">
        <f>IFERROR(__xludf.DUMMYFUNCTION("""COMPUTED_VALUE"""),"Suburb 23")</f>
        <v>Suburb 23</v>
      </c>
      <c r="AC1" s="89" t="str">
        <f>IFERROR(__xludf.DUMMYFUNCTION("""COMPUTED_VALUE"""),"Suburb 24")</f>
        <v>Suburb 24</v>
      </c>
      <c r="AD1" s="89" t="str">
        <f>IFERROR(__xludf.DUMMYFUNCTION("""COMPUTED_VALUE"""),"Suburb 25")</f>
        <v>Suburb 25</v>
      </c>
      <c r="AE1" s="89" t="str">
        <f>IFERROR(__xludf.DUMMYFUNCTION("""COMPUTED_VALUE"""),"Suburb 26")</f>
        <v>Suburb 26</v>
      </c>
      <c r="AF1" s="89" t="str">
        <f>IFERROR(__xludf.DUMMYFUNCTION("""COMPUTED_VALUE"""),"Suburb 27")</f>
        <v>Suburb 27</v>
      </c>
      <c r="AG1" s="89" t="str">
        <f>IFERROR(__xludf.DUMMYFUNCTION("""COMPUTED_VALUE"""),"Suburb 28")</f>
        <v>Suburb 28</v>
      </c>
      <c r="AH1" s="89" t="str">
        <f>IFERROR(__xludf.DUMMYFUNCTION("""COMPUTED_VALUE"""),"Suburb 29")</f>
        <v>Suburb 29</v>
      </c>
      <c r="AI1" s="89" t="str">
        <f>IFERROR(__xludf.DUMMYFUNCTION("""COMPUTED_VALUE"""),"Suburb 30")</f>
        <v>Suburb 30</v>
      </c>
      <c r="AJ1" s="89" t="str">
        <f>IFERROR(__xludf.DUMMYFUNCTION("""COMPUTED_VALUE"""),"Suburb 31")</f>
        <v>Suburb 31</v>
      </c>
      <c r="AK1" s="89" t="str">
        <f>IFERROR(__xludf.DUMMYFUNCTION("""COMPUTED_VALUE"""),"Suburb 32")</f>
        <v>Suburb 32</v>
      </c>
      <c r="AL1" s="89" t="str">
        <f>IFERROR(__xludf.DUMMYFUNCTION("""COMPUTED_VALUE"""),"Suburb 33")</f>
        <v>Suburb 33</v>
      </c>
      <c r="AM1" s="89" t="str">
        <f>IFERROR(__xludf.DUMMYFUNCTION("""COMPUTED_VALUE"""),"Suburb 34")</f>
        <v>Suburb 34</v>
      </c>
      <c r="AN1" s="89" t="str">
        <f>IFERROR(__xludf.DUMMYFUNCTION("""COMPUTED_VALUE"""),"Suburb 35")</f>
        <v>Suburb 35</v>
      </c>
      <c r="AO1" s="89" t="str">
        <f>IFERROR(__xludf.DUMMYFUNCTION("""COMPUTED_VALUE"""),"Suburb 36")</f>
        <v>Suburb 36</v>
      </c>
      <c r="AP1" s="89" t="str">
        <f>IFERROR(__xludf.DUMMYFUNCTION("""COMPUTED_VALUE"""),"Suburb 37")</f>
        <v>Suburb 37</v>
      </c>
      <c r="AQ1" s="89" t="str">
        <f>IFERROR(__xludf.DUMMYFUNCTION("""COMPUTED_VALUE"""),"Suburb 38")</f>
        <v>Suburb 38</v>
      </c>
      <c r="AR1" s="89" t="str">
        <f>IFERROR(__xludf.DUMMYFUNCTION("""COMPUTED_VALUE"""),"Suburb 39")</f>
        <v>Suburb 39</v>
      </c>
      <c r="AS1" s="89" t="str">
        <f>IFERROR(__xludf.DUMMYFUNCTION("""COMPUTED_VALUE"""),"Suburb 40")</f>
        <v>Suburb 40</v>
      </c>
      <c r="AT1" s="89" t="str">
        <f>IFERROR(__xludf.DUMMYFUNCTION("""COMPUTED_VALUE"""),"Suburb 41")</f>
        <v>Suburb 41</v>
      </c>
      <c r="AU1" s="89" t="str">
        <f>IFERROR(__xludf.DUMMYFUNCTION("""COMPUTED_VALUE"""),"Suburb 42")</f>
        <v>Suburb 42</v>
      </c>
      <c r="AV1" s="89" t="str">
        <f>IFERROR(__xludf.DUMMYFUNCTION("""COMPUTED_VALUE"""),"Suburb 43")</f>
        <v>Suburb 43</v>
      </c>
      <c r="AW1" s="89" t="str">
        <f>IFERROR(__xludf.DUMMYFUNCTION("""COMPUTED_VALUE"""),"Suburb 44")</f>
        <v>Suburb 44</v>
      </c>
      <c r="AX1" s="89" t="str">
        <f>IFERROR(__xludf.DUMMYFUNCTION("""COMPUTED_VALUE"""),"Suburb 45")</f>
        <v>Suburb 45</v>
      </c>
      <c r="AY1" s="89" t="str">
        <f>IFERROR(__xludf.DUMMYFUNCTION("""COMPUTED_VALUE"""),"Suburb 46")</f>
        <v>Suburb 46</v>
      </c>
      <c r="AZ1" s="89" t="str">
        <f>IFERROR(__xludf.DUMMYFUNCTION("""COMPUTED_VALUE"""),"Suburb 47")</f>
        <v>Suburb 47</v>
      </c>
      <c r="BA1" s="89" t="str">
        <f>IFERROR(__xludf.DUMMYFUNCTION("""COMPUTED_VALUE"""),"Suburb 48")</f>
        <v>Suburb 48</v>
      </c>
      <c r="BB1" s="89" t="str">
        <f>IFERROR(__xludf.DUMMYFUNCTION("""COMPUTED_VALUE"""),"Suburb 49")</f>
        <v>Suburb 49</v>
      </c>
      <c r="BC1" s="89" t="str">
        <f>IFERROR(__xludf.DUMMYFUNCTION("""COMPUTED_VALUE"""),"Suburb 50")</f>
        <v>Suburb 50</v>
      </c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89"/>
      <c r="BY1" s="89"/>
      <c r="BZ1" s="89"/>
      <c r="CA1" s="89"/>
      <c r="CB1" s="89"/>
      <c r="CC1" s="89"/>
      <c r="CD1" s="89"/>
      <c r="CE1" s="89"/>
      <c r="CF1" s="89"/>
      <c r="CG1" s="89"/>
      <c r="CH1" s="89"/>
      <c r="CI1" s="89"/>
      <c r="CJ1" s="89"/>
      <c r="CK1" s="89"/>
      <c r="CL1" s="89"/>
      <c r="CM1" s="89"/>
      <c r="CN1" s="89"/>
      <c r="CO1" s="89"/>
      <c r="CP1" s="89"/>
      <c r="CQ1" s="89"/>
      <c r="CR1" s="89"/>
      <c r="CS1" s="89"/>
      <c r="CT1" s="89"/>
    </row>
    <row r="2">
      <c r="A2" s="88">
        <f>IFERROR(__xludf.DUMMYFUNCTION("""COMPUTED_VALUE"""),1.0)</f>
        <v>1</v>
      </c>
      <c r="B2" s="31" t="str">
        <f>IFERROR(__xludf.DUMMYFUNCTION("""COMPUTED_VALUE"""),"NSW")</f>
        <v>NSW</v>
      </c>
      <c r="C2" s="31" t="str">
        <f>IFERROR(__xludf.DUMMYFUNCTION("""COMPUTED_VALUE"""),"Adam Blackmore")</f>
        <v>Adam Blackmore</v>
      </c>
      <c r="D2" s="31" t="str">
        <f>IFERROR(__xludf.DUMMYFUNCTION("""COMPUTED_VALUE"""),"adamblackmore@mcneice.com.au")</f>
        <v>adamblackmore@mcneice.com.au</v>
      </c>
      <c r="E2" s="31" t="str">
        <f>IFERROR(__xludf.DUMMYFUNCTION("""COMPUTED_VALUE"""),"McNeice X")</f>
        <v>McNeice X</v>
      </c>
      <c r="F2" s="31" t="str">
        <f>IFERROR(__xludf.DUMMYFUNCTION("""COMPUTED_VALUE"""),"Woonona")</f>
        <v>Woonona</v>
      </c>
      <c r="G2" s="31" t="str">
        <f>IFERROR(__xludf.DUMMYFUNCTION("""COMPUTED_VALUE"""),"Bulli")</f>
        <v>Bulli</v>
      </c>
      <c r="H2" s="31" t="str">
        <f>IFERROR(__xludf.DUMMYFUNCTION("""COMPUTED_VALUE"""),"Russell Vale")</f>
        <v>Russell Vale</v>
      </c>
      <c r="I2" s="31" t="str">
        <f>IFERROR(__xludf.DUMMYFUNCTION("""COMPUTED_VALUE"""),"Tarrawanna")</f>
        <v>Tarrawanna</v>
      </c>
      <c r="J2" s="31" t="str">
        <f>IFERROR(__xludf.DUMMYFUNCTION("""COMPUTED_VALUE"""),"Corrimal")</f>
        <v>Corrimal</v>
      </c>
      <c r="K2" s="31" t="str">
        <f>IFERROR(__xludf.DUMMYFUNCTION("""COMPUTED_VALUE"""),"East Corrimal")</f>
        <v>East Corrimal</v>
      </c>
      <c r="L2" s="31" t="str">
        <f>IFERROR(__xludf.DUMMYFUNCTION("""COMPUTED_VALUE"""),"Bellambi")</f>
        <v>Bellambi</v>
      </c>
      <c r="M2" s="31" t="str">
        <f>IFERROR(__xludf.DUMMYFUNCTION("""COMPUTED_VALUE"""),"Thirroul")</f>
        <v>Thirroul</v>
      </c>
      <c r="N2" s="31" t="str">
        <f>IFERROR(__xludf.DUMMYFUNCTION("""COMPUTED_VALUE"""),"Towradgi")</f>
        <v>Towradgi</v>
      </c>
      <c r="O2" s="31" t="str">
        <f>IFERROR(__xludf.DUMMYFUNCTION("""COMPUTED_VALUE"""),"Coledale")</f>
        <v>Coledale</v>
      </c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</row>
    <row r="3">
      <c r="A3" s="88">
        <f>IFERROR(__xludf.DUMMYFUNCTION("""COMPUTED_VALUE"""),2.0)</f>
        <v>2</v>
      </c>
      <c r="B3" s="31" t="str">
        <f>IFERROR(__xludf.DUMMYFUNCTION("""COMPUTED_VALUE"""),"NSW")</f>
        <v>NSW</v>
      </c>
      <c r="C3" s="31" t="str">
        <f>IFERROR(__xludf.DUMMYFUNCTION("""COMPUTED_VALUE"""),"Adrian Venturi")</f>
        <v>Adrian Venturi</v>
      </c>
      <c r="D3" s="31" t="str">
        <f>IFERROR(__xludf.DUMMYFUNCTION("""COMPUTED_VALUE"""),"adrianventuri@mcgrath.com.au")</f>
        <v>adrianventuri@mcgrath.com.au</v>
      </c>
      <c r="E3" s="31" t="str">
        <f>IFERROR(__xludf.DUMMYFUNCTION("""COMPUTED_VALUE"""),"McGrath - Pittwater")</f>
        <v>McGrath - Pittwater</v>
      </c>
      <c r="F3" s="31" t="str">
        <f>IFERROR(__xludf.DUMMYFUNCTION("""COMPUTED_VALUE"""),"Bilgola Plateau")</f>
        <v>Bilgola Plateau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</row>
    <row r="4">
      <c r="A4" s="88">
        <f>IFERROR(__xludf.DUMMYFUNCTION("""COMPUTED_VALUE"""),3.0)</f>
        <v>3</v>
      </c>
      <c r="B4" s="31" t="str">
        <f>IFERROR(__xludf.DUMMYFUNCTION("""COMPUTED_VALUE"""),"NSW")</f>
        <v>NSW</v>
      </c>
      <c r="C4" s="31" t="str">
        <f>IFERROR(__xludf.DUMMYFUNCTION("""COMPUTED_VALUE"""),"Amit Shrestha")</f>
        <v>Amit Shrestha</v>
      </c>
      <c r="D4" s="31" t="str">
        <f>IFERROR(__xludf.DUMMYFUNCTION("""COMPUTED_VALUE"""),"amit.shrestha@randw.com.au")</f>
        <v>amit.shrestha@randw.com.au</v>
      </c>
      <c r="E4" s="31" t="str">
        <f>IFERROR(__xludf.DUMMYFUNCTION("""COMPUTED_VALUE"""),"R&amp;W Kellyville")</f>
        <v>R&amp;W Kellyville</v>
      </c>
      <c r="F4" s="31" t="str">
        <f>IFERROR(__xludf.DUMMYFUNCTION("""COMPUTED_VALUE"""),"Quakers Hill")</f>
        <v>Quakers Hill</v>
      </c>
      <c r="G4" s="31" t="str">
        <f>IFERROR(__xludf.DUMMYFUNCTION("""COMPUTED_VALUE"""),"Acacia Gardens")</f>
        <v>Acacia Gardens</v>
      </c>
      <c r="H4" s="31" t="str">
        <f>IFERROR(__xludf.DUMMYFUNCTION("""COMPUTED_VALUE"""),"Nirimba Fields")</f>
        <v>Nirimba Fields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</row>
    <row r="5">
      <c r="A5" s="88">
        <f>IFERROR(__xludf.DUMMYFUNCTION("""COMPUTED_VALUE"""),4.0)</f>
        <v>4</v>
      </c>
      <c r="B5" s="31" t="str">
        <f>IFERROR(__xludf.DUMMYFUNCTION("""COMPUTED_VALUE"""),"NSW")</f>
        <v>NSW</v>
      </c>
      <c r="C5" s="31" t="str">
        <f>IFERROR(__xludf.DUMMYFUNCTION("""COMPUTED_VALUE"""),"Anne Alexander")</f>
        <v>Anne Alexander</v>
      </c>
      <c r="D5" s="31" t="str">
        <f>IFERROR(__xludf.DUMMYFUNCTION("""COMPUTED_VALUE"""),"anne.alexander@atrealty.com.au")</f>
        <v>anne.alexander@atrealty.com.au</v>
      </c>
      <c r="E5" s="31" t="str">
        <f>IFERROR(__xludf.DUMMYFUNCTION("""COMPUTED_VALUE"""),"@Realty - Hamilton")</f>
        <v>@Realty - Hamilton</v>
      </c>
      <c r="F5" s="31" t="str">
        <f>IFERROR(__xludf.DUMMYFUNCTION("""COMPUTED_VALUE"""),"Hamilton")</f>
        <v>Hamilton</v>
      </c>
      <c r="G5" s="31" t="str">
        <f>IFERROR(__xludf.DUMMYFUNCTION("""COMPUTED_VALUE"""),"Highfields")</f>
        <v>Highfields</v>
      </c>
      <c r="H5" s="31" t="str">
        <f>IFERROR(__xludf.DUMMYFUNCTION("""COMPUTED_VALUE"""),"Merewether")</f>
        <v>Merewether</v>
      </c>
      <c r="I5" s="31" t="str">
        <f>IFERROR(__xludf.DUMMYFUNCTION("""COMPUTED_VALUE"""),"Hamilton South")</f>
        <v>Hamilton South</v>
      </c>
      <c r="J5" s="31" t="str">
        <f>IFERROR(__xludf.DUMMYFUNCTION("""COMPUTED_VALUE"""),"Adamstown")</f>
        <v>Adamstown</v>
      </c>
      <c r="K5" s="31" t="str">
        <f>IFERROR(__xludf.DUMMYFUNCTION("""COMPUTED_VALUE"""),"Lambton")</f>
        <v>Lambton</v>
      </c>
      <c r="L5" s="31" t="str">
        <f>IFERROR(__xludf.DUMMYFUNCTION("""COMPUTED_VALUE"""),"New Lambton")</f>
        <v>New Lambton</v>
      </c>
      <c r="M5" s="31" t="str">
        <f>IFERROR(__xludf.DUMMYFUNCTION("""COMPUTED_VALUE"""),"Mayfield")</f>
        <v>Mayfield</v>
      </c>
      <c r="N5" s="31" t="str">
        <f>IFERROR(__xludf.DUMMYFUNCTION("""COMPUTED_VALUE"""),"New Lambton Heights")</f>
        <v>New Lambton Heights</v>
      </c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</row>
    <row r="6">
      <c r="A6" s="88">
        <f>IFERROR(__xludf.DUMMYFUNCTION("""COMPUTED_VALUE"""),5.0)</f>
        <v>5</v>
      </c>
      <c r="B6" s="31" t="str">
        <f>IFERROR(__xludf.DUMMYFUNCTION("""COMPUTED_VALUE"""),"NSW")</f>
        <v>NSW</v>
      </c>
      <c r="C6" s="31" t="str">
        <f>IFERROR(__xludf.DUMMYFUNCTION("""COMPUTED_VALUE"""),"Bart Portelli")</f>
        <v>Bart Portelli</v>
      </c>
      <c r="D6" s="31" t="str">
        <f>IFERROR(__xludf.DUMMYFUNCTION("""COMPUTED_VALUE"""),"bart.portelli@firstnationalconnect.com")</f>
        <v>bart.portelli@firstnationalconnect.com</v>
      </c>
      <c r="E6" s="31" t="str">
        <f>IFERROR(__xludf.DUMMYFUNCTION("""COMPUTED_VALUE"""),"First National Connect")</f>
        <v>First National Connect</v>
      </c>
      <c r="F6" s="31" t="str">
        <f>IFERROR(__xludf.DUMMYFUNCTION("""COMPUTED_VALUE"""),"South Windsor")</f>
        <v>South Windsor</v>
      </c>
      <c r="G6" s="31" t="str">
        <f>IFERROR(__xludf.DUMMYFUNCTION("""COMPUTED_VALUE"""),"Windsor")</f>
        <v>Windsor</v>
      </c>
      <c r="H6" s="31" t="str">
        <f>IFERROR(__xludf.DUMMYFUNCTION("""COMPUTED_VALUE"""),"Bligh Park")</f>
        <v>Bligh Park</v>
      </c>
      <c r="I6" s="31" t="str">
        <f>IFERROR(__xludf.DUMMYFUNCTION("""COMPUTED_VALUE"""),"Hobartville")</f>
        <v>Hobartville</v>
      </c>
      <c r="J6" s="31" t="str">
        <f>IFERROR(__xludf.DUMMYFUNCTION("""COMPUTED_VALUE"""),"Richmond")</f>
        <v>Richmond</v>
      </c>
      <c r="K6" s="31" t="str">
        <f>IFERROR(__xludf.DUMMYFUNCTION("""COMPUTED_VALUE"""),"North Richmond")</f>
        <v>North Richmond</v>
      </c>
      <c r="L6" s="31" t="str">
        <f>IFERROR(__xludf.DUMMYFUNCTION("""COMPUTED_VALUE"""),"Grose Vale")</f>
        <v>Grose Vale</v>
      </c>
      <c r="M6" s="31" t="str">
        <f>IFERROR(__xludf.DUMMYFUNCTION("""COMPUTED_VALUE"""),"Glossodia")</f>
        <v>Glossodia</v>
      </c>
      <c r="N6" s="31" t="str">
        <f>IFERROR(__xludf.DUMMYFUNCTION("""COMPUTED_VALUE"""),"Wilberforce")</f>
        <v>Wilberforce</v>
      </c>
      <c r="O6" s="31" t="str">
        <f>IFERROR(__xludf.DUMMYFUNCTION("""COMPUTED_VALUE"""),"Kurrajong")</f>
        <v>Kurrajong</v>
      </c>
      <c r="P6" s="31" t="str">
        <f>IFERROR(__xludf.DUMMYFUNCTION("""COMPUTED_VALUE"""),"Kurrajong Heights")</f>
        <v>Kurrajong Heights</v>
      </c>
      <c r="Q6" s="31" t="str">
        <f>IFERROR(__xludf.DUMMYFUNCTION("""COMPUTED_VALUE"""),"Pitt Town")</f>
        <v>Pitt Town</v>
      </c>
      <c r="R6" s="31" t="str">
        <f>IFERROR(__xludf.DUMMYFUNCTION("""COMPUTED_VALUE"""),"McGraths Hill")</f>
        <v>McGraths Hill</v>
      </c>
      <c r="S6" s="31" t="str">
        <f>IFERROR(__xludf.DUMMYFUNCTION("""COMPUTED_VALUE"""),"Berkshire Park")</f>
        <v>Berkshire Park</v>
      </c>
      <c r="T6" s="31" t="str">
        <f>IFERROR(__xludf.DUMMYFUNCTION("""COMPUTED_VALUE"""),"Freemans Reach")</f>
        <v>Freemans Reach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</row>
    <row r="7">
      <c r="A7" s="88">
        <f>IFERROR(__xludf.DUMMYFUNCTION("""COMPUTED_VALUE"""),6.0)</f>
        <v>6</v>
      </c>
      <c r="B7" s="31" t="str">
        <f>IFERROR(__xludf.DUMMYFUNCTION("""COMPUTED_VALUE"""),"NSW")</f>
        <v>NSW</v>
      </c>
      <c r="C7" s="31" t="str">
        <f>IFERROR(__xludf.DUMMYFUNCTION("""COMPUTED_VALUE"""),"Callum Docker")</f>
        <v>Callum Docker</v>
      </c>
      <c r="D7" s="31" t="str">
        <f>IFERROR(__xludf.DUMMYFUNCTION("""COMPUTED_VALUE"""),"callum@agentlink.au")</f>
        <v>callum@agentlink.au</v>
      </c>
      <c r="E7" s="31" t="str">
        <f>IFERROR(__xludf.DUMMYFUNCTION("""COMPUTED_VALUE"""),"Howie Test")</f>
        <v>Howie Test</v>
      </c>
      <c r="F7" s="31" t="str">
        <f>IFERROR(__xludf.DUMMYFUNCTION("""COMPUTED_VALUE"""),"Coolgardie")</f>
        <v>Coolgardie</v>
      </c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</row>
    <row r="8">
      <c r="A8" s="88">
        <f>IFERROR(__xludf.DUMMYFUNCTION("""COMPUTED_VALUE"""),7.0)</f>
        <v>7</v>
      </c>
      <c r="B8" s="31" t="str">
        <f>IFERROR(__xludf.DUMMYFUNCTION("""COMPUTED_VALUE"""),"NSW")</f>
        <v>NSW</v>
      </c>
      <c r="C8" s="31" t="str">
        <f>IFERROR(__xludf.DUMMYFUNCTION("""COMPUTED_VALUE"""),"Chris Aldren")</f>
        <v>Chris Aldren</v>
      </c>
      <c r="D8" s="31" t="str">
        <f>IFERROR(__xludf.DUMMYFUNCTION("""COMPUTED_VALUE"""),"chris@thenorthagency.com.au")</f>
        <v>chris@thenorthagency.com.au</v>
      </c>
      <c r="E8" s="31" t="str">
        <f>IFERROR(__xludf.DUMMYFUNCTION("""COMPUTED_VALUE"""),"The North Agency")</f>
        <v>The North Agency</v>
      </c>
      <c r="F8" s="31" t="str">
        <f>IFERROR(__xludf.DUMMYFUNCTION("""COMPUTED_VALUE"""),"Cromer")</f>
        <v>Cromer</v>
      </c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</row>
    <row r="9">
      <c r="A9" s="88">
        <f>IFERROR(__xludf.DUMMYFUNCTION("""COMPUTED_VALUE"""),8.0)</f>
        <v>8</v>
      </c>
      <c r="B9" s="31" t="str">
        <f>IFERROR(__xludf.DUMMYFUNCTION("""COMPUTED_VALUE"""),"NSW")</f>
        <v>NSW</v>
      </c>
      <c r="C9" s="31" t="str">
        <f>IFERROR(__xludf.DUMMYFUNCTION("""COMPUTED_VALUE"""),"Cooper Judge")</f>
        <v>Cooper Judge</v>
      </c>
      <c r="D9" s="31" t="str">
        <f>IFERROR(__xludf.DUMMYFUNCTION("""COMPUTED_VALUE"""),"cooper@fncollective.com.au")</f>
        <v>cooper@fncollective.com.au</v>
      </c>
      <c r="E9" s="31" t="str">
        <f>IFERROR(__xludf.DUMMYFUNCTION("""COMPUTED_VALUE"""),"First National Narellan")</f>
        <v>First National Narellan</v>
      </c>
      <c r="F9" s="31" t="str">
        <f>IFERROR(__xludf.DUMMYFUNCTION("""COMPUTED_VALUE"""),"Spring Farm")</f>
        <v>Spring Farm</v>
      </c>
      <c r="G9" s="31" t="str">
        <f>IFERROR(__xludf.DUMMYFUNCTION("""COMPUTED_VALUE"""),"Mount Annan")</f>
        <v>Mount Annan</v>
      </c>
      <c r="H9" s="31" t="str">
        <f>IFERROR(__xludf.DUMMYFUNCTION("""COMPUTED_VALUE"""),"Oran Park")</f>
        <v>Oran Park</v>
      </c>
      <c r="I9" s="31" t="str">
        <f>IFERROR(__xludf.DUMMYFUNCTION("""COMPUTED_VALUE"""),"Narellan Vale")</f>
        <v>Narellan Vale</v>
      </c>
      <c r="J9" s="31" t="str">
        <f>IFERROR(__xludf.DUMMYFUNCTION("""COMPUTED_VALUE"""),"Cobbitty")</f>
        <v>Cobbitty</v>
      </c>
      <c r="K9" s="31" t="str">
        <f>IFERROR(__xludf.DUMMYFUNCTION("""COMPUTED_VALUE"""),"Harrington Park")</f>
        <v>Harrington Park</v>
      </c>
      <c r="L9" s="31" t="str">
        <f>IFERROR(__xludf.DUMMYFUNCTION("""COMPUTED_VALUE"""),"Ingleburn")</f>
        <v>Ingleburn</v>
      </c>
      <c r="M9" s="31" t="str">
        <f>IFERROR(__xludf.DUMMYFUNCTION("""COMPUTED_VALUE"""),"Camden Park")</f>
        <v>Camden Park</v>
      </c>
      <c r="N9" s="31" t="str">
        <f>IFERROR(__xludf.DUMMYFUNCTION("""COMPUTED_VALUE"""),"Raby")</f>
        <v>Raby</v>
      </c>
      <c r="O9" s="31" t="str">
        <f>IFERROR(__xludf.DUMMYFUNCTION("""COMPUTED_VALUE"""),"Macquarie Links")</f>
        <v>Macquarie Links</v>
      </c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</row>
    <row r="10">
      <c r="A10" s="88">
        <f>IFERROR(__xludf.DUMMYFUNCTION("""COMPUTED_VALUE"""),9.0)</f>
        <v>9</v>
      </c>
      <c r="B10" s="31" t="str">
        <f>IFERROR(__xludf.DUMMYFUNCTION("""COMPUTED_VALUE"""),"NSW")</f>
        <v>NSW</v>
      </c>
      <c r="C10" s="31" t="str">
        <f>IFERROR(__xludf.DUMMYFUNCTION("""COMPUTED_VALUE"""),"Daniel Hindmarsh")</f>
        <v>Daniel Hindmarsh</v>
      </c>
      <c r="D10" s="31" t="str">
        <f>IFERROR(__xludf.DUMMYFUNCTION("""COMPUTED_VALUE"""),"daniel.hindmarsh@belleproperty.com")</f>
        <v>daniel.hindmarsh@belleproperty.com</v>
      </c>
      <c r="E10" s="31" t="str">
        <f>IFERROR(__xludf.DUMMYFUNCTION("""COMPUTED_VALUE"""),"Belle Property Northern Beaches")</f>
        <v>Belle Property Northern Beaches</v>
      </c>
      <c r="F10" s="31" t="str">
        <f>IFERROR(__xludf.DUMMYFUNCTION("""COMPUTED_VALUE"""),"Elanora Heights")</f>
        <v>Elanora Heights</v>
      </c>
      <c r="G10" s="31" t="str">
        <f>IFERROR(__xludf.DUMMYFUNCTION("""COMPUTED_VALUE"""),"Narrabeen")</f>
        <v>Narrabeen</v>
      </c>
      <c r="H10" s="31" t="str">
        <f>IFERROR(__xludf.DUMMYFUNCTION("""COMPUTED_VALUE"""),"North Narrabeen")</f>
        <v>North Narrabeen</v>
      </c>
      <c r="I10" s="31" t="str">
        <f>IFERROR(__xludf.DUMMYFUNCTION("""COMPUTED_VALUE"""),"Collaroy")</f>
        <v>Collaroy</v>
      </c>
      <c r="J10" s="31" t="str">
        <f>IFERROR(__xludf.DUMMYFUNCTION("""COMPUTED_VALUE"""),"Collaroy Plateau")</f>
        <v>Collaroy Plateau</v>
      </c>
      <c r="K10" s="31" t="str">
        <f>IFERROR(__xludf.DUMMYFUNCTION("""COMPUTED_VALUE"""),"Wheeler Heights")</f>
        <v>Wheeler Heights</v>
      </c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</row>
    <row r="11">
      <c r="A11" s="88">
        <f>IFERROR(__xludf.DUMMYFUNCTION("""COMPUTED_VALUE"""),10.0)</f>
        <v>10</v>
      </c>
      <c r="B11" s="31" t="str">
        <f>IFERROR(__xludf.DUMMYFUNCTION("""COMPUTED_VALUE"""),"NSW")</f>
        <v>NSW</v>
      </c>
      <c r="C11" s="31" t="str">
        <f>IFERROR(__xludf.DUMMYFUNCTION("""COMPUTED_VALUE"""),"Emily Read")</f>
        <v>Emily Read</v>
      </c>
      <c r="D11" s="31" t="str">
        <f>IFERROR(__xludf.DUMMYFUNCTION("""COMPUTED_VALUE"""),"emily.read@belleproperty.com")</f>
        <v>emily.read@belleproperty.com</v>
      </c>
      <c r="E11" s="31" t="str">
        <f>IFERROR(__xludf.DUMMYFUNCTION("""COMPUTED_VALUE"""),"Belle Property Northern Beaches")</f>
        <v>Belle Property Northern Beaches</v>
      </c>
      <c r="F11" s="31" t="str">
        <f>IFERROR(__xludf.DUMMYFUNCTION("""COMPUTED_VALUE"""),"North Curl Curl")</f>
        <v>North Curl Curl</v>
      </c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</row>
    <row r="12">
      <c r="A12" s="88">
        <f>IFERROR(__xludf.DUMMYFUNCTION("""COMPUTED_VALUE"""),11.0)</f>
        <v>11</v>
      </c>
      <c r="B12" s="31" t="str">
        <f>IFERROR(__xludf.DUMMYFUNCTION("""COMPUTED_VALUE"""),"NSW")</f>
        <v>NSW</v>
      </c>
      <c r="C12" s="31" t="str">
        <f>IFERROR(__xludf.DUMMYFUNCTION("""COMPUTED_VALUE"""),"Frazer Yule")</f>
        <v>Frazer Yule</v>
      </c>
      <c r="D12" s="31" t="str">
        <f>IFERROR(__xludf.DUMMYFUNCTION("""COMPUTED_VALUE"""),"frazer.yule@lsre.com.au")</f>
        <v>frazer.yule@lsre.com.au</v>
      </c>
      <c r="E12" s="31" t="str">
        <f>IFERROR(__xludf.DUMMYFUNCTION("""COMPUTED_VALUE"""),"Laing+Simmons - Armidale")</f>
        <v>Laing+Simmons - Armidale</v>
      </c>
      <c r="F12" s="31" t="str">
        <f>IFERROR(__xludf.DUMMYFUNCTION("""COMPUTED_VALUE"""),"Armidale")</f>
        <v>Armidale</v>
      </c>
      <c r="G12" s="31" t="str">
        <f>IFERROR(__xludf.DUMMYFUNCTION("""COMPUTED_VALUE"""),"Aberfoyle")</f>
        <v>Aberfoyle</v>
      </c>
      <c r="H12" s="31" t="str">
        <f>IFERROR(__xludf.DUMMYFUNCTION("""COMPUTED_VALUE"""),"Castle Doyle")</f>
        <v>Castle Doyle</v>
      </c>
      <c r="I12" s="31" t="str">
        <f>IFERROR(__xludf.DUMMYFUNCTION("""COMPUTED_VALUE"""),"Abington")</f>
        <v>Abington</v>
      </c>
      <c r="J12" s="31" t="str">
        <f>IFERROR(__xludf.DUMMYFUNCTION("""COMPUTED_VALUE"""),"Donald Creek")</f>
        <v>Donald Creek</v>
      </c>
      <c r="K12" s="31" t="str">
        <f>IFERROR(__xludf.DUMMYFUNCTION("""COMPUTED_VALUE"""),"Argyle")</f>
        <v>Argyle</v>
      </c>
      <c r="L12" s="31" t="str">
        <f>IFERROR(__xludf.DUMMYFUNCTION("""COMPUTED_VALUE"""),"Dumaresq")</f>
        <v>Dumaresq</v>
      </c>
      <c r="M12" s="31" t="str">
        <f>IFERROR(__xludf.DUMMYFUNCTION("""COMPUTED_VALUE"""),"Dangarsleigh")</f>
        <v>Dangarsleigh</v>
      </c>
      <c r="N12" s="31" t="str">
        <f>IFERROR(__xludf.DUMMYFUNCTION("""COMPUTED_VALUE"""),"Boorolong")</f>
        <v>Boorolong</v>
      </c>
      <c r="O12" s="31" t="str">
        <f>IFERROR(__xludf.DUMMYFUNCTION("""COMPUTED_VALUE"""),"Duval")</f>
        <v>Duval</v>
      </c>
      <c r="P12" s="31" t="str">
        <f>IFERROR(__xludf.DUMMYFUNCTION("""COMPUTED_VALUE"""),"Puddledock")</f>
        <v>Puddledock</v>
      </c>
      <c r="Q12" s="31" t="str">
        <f>IFERROR(__xludf.DUMMYFUNCTION("""COMPUTED_VALUE"""),"Enmore")</f>
        <v>Enmore</v>
      </c>
      <c r="R12" s="31" t="str">
        <f>IFERROR(__xludf.DUMMYFUNCTION("""COMPUTED_VALUE"""),"Saumarez Ponds")</f>
        <v>Saumarez Ponds</v>
      </c>
      <c r="S12" s="31" t="str">
        <f>IFERROR(__xludf.DUMMYFUNCTION("""COMPUTED_VALUE"""),"Hillgrove")</f>
        <v>Hillgrove</v>
      </c>
      <c r="T12" s="31" t="str">
        <f>IFERROR(__xludf.DUMMYFUNCTION("""COMPUTED_VALUE"""),"Tilbuster")</f>
        <v>Tilbuster</v>
      </c>
      <c r="U12" s="31" t="str">
        <f>IFERROR(__xludf.DUMMYFUNCTION("""COMPUTED_VALUE"""),"Invergowrie")</f>
        <v>Invergowrie</v>
      </c>
      <c r="V12" s="31" t="str">
        <f>IFERROR(__xludf.DUMMYFUNCTION("""COMPUTED_VALUE"""),"Wards Mistake")</f>
        <v>Wards Mistake</v>
      </c>
      <c r="W12" s="31" t="str">
        <f>IFERROR(__xludf.DUMMYFUNCTION("""COMPUTED_VALUE"""),"Jeogla")</f>
        <v>Jeogla</v>
      </c>
      <c r="X12" s="31" t="str">
        <f>IFERROR(__xludf.DUMMYFUNCTION("""COMPUTED_VALUE"""),"Wongwibinda")</f>
        <v>Wongwibinda</v>
      </c>
      <c r="Y12" s="31" t="str">
        <f>IFERROR(__xludf.DUMMYFUNCTION("""COMPUTED_VALUE"""),"Kellys Plains")</f>
        <v>Kellys Plains</v>
      </c>
      <c r="Z12" s="31" t="str">
        <f>IFERROR(__xludf.DUMMYFUNCTION("""COMPUTED_VALUE"""),"Wollomombi")</f>
        <v>Wollomombi</v>
      </c>
      <c r="AA12" s="31" t="str">
        <f>IFERROR(__xludf.DUMMYFUNCTION("""COMPUTED_VALUE"""),"Lyndhurst")</f>
        <v>Lyndhurst</v>
      </c>
      <c r="AB12" s="31" t="str">
        <f>IFERROR(__xludf.DUMMYFUNCTION("""COMPUTED_VALUE"""),"Saumarez")</f>
        <v>Saumarez</v>
      </c>
      <c r="AC12" s="31" t="str">
        <f>IFERROR(__xludf.DUMMYFUNCTION("""COMPUTED_VALUE"""),"Metz")</f>
        <v>Metz</v>
      </c>
      <c r="AD12" s="31" t="str">
        <f>IFERROR(__xludf.DUMMYFUNCTION("""COMPUTED_VALUE"""),"West Armidale")</f>
        <v>West Armidale</v>
      </c>
      <c r="AE12" s="31" t="str">
        <f>IFERROR(__xludf.DUMMYFUNCTION("""COMPUTED_VALUE"""),"Thalgarrah")</f>
        <v>Thalgarrah</v>
      </c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</row>
    <row r="13">
      <c r="A13" s="88">
        <f>IFERROR(__xludf.DUMMYFUNCTION("""COMPUTED_VALUE"""),12.0)</f>
        <v>12</v>
      </c>
      <c r="B13" s="31" t="str">
        <f>IFERROR(__xludf.DUMMYFUNCTION("""COMPUTED_VALUE"""),"NSW")</f>
        <v>NSW</v>
      </c>
      <c r="C13" s="31" t="str">
        <f>IFERROR(__xludf.DUMMYFUNCTION("""COMPUTED_VALUE"""),"George Karasalidis")</f>
        <v>George Karasalidis</v>
      </c>
      <c r="D13" s="31" t="str">
        <f>IFERROR(__xludf.DUMMYFUNCTION("""COMPUTED_VALUE"""),"anthony.perry@raywhite.com")</f>
        <v>anthony.perry@raywhite.com</v>
      </c>
      <c r="E13" s="31" t="str">
        <f>IFERROR(__xludf.DUMMYFUNCTION("""COMPUTED_VALUE"""),"Ray White")</f>
        <v>Ray White</v>
      </c>
      <c r="F13" s="31" t="str">
        <f>IFERROR(__xludf.DUMMYFUNCTION("""COMPUTED_VALUE"""),"Earlwood")</f>
        <v>Earlwood</v>
      </c>
      <c r="G13" s="31" t="str">
        <f>IFERROR(__xludf.DUMMYFUNCTION("""COMPUTED_VALUE"""),"Kingsgrove")</f>
        <v>Kingsgrove</v>
      </c>
      <c r="H13" s="31" t="str">
        <f>IFERROR(__xludf.DUMMYFUNCTION("""COMPUTED_VALUE"""),"Dulwich Hill")</f>
        <v>Dulwich Hill</v>
      </c>
      <c r="I13" s="31" t="str">
        <f>IFERROR(__xludf.DUMMYFUNCTION("""COMPUTED_VALUE"""),"Roselands")</f>
        <v>Roselands</v>
      </c>
      <c r="J13" s="31" t="str">
        <f>IFERROR(__xludf.DUMMYFUNCTION("""COMPUTED_VALUE"""),"Wiley Park")</f>
        <v>Wiley Park</v>
      </c>
      <c r="K13" s="31" t="str">
        <f>IFERROR(__xludf.DUMMYFUNCTION("""COMPUTED_VALUE"""),"Canterbury")</f>
        <v>Canterbury</v>
      </c>
      <c r="L13" s="31" t="str">
        <f>IFERROR(__xludf.DUMMYFUNCTION("""COMPUTED_VALUE"""),"Bexley")</f>
        <v>Bexley</v>
      </c>
      <c r="M13" s="31" t="str">
        <f>IFERROR(__xludf.DUMMYFUNCTION("""COMPUTED_VALUE"""),"Bexley North")</f>
        <v>Bexley North</v>
      </c>
      <c r="N13" s="31" t="str">
        <f>IFERROR(__xludf.DUMMYFUNCTION("""COMPUTED_VALUE"""),"Bardwell Park")</f>
        <v>Bardwell Park</v>
      </c>
      <c r="O13" s="31" t="str">
        <f>IFERROR(__xludf.DUMMYFUNCTION("""COMPUTED_VALUE"""),"Bardwell Valley")</f>
        <v>Bardwell Valley</v>
      </c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</row>
    <row r="14">
      <c r="A14" s="88">
        <f>IFERROR(__xludf.DUMMYFUNCTION("""COMPUTED_VALUE"""),13.0)</f>
        <v>13</v>
      </c>
      <c r="B14" s="31" t="str">
        <f>IFERROR(__xludf.DUMMYFUNCTION("""COMPUTED_VALUE"""),"NSW")</f>
        <v>NSW</v>
      </c>
      <c r="C14" s="31" t="str">
        <f>IFERROR(__xludf.DUMMYFUNCTION("""COMPUTED_VALUE"""),"Greg &amp; Kirstin Brown")</f>
        <v>Greg &amp; Kirstin Brown</v>
      </c>
      <c r="D14" s="31" t="str">
        <f>IFERROR(__xludf.DUMMYFUNCTION("""COMPUTED_VALUE"""),"gregbrown@dowlingmedowie.com.au")</f>
        <v>gregbrown@dowlingmedowie.com.au</v>
      </c>
      <c r="E14" s="31" t="str">
        <f>IFERROR(__xludf.DUMMYFUNCTION("""COMPUTED_VALUE"""),"Dowling Real Estate")</f>
        <v>Dowling Real Estate</v>
      </c>
      <c r="F14" s="31" t="str">
        <f>IFERROR(__xludf.DUMMYFUNCTION("""COMPUTED_VALUE"""),"Medowie")</f>
        <v>Medowie</v>
      </c>
      <c r="G14" s="31" t="str">
        <f>IFERROR(__xludf.DUMMYFUNCTION("""COMPUTED_VALUE"""),"Fern Bay")</f>
        <v>Fern Bay</v>
      </c>
      <c r="H14" s="31" t="str">
        <f>IFERROR(__xludf.DUMMYFUNCTION("""COMPUTED_VALUE"""),"Williamtown")</f>
        <v>Williamtown</v>
      </c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</row>
    <row r="15">
      <c r="A15" s="88">
        <f>IFERROR(__xludf.DUMMYFUNCTION("""COMPUTED_VALUE"""),14.0)</f>
        <v>14</v>
      </c>
      <c r="B15" s="31" t="str">
        <f>IFERROR(__xludf.DUMMYFUNCTION("""COMPUTED_VALUE"""),"NSW")</f>
        <v>NSW</v>
      </c>
      <c r="C15" s="31" t="str">
        <f>IFERROR(__xludf.DUMMYFUNCTION("""COMPUTED_VALUE"""),"Howie Hill")</f>
        <v>Howie Hill</v>
      </c>
      <c r="D15" s="31" t="str">
        <f>IFERROR(__xludf.DUMMYFUNCTION("""COMPUTED_VALUE"""),"howie@agentlink.au")</f>
        <v>howie@agentlink.au</v>
      </c>
      <c r="E15" s="31" t="str">
        <f>IFERROR(__xludf.DUMMYFUNCTION("""COMPUTED_VALUE"""),"Howie Test")</f>
        <v>Howie Test</v>
      </c>
      <c r="F15" s="31" t="str">
        <f>IFERROR(__xludf.DUMMYFUNCTION("""COMPUTED_VALUE"""),"Finke")</f>
        <v>Finke</v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</row>
    <row r="16">
      <c r="A16" s="88">
        <f>IFERROR(__xludf.DUMMYFUNCTION("""COMPUTED_VALUE"""),15.0)</f>
        <v>15</v>
      </c>
      <c r="B16" s="31" t="str">
        <f>IFERROR(__xludf.DUMMYFUNCTION("""COMPUTED_VALUE"""),"NSW")</f>
        <v>NSW</v>
      </c>
      <c r="C16" s="31" t="str">
        <f>IFERROR(__xludf.DUMMYFUNCTION("""COMPUTED_VALUE"""),"James Baker")</f>
        <v>James Baker</v>
      </c>
      <c r="D16" s="31" t="str">
        <f>IFERROR(__xludf.DUMMYFUNCTION("""COMPUTED_VALUE"""),"jamesbakeravalon@gmail.com")</f>
        <v>jamesbakeravalon@gmail.com</v>
      </c>
      <c r="E16" s="31" t="str">
        <f>IFERROR(__xludf.DUMMYFUNCTION("""COMPUTED_VALUE"""),"McGrath - Pittwater")</f>
        <v>McGrath - Pittwater</v>
      </c>
      <c r="F16" s="31" t="str">
        <f>IFERROR(__xludf.DUMMYFUNCTION("""COMPUTED_VALUE"""),"Avalon Beach")</f>
        <v>Avalon Beach</v>
      </c>
      <c r="G16" s="31" t="str">
        <f>IFERROR(__xludf.DUMMYFUNCTION("""COMPUTED_VALUE"""),"Clareville")</f>
        <v>Clareville</v>
      </c>
      <c r="H16" s="31" t="str">
        <f>IFERROR(__xludf.DUMMYFUNCTION("""COMPUTED_VALUE"""),"Palm Beach")</f>
        <v>Palm Beach</v>
      </c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</row>
    <row r="17">
      <c r="A17" s="88">
        <f>IFERROR(__xludf.DUMMYFUNCTION("""COMPUTED_VALUE"""),16.0)</f>
        <v>16</v>
      </c>
      <c r="B17" s="31" t="str">
        <f>IFERROR(__xludf.DUMMYFUNCTION("""COMPUTED_VALUE"""),"NSW")</f>
        <v>NSW</v>
      </c>
      <c r="C17" s="31" t="str">
        <f>IFERROR(__xludf.DUMMYFUNCTION("""COMPUTED_VALUE"""),"Kunal Barve")</f>
        <v>Kunal Barve</v>
      </c>
      <c r="D17" s="31" t="str">
        <f>IFERROR(__xludf.DUMMYFUNCTION("""COMPUTED_VALUE"""),"callumdocker1@gmail.com")</f>
        <v>callumdocker1@gmail.com</v>
      </c>
      <c r="E17" s="31" t="str">
        <f>IFERROR(__xludf.DUMMYFUNCTION("""COMPUTED_VALUE"""),"McGrath - Pittwater")</f>
        <v>McGrath - Pittwater</v>
      </c>
      <c r="F17" s="31" t="str">
        <f>IFERROR(__xludf.DUMMYFUNCTION("""COMPUTED_VALUE"""),"Windradyne")</f>
        <v>Windradyne</v>
      </c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</row>
    <row r="18">
      <c r="A18" s="88">
        <f>IFERROR(__xludf.DUMMYFUNCTION("""COMPUTED_VALUE"""),17.0)</f>
        <v>17</v>
      </c>
      <c r="B18" s="31" t="str">
        <f>IFERROR(__xludf.DUMMYFUNCTION("""COMPUTED_VALUE"""),"NSW")</f>
        <v>NSW</v>
      </c>
      <c r="C18" s="31" t="str">
        <f>IFERROR(__xludf.DUMMYFUNCTION("""COMPUTED_VALUE"""),"Luke Casaceli")</f>
        <v>Luke Casaceli</v>
      </c>
      <c r="D18" s="31" t="str">
        <f>IFERROR(__xludf.DUMMYFUNCTION("""COMPUTED_VALUE"""),"casacelipartners@outlook.com")</f>
        <v>casacelipartners@outlook.com</v>
      </c>
      <c r="E18" s="31" t="str">
        <f>IFERROR(__xludf.DUMMYFUNCTION("""COMPUTED_VALUE"""),"CASACELI PARTNERS")</f>
        <v>CASACELI PARTNERS</v>
      </c>
      <c r="F18" s="31" t="str">
        <f>IFERROR(__xludf.DUMMYFUNCTION("""COMPUTED_VALUE"""),"Bermagui")</f>
        <v>Bermagui</v>
      </c>
      <c r="G18" s="31" t="str">
        <f>IFERROR(__xludf.DUMMYFUNCTION("""COMPUTED_VALUE"""),"Cobargo")</f>
        <v>Cobargo</v>
      </c>
      <c r="H18" s="31" t="str">
        <f>IFERROR(__xludf.DUMMYFUNCTION("""COMPUTED_VALUE"""),"Narooma")</f>
        <v>Narooma</v>
      </c>
      <c r="I18" s="31" t="str">
        <f>IFERROR(__xludf.DUMMYFUNCTION("""COMPUTED_VALUE"""),"Corunna")</f>
        <v>Corunna</v>
      </c>
      <c r="J18" s="31" t="str">
        <f>IFERROR(__xludf.DUMMYFUNCTION("""COMPUTED_VALUE"""),"Bega")</f>
        <v>Bega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</row>
    <row r="19">
      <c r="A19" s="88">
        <f>IFERROR(__xludf.DUMMYFUNCTION("""COMPUTED_VALUE"""),18.0)</f>
        <v>18</v>
      </c>
      <c r="B19" s="31" t="str">
        <f>IFERROR(__xludf.DUMMYFUNCTION("""COMPUTED_VALUE"""),"NSW")</f>
        <v>NSW</v>
      </c>
      <c r="C19" s="31" t="str">
        <f>IFERROR(__xludf.DUMMYFUNCTION("""COMPUTED_VALUE"""),"Maclay Longhurst")</f>
        <v>Maclay Longhurst</v>
      </c>
      <c r="D19" s="31" t="str">
        <f>IFERROR(__xludf.DUMMYFUNCTION("""COMPUTED_VALUE"""),"Maclay@sydneysir.com")</f>
        <v>Maclay@sydneysir.com</v>
      </c>
      <c r="E19" s="31" t="str">
        <f>IFERROR(__xludf.DUMMYFUNCTION("""COMPUTED_VALUE"""),"Sydney Sotheby's International Realty - Double Bay")</f>
        <v>Sydney Sotheby's International Realty - Double Bay</v>
      </c>
      <c r="F19" s="31" t="str">
        <f>IFERROR(__xludf.DUMMYFUNCTION("""COMPUTED_VALUE"""),"Paddington")</f>
        <v>Paddington</v>
      </c>
      <c r="G19" s="31" t="str">
        <f>IFERROR(__xludf.DUMMYFUNCTION("""COMPUTED_VALUE"""),"Woollahra")</f>
        <v>Woollahra</v>
      </c>
      <c r="H19" s="31" t="str">
        <f>IFERROR(__xludf.DUMMYFUNCTION("""COMPUTED_VALUE"""),"Bondi")</f>
        <v>Bondi</v>
      </c>
      <c r="I19" s="31" t="str">
        <f>IFERROR(__xludf.DUMMYFUNCTION("""COMPUTED_VALUE"""),"North Bondi")</f>
        <v>North Bondi</v>
      </c>
      <c r="J19" s="31" t="str">
        <f>IFERROR(__xludf.DUMMYFUNCTION("""COMPUTED_VALUE"""),"Bondi Beach")</f>
        <v>Bondi Beach</v>
      </c>
      <c r="K19" s="31" t="str">
        <f>IFERROR(__xludf.DUMMYFUNCTION("""COMPUTED_VALUE"""),"Bondi Junction")</f>
        <v>Bondi Junction</v>
      </c>
      <c r="L19" s="31" t="str">
        <f>IFERROR(__xludf.DUMMYFUNCTION("""COMPUTED_VALUE"""),"Double Bay")</f>
        <v>Double Bay</v>
      </c>
      <c r="M19" s="31" t="str">
        <f>IFERROR(__xludf.DUMMYFUNCTION("""COMPUTED_VALUE"""),"Bellevue Hill")</f>
        <v>Bellevue Hill</v>
      </c>
      <c r="N19" s="31" t="str">
        <f>IFERROR(__xludf.DUMMYFUNCTION("""COMPUTED_VALUE"""),"Moore Park")</f>
        <v>Moore Park</v>
      </c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</row>
    <row r="20">
      <c r="A20" s="88">
        <f>IFERROR(__xludf.DUMMYFUNCTION("""COMPUTED_VALUE"""),19.0)</f>
        <v>19</v>
      </c>
      <c r="B20" s="31" t="str">
        <f>IFERROR(__xludf.DUMMYFUNCTION("""COMPUTED_VALUE"""),"NSW")</f>
        <v>NSW</v>
      </c>
      <c r="C20" s="31" t="str">
        <f>IFERROR(__xludf.DUMMYFUNCTION("""COMPUTED_VALUE"""),"Matthew Turner")</f>
        <v>Matthew Turner</v>
      </c>
      <c r="D20" s="31" t="str">
        <f>IFERROR(__xludf.DUMMYFUNCTION("""COMPUTED_VALUE"""),"matthewt@cunninghamsre.com.au")</f>
        <v>matthewt@cunninghamsre.com.au</v>
      </c>
      <c r="E20" s="31" t="str">
        <f>IFERROR(__xludf.DUMMYFUNCTION("""COMPUTED_VALUE"""),"Cunninghams")</f>
        <v>Cunninghams</v>
      </c>
      <c r="F20" s="31" t="str">
        <f>IFERROR(__xludf.DUMMYFUNCTION("""COMPUTED_VALUE"""),"Dee Why")</f>
        <v>Dee Why</v>
      </c>
      <c r="G20" s="31" t="str">
        <f>IFERROR(__xludf.DUMMYFUNCTION("""COMPUTED_VALUE"""),"Beacon Hill")</f>
        <v>Beacon Hill</v>
      </c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</row>
    <row r="21">
      <c r="A21" s="88">
        <f>IFERROR(__xludf.DUMMYFUNCTION("""COMPUTED_VALUE"""),20.0)</f>
        <v>20</v>
      </c>
      <c r="B21" s="31" t="str">
        <f>IFERROR(__xludf.DUMMYFUNCTION("""COMPUTED_VALUE"""),"NSW")</f>
        <v>NSW</v>
      </c>
      <c r="C21" s="31" t="str">
        <f>IFERROR(__xludf.DUMMYFUNCTION("""COMPUTED_VALUE"""),"Michael Kirk")</f>
        <v>Michael Kirk</v>
      </c>
      <c r="D21" s="31" t="str">
        <f>IFERROR(__xludf.DUMMYFUNCTION("""COMPUTED_VALUE"""),"Michael@bresicwhitney.com.au")</f>
        <v>Michael@bresicwhitney.com.au</v>
      </c>
      <c r="E21" s="31"/>
      <c r="F21" s="31" t="str">
        <f>IFERROR(__xludf.DUMMYFUNCTION("""COMPUTED_VALUE"""),"Redfern")</f>
        <v>Redfern</v>
      </c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</row>
    <row r="22">
      <c r="A22" s="88">
        <f>IFERROR(__xludf.DUMMYFUNCTION("""COMPUTED_VALUE"""),21.0)</f>
        <v>21</v>
      </c>
      <c r="B22" s="31" t="str">
        <f>IFERROR(__xludf.DUMMYFUNCTION("""COMPUTED_VALUE"""),"NSW")</f>
        <v>NSW</v>
      </c>
      <c r="C22" s="31" t="str">
        <f>IFERROR(__xludf.DUMMYFUNCTION("""COMPUTED_VALUE"""),"Michelle Galletti")</f>
        <v>Michelle Galletti</v>
      </c>
      <c r="D22" s="31" t="str">
        <f>IFERROR(__xludf.DUMMYFUNCTION("""COMPUTED_VALUE"""),"michelle@cunninghamsre.com.au")</f>
        <v>michelle@cunninghamsre.com.au</v>
      </c>
      <c r="E22" s="31" t="str">
        <f>IFERROR(__xludf.DUMMYFUNCTION("""COMPUTED_VALUE"""),"Cunninghams")</f>
        <v>Cunninghams</v>
      </c>
      <c r="F22" s="31" t="str">
        <f>IFERROR(__xludf.DUMMYFUNCTION("""COMPUTED_VALUE"""),"Freshwater")</f>
        <v>Freshwater</v>
      </c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</row>
    <row r="23">
      <c r="A23" s="88">
        <f>IFERROR(__xludf.DUMMYFUNCTION("""COMPUTED_VALUE"""),22.0)</f>
        <v>22</v>
      </c>
      <c r="B23" s="31" t="str">
        <f>IFERROR(__xludf.DUMMYFUNCTION("""COMPUTED_VALUE"""),"NSW")</f>
        <v>NSW</v>
      </c>
      <c r="C23" s="31" t="str">
        <f>IFERROR(__xludf.DUMMYFUNCTION("""COMPUTED_VALUE"""),"Nathan Baker")</f>
        <v>Nathan Baker</v>
      </c>
      <c r="D23" s="31" t="str">
        <f>IFERROR(__xludf.DUMMYFUNCTION("""COMPUTED_VALUE"""),"nathan.baker@eldersrealestate.com.au")</f>
        <v>nathan.baker@eldersrealestate.com.au</v>
      </c>
      <c r="E23" s="31" t="str">
        <f>IFERROR(__xludf.DUMMYFUNCTION("""COMPUTED_VALUE"""),"Elders Real Estate Wodonga")</f>
        <v>Elders Real Estate Wodonga</v>
      </c>
      <c r="F23" s="31" t="str">
        <f>IFERROR(__xludf.DUMMYFUNCTION("""COMPUTED_VALUE"""),"Thurgoona")</f>
        <v>Thurgoona</v>
      </c>
      <c r="G23" s="31" t="str">
        <f>IFERROR(__xludf.DUMMYFUNCTION("""COMPUTED_VALUE"""),"Lavington")</f>
        <v>Lavington</v>
      </c>
      <c r="H23" s="31" t="str">
        <f>IFERROR(__xludf.DUMMYFUNCTION("""COMPUTED_VALUE"""),"East Albury")</f>
        <v>East Albury</v>
      </c>
      <c r="I23" s="31" t="str">
        <f>IFERROR(__xludf.DUMMYFUNCTION("""COMPUTED_VALUE"""),"North Albury")</f>
        <v>North Albury</v>
      </c>
      <c r="J23" s="31" t="str">
        <f>IFERROR(__xludf.DUMMYFUNCTION("""COMPUTED_VALUE"""),"Glenroy")</f>
        <v>Glenroy</v>
      </c>
      <c r="K23" s="31" t="str">
        <f>IFERROR(__xludf.DUMMYFUNCTION("""COMPUTED_VALUE"""),"Hamilton Valley")</f>
        <v>Hamilton Valley</v>
      </c>
      <c r="L23" s="31" t="str">
        <f>IFERROR(__xludf.DUMMYFUNCTION("""COMPUTED_VALUE"""),"West Albury")</f>
        <v>West Albury</v>
      </c>
      <c r="M23" s="31" t="str">
        <f>IFERROR(__xludf.DUMMYFUNCTION("""COMPUTED_VALUE"""),"Albury")</f>
        <v>Albury</v>
      </c>
      <c r="N23" s="31" t="str">
        <f>IFERROR(__xludf.DUMMYFUNCTION("""COMPUTED_VALUE"""),"South Albury")</f>
        <v>South Albury</v>
      </c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</row>
    <row r="24">
      <c r="A24" s="88">
        <f>IFERROR(__xludf.DUMMYFUNCTION("""COMPUTED_VALUE"""),23.0)</f>
        <v>23</v>
      </c>
      <c r="B24" s="31" t="str">
        <f>IFERROR(__xludf.DUMMYFUNCTION("""COMPUTED_VALUE"""),"NSW")</f>
        <v>NSW</v>
      </c>
      <c r="C24" s="31" t="str">
        <f>IFERROR(__xludf.DUMMYFUNCTION("""COMPUTED_VALUE"""),"Oscar Van Megchelen")</f>
        <v>Oscar Van Megchelen</v>
      </c>
      <c r="D24" s="31" t="str">
        <f>IFERROR(__xludf.DUMMYFUNCTION("""COMPUTED_VALUE"""),"oscar@elitelocalagents.com.au")</f>
        <v>oscar@elitelocalagents.com.au</v>
      </c>
      <c r="E24" s="31" t="str">
        <f>IFERROR(__xludf.DUMMYFUNCTION("""COMPUTED_VALUE"""),"Elite Local Agents")</f>
        <v>Elite Local Agents</v>
      </c>
      <c r="F24" s="31" t="str">
        <f>IFERROR(__xludf.DUMMYFUNCTION("""COMPUTED_VALUE"""),"Bogangar")</f>
        <v>Bogangar</v>
      </c>
      <c r="G24" s="31" t="str">
        <f>IFERROR(__xludf.DUMMYFUNCTION("""COMPUTED_VALUE"""),"Nunderi")</f>
        <v>Nunderi</v>
      </c>
      <c r="H24" s="31" t="str">
        <f>IFERROR(__xludf.DUMMYFUNCTION("""COMPUTED_VALUE"""),"Terranora")</f>
        <v>Terranora</v>
      </c>
      <c r="I24" s="31" t="str">
        <f>IFERROR(__xludf.DUMMYFUNCTION("""COMPUTED_VALUE"""),"Banora Point")</f>
        <v>Banora Point</v>
      </c>
      <c r="J24" s="31" t="str">
        <f>IFERROR(__xludf.DUMMYFUNCTION("""COMPUTED_VALUE"""),"Duranbah")</f>
        <v>Duranbah</v>
      </c>
      <c r="K24" s="31" t="str">
        <f>IFERROR(__xludf.DUMMYFUNCTION("""COMPUTED_VALUE"""),"Fingal Head")</f>
        <v>Fingal Head</v>
      </c>
      <c r="L24" s="31" t="str">
        <f>IFERROR(__xludf.DUMMYFUNCTION("""COMPUTED_VALUE"""),"Cudgen")</f>
        <v>Cudgen</v>
      </c>
      <c r="M24" s="31" t="str">
        <f>IFERROR(__xludf.DUMMYFUNCTION("""COMPUTED_VALUE"""),"Chinderah")</f>
        <v>Chinderah</v>
      </c>
      <c r="N24" s="31" t="str">
        <f>IFERROR(__xludf.DUMMYFUNCTION("""COMPUTED_VALUE"""),"Kingscliff")</f>
        <v>Kingscliff</v>
      </c>
      <c r="O24" s="31" t="str">
        <f>IFERROR(__xludf.DUMMYFUNCTION("""COMPUTED_VALUE"""),"Casuarina")</f>
        <v>Casuarina</v>
      </c>
      <c r="P24" s="31" t="str">
        <f>IFERROR(__xludf.DUMMYFUNCTION("""COMPUTED_VALUE"""),"Hastings Point")</f>
        <v>Hastings Point</v>
      </c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</row>
    <row r="25">
      <c r="A25" s="88">
        <f>IFERROR(__xludf.DUMMYFUNCTION("""COMPUTED_VALUE"""),24.0)</f>
        <v>24</v>
      </c>
      <c r="B25" s="31" t="str">
        <f>IFERROR(__xludf.DUMMYFUNCTION("""COMPUTED_VALUE"""),"NSW")</f>
        <v>NSW</v>
      </c>
      <c r="C25" s="31" t="str">
        <f>IFERROR(__xludf.DUMMYFUNCTION("""COMPUTED_VALUE"""),"Penny Timothy")</f>
        <v>Penny Timothy</v>
      </c>
      <c r="D25" s="31" t="str">
        <f>IFERROR(__xludf.DUMMYFUNCTION("""COMPUTED_VALUE"""),"ptimothy@rwebay.com.au")</f>
        <v>ptimothy@rwebay.com.au</v>
      </c>
      <c r="E25" s="31" t="str">
        <f>IFERROR(__xludf.DUMMYFUNCTION("""COMPUTED_VALUE"""),"Richardson &amp; Wrench")</f>
        <v>Richardson &amp; Wrench</v>
      </c>
      <c r="F25" s="31" t="str">
        <f>IFERROR(__xludf.DUMMYFUNCTION("""COMPUTED_VALUE"""),"Potts Point")</f>
        <v>Potts Point</v>
      </c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</row>
    <row r="26">
      <c r="A26" s="88">
        <f>IFERROR(__xludf.DUMMYFUNCTION("""COMPUTED_VALUE"""),25.0)</f>
        <v>25</v>
      </c>
      <c r="B26" s="31" t="str">
        <f>IFERROR(__xludf.DUMMYFUNCTION("""COMPUTED_VALUE"""),"NSW")</f>
        <v>NSW</v>
      </c>
      <c r="C26" s="31" t="str">
        <f>IFERROR(__xludf.DUMMYFUNCTION("""COMPUTED_VALUE"""),"Peter Williams")</f>
        <v>Peter Williams</v>
      </c>
      <c r="D26" s="31" t="str">
        <f>IFERROR(__xludf.DUMMYFUNCTION("""COMPUTED_VALUE"""),"peter@slproperty.com.au")</f>
        <v>peter@slproperty.com.au</v>
      </c>
      <c r="E26" s="31" t="str">
        <f>IFERROR(__xludf.DUMMYFUNCTION("""COMPUTED_VALUE"""),"Southern Living Property")</f>
        <v>Southern Living Property</v>
      </c>
      <c r="F26" s="31" t="str">
        <f>IFERROR(__xludf.DUMMYFUNCTION("""COMPUTED_VALUE"""),"Bowral")</f>
        <v>Bowral</v>
      </c>
      <c r="G26" s="31" t="str">
        <f>IFERROR(__xludf.DUMMYFUNCTION("""COMPUTED_VALUE"""),"Burradoo")</f>
        <v>Burradoo</v>
      </c>
      <c r="H26" s="31" t="str">
        <f>IFERROR(__xludf.DUMMYFUNCTION("""COMPUTED_VALUE"""),"East Bowral")</f>
        <v>East Bowral</v>
      </c>
      <c r="I26" s="31" t="str">
        <f>IFERROR(__xludf.DUMMYFUNCTION("""COMPUTED_VALUE"""),"East Kangaloon")</f>
        <v>East Kangaloon</v>
      </c>
      <c r="J26" s="31" t="str">
        <f>IFERROR(__xludf.DUMMYFUNCTION("""COMPUTED_VALUE"""),"Glenquarry")</f>
        <v>Glenquarry</v>
      </c>
      <c r="K26" s="31" t="str">
        <f>IFERROR(__xludf.DUMMYFUNCTION("""COMPUTED_VALUE"""),"Kangaloon")</f>
        <v>Kangaloon</v>
      </c>
      <c r="L26" s="31" t="str">
        <f>IFERROR(__xludf.DUMMYFUNCTION("""COMPUTED_VALUE"""),"Alpine")</f>
        <v>Alpine</v>
      </c>
      <c r="M26" s="31" t="str">
        <f>IFERROR(__xludf.DUMMYFUNCTION("""COMPUTED_VALUE"""),"Aylmerton")</f>
        <v>Aylmerton</v>
      </c>
      <c r="N26" s="31" t="str">
        <f>IFERROR(__xludf.DUMMYFUNCTION("""COMPUTED_VALUE"""),"Balaclava")</f>
        <v>Balaclava</v>
      </c>
      <c r="O26" s="31" t="str">
        <f>IFERROR(__xludf.DUMMYFUNCTION("""COMPUTED_VALUE"""),"Braemar")</f>
        <v>Braemar</v>
      </c>
      <c r="P26" s="31" t="str">
        <f>IFERROR(__xludf.DUMMYFUNCTION("""COMPUTED_VALUE"""),"Bullio")</f>
        <v>Bullio</v>
      </c>
      <c r="Q26" s="31" t="str">
        <f>IFERROR(__xludf.DUMMYFUNCTION("""COMPUTED_VALUE"""),"Colo Vale")</f>
        <v>Colo Vale</v>
      </c>
      <c r="R26" s="31" t="str">
        <f>IFERROR(__xludf.DUMMYFUNCTION("""COMPUTED_VALUE"""),"Goodmans Ford")</f>
        <v>Goodmans Ford</v>
      </c>
      <c r="S26" s="31" t="str">
        <f>IFERROR(__xludf.DUMMYFUNCTION("""COMPUTED_VALUE"""),"High Range")</f>
        <v>High Range</v>
      </c>
      <c r="T26" s="31" t="str">
        <f>IFERROR(__xludf.DUMMYFUNCTION("""COMPUTED_VALUE"""),"Hill Top")</f>
        <v>Hill Top</v>
      </c>
      <c r="U26" s="31" t="str">
        <f>IFERROR(__xludf.DUMMYFUNCTION("""COMPUTED_VALUE"""),"Joadja")</f>
        <v>Joadja</v>
      </c>
      <c r="V26" s="31" t="str">
        <f>IFERROR(__xludf.DUMMYFUNCTION("""COMPUTED_VALUE"""),"Mandemar")</f>
        <v>Mandemar</v>
      </c>
      <c r="W26" s="31" t="str">
        <f>IFERROR(__xludf.DUMMYFUNCTION("""COMPUTED_VALUE"""),"Mittagong")</f>
        <v>Mittagong</v>
      </c>
      <c r="X26" s="31" t="str">
        <f>IFERROR(__xludf.DUMMYFUNCTION("""COMPUTED_VALUE"""),"Mount Lindsey")</f>
        <v>Mount Lindsey</v>
      </c>
      <c r="Y26" s="31" t="str">
        <f>IFERROR(__xludf.DUMMYFUNCTION("""COMPUTED_VALUE"""),"Renwick")</f>
        <v>Renwick</v>
      </c>
      <c r="Z26" s="31" t="str">
        <f>IFERROR(__xludf.DUMMYFUNCTION("""COMPUTED_VALUE"""),"Wattle Ridge")</f>
        <v>Wattle Ridge</v>
      </c>
      <c r="AA26" s="31" t="str">
        <f>IFERROR(__xludf.DUMMYFUNCTION("""COMPUTED_VALUE"""),"Welby")</f>
        <v>Welby</v>
      </c>
      <c r="AB26" s="31" t="str">
        <f>IFERROR(__xludf.DUMMYFUNCTION("""COMPUTED_VALUE"""),"Willow Vale")</f>
        <v>Willow Vale</v>
      </c>
      <c r="AC26" s="31" t="str">
        <f>IFERROR(__xludf.DUMMYFUNCTION("""COMPUTED_VALUE"""),"Woodlands")</f>
        <v>Woodlands</v>
      </c>
      <c r="AD26" s="31" t="str">
        <f>IFERROR(__xludf.DUMMYFUNCTION("""COMPUTED_VALUE"""),"Yerrinbool")</f>
        <v>Yerrinbool</v>
      </c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</row>
    <row r="27">
      <c r="A27" s="88">
        <f>IFERROR(__xludf.DUMMYFUNCTION("""COMPUTED_VALUE"""),26.0)</f>
        <v>26</v>
      </c>
      <c r="B27" s="31" t="str">
        <f>IFERROR(__xludf.DUMMYFUNCTION("""COMPUTED_VALUE"""),"NSW")</f>
        <v>NSW</v>
      </c>
      <c r="C27" s="31" t="str">
        <f>IFERROR(__xludf.DUMMYFUNCTION("""COMPUTED_VALUE"""),"Rebecca Hanzic")</f>
        <v>Rebecca Hanzic</v>
      </c>
      <c r="D27" s="31" t="str">
        <f>IFERROR(__xludf.DUMMYFUNCTION("""COMPUTED_VALUE"""),"rebecca@coastalpropertycollective.com")</f>
        <v>rebecca@coastalpropertycollective.com</v>
      </c>
      <c r="E27" s="31" t="str">
        <f>IFERROR(__xludf.DUMMYFUNCTION("""COMPUTED_VALUE"""),"Coastal Property Collective")</f>
        <v>Coastal Property Collective</v>
      </c>
      <c r="F27" s="31" t="str">
        <f>IFERROR(__xludf.DUMMYFUNCTION("""COMPUTED_VALUE"""),"Pottsville")</f>
        <v>Pottsville</v>
      </c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</row>
    <row r="28">
      <c r="A28" s="88">
        <f>IFERROR(__xludf.DUMMYFUNCTION("""COMPUTED_VALUE"""),27.0)</f>
        <v>27</v>
      </c>
      <c r="B28" s="31" t="str">
        <f>IFERROR(__xludf.DUMMYFUNCTION("""COMPUTED_VALUE"""),"NSW")</f>
        <v>NSW</v>
      </c>
      <c r="C28" s="31" t="str">
        <f>IFERROR(__xludf.DUMMYFUNCTION("""COMPUTED_VALUE"""),"Sam Kolatchew")</f>
        <v>Sam Kolatchew</v>
      </c>
      <c r="D28" s="31" t="str">
        <f>IFERROR(__xludf.DUMMYFUNCTION("""COMPUTED_VALUE"""),"sam@berkeleypg.com.au")</f>
        <v>sam@berkeleypg.com.au</v>
      </c>
      <c r="E28" s="31" t="str">
        <f>IFERROR(__xludf.DUMMYFUNCTION("""COMPUTED_VALUE"""),"Berkeley Property Group")</f>
        <v>Berkeley Property Group</v>
      </c>
      <c r="F28" s="31" t="str">
        <f>IFERROR(__xludf.DUMMYFUNCTION("""COMPUTED_VALUE"""),"Speers Point")</f>
        <v>Speers Point</v>
      </c>
      <c r="G28" s="31" t="str">
        <f>IFERROR(__xludf.DUMMYFUNCTION("""COMPUTED_VALUE"""),"Teralba")</f>
        <v>Teralba</v>
      </c>
      <c r="H28" s="31" t="str">
        <f>IFERROR(__xludf.DUMMYFUNCTION("""COMPUTED_VALUE"""),"Belmont North")</f>
        <v>Belmont North</v>
      </c>
      <c r="I28" s="31" t="str">
        <f>IFERROR(__xludf.DUMMYFUNCTION("""COMPUTED_VALUE"""),"Valentine")</f>
        <v>Valentine</v>
      </c>
      <c r="J28" s="31" t="str">
        <f>IFERROR(__xludf.DUMMYFUNCTION("""COMPUTED_VALUE"""),"Charlestown")</f>
        <v>Charlestown</v>
      </c>
      <c r="K28" s="31" t="str">
        <f>IFERROR(__xludf.DUMMYFUNCTION("""COMPUTED_VALUE"""),"Warners Bay")</f>
        <v>Warners Bay</v>
      </c>
      <c r="L28" s="31" t="str">
        <f>IFERROR(__xludf.DUMMYFUNCTION("""COMPUTED_VALUE"""),"Fennell Bay")</f>
        <v>Fennell Bay</v>
      </c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</row>
    <row r="29">
      <c r="A29" s="88">
        <f>IFERROR(__xludf.DUMMYFUNCTION("""COMPUTED_VALUE"""),28.0)</f>
        <v>28</v>
      </c>
      <c r="B29" s="31" t="str">
        <f>IFERROR(__xludf.DUMMYFUNCTION("""COMPUTED_VALUE"""),"NSW")</f>
        <v>NSW</v>
      </c>
      <c r="C29" s="31" t="str">
        <f>IFERROR(__xludf.DUMMYFUNCTION("""COMPUTED_VALUE"""),"Sam Thompson")</f>
        <v>Sam Thompson</v>
      </c>
      <c r="D29" s="31" t="str">
        <f>IFERROR(__xludf.DUMMYFUNCTION("""COMPUTED_VALUE"""),"samthompson@mcgrath.com.au")</f>
        <v>samthompson@mcgrath.com.au</v>
      </c>
      <c r="E29" s="31" t="str">
        <f>IFERROR(__xludf.DUMMYFUNCTION("""COMPUTED_VALUE"""),"McGrath - Pittwater")</f>
        <v>McGrath - Pittwater</v>
      </c>
      <c r="F29" s="31" t="str">
        <f>IFERROR(__xludf.DUMMYFUNCTION("""COMPUTED_VALUE"""),"Bayview")</f>
        <v>Bayview</v>
      </c>
      <c r="G29" s="31" t="str">
        <f>IFERROR(__xludf.DUMMYFUNCTION("""COMPUTED_VALUE"""),"Church Point")</f>
        <v>Church Point</v>
      </c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</row>
    <row r="30">
      <c r="A30" s="88">
        <f>IFERROR(__xludf.DUMMYFUNCTION("""COMPUTED_VALUE"""),29.0)</f>
        <v>29</v>
      </c>
      <c r="B30" s="31" t="str">
        <f>IFERROR(__xludf.DUMMYFUNCTION("""COMPUTED_VALUE"""),"NSW")</f>
        <v>NSW</v>
      </c>
      <c r="C30" s="31" t="str">
        <f>IFERROR(__xludf.DUMMYFUNCTION("""COMPUTED_VALUE"""),"Tamara Lawless")</f>
        <v>Tamara Lawless</v>
      </c>
      <c r="D30" s="31" t="str">
        <f>IFERROR(__xludf.DUMMYFUNCTION("""COMPUTED_VALUE"""),"tlawless@dijones.com.au")</f>
        <v>tlawless@dijones.com.au</v>
      </c>
      <c r="E30" s="31" t="str">
        <f>IFERROR(__xludf.DUMMYFUNCTION("""COMPUTED_VALUE"""),"Di Jones")</f>
        <v>Di Jones</v>
      </c>
      <c r="F30" s="31" t="str">
        <f>IFERROR(__xludf.DUMMYFUNCTION("""COMPUTED_VALUE"""),"Killarney Heights")</f>
        <v>Killarney Heights</v>
      </c>
      <c r="G30" s="31" t="str">
        <f>IFERROR(__xludf.DUMMYFUNCTION("""COMPUTED_VALUE"""),"Belrose")</f>
        <v>Belrose</v>
      </c>
      <c r="H30" s="31" t="str">
        <f>IFERROR(__xludf.DUMMYFUNCTION("""COMPUTED_VALUE"""),"Frenchs Forest")</f>
        <v>Frenchs Forest</v>
      </c>
      <c r="I30" s="31" t="str">
        <f>IFERROR(__xludf.DUMMYFUNCTION("""COMPUTED_VALUE"""),"Forestville")</f>
        <v>Forestville</v>
      </c>
      <c r="J30" s="31" t="str">
        <f>IFERROR(__xludf.DUMMYFUNCTION("""COMPUTED_VALUE"""),"Seaforth")</f>
        <v>Seaforth</v>
      </c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</row>
    <row r="31">
      <c r="A31" s="88">
        <f>IFERROR(__xludf.DUMMYFUNCTION("""COMPUTED_VALUE"""),30.0)</f>
        <v>30</v>
      </c>
      <c r="B31" s="31" t="str">
        <f>IFERROR(__xludf.DUMMYFUNCTION("""COMPUTED_VALUE"""),"NSW")</f>
        <v>NSW</v>
      </c>
      <c r="C31" s="31" t="str">
        <f>IFERROR(__xludf.DUMMYFUNCTION("""COMPUTED_VALUE"""),"Trent Waters")</f>
        <v>Trent Waters</v>
      </c>
      <c r="D31" s="31" t="str">
        <f>IFERROR(__xludf.DUMMYFUNCTION("""COMPUTED_VALUE"""),"trentwaters@oneagencypenrith.com.au")</f>
        <v>trentwaters@oneagencypenrith.com.au</v>
      </c>
      <c r="E31" s="31" t="str">
        <f>IFERROR(__xludf.DUMMYFUNCTION("""COMPUTED_VALUE"""),"One Agency")</f>
        <v>One Agency</v>
      </c>
      <c r="F31" s="31" t="str">
        <f>IFERROR(__xludf.DUMMYFUNCTION("""COMPUTED_VALUE"""),"South Penrith")</f>
        <v>South Penrith</v>
      </c>
      <c r="G31" s="31" t="str">
        <f>IFERROR(__xludf.DUMMYFUNCTION("""COMPUTED_VALUE"""),"Jordan Springs")</f>
        <v>Jordan Springs</v>
      </c>
      <c r="H31" s="31" t="str">
        <f>IFERROR(__xludf.DUMMYFUNCTION("""COMPUTED_VALUE"""),"Penrith")</f>
        <v>Penrith</v>
      </c>
      <c r="I31" s="31" t="str">
        <f>IFERROR(__xludf.DUMMYFUNCTION("""COMPUTED_VALUE"""),"Kingswood")</f>
        <v>Kingswood</v>
      </c>
      <c r="J31" s="31" t="str">
        <f>IFERROR(__xludf.DUMMYFUNCTION("""COMPUTED_VALUE"""),"Caddens")</f>
        <v>Caddens</v>
      </c>
      <c r="K31" s="31" t="str">
        <f>IFERROR(__xludf.DUMMYFUNCTION("""COMPUTED_VALUE"""),"Blaxland")</f>
        <v>Blaxland</v>
      </c>
      <c r="L31" s="31" t="str">
        <f>IFERROR(__xludf.DUMMYFUNCTION("""COMPUTED_VALUE"""),"Blaxland East")</f>
        <v>Blaxland East</v>
      </c>
      <c r="M31" s="31" t="str">
        <f>IFERROR(__xludf.DUMMYFUNCTION("""COMPUTED_VALUE"""),"Glenmore Park")</f>
        <v>Glenmore Park</v>
      </c>
      <c r="N31" s="31" t="str">
        <f>IFERROR(__xludf.DUMMYFUNCTION("""COMPUTED_VALUE"""),"Emu Plains")</f>
        <v>Emu Plains</v>
      </c>
      <c r="O31" s="31" t="str">
        <f>IFERROR(__xludf.DUMMYFUNCTION("""COMPUTED_VALUE"""),"St. Clair")</f>
        <v>St. Clair</v>
      </c>
      <c r="P31" s="31" t="str">
        <f>IFERROR(__xludf.DUMMYFUNCTION("""COMPUTED_VALUE"""),"Silverdale")</f>
        <v>Silverdale</v>
      </c>
      <c r="Q31" s="31" t="str">
        <f>IFERROR(__xludf.DUMMYFUNCTION("""COMPUTED_VALUE"""),"Shalvey")</f>
        <v>Shalvey</v>
      </c>
      <c r="R31" s="31" t="str">
        <f>IFERROR(__xludf.DUMMYFUNCTION("""COMPUTED_VALUE"""),"Emu Heights")</f>
        <v>Emu Heights</v>
      </c>
      <c r="S31" s="31" t="str">
        <f>IFERROR(__xludf.DUMMYFUNCTION("""COMPUTED_VALUE"""),"Dhurrak")</f>
        <v>Dhurrak</v>
      </c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</row>
    <row r="32">
      <c r="A32" s="88">
        <f>IFERROR(__xludf.DUMMYFUNCTION("""COMPUTED_VALUE"""),31.0)</f>
        <v>31</v>
      </c>
      <c r="B32" s="31" t="str">
        <f>IFERROR(__xludf.DUMMYFUNCTION("""COMPUTED_VALUE"""),"NSW")</f>
        <v>NSW</v>
      </c>
      <c r="C32" s="31" t="str">
        <f>IFERROR(__xludf.DUMMYFUNCTION("""COMPUTED_VALUE"""),"Will Steinhauer")</f>
        <v>Will Steinhauer</v>
      </c>
      <c r="D32" s="31" t="str">
        <f>IFERROR(__xludf.DUMMYFUNCTION("""COMPUTED_VALUE"""),"will.steinhauer@belleproperty.com")</f>
        <v>will.steinhauer@belleproperty.com</v>
      </c>
      <c r="E32" s="31" t="str">
        <f>IFERROR(__xludf.DUMMYFUNCTION("""COMPUTED_VALUE"""),"Belle Property")</f>
        <v>Belle Property</v>
      </c>
      <c r="F32" s="31" t="str">
        <f>IFERROR(__xludf.DUMMYFUNCTION("""COMPUTED_VALUE"""),"Camperdown")</f>
        <v>Camperdown</v>
      </c>
      <c r="G32" s="31" t="str">
        <f>IFERROR(__xludf.DUMMYFUNCTION("""COMPUTED_VALUE"""),"Annandale")</f>
        <v>Annandale</v>
      </c>
      <c r="H32" s="31" t="str">
        <f>IFERROR(__xludf.DUMMYFUNCTION("""COMPUTED_VALUE"""),"Lilyfield")</f>
        <v>Lilyfield</v>
      </c>
      <c r="I32" s="31" t="str">
        <f>IFERROR(__xludf.DUMMYFUNCTION("""COMPUTED_VALUE"""),"Leichhardt")</f>
        <v>Leichhardt</v>
      </c>
      <c r="J32" s="31" t="str">
        <f>IFERROR(__xludf.DUMMYFUNCTION("""COMPUTED_VALUE"""),"Rozelle")</f>
        <v>Rozelle</v>
      </c>
      <c r="K32" s="31" t="str">
        <f>IFERROR(__xludf.DUMMYFUNCTION("""COMPUTED_VALUE"""),"Haberfield")</f>
        <v>Haberfield</v>
      </c>
      <c r="L32" s="31" t="str">
        <f>IFERROR(__xludf.DUMMYFUNCTION("""COMPUTED_VALUE"""),"Stanmore")</f>
        <v>Stanmore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</row>
    <row r="33">
      <c r="A33" s="88" t="str">
        <f>IFERROR(__xludf.DUMMYFUNCTION("""COMPUTED_VALUE"""),"")</f>
        <v/>
      </c>
      <c r="B33" s="31" t="str">
        <f>IFERROR(__xludf.DUMMYFUNCTION("""COMPUTED_VALUE"""),"")</f>
        <v/>
      </c>
      <c r="C33" s="31" t="str">
        <f>IFERROR(__xludf.DUMMYFUNCTION("""COMPUTED_VALUE"""),"")</f>
        <v/>
      </c>
      <c r="D33" s="31" t="str">
        <f>IFERROR(__xludf.DUMMYFUNCTION("""COMPUTED_VALUE"""),"")</f>
        <v/>
      </c>
      <c r="E33" s="31" t="str">
        <f>IFERROR(__xludf.DUMMYFUNCTION("""COMPUTED_VALUE"""),"")</f>
        <v/>
      </c>
      <c r="F33" s="31" t="str">
        <f>IFERROR(__xludf.DUMMYFUNCTION("""COMPUTED_VALUE"""),"")</f>
        <v/>
      </c>
      <c r="G33" s="31" t="str">
        <f>IFERROR(__xludf.DUMMYFUNCTION("""COMPUTED_VALUE"""),"")</f>
        <v/>
      </c>
      <c r="H33" s="31" t="str">
        <f>IFERROR(__xludf.DUMMYFUNCTION("""COMPUTED_VALUE"""),"")</f>
        <v/>
      </c>
      <c r="I33" s="31" t="str">
        <f>IFERROR(__xludf.DUMMYFUNCTION("""COMPUTED_VALUE"""),"")</f>
        <v/>
      </c>
      <c r="J33" s="31" t="str">
        <f>IFERROR(__xludf.DUMMYFUNCTION("""COMPUTED_VALUE"""),"")</f>
        <v/>
      </c>
      <c r="K33" s="31" t="str">
        <f>IFERROR(__xludf.DUMMYFUNCTION("""COMPUTED_VALUE"""),"")</f>
        <v/>
      </c>
      <c r="L33" s="31" t="str">
        <f>IFERROR(__xludf.DUMMYFUNCTION("""COMPUTED_VALUE"""),"")</f>
        <v/>
      </c>
      <c r="M33" s="31" t="str">
        <f>IFERROR(__xludf.DUMMYFUNCTION("""COMPUTED_VALUE"""),"")</f>
        <v/>
      </c>
      <c r="N33" s="31" t="str">
        <f>IFERROR(__xludf.DUMMYFUNCTION("""COMPUTED_VALUE"""),"")</f>
        <v/>
      </c>
      <c r="O33" s="31" t="str">
        <f>IFERROR(__xludf.DUMMYFUNCTION("""COMPUTED_VALUE"""),"")</f>
        <v/>
      </c>
      <c r="P33" s="31" t="str">
        <f>IFERROR(__xludf.DUMMYFUNCTION("""COMPUTED_VALUE"""),"")</f>
        <v/>
      </c>
      <c r="Q33" s="31" t="str">
        <f>IFERROR(__xludf.DUMMYFUNCTION("""COMPUTED_VALUE"""),"")</f>
        <v/>
      </c>
      <c r="R33" s="31" t="str">
        <f>IFERROR(__xludf.DUMMYFUNCTION("""COMPUTED_VALUE"""),"")</f>
        <v/>
      </c>
      <c r="S33" s="31" t="str">
        <f>IFERROR(__xludf.DUMMYFUNCTION("""COMPUTED_VALUE"""),"")</f>
        <v/>
      </c>
      <c r="T33" s="31" t="str">
        <f>IFERROR(__xludf.DUMMYFUNCTION("""COMPUTED_VALUE"""),"")</f>
        <v/>
      </c>
      <c r="U33" s="31" t="str">
        <f>IFERROR(__xludf.DUMMYFUNCTION("""COMPUTED_VALUE"""),"")</f>
        <v/>
      </c>
      <c r="V33" s="31" t="str">
        <f>IFERROR(__xludf.DUMMYFUNCTION("""COMPUTED_VALUE"""),"")</f>
        <v/>
      </c>
      <c r="W33" s="31" t="str">
        <f>IFERROR(__xludf.DUMMYFUNCTION("""COMPUTED_VALUE"""),"")</f>
        <v/>
      </c>
      <c r="X33" s="31" t="str">
        <f>IFERROR(__xludf.DUMMYFUNCTION("""COMPUTED_VALUE"""),"")</f>
        <v/>
      </c>
      <c r="Y33" s="31" t="str">
        <f>IFERROR(__xludf.DUMMYFUNCTION("""COMPUTED_VALUE"""),"")</f>
        <v/>
      </c>
      <c r="Z33" s="31" t="str">
        <f>IFERROR(__xludf.DUMMYFUNCTION("""COMPUTED_VALUE"""),"")</f>
        <v/>
      </c>
      <c r="AA33" s="31" t="str">
        <f>IFERROR(__xludf.DUMMYFUNCTION("""COMPUTED_VALUE"""),"")</f>
        <v/>
      </c>
      <c r="AB33" s="31" t="str">
        <f>IFERROR(__xludf.DUMMYFUNCTION("""COMPUTED_VALUE"""),"")</f>
        <v/>
      </c>
      <c r="AC33" s="31" t="str">
        <f>IFERROR(__xludf.DUMMYFUNCTION("""COMPUTED_VALUE"""),"")</f>
        <v/>
      </c>
      <c r="AD33" s="31" t="str">
        <f>IFERROR(__xludf.DUMMYFUNCTION("""COMPUTED_VALUE"""),"")</f>
        <v/>
      </c>
      <c r="AE33" s="31" t="str">
        <f>IFERROR(__xludf.DUMMYFUNCTION("""COMPUTED_VALUE"""),"")</f>
        <v/>
      </c>
      <c r="AF33" s="31" t="str">
        <f>IFERROR(__xludf.DUMMYFUNCTION("""COMPUTED_VALUE"""),"")</f>
        <v/>
      </c>
      <c r="AG33" s="31" t="str">
        <f>IFERROR(__xludf.DUMMYFUNCTION("""COMPUTED_VALUE"""),"")</f>
        <v/>
      </c>
      <c r="AH33" s="31" t="str">
        <f>IFERROR(__xludf.DUMMYFUNCTION("""COMPUTED_VALUE"""),"")</f>
        <v/>
      </c>
      <c r="AI33" s="31" t="str">
        <f>IFERROR(__xludf.DUMMYFUNCTION("""COMPUTED_VALUE"""),"")</f>
        <v/>
      </c>
      <c r="AJ33" s="31" t="str">
        <f>IFERROR(__xludf.DUMMYFUNCTION("""COMPUTED_VALUE"""),"")</f>
        <v/>
      </c>
      <c r="AK33" s="31" t="str">
        <f>IFERROR(__xludf.DUMMYFUNCTION("""COMPUTED_VALUE"""),"")</f>
        <v/>
      </c>
      <c r="AL33" s="31" t="str">
        <f>IFERROR(__xludf.DUMMYFUNCTION("""COMPUTED_VALUE"""),"")</f>
        <v/>
      </c>
      <c r="AM33" s="31" t="str">
        <f>IFERROR(__xludf.DUMMYFUNCTION("""COMPUTED_VALUE"""),"")</f>
        <v/>
      </c>
      <c r="AN33" s="31" t="str">
        <f>IFERROR(__xludf.DUMMYFUNCTION("""COMPUTED_VALUE"""),"")</f>
        <v/>
      </c>
      <c r="AO33" s="31" t="str">
        <f>IFERROR(__xludf.DUMMYFUNCTION("""COMPUTED_VALUE"""),"")</f>
        <v/>
      </c>
      <c r="AP33" s="31" t="str">
        <f>IFERROR(__xludf.DUMMYFUNCTION("""COMPUTED_VALUE"""),"")</f>
        <v/>
      </c>
      <c r="AQ33" s="31" t="str">
        <f>IFERROR(__xludf.DUMMYFUNCTION("""COMPUTED_VALUE"""),"")</f>
        <v/>
      </c>
      <c r="AR33" s="31" t="str">
        <f>IFERROR(__xludf.DUMMYFUNCTION("""COMPUTED_VALUE"""),"")</f>
        <v/>
      </c>
      <c r="AS33" s="31" t="str">
        <f>IFERROR(__xludf.DUMMYFUNCTION("""COMPUTED_VALUE"""),"")</f>
        <v/>
      </c>
      <c r="AT33" s="31" t="str">
        <f>IFERROR(__xludf.DUMMYFUNCTION("""COMPUTED_VALUE"""),"")</f>
        <v/>
      </c>
      <c r="AU33" s="31" t="str">
        <f>IFERROR(__xludf.DUMMYFUNCTION("""COMPUTED_VALUE"""),"")</f>
        <v/>
      </c>
      <c r="AV33" s="31" t="str">
        <f>IFERROR(__xludf.DUMMYFUNCTION("""COMPUTED_VALUE"""),"")</f>
        <v/>
      </c>
      <c r="AW33" s="31" t="str">
        <f>IFERROR(__xludf.DUMMYFUNCTION("""COMPUTED_VALUE"""),"")</f>
        <v/>
      </c>
      <c r="AX33" s="31" t="str">
        <f>IFERROR(__xludf.DUMMYFUNCTION("""COMPUTED_VALUE"""),"")</f>
        <v/>
      </c>
      <c r="AY33" s="31" t="str">
        <f>IFERROR(__xludf.DUMMYFUNCTION("""COMPUTED_VALUE"""),"")</f>
        <v/>
      </c>
      <c r="AZ33" s="31" t="str">
        <f>IFERROR(__xludf.DUMMYFUNCTION("""COMPUTED_VALUE"""),"")</f>
        <v/>
      </c>
      <c r="BA33" s="31" t="str">
        <f>IFERROR(__xludf.DUMMYFUNCTION("""COMPUTED_VALUE"""),"")</f>
        <v/>
      </c>
      <c r="BB33" s="31" t="str">
        <f>IFERROR(__xludf.DUMMYFUNCTION("""COMPUTED_VALUE"""),"")</f>
        <v/>
      </c>
      <c r="BC33" s="31" t="str">
        <f>IFERROR(__xludf.DUMMYFUNCTION("""COMPUTED_VALUE"""),"")</f>
        <v/>
      </c>
    </row>
    <row r="34">
      <c r="A34" s="88">
        <f>IFERROR(__xludf.DUMMYFUNCTION("""COMPUTED_VALUE"""),32.0)</f>
        <v>32</v>
      </c>
      <c r="B34" s="31" t="str">
        <f>IFERROR(__xludf.DUMMYFUNCTION("""COMPUTED_VALUE"""),"QLD")</f>
        <v>QLD</v>
      </c>
      <c r="C34" s="31" t="str">
        <f>IFERROR(__xludf.DUMMYFUNCTION("""COMPUTED_VALUE"""),"Adam Sargent")</f>
        <v>Adam Sargent</v>
      </c>
      <c r="D34" s="31" t="str">
        <f>IFERROR(__xludf.DUMMYFUNCTION("""COMPUTED_VALUE"""),"adamsargent@oneagency.com.au")</f>
        <v>adamsargent@oneagency.com.au</v>
      </c>
      <c r="E34" s="31" t="str">
        <f>IFERROR(__xludf.DUMMYFUNCTION("""COMPUTED_VALUE"""),"One Agency")</f>
        <v>One Agency</v>
      </c>
      <c r="F34" s="31" t="str">
        <f>IFERROR(__xludf.DUMMYFUNCTION("""COMPUTED_VALUE"""),"Forest Lake")</f>
        <v>Forest Lake</v>
      </c>
      <c r="G34" s="31" t="str">
        <f>IFERROR(__xludf.DUMMYFUNCTION("""COMPUTED_VALUE"""),"Inala")</f>
        <v>Inala</v>
      </c>
      <c r="H34" s="31" t="str">
        <f>IFERROR(__xludf.DUMMYFUNCTION("""COMPUTED_VALUE"""),"Durack")</f>
        <v>Durack</v>
      </c>
      <c r="I34" s="31" t="str">
        <f>IFERROR(__xludf.DUMMYFUNCTION("""COMPUTED_VALUE"""),"Heathwood")</f>
        <v>Heathwood</v>
      </c>
      <c r="J34" s="31" t="str">
        <f>IFERROR(__xludf.DUMMYFUNCTION("""COMPUTED_VALUE"""),"Pallara")</f>
        <v>Pallara</v>
      </c>
      <c r="K34" s="31" t="str">
        <f>IFERROR(__xludf.DUMMYFUNCTION("""COMPUTED_VALUE"""),"Doolandella")</f>
        <v>Doolandella</v>
      </c>
      <c r="L34" s="31" t="str">
        <f>IFERROR(__xludf.DUMMYFUNCTION("""COMPUTED_VALUE"""),"Ellen Grove")</f>
        <v>Ellen Grove</v>
      </c>
      <c r="M34" s="31" t="str">
        <f>IFERROR(__xludf.DUMMYFUNCTION("""COMPUTED_VALUE"""),"Richlands")</f>
        <v>Richlands</v>
      </c>
      <c r="N34" s="31" t="str">
        <f>IFERROR(__xludf.DUMMYFUNCTION("""COMPUTED_VALUE"""),"Darra")</f>
        <v>Darra</v>
      </c>
      <c r="O34" s="31" t="str">
        <f>IFERROR(__xludf.DUMMYFUNCTION("""COMPUTED_VALUE"""),"Wacol")</f>
        <v>Wacol</v>
      </c>
      <c r="P34" s="31" t="str">
        <f>IFERROR(__xludf.DUMMYFUNCTION("""COMPUTED_VALUE"""),"Parkinson")</f>
        <v>Parkinson</v>
      </c>
      <c r="Q34" s="31" t="str">
        <f>IFERROR(__xludf.DUMMYFUNCTION("""COMPUTED_VALUE"""),"Acacia Ridge")</f>
        <v>Acacia Ridge</v>
      </c>
      <c r="R34" s="31" t="str">
        <f>IFERROR(__xludf.DUMMYFUNCTION("""COMPUTED_VALUE"""),"MacGregor")</f>
        <v>MacGregor</v>
      </c>
      <c r="S34" s="31" t="str">
        <f>IFERROR(__xludf.DUMMYFUNCTION("""COMPUTED_VALUE"""),"Mount Ommaney")</f>
        <v>Mount Ommaney</v>
      </c>
      <c r="T34" s="31" t="str">
        <f>IFERROR(__xludf.DUMMYFUNCTION("""COMPUTED_VALUE"""),"Jamboree Heights")</f>
        <v>Jamboree Heights</v>
      </c>
      <c r="U34" s="31" t="str">
        <f>IFERROR(__xludf.DUMMYFUNCTION("""COMPUTED_VALUE"""),"Algester")</f>
        <v>Algester</v>
      </c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</row>
    <row r="35">
      <c r="A35" s="88">
        <f>IFERROR(__xludf.DUMMYFUNCTION("""COMPUTED_VALUE"""),33.0)</f>
        <v>33</v>
      </c>
      <c r="B35" s="31" t="str">
        <f>IFERROR(__xludf.DUMMYFUNCTION("""COMPUTED_VALUE"""),"QLD")</f>
        <v>QLD</v>
      </c>
      <c r="C35" s="31" t="str">
        <f>IFERROR(__xludf.DUMMYFUNCTION("""COMPUTED_VALUE"""),"Adam Watts")</f>
        <v>Adam Watts</v>
      </c>
      <c r="D35" s="31" t="str">
        <f>IFERROR(__xludf.DUMMYFUNCTION("""COMPUTED_VALUE"""),"adam@wattspropertygroup.com.au")</f>
        <v>adam@wattspropertygroup.com.au</v>
      </c>
      <c r="E35" s="31" t="str">
        <f>IFERROR(__xludf.DUMMYFUNCTION("""COMPUTED_VALUE"""),"Watts Property Group")</f>
        <v>Watts Property Group</v>
      </c>
      <c r="F35" s="31" t="str">
        <f>IFERROR(__xludf.DUMMYFUNCTION("""COMPUTED_VALUE"""),"Noosa Heads")</f>
        <v>Noosa Heads</v>
      </c>
      <c r="G35" s="31" t="str">
        <f>IFERROR(__xludf.DUMMYFUNCTION("""COMPUTED_VALUE"""),"Noosaville")</f>
        <v>Noosaville</v>
      </c>
      <c r="H35" s="31" t="str">
        <f>IFERROR(__xludf.DUMMYFUNCTION("""COMPUTED_VALUE"""),"Sunshine Beach")</f>
        <v>Sunshine Beach</v>
      </c>
      <c r="I35" s="31" t="str">
        <f>IFERROR(__xludf.DUMMYFUNCTION("""COMPUTED_VALUE"""),"Sunrise Beach")</f>
        <v>Sunrise Beach</v>
      </c>
      <c r="J35" s="31" t="str">
        <f>IFERROR(__xludf.DUMMYFUNCTION("""COMPUTED_VALUE"""),"Castaways Beach")</f>
        <v>Castaways Beach</v>
      </c>
      <c r="K35" s="31" t="str">
        <f>IFERROR(__xludf.DUMMYFUNCTION("""COMPUTED_VALUE"""),"Weyba Downs")</f>
        <v>Weyba Downs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</row>
    <row r="36">
      <c r="A36" s="88">
        <f>IFERROR(__xludf.DUMMYFUNCTION("""COMPUTED_VALUE"""),34.0)</f>
        <v>34</v>
      </c>
      <c r="B36" s="31" t="str">
        <f>IFERROR(__xludf.DUMMYFUNCTION("""COMPUTED_VALUE"""),"QLD")</f>
        <v>QLD</v>
      </c>
      <c r="C36" s="31" t="str">
        <f>IFERROR(__xludf.DUMMYFUNCTION("""COMPUTED_VALUE"""),"Adriaan Coetzee")</f>
        <v>Adriaan Coetzee</v>
      </c>
      <c r="D36" s="31" t="str">
        <f>IFERROR(__xludf.DUMMYFUNCTION("""COMPUTED_VALUE"""),"Adriaan.coetzee@remax.com.au")</f>
        <v>Adriaan.coetzee@remax.com.au</v>
      </c>
      <c r="E36" s="31" t="str">
        <f>IFERROR(__xludf.DUMMYFUNCTION("""COMPUTED_VALUE"""),"RE/MAX Property Sales - Caloundra &amp; Nambour")</f>
        <v>RE/MAX Property Sales - Caloundra &amp; Nambour</v>
      </c>
      <c r="F36" s="31" t="str">
        <f>IFERROR(__xludf.DUMMYFUNCTION("""COMPUTED_VALUE"""),"Nambour")</f>
        <v>Nambour</v>
      </c>
      <c r="G36" s="31" t="str">
        <f>IFERROR(__xludf.DUMMYFUNCTION("""COMPUTED_VALUE"""),"Burnside")</f>
        <v>Burnside</v>
      </c>
      <c r="H36" s="31" t="str">
        <f>IFERROR(__xludf.DUMMYFUNCTION("""COMPUTED_VALUE"""),"Bli Bli")</f>
        <v>Bli Bli</v>
      </c>
      <c r="I36" s="31" t="str">
        <f>IFERROR(__xludf.DUMMYFUNCTION("""COMPUTED_VALUE"""),"Maroochy River")</f>
        <v>Maroochy River</v>
      </c>
      <c r="J36" s="31" t="str">
        <f>IFERROR(__xludf.DUMMYFUNCTION("""COMPUTED_VALUE"""),"Highworth")</f>
        <v>Highworth</v>
      </c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</row>
    <row r="37">
      <c r="A37" s="88">
        <f>IFERROR(__xludf.DUMMYFUNCTION("""COMPUTED_VALUE"""),35.0)</f>
        <v>35</v>
      </c>
      <c r="B37" s="31" t="str">
        <f>IFERROR(__xludf.DUMMYFUNCTION("""COMPUTED_VALUE"""),"QLD")</f>
        <v>QLD</v>
      </c>
      <c r="C37" s="31" t="str">
        <f>IFERROR(__xludf.DUMMYFUNCTION("""COMPUTED_VALUE"""),"Alan Kuss")</f>
        <v>Alan Kuss</v>
      </c>
      <c r="D37" s="31" t="str">
        <f>IFERROR(__xludf.DUMMYFUNCTION("""COMPUTED_VALUE"""),"alan.kuss@harcourtsrefined.com.au")</f>
        <v>alan.kuss@harcourtsrefined.com.au</v>
      </c>
      <c r="E37" s="31" t="str">
        <f>IFERROR(__xludf.DUMMYFUNCTION("""COMPUTED_VALUE"""),"Harcourts Refined")</f>
        <v>Harcourts Refined</v>
      </c>
      <c r="F37" s="31" t="str">
        <f>IFERROR(__xludf.DUMMYFUNCTION("""COMPUTED_VALUE"""),"Tamborine")</f>
        <v>Tamborine</v>
      </c>
      <c r="G37" s="31" t="str">
        <f>IFERROR(__xludf.DUMMYFUNCTION("""COMPUTED_VALUE"""),"Beaudesert")</f>
        <v>Beaudesert</v>
      </c>
      <c r="H37" s="31" t="str">
        <f>IFERROR(__xludf.DUMMYFUNCTION("""COMPUTED_VALUE"""),"Canungra")</f>
        <v>Canungra</v>
      </c>
      <c r="I37" s="31" t="str">
        <f>IFERROR(__xludf.DUMMYFUNCTION("""COMPUTED_VALUE"""),"Boyland")</f>
        <v>Boyland</v>
      </c>
      <c r="J37" s="31" t="str">
        <f>IFERROR(__xludf.DUMMYFUNCTION("""COMPUTED_VALUE"""),"Woodhill")</f>
        <v>Woodhill</v>
      </c>
      <c r="K37" s="31" t="str">
        <f>IFERROR(__xludf.DUMMYFUNCTION("""COMPUTED_VALUE"""),"Tamborine Mountain")</f>
        <v>Tamborine Mountain</v>
      </c>
      <c r="L37" s="31" t="str">
        <f>IFERROR(__xludf.DUMMYFUNCTION("""COMPUTED_VALUE"""),"Mundoolun")</f>
        <v>Mundoolun</v>
      </c>
      <c r="M37" s="31" t="str">
        <f>IFERROR(__xludf.DUMMYFUNCTION("""COMPUTED_VALUE"""),"Gleneagle")</f>
        <v>Gleneagle</v>
      </c>
      <c r="N37" s="31" t="str">
        <f>IFERROR(__xludf.DUMMYFUNCTION("""COMPUTED_VALUE"""),"Clagiraba")</f>
        <v>Clagiraba</v>
      </c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</row>
    <row r="38">
      <c r="A38" s="88">
        <f>IFERROR(__xludf.DUMMYFUNCTION("""COMPUTED_VALUE"""),36.0)</f>
        <v>36</v>
      </c>
      <c r="B38" s="31" t="str">
        <f>IFERROR(__xludf.DUMMYFUNCTION("""COMPUTED_VALUE"""),"QLD")</f>
        <v>QLD</v>
      </c>
      <c r="C38" s="31" t="str">
        <f>IFERROR(__xludf.DUMMYFUNCTION("""COMPUTED_VALUE"""),"Alex Millar")</f>
        <v>Alex Millar</v>
      </c>
      <c r="D38" s="31" t="str">
        <f>IFERROR(__xludf.DUMMYFUNCTION("""COMPUTED_VALUE"""),"alex@nichollandyoung.com.au")</f>
        <v>alex@nichollandyoung.com.au</v>
      </c>
      <c r="E38" s="31" t="str">
        <f>IFERROR(__xludf.DUMMYFUNCTION("""COMPUTED_VALUE"""),"Nicholl &amp; Young Property")</f>
        <v>Nicholl &amp; Young Property</v>
      </c>
      <c r="F38" s="31" t="str">
        <f>IFERROR(__xludf.DUMMYFUNCTION("""COMPUTED_VALUE"""),"Sippy Downs")</f>
        <v>Sippy Downs</v>
      </c>
      <c r="G38" s="31" t="str">
        <f>IFERROR(__xludf.DUMMYFUNCTION("""COMPUTED_VALUE"""),"Maroochydore")</f>
        <v>Maroochydore</v>
      </c>
      <c r="H38" s="31" t="str">
        <f>IFERROR(__xludf.DUMMYFUNCTION("""COMPUTED_VALUE"""),"Kuluin")</f>
        <v>Kuluin</v>
      </c>
      <c r="I38" s="31" t="str">
        <f>IFERROR(__xludf.DUMMYFUNCTION("""COMPUTED_VALUE"""),"Mons")</f>
        <v>Mons</v>
      </c>
      <c r="J38" s="31" t="str">
        <f>IFERROR(__xludf.DUMMYFUNCTION("""COMPUTED_VALUE"""),"Kunda Park")</f>
        <v>Kunda Park</v>
      </c>
      <c r="K38" s="31" t="str">
        <f>IFERROR(__xludf.DUMMYFUNCTION("""COMPUTED_VALUE"""),"Forest Glen")</f>
        <v>Forest Glen</v>
      </c>
      <c r="L38" s="31" t="str">
        <f>IFERROR(__xludf.DUMMYFUNCTION("""COMPUTED_VALUE"""),"Twin Waters")</f>
        <v>Twin Waters</v>
      </c>
      <c r="M38" s="31" t="str">
        <f>IFERROR(__xludf.DUMMYFUNCTION("""COMPUTED_VALUE"""),"Mudjimba")</f>
        <v>Mudjimba</v>
      </c>
      <c r="N38" s="31" t="str">
        <f>IFERROR(__xludf.DUMMYFUNCTION("""COMPUTED_VALUE"""),"Pacific Paradise")</f>
        <v>Pacific Paradise</v>
      </c>
      <c r="O38" s="31" t="str">
        <f>IFERROR(__xludf.DUMMYFUNCTION("""COMPUTED_VALUE"""),"Landers Shoot")</f>
        <v>Landers Shoot</v>
      </c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</row>
    <row r="39">
      <c r="A39" s="88">
        <f>IFERROR(__xludf.DUMMYFUNCTION("""COMPUTED_VALUE"""),37.0)</f>
        <v>37</v>
      </c>
      <c r="B39" s="31" t="str">
        <f>IFERROR(__xludf.DUMMYFUNCTION("""COMPUTED_VALUE"""),"QLD")</f>
        <v>QLD</v>
      </c>
      <c r="C39" s="31" t="str">
        <f>IFERROR(__xludf.DUMMYFUNCTION("""COMPUTED_VALUE"""),"Alex Sparrow")</f>
        <v>Alex Sparrow</v>
      </c>
      <c r="D39" s="31" t="str">
        <f>IFERROR(__xludf.DUMMYFUNCTION("""COMPUTED_VALUE"""),"alex@imageproperty.com.au")</f>
        <v>alex@imageproperty.com.au</v>
      </c>
      <c r="E39" s="31" t="str">
        <f>IFERROR(__xludf.DUMMYFUNCTION("""COMPUTED_VALUE"""),"Image Property")</f>
        <v>Image Property</v>
      </c>
      <c r="F39" s="31" t="str">
        <f>IFERROR(__xludf.DUMMYFUNCTION("""COMPUTED_VALUE"""),"Raceview")</f>
        <v>Raceview</v>
      </c>
      <c r="G39" s="31" t="str">
        <f>IFERROR(__xludf.DUMMYFUNCTION("""COMPUTED_VALUE"""),"Eastern Heights")</f>
        <v>Eastern Heights</v>
      </c>
      <c r="H39" s="31" t="str">
        <f>IFERROR(__xludf.DUMMYFUNCTION("""COMPUTED_VALUE"""),"Ipswich")</f>
        <v>Ipswich</v>
      </c>
      <c r="I39" s="31" t="str">
        <f>IFERROR(__xludf.DUMMYFUNCTION("""COMPUTED_VALUE"""),"Booval")</f>
        <v>Booval</v>
      </c>
      <c r="J39" s="31" t="str">
        <f>IFERROR(__xludf.DUMMYFUNCTION("""COMPUTED_VALUE"""),"Newtown")</f>
        <v>Newtown</v>
      </c>
      <c r="K39" s="31" t="str">
        <f>IFERROR(__xludf.DUMMYFUNCTION("""COMPUTED_VALUE"""),"Karalee")</f>
        <v>Karalee</v>
      </c>
      <c r="L39" s="31" t="str">
        <f>IFERROR(__xludf.DUMMYFUNCTION("""COMPUTED_VALUE"""),"Ripley")</f>
        <v>Ripley</v>
      </c>
      <c r="M39" s="31" t="str">
        <f>IFERROR(__xludf.DUMMYFUNCTION("""COMPUTED_VALUE"""),"Yamanto")</f>
        <v>Yamanto</v>
      </c>
      <c r="N39" s="31" t="str">
        <f>IFERROR(__xludf.DUMMYFUNCTION("""COMPUTED_VALUE"""),"Flinders View")</f>
        <v>Flinders View</v>
      </c>
      <c r="O39" s="31" t="str">
        <f>IFERROR(__xludf.DUMMYFUNCTION("""COMPUTED_VALUE"""),"Churchill")</f>
        <v>Churchill</v>
      </c>
      <c r="P39" s="31" t="str">
        <f>IFERROR(__xludf.DUMMYFUNCTION("""COMPUTED_VALUE"""),"One Mile")</f>
        <v>One Mile</v>
      </c>
      <c r="Q39" s="31" t="str">
        <f>IFERROR(__xludf.DUMMYFUNCTION("""COMPUTED_VALUE"""),"Leichhardt")</f>
        <v>Leichhardt</v>
      </c>
      <c r="R39" s="31" t="str">
        <f>IFERROR(__xludf.DUMMYFUNCTION("""COMPUTED_VALUE"""),"West Ipswich")</f>
        <v>West Ipswich</v>
      </c>
      <c r="S39" s="31" t="str">
        <f>IFERROR(__xludf.DUMMYFUNCTION("""COMPUTED_VALUE"""),"Silkstone")</f>
        <v>Silkstone</v>
      </c>
      <c r="T39" s="31" t="str">
        <f>IFERROR(__xludf.DUMMYFUNCTION("""COMPUTED_VALUE"""),"Blackstone")</f>
        <v>Blackstone</v>
      </c>
      <c r="U39" s="31" t="str">
        <f>IFERROR(__xludf.DUMMYFUNCTION("""COMPUTED_VALUE"""),"Fernvale")</f>
        <v>Fernvale</v>
      </c>
      <c r="V39" s="31" t="str">
        <f>IFERROR(__xludf.DUMMYFUNCTION("""COMPUTED_VALUE"""),"Karana Downs")</f>
        <v>Karana Downs</v>
      </c>
      <c r="W39" s="31" t="str">
        <f>IFERROR(__xludf.DUMMYFUNCTION("""COMPUTED_VALUE"""),"Anstead")</f>
        <v>Anstead</v>
      </c>
      <c r="X39" s="31" t="str">
        <f>IFERROR(__xludf.DUMMYFUNCTION("""COMPUTED_VALUE"""),"Barellan Point")</f>
        <v>Barellan Point</v>
      </c>
      <c r="Y39" s="31" t="str">
        <f>IFERROR(__xludf.DUMMYFUNCTION("""COMPUTED_VALUE"""),"Fairney View")</f>
        <v>Fairney View</v>
      </c>
      <c r="Z39" s="31" t="str">
        <f>IFERROR(__xludf.DUMMYFUNCTION("""COMPUTED_VALUE"""),"Brassall")</f>
        <v>Brassall</v>
      </c>
      <c r="AA39" s="31" t="str">
        <f>IFERROR(__xludf.DUMMYFUNCTION("""COMPUTED_VALUE"""),"Wulkuraka")</f>
        <v>Wulkuraka</v>
      </c>
      <c r="AB39" s="31" t="str">
        <f>IFERROR(__xludf.DUMMYFUNCTION("""COMPUTED_VALUE"""),"Coalfalls")</f>
        <v>Coalfalls</v>
      </c>
      <c r="AC39" s="31" t="str">
        <f>IFERROR(__xludf.DUMMYFUNCTION("""COMPUTED_VALUE"""),"Sadliers Crossing")</f>
        <v>Sadliers Crossing</v>
      </c>
      <c r="AD39" s="31" t="str">
        <f>IFERROR(__xludf.DUMMYFUNCTION("""COMPUTED_VALUE"""),"Woodend")</f>
        <v>Woodend</v>
      </c>
      <c r="AE39" s="31" t="str">
        <f>IFERROR(__xludf.DUMMYFUNCTION("""COMPUTED_VALUE"""),"North Ipswich")</f>
        <v>North Ipswich</v>
      </c>
      <c r="AF39" s="31" t="str">
        <f>IFERROR(__xludf.DUMMYFUNCTION("""COMPUTED_VALUE"""),"Basin Pocket")</f>
        <v>Basin Pocket</v>
      </c>
      <c r="AG39" s="31" t="str">
        <f>IFERROR(__xludf.DUMMYFUNCTION("""COMPUTED_VALUE"""),"Tivoli")</f>
        <v>Tivoli</v>
      </c>
      <c r="AH39" s="31" t="str">
        <f>IFERROR(__xludf.DUMMYFUNCTION("""COMPUTED_VALUE"""),"East Ipswich")</f>
        <v>East Ipswich</v>
      </c>
      <c r="AI39" s="31" t="str">
        <f>IFERROR(__xludf.DUMMYFUNCTION("""COMPUTED_VALUE"""),"Moores Pocket")</f>
        <v>Moores Pocket</v>
      </c>
      <c r="AJ39" s="31" t="str">
        <f>IFERROR(__xludf.DUMMYFUNCTION("""COMPUTED_VALUE"""),"North Tivoli")</f>
        <v>North Tivoli</v>
      </c>
      <c r="AK39" s="31" t="str">
        <f>IFERROR(__xludf.DUMMYFUNCTION("""COMPUTED_VALUE"""),"North Booval")</f>
        <v>North Booval</v>
      </c>
      <c r="AL39" s="31" t="str">
        <f>IFERROR(__xludf.DUMMYFUNCTION("""COMPUTED_VALUE"""),"Bundamba")</f>
        <v>Bundamba</v>
      </c>
      <c r="AM39" s="31" t="str">
        <f>IFERROR(__xludf.DUMMYFUNCTION("""COMPUTED_VALUE"""),"Ebbw Vale")</f>
        <v>Ebbw Vale</v>
      </c>
      <c r="AN39" s="31" t="str">
        <f>IFERROR(__xludf.DUMMYFUNCTION("""COMPUTED_VALUE"""),"Chuwar")</f>
        <v>Chuwar</v>
      </c>
      <c r="AO39" s="31" t="str">
        <f>IFERROR(__xludf.DUMMYFUNCTION("""COMPUTED_VALUE"""),"Pine Mountain")</f>
        <v>Pine Mountain</v>
      </c>
      <c r="AP39" s="31" t="str">
        <f>IFERROR(__xludf.DUMMYFUNCTION("""COMPUTED_VALUE"""),"Prenzlau")</f>
        <v>Prenzlau</v>
      </c>
      <c r="AQ39" s="31" t="str">
        <f>IFERROR(__xludf.DUMMYFUNCTION("""COMPUTED_VALUE"""),"Deebing Heights")</f>
        <v>Deebing Heights</v>
      </c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</row>
    <row r="40">
      <c r="A40" s="88">
        <f>IFERROR(__xludf.DUMMYFUNCTION("""COMPUTED_VALUE"""),38.0)</f>
        <v>38</v>
      </c>
      <c r="B40" s="31" t="str">
        <f>IFERROR(__xludf.DUMMYFUNCTION("""COMPUTED_VALUE"""),"QLD")</f>
        <v>QLD</v>
      </c>
      <c r="C40" s="31" t="str">
        <f>IFERROR(__xludf.DUMMYFUNCTION("""COMPUTED_VALUE"""),"Aman Singh")</f>
        <v>Aman Singh</v>
      </c>
      <c r="D40" s="31" t="str">
        <f>IFERROR(__xludf.DUMMYFUNCTION("""COMPUTED_VALUE"""),"amansingh@mcgrath.com.au")</f>
        <v>amansingh@mcgrath.com.au</v>
      </c>
      <c r="E40" s="31" t="str">
        <f>IFERROR(__xludf.DUMMYFUNCTION("""COMPUTED_VALUE"""),"McGrath")</f>
        <v>McGrath</v>
      </c>
      <c r="F40" s="31" t="str">
        <f>IFERROR(__xludf.DUMMYFUNCTION("""COMPUTED_VALUE"""),"Boondall")</f>
        <v>Boondall</v>
      </c>
      <c r="G40" s="31" t="str">
        <f>IFERROR(__xludf.DUMMYFUNCTION("""COMPUTED_VALUE"""),"Taigum")</f>
        <v>Taigum</v>
      </c>
      <c r="H40" s="31" t="str">
        <f>IFERROR(__xludf.DUMMYFUNCTION("""COMPUTED_VALUE"""),"Virginia")</f>
        <v>Virginia</v>
      </c>
      <c r="I40" s="31" t="str">
        <f>IFERROR(__xludf.DUMMYFUNCTION("""COMPUTED_VALUE"""),"Fitzgibbon")</f>
        <v>Fitzgibbon</v>
      </c>
      <c r="J40" s="31" t="str">
        <f>IFERROR(__xludf.DUMMYFUNCTION("""COMPUTED_VALUE"""),"Bracken Ridge")</f>
        <v>Bracken Ridge</v>
      </c>
      <c r="K40" s="31" t="str">
        <f>IFERROR(__xludf.DUMMYFUNCTION("""COMPUTED_VALUE"""),"Bald Hills")</f>
        <v>Bald Hills</v>
      </c>
      <c r="L40" s="31" t="str">
        <f>IFERROR(__xludf.DUMMYFUNCTION("""COMPUTED_VALUE"""),"Northgate")</f>
        <v>Northgate</v>
      </c>
      <c r="M40" s="31" t="str">
        <f>IFERROR(__xludf.DUMMYFUNCTION("""COMPUTED_VALUE"""),"Carseldine")</f>
        <v>Carseldine</v>
      </c>
      <c r="N40" s="31" t="str">
        <f>IFERROR(__xludf.DUMMYFUNCTION("""COMPUTED_VALUE"""),"Bridgeman Downs")</f>
        <v>Bridgeman Downs</v>
      </c>
      <c r="O40" s="31" t="str">
        <f>IFERROR(__xludf.DUMMYFUNCTION("""COMPUTED_VALUE"""),"Zillmere")</f>
        <v>Zillmere</v>
      </c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</row>
    <row r="41">
      <c r="A41" s="88">
        <f>IFERROR(__xludf.DUMMYFUNCTION("""COMPUTED_VALUE"""),39.0)</f>
        <v>39</v>
      </c>
      <c r="B41" s="31" t="str">
        <f>IFERROR(__xludf.DUMMYFUNCTION("""COMPUTED_VALUE"""),"QLD")</f>
        <v>QLD</v>
      </c>
      <c r="C41" s="31" t="str">
        <f>IFERROR(__xludf.DUMMYFUNCTION("""COMPUTED_VALUE"""),"Ashleah Lucey")</f>
        <v>Ashleah Lucey</v>
      </c>
      <c r="D41" s="31" t="str">
        <f>IFERROR(__xludf.DUMMYFUNCTION("""COMPUTED_VALUE"""),"ashleah@ashleahluceyproperty.com.au")</f>
        <v>ashleah@ashleahluceyproperty.com.au</v>
      </c>
      <c r="E41" s="31" t="str">
        <f>IFERROR(__xludf.DUMMYFUNCTION("""COMPUTED_VALUE"""),"Ashleah Lucey Property")</f>
        <v>Ashleah Lucey Property</v>
      </c>
      <c r="F41" s="31" t="str">
        <f>IFERROR(__xludf.DUMMYFUNCTION("""COMPUTED_VALUE"""),"Brookwater")</f>
        <v>Brookwater</v>
      </c>
      <c r="G41" s="31" t="str">
        <f>IFERROR(__xludf.DUMMYFUNCTION("""COMPUTED_VALUE"""),"Springfield")</f>
        <v>Springfield</v>
      </c>
      <c r="H41" s="31" t="str">
        <f>IFERROR(__xludf.DUMMYFUNCTION("""COMPUTED_VALUE"""),"South Ripley")</f>
        <v>South Ripley</v>
      </c>
      <c r="I41" s="31" t="str">
        <f>IFERROR(__xludf.DUMMYFUNCTION("""COMPUTED_VALUE"""),"Redbank")</f>
        <v>Redbank</v>
      </c>
      <c r="J41" s="31" t="str">
        <f>IFERROR(__xludf.DUMMYFUNCTION("""COMPUTED_VALUE"""),"Bellbird Park")</f>
        <v>Bellbird Park</v>
      </c>
      <c r="K41" s="31" t="str">
        <f>IFERROR(__xludf.DUMMYFUNCTION("""COMPUTED_VALUE"""),"Springfield Lakes")</f>
        <v>Springfield Lakes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</row>
    <row r="42">
      <c r="A42" s="88">
        <f>IFERROR(__xludf.DUMMYFUNCTION("""COMPUTED_VALUE"""),40.0)</f>
        <v>40</v>
      </c>
      <c r="B42" s="31" t="str">
        <f>IFERROR(__xludf.DUMMYFUNCTION("""COMPUTED_VALUE"""),"QLD")</f>
        <v>QLD</v>
      </c>
      <c r="C42" s="31" t="str">
        <f>IFERROR(__xludf.DUMMYFUNCTION("""COMPUTED_VALUE"""),"Ben Tribolet")</f>
        <v>Ben Tribolet</v>
      </c>
      <c r="D42" s="31" t="str">
        <f>IFERROR(__xludf.DUMMYFUNCTION("""COMPUTED_VALUE"""),"ben@schmith.com.au")</f>
        <v>ben@schmith.com.au</v>
      </c>
      <c r="E42" s="31" t="str">
        <f>IFERROR(__xludf.DUMMYFUNCTION("""COMPUTED_VALUE"""),"Schmith")</f>
        <v>Schmith</v>
      </c>
      <c r="F42" s="31" t="str">
        <f>IFERROR(__xludf.DUMMYFUNCTION("""COMPUTED_VALUE"""),"Coolangatta")</f>
        <v>Coolangatta</v>
      </c>
      <c r="G42" s="31" t="str">
        <f>IFERROR(__xludf.DUMMYFUNCTION("""COMPUTED_VALUE"""),"Palm Beach")</f>
        <v>Palm Beach</v>
      </c>
      <c r="H42" s="31" t="str">
        <f>IFERROR(__xludf.DUMMYFUNCTION("""COMPUTED_VALUE"""),"Currumbin")</f>
        <v>Currumbin</v>
      </c>
      <c r="I42" s="31" t="str">
        <f>IFERROR(__xludf.DUMMYFUNCTION("""COMPUTED_VALUE"""),"Currumbin Waters")</f>
        <v>Currumbin Waters</v>
      </c>
      <c r="J42" s="31" t="str">
        <f>IFERROR(__xludf.DUMMYFUNCTION("""COMPUTED_VALUE"""),"Tugun")</f>
        <v>Tugun</v>
      </c>
      <c r="K42" s="31" t="str">
        <f>IFERROR(__xludf.DUMMYFUNCTION("""COMPUTED_VALUE"""),"Elanora")</f>
        <v>Elanora</v>
      </c>
      <c r="L42" s="31" t="str">
        <f>IFERROR(__xludf.DUMMYFUNCTION("""COMPUTED_VALUE"""),"Bilinga")</f>
        <v>Bilinga</v>
      </c>
      <c r="M42" s="31" t="str">
        <f>IFERROR(__xludf.DUMMYFUNCTION("""COMPUTED_VALUE"""),"Tallebudgera")</f>
        <v>Tallebudgera</v>
      </c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</row>
    <row r="43">
      <c r="A43" s="88">
        <f>IFERROR(__xludf.DUMMYFUNCTION("""COMPUTED_VALUE"""),41.0)</f>
        <v>41</v>
      </c>
      <c r="B43" s="31" t="str">
        <f>IFERROR(__xludf.DUMMYFUNCTION("""COMPUTED_VALUE"""),"QLD")</f>
        <v>QLD</v>
      </c>
      <c r="C43" s="31" t="str">
        <f>IFERROR(__xludf.DUMMYFUNCTION("""COMPUTED_VALUE"""),"Ben Young")</f>
        <v>Ben Young</v>
      </c>
      <c r="D43" s="31" t="str">
        <f>IFERROR(__xludf.DUMMYFUNCTION("""COMPUTED_VALUE"""),"ben@nichollandyoung.com.au")</f>
        <v>ben@nichollandyoung.com.au</v>
      </c>
      <c r="E43" s="31" t="str">
        <f>IFERROR(__xludf.DUMMYFUNCTION("""COMPUTED_VALUE"""),"Nicholl &amp; Young Property")</f>
        <v>Nicholl &amp; Young Property</v>
      </c>
      <c r="F43" s="31" t="str">
        <f>IFERROR(__xludf.DUMMYFUNCTION("""COMPUTED_VALUE"""),"Mooloolaba")</f>
        <v>Mooloolaba</v>
      </c>
      <c r="G43" s="31" t="str">
        <f>IFERROR(__xludf.DUMMYFUNCTION("""COMPUTED_VALUE"""),"Parrearra")</f>
        <v>Parrearra</v>
      </c>
      <c r="H43" s="31" t="str">
        <f>IFERROR(__xludf.DUMMYFUNCTION("""COMPUTED_VALUE"""),"Tanawha")</f>
        <v>Tanawha</v>
      </c>
      <c r="I43" s="31" t="str">
        <f>IFERROR(__xludf.DUMMYFUNCTION("""COMPUTED_VALUE"""),"Alexandra Headland")</f>
        <v>Alexandra Headland</v>
      </c>
      <c r="J43" s="31" t="str">
        <f>IFERROR(__xludf.DUMMYFUNCTION("""COMPUTED_VALUE"""),"Buddina")</f>
        <v>Buddina</v>
      </c>
      <c r="K43" s="31" t="str">
        <f>IFERROR(__xludf.DUMMYFUNCTION("""COMPUTED_VALUE"""),"Mountain Creek")</f>
        <v>Mountain Creek</v>
      </c>
      <c r="L43" s="31" t="str">
        <f>IFERROR(__xludf.DUMMYFUNCTION("""COMPUTED_VALUE"""),"Buderim")</f>
        <v>Buderim</v>
      </c>
      <c r="M43" s="31" t="str">
        <f>IFERROR(__xludf.DUMMYFUNCTION("""COMPUTED_VALUE"""),"Meridan Plains")</f>
        <v>Meridan Plains</v>
      </c>
      <c r="N43" s="31" t="str">
        <f>IFERROR(__xludf.DUMMYFUNCTION("""COMPUTED_VALUE"""),"Warana")</f>
        <v>Warana</v>
      </c>
      <c r="O43" s="31" t="str">
        <f>IFERROR(__xludf.DUMMYFUNCTION("""COMPUTED_VALUE"""),"Minyama")</f>
        <v>Minyama</v>
      </c>
      <c r="P43" s="31" t="str">
        <f>IFERROR(__xludf.DUMMYFUNCTION("""COMPUTED_VALUE"""),"Palmview")</f>
        <v>Palmview</v>
      </c>
      <c r="Q43" s="31" t="str">
        <f>IFERROR(__xludf.DUMMYFUNCTION("""COMPUTED_VALUE"""),"Bokarina")</f>
        <v>Bokarina</v>
      </c>
      <c r="R43" s="31" t="str">
        <f>IFERROR(__xludf.DUMMYFUNCTION("""COMPUTED_VALUE"""),"Birtinya")</f>
        <v>Birtinya</v>
      </c>
      <c r="S43" s="31" t="str">
        <f>IFERROR(__xludf.DUMMYFUNCTION("""COMPUTED_VALUE"""),"Wurtulla")</f>
        <v>Wurtulla</v>
      </c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</row>
    <row r="44">
      <c r="A44" s="88">
        <f>IFERROR(__xludf.DUMMYFUNCTION("""COMPUTED_VALUE"""),42.0)</f>
        <v>42</v>
      </c>
      <c r="B44" s="31" t="str">
        <f>IFERROR(__xludf.DUMMYFUNCTION("""COMPUTED_VALUE"""),"QLD")</f>
        <v>QLD</v>
      </c>
      <c r="C44" s="31" t="str">
        <f>IFERROR(__xludf.DUMMYFUNCTION("""COMPUTED_VALUE"""),"Benjamin Holzworth")</f>
        <v>Benjamin Holzworth</v>
      </c>
      <c r="D44" s="31" t="str">
        <f>IFERROR(__xludf.DUMMYFUNCTION("""COMPUTED_VALUE"""),"ben.holzworth@freedomproperty.com.au")</f>
        <v>ben.holzworth@freedomproperty.com.au</v>
      </c>
      <c r="E44" s="31" t="str">
        <f>IFERROR(__xludf.DUMMYFUNCTION("""COMPUTED_VALUE"""),"Freedom Property")</f>
        <v>Freedom Property</v>
      </c>
      <c r="F44" s="31" t="str">
        <f>IFERROR(__xludf.DUMMYFUNCTION("""COMPUTED_VALUE"""),"Capalaba")</f>
        <v>Capalaba</v>
      </c>
      <c r="G44" s="31" t="str">
        <f>IFERROR(__xludf.DUMMYFUNCTION("""COMPUTED_VALUE"""),"Alexandra Hills")</f>
        <v>Alexandra Hills</v>
      </c>
      <c r="H44" s="31" t="str">
        <f>IFERROR(__xludf.DUMMYFUNCTION("""COMPUTED_VALUE"""),"Sheldon")</f>
        <v>Sheldon</v>
      </c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</row>
    <row r="45">
      <c r="A45" s="88">
        <f>IFERROR(__xludf.DUMMYFUNCTION("""COMPUTED_VALUE"""),43.0)</f>
        <v>43</v>
      </c>
      <c r="B45" s="31" t="str">
        <f>IFERROR(__xludf.DUMMYFUNCTION("""COMPUTED_VALUE"""),"QLD")</f>
        <v>QLD</v>
      </c>
      <c r="C45" s="31" t="str">
        <f>IFERROR(__xludf.DUMMYFUNCTION("""COMPUTED_VALUE"""),"Brad Scott")</f>
        <v>Brad Scott</v>
      </c>
      <c r="D45" s="31" t="str">
        <f>IFERROR(__xludf.DUMMYFUNCTION("""COMPUTED_VALUE"""),"brad@smartrealestate.com.au")</f>
        <v>brad@smartrealestate.com.au</v>
      </c>
      <c r="E45" s="31" t="str">
        <f>IFERROR(__xludf.DUMMYFUNCTION("""COMPUTED_VALUE"""),"Smart Real Estate - Gold Coast")</f>
        <v>Smart Real Estate - Gold Coast</v>
      </c>
      <c r="F45" s="31" t="str">
        <f>IFERROR(__xludf.DUMMYFUNCTION("""COMPUTED_VALUE"""),"Ashmore")</f>
        <v>Ashmore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</row>
    <row r="46">
      <c r="A46" s="88">
        <f>IFERROR(__xludf.DUMMYFUNCTION("""COMPUTED_VALUE"""),44.0)</f>
        <v>44</v>
      </c>
      <c r="B46" s="31" t="str">
        <f>IFERROR(__xludf.DUMMYFUNCTION("""COMPUTED_VALUE"""),"QLD")</f>
        <v>QLD</v>
      </c>
      <c r="C46" s="31" t="str">
        <f>IFERROR(__xludf.DUMMYFUNCTION("""COMPUTED_VALUE"""),"Brett Mullen")</f>
        <v>Brett Mullen</v>
      </c>
      <c r="D46" s="31" t="str">
        <f>IFERROR(__xludf.DUMMYFUNCTION("""COMPUTED_VALUE"""),"brettmullen@theagency.com.au")</f>
        <v>brettmullen@theagency.com.au</v>
      </c>
      <c r="E46" s="31" t="str">
        <f>IFERROR(__xludf.DUMMYFUNCTION("""COMPUTED_VALUE"""),"The Agency")</f>
        <v>The Agency</v>
      </c>
      <c r="F46" s="31" t="str">
        <f>IFERROR(__xludf.DUMMYFUNCTION("""COMPUTED_VALUE"""),"Rangeville")</f>
        <v>Rangeville</v>
      </c>
      <c r="G46" s="31" t="str">
        <f>IFERROR(__xludf.DUMMYFUNCTION("""COMPUTED_VALUE"""),"Mount Lofty")</f>
        <v>Mount Lofty</v>
      </c>
      <c r="H46" s="31" t="str">
        <f>IFERROR(__xludf.DUMMYFUNCTION("""COMPUTED_VALUE"""),"Prince Henry Heights")</f>
        <v>Prince Henry Heights</v>
      </c>
      <c r="I46" s="31" t="str">
        <f>IFERROR(__xludf.DUMMYFUNCTION("""COMPUTED_VALUE"""),"Redwood")</f>
        <v>Redwood</v>
      </c>
      <c r="J46" s="31" t="str">
        <f>IFERROR(__xludf.DUMMYFUNCTION("""COMPUTED_VALUE"""),"Centenary Heights")</f>
        <v>Centenary Heights</v>
      </c>
      <c r="K46" s="31" t="str">
        <f>IFERROR(__xludf.DUMMYFUNCTION("""COMPUTED_VALUE"""),"Middle Ridge")</f>
        <v>Middle Ridge</v>
      </c>
      <c r="L46" s="31" t="str">
        <f>IFERROR(__xludf.DUMMYFUNCTION("""COMPUTED_VALUE"""),"Kearneys Spring")</f>
        <v>Kearneys Spring</v>
      </c>
      <c r="M46" s="31" t="str">
        <f>IFERROR(__xludf.DUMMYFUNCTION("""COMPUTED_VALUE"""),"Silver Ridge")</f>
        <v>Silver Ridge</v>
      </c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</row>
    <row r="47">
      <c r="A47" s="88">
        <f>IFERROR(__xludf.DUMMYFUNCTION("""COMPUTED_VALUE"""),45.0)</f>
        <v>45</v>
      </c>
      <c r="B47" s="31" t="str">
        <f>IFERROR(__xludf.DUMMYFUNCTION("""COMPUTED_VALUE"""),"QLD")</f>
        <v>QLD</v>
      </c>
      <c r="C47" s="31" t="str">
        <f>IFERROR(__xludf.DUMMYFUNCTION("""COMPUTED_VALUE"""),"Chris Elliman")</f>
        <v>Chris Elliman</v>
      </c>
      <c r="D47" s="31" t="str">
        <f>IFERROR(__xludf.DUMMYFUNCTION("""COMPUTED_VALUE"""),"chris.elliman@remax.com.au")</f>
        <v>chris.elliman@remax.com.au</v>
      </c>
      <c r="E47" s="31" t="str">
        <f>IFERROR(__xludf.DUMMYFUNCTION("""COMPUTED_VALUE"""),"REMAX Property Sales")</f>
        <v>REMAX Property Sales</v>
      </c>
      <c r="F47" s="31" t="str">
        <f>IFERROR(__xludf.DUMMYFUNCTION("""COMPUTED_VALUE"""),"Woombye")</f>
        <v>Woombye</v>
      </c>
      <c r="G47" s="31" t="str">
        <f>IFERROR(__xludf.DUMMYFUNCTION("""COMPUTED_VALUE"""),"West Woombye")</f>
        <v>West Woombye</v>
      </c>
      <c r="H47" s="31" t="str">
        <f>IFERROR(__xludf.DUMMYFUNCTION("""COMPUTED_VALUE"""),"Diddillibah")</f>
        <v>Diddillibah</v>
      </c>
      <c r="I47" s="31" t="str">
        <f>IFERROR(__xludf.DUMMYFUNCTION("""COMPUTED_VALUE"""),"Kiels Mountain")</f>
        <v>Kiels Mountain</v>
      </c>
      <c r="J47" s="31" t="str">
        <f>IFERROR(__xludf.DUMMYFUNCTION("""COMPUTED_VALUE"""),"Rosemount")</f>
        <v>Rosemount</v>
      </c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</row>
    <row r="48">
      <c r="A48" s="88">
        <f>IFERROR(__xludf.DUMMYFUNCTION("""COMPUTED_VALUE"""),46.0)</f>
        <v>46</v>
      </c>
      <c r="B48" s="31" t="str">
        <f>IFERROR(__xludf.DUMMYFUNCTION("""COMPUTED_VALUE"""),"QLD")</f>
        <v>QLD</v>
      </c>
      <c r="C48" s="31" t="str">
        <f>IFERROR(__xludf.DUMMYFUNCTION("""COMPUTED_VALUE"""),"Chris Gilmour")</f>
        <v>Chris Gilmour</v>
      </c>
      <c r="D48" s="31" t="str">
        <f>IFERROR(__xludf.DUMMYFUNCTION("""COMPUTED_VALUE"""),"chris@allpropertiesgroup.com.au")</f>
        <v>chris@allpropertiesgroup.com.au</v>
      </c>
      <c r="E48" s="31" t="str">
        <f>IFERROR(__xludf.DUMMYFUNCTION("""COMPUTED_VALUE"""),"All Properties Group")</f>
        <v>All Properties Group</v>
      </c>
      <c r="F48" s="31" t="str">
        <f>IFERROR(__xludf.DUMMYFUNCTION("""COMPUTED_VALUE"""),"Jimboomba")</f>
        <v>Jimboomba</v>
      </c>
      <c r="G48" s="31" t="str">
        <f>IFERROR(__xludf.DUMMYFUNCTION("""COMPUTED_VALUE"""),"Flagstone")</f>
        <v>Flagstone</v>
      </c>
      <c r="H48" s="31" t="str">
        <f>IFERROR(__xludf.DUMMYFUNCTION("""COMPUTED_VALUE"""),"Berrinba")</f>
        <v>Berrinba</v>
      </c>
      <c r="I48" s="31" t="str">
        <f>IFERROR(__xludf.DUMMYFUNCTION("""COMPUTED_VALUE"""),"Drewvale")</f>
        <v>Drewvale</v>
      </c>
      <c r="J48" s="31" t="str">
        <f>IFERROR(__xludf.DUMMYFUNCTION("""COMPUTED_VALUE"""),"New Beith")</f>
        <v>New Beith</v>
      </c>
      <c r="K48" s="31" t="str">
        <f>IFERROR(__xludf.DUMMYFUNCTION("""COMPUTED_VALUE"""),"North Maclean")</f>
        <v>North Maclean</v>
      </c>
      <c r="L48" s="31" t="str">
        <f>IFERROR(__xludf.DUMMYFUNCTION("""COMPUTED_VALUE"""),"South Maclean")</f>
        <v>South Maclean</v>
      </c>
      <c r="M48" s="31" t="str">
        <f>IFERROR(__xludf.DUMMYFUNCTION("""COMPUTED_VALUE"""),"Browns Plains")</f>
        <v>Browns Plains</v>
      </c>
      <c r="N48" s="31" t="str">
        <f>IFERROR(__xludf.DUMMYFUNCTION("""COMPUTED_VALUE"""),"Boronia Heights")</f>
        <v>Boronia Heights</v>
      </c>
      <c r="O48" s="31" t="str">
        <f>IFERROR(__xludf.DUMMYFUNCTION("""COMPUTED_VALUE"""),"Munruben")</f>
        <v>Munruben</v>
      </c>
      <c r="P48" s="31" t="str">
        <f>IFERROR(__xludf.DUMMYFUNCTION("""COMPUTED_VALUE"""),"Regents Park")</f>
        <v>Regents Park</v>
      </c>
      <c r="Q48" s="31" t="str">
        <f>IFERROR(__xludf.DUMMYFUNCTION("""COMPUTED_VALUE"""),"Shailer Park")</f>
        <v>Shailer Park</v>
      </c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</row>
    <row r="49">
      <c r="A49" s="88">
        <f>IFERROR(__xludf.DUMMYFUNCTION("""COMPUTED_VALUE"""),47.0)</f>
        <v>47</v>
      </c>
      <c r="B49" s="31" t="str">
        <f>IFERROR(__xludf.DUMMYFUNCTION("""COMPUTED_VALUE"""),"QLD")</f>
        <v>QLD</v>
      </c>
      <c r="C49" s="31" t="str">
        <f>IFERROR(__xludf.DUMMYFUNCTION("""COMPUTED_VALUE"""),"Corey Pitt")</f>
        <v>Corey Pitt</v>
      </c>
      <c r="D49" s="31" t="str">
        <f>IFERROR(__xludf.DUMMYFUNCTION("""COMPUTED_VALUE"""),"coreypitt@theagency.com.au")</f>
        <v>coreypitt@theagency.com.au</v>
      </c>
      <c r="E49" s="31" t="str">
        <f>IFERROR(__xludf.DUMMYFUNCTION("""COMPUTED_VALUE"""),"The Agency - Bundaberg")</f>
        <v>The Agency - Bundaberg</v>
      </c>
      <c r="F49" s="31" t="str">
        <f>IFERROR(__xludf.DUMMYFUNCTION("""COMPUTED_VALUE"""),"Innes Park")</f>
        <v>Innes Park</v>
      </c>
      <c r="G49" s="31" t="str">
        <f>IFERROR(__xludf.DUMMYFUNCTION("""COMPUTED_VALUE"""),"Abbotsford")</f>
        <v>Abbotsford</v>
      </c>
      <c r="H49" s="31" t="str">
        <f>IFERROR(__xludf.DUMMYFUNCTION("""COMPUTED_VALUE"""),"Ashfield")</f>
        <v>Ashfield</v>
      </c>
      <c r="I49" s="31" t="str">
        <f>IFERROR(__xludf.DUMMYFUNCTION("""COMPUTED_VALUE"""),"Avenell Heights")</f>
        <v>Avenell Heights</v>
      </c>
      <c r="J49" s="31" t="str">
        <f>IFERROR(__xludf.DUMMYFUNCTION("""COMPUTED_VALUE"""),"Avoca")</f>
        <v>Avoca</v>
      </c>
      <c r="K49" s="31" t="str">
        <f>IFERROR(__xludf.DUMMYFUNCTION("""COMPUTED_VALUE"""),"Avondale")</f>
        <v>Avondale</v>
      </c>
      <c r="L49" s="31" t="str">
        <f>IFERROR(__xludf.DUMMYFUNCTION("""COMPUTED_VALUE"""),"Bargara")</f>
        <v>Bargara</v>
      </c>
      <c r="M49" s="31" t="str">
        <f>IFERROR(__xludf.DUMMYFUNCTION("""COMPUTED_VALUE"""),"Branyan")</f>
        <v>Branyan</v>
      </c>
      <c r="N49" s="31" t="str">
        <f>IFERROR(__xludf.DUMMYFUNCTION("""COMPUTED_VALUE"""),"Bundaberg")</f>
        <v>Bundaberg</v>
      </c>
      <c r="O49" s="31" t="str">
        <f>IFERROR(__xludf.DUMMYFUNCTION("""COMPUTED_VALUE"""),"Bundaberg Central")</f>
        <v>Bundaberg Central</v>
      </c>
      <c r="P49" s="31" t="str">
        <f>IFERROR(__xludf.DUMMYFUNCTION("""COMPUTED_VALUE"""),"Bundaberg East")</f>
        <v>Bundaberg East</v>
      </c>
      <c r="Q49" s="31" t="str">
        <f>IFERROR(__xludf.DUMMYFUNCTION("""COMPUTED_VALUE"""),"Bundaberg North")</f>
        <v>Bundaberg North</v>
      </c>
      <c r="R49" s="31" t="str">
        <f>IFERROR(__xludf.DUMMYFUNCTION("""COMPUTED_VALUE"""),"Bundaberg South")</f>
        <v>Bundaberg South</v>
      </c>
      <c r="S49" s="31" t="str">
        <f>IFERROR(__xludf.DUMMYFUNCTION("""COMPUTED_VALUE"""),"Bundaberg West")</f>
        <v>Bundaberg West</v>
      </c>
      <c r="T49" s="31" t="str">
        <f>IFERROR(__xludf.DUMMYFUNCTION("""COMPUTED_VALUE"""),"Fairymead")</f>
        <v>Fairymead</v>
      </c>
      <c r="U49" s="31" t="str">
        <f>IFERROR(__xludf.DUMMYFUNCTION("""COMPUTED_VALUE"""),"Kalkie")</f>
        <v>Kalkie</v>
      </c>
      <c r="V49" s="31" t="str">
        <f>IFERROR(__xludf.DUMMYFUNCTION("""COMPUTED_VALUE"""),"Kensington")</f>
        <v>Kensington</v>
      </c>
      <c r="W49" s="31" t="str">
        <f>IFERROR(__xludf.DUMMYFUNCTION("""COMPUTED_VALUE"""),"Kepnock")</f>
        <v>Kepnock</v>
      </c>
      <c r="X49" s="31" t="str">
        <f>IFERROR(__xludf.DUMMYFUNCTION("""COMPUTED_VALUE"""),"Millbank")</f>
        <v>Millbank</v>
      </c>
      <c r="Y49" s="31" t="str">
        <f>IFERROR(__xludf.DUMMYFUNCTION("""COMPUTED_VALUE"""),"Svensson Heights")</f>
        <v>Svensson Heights</v>
      </c>
      <c r="Z49" s="31" t="str">
        <f>IFERROR(__xludf.DUMMYFUNCTION("""COMPUTED_VALUE"""),"Thabeban")</f>
        <v>Thabeban</v>
      </c>
      <c r="AA49" s="31" t="str">
        <f>IFERROR(__xludf.DUMMYFUNCTION("""COMPUTED_VALUE"""),"Walkervale")</f>
        <v>Walkervale</v>
      </c>
      <c r="AB49" s="31" t="str">
        <f>IFERROR(__xludf.DUMMYFUNCTION("""COMPUTED_VALUE"""),"Burnett Heads")</f>
        <v>Burnett Heads</v>
      </c>
      <c r="AC49" s="31" t="str">
        <f>IFERROR(__xludf.DUMMYFUNCTION("""COMPUTED_VALUE"""),"Calavos")</f>
        <v>Calavos</v>
      </c>
      <c r="AD49" s="31" t="str">
        <f>IFERROR(__xludf.DUMMYFUNCTION("""COMPUTED_VALUE"""),"Coral Cove")</f>
        <v>Coral Cove</v>
      </c>
      <c r="AE49" s="31" t="str">
        <f>IFERROR(__xludf.DUMMYFUNCTION("""COMPUTED_VALUE"""),"Elliott")</f>
        <v>Elliott</v>
      </c>
      <c r="AF49" s="31" t="str">
        <f>IFERROR(__xludf.DUMMYFUNCTION("""COMPUTED_VALUE"""),"Elliott Heads")</f>
        <v>Elliott Heads</v>
      </c>
      <c r="AG49" s="31" t="str">
        <f>IFERROR(__xludf.DUMMYFUNCTION("""COMPUTED_VALUE"""),"Gooburrum")</f>
        <v>Gooburrum</v>
      </c>
      <c r="AH49" s="31" t="str">
        <f>IFERROR(__xludf.DUMMYFUNCTION("""COMPUTED_VALUE"""),"Givelda")</f>
        <v>Givelda</v>
      </c>
      <c r="AI49" s="31" t="str">
        <f>IFERROR(__xludf.DUMMYFUNCTION("""COMPUTED_VALUE"""),"Kinkuna")</f>
        <v>Kinkuna</v>
      </c>
      <c r="AJ49" s="31" t="str">
        <f>IFERROR(__xludf.DUMMYFUNCTION("""COMPUTED_VALUE"""),"Moore Park Beach")</f>
        <v>Moore Park Beach</v>
      </c>
      <c r="AK49" s="31" t="str">
        <f>IFERROR(__xludf.DUMMYFUNCTION("""COMPUTED_VALUE"""),"Mon Repos")</f>
        <v>Mon Repos</v>
      </c>
      <c r="AL49" s="31" t="str">
        <f>IFERROR(__xludf.DUMMYFUNCTION("""COMPUTED_VALUE"""),"Moorland")</f>
        <v>Moorland</v>
      </c>
      <c r="AM49" s="31" t="str">
        <f>IFERROR(__xludf.DUMMYFUNCTION("""COMPUTED_VALUE"""),"Mullett Creek")</f>
        <v>Mullett Creek</v>
      </c>
      <c r="AN49" s="31" t="str">
        <f>IFERROR(__xludf.DUMMYFUNCTION("""COMPUTED_VALUE"""),"Norville")</f>
        <v>Norville</v>
      </c>
      <c r="AO49" s="31" t="str">
        <f>IFERROR(__xludf.DUMMYFUNCTION("""COMPUTED_VALUE"""),"Oakwood")</f>
        <v>Oakwood</v>
      </c>
      <c r="AP49" s="31" t="str">
        <f>IFERROR(__xludf.DUMMYFUNCTION("""COMPUTED_VALUE"""),"Pine Creek")</f>
        <v>Pine Creek</v>
      </c>
      <c r="AQ49" s="31" t="str">
        <f>IFERROR(__xludf.DUMMYFUNCTION("""COMPUTED_VALUE"""),"Qunaba")</f>
        <v>Qunaba</v>
      </c>
      <c r="AR49" s="31" t="str">
        <f>IFERROR(__xludf.DUMMYFUNCTION("""COMPUTED_VALUE"""),"Rubyanna")</f>
        <v>Rubyanna</v>
      </c>
      <c r="AS49" s="31" t="str">
        <f>IFERROR(__xludf.DUMMYFUNCTION("""COMPUTED_VALUE"""),"Sharon")</f>
        <v>Sharon</v>
      </c>
      <c r="AT49" s="31" t="str">
        <f>IFERROR(__xludf.DUMMYFUNCTION("""COMPUTED_VALUE"""),"South Bingera")</f>
        <v>South Bingera</v>
      </c>
      <c r="AU49" s="31" t="str">
        <f>IFERROR(__xludf.DUMMYFUNCTION("""COMPUTED_VALUE"""),"South Kolan")</f>
        <v>South Kolan</v>
      </c>
      <c r="AV49" s="31" t="str">
        <f>IFERROR(__xludf.DUMMYFUNCTION("""COMPUTED_VALUE"""),"Watalgan")</f>
        <v>Watalgan</v>
      </c>
      <c r="AW49" s="31" t="str">
        <f>IFERROR(__xludf.DUMMYFUNCTION("""COMPUTED_VALUE"""),"Welcome Creek")</f>
        <v>Welcome Creek</v>
      </c>
      <c r="AX49" s="31" t="str">
        <f>IFERROR(__xludf.DUMMYFUNCTION("""COMPUTED_VALUE"""),"Windermere")</f>
        <v>Windermere</v>
      </c>
      <c r="AY49" s="31" t="str">
        <f>IFERROR(__xludf.DUMMYFUNCTION("""COMPUTED_VALUE"""),"Winfield")</f>
        <v>Winfield</v>
      </c>
      <c r="AZ49" s="31" t="str">
        <f>IFERROR(__xludf.DUMMYFUNCTION("""COMPUTED_VALUE"""),"Woongarra")</f>
        <v>Woongarra</v>
      </c>
      <c r="BA49" s="31" t="str">
        <f>IFERROR(__xludf.DUMMYFUNCTION("""COMPUTED_VALUE"""),"Bucca")</f>
        <v>Bucca</v>
      </c>
      <c r="BB49" s="31"/>
      <c r="BC49" s="31"/>
    </row>
    <row r="50">
      <c r="A50" s="88">
        <f>IFERROR(__xludf.DUMMYFUNCTION("""COMPUTED_VALUE"""),48.0)</f>
        <v>48</v>
      </c>
      <c r="B50" s="31" t="str">
        <f>IFERROR(__xludf.DUMMYFUNCTION("""COMPUTED_VALUE"""),"QLD")</f>
        <v>QLD</v>
      </c>
      <c r="C50" s="31" t="str">
        <f>IFERROR(__xludf.DUMMYFUNCTION("""COMPUTED_VALUE"""),"Craig Schofield")</f>
        <v>Craig Schofield</v>
      </c>
      <c r="D50" s="31" t="str">
        <f>IFERROR(__xludf.DUMMYFUNCTION("""COMPUTED_VALUE"""),"craigschofield1@bigpond.com")</f>
        <v>craigschofield1@bigpond.com</v>
      </c>
      <c r="E50" s="31" t="str">
        <f>IFERROR(__xludf.DUMMYFUNCTION("""COMPUTED_VALUE"""),"Queensland Sotheby's International Realty - Port Douglas")</f>
        <v>Queensland Sotheby's International Realty - Port Douglas</v>
      </c>
      <c r="F50" s="31" t="str">
        <f>IFERROR(__xludf.DUMMYFUNCTION("""COMPUTED_VALUE"""),"Port Douglas")</f>
        <v>Port Douglas</v>
      </c>
      <c r="G50" s="31" t="str">
        <f>IFERROR(__xludf.DUMMYFUNCTION("""COMPUTED_VALUE"""),"Shannonvale")</f>
        <v>Shannonvale</v>
      </c>
      <c r="H50" s="31" t="str">
        <f>IFERROR(__xludf.DUMMYFUNCTION("""COMPUTED_VALUE"""),"Oak Beach")</f>
        <v>Oak Beach</v>
      </c>
      <c r="I50" s="31" t="str">
        <f>IFERROR(__xludf.DUMMYFUNCTION("""COMPUTED_VALUE"""),"Mowbray")</f>
        <v>Mowbray</v>
      </c>
      <c r="J50" s="31" t="str">
        <f>IFERROR(__xludf.DUMMYFUNCTION("""COMPUTED_VALUE"""),"Craiglie")</f>
        <v>Craiglie</v>
      </c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</row>
    <row r="51">
      <c r="A51" s="88">
        <f>IFERROR(__xludf.DUMMYFUNCTION("""COMPUTED_VALUE"""),49.0)</f>
        <v>49</v>
      </c>
      <c r="B51" s="31" t="str">
        <f>IFERROR(__xludf.DUMMYFUNCTION("""COMPUTED_VALUE"""),"QLD")</f>
        <v>QLD</v>
      </c>
      <c r="C51" s="31" t="str">
        <f>IFERROR(__xludf.DUMMYFUNCTION("""COMPUTED_VALUE"""),"Dan Tape")</f>
        <v>Dan Tape</v>
      </c>
      <c r="D51" s="31" t="str">
        <f>IFERROR(__xludf.DUMMYFUNCTION("""COMPUTED_VALUE"""),"dan@ethicoestate.au")</f>
        <v>dan@ethicoestate.au</v>
      </c>
      <c r="E51" s="31" t="str">
        <f>IFERROR(__xludf.DUMMYFUNCTION("""COMPUTED_VALUE"""),"ethico estate")</f>
        <v>ethico estate</v>
      </c>
      <c r="F51" s="31" t="str">
        <f>IFERROR(__xludf.DUMMYFUNCTION("""COMPUTED_VALUE"""),"Deagon")</f>
        <v>Deagon</v>
      </c>
      <c r="G51" s="31" t="str">
        <f>IFERROR(__xludf.DUMMYFUNCTION("""COMPUTED_VALUE"""),"Shorncliffe")</f>
        <v>Shorncliffe</v>
      </c>
      <c r="H51" s="31" t="str">
        <f>IFERROR(__xludf.DUMMYFUNCTION("""COMPUTED_VALUE"""),"Sandgate")</f>
        <v>Sandgate</v>
      </c>
      <c r="I51" s="31" t="str">
        <f>IFERROR(__xludf.DUMMYFUNCTION("""COMPUTED_VALUE"""),"Brighton")</f>
        <v>Brighton</v>
      </c>
      <c r="J51" s="31" t="str">
        <f>IFERROR(__xludf.DUMMYFUNCTION("""COMPUTED_VALUE"""),"Scarborough")</f>
        <v>Scarborough</v>
      </c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</row>
    <row r="52">
      <c r="A52" s="88">
        <f>IFERROR(__xludf.DUMMYFUNCTION("""COMPUTED_VALUE"""),50.0)</f>
        <v>50</v>
      </c>
      <c r="B52" s="31" t="str">
        <f>IFERROR(__xludf.DUMMYFUNCTION("""COMPUTED_VALUE"""),"QLD")</f>
        <v>QLD</v>
      </c>
      <c r="C52" s="31" t="str">
        <f>IFERROR(__xludf.DUMMYFUNCTION("""COMPUTED_VALUE"""),"Darren Cooper")</f>
        <v>Darren Cooper</v>
      </c>
      <c r="D52" s="31" t="str">
        <f>IFERROR(__xludf.DUMMYFUNCTION("""COMPUTED_VALUE"""),"darren.cooper@realway.com.au")</f>
        <v>darren.cooper@realway.com.au</v>
      </c>
      <c r="E52" s="31" t="str">
        <f>IFERROR(__xludf.DUMMYFUNCTION("""COMPUTED_VALUE"""),"Realway Property Partners")</f>
        <v>Realway Property Partners</v>
      </c>
      <c r="F52" s="31" t="str">
        <f>IFERROR(__xludf.DUMMYFUNCTION("""COMPUTED_VALUE"""),"Harristown")</f>
        <v>Harristown</v>
      </c>
      <c r="G52" s="31" t="str">
        <f>IFERROR(__xludf.DUMMYFUNCTION("""COMPUTED_VALUE"""),"Westbrook")</f>
        <v>Westbrook</v>
      </c>
      <c r="H52" s="31" t="str">
        <f>IFERROR(__xludf.DUMMYFUNCTION("""COMPUTED_VALUE"""),"Glenvale")</f>
        <v>Glenvale</v>
      </c>
      <c r="I52" s="31" t="str">
        <f>IFERROR(__xludf.DUMMYFUNCTION("""COMPUTED_VALUE"""),"Rockville")</f>
        <v>Rockville</v>
      </c>
      <c r="J52" s="31" t="str">
        <f>IFERROR(__xludf.DUMMYFUNCTION("""COMPUTED_VALUE"""),"Harlaxton")</f>
        <v>Harlaxton</v>
      </c>
      <c r="K52" s="31" t="str">
        <f>IFERROR(__xludf.DUMMYFUNCTION("""COMPUTED_VALUE"""),"Newtown")</f>
        <v>Newtown</v>
      </c>
      <c r="L52" s="31" t="str">
        <f>IFERROR(__xludf.DUMMYFUNCTION("""COMPUTED_VALUE"""),"Wilsonton")</f>
        <v>Wilsonton</v>
      </c>
      <c r="M52" s="31" t="str">
        <f>IFERROR(__xludf.DUMMYFUNCTION("""COMPUTED_VALUE"""),"Wilsonton Heights")</f>
        <v>Wilsonton Heights</v>
      </c>
      <c r="N52" s="31" t="str">
        <f>IFERROR(__xludf.DUMMYFUNCTION("""COMPUTED_VALUE"""),"Cotswold Hills")</f>
        <v>Cotswold Hills</v>
      </c>
      <c r="O52" s="31" t="str">
        <f>IFERROR(__xludf.DUMMYFUNCTION("""COMPUTED_VALUE"""),"Mount Rascal")</f>
        <v>Mount Rascal</v>
      </c>
      <c r="P52" s="31" t="str">
        <f>IFERROR(__xludf.DUMMYFUNCTION("""COMPUTED_VALUE"""),"Top Camp")</f>
        <v>Top Camp</v>
      </c>
      <c r="Q52" s="31" t="str">
        <f>IFERROR(__xludf.DUMMYFUNCTION("""COMPUTED_VALUE"""),"Hodgson Vale")</f>
        <v>Hodgson Vale</v>
      </c>
      <c r="R52" s="31" t="str">
        <f>IFERROR(__xludf.DUMMYFUNCTION("""COMPUTED_VALUE"""),"Wyreema")</f>
        <v>Wyreema</v>
      </c>
      <c r="S52" s="31" t="str">
        <f>IFERROR(__xludf.DUMMYFUNCTION("""COMPUTED_VALUE"""),"Vale View")</f>
        <v>Vale View</v>
      </c>
      <c r="T52" s="31" t="str">
        <f>IFERROR(__xludf.DUMMYFUNCTION("""COMPUTED_VALUE"""),"Finnie")</f>
        <v>Finnie</v>
      </c>
      <c r="U52" s="31" t="str">
        <f>IFERROR(__xludf.DUMMYFUNCTION("""COMPUTED_VALUE"""),"Torrington")</f>
        <v>Torrington</v>
      </c>
      <c r="V52" s="31" t="str">
        <f>IFERROR(__xludf.DUMMYFUNCTION("""COMPUTED_VALUE"""),"Cranley")</f>
        <v>Cranley</v>
      </c>
      <c r="W52" s="31" t="str">
        <f>IFERROR(__xludf.DUMMYFUNCTION("""COMPUTED_VALUE"""),"Highfields")</f>
        <v>Highfields</v>
      </c>
      <c r="X52" s="31" t="str">
        <f>IFERROR(__xludf.DUMMYFUNCTION("""COMPUTED_VALUE"""),"Cabarlah")</f>
        <v>Cabarlah</v>
      </c>
      <c r="Y52" s="31" t="str">
        <f>IFERROR(__xludf.DUMMYFUNCTION("""COMPUTED_VALUE"""),"Darling Heights")</f>
        <v>Darling Heights</v>
      </c>
      <c r="Z52" s="31" t="str">
        <f>IFERROR(__xludf.DUMMYFUNCTION("""COMPUTED_VALUE"""),"Drayton")</f>
        <v>Drayton</v>
      </c>
      <c r="AA52" s="31" t="str">
        <f>IFERROR(__xludf.DUMMYFUNCTION("""COMPUTED_VALUE"""),"North Toowoomba")</f>
        <v>North Toowoomba</v>
      </c>
      <c r="AB52" s="31" t="str">
        <f>IFERROR(__xludf.DUMMYFUNCTION("""COMPUTED_VALUE"""),"Toowoomba")</f>
        <v>Toowoomba</v>
      </c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</row>
    <row r="53">
      <c r="A53" s="88">
        <f>IFERROR(__xludf.DUMMYFUNCTION("""COMPUTED_VALUE"""),51.0)</f>
        <v>51</v>
      </c>
      <c r="B53" s="31" t="str">
        <f>IFERROR(__xludf.DUMMYFUNCTION("""COMPUTED_VALUE"""),"QLD")</f>
        <v>QLD</v>
      </c>
      <c r="C53" s="31" t="str">
        <f>IFERROR(__xludf.DUMMYFUNCTION("""COMPUTED_VALUE"""),"Denean Hall")</f>
        <v>Denean Hall</v>
      </c>
      <c r="D53" s="31" t="str">
        <f>IFERROR(__xludf.DUMMYFUNCTION("""COMPUTED_VALUE"""),"sales@mysalesagent.com.au")</f>
        <v>sales@mysalesagent.com.au</v>
      </c>
      <c r="E53" s="31" t="str">
        <f>IFERROR(__xludf.DUMMYFUNCTION("""COMPUTED_VALUE"""),"My Sales Agent - BRACKEN RIDGE")</f>
        <v>My Sales Agent - BRACKEN RIDGE</v>
      </c>
      <c r="F53" s="31" t="str">
        <f>IFERROR(__xludf.DUMMYFUNCTION("""COMPUTED_VALUE"""),"Bray Park")</f>
        <v>Bray Park</v>
      </c>
      <c r="G53" s="31" t="str">
        <f>IFERROR(__xludf.DUMMYFUNCTION("""COMPUTED_VALUE"""),"Strathpine")</f>
        <v>Strathpine</v>
      </c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</row>
    <row r="54">
      <c r="A54" s="88">
        <f>IFERROR(__xludf.DUMMYFUNCTION("""COMPUTED_VALUE"""),52.0)</f>
        <v>52</v>
      </c>
      <c r="B54" s="31" t="str">
        <f>IFERROR(__xludf.DUMMYFUNCTION("""COMPUTED_VALUE"""),"QLD")</f>
        <v>QLD</v>
      </c>
      <c r="C54" s="31" t="str">
        <f>IFERROR(__xludf.DUMMYFUNCTION("""COMPUTED_VALUE"""),"Dilon Jukic")</f>
        <v>Dilon Jukic</v>
      </c>
      <c r="D54" s="31" t="str">
        <f>IFERROR(__xludf.DUMMYFUNCTION("""COMPUTED_VALUE"""),"dilon@jukicproperty.com.au")</f>
        <v>dilon@jukicproperty.com.au</v>
      </c>
      <c r="E54" s="31" t="str">
        <f>IFERROR(__xludf.DUMMYFUNCTION("""COMPUTED_VALUE"""),"Jukic Property")</f>
        <v>Jukic Property</v>
      </c>
      <c r="F54" s="31" t="str">
        <f>IFERROR(__xludf.DUMMYFUNCTION("""COMPUTED_VALUE"""),"Kedron")</f>
        <v>Kedron</v>
      </c>
      <c r="G54" s="31" t="str">
        <f>IFERROR(__xludf.DUMMYFUNCTION("""COMPUTED_VALUE"""),"Windsor")</f>
        <v>Windsor</v>
      </c>
      <c r="H54" s="31" t="str">
        <f>IFERROR(__xludf.DUMMYFUNCTION("""COMPUTED_VALUE"""),"Lutwyche")</f>
        <v>Lutwyche</v>
      </c>
      <c r="I54" s="31" t="str">
        <f>IFERROR(__xludf.DUMMYFUNCTION("""COMPUTED_VALUE"""),"Clayfield")</f>
        <v>Clayfield</v>
      </c>
      <c r="J54" s="31" t="str">
        <f>IFERROR(__xludf.DUMMYFUNCTION("""COMPUTED_VALUE"""),"Kalinga")</f>
        <v>Kalinga</v>
      </c>
      <c r="K54" s="31" t="str">
        <f>IFERROR(__xludf.DUMMYFUNCTION("""COMPUTED_VALUE"""),"Nundah")</f>
        <v>Nundah</v>
      </c>
      <c r="L54" s="31" t="str">
        <f>IFERROR(__xludf.DUMMYFUNCTION("""COMPUTED_VALUE"""),"Wavell Heights")</f>
        <v>Wavell Heights</v>
      </c>
      <c r="M54" s="31" t="str">
        <f>IFERROR(__xludf.DUMMYFUNCTION("""COMPUTED_VALUE"""),"Chermside")</f>
        <v>Chermside</v>
      </c>
      <c r="N54" s="31" t="str">
        <f>IFERROR(__xludf.DUMMYFUNCTION("""COMPUTED_VALUE"""),"Grange")</f>
        <v>Grange</v>
      </c>
      <c r="O54" s="31" t="str">
        <f>IFERROR(__xludf.DUMMYFUNCTION("""COMPUTED_VALUE"""),"Gordon Park")</f>
        <v>Gordon Park</v>
      </c>
      <c r="P54" s="31" t="str">
        <f>IFERROR(__xludf.DUMMYFUNCTION("""COMPUTED_VALUE"""),"Wilston")</f>
        <v>Wilston</v>
      </c>
      <c r="Q54" s="31" t="str">
        <f>IFERROR(__xludf.DUMMYFUNCTION("""COMPUTED_VALUE"""),"Wooloowin")</f>
        <v>Wooloowin</v>
      </c>
      <c r="R54" s="31" t="str">
        <f>IFERROR(__xludf.DUMMYFUNCTION("""COMPUTED_VALUE"""),"Aspley")</f>
        <v>Aspley</v>
      </c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</row>
    <row r="55">
      <c r="A55" s="88">
        <f>IFERROR(__xludf.DUMMYFUNCTION("""COMPUTED_VALUE"""),53.0)</f>
        <v>53</v>
      </c>
      <c r="B55" s="31" t="str">
        <f>IFERROR(__xludf.DUMMYFUNCTION("""COMPUTED_VALUE"""),"QLD")</f>
        <v>QLD</v>
      </c>
      <c r="C55" s="31" t="str">
        <f>IFERROR(__xludf.DUMMYFUNCTION("""COMPUTED_VALUE"""),"Glen Foster")</f>
        <v>Glen Foster</v>
      </c>
      <c r="D55" s="31" t="str">
        <f>IFERROR(__xludf.DUMMYFUNCTION("""COMPUTED_VALUE"""),"glenjamesfoster@gmail.com")</f>
        <v>glenjamesfoster@gmail.com</v>
      </c>
      <c r="E55" s="31" t="str">
        <f>IFERROR(__xludf.DUMMYFUNCTION("""COMPUTED_VALUE"""),"All Properties Group")</f>
        <v>All Properties Group</v>
      </c>
      <c r="F55" s="31" t="str">
        <f>IFERROR(__xludf.DUMMYFUNCTION("""COMPUTED_VALUE"""),"Arundel")</f>
        <v>Arundel</v>
      </c>
      <c r="G55" s="31" t="str">
        <f>IFERROR(__xludf.DUMMYFUNCTION("""COMPUTED_VALUE"""),"Benowa")</f>
        <v>Benowa</v>
      </c>
      <c r="H55" s="31" t="str">
        <f>IFERROR(__xludf.DUMMYFUNCTION("""COMPUTED_VALUE"""),"Benowa Waters")</f>
        <v>Benowa Waters</v>
      </c>
      <c r="I55" s="31" t="str">
        <f>IFERROR(__xludf.DUMMYFUNCTION("""COMPUTED_VALUE"""),"Parkwood")</f>
        <v>Parkwood</v>
      </c>
      <c r="J55" s="31" t="str">
        <f>IFERROR(__xludf.DUMMYFUNCTION("""COMPUTED_VALUE"""),"Pacific Pines")</f>
        <v>Pacific Pines</v>
      </c>
      <c r="K55" s="31" t="str">
        <f>IFERROR(__xludf.DUMMYFUNCTION("""COMPUTED_VALUE"""),"Coombabah")</f>
        <v>Coombabah</v>
      </c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</row>
    <row r="56">
      <c r="A56" s="88">
        <f>IFERROR(__xludf.DUMMYFUNCTION("""COMPUTED_VALUE"""),54.0)</f>
        <v>54</v>
      </c>
      <c r="B56" s="31" t="str">
        <f>IFERROR(__xludf.DUMMYFUNCTION("""COMPUTED_VALUE"""),"QLD")</f>
        <v>QLD</v>
      </c>
      <c r="C56" s="31" t="str">
        <f>IFERROR(__xludf.DUMMYFUNCTION("""COMPUTED_VALUE"""),"Greg Parker")</f>
        <v>Greg Parker</v>
      </c>
      <c r="D56" s="31" t="str">
        <f>IFERROR(__xludf.DUMMYFUNCTION("""COMPUTED_VALUE"""),"gparker@remax.com.au")</f>
        <v>gparker@remax.com.au</v>
      </c>
      <c r="E56" s="31" t="str">
        <f>IFERROR(__xludf.DUMMYFUNCTION("""COMPUTED_VALUE"""),"Remax")</f>
        <v>Remax</v>
      </c>
      <c r="F56" s="31" t="str">
        <f>IFERROR(__xludf.DUMMYFUNCTION("""COMPUTED_VALUE"""),"Carrara")</f>
        <v>Carrara</v>
      </c>
      <c r="G56" s="31" t="str">
        <f>IFERROR(__xludf.DUMMYFUNCTION("""COMPUTED_VALUE"""),"Highland Park")</f>
        <v>Highland Park</v>
      </c>
      <c r="H56" s="31" t="str">
        <f>IFERROR(__xludf.DUMMYFUNCTION("""COMPUTED_VALUE"""),"Nerang")</f>
        <v>Nerang</v>
      </c>
      <c r="I56" s="31" t="str">
        <f>IFERROR(__xludf.DUMMYFUNCTION("""COMPUTED_VALUE"""),"Mudgeeraba")</f>
        <v>Mudgeeraba</v>
      </c>
      <c r="J56" s="31" t="str">
        <f>IFERROR(__xludf.DUMMYFUNCTION("""COMPUTED_VALUE"""),"Molendinar")</f>
        <v>Molendinar</v>
      </c>
      <c r="K56" s="31" t="str">
        <f>IFERROR(__xludf.DUMMYFUNCTION("""COMPUTED_VALUE"""),"Advancetown")</f>
        <v>Advancetown</v>
      </c>
      <c r="L56" s="31" t="str">
        <f>IFERROR(__xludf.DUMMYFUNCTION("""COMPUTED_VALUE"""),"Gilston")</f>
        <v>Gilston</v>
      </c>
      <c r="M56" s="31" t="str">
        <f>IFERROR(__xludf.DUMMYFUNCTION("""COMPUTED_VALUE"""),"Worongary")</f>
        <v>Worongary</v>
      </c>
      <c r="N56" s="31" t="str">
        <f>IFERROR(__xludf.DUMMYFUNCTION("""COMPUTED_VALUE"""),"Beechmont")</f>
        <v>Beechmont</v>
      </c>
      <c r="O56" s="31" t="str">
        <f>IFERROR(__xludf.DUMMYFUNCTION("""COMPUTED_VALUE"""),"Bonogin")</f>
        <v>Bonogin</v>
      </c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</row>
    <row r="57">
      <c r="A57" s="88">
        <f>IFERROR(__xludf.DUMMYFUNCTION("""COMPUTED_VALUE"""),55.0)</f>
        <v>55</v>
      </c>
      <c r="B57" s="31" t="str">
        <f>IFERROR(__xludf.DUMMYFUNCTION("""COMPUTED_VALUE"""),"QLD")</f>
        <v>QLD</v>
      </c>
      <c r="C57" s="31" t="str">
        <f>IFERROR(__xludf.DUMMYFUNCTION("""COMPUTED_VALUE"""),"Itin Bhardwaj")</f>
        <v>Itin Bhardwaj</v>
      </c>
      <c r="D57" s="31" t="str">
        <f>IFERROR(__xludf.DUMMYFUNCTION("""COMPUTED_VALUE"""),"itinbhardwaj@placepg.com.au")</f>
        <v>itinbhardwaj@placepg.com.au</v>
      </c>
      <c r="E57" s="31" t="str">
        <f>IFERROR(__xludf.DUMMYFUNCTION("""COMPUTED_VALUE"""),"Place Ningi")</f>
        <v>Place Ningi</v>
      </c>
      <c r="F57" s="31" t="str">
        <f>IFERROR(__xludf.DUMMYFUNCTION("""COMPUTED_VALUE"""),"Sandstone Point")</f>
        <v>Sandstone Point</v>
      </c>
      <c r="G57" s="31" t="str">
        <f>IFERROR(__xludf.DUMMYFUNCTION("""COMPUTED_VALUE"""),"Beachmere")</f>
        <v>Beachmere</v>
      </c>
      <c r="H57" s="31" t="str">
        <f>IFERROR(__xludf.DUMMYFUNCTION("""COMPUTED_VALUE"""),"Ningi")</f>
        <v>Ningi</v>
      </c>
      <c r="I57" s="31" t="str">
        <f>IFERROR(__xludf.DUMMYFUNCTION("""COMPUTED_VALUE"""),"Bongaree")</f>
        <v>Bongaree</v>
      </c>
      <c r="J57" s="31" t="str">
        <f>IFERROR(__xludf.DUMMYFUNCTION("""COMPUTED_VALUE"""),"Banksia Beach")</f>
        <v>Banksia Beach</v>
      </c>
      <c r="K57" s="31" t="str">
        <f>IFERROR(__xludf.DUMMYFUNCTION("""COMPUTED_VALUE"""),"Bellara")</f>
        <v>Bellara</v>
      </c>
      <c r="L57" s="31" t="str">
        <f>IFERROR(__xludf.DUMMYFUNCTION("""COMPUTED_VALUE"""),"Godwin Beach")</f>
        <v>Godwin Beach</v>
      </c>
      <c r="M57" s="31" t="str">
        <f>IFERROR(__xludf.DUMMYFUNCTION("""COMPUTED_VALUE"""),"Caboolture")</f>
        <v>Caboolture</v>
      </c>
      <c r="N57" s="31" t="str">
        <f>IFERROR(__xludf.DUMMYFUNCTION("""COMPUTED_VALUE"""),"Caboolture South")</f>
        <v>Caboolture South</v>
      </c>
      <c r="O57" s="31" t="str">
        <f>IFERROR(__xludf.DUMMYFUNCTION("""COMPUTED_VALUE"""),"Bellmere")</f>
        <v>Bellmere</v>
      </c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</row>
    <row r="58">
      <c r="A58" s="88">
        <f>IFERROR(__xludf.DUMMYFUNCTION("""COMPUTED_VALUE"""),56.0)</f>
        <v>56</v>
      </c>
      <c r="B58" s="31" t="str">
        <f>IFERROR(__xludf.DUMMYFUNCTION("""COMPUTED_VALUE"""),"QLD")</f>
        <v>QLD</v>
      </c>
      <c r="C58" s="31" t="str">
        <f>IFERROR(__xludf.DUMMYFUNCTION("""COMPUTED_VALUE"""),"Jack Di Prima")</f>
        <v>Jack Di Prima</v>
      </c>
      <c r="D58" s="31" t="str">
        <f>IFERROR(__xludf.DUMMYFUNCTION("""COMPUTED_VALUE"""),"jack@placewest.com.au")</f>
        <v>jack@placewest.com.au</v>
      </c>
      <c r="E58" s="31" t="str">
        <f>IFERROR(__xludf.DUMMYFUNCTION("""COMPUTED_VALUE"""),"Place")</f>
        <v>Place</v>
      </c>
      <c r="F58" s="31" t="str">
        <f>IFERROR(__xludf.DUMMYFUNCTION("""COMPUTED_VALUE"""),"Bardon")</f>
        <v>Bardon</v>
      </c>
      <c r="G58" s="31" t="str">
        <f>IFERROR(__xludf.DUMMYFUNCTION("""COMPUTED_VALUE"""),"Red Hill")</f>
        <v>Red Hill</v>
      </c>
      <c r="H58" s="31" t="str">
        <f>IFERROR(__xludf.DUMMYFUNCTION("""COMPUTED_VALUE"""),"Ashgrove")</f>
        <v>Ashgrove</v>
      </c>
      <c r="I58" s="31" t="str">
        <f>IFERROR(__xludf.DUMMYFUNCTION("""COMPUTED_VALUE"""),"Toowong")</f>
        <v>Toowong</v>
      </c>
      <c r="J58" s="31" t="str">
        <f>IFERROR(__xludf.DUMMYFUNCTION("""COMPUTED_VALUE"""),"St Lucia")</f>
        <v>St Lucia</v>
      </c>
      <c r="K58" s="31" t="str">
        <f>IFERROR(__xludf.DUMMYFUNCTION("""COMPUTED_VALUE"""),"Indooroopilly")</f>
        <v>Indooroopilly</v>
      </c>
      <c r="L58" s="31" t="str">
        <f>IFERROR(__xludf.DUMMYFUNCTION("""COMPUTED_VALUE"""),"Taringa")</f>
        <v>Taringa</v>
      </c>
      <c r="M58" s="31" t="str">
        <f>IFERROR(__xludf.DUMMYFUNCTION("""COMPUTED_VALUE"""),"Fig Tree Pocket")</f>
        <v>Fig Tree Pocket</v>
      </c>
      <c r="N58" s="31" t="str">
        <f>IFERROR(__xludf.DUMMYFUNCTION("""COMPUTED_VALUE"""),"Kelvin Grove")</f>
        <v>Kelvin Grove</v>
      </c>
      <c r="O58" s="31" t="str">
        <f>IFERROR(__xludf.DUMMYFUNCTION("""COMPUTED_VALUE"""),"Sinnamon Park")</f>
        <v>Sinnamon Park</v>
      </c>
      <c r="P58" s="31" t="str">
        <f>IFERROR(__xludf.DUMMYFUNCTION("""COMPUTED_VALUE"""),"Auchenflower")</f>
        <v>Auchenflower</v>
      </c>
      <c r="Q58" s="31" t="str">
        <f>IFERROR(__xludf.DUMMYFUNCTION("""COMPUTED_VALUE"""),"Kenmore")</f>
        <v>Kenmore</v>
      </c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</row>
    <row r="59">
      <c r="A59" s="88">
        <f>IFERROR(__xludf.DUMMYFUNCTION("""COMPUTED_VALUE"""),57.0)</f>
        <v>57</v>
      </c>
      <c r="B59" s="31" t="str">
        <f>IFERROR(__xludf.DUMMYFUNCTION("""COMPUTED_VALUE"""),"QLD")</f>
        <v>QLD</v>
      </c>
      <c r="C59" s="31" t="str">
        <f>IFERROR(__xludf.DUMMYFUNCTION("""COMPUTED_VALUE"""),"Jae Turner")</f>
        <v>Jae Turner</v>
      </c>
      <c r="D59" s="31" t="str">
        <f>IFERROR(__xludf.DUMMYFUNCTION("""COMPUTED_VALUE"""),"jae@imageproperty.com.au")</f>
        <v>jae@imageproperty.com.au</v>
      </c>
      <c r="E59" s="31" t="str">
        <f>IFERROR(__xludf.DUMMYFUNCTION("""COMPUTED_VALUE"""),"Image Property")</f>
        <v>Image Property</v>
      </c>
      <c r="F59" s="31" t="str">
        <f>IFERROR(__xludf.DUMMYFUNCTION("""COMPUTED_VALUE"""),"Peregian Springs")</f>
        <v>Peregian Springs</v>
      </c>
      <c r="G59" s="31" t="str">
        <f>IFERROR(__xludf.DUMMYFUNCTION("""COMPUTED_VALUE"""),"Peregian Beach")</f>
        <v>Peregian Beach</v>
      </c>
      <c r="H59" s="31" t="str">
        <f>IFERROR(__xludf.DUMMYFUNCTION("""COMPUTED_VALUE"""),"Doonan")</f>
        <v>Doonan</v>
      </c>
      <c r="I59" s="31" t="str">
        <f>IFERROR(__xludf.DUMMYFUNCTION("""COMPUTED_VALUE"""),"Robertson")</f>
        <v>Robertson</v>
      </c>
      <c r="J59" s="31" t="str">
        <f>IFERROR(__xludf.DUMMYFUNCTION("""COMPUTED_VALUE"""),"Coolum")</f>
        <v>Coolum</v>
      </c>
      <c r="K59" s="31" t="str">
        <f>IFERROR(__xludf.DUMMYFUNCTION("""COMPUTED_VALUE"""),"Coolum Beach")</f>
        <v>Coolum Beach</v>
      </c>
      <c r="L59" s="31" t="str">
        <f>IFERROR(__xludf.DUMMYFUNCTION("""COMPUTED_VALUE"""),"Mount Coolum")</f>
        <v>Mount Coolum</v>
      </c>
      <c r="M59" s="31" t="str">
        <f>IFERROR(__xludf.DUMMYFUNCTION("""COMPUTED_VALUE"""),"Yandina Creek")</f>
        <v>Yandina Creek</v>
      </c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</row>
    <row r="60">
      <c r="A60" s="88">
        <f>IFERROR(__xludf.DUMMYFUNCTION("""COMPUTED_VALUE"""),58.0)</f>
        <v>58</v>
      </c>
      <c r="B60" s="31" t="str">
        <f>IFERROR(__xludf.DUMMYFUNCTION("""COMPUTED_VALUE"""),"QLD")</f>
        <v>QLD</v>
      </c>
      <c r="C60" s="31" t="str">
        <f>IFERROR(__xludf.DUMMYFUNCTION("""COMPUTED_VALUE"""),"Jamie Rivett")</f>
        <v>Jamie Rivett</v>
      </c>
      <c r="D60" s="31" t="str">
        <f>IFERROR(__xludf.DUMMYFUNCTION("""COMPUTED_VALUE"""),"j.rivett@imageproperty.com.au")</f>
        <v>j.rivett@imageproperty.com.au</v>
      </c>
      <c r="E60" s="31" t="str">
        <f>IFERROR(__xludf.DUMMYFUNCTION("""COMPUTED_VALUE"""),"Image Property")</f>
        <v>Image Property</v>
      </c>
      <c r="F60" s="31" t="str">
        <f>IFERROR(__xludf.DUMMYFUNCTION("""COMPUTED_VALUE"""),"Greenslopes")</f>
        <v>Greenslopes</v>
      </c>
      <c r="G60" s="31" t="str">
        <f>IFERROR(__xludf.DUMMYFUNCTION("""COMPUTED_VALUE"""),"Fairfield")</f>
        <v>Fairfield</v>
      </c>
      <c r="H60" s="31" t="str">
        <f>IFERROR(__xludf.DUMMYFUNCTION("""COMPUTED_VALUE"""),"Annerley")</f>
        <v>Annerley</v>
      </c>
      <c r="I60" s="31" t="str">
        <f>IFERROR(__xludf.DUMMYFUNCTION("""COMPUTED_VALUE"""),"Stones Corner")</f>
        <v>Stones Corner</v>
      </c>
      <c r="J60" s="31" t="str">
        <f>IFERROR(__xludf.DUMMYFUNCTION("""COMPUTED_VALUE"""),"Coorparoo")</f>
        <v>Coorparoo</v>
      </c>
      <c r="K60" s="31" t="str">
        <f>IFERROR(__xludf.DUMMYFUNCTION("""COMPUTED_VALUE"""),"Tarragindi")</f>
        <v>Tarragindi</v>
      </c>
      <c r="L60" s="31" t="str">
        <f>IFERROR(__xludf.DUMMYFUNCTION("""COMPUTED_VALUE"""),"Eight Mile Plains")</f>
        <v>Eight Mile Plains</v>
      </c>
      <c r="M60" s="31" t="str">
        <f>IFERROR(__xludf.DUMMYFUNCTION("""COMPUTED_VALUE"""),"Holland Park West")</f>
        <v>Holland Park West</v>
      </c>
      <c r="N60" s="31" t="str">
        <f>IFERROR(__xludf.DUMMYFUNCTION("""COMPUTED_VALUE"""),"Sunnybank")</f>
        <v>Sunnybank</v>
      </c>
      <c r="O60" s="31" t="str">
        <f>IFERROR(__xludf.DUMMYFUNCTION("""COMPUTED_VALUE"""),"Sunnybank Hills")</f>
        <v>Sunnybank Hills</v>
      </c>
      <c r="P60" s="31" t="str">
        <f>IFERROR(__xludf.DUMMYFUNCTION("""COMPUTED_VALUE"""),"Kuraby")</f>
        <v>Kuraby</v>
      </c>
      <c r="Q60" s="31" t="str">
        <f>IFERROR(__xludf.DUMMYFUNCTION("""COMPUTED_VALUE"""),"Moorooka")</f>
        <v>Moorooka</v>
      </c>
      <c r="R60" s="31" t="str">
        <f>IFERROR(__xludf.DUMMYFUNCTION("""COMPUTED_VALUE"""),"Rochedale South")</f>
        <v>Rochedale South</v>
      </c>
      <c r="S60" s="31" t="str">
        <f>IFERROR(__xludf.DUMMYFUNCTION("""COMPUTED_VALUE"""),"Woolloongabba")</f>
        <v>Woolloongabba</v>
      </c>
      <c r="T60" s="31" t="str">
        <f>IFERROR(__xludf.DUMMYFUNCTION("""COMPUTED_VALUE"""),"Norman Park")</f>
        <v>Norman Park</v>
      </c>
      <c r="U60" s="31" t="str">
        <f>IFERROR(__xludf.DUMMYFUNCTION("""COMPUTED_VALUE"""),"Runcorn")</f>
        <v>Runcorn</v>
      </c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</row>
    <row r="61">
      <c r="A61" s="88">
        <f>IFERROR(__xludf.DUMMYFUNCTION("""COMPUTED_VALUE"""),59.0)</f>
        <v>59</v>
      </c>
      <c r="B61" s="31" t="str">
        <f>IFERROR(__xludf.DUMMYFUNCTION("""COMPUTED_VALUE"""),"QLD")</f>
        <v>QLD</v>
      </c>
      <c r="C61" s="31" t="str">
        <f>IFERROR(__xludf.DUMMYFUNCTION("""COMPUTED_VALUE"""),"Jasmine Corrick")</f>
        <v>Jasmine Corrick</v>
      </c>
      <c r="D61" s="31" t="str">
        <f>IFERROR(__xludf.DUMMYFUNCTION("""COMPUTED_VALUE"""),"jasmine@themcgillgroup.com.au")</f>
        <v>jasmine@themcgillgroup.com.au</v>
      </c>
      <c r="E61" s="31" t="str">
        <f>IFERROR(__xludf.DUMMYFUNCTION("""COMPUTED_VALUE"""),"The McGill Group")</f>
        <v>The McGill Group</v>
      </c>
      <c r="F61" s="31" t="str">
        <f>IFERROR(__xludf.DUMMYFUNCTION("""COMPUTED_VALUE"""),"Urangan")</f>
        <v>Urangan</v>
      </c>
      <c r="G61" s="31" t="str">
        <f>IFERROR(__xludf.DUMMYFUNCTION("""COMPUTED_VALUE"""),"Booral")</f>
        <v>Booral</v>
      </c>
      <c r="H61" s="31" t="str">
        <f>IFERROR(__xludf.DUMMYFUNCTION("""COMPUTED_VALUE"""),"Bunya Creek")</f>
        <v>Bunya Creek</v>
      </c>
      <c r="I61" s="31" t="str">
        <f>IFERROR(__xludf.DUMMYFUNCTION("""COMPUTED_VALUE"""),"Craignish")</f>
        <v>Craignish</v>
      </c>
      <c r="J61" s="31" t="str">
        <f>IFERROR(__xludf.DUMMYFUNCTION("""COMPUTED_VALUE"""),"Dundowran")</f>
        <v>Dundowran</v>
      </c>
      <c r="K61" s="31" t="str">
        <f>IFERROR(__xludf.DUMMYFUNCTION("""COMPUTED_VALUE"""),"Dundowran Beach")</f>
        <v>Dundowran Beach</v>
      </c>
      <c r="L61" s="31" t="str">
        <f>IFERROR(__xludf.DUMMYFUNCTION("""COMPUTED_VALUE"""),"Eli Waters")</f>
        <v>Eli Waters</v>
      </c>
      <c r="M61" s="31" t="str">
        <f>IFERROR(__xludf.DUMMYFUNCTION("""COMPUTED_VALUE"""),"Great Sandy Strait")</f>
        <v>Great Sandy Strait</v>
      </c>
      <c r="N61" s="31" t="str">
        <f>IFERROR(__xludf.DUMMYFUNCTION("""COMPUTED_VALUE"""),"Kawungan")</f>
        <v>Kawungan</v>
      </c>
      <c r="O61" s="31" t="str">
        <f>IFERROR(__xludf.DUMMYFUNCTION("""COMPUTED_VALUE"""),"Nikenbah")</f>
        <v>Nikenbah</v>
      </c>
      <c r="P61" s="31" t="str">
        <f>IFERROR(__xludf.DUMMYFUNCTION("""COMPUTED_VALUE"""),"Pialba")</f>
        <v>Pialba</v>
      </c>
      <c r="Q61" s="31" t="str">
        <f>IFERROR(__xludf.DUMMYFUNCTION("""COMPUTED_VALUE"""),"Point Vernon")</f>
        <v>Point Vernon</v>
      </c>
      <c r="R61" s="31" t="str">
        <f>IFERROR(__xludf.DUMMYFUNCTION("""COMPUTED_VALUE"""),"River Heads")</f>
        <v>River Heads</v>
      </c>
      <c r="S61" s="31" t="str">
        <f>IFERROR(__xludf.DUMMYFUNCTION("""COMPUTED_VALUE"""),"Scarness")</f>
        <v>Scarness</v>
      </c>
      <c r="T61" s="31" t="str">
        <f>IFERROR(__xludf.DUMMYFUNCTION("""COMPUTED_VALUE"""),"Sunshine Acres")</f>
        <v>Sunshine Acres</v>
      </c>
      <c r="U61" s="31" t="str">
        <f>IFERROR(__xludf.DUMMYFUNCTION("""COMPUTED_VALUE"""),"Susan River")</f>
        <v>Susan River</v>
      </c>
      <c r="V61" s="31" t="str">
        <f>IFERROR(__xludf.DUMMYFUNCTION("""COMPUTED_VALUE"""),"Takura")</f>
        <v>Takura</v>
      </c>
      <c r="W61" s="31" t="str">
        <f>IFERROR(__xludf.DUMMYFUNCTION("""COMPUTED_VALUE"""),"Toogoom")</f>
        <v>Toogoom</v>
      </c>
      <c r="X61" s="31" t="str">
        <f>IFERROR(__xludf.DUMMYFUNCTION("""COMPUTED_VALUE"""),"Torquay")</f>
        <v>Torquay</v>
      </c>
      <c r="Y61" s="31" t="str">
        <f>IFERROR(__xludf.DUMMYFUNCTION("""COMPUTED_VALUE"""),"Urraween")</f>
        <v>Urraween</v>
      </c>
      <c r="Z61" s="31" t="str">
        <f>IFERROR(__xludf.DUMMYFUNCTION("""COMPUTED_VALUE"""),"Walliebum")</f>
        <v>Walliebum</v>
      </c>
      <c r="AA61" s="31" t="str">
        <f>IFERROR(__xludf.DUMMYFUNCTION("""COMPUTED_VALUE"""),"Walligan")</f>
        <v>Walligan</v>
      </c>
      <c r="AB61" s="31" t="str">
        <f>IFERROR(__xludf.DUMMYFUNCTION("""COMPUTED_VALUE"""),"Wondunna")</f>
        <v>Wondunna</v>
      </c>
      <c r="AC61" s="31" t="str">
        <f>IFERROR(__xludf.DUMMYFUNCTION("""COMPUTED_VALUE"""),"Maryborough")</f>
        <v>Maryborough</v>
      </c>
      <c r="AD61" s="31" t="str">
        <f>IFERROR(__xludf.DUMMYFUNCTION("""COMPUTED_VALUE"""),"Dundathu")</f>
        <v>Dundathu</v>
      </c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</row>
    <row r="62">
      <c r="A62" s="88">
        <f>IFERROR(__xludf.DUMMYFUNCTION("""COMPUTED_VALUE"""),60.0)</f>
        <v>60</v>
      </c>
      <c r="B62" s="31" t="str">
        <f>IFERROR(__xludf.DUMMYFUNCTION("""COMPUTED_VALUE"""),"QLD")</f>
        <v>QLD</v>
      </c>
      <c r="C62" s="31" t="str">
        <f>IFERROR(__xludf.DUMMYFUNCTION("""COMPUTED_VALUE"""),"Jeroen Waalder")</f>
        <v>Jeroen Waalder</v>
      </c>
      <c r="D62" s="31" t="str">
        <f>IFERROR(__xludf.DUMMYFUNCTION("""COMPUTED_VALUE"""),"jeroen@weareproperty.com.au")</f>
        <v>jeroen@weareproperty.com.au</v>
      </c>
      <c r="E62" s="31" t="str">
        <f>IFERROR(__xludf.DUMMYFUNCTION("""COMPUTED_VALUE"""),"We Are Property - JIMBOOMBA")</f>
        <v>We Are Property - JIMBOOMBA</v>
      </c>
      <c r="F62" s="31" t="str">
        <f>IFERROR(__xludf.DUMMYFUNCTION("""COMPUTED_VALUE"""),"Cedar Grove")</f>
        <v>Cedar Grove</v>
      </c>
      <c r="G62" s="31" t="str">
        <f>IFERROR(__xludf.DUMMYFUNCTION("""COMPUTED_VALUE"""),"Cedar Vale")</f>
        <v>Cedar Vale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</row>
    <row r="63">
      <c r="A63" s="88">
        <f>IFERROR(__xludf.DUMMYFUNCTION("""COMPUTED_VALUE"""),61.0)</f>
        <v>61</v>
      </c>
      <c r="B63" s="31" t="str">
        <f>IFERROR(__xludf.DUMMYFUNCTION("""COMPUTED_VALUE"""),"QLD")</f>
        <v>QLD</v>
      </c>
      <c r="C63" s="31" t="str">
        <f>IFERROR(__xludf.DUMMYFUNCTION("""COMPUTED_VALUE"""),"Jim Baron")</f>
        <v>Jim Baron</v>
      </c>
      <c r="D63" s="31" t="str">
        <f>IFERROR(__xludf.DUMMYFUNCTION("""COMPUTED_VALUE"""),"jim@jimbaronrealty.com.au")</f>
        <v>jim@jimbaronrealty.com.au</v>
      </c>
      <c r="E63" s="31" t="str">
        <f>IFERROR(__xludf.DUMMYFUNCTION("""COMPUTED_VALUE"""),"Jim Baron Realty")</f>
        <v>Jim Baron Realty</v>
      </c>
      <c r="F63" s="31" t="str">
        <f>IFERROR(__xludf.DUMMYFUNCTION("""COMPUTED_VALUE"""),"Toolooa")</f>
        <v>Toolooa</v>
      </c>
      <c r="G63" s="31" t="str">
        <f>IFERROR(__xludf.DUMMYFUNCTION("""COMPUTED_VALUE"""),"Telina")</f>
        <v>Telina</v>
      </c>
      <c r="H63" s="31" t="str">
        <f>IFERROR(__xludf.DUMMYFUNCTION("""COMPUTED_VALUE"""),"Kirkwood")</f>
        <v>Kirkwood</v>
      </c>
      <c r="I63" s="31" t="str">
        <f>IFERROR(__xludf.DUMMYFUNCTION("""COMPUTED_VALUE"""),"New Auckland")</f>
        <v>New Auckland</v>
      </c>
      <c r="J63" s="31" t="str">
        <f>IFERROR(__xludf.DUMMYFUNCTION("""COMPUTED_VALUE"""),"Kin Kora")</f>
        <v>Kin Kora</v>
      </c>
      <c r="K63" s="31" t="str">
        <f>IFERROR(__xludf.DUMMYFUNCTION("""COMPUTED_VALUE"""),"Sun Valley")</f>
        <v>Sun Valley</v>
      </c>
      <c r="L63" s="31" t="str">
        <f>IFERROR(__xludf.DUMMYFUNCTION("""COMPUTED_VALUE"""),"Clinton")</f>
        <v>Clinton</v>
      </c>
      <c r="M63" s="31" t="str">
        <f>IFERROR(__xludf.DUMMYFUNCTION("""COMPUTED_VALUE"""),"South Gladstone")</f>
        <v>South Gladstone</v>
      </c>
      <c r="N63" s="31" t="str">
        <f>IFERROR(__xludf.DUMMYFUNCTION("""COMPUTED_VALUE"""),"Barney Point")</f>
        <v>Barney Point</v>
      </c>
      <c r="O63" s="31" t="str">
        <f>IFERROR(__xludf.DUMMYFUNCTION("""COMPUTED_VALUE"""),"West Gladstone")</f>
        <v>West Gladstone</v>
      </c>
      <c r="P63" s="31" t="str">
        <f>IFERROR(__xludf.DUMMYFUNCTION("""COMPUTED_VALUE"""),"Byellee")</f>
        <v>Byellee</v>
      </c>
      <c r="Q63" s="31" t="str">
        <f>IFERROR(__xludf.DUMMYFUNCTION("""COMPUTED_VALUE"""),"Callemondah")</f>
        <v>Callemondah</v>
      </c>
      <c r="R63" s="31" t="str">
        <f>IFERROR(__xludf.DUMMYFUNCTION("""COMPUTED_VALUE"""),"Gladstone Central")</f>
        <v>Gladstone Central</v>
      </c>
      <c r="S63" s="31" t="str">
        <f>IFERROR(__xludf.DUMMYFUNCTION("""COMPUTED_VALUE"""),"Glen Eden")</f>
        <v>Glen Eden</v>
      </c>
      <c r="T63" s="31" t="str">
        <f>IFERROR(__xludf.DUMMYFUNCTION("""COMPUTED_VALUE"""),"South Trees")</f>
        <v>South Trees</v>
      </c>
      <c r="U63" s="31" t="str">
        <f>IFERROR(__xludf.DUMMYFUNCTION("""COMPUTED_VALUE"""),"O'Connell")</f>
        <v>O'Connell</v>
      </c>
      <c r="V63" s="31" t="str">
        <f>IFERROR(__xludf.DUMMYFUNCTION("""COMPUTED_VALUE"""),"Beecher")</f>
        <v>Beecher</v>
      </c>
      <c r="W63" s="31" t="str">
        <f>IFERROR(__xludf.DUMMYFUNCTION("""COMPUTED_VALUE"""),"Burua")</f>
        <v>Burua</v>
      </c>
      <c r="X63" s="31" t="str">
        <f>IFERROR(__xludf.DUMMYFUNCTION("""COMPUTED_VALUE"""),"Tannum Sands")</f>
        <v>Tannum Sands</v>
      </c>
      <c r="Y63" s="31" t="str">
        <f>IFERROR(__xludf.DUMMYFUNCTION("""COMPUTED_VALUE"""),"Boyne Island")</f>
        <v>Boyne Island</v>
      </c>
      <c r="Z63" s="31" t="str">
        <f>IFERROR(__xludf.DUMMYFUNCTION("""COMPUTED_VALUE"""),"Benaraby")</f>
        <v>Benaraby</v>
      </c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</row>
    <row r="64">
      <c r="A64" s="88">
        <f>IFERROR(__xludf.DUMMYFUNCTION("""COMPUTED_VALUE"""),62.0)</f>
        <v>62</v>
      </c>
      <c r="B64" s="31" t="str">
        <f>IFERROR(__xludf.DUMMYFUNCTION("""COMPUTED_VALUE"""),"QLD")</f>
        <v>QLD</v>
      </c>
      <c r="C64" s="31" t="str">
        <f>IFERROR(__xludf.DUMMYFUNCTION("""COMPUTED_VALUE"""),"Justin Henry")</f>
        <v>Justin Henry</v>
      </c>
      <c r="D64" s="31" t="str">
        <f>IFERROR(__xludf.DUMMYFUNCTION("""COMPUTED_VALUE"""),"justin@remaxwm.com.au")</f>
        <v>justin@remaxwm.com.au</v>
      </c>
      <c r="E64" s="31" t="str">
        <f>IFERROR(__xludf.DUMMYFUNCTION("""COMPUTED_VALUE"""),"REMAX Advantage")</f>
        <v>REMAX Advantage</v>
      </c>
      <c r="F64" s="31" t="str">
        <f>IFERROR(__xludf.DUMMYFUNCTION("""COMPUTED_VALUE"""),"Mount Gravatt East")</f>
        <v>Mount Gravatt East</v>
      </c>
      <c r="G64" s="31" t="str">
        <f>IFERROR(__xludf.DUMMYFUNCTION("""COMPUTED_VALUE"""),"Mount Gravatt")</f>
        <v>Mount Gravatt</v>
      </c>
      <c r="H64" s="31" t="str">
        <f>IFERROR(__xludf.DUMMYFUNCTION("""COMPUTED_VALUE"""),"Upper Mount Gravatt")</f>
        <v>Upper Mount Gravatt</v>
      </c>
      <c r="I64" s="31" t="str">
        <f>IFERROR(__xludf.DUMMYFUNCTION("""COMPUTED_VALUE"""),"Mansfield")</f>
        <v>Mansfield</v>
      </c>
      <c r="J64" s="31" t="str">
        <f>IFERROR(__xludf.DUMMYFUNCTION("""COMPUTED_VALUE"""),"Wishart")</f>
        <v>Wishart</v>
      </c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</row>
    <row r="65">
      <c r="A65" s="88">
        <f>IFERROR(__xludf.DUMMYFUNCTION("""COMPUTED_VALUE"""),63.0)</f>
        <v>63</v>
      </c>
      <c r="B65" s="31" t="str">
        <f>IFERROR(__xludf.DUMMYFUNCTION("""COMPUTED_VALUE"""),"QLD")</f>
        <v>QLD</v>
      </c>
      <c r="C65" s="31" t="str">
        <f>IFERROR(__xludf.DUMMYFUNCTION("""COMPUTED_VALUE"""),"Kelley Rigby")</f>
        <v>Kelley Rigby</v>
      </c>
      <c r="D65" s="31" t="str">
        <f>IFERROR(__xludf.DUMMYFUNCTION("""COMPUTED_VALUE"""),"kelley@rigbyproperty.com.au")</f>
        <v>kelley@rigbyproperty.com.au</v>
      </c>
      <c r="E65" s="31" t="str">
        <f>IFERROR(__xludf.DUMMYFUNCTION("""COMPUTED_VALUE"""),"Rigby Property Group")</f>
        <v>Rigby Property Group</v>
      </c>
      <c r="F65" s="31" t="str">
        <f>IFERROR(__xludf.DUMMYFUNCTION("""COMPUTED_VALUE"""),"Surfers Paradise")</f>
        <v>Surfers Paradise</v>
      </c>
      <c r="G65" s="31" t="str">
        <f>IFERROR(__xludf.DUMMYFUNCTION("""COMPUTED_VALUE"""),"Main Beach")</f>
        <v>Main Beach</v>
      </c>
      <c r="H65" s="31" t="str">
        <f>IFERROR(__xludf.DUMMYFUNCTION("""COMPUTED_VALUE"""),"Broadbeach")</f>
        <v>Broadbeach</v>
      </c>
      <c r="I65" s="31" t="str">
        <f>IFERROR(__xludf.DUMMYFUNCTION("""COMPUTED_VALUE"""),"Southport")</f>
        <v>Southport</v>
      </c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</row>
    <row r="66">
      <c r="A66" s="88">
        <f>IFERROR(__xludf.DUMMYFUNCTION("""COMPUTED_VALUE"""),64.0)</f>
        <v>64</v>
      </c>
      <c r="B66" s="31" t="str">
        <f>IFERROR(__xludf.DUMMYFUNCTION("""COMPUTED_VALUE"""),"QLD")</f>
        <v>QLD</v>
      </c>
      <c r="C66" s="31" t="str">
        <f>IFERROR(__xludf.DUMMYFUNCTION("""COMPUTED_VALUE"""),"Leisa Lowe")</f>
        <v>Leisa Lowe</v>
      </c>
      <c r="D66" s="31" t="str">
        <f>IFERROR(__xludf.DUMMYFUNCTION("""COMPUTED_VALUE"""),"leisa@janjones.com.au")</f>
        <v>leisa@janjones.com.au</v>
      </c>
      <c r="E66" s="31" t="str">
        <f>IFERROR(__xludf.DUMMYFUNCTION("""COMPUTED_VALUE"""),"Jan Jones Real Estate - Clontarf")</f>
        <v>Jan Jones Real Estate - Clontarf</v>
      </c>
      <c r="F66" s="31" t="str">
        <f>IFERROR(__xludf.DUMMYFUNCTION("""COMPUTED_VALUE"""),"Clontarf")</f>
        <v>Clontarf</v>
      </c>
      <c r="G66" s="31" t="str">
        <f>IFERROR(__xludf.DUMMYFUNCTION("""COMPUTED_VALUE"""),"Woody Point")</f>
        <v>Woody Point</v>
      </c>
      <c r="H66" s="31" t="str">
        <f>IFERROR(__xludf.DUMMYFUNCTION("""COMPUTED_VALUE"""),"Margate")</f>
        <v>Margate</v>
      </c>
      <c r="I66" s="31" t="str">
        <f>IFERROR(__xludf.DUMMYFUNCTION("""COMPUTED_VALUE"""),"Kippa-Ring")</f>
        <v>Kippa-Ring</v>
      </c>
      <c r="J66" s="31" t="str">
        <f>IFERROR(__xludf.DUMMYFUNCTION("""COMPUTED_VALUE"""),"Newport")</f>
        <v>Newport</v>
      </c>
      <c r="K66" s="31" t="str">
        <f>IFERROR(__xludf.DUMMYFUNCTION("""COMPUTED_VALUE"""),"Rothwell")</f>
        <v>Rothwell</v>
      </c>
      <c r="L66" s="31" t="str">
        <f>IFERROR(__xludf.DUMMYFUNCTION("""COMPUTED_VALUE"""),"Redcliffe")</f>
        <v>Redcliffe</v>
      </c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</row>
    <row r="67">
      <c r="A67" s="88">
        <f>IFERROR(__xludf.DUMMYFUNCTION("""COMPUTED_VALUE"""),65.0)</f>
        <v>65</v>
      </c>
      <c r="B67" s="31" t="str">
        <f>IFERROR(__xludf.DUMMYFUNCTION("""COMPUTED_VALUE"""),"QLD")</f>
        <v>QLD</v>
      </c>
      <c r="C67" s="31" t="str">
        <f>IFERROR(__xludf.DUMMYFUNCTION("""COMPUTED_VALUE"""),"Lisa Black")</f>
        <v>Lisa Black</v>
      </c>
      <c r="D67" s="31" t="str">
        <f>IFERROR(__xludf.DUMMYFUNCTION("""COMPUTED_VALUE"""),"mpc@atrealty.com.au")</f>
        <v>mpc@atrealty.com.au</v>
      </c>
      <c r="E67" s="31" t="str">
        <f>IFERROR(__xludf.DUMMYFUNCTION("""COMPUTED_VALUE"""),"@realty")</f>
        <v>@realty</v>
      </c>
      <c r="F67" s="31" t="str">
        <f>IFERROR(__xludf.DUMMYFUNCTION("""COMPUTED_VALUE"""),"Mango Hill")</f>
        <v>Mango Hill</v>
      </c>
      <c r="G67" s="31" t="str">
        <f>IFERROR(__xludf.DUMMYFUNCTION("""COMPUTED_VALUE"""),"North Lakes")</f>
        <v>North Lakes</v>
      </c>
      <c r="H67" s="31" t="str">
        <f>IFERROR(__xludf.DUMMYFUNCTION("""COMPUTED_VALUE"""),"Kallangur")</f>
        <v>Kallangur</v>
      </c>
      <c r="I67" s="31" t="str">
        <f>IFERROR(__xludf.DUMMYFUNCTION("""COMPUTED_VALUE"""),"Murrumba Downs")</f>
        <v>Murrumba Downs</v>
      </c>
      <c r="J67" s="31" t="str">
        <f>IFERROR(__xludf.DUMMYFUNCTION("""COMPUTED_VALUE"""),"Dakabin")</f>
        <v>Dakabin</v>
      </c>
      <c r="K67" s="31" t="str">
        <f>IFERROR(__xludf.DUMMYFUNCTION("""COMPUTED_VALUE"""),"Griffin")</f>
        <v>Griffin</v>
      </c>
      <c r="L67" s="31" t="str">
        <f>IFERROR(__xludf.DUMMYFUNCTION("""COMPUTED_VALUE"""),"Petrie")</f>
        <v>Petrie</v>
      </c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</row>
    <row r="68">
      <c r="A68" s="88">
        <f>IFERROR(__xludf.DUMMYFUNCTION("""COMPUTED_VALUE"""),66.0)</f>
        <v>66</v>
      </c>
      <c r="B68" s="31" t="str">
        <f>IFERROR(__xludf.DUMMYFUNCTION("""COMPUTED_VALUE"""),"QLD")</f>
        <v>QLD</v>
      </c>
      <c r="C68" s="31" t="str">
        <f>IFERROR(__xludf.DUMMYFUNCTION("""COMPUTED_VALUE"""),"Mark Cheney")</f>
        <v>Mark Cheney</v>
      </c>
      <c r="D68" s="31" t="str">
        <f>IFERROR(__xludf.DUMMYFUNCTION("""COMPUTED_VALUE"""),"firstnationalmoreton@property-agent.com")</f>
        <v>firstnationalmoreton@property-agent.com</v>
      </c>
      <c r="E68" s="31" t="str">
        <f>IFERROR(__xludf.DUMMYFUNCTION("""COMPUTED_VALUE"""),"First National Real Estate - Moreton")</f>
        <v>First National Real Estate - Moreton</v>
      </c>
      <c r="F68" s="31" t="str">
        <f>IFERROR(__xludf.DUMMYFUNCTION("""COMPUTED_VALUE"""),"Morayfield")</f>
        <v>Morayfield</v>
      </c>
      <c r="G68" s="31" t="str">
        <f>IFERROR(__xludf.DUMMYFUNCTION("""COMPUTED_VALUE"""),"Burpengary")</f>
        <v>Burpengary</v>
      </c>
      <c r="H68" s="31" t="str">
        <f>IFERROR(__xludf.DUMMYFUNCTION("""COMPUTED_VALUE"""),"Narangba")</f>
        <v>Narangba</v>
      </c>
      <c r="I68" s="31" t="str">
        <f>IFERROR(__xludf.DUMMYFUNCTION("""COMPUTED_VALUE"""),"Burpengary East")</f>
        <v>Burpengary East</v>
      </c>
      <c r="J68" s="31" t="str">
        <f>IFERROR(__xludf.DUMMYFUNCTION("""COMPUTED_VALUE"""),"Upper Caboolture")</f>
        <v>Upper Caboolture</v>
      </c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</row>
    <row r="69">
      <c r="A69" s="88">
        <f>IFERROR(__xludf.DUMMYFUNCTION("""COMPUTED_VALUE"""),67.0)</f>
        <v>67</v>
      </c>
      <c r="B69" s="31" t="str">
        <f>IFERROR(__xludf.DUMMYFUNCTION("""COMPUTED_VALUE"""),"QLD")</f>
        <v>QLD</v>
      </c>
      <c r="C69" s="31" t="str">
        <f>IFERROR(__xludf.DUMMYFUNCTION("""COMPUTED_VALUE"""),"Matt Shelton")</f>
        <v>Matt Shelton</v>
      </c>
      <c r="D69" s="31" t="str">
        <f>IFERROR(__xludf.DUMMYFUNCTION("""COMPUTED_VALUE"""),"matt.shelton@coastal.com.au")</f>
        <v>matt.shelton@coastal.com.au</v>
      </c>
      <c r="E69" s="31" t="str">
        <f>IFERROR(__xludf.DUMMYFUNCTION("""COMPUTED_VALUE"""),"Coastal")</f>
        <v>Coastal</v>
      </c>
      <c r="F69" s="31" t="str">
        <f>IFERROR(__xludf.DUMMYFUNCTION("""COMPUTED_VALUE"""),"Robina")</f>
        <v>Robina</v>
      </c>
      <c r="G69" s="31" t="str">
        <f>IFERROR(__xludf.DUMMYFUNCTION("""COMPUTED_VALUE"""),"Bundall")</f>
        <v>Bundall</v>
      </c>
      <c r="H69" s="31" t="str">
        <f>IFERROR(__xludf.DUMMYFUNCTION("""COMPUTED_VALUE"""),"Merrimac")</f>
        <v>Merrimac</v>
      </c>
      <c r="I69" s="31" t="str">
        <f>IFERROR(__xludf.DUMMYFUNCTION("""COMPUTED_VALUE"""),"Varsity Lakes")</f>
        <v>Varsity Lakes</v>
      </c>
      <c r="J69" s="31" t="str">
        <f>IFERROR(__xludf.DUMMYFUNCTION("""COMPUTED_VALUE"""),"Labrador")</f>
        <v>Labrador</v>
      </c>
      <c r="K69" s="31" t="str">
        <f>IFERROR(__xludf.DUMMYFUNCTION("""COMPUTED_VALUE"""),"Broadbeach Waters")</f>
        <v>Broadbeach Waters</v>
      </c>
      <c r="L69" s="31" t="str">
        <f>IFERROR(__xludf.DUMMYFUNCTION("""COMPUTED_VALUE"""),"Reedy Creek")</f>
        <v>Reedy Creek</v>
      </c>
      <c r="M69" s="31" t="str">
        <f>IFERROR(__xludf.DUMMYFUNCTION("""COMPUTED_VALUE"""),"Burleigh Waters")</f>
        <v>Burleigh Waters</v>
      </c>
      <c r="N69" s="31" t="str">
        <f>IFERROR(__xludf.DUMMYFUNCTION("""COMPUTED_VALUE"""),"Burleigh Heads")</f>
        <v>Burleigh Heads</v>
      </c>
      <c r="O69" s="31" t="str">
        <f>IFERROR(__xludf.DUMMYFUNCTION("""COMPUTED_VALUE"""),"Biggera Waters")</f>
        <v>Biggera Waters</v>
      </c>
      <c r="P69" s="31" t="str">
        <f>IFERROR(__xludf.DUMMYFUNCTION("""COMPUTED_VALUE"""),"Chevron Island")</f>
        <v>Chevron Island</v>
      </c>
      <c r="Q69" s="31" t="str">
        <f>IFERROR(__xludf.DUMMYFUNCTION("""COMPUTED_VALUE"""),"Mermaid Beach")</f>
        <v>Mermaid Beach</v>
      </c>
      <c r="R69" s="31" t="str">
        <f>IFERROR(__xludf.DUMMYFUNCTION("""COMPUTED_VALUE"""),"Mermaid Waters")</f>
        <v>Mermaid Waters</v>
      </c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</row>
    <row r="70">
      <c r="A70" s="88">
        <f>IFERROR(__xludf.DUMMYFUNCTION("""COMPUTED_VALUE"""),68.0)</f>
        <v>68</v>
      </c>
      <c r="B70" s="31" t="str">
        <f>IFERROR(__xludf.DUMMYFUNCTION("""COMPUTED_VALUE"""),"QLD")</f>
        <v>QLD</v>
      </c>
      <c r="C70" s="31" t="str">
        <f>IFERROR(__xludf.DUMMYFUNCTION("""COMPUTED_VALUE"""),"Melinda Smith")</f>
        <v>Melinda Smith</v>
      </c>
      <c r="D70" s="31" t="str">
        <f>IFERROR(__xludf.DUMMYFUNCTION("""COMPUTED_VALUE"""),"melinda@mbproperties.com.au")</f>
        <v>melinda@mbproperties.com.au</v>
      </c>
      <c r="E70" s="31" t="str">
        <f>IFERROR(__xludf.DUMMYFUNCTION("""COMPUTED_VALUE"""),"MB Real Estate")</f>
        <v>MB Real Estate</v>
      </c>
      <c r="F70" s="31" t="str">
        <f>IFERROR(__xludf.DUMMYFUNCTION("""COMPUTED_VALUE"""),"Deception Bay")</f>
        <v>Deception Bay</v>
      </c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</row>
    <row r="71">
      <c r="A71" s="88">
        <f>IFERROR(__xludf.DUMMYFUNCTION("""COMPUTED_VALUE"""),69.0)</f>
        <v>69</v>
      </c>
      <c r="B71" s="31" t="str">
        <f>IFERROR(__xludf.DUMMYFUNCTION("""COMPUTED_VALUE"""),"QLD")</f>
        <v>QLD</v>
      </c>
      <c r="C71" s="31" t="str">
        <f>IFERROR(__xludf.DUMMYFUNCTION("""COMPUTED_VALUE"""),"Nathan Simon")</f>
        <v>Nathan Simon</v>
      </c>
      <c r="D71" s="31" t="str">
        <f>IFERROR(__xludf.DUMMYFUNCTION("""COMPUTED_VALUE"""),"nathan.simon@allpropertiesgroup.com.au")</f>
        <v>nathan.simon@allpropertiesgroup.com.au</v>
      </c>
      <c r="E71" s="31" t="str">
        <f>IFERROR(__xludf.DUMMYFUNCTION("""COMPUTED_VALUE"""),"All Properties Group")</f>
        <v>All Properties Group</v>
      </c>
      <c r="F71" s="31" t="str">
        <f>IFERROR(__xludf.DUMMYFUNCTION("""COMPUTED_VALUE"""),"Oxenford")</f>
        <v>Oxenford</v>
      </c>
      <c r="G71" s="31" t="str">
        <f>IFERROR(__xludf.DUMMYFUNCTION("""COMPUTED_VALUE"""),"Maudsland")</f>
        <v>Maudsland</v>
      </c>
      <c r="H71" s="31" t="str">
        <f>IFERROR(__xludf.DUMMYFUNCTION("""COMPUTED_VALUE"""),"Pimpama")</f>
        <v>Pimpama</v>
      </c>
      <c r="I71" s="31" t="str">
        <f>IFERROR(__xludf.DUMMYFUNCTION("""COMPUTED_VALUE"""),"Ormeau")</f>
        <v>Ormeau</v>
      </c>
      <c r="J71" s="31" t="str">
        <f>IFERROR(__xludf.DUMMYFUNCTION("""COMPUTED_VALUE"""),"Helensvale")</f>
        <v>Helensvale</v>
      </c>
      <c r="K71" s="31" t="str">
        <f>IFERROR(__xludf.DUMMYFUNCTION("""COMPUTED_VALUE"""),"Coomera")</f>
        <v>Coomera</v>
      </c>
      <c r="L71" s="31" t="str">
        <f>IFERROR(__xludf.DUMMYFUNCTION("""COMPUTED_VALUE"""),"Upper Coomera")</f>
        <v>Upper Coomera</v>
      </c>
      <c r="M71" s="31" t="str">
        <f>IFERROR(__xludf.DUMMYFUNCTION("""COMPUTED_VALUE"""),"Coomera Waters")</f>
        <v>Coomera Waters</v>
      </c>
      <c r="N71" s="31" t="str">
        <f>IFERROR(__xludf.DUMMYFUNCTION("""COMPUTED_VALUE"""),"Jacobs Well")</f>
        <v>Jacobs Well</v>
      </c>
      <c r="O71" s="31" t="str">
        <f>IFERROR(__xludf.DUMMYFUNCTION("""COMPUTED_VALUE"""),"Paradise Point")</f>
        <v>Paradise Point</v>
      </c>
      <c r="P71" s="31" t="str">
        <f>IFERROR(__xludf.DUMMYFUNCTION("""COMPUTED_VALUE"""),"Hope Island")</f>
        <v>Hope Island</v>
      </c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</row>
    <row r="72">
      <c r="A72" s="88">
        <f>IFERROR(__xludf.DUMMYFUNCTION("""COMPUTED_VALUE"""),70.0)</f>
        <v>70</v>
      </c>
      <c r="B72" s="31" t="str">
        <f>IFERROR(__xludf.DUMMYFUNCTION("""COMPUTED_VALUE"""),"QLD")</f>
        <v>QLD</v>
      </c>
      <c r="C72" s="31" t="str">
        <f>IFERROR(__xludf.DUMMYFUNCTION("""COMPUTED_VALUE"""),"Navin Chandra")</f>
        <v>Navin Chandra</v>
      </c>
      <c r="D72" s="31" t="str">
        <f>IFERROR(__xludf.DUMMYFUNCTION("""COMPUTED_VALUE"""),"navin@imageproperty.com.au")</f>
        <v>navin@imageproperty.com.au</v>
      </c>
      <c r="E72" s="31" t="str">
        <f>IFERROR(__xludf.DUMMYFUNCTION("""COMPUTED_VALUE"""),"Image Property")</f>
        <v>Image Property</v>
      </c>
      <c r="F72" s="31" t="str">
        <f>IFERROR(__xludf.DUMMYFUNCTION("""COMPUTED_VALUE"""),"Spring Mountain")</f>
        <v>Spring Mountain</v>
      </c>
      <c r="G72" s="31" t="str">
        <f>IFERROR(__xludf.DUMMYFUNCTION("""COMPUTED_VALUE"""),"Greenbank")</f>
        <v>Greenbank</v>
      </c>
      <c r="H72" s="31" t="str">
        <f>IFERROR(__xludf.DUMMYFUNCTION("""COMPUTED_VALUE"""),"Redbank Plains")</f>
        <v>Redbank Plains</v>
      </c>
      <c r="I72" s="31" t="str">
        <f>IFERROR(__xludf.DUMMYFUNCTION("""COMPUTED_VALUE"""),"Collingwood Park")</f>
        <v>Collingwood Park</v>
      </c>
      <c r="J72" s="31" t="str">
        <f>IFERROR(__xludf.DUMMYFUNCTION("""COMPUTED_VALUE"""),"White Rock")</f>
        <v>White Rock</v>
      </c>
      <c r="K72" s="31" t="str">
        <f>IFERROR(__xludf.DUMMYFUNCTION("""COMPUTED_VALUE"""),"Camira")</f>
        <v>Camira</v>
      </c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</row>
    <row r="73">
      <c r="A73" s="88">
        <f>IFERROR(__xludf.DUMMYFUNCTION("""COMPUTED_VALUE"""),71.0)</f>
        <v>71</v>
      </c>
      <c r="B73" s="31" t="str">
        <f>IFERROR(__xludf.DUMMYFUNCTION("""COMPUTED_VALUE"""),"QLD")</f>
        <v>QLD</v>
      </c>
      <c r="C73" s="31" t="str">
        <f>IFERROR(__xludf.DUMMYFUNCTION("""COMPUTED_VALUE"""),"Paul Rily")</f>
        <v>Paul Rily</v>
      </c>
      <c r="D73" s="31" t="str">
        <f>IFERROR(__xludf.DUMMYFUNCTION("""COMPUTED_VALUE"""),"paul@dowlingneylan.com.au")</f>
        <v>paul@dowlingneylan.com.au</v>
      </c>
      <c r="E73" s="31" t="str">
        <f>IFERROR(__xludf.DUMMYFUNCTION("""COMPUTED_VALUE"""),"Downling Neylan")</f>
        <v>Downling Neylan</v>
      </c>
      <c r="F73" s="31" t="str">
        <f>IFERROR(__xludf.DUMMYFUNCTION("""COMPUTED_VALUE"""),"Tewantin")</f>
        <v>Tewantin</v>
      </c>
      <c r="G73" s="31" t="str">
        <f>IFERROR(__xludf.DUMMYFUNCTION("""COMPUTED_VALUE"""),"Cooroibah")</f>
        <v>Cooroibah</v>
      </c>
      <c r="H73" s="31" t="str">
        <f>IFERROR(__xludf.DUMMYFUNCTION("""COMPUTED_VALUE"""),"Cootharaba")</f>
        <v>Cootharaba</v>
      </c>
      <c r="I73" s="31" t="str">
        <f>IFERROR(__xludf.DUMMYFUNCTION("""COMPUTED_VALUE"""),"Cooroy")</f>
        <v>Cooroy</v>
      </c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</row>
    <row r="74">
      <c r="A74" s="88">
        <f>IFERROR(__xludf.DUMMYFUNCTION("""COMPUTED_VALUE"""),72.0)</f>
        <v>72</v>
      </c>
      <c r="B74" s="31" t="str">
        <f>IFERROR(__xludf.DUMMYFUNCTION("""COMPUTED_VALUE"""),"QLD")</f>
        <v>QLD</v>
      </c>
      <c r="C74" s="31" t="str">
        <f>IFERROR(__xludf.DUMMYFUNCTION("""COMPUTED_VALUE"""),"Samantha Leftwich")</f>
        <v>Samantha Leftwich</v>
      </c>
      <c r="D74" s="31" t="str">
        <f>IFERROR(__xludf.DUMMYFUNCTION("""COMPUTED_VALUE"""),"admin@cmres.com.au")</f>
        <v>admin@cmres.com.au</v>
      </c>
      <c r="E74" s="31" t="str">
        <f>IFERROR(__xludf.DUMMYFUNCTION("""COMPUTED_VALUE"""),"Carol Maxwell Real Estate Services")</f>
        <v>Carol Maxwell Real Estate Services</v>
      </c>
      <c r="F74" s="31" t="str">
        <f>IFERROR(__xludf.DUMMYFUNCTION("""COMPUTED_VALUE"""),"Carina")</f>
        <v>Carina</v>
      </c>
      <c r="G74" s="31" t="str">
        <f>IFERROR(__xludf.DUMMYFUNCTION("""COMPUTED_VALUE"""),"Carina Heights")</f>
        <v>Carina Heights</v>
      </c>
      <c r="H74" s="31" t="str">
        <f>IFERROR(__xludf.DUMMYFUNCTION("""COMPUTED_VALUE"""),"Tingalpa")</f>
        <v>Tingalpa</v>
      </c>
      <c r="I74" s="31" t="str">
        <f>IFERROR(__xludf.DUMMYFUNCTION("""COMPUTED_VALUE"""),"Camp Hill")</f>
        <v>Camp Hill</v>
      </c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</row>
    <row r="75">
      <c r="A75" s="88">
        <f>IFERROR(__xludf.DUMMYFUNCTION("""COMPUTED_VALUE"""),73.0)</f>
        <v>73</v>
      </c>
      <c r="B75" s="31" t="str">
        <f>IFERROR(__xludf.DUMMYFUNCTION("""COMPUTED_VALUE"""),"QLD")</f>
        <v>QLD</v>
      </c>
      <c r="C75" s="31" t="str">
        <f>IFERROR(__xludf.DUMMYFUNCTION("""COMPUTED_VALUE"""),"Sasa Peci")</f>
        <v>Sasa Peci</v>
      </c>
      <c r="D75" s="31" t="str">
        <f>IFERROR(__xludf.DUMMYFUNCTION("""COMPUTED_VALUE"""),"aaron.riding@allpropertiesgroup.com.au")</f>
        <v>aaron.riding@allpropertiesgroup.com.au</v>
      </c>
      <c r="E75" s="31" t="str">
        <f>IFERROR(__xludf.DUMMYFUNCTION("""COMPUTED_VALUE"""),"All Properties Group")</f>
        <v>All Properties Group</v>
      </c>
      <c r="F75" s="31" t="str">
        <f>IFERROR(__xludf.DUMMYFUNCTION("""COMPUTED_VALUE"""),"Yarrabilba")</f>
        <v>Yarrabilba</v>
      </c>
      <c r="G75" s="31" t="str">
        <f>IFERROR(__xludf.DUMMYFUNCTION("""COMPUTED_VALUE"""),"Logan Village")</f>
        <v>Logan Village</v>
      </c>
      <c r="H75" s="31" t="str">
        <f>IFERROR(__xludf.DUMMYFUNCTION("""COMPUTED_VALUE"""),"Bahrs Scrub")</f>
        <v>Bahrs Scrub</v>
      </c>
      <c r="I75" s="31" t="str">
        <f>IFERROR(__xludf.DUMMYFUNCTION("""COMPUTED_VALUE"""),"Windaroo")</f>
        <v>Windaroo</v>
      </c>
      <c r="J75" s="31" t="str">
        <f>IFERROR(__xludf.DUMMYFUNCTION("""COMPUTED_VALUE"""),"Edens Landing")</f>
        <v>Edens Landing</v>
      </c>
      <c r="K75" s="31" t="str">
        <f>IFERROR(__xludf.DUMMYFUNCTION("""COMPUTED_VALUE"""),"Waterford")</f>
        <v>Waterford</v>
      </c>
      <c r="L75" s="31" t="str">
        <f>IFERROR(__xludf.DUMMYFUNCTION("""COMPUTED_VALUE"""),"Bethania")</f>
        <v>Bethania</v>
      </c>
      <c r="M75" s="31" t="str">
        <f>IFERROR(__xludf.DUMMYFUNCTION("""COMPUTED_VALUE"""),"Tanah Mera")</f>
        <v>Tanah Mera</v>
      </c>
      <c r="N75" s="31" t="str">
        <f>IFERROR(__xludf.DUMMYFUNCTION("""COMPUTED_VALUE"""),"Beenleigh")</f>
        <v>Beenleigh</v>
      </c>
      <c r="O75" s="31" t="str">
        <f>IFERROR(__xludf.DUMMYFUNCTION("""COMPUTED_VALUE"""),"Eagleby")</f>
        <v>Eagleby</v>
      </c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</row>
    <row r="76">
      <c r="A76" s="88">
        <f>IFERROR(__xludf.DUMMYFUNCTION("""COMPUTED_VALUE"""),74.0)</f>
        <v>74</v>
      </c>
      <c r="B76" s="31" t="str">
        <f>IFERROR(__xludf.DUMMYFUNCTION("""COMPUTED_VALUE"""),"QLD")</f>
        <v>QLD</v>
      </c>
      <c r="C76" s="31" t="str">
        <f>IFERROR(__xludf.DUMMYFUNCTION("""COMPUTED_VALUE"""),"Sean Mawberino")</f>
        <v>Sean Mawberino</v>
      </c>
      <c r="D76" s="31" t="str">
        <f>IFERROR(__xludf.DUMMYFUNCTION("""COMPUTED_VALUE"""),"sean.mawberino@belleproperty.com")</f>
        <v>sean.mawberino@belleproperty.com</v>
      </c>
      <c r="E76" s="31" t="str">
        <f>IFERROR(__xludf.DUMMYFUNCTION("""COMPUTED_VALUE"""),"Belle Property")</f>
        <v>Belle Property</v>
      </c>
      <c r="F76" s="31" t="str">
        <f>IFERROR(__xludf.DUMMYFUNCTION("""COMPUTED_VALUE"""),"Mount Louisa")</f>
        <v>Mount Louisa</v>
      </c>
      <c r="G76" s="31" t="str">
        <f>IFERROR(__xludf.DUMMYFUNCTION("""COMPUTED_VALUE"""),"Kirwan")</f>
        <v>Kirwan</v>
      </c>
      <c r="H76" s="31" t="str">
        <f>IFERROR(__xludf.DUMMYFUNCTION("""COMPUTED_VALUE"""),"Aitkenvale")</f>
        <v>Aitkenvale</v>
      </c>
      <c r="I76" s="31" t="str">
        <f>IFERROR(__xludf.DUMMYFUNCTION("""COMPUTED_VALUE"""),"Annandale")</f>
        <v>Annandale</v>
      </c>
      <c r="J76" s="31" t="str">
        <f>IFERROR(__xludf.DUMMYFUNCTION("""COMPUTED_VALUE"""),"Bushland Beach")</f>
        <v>Bushland Beach</v>
      </c>
      <c r="K76" s="31" t="str">
        <f>IFERROR(__xludf.DUMMYFUNCTION("""COMPUTED_VALUE"""),"Condon")</f>
        <v>Condon</v>
      </c>
      <c r="L76" s="31" t="str">
        <f>IFERROR(__xludf.DUMMYFUNCTION("""COMPUTED_VALUE"""),"Douglas")</f>
        <v>Douglas</v>
      </c>
      <c r="M76" s="31" t="str">
        <f>IFERROR(__xludf.DUMMYFUNCTION("""COMPUTED_VALUE"""),"Garbutt")</f>
        <v>Garbutt</v>
      </c>
      <c r="N76" s="31" t="str">
        <f>IFERROR(__xludf.DUMMYFUNCTION("""COMPUTED_VALUE"""),"Hermit Park")</f>
        <v>Hermit Park</v>
      </c>
      <c r="O76" s="31" t="str">
        <f>IFERROR(__xludf.DUMMYFUNCTION("""COMPUTED_VALUE"""),"Pallarenda")</f>
        <v>Pallarenda</v>
      </c>
      <c r="P76" s="31" t="str">
        <f>IFERROR(__xludf.DUMMYFUNCTION("""COMPUTED_VALUE"""),"Rasmussen")</f>
        <v>Rasmussen</v>
      </c>
      <c r="Q76" s="31" t="str">
        <f>IFERROR(__xludf.DUMMYFUNCTION("""COMPUTED_VALUE"""),"South Townsville")</f>
        <v>South Townsville</v>
      </c>
      <c r="R76" s="31" t="str">
        <f>IFERROR(__xludf.DUMMYFUNCTION("""COMPUTED_VALUE"""),"Bluewater")</f>
        <v>Bluewater</v>
      </c>
      <c r="S76" s="31" t="str">
        <f>IFERROR(__xludf.DUMMYFUNCTION("""COMPUTED_VALUE"""),"Alice River")</f>
        <v>Alice River</v>
      </c>
      <c r="T76" s="31" t="str">
        <f>IFERROR(__xludf.DUMMYFUNCTION("""COMPUTED_VALUE"""),"Black River")</f>
        <v>Black River</v>
      </c>
      <c r="U76" s="31" t="str">
        <f>IFERROR(__xludf.DUMMYFUNCTION("""COMPUTED_VALUE"""),"Cosgrove")</f>
        <v>Cosgrove</v>
      </c>
      <c r="V76" s="31" t="str">
        <f>IFERROR(__xludf.DUMMYFUNCTION("""COMPUTED_VALUE"""),"Arcadia")</f>
        <v>Arcadia</v>
      </c>
      <c r="W76" s="31" t="str">
        <f>IFERROR(__xludf.DUMMYFUNCTION("""COMPUTED_VALUE"""),"Horseshoe Bay")</f>
        <v>Horseshoe Bay</v>
      </c>
      <c r="X76" s="31" t="str">
        <f>IFERROR(__xludf.DUMMYFUNCTION("""COMPUTED_VALUE"""),"Picnic Bay")</f>
        <v>Picnic Bay</v>
      </c>
      <c r="Y76" s="31" t="str">
        <f>IFERROR(__xludf.DUMMYFUNCTION("""COMPUTED_VALUE"""),"Mundingburra")</f>
        <v>Mundingburra</v>
      </c>
      <c r="Z76" s="31" t="str">
        <f>IFERROR(__xludf.DUMMYFUNCTION("""COMPUTED_VALUE"""),"West End")</f>
        <v>West End</v>
      </c>
      <c r="AA76" s="31" t="str">
        <f>IFERROR(__xludf.DUMMYFUNCTION("""COMPUTED_VALUE"""),"Burdell")</f>
        <v>Burdell</v>
      </c>
      <c r="AB76" s="31" t="str">
        <f>IFERROR(__xludf.DUMMYFUNCTION("""COMPUTED_VALUE"""),"Kelso")</f>
        <v>Kelso</v>
      </c>
      <c r="AC76" s="31" t="str">
        <f>IFERROR(__xludf.DUMMYFUNCTION("""COMPUTED_VALUE"""),"Mount Low")</f>
        <v>Mount Low</v>
      </c>
      <c r="AD76" s="31" t="str">
        <f>IFERROR(__xludf.DUMMYFUNCTION("""COMPUTED_VALUE"""),"Cluden")</f>
        <v>Cluden</v>
      </c>
      <c r="AE76" s="31" t="str">
        <f>IFERROR(__xludf.DUMMYFUNCTION("""COMPUTED_VALUE"""),"Gulliver")</f>
        <v>Gulliver</v>
      </c>
      <c r="AF76" s="31" t="str">
        <f>IFERROR(__xludf.DUMMYFUNCTION("""COMPUTED_VALUE"""),"Townsville")</f>
        <v>Townsville</v>
      </c>
      <c r="AG76" s="31" t="str">
        <f>IFERROR(__xludf.DUMMYFUNCTION("""COMPUTED_VALUE"""),"Pimlico")</f>
        <v>Pimlico</v>
      </c>
      <c r="AH76" s="31" t="str">
        <f>IFERROR(__xludf.DUMMYFUNCTION("""COMPUTED_VALUE"""),"Hyde Park")</f>
        <v>Hyde Park</v>
      </c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</row>
    <row r="77">
      <c r="A77" s="88">
        <f>IFERROR(__xludf.DUMMYFUNCTION("""COMPUTED_VALUE"""),75.0)</f>
        <v>75</v>
      </c>
      <c r="B77" s="31" t="str">
        <f>IFERROR(__xludf.DUMMYFUNCTION("""COMPUTED_VALUE"""),"QLD")</f>
        <v>QLD</v>
      </c>
      <c r="C77" s="31" t="str">
        <f>IFERROR(__xludf.DUMMYFUNCTION("""COMPUTED_VALUE"""),"Stacey Ritson")</f>
        <v>Stacey Ritson</v>
      </c>
      <c r="D77" s="31" t="str">
        <f>IFERROR(__xludf.DUMMYFUNCTION("""COMPUTED_VALUE"""),"stacey@eastsidepropertygroup.com.au")</f>
        <v>stacey@eastsidepropertygroup.com.au</v>
      </c>
      <c r="E77" s="31" t="str">
        <f>IFERROR(__xludf.DUMMYFUNCTION("""COMPUTED_VALUE"""),"Eastside Property Group")</f>
        <v>Eastside Property Group</v>
      </c>
      <c r="F77" s="31" t="str">
        <f>IFERROR(__xludf.DUMMYFUNCTION("""COMPUTED_VALUE"""),"Birkdale")</f>
        <v>Birkdale</v>
      </c>
      <c r="G77" s="31" t="str">
        <f>IFERROR(__xludf.DUMMYFUNCTION("""COMPUTED_VALUE"""),"Thorneside")</f>
        <v>Thorneside</v>
      </c>
      <c r="H77" s="31" t="str">
        <f>IFERROR(__xludf.DUMMYFUNCTION("""COMPUTED_VALUE"""),"Wellington Point")</f>
        <v>Wellington Point</v>
      </c>
      <c r="I77" s="31" t="str">
        <f>IFERROR(__xludf.DUMMYFUNCTION("""COMPUTED_VALUE"""),"Cleveland")</f>
        <v>Cleveland</v>
      </c>
      <c r="J77" s="31" t="str">
        <f>IFERROR(__xludf.DUMMYFUNCTION("""COMPUTED_VALUE"""),"Lota")</f>
        <v>Lota</v>
      </c>
      <c r="K77" s="31" t="str">
        <f>IFERROR(__xludf.DUMMYFUNCTION("""COMPUTED_VALUE"""),"Manly West")</f>
        <v>Manly West</v>
      </c>
      <c r="L77" s="31" t="str">
        <f>IFERROR(__xludf.DUMMYFUNCTION("""COMPUTED_VALUE"""),"Wynnum")</f>
        <v>Wynnum</v>
      </c>
      <c r="M77" s="31" t="str">
        <f>IFERROR(__xludf.DUMMYFUNCTION("""COMPUTED_VALUE"""),"Wynnum West")</f>
        <v>Wynnum West</v>
      </c>
      <c r="N77" s="31" t="str">
        <f>IFERROR(__xludf.DUMMYFUNCTION("""COMPUTED_VALUE"""),"Ormiston")</f>
        <v>Ormiston</v>
      </c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</row>
    <row r="78">
      <c r="A78" s="88">
        <f>IFERROR(__xludf.DUMMYFUNCTION("""COMPUTED_VALUE"""),76.0)</f>
        <v>76</v>
      </c>
      <c r="B78" s="31" t="str">
        <f>IFERROR(__xludf.DUMMYFUNCTION("""COMPUTED_VALUE"""),"QLD")</f>
        <v>QLD</v>
      </c>
      <c r="C78" s="31" t="str">
        <f>IFERROR(__xludf.DUMMYFUNCTION("""COMPUTED_VALUE"""),"Tim Woolner")</f>
        <v>Tim Woolner</v>
      </c>
      <c r="D78" s="31" t="str">
        <f>IFERROR(__xludf.DUMMYFUNCTION("""COMPUTED_VALUE"""),"tim.woolner@remax.com.au")</f>
        <v>tim.woolner@remax.com.au</v>
      </c>
      <c r="E78" s="31" t="str">
        <f>IFERROR(__xludf.DUMMYFUNCTION("""COMPUTED_VALUE"""),"REMAX Property Sales")</f>
        <v>REMAX Property Sales</v>
      </c>
      <c r="F78" s="31" t="str">
        <f>IFERROR(__xludf.DUMMYFUNCTION("""COMPUTED_VALUE"""),"Coes Creek")</f>
        <v>Coes Creek</v>
      </c>
      <c r="G78" s="31" t="str">
        <f>IFERROR(__xludf.DUMMYFUNCTION("""COMPUTED_VALUE"""),"Flaxton")</f>
        <v>Flaxton</v>
      </c>
      <c r="H78" s="31" t="str">
        <f>IFERROR(__xludf.DUMMYFUNCTION("""COMPUTED_VALUE"""),"Mapleton")</f>
        <v>Mapleton</v>
      </c>
      <c r="I78" s="31" t="str">
        <f>IFERROR(__xludf.DUMMYFUNCTION("""COMPUTED_VALUE"""),"Montville")</f>
        <v>Montville</v>
      </c>
      <c r="J78" s="31" t="str">
        <f>IFERROR(__xludf.DUMMYFUNCTION("""COMPUTED_VALUE"""),"Towen Mountain")</f>
        <v>Towen Mountain</v>
      </c>
      <c r="K78" s="31" t="str">
        <f>IFERROR(__xludf.DUMMYFUNCTION("""COMPUTED_VALUE"""),"Dulong")</f>
        <v>Dulong</v>
      </c>
      <c r="L78" s="31" t="str">
        <f>IFERROR(__xludf.DUMMYFUNCTION("""COMPUTED_VALUE"""),"Kureelpa")</f>
        <v>Kureelpa</v>
      </c>
      <c r="M78" s="31" t="str">
        <f>IFERROR(__xludf.DUMMYFUNCTION("""COMPUTED_VALUE"""),"Image Flat")</f>
        <v>Image Flat</v>
      </c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</row>
    <row r="79">
      <c r="A79" s="88">
        <f>IFERROR(__xludf.DUMMYFUNCTION("""COMPUTED_VALUE"""),77.0)</f>
        <v>77</v>
      </c>
      <c r="B79" s="31" t="str">
        <f>IFERROR(__xludf.DUMMYFUNCTION("""COMPUTED_VALUE"""),"QLD")</f>
        <v>QLD</v>
      </c>
      <c r="C79" s="31" t="str">
        <f>IFERROR(__xludf.DUMMYFUNCTION("""COMPUTED_VALUE"""),"Travis Barff")</f>
        <v>Travis Barff</v>
      </c>
      <c r="D79" s="31" t="str">
        <f>IFERROR(__xludf.DUMMYFUNCTION("""COMPUTED_VALUE"""),"Callum@agentlink.au")</f>
        <v>Callum@agentlink.au</v>
      </c>
      <c r="E79" s="31" t="str">
        <f>IFERROR(__xludf.DUMMYFUNCTION("""COMPUTED_VALUE"""),"Nicholl &amp; Young Property")</f>
        <v>Nicholl &amp; Young Property</v>
      </c>
      <c r="F79" s="31" t="str">
        <f>IFERROR(__xludf.DUMMYFUNCTION("""COMPUTED_VALUE"""),"Palmwoods")</f>
        <v>Palmwoods</v>
      </c>
      <c r="G79" s="31" t="str">
        <f>IFERROR(__xludf.DUMMYFUNCTION("""COMPUTED_VALUE"""),"Hunchy")</f>
        <v>Hunchy</v>
      </c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</row>
    <row r="80">
      <c r="A80" s="88">
        <f>IFERROR(__xludf.DUMMYFUNCTION("""COMPUTED_VALUE"""),78.0)</f>
        <v>78</v>
      </c>
      <c r="B80" s="31" t="str">
        <f>IFERROR(__xludf.DUMMYFUNCTION("""COMPUTED_VALUE"""),"QLD")</f>
        <v>QLD</v>
      </c>
      <c r="C80" s="31" t="str">
        <f>IFERROR(__xludf.DUMMYFUNCTION("""COMPUTED_VALUE"""),"Troy Urquhart")</f>
        <v>Troy Urquhart</v>
      </c>
      <c r="D80" s="31" t="str">
        <f>IFERROR(__xludf.DUMMYFUNCTION("""COMPUTED_VALUE"""),"troy@imageproperty.com.au")</f>
        <v>troy@imageproperty.com.au</v>
      </c>
      <c r="E80" s="31" t="str">
        <f>IFERROR(__xludf.DUMMYFUNCTION("""COMPUTED_VALUE"""),"Image Property")</f>
        <v>Image Property</v>
      </c>
      <c r="F80" s="31" t="str">
        <f>IFERROR(__xludf.DUMMYFUNCTION("""COMPUTED_VALUE"""),"Thornlands")</f>
        <v>Thornlands</v>
      </c>
      <c r="G80" s="31" t="str">
        <f>IFERROR(__xludf.DUMMYFUNCTION("""COMPUTED_VALUE"""),"Redland Bay")</f>
        <v>Redland Bay</v>
      </c>
      <c r="H80" s="31" t="str">
        <f>IFERROR(__xludf.DUMMYFUNCTION("""COMPUTED_VALUE"""),"Victoria Point")</f>
        <v>Victoria Point</v>
      </c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</row>
    <row r="81">
      <c r="A81" s="88">
        <f>IFERROR(__xludf.DUMMYFUNCTION("""COMPUTED_VALUE"""),79.0)</f>
        <v>79</v>
      </c>
      <c r="B81" s="31" t="str">
        <f>IFERROR(__xludf.DUMMYFUNCTION("""COMPUTED_VALUE"""),"QLD")</f>
        <v>QLD</v>
      </c>
      <c r="C81" s="31" t="str">
        <f>IFERROR(__xludf.DUMMYFUNCTION("""COMPUTED_VALUE"""),"Wayne Thompson")</f>
        <v>Wayne Thompson</v>
      </c>
      <c r="D81" s="31" t="str">
        <f>IFERROR(__xludf.DUMMYFUNCTION("""COMPUTED_VALUE"""),"wayne.thompson@remax.com.au")</f>
        <v>wayne.thompson@remax.com.au</v>
      </c>
      <c r="E81" s="31" t="str">
        <f>IFERROR(__xludf.DUMMYFUNCTION("""COMPUTED_VALUE"""),"Remax")</f>
        <v>Remax</v>
      </c>
      <c r="F81" s="31" t="str">
        <f>IFERROR(__xludf.DUMMYFUNCTION("""COMPUTED_VALUE"""),"Caloundra")</f>
        <v>Caloundra</v>
      </c>
      <c r="G81" s="31" t="str">
        <f>IFERROR(__xludf.DUMMYFUNCTION("""COMPUTED_VALUE"""),"Kings Beach")</f>
        <v>Kings Beach</v>
      </c>
      <c r="H81" s="31" t="str">
        <f>IFERROR(__xludf.DUMMYFUNCTION("""COMPUTED_VALUE"""),"Shelly Beach")</f>
        <v>Shelly Beach</v>
      </c>
      <c r="I81" s="31" t="str">
        <f>IFERROR(__xludf.DUMMYFUNCTION("""COMPUTED_VALUE"""),"Moffat Beach")</f>
        <v>Moffat Beach</v>
      </c>
      <c r="J81" s="31" t="str">
        <f>IFERROR(__xludf.DUMMYFUNCTION("""COMPUTED_VALUE"""),"Dicky Beach")</f>
        <v>Dicky Beach</v>
      </c>
      <c r="K81" s="31" t="str">
        <f>IFERROR(__xludf.DUMMYFUNCTION("""COMPUTED_VALUE"""),"Aroona")</f>
        <v>Aroona</v>
      </c>
      <c r="L81" s="31" t="str">
        <f>IFERROR(__xludf.DUMMYFUNCTION("""COMPUTED_VALUE"""),"Battery Hill")</f>
        <v>Battery Hill</v>
      </c>
      <c r="M81" s="31" t="str">
        <f>IFERROR(__xludf.DUMMYFUNCTION("""COMPUTED_VALUE"""),"Golden Beach")</f>
        <v>Golden Beach</v>
      </c>
      <c r="N81" s="31" t="str">
        <f>IFERROR(__xludf.DUMMYFUNCTION("""COMPUTED_VALUE"""),"Pelican Waters")</f>
        <v>Pelican Waters</v>
      </c>
      <c r="O81" s="31" t="str">
        <f>IFERROR(__xludf.DUMMYFUNCTION("""COMPUTED_VALUE"""),"Baringa")</f>
        <v>Baringa</v>
      </c>
      <c r="P81" s="31" t="str">
        <f>IFERROR(__xludf.DUMMYFUNCTION("""COMPUTED_VALUE"""),"Caloundra West")</f>
        <v>Caloundra West</v>
      </c>
      <c r="Q81" s="31" t="str">
        <f>IFERROR(__xludf.DUMMYFUNCTION("""COMPUTED_VALUE"""),"Nirimba")</f>
        <v>Nirimba</v>
      </c>
      <c r="R81" s="31" t="str">
        <f>IFERROR(__xludf.DUMMYFUNCTION("""COMPUTED_VALUE"""),"Banya")</f>
        <v>Banya</v>
      </c>
      <c r="S81" s="31" t="str">
        <f>IFERROR(__xludf.DUMMYFUNCTION("""COMPUTED_VALUE"""),"Little Mountain")</f>
        <v>Little Mountain</v>
      </c>
      <c r="T81" s="31" t="str">
        <f>IFERROR(__xludf.DUMMYFUNCTION("""COMPUTED_VALUE"""),"Currimundi")</f>
        <v>Currimundi</v>
      </c>
      <c r="U81" s="31" t="str">
        <f>IFERROR(__xludf.DUMMYFUNCTION("""COMPUTED_VALUE"""),"Beerwah")</f>
        <v>Beerwah</v>
      </c>
      <c r="V81" s="31" t="str">
        <f>IFERROR(__xludf.DUMMYFUNCTION("""COMPUTED_VALUE"""),"Moolooah Valley")</f>
        <v>Moolooah Valley</v>
      </c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</row>
    <row r="82">
      <c r="A82" s="88" t="str">
        <f>IFERROR(__xludf.DUMMYFUNCTION("""COMPUTED_VALUE"""),"")</f>
        <v/>
      </c>
      <c r="B82" s="31" t="str">
        <f>IFERROR(__xludf.DUMMYFUNCTION("""COMPUTED_VALUE"""),"")</f>
        <v/>
      </c>
      <c r="C82" s="31" t="str">
        <f>IFERROR(__xludf.DUMMYFUNCTION("""COMPUTED_VALUE"""),"")</f>
        <v/>
      </c>
      <c r="D82" s="31" t="str">
        <f>IFERROR(__xludf.DUMMYFUNCTION("""COMPUTED_VALUE"""),"")</f>
        <v/>
      </c>
      <c r="E82" s="31" t="str">
        <f>IFERROR(__xludf.DUMMYFUNCTION("""COMPUTED_VALUE"""),"")</f>
        <v/>
      </c>
      <c r="F82" s="31" t="str">
        <f>IFERROR(__xludf.DUMMYFUNCTION("""COMPUTED_VALUE"""),"")</f>
        <v/>
      </c>
      <c r="G82" s="31" t="str">
        <f>IFERROR(__xludf.DUMMYFUNCTION("""COMPUTED_VALUE"""),"")</f>
        <v/>
      </c>
      <c r="H82" s="31" t="str">
        <f>IFERROR(__xludf.DUMMYFUNCTION("""COMPUTED_VALUE"""),"")</f>
        <v/>
      </c>
      <c r="I82" s="31" t="str">
        <f>IFERROR(__xludf.DUMMYFUNCTION("""COMPUTED_VALUE"""),"")</f>
        <v/>
      </c>
      <c r="J82" s="31" t="str">
        <f>IFERROR(__xludf.DUMMYFUNCTION("""COMPUTED_VALUE"""),"")</f>
        <v/>
      </c>
      <c r="K82" s="31" t="str">
        <f>IFERROR(__xludf.DUMMYFUNCTION("""COMPUTED_VALUE"""),"")</f>
        <v/>
      </c>
      <c r="L82" s="31" t="str">
        <f>IFERROR(__xludf.DUMMYFUNCTION("""COMPUTED_VALUE"""),"")</f>
        <v/>
      </c>
      <c r="M82" s="31" t="str">
        <f>IFERROR(__xludf.DUMMYFUNCTION("""COMPUTED_VALUE"""),"")</f>
        <v/>
      </c>
      <c r="N82" s="31" t="str">
        <f>IFERROR(__xludf.DUMMYFUNCTION("""COMPUTED_VALUE"""),"")</f>
        <v/>
      </c>
      <c r="O82" s="31" t="str">
        <f>IFERROR(__xludf.DUMMYFUNCTION("""COMPUTED_VALUE"""),"")</f>
        <v/>
      </c>
      <c r="P82" s="31" t="str">
        <f>IFERROR(__xludf.DUMMYFUNCTION("""COMPUTED_VALUE"""),"")</f>
        <v/>
      </c>
      <c r="Q82" s="31" t="str">
        <f>IFERROR(__xludf.DUMMYFUNCTION("""COMPUTED_VALUE"""),"")</f>
        <v/>
      </c>
      <c r="R82" s="31" t="str">
        <f>IFERROR(__xludf.DUMMYFUNCTION("""COMPUTED_VALUE"""),"")</f>
        <v/>
      </c>
      <c r="S82" s="31" t="str">
        <f>IFERROR(__xludf.DUMMYFUNCTION("""COMPUTED_VALUE"""),"")</f>
        <v/>
      </c>
      <c r="T82" s="31" t="str">
        <f>IFERROR(__xludf.DUMMYFUNCTION("""COMPUTED_VALUE"""),"")</f>
        <v/>
      </c>
      <c r="U82" s="31" t="str">
        <f>IFERROR(__xludf.DUMMYFUNCTION("""COMPUTED_VALUE"""),"")</f>
        <v/>
      </c>
      <c r="V82" s="31" t="str">
        <f>IFERROR(__xludf.DUMMYFUNCTION("""COMPUTED_VALUE"""),"")</f>
        <v/>
      </c>
      <c r="W82" s="31" t="str">
        <f>IFERROR(__xludf.DUMMYFUNCTION("""COMPUTED_VALUE"""),"")</f>
        <v/>
      </c>
      <c r="X82" s="31" t="str">
        <f>IFERROR(__xludf.DUMMYFUNCTION("""COMPUTED_VALUE"""),"")</f>
        <v/>
      </c>
      <c r="Y82" s="31" t="str">
        <f>IFERROR(__xludf.DUMMYFUNCTION("""COMPUTED_VALUE"""),"")</f>
        <v/>
      </c>
      <c r="Z82" s="31" t="str">
        <f>IFERROR(__xludf.DUMMYFUNCTION("""COMPUTED_VALUE"""),"")</f>
        <v/>
      </c>
      <c r="AA82" s="31" t="str">
        <f>IFERROR(__xludf.DUMMYFUNCTION("""COMPUTED_VALUE"""),"")</f>
        <v/>
      </c>
      <c r="AB82" s="31" t="str">
        <f>IFERROR(__xludf.DUMMYFUNCTION("""COMPUTED_VALUE"""),"")</f>
        <v/>
      </c>
      <c r="AC82" s="31" t="str">
        <f>IFERROR(__xludf.DUMMYFUNCTION("""COMPUTED_VALUE"""),"")</f>
        <v/>
      </c>
      <c r="AD82" s="31" t="str">
        <f>IFERROR(__xludf.DUMMYFUNCTION("""COMPUTED_VALUE"""),"")</f>
        <v/>
      </c>
      <c r="AE82" s="31" t="str">
        <f>IFERROR(__xludf.DUMMYFUNCTION("""COMPUTED_VALUE"""),"")</f>
        <v/>
      </c>
      <c r="AF82" s="31" t="str">
        <f>IFERROR(__xludf.DUMMYFUNCTION("""COMPUTED_VALUE"""),"")</f>
        <v/>
      </c>
      <c r="AG82" s="31" t="str">
        <f>IFERROR(__xludf.DUMMYFUNCTION("""COMPUTED_VALUE"""),"")</f>
        <v/>
      </c>
      <c r="AH82" s="31" t="str">
        <f>IFERROR(__xludf.DUMMYFUNCTION("""COMPUTED_VALUE"""),"")</f>
        <v/>
      </c>
      <c r="AI82" s="31" t="str">
        <f>IFERROR(__xludf.DUMMYFUNCTION("""COMPUTED_VALUE"""),"")</f>
        <v/>
      </c>
      <c r="AJ82" s="31" t="str">
        <f>IFERROR(__xludf.DUMMYFUNCTION("""COMPUTED_VALUE"""),"")</f>
        <v/>
      </c>
      <c r="AK82" s="31" t="str">
        <f>IFERROR(__xludf.DUMMYFUNCTION("""COMPUTED_VALUE"""),"")</f>
        <v/>
      </c>
      <c r="AL82" s="31" t="str">
        <f>IFERROR(__xludf.DUMMYFUNCTION("""COMPUTED_VALUE"""),"")</f>
        <v/>
      </c>
      <c r="AM82" s="31" t="str">
        <f>IFERROR(__xludf.DUMMYFUNCTION("""COMPUTED_VALUE"""),"")</f>
        <v/>
      </c>
      <c r="AN82" s="31" t="str">
        <f>IFERROR(__xludf.DUMMYFUNCTION("""COMPUTED_VALUE"""),"")</f>
        <v/>
      </c>
      <c r="AO82" s="31" t="str">
        <f>IFERROR(__xludf.DUMMYFUNCTION("""COMPUTED_VALUE"""),"")</f>
        <v/>
      </c>
      <c r="AP82" s="31" t="str">
        <f>IFERROR(__xludf.DUMMYFUNCTION("""COMPUTED_VALUE"""),"")</f>
        <v/>
      </c>
      <c r="AQ82" s="31" t="str">
        <f>IFERROR(__xludf.DUMMYFUNCTION("""COMPUTED_VALUE"""),"")</f>
        <v/>
      </c>
      <c r="AR82" s="31" t="str">
        <f>IFERROR(__xludf.DUMMYFUNCTION("""COMPUTED_VALUE"""),"")</f>
        <v/>
      </c>
      <c r="AS82" s="31" t="str">
        <f>IFERROR(__xludf.DUMMYFUNCTION("""COMPUTED_VALUE"""),"")</f>
        <v/>
      </c>
      <c r="AT82" s="31" t="str">
        <f>IFERROR(__xludf.DUMMYFUNCTION("""COMPUTED_VALUE"""),"")</f>
        <v/>
      </c>
      <c r="AU82" s="31" t="str">
        <f>IFERROR(__xludf.DUMMYFUNCTION("""COMPUTED_VALUE"""),"")</f>
        <v/>
      </c>
      <c r="AV82" s="31" t="str">
        <f>IFERROR(__xludf.DUMMYFUNCTION("""COMPUTED_VALUE"""),"")</f>
        <v/>
      </c>
      <c r="AW82" s="31" t="str">
        <f>IFERROR(__xludf.DUMMYFUNCTION("""COMPUTED_VALUE"""),"")</f>
        <v/>
      </c>
      <c r="AX82" s="31" t="str">
        <f>IFERROR(__xludf.DUMMYFUNCTION("""COMPUTED_VALUE"""),"")</f>
        <v/>
      </c>
      <c r="AY82" s="31" t="str">
        <f>IFERROR(__xludf.DUMMYFUNCTION("""COMPUTED_VALUE"""),"")</f>
        <v/>
      </c>
      <c r="AZ82" s="31" t="str">
        <f>IFERROR(__xludf.DUMMYFUNCTION("""COMPUTED_VALUE"""),"")</f>
        <v/>
      </c>
      <c r="BA82" s="31" t="str">
        <f>IFERROR(__xludf.DUMMYFUNCTION("""COMPUTED_VALUE"""),"")</f>
        <v/>
      </c>
      <c r="BB82" s="31" t="str">
        <f>IFERROR(__xludf.DUMMYFUNCTION("""COMPUTED_VALUE"""),"")</f>
        <v/>
      </c>
      <c r="BC82" s="31" t="str">
        <f>IFERROR(__xludf.DUMMYFUNCTION("""COMPUTED_VALUE"""),"")</f>
        <v/>
      </c>
    </row>
    <row r="83">
      <c r="A83" s="88">
        <f>IFERROR(__xludf.DUMMYFUNCTION("""COMPUTED_VALUE"""),80.0)</f>
        <v>80</v>
      </c>
      <c r="B83" s="31" t="str">
        <f>IFERROR(__xludf.DUMMYFUNCTION("""COMPUTED_VALUE"""),"SA")</f>
        <v>SA</v>
      </c>
      <c r="C83" s="31" t="str">
        <f>IFERROR(__xludf.DUMMYFUNCTION("""COMPUTED_VALUE"""),"Alex Goodwin")</f>
        <v>Alex Goodwin</v>
      </c>
      <c r="D83" s="31" t="str">
        <f>IFERROR(__xludf.DUMMYFUNCTION("""COMPUTED_VALUE"""),"alex@homekind.com.au")</f>
        <v>alex@homekind.com.au</v>
      </c>
      <c r="E83" s="31" t="str">
        <f>IFERROR(__xludf.DUMMYFUNCTION("""COMPUTED_VALUE"""),"Homekind")</f>
        <v>Homekind</v>
      </c>
      <c r="F83" s="31" t="str">
        <f>IFERROR(__xludf.DUMMYFUNCTION("""COMPUTED_VALUE"""),"Lightsview")</f>
        <v>Lightsview</v>
      </c>
      <c r="G83" s="31" t="str">
        <f>IFERROR(__xludf.DUMMYFUNCTION("""COMPUTED_VALUE"""),"Northgate")</f>
        <v>Northgate</v>
      </c>
      <c r="H83" s="31" t="str">
        <f>IFERROR(__xludf.DUMMYFUNCTION("""COMPUTED_VALUE"""),"Para Hills")</f>
        <v>Para Hills</v>
      </c>
      <c r="I83" s="31" t="str">
        <f>IFERROR(__xludf.DUMMYFUNCTION("""COMPUTED_VALUE"""),"Ridgehaven")</f>
        <v>Ridgehaven</v>
      </c>
      <c r="J83" s="31" t="str">
        <f>IFERROR(__xludf.DUMMYFUNCTION("""COMPUTED_VALUE"""),"Kilburn")</f>
        <v>Kilburn</v>
      </c>
      <c r="K83" s="31" t="str">
        <f>IFERROR(__xludf.DUMMYFUNCTION("""COMPUTED_VALUE"""),"Greenacres")</f>
        <v>Greenacres</v>
      </c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</row>
    <row r="84">
      <c r="A84" s="88">
        <f>IFERROR(__xludf.DUMMYFUNCTION("""COMPUTED_VALUE"""),81.0)</f>
        <v>81</v>
      </c>
      <c r="B84" s="31" t="str">
        <f>IFERROR(__xludf.DUMMYFUNCTION("""COMPUTED_VALUE"""),"SA")</f>
        <v>SA</v>
      </c>
      <c r="C84" s="31" t="str">
        <f>IFERROR(__xludf.DUMMYFUNCTION("""COMPUTED_VALUE"""),"David Halling")</f>
        <v>David Halling</v>
      </c>
      <c r="D84" s="31" t="str">
        <f>IFERROR(__xludf.DUMMYFUNCTION("""COMPUTED_VALUE"""),"david@adelaidepropertypeople.com.au")</f>
        <v>david@adelaidepropertypeople.com.au</v>
      </c>
      <c r="E84" s="31" t="str">
        <f>IFERROR(__xludf.DUMMYFUNCTION("""COMPUTED_VALUE"""),"Adelaide Property People")</f>
        <v>Adelaide Property People</v>
      </c>
      <c r="F84" s="31" t="str">
        <f>IFERROR(__xludf.DUMMYFUNCTION("""COMPUTED_VALUE"""),"Elizabeth Park")</f>
        <v>Elizabeth Park</v>
      </c>
      <c r="G84" s="31" t="str">
        <f>IFERROR(__xludf.DUMMYFUNCTION("""COMPUTED_VALUE"""),"Elizabeth")</f>
        <v>Elizabeth</v>
      </c>
      <c r="H84" s="31" t="str">
        <f>IFERROR(__xludf.DUMMYFUNCTION("""COMPUTED_VALUE"""),"Elizabeth East")</f>
        <v>Elizabeth East</v>
      </c>
      <c r="I84" s="31" t="str">
        <f>IFERROR(__xludf.DUMMYFUNCTION("""COMPUTED_VALUE"""),"Salisbury")</f>
        <v>Salisbury</v>
      </c>
      <c r="J84" s="31" t="str">
        <f>IFERROR(__xludf.DUMMYFUNCTION("""COMPUTED_VALUE"""),"Salisbury Park")</f>
        <v>Salisbury Park</v>
      </c>
      <c r="K84" s="31" t="str">
        <f>IFERROR(__xludf.DUMMYFUNCTION("""COMPUTED_VALUE"""),"Elizabeth Vale")</f>
        <v>Elizabeth Vale</v>
      </c>
      <c r="L84" s="31" t="str">
        <f>IFERROR(__xludf.DUMMYFUNCTION("""COMPUTED_VALUE"""),"Davoren Park")</f>
        <v>Davoren Park</v>
      </c>
      <c r="M84" s="31" t="str">
        <f>IFERROR(__xludf.DUMMYFUNCTION("""COMPUTED_VALUE"""),"Blakeview")</f>
        <v>Blakeview</v>
      </c>
      <c r="N84" s="31" t="str">
        <f>IFERROR(__xludf.DUMMYFUNCTION("""COMPUTED_VALUE"""),"Smithfield")</f>
        <v>Smithfield</v>
      </c>
      <c r="O84" s="31" t="str">
        <f>IFERROR(__xludf.DUMMYFUNCTION("""COMPUTED_VALUE"""),"Smithfield Plains")</f>
        <v>Smithfield Plains</v>
      </c>
      <c r="P84" s="31" t="str">
        <f>IFERROR(__xludf.DUMMYFUNCTION("""COMPUTED_VALUE"""),"Andrews Farm")</f>
        <v>Andrews Farm</v>
      </c>
      <c r="Q84" s="31" t="str">
        <f>IFERROR(__xludf.DUMMYFUNCTION("""COMPUTED_VALUE"""),"Elizabeth North")</f>
        <v>Elizabeth North</v>
      </c>
      <c r="R84" s="31" t="str">
        <f>IFERROR(__xludf.DUMMYFUNCTION("""COMPUTED_VALUE"""),"Elizabeth South")</f>
        <v>Elizabeth South</v>
      </c>
      <c r="S84" s="31" t="str">
        <f>IFERROR(__xludf.DUMMYFUNCTION("""COMPUTED_VALUE"""),"Angle Vale")</f>
        <v>Angle Vale</v>
      </c>
      <c r="T84" s="31" t="str">
        <f>IFERROR(__xludf.DUMMYFUNCTION("""COMPUTED_VALUE"""),"Hillbank")</f>
        <v>Hillbank</v>
      </c>
      <c r="U84" s="31" t="str">
        <f>IFERROR(__xludf.DUMMYFUNCTION("""COMPUTED_VALUE"""),"Evanston Gardens")</f>
        <v>Evanston Gardens</v>
      </c>
      <c r="V84" s="31" t="str">
        <f>IFERROR(__xludf.DUMMYFUNCTION("""COMPUTED_VALUE"""),"Elizabeth Downs")</f>
        <v>Elizabeth Downs</v>
      </c>
      <c r="W84" s="31" t="str">
        <f>IFERROR(__xludf.DUMMYFUNCTION("""COMPUTED_VALUE"""),"Craigmore")</f>
        <v>Craigmore</v>
      </c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</row>
    <row r="85">
      <c r="A85" s="88" t="str">
        <f>IFERROR(__xludf.DUMMYFUNCTION("""COMPUTED_VALUE"""),"")</f>
        <v/>
      </c>
      <c r="B85" s="31" t="str">
        <f>IFERROR(__xludf.DUMMYFUNCTION("""COMPUTED_VALUE"""),"")</f>
        <v/>
      </c>
      <c r="C85" s="31" t="str">
        <f>IFERROR(__xludf.DUMMYFUNCTION("""COMPUTED_VALUE"""),"")</f>
        <v/>
      </c>
      <c r="D85" s="31" t="str">
        <f>IFERROR(__xludf.DUMMYFUNCTION("""COMPUTED_VALUE"""),"")</f>
        <v/>
      </c>
      <c r="E85" s="31" t="str">
        <f>IFERROR(__xludf.DUMMYFUNCTION("""COMPUTED_VALUE"""),"")</f>
        <v/>
      </c>
      <c r="F85" s="31" t="str">
        <f>IFERROR(__xludf.DUMMYFUNCTION("""COMPUTED_VALUE"""),"")</f>
        <v/>
      </c>
      <c r="G85" s="31" t="str">
        <f>IFERROR(__xludf.DUMMYFUNCTION("""COMPUTED_VALUE"""),"")</f>
        <v/>
      </c>
      <c r="H85" s="31" t="str">
        <f>IFERROR(__xludf.DUMMYFUNCTION("""COMPUTED_VALUE"""),"")</f>
        <v/>
      </c>
      <c r="I85" s="31" t="str">
        <f>IFERROR(__xludf.DUMMYFUNCTION("""COMPUTED_VALUE"""),"")</f>
        <v/>
      </c>
      <c r="J85" s="31" t="str">
        <f>IFERROR(__xludf.DUMMYFUNCTION("""COMPUTED_VALUE"""),"")</f>
        <v/>
      </c>
      <c r="K85" s="31" t="str">
        <f>IFERROR(__xludf.DUMMYFUNCTION("""COMPUTED_VALUE"""),"")</f>
        <v/>
      </c>
      <c r="L85" s="31" t="str">
        <f>IFERROR(__xludf.DUMMYFUNCTION("""COMPUTED_VALUE"""),"")</f>
        <v/>
      </c>
      <c r="M85" s="31" t="str">
        <f>IFERROR(__xludf.DUMMYFUNCTION("""COMPUTED_VALUE"""),"")</f>
        <v/>
      </c>
      <c r="N85" s="31" t="str">
        <f>IFERROR(__xludf.DUMMYFUNCTION("""COMPUTED_VALUE"""),"")</f>
        <v/>
      </c>
      <c r="O85" s="31" t="str">
        <f>IFERROR(__xludf.DUMMYFUNCTION("""COMPUTED_VALUE"""),"")</f>
        <v/>
      </c>
      <c r="P85" s="31" t="str">
        <f>IFERROR(__xludf.DUMMYFUNCTION("""COMPUTED_VALUE"""),"")</f>
        <v/>
      </c>
      <c r="Q85" s="31" t="str">
        <f>IFERROR(__xludf.DUMMYFUNCTION("""COMPUTED_VALUE"""),"")</f>
        <v/>
      </c>
      <c r="R85" s="31" t="str">
        <f>IFERROR(__xludf.DUMMYFUNCTION("""COMPUTED_VALUE"""),"")</f>
        <v/>
      </c>
      <c r="S85" s="31" t="str">
        <f>IFERROR(__xludf.DUMMYFUNCTION("""COMPUTED_VALUE"""),"")</f>
        <v/>
      </c>
      <c r="T85" s="31" t="str">
        <f>IFERROR(__xludf.DUMMYFUNCTION("""COMPUTED_VALUE"""),"")</f>
        <v/>
      </c>
      <c r="U85" s="31" t="str">
        <f>IFERROR(__xludf.DUMMYFUNCTION("""COMPUTED_VALUE"""),"")</f>
        <v/>
      </c>
      <c r="V85" s="31" t="str">
        <f>IFERROR(__xludf.DUMMYFUNCTION("""COMPUTED_VALUE"""),"")</f>
        <v/>
      </c>
      <c r="W85" s="31" t="str">
        <f>IFERROR(__xludf.DUMMYFUNCTION("""COMPUTED_VALUE"""),"")</f>
        <v/>
      </c>
      <c r="X85" s="31" t="str">
        <f>IFERROR(__xludf.DUMMYFUNCTION("""COMPUTED_VALUE"""),"")</f>
        <v/>
      </c>
      <c r="Y85" s="31" t="str">
        <f>IFERROR(__xludf.DUMMYFUNCTION("""COMPUTED_VALUE"""),"")</f>
        <v/>
      </c>
      <c r="Z85" s="31" t="str">
        <f>IFERROR(__xludf.DUMMYFUNCTION("""COMPUTED_VALUE"""),"")</f>
        <v/>
      </c>
      <c r="AA85" s="31" t="str">
        <f>IFERROR(__xludf.DUMMYFUNCTION("""COMPUTED_VALUE"""),"")</f>
        <v/>
      </c>
      <c r="AB85" s="31" t="str">
        <f>IFERROR(__xludf.DUMMYFUNCTION("""COMPUTED_VALUE"""),"")</f>
        <v/>
      </c>
      <c r="AC85" s="31" t="str">
        <f>IFERROR(__xludf.DUMMYFUNCTION("""COMPUTED_VALUE"""),"")</f>
        <v/>
      </c>
      <c r="AD85" s="31" t="str">
        <f>IFERROR(__xludf.DUMMYFUNCTION("""COMPUTED_VALUE"""),"")</f>
        <v/>
      </c>
      <c r="AE85" s="31" t="str">
        <f>IFERROR(__xludf.DUMMYFUNCTION("""COMPUTED_VALUE"""),"")</f>
        <v/>
      </c>
      <c r="AF85" s="31" t="str">
        <f>IFERROR(__xludf.DUMMYFUNCTION("""COMPUTED_VALUE"""),"")</f>
        <v/>
      </c>
      <c r="AG85" s="31" t="str">
        <f>IFERROR(__xludf.DUMMYFUNCTION("""COMPUTED_VALUE"""),"")</f>
        <v/>
      </c>
      <c r="AH85" s="31" t="str">
        <f>IFERROR(__xludf.DUMMYFUNCTION("""COMPUTED_VALUE"""),"")</f>
        <v/>
      </c>
      <c r="AI85" s="31" t="str">
        <f>IFERROR(__xludf.DUMMYFUNCTION("""COMPUTED_VALUE"""),"")</f>
        <v/>
      </c>
      <c r="AJ85" s="31" t="str">
        <f>IFERROR(__xludf.DUMMYFUNCTION("""COMPUTED_VALUE"""),"")</f>
        <v/>
      </c>
      <c r="AK85" s="31" t="str">
        <f>IFERROR(__xludf.DUMMYFUNCTION("""COMPUTED_VALUE"""),"")</f>
        <v/>
      </c>
      <c r="AL85" s="31" t="str">
        <f>IFERROR(__xludf.DUMMYFUNCTION("""COMPUTED_VALUE"""),"")</f>
        <v/>
      </c>
      <c r="AM85" s="31" t="str">
        <f>IFERROR(__xludf.DUMMYFUNCTION("""COMPUTED_VALUE"""),"")</f>
        <v/>
      </c>
      <c r="AN85" s="31" t="str">
        <f>IFERROR(__xludf.DUMMYFUNCTION("""COMPUTED_VALUE"""),"")</f>
        <v/>
      </c>
      <c r="AO85" s="31" t="str">
        <f>IFERROR(__xludf.DUMMYFUNCTION("""COMPUTED_VALUE"""),"")</f>
        <v/>
      </c>
      <c r="AP85" s="31" t="str">
        <f>IFERROR(__xludf.DUMMYFUNCTION("""COMPUTED_VALUE"""),"")</f>
        <v/>
      </c>
      <c r="AQ85" s="31" t="str">
        <f>IFERROR(__xludf.DUMMYFUNCTION("""COMPUTED_VALUE"""),"")</f>
        <v/>
      </c>
      <c r="AR85" s="31" t="str">
        <f>IFERROR(__xludf.DUMMYFUNCTION("""COMPUTED_VALUE"""),"")</f>
        <v/>
      </c>
      <c r="AS85" s="31" t="str">
        <f>IFERROR(__xludf.DUMMYFUNCTION("""COMPUTED_VALUE"""),"")</f>
        <v/>
      </c>
      <c r="AT85" s="31" t="str">
        <f>IFERROR(__xludf.DUMMYFUNCTION("""COMPUTED_VALUE"""),"")</f>
        <v/>
      </c>
      <c r="AU85" s="31" t="str">
        <f>IFERROR(__xludf.DUMMYFUNCTION("""COMPUTED_VALUE"""),"")</f>
        <v/>
      </c>
      <c r="AV85" s="31" t="str">
        <f>IFERROR(__xludf.DUMMYFUNCTION("""COMPUTED_VALUE"""),"")</f>
        <v/>
      </c>
      <c r="AW85" s="31" t="str">
        <f>IFERROR(__xludf.DUMMYFUNCTION("""COMPUTED_VALUE"""),"")</f>
        <v/>
      </c>
      <c r="AX85" s="31" t="str">
        <f>IFERROR(__xludf.DUMMYFUNCTION("""COMPUTED_VALUE"""),"")</f>
        <v/>
      </c>
      <c r="AY85" s="31" t="str">
        <f>IFERROR(__xludf.DUMMYFUNCTION("""COMPUTED_VALUE"""),"")</f>
        <v/>
      </c>
      <c r="AZ85" s="31" t="str">
        <f>IFERROR(__xludf.DUMMYFUNCTION("""COMPUTED_VALUE"""),"")</f>
        <v/>
      </c>
      <c r="BA85" s="31" t="str">
        <f>IFERROR(__xludf.DUMMYFUNCTION("""COMPUTED_VALUE"""),"")</f>
        <v/>
      </c>
      <c r="BB85" s="31" t="str">
        <f>IFERROR(__xludf.DUMMYFUNCTION("""COMPUTED_VALUE"""),"")</f>
        <v/>
      </c>
      <c r="BC85" s="31" t="str">
        <f>IFERROR(__xludf.DUMMYFUNCTION("""COMPUTED_VALUE"""),"")</f>
        <v/>
      </c>
    </row>
    <row r="86">
      <c r="A86" s="88">
        <f>IFERROR(__xludf.DUMMYFUNCTION("""COMPUTED_VALUE"""),82.0)</f>
        <v>82</v>
      </c>
      <c r="B86" s="31" t="str">
        <f>IFERROR(__xludf.DUMMYFUNCTION("""COMPUTED_VALUE"""),"TAS")</f>
        <v>TAS</v>
      </c>
      <c r="C86" s="31" t="str">
        <f>IFERROR(__xludf.DUMMYFUNCTION("""COMPUTED_VALUE"""),"Jamie Beaton")</f>
        <v>Jamie Beaton</v>
      </c>
      <c r="D86" s="31" t="str">
        <f>IFERROR(__xludf.DUMMYFUNCTION("""COMPUTED_VALUE"""),"jamie.beaton@thisspacerealestate.com")</f>
        <v>jamie.beaton@thisspacerealestate.com</v>
      </c>
      <c r="E86" s="31" t="str">
        <f>IFERROR(__xludf.DUMMYFUNCTION("""COMPUTED_VALUE"""),"This Space Real Estate")</f>
        <v>This Space Real Estate</v>
      </c>
      <c r="F86" s="31" t="str">
        <f>IFERROR(__xludf.DUMMYFUNCTION("""COMPUTED_VALUE"""),"Launceston")</f>
        <v>Launceston</v>
      </c>
      <c r="G86" s="31" t="str">
        <f>IFERROR(__xludf.DUMMYFUNCTION("""COMPUTED_VALUE"""),"East Launceston")</f>
        <v>East Launceston</v>
      </c>
      <c r="H86" s="31" t="str">
        <f>IFERROR(__xludf.DUMMYFUNCTION("""COMPUTED_VALUE"""),"Newstead")</f>
        <v>Newstead</v>
      </c>
      <c r="I86" s="31" t="str">
        <f>IFERROR(__xludf.DUMMYFUNCTION("""COMPUTED_VALUE"""),"Norwood")</f>
        <v>Norwood</v>
      </c>
      <c r="J86" s="31" t="str">
        <f>IFERROR(__xludf.DUMMYFUNCTION("""COMPUTED_VALUE"""),"Prospect")</f>
        <v>Prospect</v>
      </c>
      <c r="K86" s="31" t="str">
        <f>IFERROR(__xludf.DUMMYFUNCTION("""COMPUTED_VALUE"""),"Prospect Vale")</f>
        <v>Prospect Vale</v>
      </c>
      <c r="L86" s="31" t="str">
        <f>IFERROR(__xludf.DUMMYFUNCTION("""COMPUTED_VALUE"""),"Ravenswood")</f>
        <v>Ravenswood</v>
      </c>
      <c r="M86" s="31" t="str">
        <f>IFERROR(__xludf.DUMMYFUNCTION("""COMPUTED_VALUE"""),"Riverside")</f>
        <v>Riverside</v>
      </c>
      <c r="N86" s="31" t="str">
        <f>IFERROR(__xludf.DUMMYFUNCTION("""COMPUTED_VALUE"""),"St Leonards")</f>
        <v>St Leonards</v>
      </c>
      <c r="O86" s="31" t="str">
        <f>IFERROR(__xludf.DUMMYFUNCTION("""COMPUTED_VALUE"""),"Summerhill")</f>
        <v>Summerhill</v>
      </c>
      <c r="P86" s="31" t="str">
        <f>IFERROR(__xludf.DUMMYFUNCTION("""COMPUTED_VALUE"""),"Travellers Rest")</f>
        <v>Travellers Rest</v>
      </c>
      <c r="Q86" s="31" t="str">
        <f>IFERROR(__xludf.DUMMYFUNCTION("""COMPUTED_VALUE"""),"Trevallyn")</f>
        <v>Trevallyn</v>
      </c>
      <c r="R86" s="31" t="str">
        <f>IFERROR(__xludf.DUMMYFUNCTION("""COMPUTED_VALUE"""),"Waverley")</f>
        <v>Waverley</v>
      </c>
      <c r="S86" s="31" t="str">
        <f>IFERROR(__xludf.DUMMYFUNCTION("""COMPUTED_VALUE"""),"West Launceston")</f>
        <v>West Launceston</v>
      </c>
      <c r="T86" s="31" t="str">
        <f>IFERROR(__xludf.DUMMYFUNCTION("""COMPUTED_VALUE"""),"Blackstone Heights")</f>
        <v>Blackstone Heights</v>
      </c>
      <c r="U86" s="31" t="str">
        <f>IFERROR(__xludf.DUMMYFUNCTION("""COMPUTED_VALUE"""),"Glen Dhu")</f>
        <v>Glen Dhu</v>
      </c>
      <c r="V86" s="31" t="str">
        <f>IFERROR(__xludf.DUMMYFUNCTION("""COMPUTED_VALUE"""),"Kings Meadows")</f>
        <v>Kings Meadows</v>
      </c>
      <c r="W86" s="31" t="str">
        <f>IFERROR(__xludf.DUMMYFUNCTION("""COMPUTED_VALUE"""),"Punchbowl")</f>
        <v>Punchbowl</v>
      </c>
      <c r="X86" s="31" t="str">
        <f>IFERROR(__xludf.DUMMYFUNCTION("""COMPUTED_VALUE"""),"Sandhill")</f>
        <v>Sandhill</v>
      </c>
      <c r="Y86" s="31" t="str">
        <f>IFERROR(__xludf.DUMMYFUNCTION("""COMPUTED_VALUE"""),"South Launceston")</f>
        <v>South Launceston</v>
      </c>
      <c r="Z86" s="31" t="str">
        <f>IFERROR(__xludf.DUMMYFUNCTION("""COMPUTED_VALUE"""),"Youngtown")</f>
        <v>Youngtown</v>
      </c>
      <c r="AA86" s="31" t="str">
        <f>IFERROR(__xludf.DUMMYFUNCTION("""COMPUTED_VALUE"""),"Alanvale")</f>
        <v>Alanvale</v>
      </c>
      <c r="AB86" s="31" t="str">
        <f>IFERROR(__xludf.DUMMYFUNCTION("""COMPUTED_VALUE"""),"Inveresk")</f>
        <v>Inveresk</v>
      </c>
      <c r="AC86" s="31" t="str">
        <f>IFERROR(__xludf.DUMMYFUNCTION("""COMPUTED_VALUE"""),"Invermay")</f>
        <v>Invermay</v>
      </c>
      <c r="AD86" s="31" t="str">
        <f>IFERROR(__xludf.DUMMYFUNCTION("""COMPUTED_VALUE"""),"Mayfield")</f>
        <v>Mayfield</v>
      </c>
      <c r="AE86" s="31" t="str">
        <f>IFERROR(__xludf.DUMMYFUNCTION("""COMPUTED_VALUE"""),"Mowbray")</f>
        <v>Mowbray</v>
      </c>
      <c r="AF86" s="31" t="str">
        <f>IFERROR(__xludf.DUMMYFUNCTION("""COMPUTED_VALUE"""),"Mowbray Heights")</f>
        <v>Mowbray Heights</v>
      </c>
      <c r="AG86" s="31" t="str">
        <f>IFERROR(__xludf.DUMMYFUNCTION("""COMPUTED_VALUE"""),"Newnham")</f>
        <v>Newnham</v>
      </c>
      <c r="AH86" s="31" t="str">
        <f>IFERROR(__xludf.DUMMYFUNCTION("""COMPUTED_VALUE"""),"Rocherlea")</f>
        <v>Rocherlea</v>
      </c>
      <c r="AI86" s="31" t="str">
        <f>IFERROR(__xludf.DUMMYFUNCTION("""COMPUTED_VALUE"""),"Hadspen")</f>
        <v>Hadspen</v>
      </c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</row>
    <row r="87">
      <c r="A87" s="88" t="str">
        <f>IFERROR(__xludf.DUMMYFUNCTION("""COMPUTED_VALUE"""),"")</f>
        <v/>
      </c>
      <c r="B87" s="31" t="str">
        <f>IFERROR(__xludf.DUMMYFUNCTION("""COMPUTED_VALUE"""),"")</f>
        <v/>
      </c>
      <c r="C87" s="31" t="str">
        <f>IFERROR(__xludf.DUMMYFUNCTION("""COMPUTED_VALUE"""),"")</f>
        <v/>
      </c>
      <c r="D87" s="31" t="str">
        <f>IFERROR(__xludf.DUMMYFUNCTION("""COMPUTED_VALUE"""),"")</f>
        <v/>
      </c>
      <c r="E87" s="31" t="str">
        <f>IFERROR(__xludf.DUMMYFUNCTION("""COMPUTED_VALUE"""),"")</f>
        <v/>
      </c>
      <c r="F87" s="31" t="str">
        <f>IFERROR(__xludf.DUMMYFUNCTION("""COMPUTED_VALUE"""),"")</f>
        <v/>
      </c>
      <c r="G87" s="31" t="str">
        <f>IFERROR(__xludf.DUMMYFUNCTION("""COMPUTED_VALUE"""),"")</f>
        <v/>
      </c>
      <c r="H87" s="31" t="str">
        <f>IFERROR(__xludf.DUMMYFUNCTION("""COMPUTED_VALUE"""),"")</f>
        <v/>
      </c>
      <c r="I87" s="31" t="str">
        <f>IFERROR(__xludf.DUMMYFUNCTION("""COMPUTED_VALUE"""),"")</f>
        <v/>
      </c>
      <c r="J87" s="31" t="str">
        <f>IFERROR(__xludf.DUMMYFUNCTION("""COMPUTED_VALUE"""),"")</f>
        <v/>
      </c>
      <c r="K87" s="31" t="str">
        <f>IFERROR(__xludf.DUMMYFUNCTION("""COMPUTED_VALUE"""),"")</f>
        <v/>
      </c>
      <c r="L87" s="31" t="str">
        <f>IFERROR(__xludf.DUMMYFUNCTION("""COMPUTED_VALUE"""),"")</f>
        <v/>
      </c>
      <c r="M87" s="31" t="str">
        <f>IFERROR(__xludf.DUMMYFUNCTION("""COMPUTED_VALUE"""),"")</f>
        <v/>
      </c>
      <c r="N87" s="31" t="str">
        <f>IFERROR(__xludf.DUMMYFUNCTION("""COMPUTED_VALUE"""),"")</f>
        <v/>
      </c>
      <c r="O87" s="31" t="str">
        <f>IFERROR(__xludf.DUMMYFUNCTION("""COMPUTED_VALUE"""),"")</f>
        <v/>
      </c>
      <c r="P87" s="31" t="str">
        <f>IFERROR(__xludf.DUMMYFUNCTION("""COMPUTED_VALUE"""),"")</f>
        <v/>
      </c>
      <c r="Q87" s="31" t="str">
        <f>IFERROR(__xludf.DUMMYFUNCTION("""COMPUTED_VALUE"""),"")</f>
        <v/>
      </c>
      <c r="R87" s="31" t="str">
        <f>IFERROR(__xludf.DUMMYFUNCTION("""COMPUTED_VALUE"""),"")</f>
        <v/>
      </c>
      <c r="S87" s="31" t="str">
        <f>IFERROR(__xludf.DUMMYFUNCTION("""COMPUTED_VALUE"""),"")</f>
        <v/>
      </c>
      <c r="T87" s="31" t="str">
        <f>IFERROR(__xludf.DUMMYFUNCTION("""COMPUTED_VALUE"""),"")</f>
        <v/>
      </c>
      <c r="U87" s="31" t="str">
        <f>IFERROR(__xludf.DUMMYFUNCTION("""COMPUTED_VALUE"""),"")</f>
        <v/>
      </c>
      <c r="V87" s="31" t="str">
        <f>IFERROR(__xludf.DUMMYFUNCTION("""COMPUTED_VALUE"""),"")</f>
        <v/>
      </c>
      <c r="W87" s="31" t="str">
        <f>IFERROR(__xludf.DUMMYFUNCTION("""COMPUTED_VALUE"""),"")</f>
        <v/>
      </c>
      <c r="X87" s="31" t="str">
        <f>IFERROR(__xludf.DUMMYFUNCTION("""COMPUTED_VALUE"""),"")</f>
        <v/>
      </c>
      <c r="Y87" s="31" t="str">
        <f>IFERROR(__xludf.DUMMYFUNCTION("""COMPUTED_VALUE"""),"")</f>
        <v/>
      </c>
      <c r="Z87" s="31" t="str">
        <f>IFERROR(__xludf.DUMMYFUNCTION("""COMPUTED_VALUE"""),"")</f>
        <v/>
      </c>
      <c r="AA87" s="31" t="str">
        <f>IFERROR(__xludf.DUMMYFUNCTION("""COMPUTED_VALUE"""),"")</f>
        <v/>
      </c>
      <c r="AB87" s="31" t="str">
        <f>IFERROR(__xludf.DUMMYFUNCTION("""COMPUTED_VALUE"""),"")</f>
        <v/>
      </c>
      <c r="AC87" s="31" t="str">
        <f>IFERROR(__xludf.DUMMYFUNCTION("""COMPUTED_VALUE"""),"")</f>
        <v/>
      </c>
      <c r="AD87" s="31" t="str">
        <f>IFERROR(__xludf.DUMMYFUNCTION("""COMPUTED_VALUE"""),"")</f>
        <v/>
      </c>
      <c r="AE87" s="31" t="str">
        <f>IFERROR(__xludf.DUMMYFUNCTION("""COMPUTED_VALUE"""),"")</f>
        <v/>
      </c>
      <c r="AF87" s="31" t="str">
        <f>IFERROR(__xludf.DUMMYFUNCTION("""COMPUTED_VALUE"""),"")</f>
        <v/>
      </c>
      <c r="AG87" s="31" t="str">
        <f>IFERROR(__xludf.DUMMYFUNCTION("""COMPUTED_VALUE"""),"")</f>
        <v/>
      </c>
      <c r="AH87" s="31" t="str">
        <f>IFERROR(__xludf.DUMMYFUNCTION("""COMPUTED_VALUE"""),"")</f>
        <v/>
      </c>
      <c r="AI87" s="31" t="str">
        <f>IFERROR(__xludf.DUMMYFUNCTION("""COMPUTED_VALUE"""),"")</f>
        <v/>
      </c>
      <c r="AJ87" s="31" t="str">
        <f>IFERROR(__xludf.DUMMYFUNCTION("""COMPUTED_VALUE"""),"")</f>
        <v/>
      </c>
      <c r="AK87" s="31" t="str">
        <f>IFERROR(__xludf.DUMMYFUNCTION("""COMPUTED_VALUE"""),"")</f>
        <v/>
      </c>
      <c r="AL87" s="31" t="str">
        <f>IFERROR(__xludf.DUMMYFUNCTION("""COMPUTED_VALUE"""),"")</f>
        <v/>
      </c>
      <c r="AM87" s="31" t="str">
        <f>IFERROR(__xludf.DUMMYFUNCTION("""COMPUTED_VALUE"""),"")</f>
        <v/>
      </c>
      <c r="AN87" s="31" t="str">
        <f>IFERROR(__xludf.DUMMYFUNCTION("""COMPUTED_VALUE"""),"")</f>
        <v/>
      </c>
      <c r="AO87" s="31" t="str">
        <f>IFERROR(__xludf.DUMMYFUNCTION("""COMPUTED_VALUE"""),"")</f>
        <v/>
      </c>
      <c r="AP87" s="31" t="str">
        <f>IFERROR(__xludf.DUMMYFUNCTION("""COMPUTED_VALUE"""),"")</f>
        <v/>
      </c>
      <c r="AQ87" s="31" t="str">
        <f>IFERROR(__xludf.DUMMYFUNCTION("""COMPUTED_VALUE"""),"")</f>
        <v/>
      </c>
      <c r="AR87" s="31" t="str">
        <f>IFERROR(__xludf.DUMMYFUNCTION("""COMPUTED_VALUE"""),"")</f>
        <v/>
      </c>
      <c r="AS87" s="31" t="str">
        <f>IFERROR(__xludf.DUMMYFUNCTION("""COMPUTED_VALUE"""),"")</f>
        <v/>
      </c>
      <c r="AT87" s="31" t="str">
        <f>IFERROR(__xludf.DUMMYFUNCTION("""COMPUTED_VALUE"""),"")</f>
        <v/>
      </c>
      <c r="AU87" s="31" t="str">
        <f>IFERROR(__xludf.DUMMYFUNCTION("""COMPUTED_VALUE"""),"")</f>
        <v/>
      </c>
      <c r="AV87" s="31" t="str">
        <f>IFERROR(__xludf.DUMMYFUNCTION("""COMPUTED_VALUE"""),"")</f>
        <v/>
      </c>
      <c r="AW87" s="31" t="str">
        <f>IFERROR(__xludf.DUMMYFUNCTION("""COMPUTED_VALUE"""),"")</f>
        <v/>
      </c>
      <c r="AX87" s="31" t="str">
        <f>IFERROR(__xludf.DUMMYFUNCTION("""COMPUTED_VALUE"""),"")</f>
        <v/>
      </c>
      <c r="AY87" s="31" t="str">
        <f>IFERROR(__xludf.DUMMYFUNCTION("""COMPUTED_VALUE"""),"")</f>
        <v/>
      </c>
      <c r="AZ87" s="31" t="str">
        <f>IFERROR(__xludf.DUMMYFUNCTION("""COMPUTED_VALUE"""),"")</f>
        <v/>
      </c>
      <c r="BA87" s="31" t="str">
        <f>IFERROR(__xludf.DUMMYFUNCTION("""COMPUTED_VALUE"""),"")</f>
        <v/>
      </c>
      <c r="BB87" s="31" t="str">
        <f>IFERROR(__xludf.DUMMYFUNCTION("""COMPUTED_VALUE"""),"")</f>
        <v/>
      </c>
      <c r="BC87" s="31" t="str">
        <f>IFERROR(__xludf.DUMMYFUNCTION("""COMPUTED_VALUE"""),"")</f>
        <v/>
      </c>
    </row>
    <row r="88">
      <c r="A88" s="88">
        <f>IFERROR(__xludf.DUMMYFUNCTION("""COMPUTED_VALUE"""),83.0)</f>
        <v>83</v>
      </c>
      <c r="B88" s="31" t="str">
        <f>IFERROR(__xludf.DUMMYFUNCTION("""COMPUTED_VALUE"""),"VIC")</f>
        <v>VIC</v>
      </c>
      <c r="C88" s="31" t="str">
        <f>IFERROR(__xludf.DUMMYFUNCTION("""COMPUTED_VALUE"""),"Barry Feldman")</f>
        <v>Barry Feldman</v>
      </c>
      <c r="D88" s="31" t="str">
        <f>IFERROR(__xludf.DUMMYFUNCTION("""COMPUTED_VALUE"""),"Barry.f@areaspecialist.com.au")</f>
        <v>Barry.f@areaspecialist.com.au</v>
      </c>
      <c r="E88" s="31" t="str">
        <f>IFERROR(__xludf.DUMMYFUNCTION("""COMPUTED_VALUE"""),"Area Specialist")</f>
        <v>Area Specialist</v>
      </c>
      <c r="F88" s="31" t="str">
        <f>IFERROR(__xludf.DUMMYFUNCTION("""COMPUTED_VALUE"""),"St Kilda East")</f>
        <v>St Kilda East</v>
      </c>
      <c r="G88" s="31" t="str">
        <f>IFERROR(__xludf.DUMMYFUNCTION("""COMPUTED_VALUE"""),"Balaclava")</f>
        <v>Balaclava</v>
      </c>
      <c r="H88" s="31" t="str">
        <f>IFERROR(__xludf.DUMMYFUNCTION("""COMPUTED_VALUE"""),"Caulfield")</f>
        <v>Caulfield</v>
      </c>
      <c r="I88" s="31" t="str">
        <f>IFERROR(__xludf.DUMMYFUNCTION("""COMPUTED_VALUE"""),"Caulfield South")</f>
        <v>Caulfield South</v>
      </c>
      <c r="J88" s="31" t="str">
        <f>IFERROR(__xludf.DUMMYFUNCTION("""COMPUTED_VALUE"""),"Glen Iris")</f>
        <v>Glen Iris</v>
      </c>
      <c r="K88" s="31" t="str">
        <f>IFERROR(__xludf.DUMMYFUNCTION("""COMPUTED_VALUE"""),"Melbourne")</f>
        <v>Melbourne</v>
      </c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</row>
    <row r="89">
      <c r="A89" s="88">
        <f>IFERROR(__xludf.DUMMYFUNCTION("""COMPUTED_VALUE"""),84.0)</f>
        <v>84</v>
      </c>
      <c r="B89" s="31" t="str">
        <f>IFERROR(__xludf.DUMMYFUNCTION("""COMPUTED_VALUE"""),"VIC")</f>
        <v>VIC</v>
      </c>
      <c r="C89" s="31" t="str">
        <f>IFERROR(__xludf.DUMMYFUNCTION("""COMPUTED_VALUE"""),"Brett Sparks")</f>
        <v>Brett Sparks</v>
      </c>
      <c r="D89" s="31" t="str">
        <f>IFERROR(__xludf.DUMMYFUNCTION("""COMPUTED_VALUE"""),"brettsparks@jelliscraig.com.au")</f>
        <v>brettsparks@jelliscraig.com.au</v>
      </c>
      <c r="E89" s="31" t="str">
        <f>IFERROR(__xludf.DUMMYFUNCTION("""COMPUTED_VALUE"""),"Jellis Craig Greensborough &amp; Hurstbridge")</f>
        <v>Jellis Craig Greensborough &amp; Hurstbridge</v>
      </c>
      <c r="F89" s="31" t="str">
        <f>IFERROR(__xludf.DUMMYFUNCTION("""COMPUTED_VALUE"""),"Greensborough")</f>
        <v>Greensborough</v>
      </c>
      <c r="G89" s="31" t="str">
        <f>IFERROR(__xludf.DUMMYFUNCTION("""COMPUTED_VALUE"""),"Watsonia")</f>
        <v>Watsonia</v>
      </c>
      <c r="H89" s="31" t="str">
        <f>IFERROR(__xludf.DUMMYFUNCTION("""COMPUTED_VALUE"""),"Macleod")</f>
        <v>Macleod</v>
      </c>
      <c r="I89" s="31" t="str">
        <f>IFERROR(__xludf.DUMMYFUNCTION("""COMPUTED_VALUE"""),"Yallambie")</f>
        <v>Yallambie</v>
      </c>
      <c r="J89" s="31" t="str">
        <f>IFERROR(__xludf.DUMMYFUNCTION("""COMPUTED_VALUE"""),"Briar Hill")</f>
        <v>Briar Hill</v>
      </c>
      <c r="K89" s="31" t="str">
        <f>IFERROR(__xludf.DUMMYFUNCTION("""COMPUTED_VALUE"""),"Bundoora")</f>
        <v>Bundoora</v>
      </c>
      <c r="L89" s="31" t="str">
        <f>IFERROR(__xludf.DUMMYFUNCTION("""COMPUTED_VALUE"""),"Montmorency")</f>
        <v>Montmorency</v>
      </c>
      <c r="M89" s="31" t="str">
        <f>IFERROR(__xludf.DUMMYFUNCTION("""COMPUTED_VALUE"""),"Viewbank")</f>
        <v>Viewbank</v>
      </c>
      <c r="N89" s="31" t="str">
        <f>IFERROR(__xludf.DUMMYFUNCTION("""COMPUTED_VALUE"""),"Watsonia North")</f>
        <v>Watsonia North</v>
      </c>
      <c r="O89" s="31" t="str">
        <f>IFERROR(__xludf.DUMMYFUNCTION("""COMPUTED_VALUE"""),"Eltham")</f>
        <v>Eltham</v>
      </c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</row>
    <row r="90">
      <c r="A90" s="88">
        <f>IFERROR(__xludf.DUMMYFUNCTION("""COMPUTED_VALUE"""),85.0)</f>
        <v>85</v>
      </c>
      <c r="B90" s="31" t="str">
        <f>IFERROR(__xludf.DUMMYFUNCTION("""COMPUTED_VALUE"""),"VIC")</f>
        <v>VIC</v>
      </c>
      <c r="C90" s="31" t="str">
        <f>IFERROR(__xludf.DUMMYFUNCTION("""COMPUTED_VALUE"""),"Craig Missell")</f>
        <v>Craig Missell</v>
      </c>
      <c r="D90" s="31" t="str">
        <f>IFERROR(__xludf.DUMMYFUNCTION("""COMPUTED_VALUE"""),"craig.missell@missell.com.au")</f>
        <v>craig.missell@missell.com.au</v>
      </c>
      <c r="E90" s="31" t="str">
        <f>IFERROR(__xludf.DUMMYFUNCTION("""COMPUTED_VALUE"""),"Missell Property Group")</f>
        <v>Missell Property Group</v>
      </c>
      <c r="F90" s="31" t="str">
        <f>IFERROR(__xludf.DUMMYFUNCTION("""COMPUTED_VALUE"""),"Brighton")</f>
        <v>Brighton</v>
      </c>
      <c r="G90" s="31" t="str">
        <f>IFERROR(__xludf.DUMMYFUNCTION("""COMPUTED_VALUE"""),"Brighton East")</f>
        <v>Brighton East</v>
      </c>
      <c r="H90" s="31" t="str">
        <f>IFERROR(__xludf.DUMMYFUNCTION("""COMPUTED_VALUE"""),"Mentone")</f>
        <v>Mentone</v>
      </c>
      <c r="I90" s="31" t="str">
        <f>IFERROR(__xludf.DUMMYFUNCTION("""COMPUTED_VALUE"""),"Beaumaris")</f>
        <v>Beaumaris</v>
      </c>
      <c r="J90" s="31" t="str">
        <f>IFERROR(__xludf.DUMMYFUNCTION("""COMPUTED_VALUE"""),"Black Rock")</f>
        <v>Black Rock</v>
      </c>
      <c r="K90" s="31" t="str">
        <f>IFERROR(__xludf.DUMMYFUNCTION("""COMPUTED_VALUE"""),"Murrumbeena")</f>
        <v>Murrumbeena</v>
      </c>
      <c r="L90" s="31" t="str">
        <f>IFERROR(__xludf.DUMMYFUNCTION("""COMPUTED_VALUE"""),"Parkdale")</f>
        <v>Parkdale</v>
      </c>
      <c r="M90" s="31" t="str">
        <f>IFERROR(__xludf.DUMMYFUNCTION("""COMPUTED_VALUE"""),"Mordialloc")</f>
        <v>Mordialloc</v>
      </c>
      <c r="N90" s="31" t="str">
        <f>IFERROR(__xludf.DUMMYFUNCTION("""COMPUTED_VALUE"""),"Moorabbin")</f>
        <v>Moorabbin</v>
      </c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</row>
    <row r="91">
      <c r="A91" s="88">
        <f>IFERROR(__xludf.DUMMYFUNCTION("""COMPUTED_VALUE"""),86.0)</f>
        <v>86</v>
      </c>
      <c r="B91" s="31" t="str">
        <f>IFERROR(__xludf.DUMMYFUNCTION("""COMPUTED_VALUE"""),"VIC")</f>
        <v>VIC</v>
      </c>
      <c r="C91" s="31" t="str">
        <f>IFERROR(__xludf.DUMMYFUNCTION("""COMPUTED_VALUE"""),"Daniel Sacco")</f>
        <v>Daniel Sacco</v>
      </c>
      <c r="D91" s="31" t="str">
        <f>IFERROR(__xludf.DUMMYFUNCTION("""COMPUTED_VALUE"""),"dsacco@amsre.com.au")</f>
        <v>dsacco@amsre.com.au</v>
      </c>
      <c r="E91" s="31" t="str">
        <f>IFERROR(__xludf.DUMMYFUNCTION("""COMPUTED_VALUE"""),"AMS Real Estate")</f>
        <v>AMS Real Estate</v>
      </c>
      <c r="F91" s="31" t="str">
        <f>IFERROR(__xludf.DUMMYFUNCTION("""COMPUTED_VALUE"""),"Craigieburn")</f>
        <v>Craigieburn</v>
      </c>
      <c r="G91" s="31" t="str">
        <f>IFERROR(__xludf.DUMMYFUNCTION("""COMPUTED_VALUE"""),"Mickleham")</f>
        <v>Mickleham</v>
      </c>
      <c r="H91" s="31" t="str">
        <f>IFERROR(__xludf.DUMMYFUNCTION("""COMPUTED_VALUE"""),"Roxburgh Park")</f>
        <v>Roxburgh Park</v>
      </c>
      <c r="I91" s="31" t="str">
        <f>IFERROR(__xludf.DUMMYFUNCTION("""COMPUTED_VALUE"""),"Greenvale")</f>
        <v>Greenvale</v>
      </c>
      <c r="J91" s="31" t="str">
        <f>IFERROR(__xludf.DUMMYFUNCTION("""COMPUTED_VALUE"""),"Attwood")</f>
        <v>Attwood</v>
      </c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</row>
    <row r="92">
      <c r="A92" s="88">
        <f>IFERROR(__xludf.DUMMYFUNCTION("""COMPUTED_VALUE"""),87.0)</f>
        <v>87</v>
      </c>
      <c r="B92" s="31" t="str">
        <f>IFERROR(__xludf.DUMMYFUNCTION("""COMPUTED_VALUE"""),"VIC")</f>
        <v>VIC</v>
      </c>
      <c r="C92" s="31" t="str">
        <f>IFERROR(__xludf.DUMMYFUNCTION("""COMPUTED_VALUE"""),"George Demetrios")</f>
        <v>George Demetrios</v>
      </c>
      <c r="D92" s="31" t="str">
        <f>IFERROR(__xludf.DUMMYFUNCTION("""COMPUTED_VALUE"""),"george@stockdaleleggo.com.au")</f>
        <v>george@stockdaleleggo.com.au</v>
      </c>
      <c r="E92" s="31" t="str">
        <f>IFERROR(__xludf.DUMMYFUNCTION("""COMPUTED_VALUE"""),"Stockdale &amp; Leggo - Traralgon")</f>
        <v>Stockdale &amp; Leggo - Traralgon</v>
      </c>
      <c r="F92" s="31" t="str">
        <f>IFERROR(__xludf.DUMMYFUNCTION("""COMPUTED_VALUE"""),"Morwell")</f>
        <v>Morwell</v>
      </c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</row>
    <row r="93">
      <c r="A93" s="88">
        <f>IFERROR(__xludf.DUMMYFUNCTION("""COMPUTED_VALUE"""),88.0)</f>
        <v>88</v>
      </c>
      <c r="B93" s="31" t="str">
        <f>IFERROR(__xludf.DUMMYFUNCTION("""COMPUTED_VALUE"""),"VIC")</f>
        <v>VIC</v>
      </c>
      <c r="C93" s="31" t="str">
        <f>IFERROR(__xludf.DUMMYFUNCTION("""COMPUTED_VALUE"""),"Jason Barbara")</f>
        <v>Jason Barbara</v>
      </c>
      <c r="D93" s="31" t="str">
        <f>IFERROR(__xludf.DUMMYFUNCTION("""COMPUTED_VALUE"""),"jbarbara@nelsonalexander.com.au")</f>
        <v>jbarbara@nelsonalexander.com.au</v>
      </c>
      <c r="E93" s="31" t="str">
        <f>IFERROR(__xludf.DUMMYFUNCTION("""COMPUTED_VALUE"""),"Nelson Alexander - Essendon")</f>
        <v>Nelson Alexander - Essendon</v>
      </c>
      <c r="F93" s="31" t="str">
        <f>IFERROR(__xludf.DUMMYFUNCTION("""COMPUTED_VALUE"""),"Essendon")</f>
        <v>Essendon</v>
      </c>
      <c r="G93" s="31" t="str">
        <f>IFERROR(__xludf.DUMMYFUNCTION("""COMPUTED_VALUE"""),"Moonee Ponds")</f>
        <v>Moonee Ponds</v>
      </c>
      <c r="H93" s="31" t="str">
        <f>IFERROR(__xludf.DUMMYFUNCTION("""COMPUTED_VALUE"""),"Aberfeldie")</f>
        <v>Aberfeldie</v>
      </c>
      <c r="I93" s="31" t="str">
        <f>IFERROR(__xludf.DUMMYFUNCTION("""COMPUTED_VALUE"""),"Essendon West")</f>
        <v>Essendon West</v>
      </c>
      <c r="J93" s="31" t="str">
        <f>IFERROR(__xludf.DUMMYFUNCTION("""COMPUTED_VALUE"""),"Niddrie")</f>
        <v>Niddrie</v>
      </c>
      <c r="K93" s="31" t="str">
        <f>IFERROR(__xludf.DUMMYFUNCTION("""COMPUTED_VALUE"""),"Essendon North")</f>
        <v>Essendon North</v>
      </c>
      <c r="L93" s="31" t="str">
        <f>IFERROR(__xludf.DUMMYFUNCTION("""COMPUTED_VALUE"""),"Strathmore")</f>
        <v>Strathmore</v>
      </c>
      <c r="M93" s="31" t="str">
        <f>IFERROR(__xludf.DUMMYFUNCTION("""COMPUTED_VALUE"""),"Pascoe Vale South")</f>
        <v>Pascoe Vale South</v>
      </c>
      <c r="N93" s="31" t="str">
        <f>IFERROR(__xludf.DUMMYFUNCTION("""COMPUTED_VALUE"""),"Brunswick West")</f>
        <v>Brunswick West</v>
      </c>
      <c r="O93" s="31" t="str">
        <f>IFERROR(__xludf.DUMMYFUNCTION("""COMPUTED_VALUE"""),"Brunswick East")</f>
        <v>Brunswick East</v>
      </c>
      <c r="P93" s="31" t="str">
        <f>IFERROR(__xludf.DUMMYFUNCTION("""COMPUTED_VALUE"""),"Coburg")</f>
        <v>Coburg</v>
      </c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</row>
    <row r="94">
      <c r="A94" s="88">
        <f>IFERROR(__xludf.DUMMYFUNCTION("""COMPUTED_VALUE"""),89.0)</f>
        <v>89</v>
      </c>
      <c r="B94" s="31" t="str">
        <f>IFERROR(__xludf.DUMMYFUNCTION("""COMPUTED_VALUE"""),"VIC")</f>
        <v>VIC</v>
      </c>
      <c r="C94" s="31" t="str">
        <f>IFERROR(__xludf.DUMMYFUNCTION("""COMPUTED_VALUE"""),"Jorjesen Demetrios")</f>
        <v>Jorjesen Demetrios</v>
      </c>
      <c r="D94" s="31" t="str">
        <f>IFERROR(__xludf.DUMMYFUNCTION("""COMPUTED_VALUE"""),"jorjesen.demetrios@stockdaleleggo.com.au")</f>
        <v>jorjesen.demetrios@stockdaleleggo.com.au</v>
      </c>
      <c r="E94" s="31" t="str">
        <f>IFERROR(__xludf.DUMMYFUNCTION("""COMPUTED_VALUE"""),"Stockdale &amp; Leggo - Traralgon")</f>
        <v>Stockdale &amp; Leggo - Traralgon</v>
      </c>
      <c r="F94" s="31" t="str">
        <f>IFERROR(__xludf.DUMMYFUNCTION("""COMPUTED_VALUE"""),"Traralgon")</f>
        <v>Traralgon</v>
      </c>
      <c r="G94" s="31" t="str">
        <f>IFERROR(__xludf.DUMMYFUNCTION("""COMPUTED_VALUE"""),"Traralgon East")</f>
        <v>Traralgon East</v>
      </c>
      <c r="H94" s="31" t="str">
        <f>IFERROR(__xludf.DUMMYFUNCTION("""COMPUTED_VALUE"""),"Traralgon South")</f>
        <v>Traralgon South</v>
      </c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</row>
    <row r="95">
      <c r="A95" s="88">
        <f>IFERROR(__xludf.DUMMYFUNCTION("""COMPUTED_VALUE"""),90.0)</f>
        <v>90</v>
      </c>
      <c r="B95" s="31" t="str">
        <f>IFERROR(__xludf.DUMMYFUNCTION("""COMPUTED_VALUE"""),"VIC")</f>
        <v>VIC</v>
      </c>
      <c r="C95" s="31" t="str">
        <f>IFERROR(__xludf.DUMMYFUNCTION("""COMPUTED_VALUE"""),"Kyle Reid")</f>
        <v>Kyle Reid</v>
      </c>
      <c r="D95" s="31" t="str">
        <f>IFERROR(__xludf.DUMMYFUNCTION("""COMPUTED_VALUE"""),"kylereid09@gmail.com")</f>
        <v>kylereid09@gmail.com</v>
      </c>
      <c r="E95" s="31" t="str">
        <f>IFERROR(__xludf.DUMMYFUNCTION("""COMPUTED_VALUE"""),"Coastal Agents")</f>
        <v>Coastal Agents</v>
      </c>
      <c r="F95" s="31" t="str">
        <f>IFERROR(__xludf.DUMMYFUNCTION("""COMPUTED_VALUE"""),"Mount Eliza")</f>
        <v>Mount Eliza</v>
      </c>
      <c r="G95" s="31" t="str">
        <f>IFERROR(__xludf.DUMMYFUNCTION("""COMPUTED_VALUE"""),"Somerville")</f>
        <v>Somerville</v>
      </c>
      <c r="H95" s="31" t="str">
        <f>IFERROR(__xludf.DUMMYFUNCTION("""COMPUTED_VALUE"""),"Mornington")</f>
        <v>Mornington</v>
      </c>
      <c r="I95" s="31" t="str">
        <f>IFERROR(__xludf.DUMMYFUNCTION("""COMPUTED_VALUE"""),"Bittern")</f>
        <v>Bittern</v>
      </c>
      <c r="J95" s="31" t="str">
        <f>IFERROR(__xludf.DUMMYFUNCTION("""COMPUTED_VALUE"""),"Mount Martha")</f>
        <v>Mount Martha</v>
      </c>
      <c r="K95" s="31" t="str">
        <f>IFERROR(__xludf.DUMMYFUNCTION("""COMPUTED_VALUE"""),"Dromana")</f>
        <v>Dromana</v>
      </c>
      <c r="L95" s="31" t="str">
        <f>IFERROR(__xludf.DUMMYFUNCTION("""COMPUTED_VALUE"""),"Safety Beach")</f>
        <v>Safety Beach</v>
      </c>
      <c r="M95" s="31" t="str">
        <f>IFERROR(__xludf.DUMMYFUNCTION("""COMPUTED_VALUE"""),"Frankston")</f>
        <v>Frankston</v>
      </c>
      <c r="N95" s="31" t="str">
        <f>IFERROR(__xludf.DUMMYFUNCTION("""COMPUTED_VALUE"""),"Frankston South")</f>
        <v>Frankston South</v>
      </c>
      <c r="O95" s="31" t="str">
        <f>IFERROR(__xludf.DUMMYFUNCTION("""COMPUTED_VALUE"""),"Langwarrin")</f>
        <v>Langwarrin</v>
      </c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</row>
    <row r="96">
      <c r="A96" s="88">
        <f>IFERROR(__xludf.DUMMYFUNCTION("""COMPUTED_VALUE"""),91.0)</f>
        <v>91</v>
      </c>
      <c r="B96" s="31" t="str">
        <f>IFERROR(__xludf.DUMMYFUNCTION("""COMPUTED_VALUE"""),"VIC")</f>
        <v>VIC</v>
      </c>
      <c r="C96" s="31" t="str">
        <f>IFERROR(__xludf.DUMMYFUNCTION("""COMPUTED_VALUE"""),"Peter Fort")</f>
        <v>Peter Fort</v>
      </c>
      <c r="D96" s="31" t="str">
        <f>IFERROR(__xludf.DUMMYFUNCTION("""COMPUTED_VALUE"""),"peter@whitfordproperty.com.au")</f>
        <v>peter@whitfordproperty.com.au</v>
      </c>
      <c r="E96" s="31" t="str">
        <f>IFERROR(__xludf.DUMMYFUNCTION("""COMPUTED_VALUE"""),"Whitford")</f>
        <v>Whitford</v>
      </c>
      <c r="F96" s="31" t="str">
        <f>IFERROR(__xludf.DUMMYFUNCTION("""COMPUTED_VALUE"""),"Newtown")</f>
        <v>Newtown</v>
      </c>
      <c r="G96" s="31" t="str">
        <f>IFERROR(__xludf.DUMMYFUNCTION("""COMPUTED_VALUE"""),"Geelong")</f>
        <v>Geelong</v>
      </c>
      <c r="H96" s="31" t="str">
        <f>IFERROR(__xludf.DUMMYFUNCTION("""COMPUTED_VALUE"""),"South Geelong")</f>
        <v>South Geelong</v>
      </c>
      <c r="I96" s="31" t="str">
        <f>IFERROR(__xludf.DUMMYFUNCTION("""COMPUTED_VALUE"""),"Whittington")</f>
        <v>Whittington</v>
      </c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</row>
    <row r="97">
      <c r="A97" s="88">
        <f>IFERROR(__xludf.DUMMYFUNCTION("""COMPUTED_VALUE"""),92.0)</f>
        <v>92</v>
      </c>
      <c r="B97" s="31" t="str">
        <f>IFERROR(__xludf.DUMMYFUNCTION("""COMPUTED_VALUE"""),"VIC")</f>
        <v>VIC</v>
      </c>
      <c r="C97" s="31" t="str">
        <f>IFERROR(__xludf.DUMMYFUNCTION("""COMPUTED_VALUE"""),"Sam Sidiqi")</f>
        <v>Sam Sidiqi</v>
      </c>
      <c r="D97" s="31" t="str">
        <f>IFERROR(__xludf.DUMMYFUNCTION("""COMPUTED_VALUE"""),"sam.sidiqi@ljhcasey.com.au")</f>
        <v>sam.sidiqi@ljhcasey.com.au</v>
      </c>
      <c r="E97" s="31" t="str">
        <f>IFERROR(__xludf.DUMMYFUNCTION("""COMPUTED_VALUE"""),"LJ Hooker")</f>
        <v>LJ Hooker</v>
      </c>
      <c r="F97" s="31" t="str">
        <f>IFERROR(__xludf.DUMMYFUNCTION("""COMPUTED_VALUE"""),"Cranbourne")</f>
        <v>Cranbourne</v>
      </c>
      <c r="G97" s="31" t="str">
        <f>IFERROR(__xludf.DUMMYFUNCTION("""COMPUTED_VALUE"""),"Cranbourne North")</f>
        <v>Cranbourne North</v>
      </c>
      <c r="H97" s="31" t="str">
        <f>IFERROR(__xludf.DUMMYFUNCTION("""COMPUTED_VALUE"""),"Clyde North")</f>
        <v>Clyde North</v>
      </c>
      <c r="I97" s="31" t="str">
        <f>IFERROR(__xludf.DUMMYFUNCTION("""COMPUTED_VALUE"""),"Cranbourne South")</f>
        <v>Cranbourne South</v>
      </c>
      <c r="J97" s="31" t="str">
        <f>IFERROR(__xludf.DUMMYFUNCTION("""COMPUTED_VALUE"""),"Cranbourne East")</f>
        <v>Cranbourne East</v>
      </c>
      <c r="K97" s="31" t="str">
        <f>IFERROR(__xludf.DUMMYFUNCTION("""COMPUTED_VALUE"""),"Cranbourne West")</f>
        <v>Cranbourne West</v>
      </c>
      <c r="L97" s="31" t="str">
        <f>IFERROR(__xludf.DUMMYFUNCTION("""COMPUTED_VALUE"""),"Sandhurst")</f>
        <v>Sandhurst</v>
      </c>
      <c r="M97" s="31" t="str">
        <f>IFERROR(__xludf.DUMMYFUNCTION("""COMPUTED_VALUE"""),"Botanic Ridge")</f>
        <v>Botanic Ridge</v>
      </c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</row>
    <row r="98">
      <c r="A98" s="88">
        <f>IFERROR(__xludf.DUMMYFUNCTION("""COMPUTED_VALUE"""),93.0)</f>
        <v>93</v>
      </c>
      <c r="B98" s="31" t="str">
        <f>IFERROR(__xludf.DUMMYFUNCTION("""COMPUTED_VALUE"""),"VIC")</f>
        <v>VIC</v>
      </c>
      <c r="C98" s="31" t="str">
        <f>IFERROR(__xludf.DUMMYFUNCTION("""COMPUTED_VALUE"""),"Tee Sohail")</f>
        <v>Tee Sohail</v>
      </c>
      <c r="D98" s="31" t="str">
        <f>IFERROR(__xludf.DUMMYFUNCTION("""COMPUTED_VALUE"""),"tee.sohail@harcourts.com.au")</f>
        <v>tee.sohail@harcourts.com.au</v>
      </c>
      <c r="E98" s="31" t="str">
        <f>IFERROR(__xludf.DUMMYFUNCTION("""COMPUTED_VALUE"""),"Harcourts - Berwick")</f>
        <v>Harcourts - Berwick</v>
      </c>
      <c r="F98" s="31" t="str">
        <f>IFERROR(__xludf.DUMMYFUNCTION("""COMPUTED_VALUE"""),"Berwick")</f>
        <v>Berwick</v>
      </c>
      <c r="G98" s="31" t="str">
        <f>IFERROR(__xludf.DUMMYFUNCTION("""COMPUTED_VALUE"""),"Narre Warren")</f>
        <v>Narre Warren</v>
      </c>
      <c r="H98" s="31" t="str">
        <f>IFERROR(__xludf.DUMMYFUNCTION("""COMPUTED_VALUE"""),"Narre Warren North")</f>
        <v>Narre Warren North</v>
      </c>
      <c r="I98" s="31" t="str">
        <f>IFERROR(__xludf.DUMMYFUNCTION("""COMPUTED_VALUE"""),"Narre Warren East")</f>
        <v>Narre Warren East</v>
      </c>
      <c r="J98" s="31" t="str">
        <f>IFERROR(__xludf.DUMMYFUNCTION("""COMPUTED_VALUE"""),"Narre Warren South")</f>
        <v>Narre Warren South</v>
      </c>
      <c r="K98" s="31" t="str">
        <f>IFERROR(__xludf.DUMMYFUNCTION("""COMPUTED_VALUE"""),"potts Point")</f>
        <v>potts Point</v>
      </c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</row>
    <row r="99">
      <c r="A99" s="88" t="str">
        <f>IFERROR(__xludf.DUMMYFUNCTION("""COMPUTED_VALUE"""),"")</f>
        <v/>
      </c>
      <c r="B99" s="31" t="str">
        <f>IFERROR(__xludf.DUMMYFUNCTION("""COMPUTED_VALUE"""),"")</f>
        <v/>
      </c>
      <c r="C99" s="31" t="str">
        <f>IFERROR(__xludf.DUMMYFUNCTION("""COMPUTED_VALUE"""),"")</f>
        <v/>
      </c>
      <c r="D99" s="31" t="str">
        <f>IFERROR(__xludf.DUMMYFUNCTION("""COMPUTED_VALUE"""),"")</f>
        <v/>
      </c>
      <c r="E99" s="31" t="str">
        <f>IFERROR(__xludf.DUMMYFUNCTION("""COMPUTED_VALUE"""),"")</f>
        <v/>
      </c>
      <c r="F99" s="31" t="str">
        <f>IFERROR(__xludf.DUMMYFUNCTION("""COMPUTED_VALUE"""),"")</f>
        <v/>
      </c>
      <c r="G99" s="31" t="str">
        <f>IFERROR(__xludf.DUMMYFUNCTION("""COMPUTED_VALUE"""),"")</f>
        <v/>
      </c>
      <c r="H99" s="31" t="str">
        <f>IFERROR(__xludf.DUMMYFUNCTION("""COMPUTED_VALUE"""),"")</f>
        <v/>
      </c>
      <c r="I99" s="31" t="str">
        <f>IFERROR(__xludf.DUMMYFUNCTION("""COMPUTED_VALUE"""),"")</f>
        <v/>
      </c>
      <c r="J99" s="31" t="str">
        <f>IFERROR(__xludf.DUMMYFUNCTION("""COMPUTED_VALUE"""),"")</f>
        <v/>
      </c>
      <c r="K99" s="31" t="str">
        <f>IFERROR(__xludf.DUMMYFUNCTION("""COMPUTED_VALUE"""),"")</f>
        <v/>
      </c>
      <c r="L99" s="31" t="str">
        <f>IFERROR(__xludf.DUMMYFUNCTION("""COMPUTED_VALUE"""),"")</f>
        <v/>
      </c>
      <c r="M99" s="31" t="str">
        <f>IFERROR(__xludf.DUMMYFUNCTION("""COMPUTED_VALUE"""),"")</f>
        <v/>
      </c>
      <c r="N99" s="31" t="str">
        <f>IFERROR(__xludf.DUMMYFUNCTION("""COMPUTED_VALUE"""),"")</f>
        <v/>
      </c>
      <c r="O99" s="31" t="str">
        <f>IFERROR(__xludf.DUMMYFUNCTION("""COMPUTED_VALUE"""),"")</f>
        <v/>
      </c>
      <c r="P99" s="31" t="str">
        <f>IFERROR(__xludf.DUMMYFUNCTION("""COMPUTED_VALUE"""),"")</f>
        <v/>
      </c>
      <c r="Q99" s="31" t="str">
        <f>IFERROR(__xludf.DUMMYFUNCTION("""COMPUTED_VALUE"""),"")</f>
        <v/>
      </c>
      <c r="R99" s="31" t="str">
        <f>IFERROR(__xludf.DUMMYFUNCTION("""COMPUTED_VALUE"""),"")</f>
        <v/>
      </c>
      <c r="S99" s="31" t="str">
        <f>IFERROR(__xludf.DUMMYFUNCTION("""COMPUTED_VALUE"""),"")</f>
        <v/>
      </c>
      <c r="T99" s="31" t="str">
        <f>IFERROR(__xludf.DUMMYFUNCTION("""COMPUTED_VALUE"""),"")</f>
        <v/>
      </c>
      <c r="U99" s="31" t="str">
        <f>IFERROR(__xludf.DUMMYFUNCTION("""COMPUTED_VALUE"""),"")</f>
        <v/>
      </c>
      <c r="V99" s="31" t="str">
        <f>IFERROR(__xludf.DUMMYFUNCTION("""COMPUTED_VALUE"""),"")</f>
        <v/>
      </c>
      <c r="W99" s="31" t="str">
        <f>IFERROR(__xludf.DUMMYFUNCTION("""COMPUTED_VALUE"""),"")</f>
        <v/>
      </c>
      <c r="X99" s="31" t="str">
        <f>IFERROR(__xludf.DUMMYFUNCTION("""COMPUTED_VALUE"""),"")</f>
        <v/>
      </c>
      <c r="Y99" s="31" t="str">
        <f>IFERROR(__xludf.DUMMYFUNCTION("""COMPUTED_VALUE"""),"")</f>
        <v/>
      </c>
      <c r="Z99" s="31" t="str">
        <f>IFERROR(__xludf.DUMMYFUNCTION("""COMPUTED_VALUE"""),"")</f>
        <v/>
      </c>
      <c r="AA99" s="31" t="str">
        <f>IFERROR(__xludf.DUMMYFUNCTION("""COMPUTED_VALUE"""),"")</f>
        <v/>
      </c>
      <c r="AB99" s="31" t="str">
        <f>IFERROR(__xludf.DUMMYFUNCTION("""COMPUTED_VALUE"""),"")</f>
        <v/>
      </c>
      <c r="AC99" s="31" t="str">
        <f>IFERROR(__xludf.DUMMYFUNCTION("""COMPUTED_VALUE"""),"")</f>
        <v/>
      </c>
      <c r="AD99" s="31" t="str">
        <f>IFERROR(__xludf.DUMMYFUNCTION("""COMPUTED_VALUE"""),"")</f>
        <v/>
      </c>
      <c r="AE99" s="31" t="str">
        <f>IFERROR(__xludf.DUMMYFUNCTION("""COMPUTED_VALUE"""),"")</f>
        <v/>
      </c>
      <c r="AF99" s="31" t="str">
        <f>IFERROR(__xludf.DUMMYFUNCTION("""COMPUTED_VALUE"""),"")</f>
        <v/>
      </c>
      <c r="AG99" s="31" t="str">
        <f>IFERROR(__xludf.DUMMYFUNCTION("""COMPUTED_VALUE"""),"")</f>
        <v/>
      </c>
      <c r="AH99" s="31" t="str">
        <f>IFERROR(__xludf.DUMMYFUNCTION("""COMPUTED_VALUE"""),"")</f>
        <v/>
      </c>
      <c r="AI99" s="31" t="str">
        <f>IFERROR(__xludf.DUMMYFUNCTION("""COMPUTED_VALUE"""),"")</f>
        <v/>
      </c>
      <c r="AJ99" s="31" t="str">
        <f>IFERROR(__xludf.DUMMYFUNCTION("""COMPUTED_VALUE"""),"")</f>
        <v/>
      </c>
      <c r="AK99" s="31" t="str">
        <f>IFERROR(__xludf.DUMMYFUNCTION("""COMPUTED_VALUE"""),"")</f>
        <v/>
      </c>
      <c r="AL99" s="31" t="str">
        <f>IFERROR(__xludf.DUMMYFUNCTION("""COMPUTED_VALUE"""),"")</f>
        <v/>
      </c>
      <c r="AM99" s="31" t="str">
        <f>IFERROR(__xludf.DUMMYFUNCTION("""COMPUTED_VALUE"""),"")</f>
        <v/>
      </c>
      <c r="AN99" s="31" t="str">
        <f>IFERROR(__xludf.DUMMYFUNCTION("""COMPUTED_VALUE"""),"")</f>
        <v/>
      </c>
      <c r="AO99" s="31" t="str">
        <f>IFERROR(__xludf.DUMMYFUNCTION("""COMPUTED_VALUE"""),"")</f>
        <v/>
      </c>
      <c r="AP99" s="31" t="str">
        <f>IFERROR(__xludf.DUMMYFUNCTION("""COMPUTED_VALUE"""),"")</f>
        <v/>
      </c>
      <c r="AQ99" s="31" t="str">
        <f>IFERROR(__xludf.DUMMYFUNCTION("""COMPUTED_VALUE"""),"")</f>
        <v/>
      </c>
      <c r="AR99" s="31" t="str">
        <f>IFERROR(__xludf.DUMMYFUNCTION("""COMPUTED_VALUE"""),"")</f>
        <v/>
      </c>
      <c r="AS99" s="31" t="str">
        <f>IFERROR(__xludf.DUMMYFUNCTION("""COMPUTED_VALUE"""),"")</f>
        <v/>
      </c>
      <c r="AT99" s="31" t="str">
        <f>IFERROR(__xludf.DUMMYFUNCTION("""COMPUTED_VALUE"""),"")</f>
        <v/>
      </c>
      <c r="AU99" s="31" t="str">
        <f>IFERROR(__xludf.DUMMYFUNCTION("""COMPUTED_VALUE"""),"")</f>
        <v/>
      </c>
      <c r="AV99" s="31" t="str">
        <f>IFERROR(__xludf.DUMMYFUNCTION("""COMPUTED_VALUE"""),"")</f>
        <v/>
      </c>
      <c r="AW99" s="31" t="str">
        <f>IFERROR(__xludf.DUMMYFUNCTION("""COMPUTED_VALUE"""),"")</f>
        <v/>
      </c>
      <c r="AX99" s="31" t="str">
        <f>IFERROR(__xludf.DUMMYFUNCTION("""COMPUTED_VALUE"""),"")</f>
        <v/>
      </c>
      <c r="AY99" s="31" t="str">
        <f>IFERROR(__xludf.DUMMYFUNCTION("""COMPUTED_VALUE"""),"")</f>
        <v/>
      </c>
      <c r="AZ99" s="31" t="str">
        <f>IFERROR(__xludf.DUMMYFUNCTION("""COMPUTED_VALUE"""),"")</f>
        <v/>
      </c>
      <c r="BA99" s="31" t="str">
        <f>IFERROR(__xludf.DUMMYFUNCTION("""COMPUTED_VALUE"""),"")</f>
        <v/>
      </c>
      <c r="BB99" s="31" t="str">
        <f>IFERROR(__xludf.DUMMYFUNCTION("""COMPUTED_VALUE"""),"")</f>
        <v/>
      </c>
      <c r="BC99" s="31" t="str">
        <f>IFERROR(__xludf.DUMMYFUNCTION("""COMPUTED_VALUE"""),"")</f>
        <v/>
      </c>
    </row>
    <row r="100">
      <c r="A100" s="88">
        <f>IFERROR(__xludf.DUMMYFUNCTION("""COMPUTED_VALUE"""),94.0)</f>
        <v>94</v>
      </c>
      <c r="B100" s="31" t="str">
        <f>IFERROR(__xludf.DUMMYFUNCTION("""COMPUTED_VALUE"""),"WA")</f>
        <v>WA</v>
      </c>
      <c r="C100" s="31" t="str">
        <f>IFERROR(__xludf.DUMMYFUNCTION("""COMPUTED_VALUE"""),"Aaron Boud")</f>
        <v>Aaron Boud</v>
      </c>
      <c r="D100" s="31" t="str">
        <f>IFERROR(__xludf.DUMMYFUNCTION("""COMPUTED_VALUE"""),"aaron.boud@belleproperty.com")</f>
        <v>aaron.boud@belleproperty.com</v>
      </c>
      <c r="E100" s="31" t="str">
        <f>IFERROR(__xludf.DUMMYFUNCTION("""COMPUTED_VALUE"""),"Acton | Belle Property Mandurah")</f>
        <v>Acton | Belle Property Mandurah</v>
      </c>
      <c r="F100" s="31" t="str">
        <f>IFERROR(__xludf.DUMMYFUNCTION("""COMPUTED_VALUE"""),"Mandurah")</f>
        <v>Mandurah</v>
      </c>
      <c r="G100" s="31" t="str">
        <f>IFERROR(__xludf.DUMMYFUNCTION("""COMPUTED_VALUE"""),"Coodanup")</f>
        <v>Coodanup</v>
      </c>
      <c r="H100" s="31" t="str">
        <f>IFERROR(__xludf.DUMMYFUNCTION("""COMPUTED_VALUE"""),"Furnissdale")</f>
        <v>Furnissdale</v>
      </c>
      <c r="I100" s="31" t="str">
        <f>IFERROR(__xludf.DUMMYFUNCTION("""COMPUTED_VALUE"""),"Greenfields")</f>
        <v>Greenfields</v>
      </c>
      <c r="J100" s="31" t="str">
        <f>IFERROR(__xludf.DUMMYFUNCTION("""COMPUTED_VALUE"""),"Silver Sands")</f>
        <v>Silver Sands</v>
      </c>
      <c r="K100" s="31" t="str">
        <f>IFERROR(__xludf.DUMMYFUNCTION("""COMPUTED_VALUE"""),"Meadow Springs")</f>
        <v>Meadow Springs</v>
      </c>
      <c r="L100" s="31" t="str">
        <f>IFERROR(__xludf.DUMMYFUNCTION("""COMPUTED_VALUE"""),"Parklands")</f>
        <v>Parklands</v>
      </c>
      <c r="M100" s="31" t="str">
        <f>IFERROR(__xludf.DUMMYFUNCTION("""COMPUTED_VALUE"""),"San Remo")</f>
        <v>San Remo</v>
      </c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</row>
    <row r="101">
      <c r="A101" s="88">
        <f>IFERROR(__xludf.DUMMYFUNCTION("""COMPUTED_VALUE"""),95.0)</f>
        <v>95</v>
      </c>
      <c r="B101" s="31" t="str">
        <f>IFERROR(__xludf.DUMMYFUNCTION("""COMPUTED_VALUE"""),"WA")</f>
        <v>WA</v>
      </c>
      <c r="C101" s="31" t="str">
        <f>IFERROR(__xludf.DUMMYFUNCTION("""COMPUTED_VALUE"""),"Adam Djordjevic")</f>
        <v>Adam Djordjevic</v>
      </c>
      <c r="D101" s="31" t="str">
        <f>IFERROR(__xludf.DUMMYFUNCTION("""COMPUTED_VALUE"""),"adamd@theagency.com.au")</f>
        <v>adamd@theagency.com.au</v>
      </c>
      <c r="E101" s="31" t="str">
        <f>IFERROR(__xludf.DUMMYFUNCTION("""COMPUTED_VALUE"""),"The Agency")</f>
        <v>The Agency</v>
      </c>
      <c r="F101" s="31" t="str">
        <f>IFERROR(__xludf.DUMMYFUNCTION("""COMPUTED_VALUE"""),"Yokine")</f>
        <v>Yokine</v>
      </c>
      <c r="G101" s="31" t="str">
        <f>IFERROR(__xludf.DUMMYFUNCTION("""COMPUTED_VALUE"""),"Tuart Hill")</f>
        <v>Tuart Hill</v>
      </c>
      <c r="H101" s="31" t="str">
        <f>IFERROR(__xludf.DUMMYFUNCTION("""COMPUTED_VALUE"""),"Joondanna")</f>
        <v>Joondanna</v>
      </c>
      <c r="I101" s="31" t="str">
        <f>IFERROR(__xludf.DUMMYFUNCTION("""COMPUTED_VALUE"""),"Perth")</f>
        <v>Perth</v>
      </c>
      <c r="J101" s="31" t="str">
        <f>IFERROR(__xludf.DUMMYFUNCTION("""COMPUTED_VALUE"""),"Dianella")</f>
        <v>Dianella</v>
      </c>
      <c r="K101" s="31" t="str">
        <f>IFERROR(__xludf.DUMMYFUNCTION("""COMPUTED_VALUE"""),"Karrinyup")</f>
        <v>Karrinyup</v>
      </c>
      <c r="L101" s="31" t="str">
        <f>IFERROR(__xludf.DUMMYFUNCTION("""COMPUTED_VALUE"""),"Nollamara")</f>
        <v>Nollamara</v>
      </c>
      <c r="M101" s="31" t="str">
        <f>IFERROR(__xludf.DUMMYFUNCTION("""COMPUTED_VALUE"""),"Balcatta")</f>
        <v>Balcatta</v>
      </c>
      <c r="N101" s="31" t="str">
        <f>IFERROR(__xludf.DUMMYFUNCTION("""COMPUTED_VALUE"""),"Westminster")</f>
        <v>Westminster</v>
      </c>
      <c r="O101" s="31" t="str">
        <f>IFERROR(__xludf.DUMMYFUNCTION("""COMPUTED_VALUE"""),"Stirling")</f>
        <v>Stirling</v>
      </c>
      <c r="P101" s="31" t="str">
        <f>IFERROR(__xludf.DUMMYFUNCTION("""COMPUTED_VALUE"""),"Balga")</f>
        <v>Balga</v>
      </c>
      <c r="Q101" s="31" t="str">
        <f>IFERROR(__xludf.DUMMYFUNCTION("""COMPUTED_VALUE"""),"Osborne Park")</f>
        <v>Osborne Park</v>
      </c>
      <c r="R101" s="31" t="str">
        <f>IFERROR(__xludf.DUMMYFUNCTION("""COMPUTED_VALUE"""),"Girrawheen")</f>
        <v>Girrawheen</v>
      </c>
      <c r="S101" s="31" t="str">
        <f>IFERROR(__xludf.DUMMYFUNCTION("""COMPUTED_VALUE"""),"Marangaroo")</f>
        <v>Marangaroo</v>
      </c>
      <c r="T101" s="31" t="str">
        <f>IFERROR(__xludf.DUMMYFUNCTION("""COMPUTED_VALUE"""),"Koondoola")</f>
        <v>Koondoola</v>
      </c>
      <c r="U101" s="31" t="str">
        <f>IFERROR(__xludf.DUMMYFUNCTION("""COMPUTED_VALUE"""),"Madeley")</f>
        <v>Madeley</v>
      </c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</row>
    <row r="102">
      <c r="A102" s="88">
        <f>IFERROR(__xludf.DUMMYFUNCTION("""COMPUTED_VALUE"""),96.0)</f>
        <v>96</v>
      </c>
      <c r="B102" s="31" t="str">
        <f>IFERROR(__xludf.DUMMYFUNCTION("""COMPUTED_VALUE"""),"WA")</f>
        <v>WA</v>
      </c>
      <c r="C102" s="31" t="str">
        <f>IFERROR(__xludf.DUMMYFUNCTION("""COMPUTED_VALUE"""),"Aman Singh")</f>
        <v>Aman Singh</v>
      </c>
      <c r="D102" s="31" t="str">
        <f>IFERROR(__xludf.DUMMYFUNCTION("""COMPUTED_VALUE"""),"leads@thebestrealty.com.au")</f>
        <v>leads@thebestrealty.com.au</v>
      </c>
      <c r="E102" s="31" t="str">
        <f>IFERROR(__xludf.DUMMYFUNCTION("""COMPUTED_VALUE"""),"The Best Realty Group - Armadale")</f>
        <v>The Best Realty Group - Armadale</v>
      </c>
      <c r="F102" s="31" t="str">
        <f>IFERROR(__xludf.DUMMYFUNCTION("""COMPUTED_VALUE"""),"Armadale")</f>
        <v>Armadale</v>
      </c>
      <c r="G102" s="31" t="str">
        <f>IFERROR(__xludf.DUMMYFUNCTION("""COMPUTED_VALUE"""),"Doobarda")</f>
        <v>Doobarda</v>
      </c>
      <c r="H102" s="31" t="str">
        <f>IFERROR(__xludf.DUMMYFUNCTION("""COMPUTED_VALUE"""),"Forrestdale")</f>
        <v>Forrestdale</v>
      </c>
      <c r="I102" s="31" t="str">
        <f>IFERROR(__xludf.DUMMYFUNCTION("""COMPUTED_VALUE"""),"Harrisdale")</f>
        <v>Harrisdale</v>
      </c>
      <c r="J102" s="31" t="str">
        <f>IFERROR(__xludf.DUMMYFUNCTION("""COMPUTED_VALUE"""),"Haynes")</f>
        <v>Haynes</v>
      </c>
      <c r="K102" s="31" t="str">
        <f>IFERROR(__xludf.DUMMYFUNCTION("""COMPUTED_VALUE"""),"Hilbert")</f>
        <v>Hilbert</v>
      </c>
      <c r="L102" s="31" t="str">
        <f>IFERROR(__xludf.DUMMYFUNCTION("""COMPUTED_VALUE"""),"Mount Nasura")</f>
        <v>Mount Nasura</v>
      </c>
      <c r="M102" s="31" t="str">
        <f>IFERROR(__xludf.DUMMYFUNCTION("""COMPUTED_VALUE"""),"Mount Richon")</f>
        <v>Mount Richon</v>
      </c>
      <c r="N102" s="31" t="str">
        <f>IFERROR(__xludf.DUMMYFUNCTION("""COMPUTED_VALUE"""),"Piara Waters")</f>
        <v>Piara Waters</v>
      </c>
      <c r="O102" s="31" t="str">
        <f>IFERROR(__xludf.DUMMYFUNCTION("""COMPUTED_VALUE"""),"Seville Grove")</f>
        <v>Seville Grove</v>
      </c>
      <c r="P102" s="31" t="str">
        <f>IFERROR(__xludf.DUMMYFUNCTION("""COMPUTED_VALUE"""),"Wungong")</f>
        <v>Wungong</v>
      </c>
      <c r="Q102" s="31" t="str">
        <f>IFERROR(__xludf.DUMMYFUNCTION("""COMPUTED_VALUE"""),"Brookdale")</f>
        <v>Brookdale</v>
      </c>
      <c r="R102" s="31" t="str">
        <f>IFERROR(__xludf.DUMMYFUNCTION("""COMPUTED_VALUE"""),"Bedfordale")</f>
        <v>Bedfordale</v>
      </c>
      <c r="S102" s="31" t="str">
        <f>IFERROR(__xludf.DUMMYFUNCTION("""COMPUTED_VALUE"""),"Atwell")</f>
        <v>Atwell</v>
      </c>
      <c r="T102" s="31" t="str">
        <f>IFERROR(__xludf.DUMMYFUNCTION("""COMPUTED_VALUE"""),"Kelmscott")</f>
        <v>Kelmscott</v>
      </c>
      <c r="U102" s="31" t="str">
        <f>IFERROR(__xludf.DUMMYFUNCTION("""COMPUTED_VALUE"""),"Success")</f>
        <v>Success</v>
      </c>
      <c r="V102" s="31" t="str">
        <f>IFERROR(__xludf.DUMMYFUNCTION("""COMPUTED_VALUE"""),"Yangebup")</f>
        <v>Yangebup</v>
      </c>
      <c r="W102" s="31" t="str">
        <f>IFERROR(__xludf.DUMMYFUNCTION("""COMPUTED_VALUE"""),"Aubin Grove")</f>
        <v>Aubin Grove</v>
      </c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</row>
    <row r="103">
      <c r="A103" s="88">
        <f>IFERROR(__xludf.DUMMYFUNCTION("""COMPUTED_VALUE"""),97.0)</f>
        <v>97</v>
      </c>
      <c r="B103" s="31" t="str">
        <f>IFERROR(__xludf.DUMMYFUNCTION("""COMPUTED_VALUE"""),"WA")</f>
        <v>WA</v>
      </c>
      <c r="C103" s="31" t="str">
        <f>IFERROR(__xludf.DUMMYFUNCTION("""COMPUTED_VALUE"""),"Charlie Bellow")</f>
        <v>Charlie Bellow</v>
      </c>
      <c r="D103" s="31" t="str">
        <f>IFERROR(__xludf.DUMMYFUNCTION("""COMPUTED_VALUE"""),"charlieb@theagency.com.au")</f>
        <v>charlieb@theagency.com.au</v>
      </c>
      <c r="E103" s="31" t="str">
        <f>IFERROR(__xludf.DUMMYFUNCTION("""COMPUTED_VALUE"""),"The Agency")</f>
        <v>The Agency</v>
      </c>
      <c r="F103" s="31" t="str">
        <f>IFERROR(__xludf.DUMMYFUNCTION("""COMPUTED_VALUE"""),"Wilson")</f>
        <v>Wilson</v>
      </c>
      <c r="G103" s="31" t="str">
        <f>IFERROR(__xludf.DUMMYFUNCTION("""COMPUTED_VALUE"""),"Gooseberry Hill")</f>
        <v>Gooseberry Hill</v>
      </c>
      <c r="H103" s="31" t="str">
        <f>IFERROR(__xludf.DUMMYFUNCTION("""COMPUTED_VALUE"""),"Cannington")</f>
        <v>Cannington</v>
      </c>
      <c r="I103" s="31" t="str">
        <f>IFERROR(__xludf.DUMMYFUNCTION("""COMPUTED_VALUE"""),"Willetton")</f>
        <v>Willetton</v>
      </c>
      <c r="J103" s="31" t="str">
        <f>IFERROR(__xludf.DUMMYFUNCTION("""COMPUTED_VALUE"""),"Como")</f>
        <v>Como</v>
      </c>
      <c r="K103" s="31" t="str">
        <f>IFERROR(__xludf.DUMMYFUNCTION("""COMPUTED_VALUE"""),"Parkwood")</f>
        <v>Parkwood</v>
      </c>
      <c r="L103" s="31" t="str">
        <f>IFERROR(__xludf.DUMMYFUNCTION("""COMPUTED_VALUE"""),"St James")</f>
        <v>St James</v>
      </c>
      <c r="M103" s="31" t="str">
        <f>IFERROR(__xludf.DUMMYFUNCTION("""COMPUTED_VALUE"""),"Langford")</f>
        <v>Langford</v>
      </c>
      <c r="N103" s="31" t="str">
        <f>IFERROR(__xludf.DUMMYFUNCTION("""COMPUTED_VALUE"""),"Bentley")</f>
        <v>Bentley</v>
      </c>
      <c r="O103" s="31" t="str">
        <f>IFERROR(__xludf.DUMMYFUNCTION("""COMPUTED_VALUE"""),"Beckenham")</f>
        <v>Beckenham</v>
      </c>
      <c r="P103" s="31" t="str">
        <f>IFERROR(__xludf.DUMMYFUNCTION("""COMPUTED_VALUE"""),"Bull Creek")</f>
        <v>Bull Creek</v>
      </c>
      <c r="Q103" s="31" t="str">
        <f>IFERROR(__xludf.DUMMYFUNCTION("""COMPUTED_VALUE"""),"Glen Forrest")</f>
        <v>Glen Forrest</v>
      </c>
      <c r="R103" s="31" t="str">
        <f>IFERROR(__xludf.DUMMYFUNCTION("""COMPUTED_VALUE"""),"Melville")</f>
        <v>Melville</v>
      </c>
      <c r="S103" s="31" t="str">
        <f>IFERROR(__xludf.DUMMYFUNCTION("""COMPUTED_VALUE"""),"East Victoria Park")</f>
        <v>East Victoria Park</v>
      </c>
      <c r="T103" s="31" t="str">
        <f>IFERROR(__xludf.DUMMYFUNCTION("""COMPUTED_VALUE"""),"Lynwood")</f>
        <v>Lynwood</v>
      </c>
      <c r="U103" s="31" t="str">
        <f>IFERROR(__xludf.DUMMYFUNCTION("""COMPUTED_VALUE"""),"Applecross")</f>
        <v>Applecross</v>
      </c>
      <c r="V103" s="31" t="str">
        <f>IFERROR(__xludf.DUMMYFUNCTION("""COMPUTED_VALUE"""),"High Wycombe")</f>
        <v>High Wycombe</v>
      </c>
      <c r="W103" s="31" t="str">
        <f>IFERROR(__xludf.DUMMYFUNCTION("""COMPUTED_VALUE"""),"Carlisle")</f>
        <v>Carlisle</v>
      </c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</row>
    <row r="104">
      <c r="A104" s="88">
        <f>IFERROR(__xludf.DUMMYFUNCTION("""COMPUTED_VALUE"""),98.0)</f>
        <v>98</v>
      </c>
      <c r="B104" s="31" t="str">
        <f>IFERROR(__xludf.DUMMYFUNCTION("""COMPUTED_VALUE"""),"WA")</f>
        <v>WA</v>
      </c>
      <c r="C104" s="31" t="str">
        <f>IFERROR(__xludf.DUMMYFUNCTION("""COMPUTED_VALUE"""),"Chris Carbery")</f>
        <v>Chris Carbery</v>
      </c>
      <c r="D104" s="31" t="str">
        <f>IFERROR(__xludf.DUMMYFUNCTION("""COMPUTED_VALUE"""),"chris@rossrealty.com.au")</f>
        <v>chris@rossrealty.com.au</v>
      </c>
      <c r="E104" s="31" t="str">
        <f>IFERROR(__xludf.DUMMYFUNCTION("""COMPUTED_VALUE"""),"ROSS REALTY - MORLEY")</f>
        <v>ROSS REALTY - MORLEY</v>
      </c>
      <c r="F104" s="31" t="str">
        <f>IFERROR(__xludf.DUMMYFUNCTION("""COMPUTED_VALUE"""),"Beechboro")</f>
        <v>Beechboro</v>
      </c>
      <c r="G104" s="31" t="str">
        <f>IFERROR(__xludf.DUMMYFUNCTION("""COMPUTED_VALUE"""),"Kiara")</f>
        <v>Kiara</v>
      </c>
      <c r="H104" s="31" t="str">
        <f>IFERROR(__xludf.DUMMYFUNCTION("""COMPUTED_VALUE"""),"Caversham")</f>
        <v>Caversham</v>
      </c>
      <c r="I104" s="31" t="str">
        <f>IFERROR(__xludf.DUMMYFUNCTION("""COMPUTED_VALUE"""),"Midland")</f>
        <v>Midland</v>
      </c>
      <c r="J104" s="31" t="str">
        <f>IFERROR(__xludf.DUMMYFUNCTION("""COMPUTED_VALUE"""),"Brabham")</f>
        <v>Brabham</v>
      </c>
      <c r="K104" s="31" t="str">
        <f>IFERROR(__xludf.DUMMYFUNCTION("""COMPUTED_VALUE"""),"Henley Brook")</f>
        <v>Henley Brook</v>
      </c>
      <c r="L104" s="31" t="str">
        <f>IFERROR(__xludf.DUMMYFUNCTION("""COMPUTED_VALUE"""),"South Guildford")</f>
        <v>South Guildford</v>
      </c>
      <c r="M104" s="31" t="str">
        <f>IFERROR(__xludf.DUMMYFUNCTION("""COMPUTED_VALUE"""),"Hazelmere")</f>
        <v>Hazelmere</v>
      </c>
      <c r="N104" s="31" t="str">
        <f>IFERROR(__xludf.DUMMYFUNCTION("""COMPUTED_VALUE"""),"Dayton")</f>
        <v>Dayton</v>
      </c>
      <c r="O104" s="31" t="str">
        <f>IFERROR(__xludf.DUMMYFUNCTION("""COMPUTED_VALUE"""),"Lockridge")</f>
        <v>Lockridge</v>
      </c>
      <c r="P104" s="31" t="str">
        <f>IFERROR(__xludf.DUMMYFUNCTION("""COMPUTED_VALUE"""),"Stratton")</f>
        <v>Stratton</v>
      </c>
      <c r="Q104" s="31" t="str">
        <f>IFERROR(__xludf.DUMMYFUNCTION("""COMPUTED_VALUE"""),"Swan View")</f>
        <v>Swan View</v>
      </c>
      <c r="R104" s="31" t="str">
        <f>IFERROR(__xludf.DUMMYFUNCTION("""COMPUTED_VALUE"""),"Bennett Springs")</f>
        <v>Bennett Springs</v>
      </c>
      <c r="S104" s="31" t="str">
        <f>IFERROR(__xludf.DUMMYFUNCTION("""COMPUTED_VALUE"""),"Ellenbrook")</f>
        <v>Ellenbrook</v>
      </c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</row>
    <row r="105">
      <c r="A105" s="88">
        <f>IFERROR(__xludf.DUMMYFUNCTION("""COMPUTED_VALUE"""),99.0)</f>
        <v>99</v>
      </c>
      <c r="B105" s="31" t="str">
        <f>IFERROR(__xludf.DUMMYFUNCTION("""COMPUTED_VALUE"""),"WA")</f>
        <v>WA</v>
      </c>
      <c r="C105" s="31" t="str">
        <f>IFERROR(__xludf.DUMMYFUNCTION("""COMPUTED_VALUE"""),"Davide Palermo")</f>
        <v>Davide Palermo</v>
      </c>
      <c r="D105" s="31" t="str">
        <f>IFERROR(__xludf.DUMMYFUNCTION("""COMPUTED_VALUE"""),"davidepalermo@theagency.com.au")</f>
        <v>davidepalermo@theagency.com.au</v>
      </c>
      <c r="E105" s="31" t="str">
        <f>IFERROR(__xludf.DUMMYFUNCTION("""COMPUTED_VALUE"""),"The Agency")</f>
        <v>The Agency</v>
      </c>
      <c r="F105" s="31" t="str">
        <f>IFERROR(__xludf.DUMMYFUNCTION("""COMPUTED_VALUE"""),"Southern River")</f>
        <v>Southern River</v>
      </c>
      <c r="G105" s="31" t="str">
        <f>IFERROR(__xludf.DUMMYFUNCTION("""COMPUTED_VALUE"""),"Byford")</f>
        <v>Byford</v>
      </c>
      <c r="H105" s="31" t="str">
        <f>IFERROR(__xludf.DUMMYFUNCTION("""COMPUTED_VALUE"""),"Gosnells")</f>
        <v>Gosnells</v>
      </c>
      <c r="I105" s="31" t="str">
        <f>IFERROR(__xludf.DUMMYFUNCTION("""COMPUTED_VALUE"""),"Huntingdale")</f>
        <v>Huntingdale</v>
      </c>
      <c r="J105" s="31" t="str">
        <f>IFERROR(__xludf.DUMMYFUNCTION("""COMPUTED_VALUE"""),"Canning Vale")</f>
        <v>Canning Vale</v>
      </c>
      <c r="K105" s="31" t="str">
        <f>IFERROR(__xludf.DUMMYFUNCTION("""COMPUTED_VALUE"""),"Thornlie")</f>
        <v>Thornlie</v>
      </c>
      <c r="L105" s="31" t="str">
        <f>IFERROR(__xludf.DUMMYFUNCTION("""COMPUTED_VALUE"""),"Camillo")</f>
        <v>Camillo</v>
      </c>
      <c r="M105" s="31" t="str">
        <f>IFERROR(__xludf.DUMMYFUNCTION("""COMPUTED_VALUE"""),"Martin")</f>
        <v>Martin</v>
      </c>
      <c r="N105" s="31" t="str">
        <f>IFERROR(__xludf.DUMMYFUNCTION("""COMPUTED_VALUE"""),"Banjup")</f>
        <v>Banjup</v>
      </c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</row>
    <row r="106">
      <c r="A106" s="88">
        <f>IFERROR(__xludf.DUMMYFUNCTION("""COMPUTED_VALUE"""),100.0)</f>
        <v>100</v>
      </c>
      <c r="B106" s="31" t="str">
        <f>IFERROR(__xludf.DUMMYFUNCTION("""COMPUTED_VALUE"""),"WA")</f>
        <v>WA</v>
      </c>
      <c r="C106" s="31" t="str">
        <f>IFERROR(__xludf.DUMMYFUNCTION("""COMPUTED_VALUE"""),"Margaret Herbert")</f>
        <v>Margaret Herbert</v>
      </c>
      <c r="D106" s="31" t="str">
        <f>IFERROR(__xludf.DUMMYFUNCTION("""COMPUTED_VALUE"""),"margaretherbert@oneagency.com.au")</f>
        <v>margaretherbert@oneagency.com.au</v>
      </c>
      <c r="E106" s="31" t="str">
        <f>IFERROR(__xludf.DUMMYFUNCTION("""COMPUTED_VALUE"""),"One Agency - North")</f>
        <v>One Agency - North</v>
      </c>
      <c r="F106" s="31" t="str">
        <f>IFERROR(__xludf.DUMMYFUNCTION("""COMPUTED_VALUE"""),"Dwellingup")</f>
        <v>Dwellingup</v>
      </c>
      <c r="G106" s="31" t="str">
        <f>IFERROR(__xludf.DUMMYFUNCTION("""COMPUTED_VALUE"""),"Pinjarra")</f>
        <v>Pinjarra</v>
      </c>
      <c r="H106" s="31" t="str">
        <f>IFERROR(__xludf.DUMMYFUNCTION("""COMPUTED_VALUE"""),"West Pinjarra")</f>
        <v>West Pinjarra</v>
      </c>
      <c r="I106" s="31" t="str">
        <f>IFERROR(__xludf.DUMMYFUNCTION("""COMPUTED_VALUE"""),"South Yunderup")</f>
        <v>South Yunderup</v>
      </c>
      <c r="J106" s="31" t="str">
        <f>IFERROR(__xludf.DUMMYFUNCTION("""COMPUTED_VALUE"""),"Nirimba")</f>
        <v>Nirimba</v>
      </c>
      <c r="K106" s="31" t="str">
        <f>IFERROR(__xludf.DUMMYFUNCTION("""COMPUTED_VALUE"""),"Ravenswood")</f>
        <v>Ravenswood</v>
      </c>
      <c r="L106" s="31" t="str">
        <f>IFERROR(__xludf.DUMMYFUNCTION("""COMPUTED_VALUE"""),"Blythewood")</f>
        <v>Blythewood</v>
      </c>
      <c r="M106" s="31" t="str">
        <f>IFERROR(__xludf.DUMMYFUNCTION("""COMPUTED_VALUE"""),"Oakley")</f>
        <v>Oakley</v>
      </c>
      <c r="N106" s="31" t="str">
        <f>IFERROR(__xludf.DUMMYFUNCTION("""COMPUTED_VALUE"""),"Fairbridge")</f>
        <v>Fairbridge</v>
      </c>
      <c r="O106" s="31" t="str">
        <f>IFERROR(__xludf.DUMMYFUNCTION("""COMPUTED_VALUE"""),"Meelon")</f>
        <v>Meelon</v>
      </c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</row>
    <row r="107">
      <c r="A107" s="88">
        <f>IFERROR(__xludf.DUMMYFUNCTION("""COMPUTED_VALUE"""),101.0)</f>
        <v>101</v>
      </c>
      <c r="B107" s="31" t="str">
        <f>IFERROR(__xludf.DUMMYFUNCTION("""COMPUTED_VALUE"""),"WA")</f>
        <v>WA</v>
      </c>
      <c r="C107" s="31" t="str">
        <f>IFERROR(__xludf.DUMMYFUNCTION("""COMPUTED_VALUE"""),"Mary van Brakel")</f>
        <v>Mary van Brakel</v>
      </c>
      <c r="D107" s="31" t="str">
        <f>IFERROR(__xludf.DUMMYFUNCTION("""COMPUTED_VALUE"""),"mary@fnalbany.com.au")</f>
        <v>mary@fnalbany.com.au</v>
      </c>
      <c r="E107" s="31" t="str">
        <f>IFERROR(__xludf.DUMMYFUNCTION("""COMPUTED_VALUE"""),"First National Bairstow Kerr")</f>
        <v>First National Bairstow Kerr</v>
      </c>
      <c r="F107" s="31" t="str">
        <f>IFERROR(__xludf.DUMMYFUNCTION("""COMPUTED_VALUE"""),"Spencer Park")</f>
        <v>Spencer Park</v>
      </c>
      <c r="G107" s="31" t="str">
        <f>IFERROR(__xludf.DUMMYFUNCTION("""COMPUTED_VALUE"""),"Mira Mar")</f>
        <v>Mira Mar</v>
      </c>
      <c r="H107" s="31" t="str">
        <f>IFERROR(__xludf.DUMMYFUNCTION("""COMPUTED_VALUE"""),"Albany")</f>
        <v>Albany</v>
      </c>
      <c r="I107" s="31" t="str">
        <f>IFERROR(__xludf.DUMMYFUNCTION("""COMPUTED_VALUE"""),"Bayonet Head")</f>
        <v>Bayonet Head</v>
      </c>
      <c r="J107" s="31" t="str">
        <f>IFERROR(__xludf.DUMMYFUNCTION("""COMPUTED_VALUE"""),"Big Grove")</f>
        <v>Big Grove</v>
      </c>
      <c r="K107" s="31" t="str">
        <f>IFERROR(__xludf.DUMMYFUNCTION("""COMPUTED_VALUE"""),"Bornholm")</f>
        <v>Bornholm</v>
      </c>
      <c r="L107" s="31" t="str">
        <f>IFERROR(__xludf.DUMMYFUNCTION("""COMPUTED_VALUE"""),"Centennial Park")</f>
        <v>Centennial Park</v>
      </c>
      <c r="M107" s="31" t="str">
        <f>IFERROR(__xludf.DUMMYFUNCTION("""COMPUTED_VALUE"""),"Collingwood Heights")</f>
        <v>Collingwood Heights</v>
      </c>
      <c r="N107" s="31" t="str">
        <f>IFERROR(__xludf.DUMMYFUNCTION("""COMPUTED_VALUE"""),"Collingwood Park")</f>
        <v>Collingwood Park</v>
      </c>
      <c r="O107" s="31" t="str">
        <f>IFERROR(__xludf.DUMMYFUNCTION("""COMPUTED_VALUE"""),"Cuthbert")</f>
        <v>Cuthbert</v>
      </c>
      <c r="P107" s="31" t="str">
        <f>IFERROR(__xludf.DUMMYFUNCTION("""COMPUTED_VALUE"""),"Drome")</f>
        <v>Drome</v>
      </c>
      <c r="Q107" s="31" t="str">
        <f>IFERROR(__xludf.DUMMYFUNCTION("""COMPUTED_VALUE"""),"Elleker")</f>
        <v>Elleker</v>
      </c>
      <c r="R107" s="31" t="str">
        <f>IFERROR(__xludf.DUMMYFUNCTION("""COMPUTED_VALUE"""),"Emu Point")</f>
        <v>Emu Point</v>
      </c>
      <c r="S107" s="31" t="str">
        <f>IFERROR(__xludf.DUMMYFUNCTION("""COMPUTED_VALUE"""),"Frenchman Bay")</f>
        <v>Frenchman Bay</v>
      </c>
      <c r="T107" s="31" t="str">
        <f>IFERROR(__xludf.DUMMYFUNCTION("""COMPUTED_VALUE"""),"Gledhow")</f>
        <v>Gledhow</v>
      </c>
      <c r="U107" s="31" t="str">
        <f>IFERROR(__xludf.DUMMYFUNCTION("""COMPUTED_VALUE"""),"Goode Beach")</f>
        <v>Goode Beach</v>
      </c>
      <c r="V107" s="31" t="str">
        <f>IFERROR(__xludf.DUMMYFUNCTION("""COMPUTED_VALUE"""),"Green Valley")</f>
        <v>Green Valley</v>
      </c>
      <c r="W107" s="31" t="str">
        <f>IFERROR(__xludf.DUMMYFUNCTION("""COMPUTED_VALUE"""),"Kalgan")</f>
        <v>Kalgan</v>
      </c>
      <c r="X107" s="31" t="str">
        <f>IFERROR(__xludf.DUMMYFUNCTION("""COMPUTED_VALUE"""),"King River")</f>
        <v>King River</v>
      </c>
      <c r="Y107" s="31" t="str">
        <f>IFERROR(__xludf.DUMMYFUNCTION("""COMPUTED_VALUE"""),"Kronkup")</f>
        <v>Kronkup</v>
      </c>
      <c r="Z107" s="31" t="str">
        <f>IFERROR(__xludf.DUMMYFUNCTION("""COMPUTED_VALUE"""),"Lange")</f>
        <v>Lange</v>
      </c>
      <c r="AA107" s="31" t="str">
        <f>IFERROR(__xludf.DUMMYFUNCTION("""COMPUTED_VALUE"""),"Little Grove")</f>
        <v>Little Grove</v>
      </c>
      <c r="AB107" s="31" t="str">
        <f>IFERROR(__xludf.DUMMYFUNCTION("""COMPUTED_VALUE"""),"Lockyer")</f>
        <v>Lockyer</v>
      </c>
      <c r="AC107" s="31" t="str">
        <f>IFERROR(__xludf.DUMMYFUNCTION("""COMPUTED_VALUE"""),"Lower King")</f>
        <v>Lower King</v>
      </c>
      <c r="AD107" s="31" t="str">
        <f>IFERROR(__xludf.DUMMYFUNCTION("""COMPUTED_VALUE"""),"Lowlands")</f>
        <v>Lowlands</v>
      </c>
      <c r="AE107" s="31" t="str">
        <f>IFERROR(__xludf.DUMMYFUNCTION("""COMPUTED_VALUE"""),"Marbelup")</f>
        <v>Marbelup</v>
      </c>
      <c r="AF107" s="31" t="str">
        <f>IFERROR(__xludf.DUMMYFUNCTION("""COMPUTED_VALUE"""),"McKail")</f>
        <v>McKail</v>
      </c>
      <c r="AG107" s="31" t="str">
        <f>IFERROR(__xludf.DUMMYFUNCTION("""COMPUTED_VALUE"""),"Middleton Beach")</f>
        <v>Middleton Beach</v>
      </c>
      <c r="AH107" s="31" t="str">
        <f>IFERROR(__xludf.DUMMYFUNCTION("""COMPUTED_VALUE"""),"Millbrook")</f>
        <v>Millbrook</v>
      </c>
      <c r="AI107" s="31" t="str">
        <f>IFERROR(__xludf.DUMMYFUNCTION("""COMPUTED_VALUE"""),"Milpara")</f>
        <v>Milpara</v>
      </c>
      <c r="AJ107" s="31" t="str">
        <f>IFERROR(__xludf.DUMMYFUNCTION("""COMPUTED_VALUE"""),"Mount Clarence")</f>
        <v>Mount Clarence</v>
      </c>
      <c r="AK107" s="31" t="str">
        <f>IFERROR(__xludf.DUMMYFUNCTION("""COMPUTED_VALUE"""),"Mount Elphinstone")</f>
        <v>Mount Elphinstone</v>
      </c>
      <c r="AL107" s="31" t="str">
        <f>IFERROR(__xludf.DUMMYFUNCTION("""COMPUTED_VALUE"""),"Nanarup")</f>
        <v>Nanarup</v>
      </c>
      <c r="AM107" s="31" t="str">
        <f>IFERROR(__xludf.DUMMYFUNCTION("""COMPUTED_VALUE"""),"Mount Melville")</f>
        <v>Mount Melville</v>
      </c>
      <c r="AN107" s="31" t="str">
        <f>IFERROR(__xludf.DUMMYFUNCTION("""COMPUTED_VALUE"""),"Napier")</f>
        <v>Napier</v>
      </c>
      <c r="AO107" s="31" t="str">
        <f>IFERROR(__xludf.DUMMYFUNCTION("""COMPUTED_VALUE"""),"Nullaki")</f>
        <v>Nullaki</v>
      </c>
      <c r="AP107" s="31" t="str">
        <f>IFERROR(__xludf.DUMMYFUNCTION("""COMPUTED_VALUE"""),"Orana")</f>
        <v>Orana</v>
      </c>
      <c r="AQ107" s="31" t="str">
        <f>IFERROR(__xludf.DUMMYFUNCTION("""COMPUTED_VALUE"""),"Port Albany")</f>
        <v>Port Albany</v>
      </c>
      <c r="AR107" s="31" t="str">
        <f>IFERROR(__xludf.DUMMYFUNCTION("""COMPUTED_VALUE"""),"Robinson")</f>
        <v>Robinson</v>
      </c>
      <c r="AS107" s="31" t="str">
        <f>IFERROR(__xludf.DUMMYFUNCTION("""COMPUTED_VALUE"""),"Youngs Siding")</f>
        <v>Youngs Siding</v>
      </c>
      <c r="AT107" s="31" t="str">
        <f>IFERROR(__xludf.DUMMYFUNCTION("""COMPUTED_VALUE"""),"Sandpatch")</f>
        <v>Sandpatch</v>
      </c>
      <c r="AU107" s="31" t="str">
        <f>IFERROR(__xludf.DUMMYFUNCTION("""COMPUTED_VALUE"""),"Yakamia")</f>
        <v>Yakamia</v>
      </c>
      <c r="AV107" s="31" t="str">
        <f>IFERROR(__xludf.DUMMYFUNCTION("""COMPUTED_VALUE"""),"Seppings")</f>
        <v>Seppings</v>
      </c>
      <c r="AW107" s="31" t="str">
        <f>IFERROR(__xludf.DUMMYFUNCTION("""COMPUTED_VALUE"""),"Torbay")</f>
        <v>Torbay</v>
      </c>
      <c r="AX107" s="31" t="str">
        <f>IFERROR(__xludf.DUMMYFUNCTION("""COMPUTED_VALUE"""),"Willyung")</f>
        <v>Willyung</v>
      </c>
      <c r="AY107" s="31" t="str">
        <f>IFERROR(__xludf.DUMMYFUNCTION("""COMPUTED_VALUE"""),"Torndirrup")</f>
        <v>Torndirrup</v>
      </c>
      <c r="AZ107" s="31" t="str">
        <f>IFERROR(__xludf.DUMMYFUNCTION("""COMPUTED_VALUE"""),"West Cape Howe")</f>
        <v>West Cape Howe</v>
      </c>
      <c r="BA107" s="31" t="str">
        <f>IFERROR(__xludf.DUMMYFUNCTION("""COMPUTED_VALUE"""),"Vancouver Peninsula")</f>
        <v>Vancouver Peninsula</v>
      </c>
      <c r="BB107" s="31" t="str">
        <f>IFERROR(__xludf.DUMMYFUNCTION("""COMPUTED_VALUE"""),"Warrenup")</f>
        <v>Warrenup</v>
      </c>
      <c r="BC107" s="31" t="str">
        <f>IFERROR(__xludf.DUMMYFUNCTION("""COMPUTED_VALUE"""),"Walmsley")</f>
        <v>Walmsley</v>
      </c>
    </row>
    <row r="108">
      <c r="A108" s="88">
        <f>IFERROR(__xludf.DUMMYFUNCTION("""COMPUTED_VALUE"""),102.0)</f>
        <v>102</v>
      </c>
      <c r="B108" s="31" t="str">
        <f>IFERROR(__xludf.DUMMYFUNCTION("""COMPUTED_VALUE"""),"WA")</f>
        <v>WA</v>
      </c>
      <c r="C108" s="31" t="str">
        <f>IFERROR(__xludf.DUMMYFUNCTION("""COMPUTED_VALUE"""),"Nigel Ross")</f>
        <v>Nigel Ross</v>
      </c>
      <c r="D108" s="31" t="str">
        <f>IFERROR(__xludf.DUMMYFUNCTION("""COMPUTED_VALUE"""),"nigelross@rossrealty.com.au")</f>
        <v>nigelross@rossrealty.com.au</v>
      </c>
      <c r="E108" s="31" t="str">
        <f>IFERROR(__xludf.DUMMYFUNCTION("""COMPUTED_VALUE"""),"ROSS REALTY - MORLEY")</f>
        <v>ROSS REALTY - MORLEY</v>
      </c>
      <c r="F108" s="31" t="str">
        <f>IFERROR(__xludf.DUMMYFUNCTION("""COMPUTED_VALUE"""),"Morley")</f>
        <v>Morley</v>
      </c>
      <c r="G108" s="31" t="str">
        <f>IFERROR(__xludf.DUMMYFUNCTION("""COMPUTED_VALUE"""),"Noranda")</f>
        <v>Noranda</v>
      </c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</row>
    <row r="109">
      <c r="A109" s="88">
        <f>IFERROR(__xludf.DUMMYFUNCTION("""COMPUTED_VALUE"""),103.0)</f>
        <v>103</v>
      </c>
      <c r="B109" s="31" t="str">
        <f>IFERROR(__xludf.DUMMYFUNCTION("""COMPUTED_VALUE"""),"WA")</f>
        <v>WA</v>
      </c>
      <c r="C109" s="31" t="str">
        <f>IFERROR(__xludf.DUMMYFUNCTION("""COMPUTED_VALUE"""),"Sam English")</f>
        <v>Sam English</v>
      </c>
      <c r="D109" s="31" t="str">
        <f>IFERROR(__xludf.DUMMYFUNCTION("""COMPUTED_VALUE"""),"same@theagency.com.au")</f>
        <v>same@theagency.com.au</v>
      </c>
      <c r="E109" s="31" t="str">
        <f>IFERROR(__xludf.DUMMYFUNCTION("""COMPUTED_VALUE"""),"The Agency")</f>
        <v>The Agency</v>
      </c>
      <c r="F109" s="31" t="str">
        <f>IFERROR(__xludf.DUMMYFUNCTION("""COMPUTED_VALUE"""),"Maylands")</f>
        <v>Maylands</v>
      </c>
      <c r="G109" s="31" t="str">
        <f>IFERROR(__xludf.DUMMYFUNCTION("""COMPUTED_VALUE"""),"Mount Lawley")</f>
        <v>Mount Lawley</v>
      </c>
      <c r="H109" s="31" t="str">
        <f>IFERROR(__xludf.DUMMYFUNCTION("""COMPUTED_VALUE"""),"Inglewood")</f>
        <v>Inglewood</v>
      </c>
      <c r="I109" s="31" t="str">
        <f>IFERROR(__xludf.DUMMYFUNCTION("""COMPUTED_VALUE"""),"Bayswater")</f>
        <v>Bayswater</v>
      </c>
      <c r="J109" s="31" t="str">
        <f>IFERROR(__xludf.DUMMYFUNCTION("""COMPUTED_VALUE"""),"Bassendean")</f>
        <v>Bassendean</v>
      </c>
      <c r="K109" s="31" t="str">
        <f>IFERROR(__xludf.DUMMYFUNCTION("""COMPUTED_VALUE"""),"Bedford")</f>
        <v>Bedford</v>
      </c>
      <c r="L109" s="31" t="str">
        <f>IFERROR(__xludf.DUMMYFUNCTION("""COMPUTED_VALUE"""),"Eden Hill")</f>
        <v>Eden Hill</v>
      </c>
      <c r="M109" s="31" t="str">
        <f>IFERROR(__xludf.DUMMYFUNCTION("""COMPUTED_VALUE"""),"Coolbinia")</f>
        <v>Coolbinia</v>
      </c>
      <c r="N109" s="31" t="str">
        <f>IFERROR(__xludf.DUMMYFUNCTION("""COMPUTED_VALUE"""),"Guildford")</f>
        <v>Guildford</v>
      </c>
      <c r="O109" s="31" t="str">
        <f>IFERROR(__xludf.DUMMYFUNCTION("""COMPUTED_VALUE"""),"Ashfield")</f>
        <v>Ashfield</v>
      </c>
      <c r="P109" s="31" t="str">
        <f>IFERROR(__xludf.DUMMYFUNCTION("""COMPUTED_VALUE"""),"Embleton")</f>
        <v>Embleton</v>
      </c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</row>
    <row r="110">
      <c r="A110" s="88">
        <f>IFERROR(__xludf.DUMMYFUNCTION("""COMPUTED_VALUE"""),104.0)</f>
        <v>104</v>
      </c>
      <c r="B110" s="31" t="str">
        <f>IFERROR(__xludf.DUMMYFUNCTION("""COMPUTED_VALUE"""),"WA")</f>
        <v>WA</v>
      </c>
      <c r="C110" s="31" t="str">
        <f>IFERROR(__xludf.DUMMYFUNCTION("""COMPUTED_VALUE"""),"Suzana White")</f>
        <v>Suzana White</v>
      </c>
      <c r="D110" s="31" t="str">
        <f>IFERROR(__xludf.DUMMYFUNCTION("""COMPUTED_VALUE"""),"suzana@perthrealty.com.au")</f>
        <v>suzana@perthrealty.com.au</v>
      </c>
      <c r="E110" s="31" t="str">
        <f>IFERROR(__xludf.DUMMYFUNCTION("""COMPUTED_VALUE"""),"Perth Realty Group")</f>
        <v>Perth Realty Group</v>
      </c>
      <c r="F110" s="31" t="str">
        <f>IFERROR(__xludf.DUMMYFUNCTION("""COMPUTED_VALUE"""),"Yanchep")</f>
        <v>Yanchep</v>
      </c>
      <c r="G110" s="31" t="str">
        <f>IFERROR(__xludf.DUMMYFUNCTION("""COMPUTED_VALUE"""),"Two Rocks")</f>
        <v>Two Rocks</v>
      </c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</row>
    <row r="111">
      <c r="A111" s="88">
        <f>IFERROR(__xludf.DUMMYFUNCTION("""COMPUTED_VALUE"""),105.0)</f>
        <v>105</v>
      </c>
      <c r="B111" s="31" t="str">
        <f>IFERROR(__xludf.DUMMYFUNCTION("""COMPUTED_VALUE"""),"WA")</f>
        <v>WA</v>
      </c>
      <c r="C111" s="31" t="str">
        <f>IFERROR(__xludf.DUMMYFUNCTION("""COMPUTED_VALUE"""),"Veronica Cole")</f>
        <v>Veronica Cole</v>
      </c>
      <c r="D111" s="31" t="str">
        <f>IFERROR(__xludf.DUMMYFUNCTION("""COMPUTED_VALUE"""),"veronica.cole1@gmail.com")</f>
        <v>veronica.cole1@gmail.com</v>
      </c>
      <c r="E111" s="31" t="str">
        <f>IFERROR(__xludf.DUMMYFUNCTION("""COMPUTED_VALUE"""),"Cocolane")</f>
        <v>Cocolane</v>
      </c>
      <c r="F111" s="31" t="str">
        <f>IFERROR(__xludf.DUMMYFUNCTION("""COMPUTED_VALUE"""),"Halls Head")</f>
        <v>Halls Head</v>
      </c>
      <c r="G111" s="31" t="str">
        <f>IFERROR(__xludf.DUMMYFUNCTION("""COMPUTED_VALUE"""),"Wannanup")</f>
        <v>Wannanup</v>
      </c>
      <c r="H111" s="31" t="str">
        <f>IFERROR(__xludf.DUMMYFUNCTION("""COMPUTED_VALUE"""),"Falcon")</f>
        <v>Falcon</v>
      </c>
      <c r="I111" s="31" t="str">
        <f>IFERROR(__xludf.DUMMYFUNCTION("""COMPUTED_VALUE"""),"Erskine")</f>
        <v>Erskine</v>
      </c>
      <c r="J111" s="31" t="str">
        <f>IFERROR(__xludf.DUMMYFUNCTION("""COMPUTED_VALUE"""),"Dudley Park")</f>
        <v>Dudley Park</v>
      </c>
      <c r="K111" s="31" t="str">
        <f>IFERROR(__xludf.DUMMYFUNCTION("""COMPUTED_VALUE"""),"Furnissdale")</f>
        <v>Furnissdale</v>
      </c>
      <c r="L111" s="31" t="str">
        <f>IFERROR(__xludf.DUMMYFUNCTION("""COMPUTED_VALUE"""),"Madora Bay")</f>
        <v>Madora Bay</v>
      </c>
      <c r="M111" s="31" t="str">
        <f>IFERROR(__xludf.DUMMYFUNCTION("""COMPUTED_VALUE"""),"Lakelands")</f>
        <v>Lakelands</v>
      </c>
      <c r="N111" s="31" t="str">
        <f>IFERROR(__xludf.DUMMYFUNCTION("""COMPUTED_VALUE"""),"Bouvard")</f>
        <v>Bouvard</v>
      </c>
      <c r="O111" s="31" t="str">
        <f>IFERROR(__xludf.DUMMYFUNCTION("""COMPUTED_VALUE"""),"Golden Bay")</f>
        <v>Golden Bay</v>
      </c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</row>
    <row r="112">
      <c r="A112" s="88"/>
    </row>
    <row r="113">
      <c r="A113" s="88"/>
    </row>
    <row r="114">
      <c r="A114" s="88"/>
    </row>
    <row r="115">
      <c r="A115" s="88"/>
    </row>
    <row r="116">
      <c r="A116" s="88"/>
    </row>
    <row r="117">
      <c r="A117" s="88"/>
    </row>
    <row r="118">
      <c r="A118" s="88"/>
    </row>
    <row r="119">
      <c r="A119" s="88"/>
    </row>
    <row r="120">
      <c r="A120" s="88"/>
    </row>
    <row r="121">
      <c r="A121" s="88"/>
    </row>
    <row r="122">
      <c r="A122" s="88"/>
    </row>
    <row r="123">
      <c r="A123" s="88"/>
    </row>
    <row r="124">
      <c r="A124" s="88"/>
    </row>
    <row r="125">
      <c r="A125" s="88"/>
    </row>
    <row r="126">
      <c r="A126" s="88"/>
    </row>
    <row r="127">
      <c r="A127" s="88"/>
    </row>
    <row r="128">
      <c r="A128" s="88"/>
    </row>
    <row r="129">
      <c r="A129" s="88"/>
    </row>
    <row r="130">
      <c r="A130" s="88"/>
    </row>
    <row r="131">
      <c r="A131" s="88"/>
    </row>
    <row r="132">
      <c r="A132" s="88"/>
    </row>
    <row r="133">
      <c r="A133" s="88"/>
    </row>
    <row r="134">
      <c r="A134" s="88"/>
    </row>
    <row r="135">
      <c r="A135" s="88"/>
    </row>
    <row r="136">
      <c r="A136" s="88"/>
    </row>
    <row r="137">
      <c r="A137" s="88"/>
    </row>
    <row r="138">
      <c r="A138" s="88"/>
    </row>
    <row r="139">
      <c r="A139" s="88"/>
    </row>
    <row r="140">
      <c r="A140" s="88"/>
    </row>
    <row r="141">
      <c r="A141" s="88"/>
    </row>
    <row r="142">
      <c r="A142" s="88"/>
    </row>
    <row r="143">
      <c r="A143" s="88"/>
    </row>
    <row r="144">
      <c r="A144" s="88"/>
    </row>
    <row r="145">
      <c r="A145" s="88"/>
    </row>
    <row r="146">
      <c r="A146" s="88"/>
    </row>
    <row r="147">
      <c r="A147" s="88"/>
    </row>
    <row r="148">
      <c r="A148" s="88"/>
    </row>
    <row r="149">
      <c r="A149" s="88"/>
    </row>
    <row r="150">
      <c r="A150" s="88"/>
    </row>
    <row r="151">
      <c r="A151" s="88"/>
    </row>
    <row r="152">
      <c r="A152" s="88"/>
    </row>
    <row r="153">
      <c r="A153" s="88"/>
    </row>
    <row r="154">
      <c r="A154" s="88"/>
    </row>
    <row r="155">
      <c r="A155" s="88"/>
    </row>
    <row r="156">
      <c r="A156" s="88"/>
    </row>
    <row r="157">
      <c r="A157" s="88"/>
    </row>
    <row r="158">
      <c r="A158" s="88"/>
    </row>
    <row r="159">
      <c r="A159" s="88"/>
    </row>
    <row r="160">
      <c r="A160" s="88"/>
    </row>
    <row r="161">
      <c r="A161" s="88"/>
    </row>
    <row r="162">
      <c r="A162" s="88"/>
    </row>
    <row r="163">
      <c r="A163" s="88"/>
    </row>
    <row r="164">
      <c r="A164" s="88"/>
    </row>
    <row r="165">
      <c r="A165" s="88"/>
    </row>
    <row r="166">
      <c r="A166" s="88"/>
    </row>
    <row r="167">
      <c r="A167" s="88"/>
    </row>
    <row r="168">
      <c r="A168" s="88"/>
    </row>
    <row r="169">
      <c r="A169" s="88"/>
    </row>
    <row r="170">
      <c r="A170" s="88"/>
    </row>
    <row r="171">
      <c r="A171" s="88"/>
    </row>
    <row r="172">
      <c r="A172" s="88"/>
    </row>
    <row r="173">
      <c r="A173" s="88"/>
    </row>
    <row r="174">
      <c r="A174" s="88"/>
    </row>
    <row r="175">
      <c r="A175" s="88"/>
    </row>
    <row r="176">
      <c r="A176" s="88"/>
    </row>
    <row r="177">
      <c r="A177" s="88"/>
    </row>
    <row r="178">
      <c r="A178" s="88"/>
    </row>
    <row r="179">
      <c r="A179" s="88"/>
    </row>
    <row r="180">
      <c r="A180" s="88"/>
    </row>
    <row r="181">
      <c r="A181" s="88"/>
    </row>
    <row r="182">
      <c r="A182" s="88"/>
    </row>
    <row r="183">
      <c r="A183" s="88"/>
    </row>
    <row r="184">
      <c r="A184" s="88"/>
    </row>
    <row r="185">
      <c r="A185" s="88"/>
    </row>
    <row r="186">
      <c r="A186" s="88"/>
    </row>
    <row r="187">
      <c r="A187" s="88"/>
    </row>
    <row r="188">
      <c r="A188" s="88"/>
    </row>
    <row r="189">
      <c r="A189" s="88"/>
    </row>
    <row r="190">
      <c r="A190" s="88"/>
    </row>
    <row r="191">
      <c r="A191" s="88"/>
    </row>
    <row r="192">
      <c r="A192" s="88"/>
    </row>
    <row r="193">
      <c r="A193" s="88"/>
    </row>
    <row r="194">
      <c r="A194" s="88"/>
    </row>
    <row r="195">
      <c r="A195" s="88"/>
    </row>
    <row r="196">
      <c r="A196" s="88"/>
    </row>
    <row r="197">
      <c r="A197" s="88"/>
    </row>
    <row r="198">
      <c r="A198" s="88"/>
    </row>
    <row r="199">
      <c r="A199" s="88"/>
    </row>
    <row r="200">
      <c r="A200" s="88"/>
    </row>
    <row r="201">
      <c r="A201" s="88"/>
    </row>
    <row r="202">
      <c r="A202" s="88"/>
    </row>
    <row r="203">
      <c r="A203" s="88"/>
    </row>
    <row r="204">
      <c r="A204" s="88"/>
    </row>
    <row r="205">
      <c r="A205" s="88"/>
    </row>
    <row r="206">
      <c r="A206" s="88"/>
    </row>
    <row r="207">
      <c r="A207" s="88"/>
    </row>
    <row r="208">
      <c r="A208" s="88"/>
    </row>
    <row r="209">
      <c r="A209" s="88"/>
    </row>
    <row r="210">
      <c r="A210" s="88"/>
    </row>
    <row r="211">
      <c r="A211" s="88"/>
    </row>
    <row r="212">
      <c r="A212" s="88"/>
    </row>
    <row r="213">
      <c r="A213" s="88"/>
    </row>
    <row r="214">
      <c r="A214" s="88"/>
    </row>
    <row r="215">
      <c r="A215" s="88"/>
    </row>
    <row r="216">
      <c r="A216" s="88"/>
    </row>
    <row r="217">
      <c r="A217" s="88"/>
    </row>
    <row r="218">
      <c r="A218" s="88"/>
    </row>
    <row r="219">
      <c r="A219" s="88"/>
    </row>
    <row r="220">
      <c r="A220" s="88"/>
    </row>
    <row r="221">
      <c r="A221" s="88"/>
    </row>
    <row r="222">
      <c r="A222" s="88"/>
    </row>
    <row r="223">
      <c r="A223" s="88"/>
    </row>
    <row r="224">
      <c r="A224" s="88"/>
    </row>
    <row r="225">
      <c r="A225" s="88"/>
    </row>
    <row r="226">
      <c r="A226" s="88"/>
    </row>
    <row r="227">
      <c r="A227" s="88"/>
    </row>
    <row r="228">
      <c r="A228" s="88"/>
    </row>
    <row r="229">
      <c r="A229" s="88"/>
    </row>
    <row r="230">
      <c r="A230" s="88"/>
    </row>
    <row r="231">
      <c r="A231" s="88"/>
    </row>
    <row r="232">
      <c r="A232" s="88"/>
    </row>
    <row r="233">
      <c r="A233" s="88"/>
    </row>
    <row r="234">
      <c r="A234" s="88"/>
    </row>
    <row r="235">
      <c r="A235" s="88"/>
    </row>
    <row r="236">
      <c r="A236" s="88"/>
    </row>
    <row r="237">
      <c r="A237" s="88"/>
    </row>
    <row r="238">
      <c r="A238" s="88"/>
    </row>
    <row r="239">
      <c r="A239" s="88"/>
    </row>
    <row r="240">
      <c r="A240" s="88"/>
    </row>
    <row r="241">
      <c r="A241" s="88"/>
    </row>
    <row r="242">
      <c r="A242" s="88"/>
    </row>
    <row r="243">
      <c r="A243" s="88"/>
    </row>
    <row r="244">
      <c r="A244" s="88"/>
    </row>
    <row r="245">
      <c r="A245" s="88"/>
    </row>
    <row r="246">
      <c r="A246" s="88"/>
    </row>
    <row r="247">
      <c r="A247" s="88"/>
    </row>
    <row r="248">
      <c r="A248" s="88"/>
    </row>
    <row r="249">
      <c r="A249" s="88"/>
    </row>
    <row r="250">
      <c r="A250" s="88"/>
    </row>
    <row r="251">
      <c r="A251" s="88"/>
    </row>
    <row r="252">
      <c r="A252" s="88"/>
    </row>
    <row r="253">
      <c r="A253" s="88"/>
    </row>
    <row r="254">
      <c r="A254" s="88"/>
    </row>
    <row r="255">
      <c r="A255" s="88"/>
    </row>
    <row r="256">
      <c r="A256" s="88"/>
    </row>
    <row r="257">
      <c r="A257" s="88"/>
    </row>
    <row r="258">
      <c r="A258" s="88"/>
    </row>
    <row r="259">
      <c r="A259" s="88"/>
    </row>
    <row r="260">
      <c r="A260" s="88"/>
    </row>
    <row r="261">
      <c r="A261" s="88"/>
    </row>
    <row r="262">
      <c r="A262" s="88"/>
    </row>
    <row r="263">
      <c r="A263" s="88"/>
    </row>
    <row r="264">
      <c r="A264" s="88"/>
    </row>
    <row r="265">
      <c r="A265" s="88"/>
    </row>
    <row r="266">
      <c r="A266" s="88"/>
    </row>
    <row r="267">
      <c r="A267" s="88"/>
    </row>
    <row r="268">
      <c r="A268" s="88"/>
    </row>
    <row r="269">
      <c r="A269" s="88"/>
    </row>
    <row r="270">
      <c r="A270" s="88"/>
    </row>
    <row r="271">
      <c r="A271" s="88"/>
    </row>
    <row r="272">
      <c r="A272" s="88"/>
    </row>
    <row r="273">
      <c r="A273" s="88"/>
    </row>
    <row r="274">
      <c r="A274" s="88"/>
    </row>
    <row r="275">
      <c r="A275" s="88"/>
    </row>
    <row r="276">
      <c r="A276" s="88"/>
    </row>
    <row r="277">
      <c r="A277" s="88"/>
    </row>
    <row r="278">
      <c r="A278" s="88"/>
    </row>
    <row r="279">
      <c r="A279" s="88"/>
    </row>
    <row r="280">
      <c r="A280" s="88"/>
    </row>
    <row r="281">
      <c r="A281" s="88"/>
    </row>
    <row r="282">
      <c r="A282" s="88"/>
    </row>
    <row r="283">
      <c r="A283" s="88"/>
    </row>
    <row r="284">
      <c r="A284" s="88"/>
    </row>
    <row r="285">
      <c r="A285" s="88"/>
    </row>
    <row r="286">
      <c r="A286" s="88"/>
    </row>
    <row r="287">
      <c r="A287" s="88"/>
    </row>
    <row r="288">
      <c r="A288" s="88"/>
    </row>
    <row r="289">
      <c r="A289" s="88"/>
    </row>
    <row r="290">
      <c r="A290" s="88"/>
    </row>
    <row r="291">
      <c r="A291" s="88"/>
    </row>
    <row r="292">
      <c r="A292" s="88"/>
    </row>
    <row r="293">
      <c r="A293" s="88"/>
    </row>
    <row r="294">
      <c r="A294" s="88"/>
    </row>
    <row r="295">
      <c r="A295" s="88"/>
    </row>
    <row r="296">
      <c r="A296" s="88"/>
    </row>
    <row r="297">
      <c r="A297" s="88"/>
    </row>
    <row r="298">
      <c r="A298" s="88"/>
    </row>
    <row r="299">
      <c r="A299" s="88"/>
    </row>
    <row r="300">
      <c r="A300" s="88"/>
    </row>
    <row r="301">
      <c r="A301" s="88"/>
    </row>
    <row r="302">
      <c r="A302" s="88"/>
    </row>
    <row r="303">
      <c r="A303" s="88"/>
    </row>
    <row r="304">
      <c r="A304" s="88"/>
    </row>
    <row r="305">
      <c r="A305" s="88"/>
    </row>
    <row r="306">
      <c r="A306" s="88"/>
    </row>
    <row r="307">
      <c r="A307" s="88"/>
    </row>
    <row r="308">
      <c r="A308" s="88"/>
    </row>
    <row r="309">
      <c r="A309" s="88"/>
    </row>
    <row r="310">
      <c r="A310" s="88"/>
    </row>
    <row r="311">
      <c r="A311" s="88"/>
    </row>
    <row r="312">
      <c r="A312" s="88"/>
    </row>
    <row r="313">
      <c r="A313" s="88"/>
    </row>
    <row r="314">
      <c r="A314" s="88"/>
    </row>
    <row r="315">
      <c r="A315" s="88"/>
    </row>
    <row r="316">
      <c r="A316" s="88"/>
    </row>
    <row r="317">
      <c r="A317" s="88"/>
    </row>
    <row r="318">
      <c r="A318" s="88"/>
    </row>
    <row r="319">
      <c r="A319" s="88"/>
    </row>
    <row r="320">
      <c r="A320" s="88"/>
    </row>
    <row r="321">
      <c r="A321" s="88"/>
    </row>
    <row r="322">
      <c r="A322" s="88"/>
    </row>
    <row r="323">
      <c r="A323" s="88"/>
    </row>
    <row r="324">
      <c r="A324" s="88"/>
    </row>
    <row r="325">
      <c r="A325" s="88"/>
    </row>
    <row r="326">
      <c r="A326" s="88"/>
    </row>
    <row r="327">
      <c r="A327" s="88"/>
    </row>
    <row r="328">
      <c r="A328" s="88"/>
    </row>
    <row r="329">
      <c r="A329" s="88"/>
    </row>
    <row r="330">
      <c r="A330" s="88"/>
    </row>
    <row r="331">
      <c r="A331" s="88"/>
    </row>
    <row r="332">
      <c r="A332" s="88"/>
    </row>
    <row r="333">
      <c r="A333" s="88"/>
    </row>
    <row r="334">
      <c r="A334" s="88"/>
    </row>
    <row r="335">
      <c r="A335" s="88"/>
    </row>
    <row r="336">
      <c r="A336" s="88"/>
    </row>
    <row r="337">
      <c r="A337" s="88"/>
    </row>
    <row r="338">
      <c r="A338" s="88"/>
    </row>
    <row r="339">
      <c r="A339" s="88"/>
    </row>
    <row r="340">
      <c r="A340" s="88"/>
    </row>
    <row r="341">
      <c r="A341" s="88"/>
    </row>
    <row r="342">
      <c r="A342" s="88"/>
    </row>
    <row r="343">
      <c r="A343" s="88"/>
    </row>
    <row r="344">
      <c r="A344" s="88"/>
    </row>
    <row r="345">
      <c r="A345" s="88"/>
    </row>
    <row r="346">
      <c r="A346" s="88"/>
    </row>
    <row r="347">
      <c r="A347" s="88"/>
    </row>
    <row r="348">
      <c r="A348" s="88"/>
    </row>
    <row r="349">
      <c r="A349" s="88"/>
    </row>
    <row r="350">
      <c r="A350" s="88"/>
    </row>
    <row r="351">
      <c r="A351" s="88"/>
    </row>
    <row r="352">
      <c r="A352" s="88"/>
    </row>
    <row r="353">
      <c r="A353" s="88"/>
    </row>
    <row r="354">
      <c r="A354" s="88"/>
    </row>
    <row r="355">
      <c r="A355" s="88"/>
    </row>
    <row r="356">
      <c r="A356" s="88"/>
    </row>
    <row r="357">
      <c r="A357" s="88"/>
    </row>
    <row r="358">
      <c r="A358" s="88"/>
    </row>
    <row r="359">
      <c r="A359" s="88"/>
    </row>
    <row r="360">
      <c r="A360" s="88"/>
    </row>
    <row r="361">
      <c r="A361" s="88"/>
    </row>
    <row r="362">
      <c r="A362" s="88"/>
    </row>
    <row r="363">
      <c r="A363" s="88"/>
    </row>
    <row r="364">
      <c r="A364" s="88"/>
    </row>
    <row r="365">
      <c r="A365" s="88"/>
    </row>
    <row r="366">
      <c r="A366" s="88"/>
    </row>
    <row r="367">
      <c r="A367" s="88"/>
    </row>
    <row r="368">
      <c r="A368" s="88"/>
    </row>
    <row r="369">
      <c r="A369" s="88"/>
    </row>
    <row r="370">
      <c r="A370" s="88"/>
    </row>
    <row r="371">
      <c r="A371" s="88"/>
    </row>
    <row r="372">
      <c r="A372" s="88"/>
    </row>
    <row r="373">
      <c r="A373" s="88"/>
    </row>
    <row r="374">
      <c r="A374" s="88"/>
    </row>
    <row r="375">
      <c r="A375" s="88"/>
    </row>
    <row r="376">
      <c r="A376" s="88"/>
    </row>
    <row r="377">
      <c r="A377" s="88"/>
    </row>
    <row r="378">
      <c r="A378" s="88"/>
    </row>
    <row r="379">
      <c r="A379" s="88"/>
    </row>
    <row r="380">
      <c r="A380" s="88"/>
    </row>
    <row r="381">
      <c r="A381" s="88"/>
    </row>
    <row r="382">
      <c r="A382" s="88"/>
    </row>
    <row r="383">
      <c r="A383" s="88"/>
    </row>
    <row r="384">
      <c r="A384" s="88"/>
    </row>
    <row r="385">
      <c r="A385" s="88"/>
    </row>
    <row r="386">
      <c r="A386" s="88"/>
    </row>
    <row r="387">
      <c r="A387" s="88"/>
    </row>
    <row r="388">
      <c r="A388" s="88"/>
    </row>
    <row r="389">
      <c r="A389" s="88"/>
    </row>
    <row r="390">
      <c r="A390" s="88"/>
    </row>
    <row r="391">
      <c r="A391" s="88"/>
    </row>
    <row r="392">
      <c r="A392" s="88"/>
    </row>
    <row r="393">
      <c r="A393" s="88"/>
    </row>
    <row r="394">
      <c r="A394" s="88"/>
    </row>
    <row r="395">
      <c r="A395" s="88"/>
    </row>
    <row r="396">
      <c r="A396" s="88"/>
    </row>
    <row r="397">
      <c r="A397" s="88"/>
    </row>
    <row r="398">
      <c r="A398" s="88"/>
    </row>
    <row r="399">
      <c r="A399" s="88"/>
    </row>
    <row r="400">
      <c r="A400" s="88"/>
    </row>
    <row r="401">
      <c r="A401" s="88"/>
    </row>
    <row r="402">
      <c r="A402" s="88"/>
    </row>
    <row r="403">
      <c r="A403" s="88"/>
    </row>
    <row r="404">
      <c r="A404" s="88"/>
    </row>
    <row r="405">
      <c r="A405" s="88"/>
    </row>
    <row r="406">
      <c r="A406" s="88"/>
    </row>
    <row r="407">
      <c r="A407" s="88"/>
    </row>
    <row r="408">
      <c r="A408" s="88"/>
    </row>
    <row r="409">
      <c r="A409" s="88"/>
    </row>
    <row r="410">
      <c r="A410" s="88"/>
    </row>
    <row r="411">
      <c r="A411" s="88"/>
    </row>
    <row r="412">
      <c r="A412" s="88"/>
    </row>
    <row r="413">
      <c r="A413" s="88"/>
    </row>
    <row r="414">
      <c r="A414" s="88"/>
    </row>
    <row r="415">
      <c r="A415" s="88"/>
    </row>
    <row r="416">
      <c r="A416" s="88"/>
    </row>
    <row r="417">
      <c r="A417" s="88"/>
    </row>
    <row r="418">
      <c r="A418" s="88"/>
    </row>
    <row r="419">
      <c r="A419" s="88"/>
    </row>
    <row r="420">
      <c r="A420" s="88"/>
    </row>
    <row r="421">
      <c r="A421" s="88"/>
    </row>
    <row r="422">
      <c r="A422" s="88"/>
    </row>
    <row r="423">
      <c r="A423" s="88"/>
    </row>
    <row r="424">
      <c r="A424" s="88"/>
    </row>
    <row r="425">
      <c r="A425" s="88"/>
    </row>
    <row r="426">
      <c r="A426" s="88"/>
    </row>
    <row r="427">
      <c r="A427" s="88"/>
    </row>
    <row r="428">
      <c r="A428" s="88"/>
    </row>
    <row r="429">
      <c r="A429" s="88"/>
    </row>
    <row r="430">
      <c r="A430" s="88"/>
    </row>
    <row r="431">
      <c r="A431" s="88"/>
    </row>
    <row r="432">
      <c r="A432" s="88"/>
    </row>
    <row r="433">
      <c r="A433" s="88"/>
    </row>
    <row r="434">
      <c r="A434" s="88"/>
    </row>
    <row r="435">
      <c r="A435" s="88"/>
    </row>
    <row r="436">
      <c r="A436" s="88"/>
    </row>
    <row r="437">
      <c r="A437" s="88"/>
    </row>
    <row r="438">
      <c r="A438" s="88"/>
    </row>
    <row r="439">
      <c r="A439" s="88"/>
    </row>
    <row r="440">
      <c r="A440" s="88"/>
    </row>
    <row r="441">
      <c r="A441" s="88"/>
    </row>
    <row r="442">
      <c r="A442" s="88"/>
    </row>
    <row r="443">
      <c r="A443" s="88"/>
    </row>
    <row r="444">
      <c r="A444" s="88"/>
    </row>
    <row r="445">
      <c r="A445" s="88"/>
    </row>
    <row r="446">
      <c r="A446" s="88"/>
    </row>
    <row r="447">
      <c r="A447" s="88"/>
    </row>
    <row r="448">
      <c r="A448" s="88"/>
    </row>
    <row r="449">
      <c r="A449" s="88"/>
    </row>
    <row r="450">
      <c r="A450" s="88"/>
    </row>
    <row r="451">
      <c r="A451" s="88"/>
    </row>
    <row r="452">
      <c r="A452" s="88"/>
    </row>
    <row r="453">
      <c r="A453" s="88"/>
    </row>
    <row r="454">
      <c r="A454" s="88"/>
    </row>
    <row r="455">
      <c r="A455" s="88"/>
    </row>
    <row r="456">
      <c r="A456" s="88"/>
    </row>
    <row r="457">
      <c r="A457" s="88"/>
    </row>
    <row r="458">
      <c r="A458" s="88"/>
    </row>
    <row r="459">
      <c r="A459" s="88"/>
    </row>
    <row r="460">
      <c r="A460" s="88"/>
    </row>
    <row r="461">
      <c r="A461" s="88"/>
    </row>
    <row r="462">
      <c r="A462" s="88"/>
    </row>
    <row r="463">
      <c r="A463" s="88"/>
    </row>
    <row r="464">
      <c r="A464" s="88"/>
    </row>
    <row r="465">
      <c r="A465" s="88"/>
    </row>
    <row r="466">
      <c r="A466" s="88"/>
    </row>
    <row r="467">
      <c r="A467" s="88"/>
    </row>
    <row r="468">
      <c r="A468" s="88"/>
    </row>
    <row r="469">
      <c r="A469" s="88"/>
    </row>
    <row r="470">
      <c r="A470" s="88"/>
    </row>
    <row r="471">
      <c r="A471" s="88"/>
    </row>
    <row r="472">
      <c r="A472" s="88"/>
    </row>
    <row r="473">
      <c r="A473" s="88"/>
    </row>
    <row r="474">
      <c r="A474" s="88"/>
    </row>
    <row r="475">
      <c r="A475" s="88"/>
    </row>
    <row r="476">
      <c r="A476" s="88"/>
    </row>
    <row r="477">
      <c r="A477" s="88"/>
    </row>
    <row r="478">
      <c r="A478" s="88"/>
    </row>
    <row r="479">
      <c r="A479" s="88"/>
    </row>
    <row r="480">
      <c r="A480" s="88"/>
    </row>
    <row r="481">
      <c r="A481" s="88"/>
    </row>
    <row r="482">
      <c r="A482" s="88"/>
    </row>
    <row r="483">
      <c r="A483" s="88"/>
    </row>
    <row r="484">
      <c r="A484" s="88"/>
    </row>
    <row r="485">
      <c r="A485" s="88"/>
    </row>
    <row r="486">
      <c r="A486" s="88"/>
    </row>
    <row r="487">
      <c r="A487" s="88"/>
    </row>
    <row r="488">
      <c r="A488" s="88"/>
    </row>
    <row r="489">
      <c r="A489" s="88"/>
    </row>
    <row r="490">
      <c r="A490" s="88"/>
    </row>
    <row r="491">
      <c r="A491" s="88"/>
    </row>
    <row r="492">
      <c r="A492" s="88"/>
    </row>
    <row r="493">
      <c r="A493" s="88"/>
    </row>
    <row r="494">
      <c r="A494" s="88"/>
    </row>
    <row r="495">
      <c r="A495" s="88"/>
    </row>
    <row r="496">
      <c r="A496" s="88"/>
    </row>
    <row r="497">
      <c r="A497" s="88"/>
    </row>
    <row r="498">
      <c r="A498" s="88"/>
    </row>
    <row r="499">
      <c r="A499" s="88"/>
    </row>
    <row r="500">
      <c r="A500" s="88"/>
    </row>
    <row r="501">
      <c r="A501" s="88"/>
    </row>
    <row r="502">
      <c r="A502" s="88"/>
    </row>
    <row r="503">
      <c r="A503" s="88"/>
    </row>
    <row r="504">
      <c r="A504" s="88"/>
    </row>
    <row r="505">
      <c r="A505" s="88"/>
    </row>
    <row r="506">
      <c r="A506" s="88"/>
    </row>
    <row r="507">
      <c r="A507" s="88"/>
    </row>
    <row r="508">
      <c r="A508" s="88"/>
    </row>
    <row r="509">
      <c r="A509" s="88"/>
    </row>
    <row r="510">
      <c r="A510" s="88"/>
    </row>
    <row r="511">
      <c r="A511" s="88"/>
    </row>
    <row r="512">
      <c r="A512" s="88"/>
    </row>
    <row r="513">
      <c r="A513" s="88"/>
    </row>
    <row r="514">
      <c r="A514" s="88"/>
    </row>
    <row r="515">
      <c r="A515" s="88"/>
    </row>
    <row r="516">
      <c r="A516" s="88"/>
    </row>
    <row r="517">
      <c r="A517" s="88"/>
    </row>
    <row r="518">
      <c r="A518" s="88"/>
    </row>
    <row r="519">
      <c r="A519" s="88"/>
    </row>
    <row r="520">
      <c r="A520" s="88"/>
    </row>
    <row r="521">
      <c r="A521" s="88"/>
    </row>
    <row r="522">
      <c r="A522" s="88"/>
    </row>
    <row r="523">
      <c r="A523" s="88"/>
    </row>
    <row r="524">
      <c r="A524" s="88"/>
    </row>
    <row r="525">
      <c r="A525" s="88"/>
    </row>
    <row r="526">
      <c r="A526" s="88"/>
    </row>
    <row r="527">
      <c r="A527" s="88"/>
    </row>
    <row r="528">
      <c r="A528" s="88"/>
    </row>
    <row r="529">
      <c r="A529" s="88"/>
    </row>
    <row r="530">
      <c r="A530" s="88"/>
    </row>
    <row r="531">
      <c r="A531" s="88"/>
    </row>
    <row r="532">
      <c r="A532" s="88"/>
    </row>
    <row r="533">
      <c r="A533" s="88"/>
    </row>
    <row r="534">
      <c r="A534" s="88"/>
    </row>
    <row r="535">
      <c r="A535" s="88"/>
    </row>
    <row r="536">
      <c r="A536" s="88"/>
    </row>
    <row r="537">
      <c r="A537" s="88"/>
    </row>
    <row r="538">
      <c r="A538" s="88"/>
    </row>
    <row r="539">
      <c r="A539" s="88"/>
    </row>
    <row r="540">
      <c r="A540" s="88"/>
    </row>
    <row r="541">
      <c r="A541" s="88"/>
    </row>
    <row r="542">
      <c r="A542" s="88"/>
    </row>
    <row r="543">
      <c r="A543" s="88"/>
    </row>
    <row r="544">
      <c r="A544" s="88"/>
    </row>
    <row r="545">
      <c r="A545" s="88"/>
    </row>
    <row r="546">
      <c r="A546" s="88"/>
    </row>
    <row r="547">
      <c r="A547" s="88"/>
    </row>
    <row r="548">
      <c r="A548" s="88"/>
    </row>
    <row r="549">
      <c r="A549" s="88"/>
    </row>
    <row r="550">
      <c r="A550" s="88"/>
    </row>
    <row r="551">
      <c r="A551" s="88"/>
    </row>
    <row r="552">
      <c r="A552" s="88"/>
    </row>
    <row r="553">
      <c r="A553" s="88"/>
    </row>
    <row r="554">
      <c r="A554" s="88"/>
    </row>
    <row r="555">
      <c r="A555" s="88"/>
    </row>
    <row r="556">
      <c r="A556" s="88"/>
    </row>
    <row r="557">
      <c r="A557" s="88"/>
    </row>
    <row r="558">
      <c r="A558" s="88"/>
    </row>
    <row r="559">
      <c r="A559" s="88"/>
    </row>
    <row r="560">
      <c r="A560" s="88"/>
    </row>
    <row r="561">
      <c r="A561" s="88"/>
    </row>
    <row r="562">
      <c r="A562" s="88"/>
    </row>
    <row r="563">
      <c r="A563" s="88"/>
    </row>
    <row r="564">
      <c r="A564" s="88"/>
    </row>
    <row r="565">
      <c r="A565" s="88"/>
    </row>
    <row r="566">
      <c r="A566" s="88"/>
    </row>
    <row r="567">
      <c r="A567" s="88"/>
    </row>
    <row r="568">
      <c r="A568" s="88"/>
    </row>
    <row r="569">
      <c r="A569" s="88"/>
    </row>
    <row r="570">
      <c r="A570" s="88"/>
    </row>
    <row r="571">
      <c r="A571" s="88"/>
    </row>
    <row r="572">
      <c r="A572" s="88"/>
    </row>
    <row r="573">
      <c r="A573" s="88"/>
    </row>
    <row r="574">
      <c r="A574" s="88"/>
    </row>
    <row r="575">
      <c r="A575" s="88"/>
    </row>
    <row r="576">
      <c r="A576" s="88"/>
    </row>
    <row r="577">
      <c r="A577" s="88"/>
    </row>
    <row r="578">
      <c r="A578" s="88"/>
    </row>
    <row r="579">
      <c r="A579" s="88"/>
    </row>
    <row r="580">
      <c r="A580" s="88"/>
    </row>
    <row r="581">
      <c r="A581" s="88"/>
    </row>
    <row r="582">
      <c r="A582" s="88"/>
    </row>
    <row r="583">
      <c r="A583" s="88"/>
    </row>
    <row r="584">
      <c r="A584" s="88"/>
    </row>
    <row r="585">
      <c r="A585" s="88"/>
    </row>
    <row r="586">
      <c r="A586" s="88"/>
    </row>
    <row r="587">
      <c r="A587" s="88"/>
    </row>
    <row r="588">
      <c r="A588" s="88"/>
    </row>
    <row r="589">
      <c r="A589" s="88"/>
    </row>
    <row r="590">
      <c r="A590" s="88"/>
    </row>
    <row r="591">
      <c r="A591" s="88"/>
    </row>
    <row r="592">
      <c r="A592" s="88"/>
    </row>
    <row r="593">
      <c r="A593" s="88"/>
    </row>
    <row r="594">
      <c r="A594" s="88"/>
    </row>
    <row r="595">
      <c r="A595" s="88"/>
    </row>
    <row r="596">
      <c r="A596" s="88"/>
    </row>
    <row r="597">
      <c r="A597" s="88"/>
    </row>
    <row r="598">
      <c r="A598" s="88"/>
    </row>
    <row r="599">
      <c r="A599" s="88"/>
    </row>
    <row r="600">
      <c r="A600" s="88"/>
    </row>
    <row r="601">
      <c r="A601" s="88"/>
    </row>
    <row r="602">
      <c r="A602" s="88"/>
    </row>
    <row r="603">
      <c r="A603" s="88"/>
    </row>
    <row r="604">
      <c r="A604" s="88"/>
    </row>
    <row r="605">
      <c r="A605" s="88"/>
    </row>
    <row r="606">
      <c r="A606" s="88"/>
    </row>
    <row r="607">
      <c r="A607" s="88"/>
    </row>
    <row r="608">
      <c r="A608" s="88"/>
    </row>
    <row r="609">
      <c r="A609" s="88"/>
    </row>
    <row r="610">
      <c r="A610" s="88"/>
    </row>
    <row r="611">
      <c r="A611" s="88"/>
    </row>
    <row r="612">
      <c r="A612" s="88"/>
    </row>
    <row r="613">
      <c r="A613" s="88"/>
    </row>
    <row r="614">
      <c r="A614" s="88"/>
    </row>
    <row r="615">
      <c r="A615" s="88"/>
    </row>
    <row r="616">
      <c r="A616" s="88"/>
    </row>
    <row r="617">
      <c r="A617" s="88"/>
    </row>
    <row r="618">
      <c r="A618" s="88"/>
    </row>
    <row r="619">
      <c r="A619" s="88"/>
    </row>
    <row r="620">
      <c r="A620" s="88"/>
    </row>
    <row r="621">
      <c r="A621" s="88"/>
    </row>
    <row r="622">
      <c r="A622" s="88"/>
    </row>
    <row r="623">
      <c r="A623" s="88"/>
    </row>
    <row r="624">
      <c r="A624" s="88"/>
    </row>
    <row r="625">
      <c r="A625" s="88"/>
    </row>
    <row r="626">
      <c r="A626" s="88"/>
    </row>
    <row r="627">
      <c r="A627" s="88"/>
    </row>
    <row r="628">
      <c r="A628" s="88"/>
    </row>
    <row r="629">
      <c r="A629" s="88"/>
    </row>
    <row r="630">
      <c r="A630" s="88"/>
    </row>
    <row r="631">
      <c r="A631" s="88"/>
    </row>
    <row r="632">
      <c r="A632" s="88"/>
    </row>
    <row r="633">
      <c r="A633" s="88"/>
    </row>
    <row r="634">
      <c r="A634" s="88"/>
    </row>
    <row r="635">
      <c r="A635" s="88"/>
    </row>
    <row r="636">
      <c r="A636" s="88"/>
    </row>
    <row r="637">
      <c r="A637" s="88"/>
    </row>
    <row r="638">
      <c r="A638" s="88"/>
    </row>
    <row r="639">
      <c r="A639" s="88"/>
    </row>
    <row r="640">
      <c r="A640" s="88"/>
    </row>
    <row r="641">
      <c r="A641" s="88"/>
    </row>
    <row r="642">
      <c r="A642" s="88"/>
    </row>
    <row r="643">
      <c r="A643" s="88"/>
    </row>
    <row r="644">
      <c r="A644" s="88"/>
    </row>
    <row r="645">
      <c r="A645" s="88"/>
    </row>
    <row r="646">
      <c r="A646" s="88"/>
    </row>
    <row r="647">
      <c r="A647" s="88"/>
    </row>
    <row r="648">
      <c r="A648" s="88"/>
    </row>
    <row r="649">
      <c r="A649" s="88"/>
    </row>
    <row r="650">
      <c r="A650" s="88"/>
    </row>
    <row r="651">
      <c r="A651" s="88"/>
    </row>
    <row r="652">
      <c r="A652" s="88"/>
    </row>
    <row r="653">
      <c r="A653" s="88"/>
    </row>
    <row r="654">
      <c r="A654" s="88"/>
    </row>
    <row r="655">
      <c r="A655" s="88"/>
    </row>
    <row r="656">
      <c r="A656" s="88"/>
    </row>
    <row r="657">
      <c r="A657" s="88"/>
    </row>
    <row r="658">
      <c r="A658" s="88"/>
    </row>
    <row r="659">
      <c r="A659" s="88"/>
    </row>
    <row r="660">
      <c r="A660" s="88"/>
    </row>
    <row r="661">
      <c r="A661" s="88"/>
    </row>
    <row r="662">
      <c r="A662" s="88"/>
    </row>
    <row r="663">
      <c r="A663" s="88"/>
    </row>
    <row r="664">
      <c r="A664" s="88"/>
    </row>
    <row r="665">
      <c r="A665" s="88"/>
    </row>
    <row r="666">
      <c r="A666" s="88"/>
    </row>
    <row r="667">
      <c r="A667" s="88"/>
    </row>
    <row r="668">
      <c r="A668" s="88"/>
    </row>
    <row r="669">
      <c r="A669" s="88"/>
    </row>
    <row r="670">
      <c r="A670" s="88"/>
    </row>
    <row r="671">
      <c r="A671" s="88"/>
    </row>
    <row r="672">
      <c r="A672" s="88"/>
    </row>
    <row r="673">
      <c r="A673" s="88"/>
    </row>
    <row r="674">
      <c r="A674" s="88"/>
    </row>
    <row r="675">
      <c r="A675" s="88"/>
    </row>
    <row r="676">
      <c r="A676" s="88"/>
    </row>
    <row r="677">
      <c r="A677" s="88"/>
    </row>
    <row r="678">
      <c r="A678" s="88"/>
    </row>
    <row r="679">
      <c r="A679" s="88"/>
    </row>
    <row r="680">
      <c r="A680" s="88"/>
    </row>
    <row r="681">
      <c r="A681" s="88"/>
    </row>
    <row r="682">
      <c r="A682" s="88"/>
    </row>
    <row r="683">
      <c r="A683" s="88"/>
    </row>
    <row r="684">
      <c r="A684" s="88"/>
    </row>
    <row r="685">
      <c r="A685" s="88"/>
    </row>
    <row r="686">
      <c r="A686" s="88"/>
    </row>
    <row r="687">
      <c r="A687" s="88"/>
    </row>
    <row r="688">
      <c r="A688" s="88"/>
    </row>
    <row r="689">
      <c r="A689" s="88"/>
    </row>
    <row r="690">
      <c r="A690" s="88"/>
    </row>
    <row r="691">
      <c r="A691" s="88"/>
    </row>
    <row r="692">
      <c r="A692" s="88"/>
    </row>
    <row r="693">
      <c r="A693" s="88"/>
    </row>
    <row r="694">
      <c r="A694" s="88"/>
    </row>
    <row r="695">
      <c r="A695" s="88"/>
    </row>
    <row r="696">
      <c r="A696" s="88"/>
    </row>
    <row r="697">
      <c r="A697" s="88"/>
    </row>
    <row r="698">
      <c r="A698" s="88"/>
    </row>
    <row r="699">
      <c r="A699" s="88"/>
    </row>
    <row r="700">
      <c r="A700" s="88"/>
    </row>
    <row r="701">
      <c r="A701" s="88"/>
    </row>
    <row r="702">
      <c r="A702" s="88"/>
    </row>
    <row r="703">
      <c r="A703" s="88"/>
    </row>
    <row r="704">
      <c r="A704" s="88"/>
    </row>
    <row r="705">
      <c r="A705" s="88"/>
    </row>
    <row r="706">
      <c r="A706" s="88"/>
    </row>
    <row r="707">
      <c r="A707" s="88"/>
    </row>
    <row r="708">
      <c r="A708" s="88"/>
    </row>
    <row r="709">
      <c r="A709" s="88"/>
    </row>
    <row r="710">
      <c r="A710" s="88"/>
    </row>
    <row r="711">
      <c r="A711" s="88"/>
    </row>
    <row r="712">
      <c r="A712" s="88"/>
    </row>
    <row r="713">
      <c r="A713" s="88"/>
    </row>
    <row r="714">
      <c r="A714" s="88"/>
    </row>
    <row r="715">
      <c r="A715" s="88"/>
    </row>
    <row r="716">
      <c r="A716" s="88"/>
    </row>
    <row r="717">
      <c r="A717" s="88"/>
    </row>
    <row r="718">
      <c r="A718" s="88"/>
    </row>
    <row r="719">
      <c r="A719" s="88"/>
    </row>
    <row r="720">
      <c r="A720" s="88"/>
    </row>
    <row r="721">
      <c r="A721" s="88"/>
    </row>
    <row r="722">
      <c r="A722" s="88"/>
    </row>
    <row r="723">
      <c r="A723" s="88"/>
    </row>
    <row r="724">
      <c r="A724" s="88"/>
    </row>
    <row r="725">
      <c r="A725" s="88"/>
    </row>
    <row r="726">
      <c r="A726" s="88"/>
    </row>
    <row r="727">
      <c r="A727" s="88"/>
    </row>
    <row r="728">
      <c r="A728" s="88"/>
    </row>
    <row r="729">
      <c r="A729" s="88"/>
    </row>
    <row r="730">
      <c r="A730" s="88"/>
    </row>
    <row r="731">
      <c r="A731" s="88"/>
    </row>
    <row r="732">
      <c r="A732" s="88"/>
    </row>
    <row r="733">
      <c r="A733" s="88"/>
    </row>
    <row r="734">
      <c r="A734" s="88"/>
    </row>
    <row r="735">
      <c r="A735" s="88"/>
    </row>
    <row r="736">
      <c r="A736" s="88"/>
    </row>
    <row r="737">
      <c r="A737" s="88"/>
    </row>
    <row r="738">
      <c r="A738" s="88"/>
    </row>
    <row r="739">
      <c r="A739" s="88"/>
    </row>
    <row r="740">
      <c r="A740" s="88"/>
    </row>
    <row r="741">
      <c r="A741" s="88"/>
    </row>
    <row r="742">
      <c r="A742" s="88"/>
    </row>
    <row r="743">
      <c r="A743" s="88"/>
    </row>
    <row r="744">
      <c r="A744" s="88"/>
    </row>
    <row r="745">
      <c r="A745" s="88"/>
    </row>
    <row r="746">
      <c r="A746" s="88"/>
    </row>
    <row r="747">
      <c r="A747" s="88"/>
    </row>
    <row r="748">
      <c r="A748" s="88"/>
    </row>
    <row r="749">
      <c r="A749" s="88"/>
    </row>
    <row r="750">
      <c r="A750" s="88"/>
    </row>
    <row r="751">
      <c r="A751" s="88"/>
    </row>
    <row r="752">
      <c r="A752" s="88"/>
    </row>
    <row r="753">
      <c r="A753" s="88"/>
    </row>
    <row r="754">
      <c r="A754" s="88"/>
    </row>
    <row r="755">
      <c r="A755" s="88"/>
    </row>
    <row r="756">
      <c r="A756" s="88"/>
    </row>
    <row r="757">
      <c r="A757" s="88"/>
    </row>
    <row r="758">
      <c r="A758" s="88"/>
    </row>
    <row r="759">
      <c r="A759" s="88"/>
    </row>
    <row r="760">
      <c r="A760" s="88"/>
    </row>
    <row r="761">
      <c r="A761" s="88"/>
    </row>
    <row r="762">
      <c r="A762" s="88"/>
    </row>
    <row r="763">
      <c r="A763" s="88"/>
    </row>
    <row r="764">
      <c r="A764" s="88"/>
    </row>
    <row r="765">
      <c r="A765" s="88"/>
    </row>
    <row r="766">
      <c r="A766" s="88"/>
    </row>
    <row r="767">
      <c r="A767" s="88"/>
    </row>
    <row r="768">
      <c r="A768" s="88"/>
    </row>
    <row r="769">
      <c r="A769" s="88"/>
    </row>
    <row r="770">
      <c r="A770" s="88"/>
    </row>
    <row r="771">
      <c r="A771" s="88"/>
    </row>
    <row r="772">
      <c r="A772" s="88"/>
    </row>
    <row r="773">
      <c r="A773" s="88"/>
    </row>
    <row r="774">
      <c r="A774" s="88"/>
    </row>
    <row r="775">
      <c r="A775" s="88"/>
    </row>
    <row r="776">
      <c r="A776" s="88"/>
    </row>
    <row r="777">
      <c r="A777" s="88"/>
    </row>
    <row r="778">
      <c r="A778" s="88"/>
    </row>
    <row r="779">
      <c r="A779" s="88"/>
    </row>
    <row r="780">
      <c r="A780" s="88"/>
    </row>
    <row r="781">
      <c r="A781" s="88"/>
    </row>
    <row r="782">
      <c r="A782" s="88"/>
    </row>
    <row r="783">
      <c r="A783" s="88"/>
    </row>
    <row r="784">
      <c r="A784" s="88"/>
    </row>
    <row r="785">
      <c r="A785" s="88"/>
    </row>
    <row r="786">
      <c r="A786" s="88"/>
    </row>
    <row r="787">
      <c r="A787" s="88"/>
    </row>
    <row r="788">
      <c r="A788" s="88"/>
    </row>
    <row r="789">
      <c r="A789" s="88"/>
    </row>
    <row r="790">
      <c r="A790" s="88"/>
    </row>
    <row r="791">
      <c r="A791" s="88"/>
    </row>
    <row r="792">
      <c r="A792" s="88"/>
    </row>
    <row r="793">
      <c r="A793" s="88"/>
    </row>
    <row r="794">
      <c r="A794" s="88"/>
    </row>
    <row r="795">
      <c r="A795" s="88"/>
    </row>
    <row r="796">
      <c r="A796" s="88"/>
    </row>
    <row r="797">
      <c r="A797" s="88"/>
    </row>
    <row r="798">
      <c r="A798" s="88"/>
    </row>
    <row r="799">
      <c r="A799" s="88"/>
    </row>
    <row r="800">
      <c r="A800" s="88"/>
    </row>
    <row r="801">
      <c r="A801" s="88"/>
    </row>
    <row r="802">
      <c r="A802" s="88"/>
    </row>
    <row r="803">
      <c r="A803" s="88"/>
    </row>
    <row r="804">
      <c r="A804" s="88"/>
    </row>
    <row r="805">
      <c r="A805" s="88"/>
    </row>
    <row r="806">
      <c r="A806" s="88"/>
    </row>
    <row r="807">
      <c r="A807" s="88"/>
    </row>
    <row r="808">
      <c r="A808" s="88"/>
    </row>
    <row r="809">
      <c r="A809" s="88"/>
    </row>
    <row r="810">
      <c r="A810" s="88"/>
    </row>
    <row r="811">
      <c r="A811" s="88"/>
    </row>
    <row r="812">
      <c r="A812" s="88"/>
    </row>
    <row r="813">
      <c r="A813" s="88"/>
    </row>
    <row r="814">
      <c r="A814" s="88"/>
    </row>
    <row r="815">
      <c r="A815" s="88"/>
    </row>
    <row r="816">
      <c r="A816" s="88"/>
    </row>
    <row r="817">
      <c r="A817" s="88"/>
    </row>
    <row r="818">
      <c r="A818" s="88"/>
    </row>
    <row r="819">
      <c r="A819" s="88"/>
    </row>
    <row r="820">
      <c r="A820" s="88"/>
    </row>
    <row r="821">
      <c r="A821" s="88"/>
    </row>
    <row r="822">
      <c r="A822" s="88"/>
    </row>
    <row r="823">
      <c r="A823" s="88"/>
    </row>
    <row r="824">
      <c r="A824" s="88"/>
    </row>
    <row r="825">
      <c r="A825" s="88"/>
    </row>
    <row r="826">
      <c r="A826" s="88"/>
    </row>
    <row r="827">
      <c r="A827" s="88"/>
    </row>
    <row r="828">
      <c r="A828" s="88"/>
    </row>
    <row r="829">
      <c r="A829" s="88"/>
    </row>
    <row r="830">
      <c r="A830" s="88"/>
    </row>
    <row r="831">
      <c r="A831" s="88"/>
    </row>
    <row r="832">
      <c r="A832" s="88"/>
    </row>
    <row r="833">
      <c r="A833" s="88"/>
    </row>
    <row r="834">
      <c r="A834" s="88"/>
    </row>
    <row r="835">
      <c r="A835" s="88"/>
    </row>
    <row r="836">
      <c r="A836" s="88"/>
    </row>
    <row r="837">
      <c r="A837" s="88"/>
    </row>
    <row r="838">
      <c r="A838" s="88"/>
    </row>
    <row r="839">
      <c r="A839" s="88"/>
    </row>
    <row r="840">
      <c r="A840" s="88"/>
    </row>
    <row r="841">
      <c r="A841" s="88"/>
    </row>
    <row r="842">
      <c r="A842" s="88"/>
    </row>
    <row r="843">
      <c r="A843" s="88"/>
    </row>
    <row r="844">
      <c r="A844" s="88"/>
    </row>
    <row r="845">
      <c r="A845" s="88"/>
    </row>
    <row r="846">
      <c r="A846" s="88"/>
    </row>
    <row r="847">
      <c r="A847" s="88"/>
    </row>
    <row r="848">
      <c r="A848" s="88"/>
    </row>
    <row r="849">
      <c r="A849" s="88"/>
    </row>
    <row r="850">
      <c r="A850" s="88"/>
    </row>
    <row r="851">
      <c r="A851" s="88"/>
    </row>
    <row r="852">
      <c r="A852" s="88"/>
    </row>
    <row r="853">
      <c r="A853" s="88"/>
    </row>
    <row r="854">
      <c r="A854" s="88"/>
    </row>
    <row r="855">
      <c r="A855" s="88"/>
    </row>
    <row r="856">
      <c r="A856" s="88"/>
    </row>
    <row r="857">
      <c r="A857" s="88"/>
    </row>
    <row r="858">
      <c r="A858" s="88"/>
    </row>
    <row r="859">
      <c r="A859" s="88"/>
    </row>
    <row r="860">
      <c r="A860" s="88"/>
    </row>
    <row r="861">
      <c r="A861" s="88"/>
    </row>
    <row r="862">
      <c r="A862" s="88"/>
    </row>
    <row r="863">
      <c r="A863" s="88"/>
    </row>
    <row r="864">
      <c r="A864" s="88"/>
    </row>
    <row r="865">
      <c r="A865" s="88"/>
    </row>
    <row r="866">
      <c r="A866" s="88"/>
    </row>
    <row r="867">
      <c r="A867" s="88"/>
    </row>
    <row r="868">
      <c r="A868" s="88"/>
    </row>
    <row r="869">
      <c r="A869" s="88"/>
    </row>
    <row r="870">
      <c r="A870" s="88"/>
    </row>
    <row r="871">
      <c r="A871" s="88"/>
    </row>
    <row r="872">
      <c r="A872" s="88"/>
    </row>
    <row r="873">
      <c r="A873" s="88"/>
    </row>
    <row r="874">
      <c r="A874" s="88"/>
    </row>
    <row r="875">
      <c r="A875" s="88"/>
    </row>
    <row r="876">
      <c r="A876" s="88"/>
    </row>
    <row r="877">
      <c r="A877" s="88"/>
    </row>
    <row r="878">
      <c r="A878" s="88"/>
    </row>
    <row r="879">
      <c r="A879" s="88"/>
    </row>
    <row r="880">
      <c r="A880" s="88"/>
    </row>
    <row r="881">
      <c r="A881" s="88"/>
    </row>
    <row r="882">
      <c r="A882" s="88"/>
    </row>
    <row r="883">
      <c r="A883" s="88"/>
    </row>
    <row r="884">
      <c r="A884" s="88"/>
    </row>
    <row r="885">
      <c r="A885" s="88"/>
    </row>
    <row r="886">
      <c r="A886" s="88"/>
    </row>
    <row r="887">
      <c r="A887" s="88"/>
    </row>
    <row r="888">
      <c r="A888" s="88"/>
    </row>
    <row r="889">
      <c r="A889" s="88"/>
    </row>
    <row r="890">
      <c r="A890" s="88"/>
    </row>
    <row r="891">
      <c r="A891" s="88"/>
    </row>
    <row r="892">
      <c r="A892" s="88"/>
    </row>
    <row r="893">
      <c r="A893" s="88"/>
    </row>
    <row r="894">
      <c r="A894" s="88"/>
    </row>
    <row r="895">
      <c r="A895" s="88"/>
    </row>
    <row r="896">
      <c r="A896" s="88"/>
    </row>
    <row r="897">
      <c r="A897" s="88"/>
    </row>
    <row r="898">
      <c r="A898" s="88"/>
    </row>
    <row r="899">
      <c r="A899" s="88"/>
    </row>
    <row r="900">
      <c r="A900" s="88"/>
    </row>
    <row r="901">
      <c r="A901" s="88"/>
    </row>
    <row r="902">
      <c r="A902" s="88"/>
    </row>
    <row r="903">
      <c r="A903" s="88"/>
    </row>
    <row r="904">
      <c r="A904" s="88"/>
    </row>
    <row r="905">
      <c r="A905" s="88"/>
    </row>
    <row r="906">
      <c r="A906" s="88"/>
    </row>
    <row r="907">
      <c r="A907" s="88"/>
    </row>
    <row r="908">
      <c r="A908" s="88"/>
    </row>
    <row r="909">
      <c r="A909" s="88"/>
    </row>
    <row r="910">
      <c r="A910" s="88"/>
    </row>
    <row r="911">
      <c r="A911" s="88"/>
    </row>
    <row r="912">
      <c r="A912" s="88"/>
    </row>
    <row r="913">
      <c r="A913" s="88"/>
    </row>
    <row r="914">
      <c r="A914" s="88"/>
    </row>
    <row r="915">
      <c r="A915" s="88"/>
    </row>
    <row r="916">
      <c r="A916" s="88"/>
    </row>
    <row r="917">
      <c r="A917" s="88"/>
    </row>
    <row r="918">
      <c r="A918" s="88"/>
    </row>
    <row r="919">
      <c r="A919" s="88"/>
    </row>
    <row r="920">
      <c r="A920" s="88"/>
    </row>
    <row r="921">
      <c r="A921" s="88"/>
    </row>
    <row r="922">
      <c r="A922" s="88"/>
    </row>
    <row r="923">
      <c r="A923" s="88"/>
    </row>
    <row r="924">
      <c r="A924" s="88"/>
    </row>
    <row r="925">
      <c r="A925" s="88"/>
    </row>
    <row r="926">
      <c r="A926" s="88"/>
    </row>
    <row r="927">
      <c r="A927" s="88"/>
    </row>
    <row r="928">
      <c r="A928" s="88"/>
    </row>
    <row r="929">
      <c r="A929" s="88"/>
    </row>
    <row r="930">
      <c r="A930" s="88"/>
    </row>
    <row r="931">
      <c r="A931" s="88"/>
    </row>
    <row r="932">
      <c r="A932" s="88"/>
    </row>
    <row r="933">
      <c r="A933" s="88"/>
    </row>
    <row r="934">
      <c r="A934" s="88"/>
    </row>
    <row r="935">
      <c r="A935" s="88"/>
    </row>
    <row r="936">
      <c r="A936" s="88"/>
    </row>
    <row r="937">
      <c r="A937" s="88"/>
    </row>
    <row r="938">
      <c r="A938" s="88"/>
    </row>
    <row r="939">
      <c r="A939" s="88"/>
    </row>
    <row r="940">
      <c r="A940" s="88"/>
    </row>
    <row r="941">
      <c r="A941" s="88"/>
    </row>
    <row r="942">
      <c r="A942" s="88"/>
    </row>
    <row r="943">
      <c r="A943" s="88"/>
    </row>
    <row r="944">
      <c r="A944" s="88"/>
    </row>
    <row r="945">
      <c r="A945" s="88"/>
    </row>
    <row r="946">
      <c r="A946" s="88"/>
    </row>
    <row r="947">
      <c r="A947" s="88"/>
    </row>
    <row r="948">
      <c r="A948" s="88"/>
    </row>
    <row r="949">
      <c r="A949" s="88"/>
    </row>
    <row r="950">
      <c r="A950" s="88"/>
    </row>
    <row r="951">
      <c r="A951" s="88"/>
    </row>
    <row r="952">
      <c r="A952" s="88"/>
    </row>
    <row r="953">
      <c r="A953" s="88"/>
    </row>
    <row r="954">
      <c r="A954" s="88"/>
    </row>
    <row r="955">
      <c r="A955" s="88"/>
    </row>
    <row r="956">
      <c r="A956" s="88"/>
    </row>
    <row r="957">
      <c r="A957" s="88"/>
    </row>
    <row r="958">
      <c r="A958" s="88"/>
    </row>
    <row r="959">
      <c r="A959" s="88"/>
    </row>
    <row r="960">
      <c r="A960" s="88"/>
    </row>
    <row r="961">
      <c r="A961" s="88"/>
    </row>
    <row r="962">
      <c r="A962" s="88"/>
    </row>
    <row r="963">
      <c r="A963" s="88"/>
    </row>
    <row r="964">
      <c r="A964" s="88"/>
    </row>
    <row r="965">
      <c r="A965" s="88"/>
    </row>
    <row r="966">
      <c r="A966" s="88"/>
    </row>
    <row r="967">
      <c r="A967" s="88"/>
    </row>
    <row r="968">
      <c r="A968" s="88"/>
    </row>
    <row r="969">
      <c r="A969" s="88"/>
    </row>
    <row r="970">
      <c r="A970" s="88"/>
    </row>
    <row r="971">
      <c r="A971" s="88"/>
    </row>
    <row r="972">
      <c r="A972" s="88"/>
    </row>
    <row r="973">
      <c r="A973" s="88"/>
    </row>
    <row r="974">
      <c r="A974" s="88"/>
    </row>
    <row r="975">
      <c r="A975" s="88"/>
    </row>
    <row r="976">
      <c r="A976" s="88"/>
    </row>
    <row r="977">
      <c r="A977" s="88"/>
    </row>
    <row r="978">
      <c r="A978" s="88"/>
    </row>
    <row r="979">
      <c r="A979" s="88"/>
    </row>
    <row r="980">
      <c r="A980" s="88"/>
    </row>
    <row r="981">
      <c r="A981" s="88"/>
    </row>
    <row r="982">
      <c r="A982" s="88"/>
    </row>
    <row r="983">
      <c r="A983" s="88"/>
    </row>
    <row r="984">
      <c r="A984" s="88"/>
    </row>
    <row r="985">
      <c r="A985" s="88"/>
    </row>
    <row r="986">
      <c r="A986" s="88"/>
    </row>
    <row r="987">
      <c r="A987" s="88"/>
    </row>
    <row r="988">
      <c r="A988" s="88"/>
    </row>
    <row r="989">
      <c r="A989" s="88"/>
    </row>
    <row r="990">
      <c r="A990" s="88"/>
    </row>
    <row r="991">
      <c r="A991" s="88"/>
    </row>
    <row r="992">
      <c r="A992" s="88"/>
    </row>
    <row r="993">
      <c r="A993" s="88"/>
    </row>
    <row r="994">
      <c r="A994" s="88"/>
    </row>
    <row r="995">
      <c r="A995" s="88"/>
    </row>
    <row r="996">
      <c r="A996" s="88"/>
    </row>
    <row r="997">
      <c r="A997" s="88"/>
    </row>
    <row r="998">
      <c r="A998" s="88"/>
    </row>
    <row r="999">
      <c r="A999" s="88"/>
    </row>
    <row r="1000">
      <c r="A1000" s="88"/>
    </row>
  </sheetData>
  <conditionalFormatting sqref="E2:BH1000">
    <cfRule type="notContainsBlanks" dxfId="2" priority="1">
      <formula>LEN(TRIM(E2))&gt;0</formula>
    </cfRule>
  </conditionalFormatting>
  <drawing r:id="rId1"/>
</worksheet>
</file>