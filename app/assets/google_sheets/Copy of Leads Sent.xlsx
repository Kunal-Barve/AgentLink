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dvocacy" sheetId="2" r:id="rId5"/>
    <sheet state="visible" name="Leaderboard" sheetId="3" r:id="rId6"/>
    <sheet state="visible" name="Agent Report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3">
      <text>
        <t xml:space="preserve">(I can see he used to live at 26 Ocean Grove, Mount Eliza. Unsure if that's his current address or may have sold that in 2020 and now lives in Frankston)</t>
      </text>
    </comment>
    <comment authorId="0" ref="C363">
      <text>
        <t xml:space="preserve">(Potentially 75 Belclare Street The Gap QLD 4061 - but not confirmed)</t>
      </text>
    </comment>
    <comment authorId="0" ref="C553">
      <text>
        <t xml:space="preserve">(Probably too far for you mate, but thought I'd send anyway)</t>
      </text>
    </comment>
    <comment authorId="0" ref="F2224">
      <text>
        <t xml:space="preserve">Fee waived, lead from openagent before ours (1 day)</t>
      </text>
    </comment>
  </commentList>
</comments>
</file>

<file path=xl/sharedStrings.xml><?xml version="1.0" encoding="utf-8"?>
<sst xmlns="http://schemas.openxmlformats.org/spreadsheetml/2006/main" count="16875" uniqueCount="6417">
  <si>
    <t>Agent Name</t>
  </si>
  <si>
    <t>State</t>
  </si>
  <si>
    <t>Suburb</t>
  </si>
  <si>
    <t>Address</t>
  </si>
  <si>
    <t>Date Provided</t>
  </si>
  <si>
    <t>Subscription</t>
  </si>
  <si>
    <t>Download?</t>
  </si>
  <si>
    <t>Owner Name</t>
  </si>
  <si>
    <t>Owner Phone</t>
  </si>
  <si>
    <t>Owner Email</t>
  </si>
  <si>
    <t>Commission Discount</t>
  </si>
  <si>
    <t>Listed Date</t>
  </si>
  <si>
    <t>Listing Agency</t>
  </si>
  <si>
    <t>Listing Agent</t>
  </si>
  <si>
    <t>Last Sold Date</t>
  </si>
  <si>
    <t>Sold Price</t>
  </si>
  <si>
    <t>Selling Agent</t>
  </si>
  <si>
    <t>Brad Scott</t>
  </si>
  <si>
    <t>QLD</t>
  </si>
  <si>
    <t>Ashmore</t>
  </si>
  <si>
    <t>7 Numeralla Avenue, Ashmore, QLD, 4214, Australia</t>
  </si>
  <si>
    <t>13/04/2025</t>
  </si>
  <si>
    <t>Featured Plus</t>
  </si>
  <si>
    <t>Alex Millar</t>
  </si>
  <si>
    <t>Sippy Downs</t>
  </si>
  <si>
    <t>25 Chancellor Village Boulevard, Sippy Downs, QLD, 4556, Australia</t>
  </si>
  <si>
    <t>16/05/2025</t>
  </si>
  <si>
    <t>Featured</t>
  </si>
  <si>
    <t>Pauline Crain</t>
  </si>
  <si>
    <r>
      <rPr>
        <color rgb="FF1155CC"/>
        <sz val="10.0"/>
        <u/>
      </rPr>
      <t>33justbb@gmail.com</t>
    </r>
  </si>
  <si>
    <t>Kyra Curtis</t>
  </si>
  <si>
    <t>NSW</t>
  </si>
  <si>
    <t>Medowie</t>
  </si>
  <si>
    <t>26 Gum Tree Way, Medowie, NSW, 2318, Australia</t>
  </si>
  <si>
    <t>19/05/2025</t>
  </si>
  <si>
    <t>Ryan Klooger</t>
  </si>
  <si>
    <t>VIC</t>
  </si>
  <si>
    <t>Bentleigh East</t>
  </si>
  <si>
    <t>14 Niki Court, Bentleigh East, VIC, 3165, Australia</t>
  </si>
  <si>
    <t>21/05/2025</t>
  </si>
  <si>
    <t>Penny Timothy</t>
  </si>
  <si>
    <t>Potts Point</t>
  </si>
  <si>
    <t>5 / , Potts Point, NSW, 2011, Australia</t>
  </si>
  <si>
    <t>28/05/2025</t>
  </si>
  <si>
    <t>Ian Knight</t>
  </si>
  <si>
    <t>WA</t>
  </si>
  <si>
    <t>Alkimos</t>
  </si>
  <si>
    <t>1 Parups Lane, Alkimos, WA, 6038, Australia</t>
  </si>
  <si>
    <t>Clarkson</t>
  </si>
  <si>
    <t>94 Antares Street, Clarkson, WA, 6030, Australia</t>
  </si>
  <si>
    <t>Jason Read</t>
  </si>
  <si>
    <t>Coomera</t>
  </si>
  <si>
    <t>14 Katinka Circuit, Coomera, QLD, 4209, Australia</t>
  </si>
  <si>
    <t>Maroochydore</t>
  </si>
  <si>
    <t>1 / 7 Kooringa Court, Maroochydore, QLD, 4558, Australia</t>
  </si>
  <si>
    <t>Brittany May</t>
  </si>
  <si>
    <r>
      <rPr>
        <color rgb="FF1155CC"/>
        <sz val="10.0"/>
        <u/>
      </rPr>
      <t>b.may93@hotmail.com</t>
    </r>
  </si>
  <si>
    <t>Adriaan Coetzee</t>
  </si>
  <si>
    <t>Nambour</t>
  </si>
  <si>
    <t>1 / 209 Windsor Road, Nambour, QLD, 4560, Australia</t>
  </si>
  <si>
    <t>30/05/2025</t>
  </si>
  <si>
    <t>Chris Gilmour</t>
  </si>
  <si>
    <t>Jimboomba</t>
  </si>
  <si>
    <t>4 Boyne Street, Jimboomba, QLD, 4280, Australia</t>
  </si>
  <si>
    <t>34 Myrlea Trail, Alkimos, WA, 6038, Australia</t>
  </si>
  <si>
    <t>31/05/2025</t>
  </si>
  <si>
    <t>36 / 20 Beach Road, Maroochydore, QLD, 4558, Australia</t>
  </si>
  <si>
    <t>Danny Lynch</t>
  </si>
  <si>
    <r>
      <rPr>
        <color rgb="FF1155CC"/>
        <sz val="10.0"/>
        <u/>
      </rPr>
      <t>danieljames.lynch@bigpond.com</t>
    </r>
  </si>
  <si>
    <t>Adam Blackmore</t>
  </si>
  <si>
    <t>Woonona</t>
  </si>
  <si>
    <t>41 Lawrence Street, Woonona, NSW, 2517, Australia</t>
  </si>
  <si>
    <t>Eglinton</t>
  </si>
  <si>
    <t>10 Giallo Way, Eglinton, WA, 6034, Australia</t>
  </si>
  <si>
    <t>Simran Marwaha</t>
  </si>
  <si>
    <t>Armadale</t>
  </si>
  <si>
    <t>7 Locksley Avenue, Armadale, WA, 6112, Australia</t>
  </si>
  <si>
    <t>Dan Tape</t>
  </si>
  <si>
    <t>Brighton</t>
  </si>
  <si>
    <t>7 Stanley Terrace, Brighton, QLD, 4017, Australia</t>
  </si>
  <si>
    <t>69 Lascelles Street, Brighton, QLD, 4017, Australia</t>
  </si>
  <si>
    <t>Jay Singh</t>
  </si>
  <si>
    <t>Piara Waters</t>
  </si>
  <si>
    <t>61 Bellas Circuit, Piara Waters, WA, 6112, Australia</t>
  </si>
  <si>
    <t>George Karasalidis</t>
  </si>
  <si>
    <t>Earlwood</t>
  </si>
  <si>
    <t>11 Riverview Road, Earlwood, NSW, 2206, Australia</t>
  </si>
  <si>
    <t>16/06/2025</t>
  </si>
  <si>
    <t>10 Bower Road, Medowie, NSW, 2318, Australia</t>
  </si>
  <si>
    <t>21/06/2025</t>
  </si>
  <si>
    <t>7 / 9 Sara Street, Ashmore, QLD, 4214, Australia</t>
  </si>
  <si>
    <t>28/06/2025</t>
  </si>
  <si>
    <t>Instant Forms</t>
  </si>
  <si>
    <t>Free</t>
  </si>
  <si>
    <t>52 Buderim Street Battery Hill QLD 4551</t>
  </si>
  <si>
    <t>Rebecca Hawson</t>
  </si>
  <si>
    <r>
      <rPr>
        <color rgb="FF1155CC"/>
        <sz val="10.0"/>
        <u/>
      </rPr>
      <t>Rhawson@me.com</t>
    </r>
  </si>
  <si>
    <t>Paul Rily</t>
  </si>
  <si>
    <t>Daniel Hindmarsh</t>
  </si>
  <si>
    <t>Elanora Heights</t>
  </si>
  <si>
    <t>1 Coolangatta Avenue, Elanora Heights, NSW, 2101, Australia</t>
  </si>
  <si>
    <t>Jasmin Turpin</t>
  </si>
  <si>
    <t>77 Kingarry Circuit Merrimac QLD 4226</t>
  </si>
  <si>
    <t>Plus</t>
  </si>
  <si>
    <t>Wayne Hamlet</t>
  </si>
  <si>
    <t>Dianne Driscole</t>
  </si>
  <si>
    <t>didi11070@hotmail.com</t>
  </si>
  <si>
    <t>Itin Bhardwaj</t>
  </si>
  <si>
    <t>Alex Goodwin</t>
  </si>
  <si>
    <t>SA</t>
  </si>
  <si>
    <t>Sandstone Point</t>
  </si>
  <si>
    <t>3 Praeger Place, Sandstone Point, QLD, 4511, Australia</t>
  </si>
  <si>
    <t>Nathan Briggs</t>
  </si>
  <si>
    <t>Matt Shelton</t>
  </si>
  <si>
    <t>Maclay Longhurst</t>
  </si>
  <si>
    <t>3 Partridge View, Alkimos, WA, 6038, Australia</t>
  </si>
  <si>
    <t>Howie Hill</t>
  </si>
  <si>
    <t>Greg Cooper</t>
  </si>
  <si>
    <t>Robina Haaksma</t>
  </si>
  <si>
    <r>
      <rPr>
        <color rgb="FF1155CC"/>
        <sz val="10.0"/>
        <u/>
      </rPr>
      <t>robinah157@gmail.com</t>
    </r>
  </si>
  <si>
    <t>Trent Waters</t>
  </si>
  <si>
    <t>18/07/2025</t>
  </si>
  <si>
    <t>Christine Walton</t>
  </si>
  <si>
    <r>
      <rPr>
        <color rgb="FF1155CC"/>
        <sz val="10.0"/>
        <u/>
      </rPr>
      <t>Christinewalton87@gmail.com</t>
    </r>
  </si>
  <si>
    <t>19/07/2025</t>
  </si>
  <si>
    <t>Matthew Turner</t>
  </si>
  <si>
    <t>Kishor Tiwari</t>
  </si>
  <si>
    <t>Surfers Paradise</t>
  </si>
  <si>
    <t>911/19 Hanlan Street</t>
  </si>
  <si>
    <t>Commission Comparison</t>
  </si>
  <si>
    <t>Torrens Park</t>
  </si>
  <si>
    <t>2/4 Alton Avenue</t>
  </si>
  <si>
    <t>Carina</t>
  </si>
  <si>
    <t>3/94 Pembroke Street</t>
  </si>
  <si>
    <t>Bobbi Trajkovski</t>
  </si>
  <si>
    <t>Blakehurst</t>
  </si>
  <si>
    <t>8 Dwyer Avenue</t>
  </si>
  <si>
    <t>Glen Foster</t>
  </si>
  <si>
    <t>9 Norseman Court</t>
  </si>
  <si>
    <t>Mount Gravatt</t>
  </si>
  <si>
    <t>54 Bentham Street</t>
  </si>
  <si>
    <t>Moggill</t>
  </si>
  <si>
    <t>96 Outlook Place</t>
  </si>
  <si>
    <t>Bobs Farm</t>
  </si>
  <si>
    <t>644 Marsh Road</t>
  </si>
  <si>
    <t>Buri Son</t>
  </si>
  <si>
    <t>Craigmore</t>
  </si>
  <si>
    <t>31 Gunnawarra Crescent</t>
  </si>
  <si>
    <t>Butler</t>
  </si>
  <si>
    <t>19 Killcarry Avenue</t>
  </si>
  <si>
    <t>Saqib Khanzawar</t>
  </si>
  <si>
    <t>Narre Warren</t>
  </si>
  <si>
    <t>38 Blackwood Drive</t>
  </si>
  <si>
    <t>Hampstead Gardens</t>
  </si>
  <si>
    <t>25 Ways Road</t>
  </si>
  <si>
    <t>Nathan Simon</t>
  </si>
  <si>
    <t>Maudsland</t>
  </si>
  <si>
    <t>2 Maloney Crescent</t>
  </si>
  <si>
    <t>Michelle Galletti</t>
  </si>
  <si>
    <t>Seaforth</t>
  </si>
  <si>
    <t>6 Panorama Parade</t>
  </si>
  <si>
    <t>Andrew Sands</t>
  </si>
  <si>
    <t>Currimundi</t>
  </si>
  <si>
    <t>3 Callistemon Place</t>
  </si>
  <si>
    <t>Chermside</t>
  </si>
  <si>
    <t>703 / 59 Latham Street</t>
  </si>
  <si>
    <t>Biggera Waters</t>
  </si>
  <si>
    <t>3 / 8 Oleander Avenue</t>
  </si>
  <si>
    <t>Veronica Cole</t>
  </si>
  <si>
    <t>Mandurah</t>
  </si>
  <si>
    <t>21 Mandurah Terrace</t>
  </si>
  <si>
    <t>Annerley</t>
  </si>
  <si>
    <t>9 Cavan Street, Annerley, QLD, 4103, Australia</t>
  </si>
  <si>
    <t>South Brisbane</t>
  </si>
  <si>
    <t>1109 / 15 Manning Street, South Brisbane, QLD, 4101, Australia</t>
  </si>
  <si>
    <t>Robina</t>
  </si>
  <si>
    <t>4 Corvus Way</t>
  </si>
  <si>
    <t>Newtown QLD</t>
  </si>
  <si>
    <t>burleigh heads</t>
  </si>
  <si>
    <t>Runaway bay 4216</t>
  </si>
  <si>
    <t>71/88-98 Limetree Parade</t>
  </si>
  <si>
    <t>Ethan Forbes</t>
  </si>
  <si>
    <t>Baringa</t>
  </si>
  <si>
    <t>33 Marybell Drive, Baringa, QLD, 4551, Australia</t>
  </si>
  <si>
    <t>Sean Mawberino</t>
  </si>
  <si>
    <t>Mount Louisa</t>
  </si>
  <si>
    <t>2 Franklin Drive, Mount Louisa, QLD, 4814, Australia</t>
  </si>
  <si>
    <t>23/07/2025</t>
  </si>
  <si>
    <t>Halls Head</t>
  </si>
  <si>
    <t>4 Nile Close, Halls Head, WA, 6210, Australia</t>
  </si>
  <si>
    <t>186 Hawksbill Drive, Alkimos, WA, 6038, Australia</t>
  </si>
  <si>
    <t>25/07/2025</t>
  </si>
  <si>
    <t>dee why</t>
  </si>
  <si>
    <t>Newtown</t>
  </si>
  <si>
    <t>Shortland</t>
  </si>
  <si>
    <t>Jeroen Waalder</t>
  </si>
  <si>
    <t>27/07/2025</t>
  </si>
  <si>
    <t>Scarborough</t>
  </si>
  <si>
    <t>Andrea Daniel</t>
  </si>
  <si>
    <t>Seaford Rise</t>
  </si>
  <si>
    <t>1 Freycinet Court</t>
  </si>
  <si>
    <t>28/07/2025</t>
  </si>
  <si>
    <t>Tee Sohail</t>
  </si>
  <si>
    <t>1 LAMANDRA LANE SIPPY DOWNS QLD 4556</t>
  </si>
  <si>
    <t>29/07/2025</t>
  </si>
  <si>
    <t>Bruce Nunn</t>
  </si>
  <si>
    <r>
      <rPr>
        <color rgb="FF1155CC"/>
        <sz val="10.0"/>
        <u/>
      </rPr>
      <t>bnun3212@bigpond.net.au</t>
    </r>
  </si>
  <si>
    <t>22 Birubi Street Currimundi QLD 4551 (Wasn't included originally, has been sourced from publicly available data points later)</t>
  </si>
  <si>
    <t>Margie Alexander (Details appeared fake, corrected details here: Jilly Cooper)</t>
  </si>
  <si>
    <r>
      <rPr>
        <color rgb="FF1155CC"/>
        <sz val="10.0"/>
        <u/>
      </rPr>
      <t>tworunaways06@yahoo.com.au</t>
    </r>
  </si>
  <si>
    <t>Cooper Judge</t>
  </si>
  <si>
    <t>Mat Suckling</t>
  </si>
  <si>
    <t>Alphington</t>
  </si>
  <si>
    <t>Coolangatta</t>
  </si>
  <si>
    <t>43 Stapylton Street, Coolangatta, Qld 4225</t>
  </si>
  <si>
    <t>30/07/2025</t>
  </si>
  <si>
    <t>Dudley Park</t>
  </si>
  <si>
    <t>10 Hokitika Drive, Dudley Park, WA, 6210, Australia</t>
  </si>
  <si>
    <t>31/07/2025</t>
  </si>
  <si>
    <t>Allambie Heights</t>
  </si>
  <si>
    <t>Chris Wilson</t>
  </si>
  <si>
    <t>ACT</t>
  </si>
  <si>
    <t>Hughes</t>
  </si>
  <si>
    <t>22 Kitchener Street, Hughes, ACT, 2605, Australia</t>
  </si>
  <si>
    <t>Rostrevor</t>
  </si>
  <si>
    <t>AJ Pramod Moga</t>
  </si>
  <si>
    <t>Burpengary East</t>
  </si>
  <si>
    <t>SAM THOMPSON</t>
  </si>
  <si>
    <t>Wurtulla</t>
  </si>
  <si>
    <t>23 Spinnaker Boulevard Wurtulla QLD 4575</t>
  </si>
  <si>
    <t>South Penrith</t>
  </si>
  <si>
    <t>Fortitude Valley</t>
  </si>
  <si>
    <t>Ashleah Lucey</t>
  </si>
  <si>
    <t>Redbank Plains</t>
  </si>
  <si>
    <t>Travis Barff</t>
  </si>
  <si>
    <t>Forest Glen</t>
  </si>
  <si>
    <t>Sasa Peci</t>
  </si>
  <si>
    <t>Nathan Deegenaars</t>
  </si>
  <si>
    <t>Upper Coomera</t>
  </si>
  <si>
    <t>Jordan Springs</t>
  </si>
  <si>
    <t>57 Northridge Road, Jordan Springs, NSW, 2747, Australia</t>
  </si>
  <si>
    <t>Complete Lead</t>
  </si>
  <si>
    <t xml:space="preserve">Andre Sherman </t>
  </si>
  <si>
    <t>buderim</t>
  </si>
  <si>
    <t>Ben Young</t>
  </si>
  <si>
    <t>Arundel</t>
  </si>
  <si>
    <t>Kyle Reid</t>
  </si>
  <si>
    <t>Carrum Downs</t>
  </si>
  <si>
    <t>Buddina</t>
  </si>
  <si>
    <t>Enfield</t>
  </si>
  <si>
    <t>Bree Prince</t>
  </si>
  <si>
    <t>Hackett</t>
  </si>
  <si>
    <t>6 Stott Street Hackett</t>
  </si>
  <si>
    <t>Buderim</t>
  </si>
  <si>
    <t>5 Clayworthy Court</t>
  </si>
  <si>
    <t>Suzy Bateup</t>
  </si>
  <si>
    <r>
      <rPr>
        <color rgb="FF1155CC"/>
        <sz val="10.0"/>
        <u/>
      </rPr>
      <t>sbateupinvestments@gmail.com</t>
    </r>
  </si>
  <si>
    <t>Rasmussen</t>
  </si>
  <si>
    <t>Andy Nye</t>
  </si>
  <si>
    <t>Beaudesert</t>
  </si>
  <si>
    <t>Elanora Heights NSW</t>
  </si>
  <si>
    <t>Nedlands</t>
  </si>
  <si>
    <t>41 Napier Street Nedlands WA 6009</t>
  </si>
  <si>
    <t>Mermaid Beach</t>
  </si>
  <si>
    <t>88 Oyster Point Esplanade, Scarborough, QLD, 4020, Australia</t>
  </si>
  <si>
    <t>Matt Campbell</t>
  </si>
  <si>
    <t>Ravenswood. 6208</t>
  </si>
  <si>
    <t>Runaway Bay Qld</t>
  </si>
  <si>
    <t>Mountain Creek</t>
  </si>
  <si>
    <t>18 Molakai Drive, Mountain Creek, QLD, 4557, Australia</t>
  </si>
  <si>
    <t>38 Bulimba Road Nedlands WA 6009</t>
  </si>
  <si>
    <t>Suzana White</t>
  </si>
  <si>
    <t>Carramar</t>
  </si>
  <si>
    <t>33 Bushland retreat</t>
  </si>
  <si>
    <t>Jim Baron</t>
  </si>
  <si>
    <t>Curtis island Qld 4680</t>
  </si>
  <si>
    <t>Jack Di Prima</t>
  </si>
  <si>
    <t>Everton Hills</t>
  </si>
  <si>
    <t>Ormeau Hills</t>
  </si>
  <si>
    <t>24 Islandview Terrace Ormeau Hills QLD 4208</t>
  </si>
  <si>
    <t>Mosman Park</t>
  </si>
  <si>
    <t>1B McEwan Crescent Mosman Park WA 6012</t>
  </si>
  <si>
    <t>Hayley Kidson</t>
  </si>
  <si>
    <t>Tallebudgera</t>
  </si>
  <si>
    <t>2 Tyalla Court, Tallebudgera, QLD, 4228, Australia</t>
  </si>
  <si>
    <t>Peter Hess</t>
  </si>
  <si>
    <t>Mickleham</t>
  </si>
  <si>
    <t>Wollongong</t>
  </si>
  <si>
    <t>Ashgrove</t>
  </si>
  <si>
    <t>Berwick</t>
  </si>
  <si>
    <t>9 Glasgow Street Ashgrove QLD 4060</t>
  </si>
  <si>
    <t>Monique Field</t>
  </si>
  <si>
    <t>Oak Flats</t>
  </si>
  <si>
    <t>Little Mountain</t>
  </si>
  <si>
    <t>2 Viola Close Little Mountain QLD 4551</t>
  </si>
  <si>
    <t>Seacliff</t>
  </si>
  <si>
    <t>Indooroopilly</t>
  </si>
  <si>
    <t>Towradgi</t>
  </si>
  <si>
    <t>56 Towradgi Road Towradgi NSW 2518</t>
  </si>
  <si>
    <t>86 Acacia Drive Ashgrove QLD 4060</t>
  </si>
  <si>
    <t>Mount Eliza</t>
  </si>
  <si>
    <t>59 Bellbird Road, Mount Eliza, Victoria, 3930, Australia</t>
  </si>
  <si>
    <t>Glasshouse mt</t>
  </si>
  <si>
    <t>New farm</t>
  </si>
  <si>
    <t>South yunderup</t>
  </si>
  <si>
    <t>Luke Magree</t>
  </si>
  <si>
    <t>Frankston</t>
  </si>
  <si>
    <t>moonee ponds</t>
  </si>
  <si>
    <t>Narre Warren South</t>
  </si>
  <si>
    <t>Broadbeach waters</t>
  </si>
  <si>
    <t>4/13 Hooker Boulevard Broadbeach Waters QLD 4218</t>
  </si>
  <si>
    <t>Albion park</t>
  </si>
  <si>
    <t>Mount Pleasant</t>
  </si>
  <si>
    <t>19A Bateman Road Mount Pleasant WA 6153</t>
  </si>
  <si>
    <t>31/35 Gotha Street Fortitude Valley QLD 4006</t>
  </si>
  <si>
    <t>Alexandra Headland</t>
  </si>
  <si>
    <t>13 Ocean Crest Place Alexandra Headland QLD 4572</t>
  </si>
  <si>
    <t>56 Olearia Street East Everton Hills QLD 4053</t>
  </si>
  <si>
    <t>Tyson Hill</t>
  </si>
  <si>
    <t>Pimpama</t>
  </si>
  <si>
    <t>123 Melville Drive Pimpama QLD 4209</t>
  </si>
  <si>
    <t>Joshua Karam</t>
  </si>
  <si>
    <t>Bernice Leafe</t>
  </si>
  <si>
    <t>4 Moorina Avenue Matraville NSW 2036</t>
  </si>
  <si>
    <t>Adrian Venturi</t>
  </si>
  <si>
    <t>Bilgola Plateau</t>
  </si>
  <si>
    <t>214 Lower Plateau Road Bilgola Plateau NSW 2107</t>
  </si>
  <si>
    <t>Langwarrin</t>
  </si>
  <si>
    <t>12 Quarry Road, Langwarrin, VIC, 3910</t>
  </si>
  <si>
    <t>VICTORIA PARK</t>
  </si>
  <si>
    <t>Unit 4  64 Sunbury Road VICTORIA PARK WA 6100</t>
  </si>
  <si>
    <t>Frankston South</t>
  </si>
  <si>
    <t>32 Kars Street, Frankston South, VIC, 3199, Australia</t>
  </si>
  <si>
    <t>19/08/2025</t>
  </si>
  <si>
    <t>197 Cotlew Street, Ashmore, QLD, 4214, Australia</t>
  </si>
  <si>
    <t>20/08/2025</t>
  </si>
  <si>
    <t>1 / 16 The Grove, Alexandra Headland, QLD, 4572, Australia</t>
  </si>
  <si>
    <t>117 Melville Drive Pimpama QLD 4209</t>
  </si>
  <si>
    <t>Auchenflower</t>
  </si>
  <si>
    <t>31/8 Dunmore Terrace Auchenflower QLD 4066</t>
  </si>
  <si>
    <t>Regents Park/Heritage Park</t>
  </si>
  <si>
    <t>11 Montgomery Court Heritage Park QLD 4118</t>
  </si>
  <si>
    <t>Bulimba</t>
  </si>
  <si>
    <t>186 Brisbane Street Bulimba QLD 4171</t>
  </si>
  <si>
    <t>Beerwah</t>
  </si>
  <si>
    <t>12 Lapwing Circuit Beerwah QLD 4519</t>
  </si>
  <si>
    <t>Gledswood Hills</t>
  </si>
  <si>
    <t>Negotiate Commission</t>
  </si>
  <si>
    <t>Mitch Knezevic</t>
  </si>
  <si>
    <t>mitch.knezevic@gmail.com</t>
  </si>
  <si>
    <t>Ormeau</t>
  </si>
  <si>
    <t>48-50 McIvor Court</t>
  </si>
  <si>
    <t>Bonogin</t>
  </si>
  <si>
    <t>69 Parkmeadows Court Bonogin QLD 4213 (I anticipate Bill enquired as he may own an investment property/unit in 4226 location)</t>
  </si>
  <si>
    <t>Wavell heights/Wooloowin</t>
  </si>
  <si>
    <t>97 McLennan Street Wooloowin QLD 4030</t>
  </si>
  <si>
    <t>West End</t>
  </si>
  <si>
    <t>10/153 Hardgrave Road West End QLD 4101</t>
  </si>
  <si>
    <t>Gordon Park</t>
  </si>
  <si>
    <t>Parkinson</t>
  </si>
  <si>
    <t>19 Fernhill Place Parkinson QLD 4115</t>
  </si>
  <si>
    <t>Glenview</t>
  </si>
  <si>
    <t>247 Connection Road Glenview QLD 4553</t>
  </si>
  <si>
    <t>Chapel hill</t>
  </si>
  <si>
    <t>Woodgate</t>
  </si>
  <si>
    <t>1 Fifth Avenue Woodgate QLD 4660</t>
  </si>
  <si>
    <t>19 Bungama Street Maroochydore QLD 4558</t>
  </si>
  <si>
    <t>Glyn Bateup</t>
  </si>
  <si>
    <r>
      <rPr>
        <color rgb="FF1155CC"/>
        <sz val="10.0"/>
        <u/>
      </rPr>
      <t>podiatrytime@gmail.com</t>
    </r>
  </si>
  <si>
    <t>Yarrabilba</t>
  </si>
  <si>
    <t>197 Cotlew Street Ashmore QLD 4214 &amp; 39 Freda Street Ashmore QLD 4214</t>
  </si>
  <si>
    <t>Paradise Point</t>
  </si>
  <si>
    <t>31 Scoter Avenue Paradise Point QLD 4216</t>
  </si>
  <si>
    <t>Mermaid waters</t>
  </si>
  <si>
    <t>Seventeen Mile Rocks</t>
  </si>
  <si>
    <t>61 Brookeside Crescent Seventeen Mile Rocks QLD 4073</t>
  </si>
  <si>
    <t>Chuwar</t>
  </si>
  <si>
    <t>11/12 Taylor Street Biggera Waters QLD 4216 (Owns this property, but submitted under suburb Chuwar - likely another property there they own)</t>
  </si>
  <si>
    <t>Pelican waters</t>
  </si>
  <si>
    <t>Gold Coast</t>
  </si>
  <si>
    <t>Pimlico</t>
  </si>
  <si>
    <t>Ohalloran Hill</t>
  </si>
  <si>
    <t>1 The Lane O'HALLORAN HILL SA 5158 (Property is currently on the market)</t>
  </si>
  <si>
    <t>Hunchy</t>
  </si>
  <si>
    <t>68 Christensens Road, Hunchy, QLD, 4555, Australia</t>
  </si>
  <si>
    <t>Mons</t>
  </si>
  <si>
    <t>15 Topview Drive Mons QLD 4556</t>
  </si>
  <si>
    <t>Christine O'Reilly</t>
  </si>
  <si>
    <r>
      <rPr>
        <color rgb="FF1155CC"/>
        <sz val="10.0"/>
        <u/>
      </rPr>
      <t>c.o.r@bigpond.net.au</t>
    </r>
  </si>
  <si>
    <t>44 Picnic Creek Drive Coomera QLD 4209</t>
  </si>
  <si>
    <t>201 Allawah Road Chuwar QLD 4306</t>
  </si>
  <si>
    <t>Marcoola</t>
  </si>
  <si>
    <t>4 Boronia Crescent Marcoola QLD 4564</t>
  </si>
  <si>
    <t>Leila Lau</t>
  </si>
  <si>
    <r>
      <rPr>
        <color rgb="FF1155CC"/>
        <sz val="10.0"/>
        <u/>
      </rPr>
      <t>Leila.lau@live.com.au</t>
    </r>
  </si>
  <si>
    <t>16 Pearl Street Scarborough QLD 4020</t>
  </si>
  <si>
    <t>Kelso</t>
  </si>
  <si>
    <t>12 Cameron Court Kelso QLD 4815</t>
  </si>
  <si>
    <t>Southport</t>
  </si>
  <si>
    <t>2/7 Gardiners Place Southport QLD 4215</t>
  </si>
  <si>
    <t>Carrara</t>
  </si>
  <si>
    <t>9 Jancoon Court Carrara QLD 4211</t>
  </si>
  <si>
    <t>Unit 2/154 Canadian Bay Road MOUNT ELIZA VIC 3930</t>
  </si>
  <si>
    <t>Hodgson Vale</t>
  </si>
  <si>
    <t>111-113 Fittons Road, Hodgson Vale, QLD, 4352</t>
  </si>
  <si>
    <t>Flagstone</t>
  </si>
  <si>
    <t>10 Culligan Way Flagstone QLD 4280</t>
  </si>
  <si>
    <t>39 Hasty Street Mount Louisa QLD 4814</t>
  </si>
  <si>
    <t>Calamvale</t>
  </si>
  <si>
    <t>18/78 Ormskirk Street Calamvale QLD 4116</t>
  </si>
  <si>
    <t>Tannum Sands</t>
  </si>
  <si>
    <t>46 Booth Avenue Tannum Sands QLD 4680</t>
  </si>
  <si>
    <t>camira</t>
  </si>
  <si>
    <t>West end</t>
  </si>
  <si>
    <t>Helensvale</t>
  </si>
  <si>
    <t>5 Glenwater Crescent Helensvale QLD 4212</t>
  </si>
  <si>
    <t>Greenslopes</t>
  </si>
  <si>
    <t>32A Merinda Street Greenslopes QLD 4120</t>
  </si>
  <si>
    <t>Denean Hall</t>
  </si>
  <si>
    <t>Albany Creek</t>
  </si>
  <si>
    <t>15 Meranti Crescent Albany Creek QLD 4035</t>
  </si>
  <si>
    <t>Mount Gravatt East</t>
  </si>
  <si>
    <t>26 Hillcroft Street Mount Gravatt East QLD 4122</t>
  </si>
  <si>
    <t>BETHANIA</t>
  </si>
  <si>
    <t>46 Glastonbury Drive BETHANIA QLD 4205</t>
  </si>
  <si>
    <t>Hawthorne</t>
  </si>
  <si>
    <t>184 Barton Road, Hawthorne</t>
  </si>
  <si>
    <t>Dhaval Nainani</t>
  </si>
  <si>
    <t>Shailer Park</t>
  </si>
  <si>
    <t>6 Brigalow Street Shailer Park QLD 4128</t>
  </si>
  <si>
    <t>Kenmore</t>
  </si>
  <si>
    <t>76 Kenmore Road, Kenmore, QLD, 4069, Australia</t>
  </si>
  <si>
    <t>7 Waratah Court Langwarrin VIC 3910</t>
  </si>
  <si>
    <t>Broadford</t>
  </si>
  <si>
    <t>22 First Street BROADFORD VIC 3658</t>
  </si>
  <si>
    <t>Alex Sparrow</t>
  </si>
  <si>
    <t>Sadliers Crossing</t>
  </si>
  <si>
    <t>1 Tallon Street Sadliers Crossing QLD 4305</t>
  </si>
  <si>
    <t>Teneriffe</t>
  </si>
  <si>
    <t>57/54 Vernon Terrace Teneriffe QLD 4005</t>
  </si>
  <si>
    <t>Ashmore QLD</t>
  </si>
  <si>
    <t>17 Rumbalara Avenue Ashmore QLD 4214</t>
  </si>
  <si>
    <t>6 Nunawading Court Robina QLD 4226</t>
  </si>
  <si>
    <t>25 Tullamarine Drive Robina QLD 4226</t>
  </si>
  <si>
    <t>Yanchep</t>
  </si>
  <si>
    <t>25 Flax Road Yanchep WA 6035</t>
  </si>
  <si>
    <t>Bundall</t>
  </si>
  <si>
    <t>29 Campbell Street Bundall QLD 4217</t>
  </si>
  <si>
    <t>Burpengary</t>
  </si>
  <si>
    <t>55 Guara Grove Pimpama QLD 4209</t>
  </si>
  <si>
    <t>9 Sunpointe Street Maroochydore QLD 4558</t>
  </si>
  <si>
    <t>Craig McBride</t>
  </si>
  <si>
    <r>
      <rPr>
        <color rgb="FF1155CC"/>
        <sz val="10.0"/>
        <u/>
      </rPr>
      <t>craig.s.mcbride@gmail.com</t>
    </r>
  </si>
  <si>
    <t>Upper coomera</t>
  </si>
  <si>
    <t>14 Sage Close Mountain Creek QLD 4557</t>
  </si>
  <si>
    <t>Boondall</t>
  </si>
  <si>
    <t>2188 Sandgate Road Boondall QLD 4034</t>
  </si>
  <si>
    <t>27 Huntingdale Crescent Robina QLD 4226</t>
  </si>
  <si>
    <t>10 Carnell Street Pelican Waters QLD 4551</t>
  </si>
  <si>
    <t>Fig tree pocket</t>
  </si>
  <si>
    <t>19 Rivergum Place Fig Tree Pocket QLD 4069</t>
  </si>
  <si>
    <t>Beachmere</t>
  </si>
  <si>
    <t>45 James Road Beachmere QLD 4510</t>
  </si>
  <si>
    <t>134/1 Vue Boulevard Robina QLD 4226</t>
  </si>
  <si>
    <t>Yeronga</t>
  </si>
  <si>
    <t>28 Stevens Street Yeronga QLD 4104</t>
  </si>
  <si>
    <t>Forest Lake</t>
  </si>
  <si>
    <t>6 Lilydale Place Forest Lake QLD 4078</t>
  </si>
  <si>
    <t>Chelmer</t>
  </si>
  <si>
    <t>98 Harte Street Chelmer QLD 4068</t>
  </si>
  <si>
    <t>Jindalee</t>
  </si>
  <si>
    <t>17 Tangara Street Jindalee QLD 4074</t>
  </si>
  <si>
    <t>Greg Parker</t>
  </si>
  <si>
    <t>Advancetown</t>
  </si>
  <si>
    <t>39 Whiptail Place Advancetown QLD 4211</t>
  </si>
  <si>
    <t>Tanawha</t>
  </si>
  <si>
    <t>81-85 Main Creek Road Tanawha QLD 4556</t>
  </si>
  <si>
    <t>Elimbah</t>
  </si>
  <si>
    <t>136 Boden Road, Elimbah, QLD, 4516, Australia</t>
  </si>
  <si>
    <t>Jae Turner</t>
  </si>
  <si>
    <t>Peregian Springs</t>
  </si>
  <si>
    <t>37 The Avenue Peregian Springs QLD 4573</t>
  </si>
  <si>
    <t>Mundingburra</t>
  </si>
  <si>
    <t>3 Tertius Street Mundingburra QLD 4812</t>
  </si>
  <si>
    <t>Bridgeman Downs</t>
  </si>
  <si>
    <t>47/235 Albany Creek Road Bridgeman Downs QLD 4035</t>
  </si>
  <si>
    <t>10 Sugar Road North Maroochydore QLD 4558</t>
  </si>
  <si>
    <t>Maureen Tullio</t>
  </si>
  <si>
    <r>
      <rPr>
        <color rgb="FF1155CC"/>
        <sz val="10.0"/>
        <u/>
      </rPr>
      <t>maustullio@hotmail.com</t>
    </r>
  </si>
  <si>
    <t>Boyne Island</t>
  </si>
  <si>
    <t>14 Bluewater Drive Boyne Island QLD 4680</t>
  </si>
  <si>
    <t>Warana</t>
  </si>
  <si>
    <t>5 Ilaroo Crescent Warana QLD 4575</t>
  </si>
  <si>
    <t>Mcdowall</t>
  </si>
  <si>
    <t>13 Landis Street McDowall QLD 4053</t>
  </si>
  <si>
    <t>morphett Vale</t>
  </si>
  <si>
    <t>Mudjimba</t>
  </si>
  <si>
    <t>1/7 Suzanne Close Mudjimba QLD 4564</t>
  </si>
  <si>
    <t>Pauline Ryeland</t>
  </si>
  <si>
    <r>
      <rPr>
        <color rgb="FF1155CC"/>
        <sz val="10.0"/>
        <u/>
      </rPr>
      <t>Pr.cool@hotmail.com</t>
    </r>
  </si>
  <si>
    <t>Gleneagle</t>
  </si>
  <si>
    <t>38 Gueudecourt Avenue Earlwood NSW 2206</t>
  </si>
  <si>
    <t>Carina Heights</t>
  </si>
  <si>
    <t>27 Bendena Terrace Carina Heights QLD 4152</t>
  </si>
  <si>
    <t>Landsborough</t>
  </si>
  <si>
    <t>1/19 Buckley Street Landsborough QLD 4550</t>
  </si>
  <si>
    <t>Rosemount</t>
  </si>
  <si>
    <t>29 Lemongrove Place Rosemount QLD 4560</t>
  </si>
  <si>
    <t>Goodna</t>
  </si>
  <si>
    <t>15 Hillier Street Goodna QLD 4300</t>
  </si>
  <si>
    <t>Ben Tribolet</t>
  </si>
  <si>
    <t>906/27 Garrick Street Coolangatta QLD 4225</t>
  </si>
  <si>
    <t>Douglas</t>
  </si>
  <si>
    <t>Cedar Grove</t>
  </si>
  <si>
    <t>180 Cedar Grove Road Cedar Grove QLD 4285</t>
  </si>
  <si>
    <t>Carindale</t>
  </si>
  <si>
    <t>49 Ewer Street, Carindale, QLD, 4152, Australia</t>
  </si>
  <si>
    <t>North Ward</t>
  </si>
  <si>
    <t>337 Stanley Street North Ward QLD 4810</t>
  </si>
  <si>
    <t>Ferny Grove</t>
  </si>
  <si>
    <t>Salt Ash</t>
  </si>
  <si>
    <t>16 Rookes Road Salt Ash NSW 2318</t>
  </si>
  <si>
    <t>Underwood</t>
  </si>
  <si>
    <t>3 Joanne Street Underwood QLD 4119</t>
  </si>
  <si>
    <t>Kirkwood</t>
  </si>
  <si>
    <t>13 Carlsson Place Kirkwood QLD 4680</t>
  </si>
  <si>
    <t>Diamond Valley</t>
  </si>
  <si>
    <t>143 Ratcliffe Road Diamond Valley QLD 4553</t>
  </si>
  <si>
    <t>12/8A Wylde Street Potts Point NSW 2011</t>
  </si>
  <si>
    <t>109/17-21 Duncan Street West End QLD 4101</t>
  </si>
  <si>
    <t>Morningside</t>
  </si>
  <si>
    <t>2/689 Wynnum Road Morningside QLD 4170</t>
  </si>
  <si>
    <t>Dilon Jukic</t>
  </si>
  <si>
    <t>Wavell Heights</t>
  </si>
  <si>
    <t>10 Warril Street Wavell Heights QLD 4012</t>
  </si>
  <si>
    <t>1/15 Jill Street Burpengary QLD 4505</t>
  </si>
  <si>
    <t>17 Lavinia Street Southport QLD 4215</t>
  </si>
  <si>
    <t>21 Callistra Crescent Buderim QLD 4556</t>
  </si>
  <si>
    <t>Redcliffe</t>
  </si>
  <si>
    <t>244/59-67 Marine Parade Redcliffe QLD 4020</t>
  </si>
  <si>
    <t>Arana Hills</t>
  </si>
  <si>
    <t>17/52 Plucks Road Arana Hills QLD 4054</t>
  </si>
  <si>
    <t>Ascot</t>
  </si>
  <si>
    <t>Woodridge</t>
  </si>
  <si>
    <t>6 Shannon Street Woodridge QLD 4114</t>
  </si>
  <si>
    <t>Springfield</t>
  </si>
  <si>
    <t>Sunshine beach</t>
  </si>
  <si>
    <t>11 Adams Street Sunshine Beach QLD 4567</t>
  </si>
  <si>
    <t>Coolum beach</t>
  </si>
  <si>
    <t>3 Sandy Cove Crescent Coolum Beach QLD 4573</t>
  </si>
  <si>
    <t>Noosaville</t>
  </si>
  <si>
    <t>22/13 James Street Noosaville QLD 4566</t>
  </si>
  <si>
    <t>Wulguru</t>
  </si>
  <si>
    <t>7 Newton Street Wulguru QLD 4811</t>
  </si>
  <si>
    <t>22 Tennyson Street Bulimba QLD 4171</t>
  </si>
  <si>
    <t>Andrew Davidson</t>
  </si>
  <si>
    <t>Nerang</t>
  </si>
  <si>
    <t>27 Maroong Crescent Nerang QLD 4211</t>
  </si>
  <si>
    <t>Narrabeen</t>
  </si>
  <si>
    <t>Bracken ridge</t>
  </si>
  <si>
    <t>32 Gawain Road Bracken Ridge QLD 4017</t>
  </si>
  <si>
    <t>Cranbrook</t>
  </si>
  <si>
    <t>4 Brampton Avenue Cranbrook QLD 4814</t>
  </si>
  <si>
    <t>8 Wandella Crescent Cranbrook QLD 4814</t>
  </si>
  <si>
    <t>Palm Beach</t>
  </si>
  <si>
    <t>82 Parnki Parade Palm Beach QLD 4221</t>
  </si>
  <si>
    <t>The Gap</t>
  </si>
  <si>
    <t xml:space="preserve">75 Belclare Street </t>
  </si>
  <si>
    <t>Springfield Lakes</t>
  </si>
  <si>
    <t>4 Inlet Lane Springfield Lakes QLD 4300</t>
  </si>
  <si>
    <t>Benjamin Holzworth</t>
  </si>
  <si>
    <t>Noosa</t>
  </si>
  <si>
    <t>4/321 Vulture Street South Brisbane QLD 4101</t>
  </si>
  <si>
    <t>Charlie Betar</t>
  </si>
  <si>
    <t>Redland Bay</t>
  </si>
  <si>
    <t>24 Fairway Drive Redland Bay QLD 4165</t>
  </si>
  <si>
    <t>Phillip Nicholas</t>
  </si>
  <si>
    <t>Mona Vale</t>
  </si>
  <si>
    <t>22A Elimatta Road Mona Vale NSW 2103</t>
  </si>
  <si>
    <t>Oonoonba</t>
  </si>
  <si>
    <t>24 Keenan Street Oonoonba QLD 4811</t>
  </si>
  <si>
    <t>Clayfield</t>
  </si>
  <si>
    <t>178 Bonney Avenue Clayfield QLD 4011</t>
  </si>
  <si>
    <t>Everton Park</t>
  </si>
  <si>
    <t>West Gladstone</t>
  </si>
  <si>
    <t>8 Sunnyridge Street West Gladstone QLD 4680</t>
  </si>
  <si>
    <t>parkridge</t>
  </si>
  <si>
    <t>221-231 Rosia Road Park Ridge South QLD 4125</t>
  </si>
  <si>
    <t>Castaways Beach</t>
  </si>
  <si>
    <t>26 Wavecrest Drive Castaways Beach QLD 4567</t>
  </si>
  <si>
    <t>bluewater</t>
  </si>
  <si>
    <t>Labrador</t>
  </si>
  <si>
    <t>5/242-244 Marine Parade Labrador QLD 4215</t>
  </si>
  <si>
    <t>yandina creek</t>
  </si>
  <si>
    <t>18 Leichhardt Drive Yandina Creek QLD 4561</t>
  </si>
  <si>
    <t>bilambil heights</t>
  </si>
  <si>
    <t>73 Broadwater Esplanade Bilambil Heights NSW 2486</t>
  </si>
  <si>
    <t>Gladstone</t>
  </si>
  <si>
    <t>55 Sutton Street Barney Point QLD 4680</t>
  </si>
  <si>
    <t>north ipswich</t>
  </si>
  <si>
    <t>56 Edith Drive North Ipswich QLD 4305</t>
  </si>
  <si>
    <t>Wilston</t>
  </si>
  <si>
    <t>17 Munna Street Wilston QLD 4051</t>
  </si>
  <si>
    <t>darra</t>
  </si>
  <si>
    <t>40 Strathaird Street Darra QLD 4076</t>
  </si>
  <si>
    <t>Aspley</t>
  </si>
  <si>
    <t>bunya</t>
  </si>
  <si>
    <t>1 Allen Road Bunya QLD 4055</t>
  </si>
  <si>
    <t>Kirwan</t>
  </si>
  <si>
    <t>30 Golf Links Drive Kirwan QLD 4817</t>
  </si>
  <si>
    <t>Jacobs Well</t>
  </si>
  <si>
    <t>26 Kumgum Street Jacobs Well QLD 4208</t>
  </si>
  <si>
    <t>Milton</t>
  </si>
  <si>
    <t>2017/18 Manning Street Milton QLD 4064</t>
  </si>
  <si>
    <t>62 Usher Avenue Labrador QLD 4215</t>
  </si>
  <si>
    <t>McDowall</t>
  </si>
  <si>
    <t>8 Gleason Street McDowall QLD 4053</t>
  </si>
  <si>
    <t>Yandina</t>
  </si>
  <si>
    <t>28 Skyring Street Yandina QLD 4561</t>
  </si>
  <si>
    <t>Tamborine Mountain</t>
  </si>
  <si>
    <t>262-266 Macdonnell Road Tamborine Mountain QLD 4272</t>
  </si>
  <si>
    <t>8 Courtenay Place Sippy Downs QLD 4556</t>
  </si>
  <si>
    <t>Mark Hoger</t>
  </si>
  <si>
    <r>
      <rPr>
        <color rgb="FF1155CC"/>
        <sz val="10.0"/>
        <u/>
      </rPr>
      <t>whoger@hotmail.com</t>
    </r>
  </si>
  <si>
    <t>Mooloolah Valley</t>
  </si>
  <si>
    <t>351 Connection Road Mooloolah Valley QLD 4553</t>
  </si>
  <si>
    <t>93-97 Michelle Drive Cedar Grove QLD 4285</t>
  </si>
  <si>
    <t>Caboolture</t>
  </si>
  <si>
    <t>3 Candle Crescent Caboolture QLD 4510</t>
  </si>
  <si>
    <t>Hamilton</t>
  </si>
  <si>
    <t>inala</t>
  </si>
  <si>
    <t>Twin Waters</t>
  </si>
  <si>
    <t>3 Grady Street Twin Waters QLD 4564</t>
  </si>
  <si>
    <t>Adrian Langmaid</t>
  </si>
  <si>
    <r>
      <rPr>
        <color rgb="FF1155CC"/>
        <sz val="10.0"/>
        <u/>
      </rPr>
      <t>arlang9@bigpond.com</t>
    </r>
  </si>
  <si>
    <t>east Brisbane</t>
  </si>
  <si>
    <t>110 Mowbray Terrace East Brisbane QLD 4169</t>
  </si>
  <si>
    <t>South Maclean qld</t>
  </si>
  <si>
    <t>45 Greenock Road South Maclean QLD 4280</t>
  </si>
  <si>
    <t>Silkstone</t>
  </si>
  <si>
    <t>17 Loveanius Street Silkstone QLD 4304</t>
  </si>
  <si>
    <t>Bracken Ridge</t>
  </si>
  <si>
    <t>167B Barbour Road Bracken Ridge QLD 4017</t>
  </si>
  <si>
    <t>Brassall</t>
  </si>
  <si>
    <t>2/15 Workshops Street Brassall QLD 4305</t>
  </si>
  <si>
    <t>Lutwyche</t>
  </si>
  <si>
    <t>19 Gunyah Street Lutwyche QLD 4030</t>
  </si>
  <si>
    <t>Alexandra Headlands</t>
  </si>
  <si>
    <t>53 Yakola Parade Alexandra Headland QLD 4572</t>
  </si>
  <si>
    <t>Bushland Beach</t>
  </si>
  <si>
    <t>23 Dugong Court Bushland Beach QLD 4818</t>
  </si>
  <si>
    <t>Windsor</t>
  </si>
  <si>
    <t>29B Salt Street Windsor QLD 4030</t>
  </si>
  <si>
    <t>26 Bates Drive Everton Hills QLD 4053</t>
  </si>
  <si>
    <t>Peachester</t>
  </si>
  <si>
    <t>204 Storrs Road Peachester QLD 4519</t>
  </si>
  <si>
    <t>Wakerley</t>
  </si>
  <si>
    <t>Gold coast</t>
  </si>
  <si>
    <t>Warriewood</t>
  </si>
  <si>
    <t>Holly submitted Warriewood as suburb but appears they live at '45 Walworth Avenue Newport NSW 2106'</t>
  </si>
  <si>
    <t>Godwin Beach</t>
  </si>
  <si>
    <t>mt ommaney</t>
  </si>
  <si>
    <t>18 Mozart Place Mount Ommaney QLD 4074</t>
  </si>
  <si>
    <t>13 Gregory Drive Carrara QLD 4211</t>
  </si>
  <si>
    <t>Zillmere</t>
  </si>
  <si>
    <t>33/18 Spano Street Zillmere QLD 4034 (Appears may be on the market currently)</t>
  </si>
  <si>
    <t>20 Yukana Street Boyne Island QLD 4680</t>
  </si>
  <si>
    <t>Ipswich</t>
  </si>
  <si>
    <t>Benowa</t>
  </si>
  <si>
    <t>James Baker</t>
  </si>
  <si>
    <t>32 Dress Circle Road</t>
  </si>
  <si>
    <t>Marino</t>
  </si>
  <si>
    <t>4 Trumara Road Marino SA 5049</t>
  </si>
  <si>
    <t>Bardon</t>
  </si>
  <si>
    <t>27 Moonya Street Bardon QLD 4065</t>
  </si>
  <si>
    <t>Taigum</t>
  </si>
  <si>
    <t>86/245 Handford Road Taigum QLD 4018</t>
  </si>
  <si>
    <t>Margate qld</t>
  </si>
  <si>
    <t>13 Anning Street Margate QLD 4019</t>
  </si>
  <si>
    <t>Albion</t>
  </si>
  <si>
    <t>Bulli</t>
  </si>
  <si>
    <t>64 Organs Road Bulli NSW 2516</t>
  </si>
  <si>
    <t>315 Victoria Avenue Redcliffe QLD 4020</t>
  </si>
  <si>
    <t>MAROOCHYDORE</t>
  </si>
  <si>
    <t>428/223 BROADWATER AVENUE WEST MAROOCHYDORE QLD 4558</t>
  </si>
  <si>
    <t>Jimina Taylor</t>
  </si>
  <si>
    <r>
      <rPr>
        <color rgb="FF1155CC"/>
        <sz val="10.0"/>
        <u/>
      </rPr>
      <t>jimina7@gmail.com</t>
    </r>
  </si>
  <si>
    <t>428 PARADISE CIRCUIT MAROOCHYDORE QLD 4558</t>
  </si>
  <si>
    <r>
      <rPr>
        <color rgb="FF1155CC"/>
        <sz val="10.0"/>
        <u/>
      </rPr>
      <t>jimina7@gmail.com</t>
    </r>
  </si>
  <si>
    <t>Carseldine</t>
  </si>
  <si>
    <t>19 Coonawarra Drive Carseldine QLD 4034</t>
  </si>
  <si>
    <t>52 Spoonbill Drive Forest Glen QLD 4556</t>
  </si>
  <si>
    <t>Highgate Hill</t>
  </si>
  <si>
    <t>12 Marly Street Highgate Hill QLD 4101</t>
  </si>
  <si>
    <t>Mornington</t>
  </si>
  <si>
    <t>Daisy Hill</t>
  </si>
  <si>
    <t>181-183 Chatswood Road Daisy Hill QLD 4127</t>
  </si>
  <si>
    <t>Mt gravatt</t>
  </si>
  <si>
    <t>49 O'Grady Street Upper Mount Gravatt QLD 4122</t>
  </si>
  <si>
    <t>Forest lake</t>
  </si>
  <si>
    <t>148 Considine Street Ellen Grove QLD 4078</t>
  </si>
  <si>
    <t>Paddington</t>
  </si>
  <si>
    <t>58 Stevenson Street Paddington QLD 4064</t>
  </si>
  <si>
    <t>Maroochy</t>
  </si>
  <si>
    <t>Bev McPhee</t>
  </si>
  <si>
    <r>
      <rPr>
        <color rgb="FF1155CC"/>
        <sz val="10.0"/>
        <u/>
      </rPr>
      <t>bevan_mc@hotmail.com</t>
    </r>
  </si>
  <si>
    <t>Biggera waters</t>
  </si>
  <si>
    <t>11 Okinya Street Biggera Waters QLD 4216</t>
  </si>
  <si>
    <t>7 Lydford Court Carindale QLD 4152</t>
  </si>
  <si>
    <t>4 Inverary Place Parkinson QLD 4115</t>
  </si>
  <si>
    <t>Lake MacDonald</t>
  </si>
  <si>
    <t>25 Whitewood Court Lake Macdonald QLD 4563</t>
  </si>
  <si>
    <t>Cannon Hill</t>
  </si>
  <si>
    <t>1402/1918 Creek Road Cannon Hill QLD 4170</t>
  </si>
  <si>
    <t>Kilmore</t>
  </si>
  <si>
    <t>11/258 Church Road Taigum QLD 4018</t>
  </si>
  <si>
    <t>Karalee</t>
  </si>
  <si>
    <t>Sam Sidiqi</t>
  </si>
  <si>
    <t>Ringwood</t>
  </si>
  <si>
    <t>3 / 24 City Road, Ringwood, Victoria, 3134, Australia</t>
  </si>
  <si>
    <t>Tarragindi</t>
  </si>
  <si>
    <t>22 Pauline Street, Tarragindi, QLD, 4121, Australia</t>
  </si>
  <si>
    <t>Federal</t>
  </si>
  <si>
    <t>18 Gardners Road, Federal, QLD, 4568, Australia</t>
  </si>
  <si>
    <t>Tewantin</t>
  </si>
  <si>
    <t>110 Hilton Terrace, Tewantin, QLD, 4565, Australia</t>
  </si>
  <si>
    <t>33 Ruatoka Court Burpengary QLD 4505</t>
  </si>
  <si>
    <t>Holland Park West</t>
  </si>
  <si>
    <t>8 Brescia Street Holland Park West QLD 4121</t>
  </si>
  <si>
    <t>mount gravatt</t>
  </si>
  <si>
    <t>68 High Street Mount Gravatt QLD 4122</t>
  </si>
  <si>
    <t>Parrearra</t>
  </si>
  <si>
    <t>69/7 Grand Parade Parrearra QLD 4575</t>
  </si>
  <si>
    <t>pacific paradise</t>
  </si>
  <si>
    <t>9 Whitsunday Drive Pacific Paradise QLD 4564</t>
  </si>
  <si>
    <t>Rhonda Dayman</t>
  </si>
  <si>
    <r>
      <rPr>
        <color rgb="FF1155CC"/>
        <sz val="10.0"/>
        <u/>
      </rPr>
      <t>paradiselady56@hotmail.com</t>
    </r>
  </si>
  <si>
    <t>Beerburrum</t>
  </si>
  <si>
    <t>1 Wollemi Street Beerburrum QLD 4517</t>
  </si>
  <si>
    <t>Edgewater</t>
  </si>
  <si>
    <t>7 Lilac Gardens Edgewater WA 6027</t>
  </si>
  <si>
    <t>69 / 7 Grand Parade, Parrearra, QLD, 4575, Australia</t>
  </si>
  <si>
    <t>Brooloo</t>
  </si>
  <si>
    <t>100 Marroo Road, Brooloo, QLD, 4570, Australia</t>
  </si>
  <si>
    <t>Sam Holt</t>
  </si>
  <si>
    <t>atherton</t>
  </si>
  <si>
    <t>25 Putt Street Atherton QLD 4883</t>
  </si>
  <si>
    <t>Virginia</t>
  </si>
  <si>
    <t>6A First Street Virginia QLD 4014</t>
  </si>
  <si>
    <t>Wellington Point</t>
  </si>
  <si>
    <t>90 Allan Day Drive Wellington Point QLD 4160</t>
  </si>
  <si>
    <t>19 Undanbi Place Pelican Waters QLD 4551</t>
  </si>
  <si>
    <t>1/45 Oakwal Terrace Windsor QLD 4030</t>
  </si>
  <si>
    <t>Mudgeeraba</t>
  </si>
  <si>
    <t>6 Highbridge Rise Mudgeeraba QLD 4213</t>
  </si>
  <si>
    <t>Barellan Point</t>
  </si>
  <si>
    <t>8-10 Stuart Street Barellan Point QLD 4306 &amp; 52-60 Mitchell Street Barellan Point QLD 4306</t>
  </si>
  <si>
    <t>9 Broadmere Street Annerley QLD 4103</t>
  </si>
  <si>
    <t>Jacobs well</t>
  </si>
  <si>
    <t>12 Poinciana Place Jacobs Well QLD 4208</t>
  </si>
  <si>
    <t>gladstone</t>
  </si>
  <si>
    <t>18 Yacht Road Tannum Sands QLD 4680</t>
  </si>
  <si>
    <t>5/205 Bonney Avenue Clayfield QLD 4011</t>
  </si>
  <si>
    <t>Molendinar</t>
  </si>
  <si>
    <t>42 Mitchell Avenue Molendinar QLD 4214</t>
  </si>
  <si>
    <t>431 Mount Brisbane Road Mount Pleasant QLD 4521</t>
  </si>
  <si>
    <t>Capalaba</t>
  </si>
  <si>
    <t>25 Walters Avenue West Gladstone QLD 4680</t>
  </si>
  <si>
    <t>22 First Street, Broadford, VIC, 3658, Australia</t>
  </si>
  <si>
    <t>35 Glenwater Crescent Helensvale QLD 4212</t>
  </si>
  <si>
    <t>Harrington Park</t>
  </si>
  <si>
    <t>27 Lachlan Avenue Harrington Park NSW 2567</t>
  </si>
  <si>
    <t>Reedy Creek</t>
  </si>
  <si>
    <t>42 Gordonia Drive Reedy Creek QLD 4227</t>
  </si>
  <si>
    <t>Frenchs Forest</t>
  </si>
  <si>
    <t>5 Gilbert Place Frenchs Forest NSW 2086</t>
  </si>
  <si>
    <t>Avalon</t>
  </si>
  <si>
    <t>39 Chisholm Avenue Avalon Beach NSW 2107</t>
  </si>
  <si>
    <t>Mornington 3931</t>
  </si>
  <si>
    <t>29 Dava Drive Mornington VIC 3931</t>
  </si>
  <si>
    <t>114 Hendry Street Tewantin QLD 4565</t>
  </si>
  <si>
    <t>Albion Park Rail</t>
  </si>
  <si>
    <t>75 Elm Street Albion Park Rail NSW 2527</t>
  </si>
  <si>
    <t>Mullaoo</t>
  </si>
  <si>
    <t>108 Oceanside Promenade Mullaloo WA 6027</t>
  </si>
  <si>
    <t>south Brighton</t>
  </si>
  <si>
    <t>61 Broadway South Brighton SA 5048</t>
  </si>
  <si>
    <t>mooroobool</t>
  </si>
  <si>
    <t>77/101-109 Callum Street Mooroobool QLD 4870</t>
  </si>
  <si>
    <t>Kiel Mountain</t>
  </si>
  <si>
    <t>145 Kiel Mountain Road Woombye QLD 4559</t>
  </si>
  <si>
    <t>North lakes</t>
  </si>
  <si>
    <t>17/3 Sibley Street North Lakes QLD 4509</t>
  </si>
  <si>
    <t>mount eliza</t>
  </si>
  <si>
    <t>6 Gunyong Creek Lane Mount Eliza VIC 3930</t>
  </si>
  <si>
    <t>Tom Kneebone</t>
  </si>
  <si>
    <t>44 Dalkeith Road Seaford Rise SA 5169</t>
  </si>
  <si>
    <t>Heathridge</t>
  </si>
  <si>
    <t>26 Janthina Crescent Heathridge WA 6027</t>
  </si>
  <si>
    <t>Glenaroua</t>
  </si>
  <si>
    <t>690 Daisyburn Road Glenaroua VIC 3764</t>
  </si>
  <si>
    <t>Wallan</t>
  </si>
  <si>
    <t>31 Hopkins Way Wallan VIC 3756</t>
  </si>
  <si>
    <t>1/13 French Street Everton Park QLD 4053</t>
  </si>
  <si>
    <t>136 Simpsons Road BARDON QLD 4065</t>
  </si>
  <si>
    <t>26 Hickson Circuit Harrington Park NSW 2567</t>
  </si>
  <si>
    <t>10 Koorangi Avenue Elanora Heights NSW 2101</t>
  </si>
  <si>
    <t>Griffin</t>
  </si>
  <si>
    <t>31 Shoreview Boulevard Griffin QLD 4503</t>
  </si>
  <si>
    <t>Sandhurst</t>
  </si>
  <si>
    <t>3 Bluewater Drive Sandhurst VIC 3977</t>
  </si>
  <si>
    <t>Dee Why</t>
  </si>
  <si>
    <t>8/32-38 Cassia Street Dee Why NSW 2099</t>
  </si>
  <si>
    <t>Cromer</t>
  </si>
  <si>
    <t>22 Howse Crescent Cromer NSW 2099</t>
  </si>
  <si>
    <t>East Brisbane</t>
  </si>
  <si>
    <t>62 Gresham Street East Brisbane QLD 4169</t>
  </si>
  <si>
    <t>Daniel Sacco</t>
  </si>
  <si>
    <t>Greenvale</t>
  </si>
  <si>
    <t>Olivia Burgess</t>
  </si>
  <si>
    <t>Kiama</t>
  </si>
  <si>
    <t>67 Gipps Street Kiama NSW 2533</t>
  </si>
  <si>
    <t>Herron</t>
  </si>
  <si>
    <t>35 Clifton Downs Road Herron WA 6211</t>
  </si>
  <si>
    <t>42 Popes Road Woonona NSW 2517</t>
  </si>
  <si>
    <t>Thirroul</t>
  </si>
  <si>
    <t>3/9-11 Newbold Close Thirroul NSW 2515</t>
  </si>
  <si>
    <t>119 Shoalhaven Street Kiama NSW 2533</t>
  </si>
  <si>
    <t>Seaford</t>
  </si>
  <si>
    <t>cairns</t>
  </si>
  <si>
    <t>5 Strike Avenue MOOROOBOOL QLD 4870</t>
  </si>
  <si>
    <t>Goldsborough</t>
  </si>
  <si>
    <t>13 Prospector Close Goldsborough QLD 4865</t>
  </si>
  <si>
    <t>Woodbine</t>
  </si>
  <si>
    <t>89 North Steyne Road Woodbine NSW 2560</t>
  </si>
  <si>
    <t>Chermside West</t>
  </si>
  <si>
    <t>19 Killarney Place Chermside West QLD 4032</t>
  </si>
  <si>
    <t>mt sheridan</t>
  </si>
  <si>
    <t>12 Coolamon Terrace Mount Sheridan QLD 4868</t>
  </si>
  <si>
    <t>Telina</t>
  </si>
  <si>
    <t>109 Dixon Drive Telina QLD 4680</t>
  </si>
  <si>
    <t>Tugun</t>
  </si>
  <si>
    <t>66/2 Inland Drive Tugun QLD 4224</t>
  </si>
  <si>
    <t>warradale</t>
  </si>
  <si>
    <t>346 Morphett Road, Warradale, South Australia, 5046, Australia</t>
  </si>
  <si>
    <t>Cheltenham</t>
  </si>
  <si>
    <t>10 Tiffany Avenue Cheltenham VIC 3192</t>
  </si>
  <si>
    <t>Gordonvale</t>
  </si>
  <si>
    <t>15-21 Mercy Close Gordonvale QLD 4865</t>
  </si>
  <si>
    <t>Morphett Vale</t>
  </si>
  <si>
    <t>56 Warwick Street Enfield SA 5085</t>
  </si>
  <si>
    <t>5 Jirrima Court Buderim QLD 4556</t>
  </si>
  <si>
    <t>Cameron Macdonald</t>
  </si>
  <si>
    <t>Mooroobool</t>
  </si>
  <si>
    <t>6/16 Ingham Court Mooroobool QLD 4870</t>
  </si>
  <si>
    <t>Huntfield Heights</t>
  </si>
  <si>
    <t>8 Antonio Street Huntfield Heights SA 5163</t>
  </si>
  <si>
    <t>Craigieburn</t>
  </si>
  <si>
    <t>Petrie Terrace</t>
  </si>
  <si>
    <t>Shell Cove</t>
  </si>
  <si>
    <t>5 Tasman Drive Shell Cove NSW 2529</t>
  </si>
  <si>
    <t>22 Diosma Drive Morphett Vale SA 5162</t>
  </si>
  <si>
    <t>Springwood</t>
  </si>
  <si>
    <t>5 Pitt Street Springwood NSW 2777</t>
  </si>
  <si>
    <t>Patterson Lakes</t>
  </si>
  <si>
    <t>28 Lord Rodney Drive Patterson Lakes VIC 3197</t>
  </si>
  <si>
    <t>Queenscliff</t>
  </si>
  <si>
    <t>12/64 Crown Road Queenscliff NSW 2096</t>
  </si>
  <si>
    <t>GLENFIELD</t>
  </si>
  <si>
    <t>10 Trobriand Crescent GLENFIELD NSW 2167</t>
  </si>
  <si>
    <t>Mermaid Waters Qld</t>
  </si>
  <si>
    <t>223 Markeri Street Mermaid Waters QLD 4218</t>
  </si>
  <si>
    <t>Noarlunga</t>
  </si>
  <si>
    <t>4 Coorong Court Port Noarlunga SA 5167</t>
  </si>
  <si>
    <t>9 Soma Court Mudgeeraba QLD 4213</t>
  </si>
  <si>
    <t>Terrey hills</t>
  </si>
  <si>
    <t>8 Dandenong Road Terrey Hills NSW 2084</t>
  </si>
  <si>
    <t>Surfers paradise</t>
  </si>
  <si>
    <t>4701/9 Hamilton Avenue Surfers Paradise QLD 4217</t>
  </si>
  <si>
    <t>Wanneroo</t>
  </si>
  <si>
    <t>10 Lyssos Way Tapping WA 6065</t>
  </si>
  <si>
    <t>Beaconsfield</t>
  </si>
  <si>
    <t>3 Florence Terrace Beaconsfield VIC 3807</t>
  </si>
  <si>
    <t>Subiaco</t>
  </si>
  <si>
    <t>1 Metters Lane Subiaco WA 6008</t>
  </si>
  <si>
    <t>Flagstaff Hill</t>
  </si>
  <si>
    <t>30 Ridgway Drive, Flagstaff Hill, SA, 5159, Australia</t>
  </si>
  <si>
    <t>Manoora</t>
  </si>
  <si>
    <t>74 Macilwraith Street Manoora QLD 4870</t>
  </si>
  <si>
    <t>Manly</t>
  </si>
  <si>
    <t>4/101 North Steyne Manly NSW 2095</t>
  </si>
  <si>
    <t>17 Minerva Avenue Mooroobool QLD 4870</t>
  </si>
  <si>
    <t>Graceville</t>
  </si>
  <si>
    <t>316 Long Street East, Graceville, Queensland, 4075, Australia</t>
  </si>
  <si>
    <t>Cairns</t>
  </si>
  <si>
    <t>3/327-329 Lake Street Cairns North QLD 4870</t>
  </si>
  <si>
    <t>Maroochy river</t>
  </si>
  <si>
    <t>12 Kirra Road Maroochy River QLD 4561</t>
  </si>
  <si>
    <t>Mindarie</t>
  </si>
  <si>
    <t>4 Sea Edge Mindarie WA 6030</t>
  </si>
  <si>
    <t>west hoxton</t>
  </si>
  <si>
    <t>4 Warby Avenue West Hoxton NSW 2171</t>
  </si>
  <si>
    <t>14 Boromi Way Cromer NSW 2099</t>
  </si>
  <si>
    <t>7 Lowe Court Maudsland QLD 4210</t>
  </si>
  <si>
    <t>Mount Sheridan</t>
  </si>
  <si>
    <t>10 Snowwood Close Mount Sheridan QLD 4868</t>
  </si>
  <si>
    <t>3 Kennet Place Carina QLD 4152</t>
  </si>
  <si>
    <t>glenview</t>
  </si>
  <si>
    <t>1 Whipbird Place Glenview QLD 4553</t>
  </si>
  <si>
    <t>chelmer</t>
  </si>
  <si>
    <t>129 Harte Street Chelmer QLD 4068</t>
  </si>
  <si>
    <t>Balgowlah</t>
  </si>
  <si>
    <t>1 Beatrice Street Clontarf NSW 2093</t>
  </si>
  <si>
    <t>25 Williams Street Frankston VIC 3199</t>
  </si>
  <si>
    <t>Hillarys</t>
  </si>
  <si>
    <t>54 Armytage Way Hillarys WA 6025</t>
  </si>
  <si>
    <t>Clyde North</t>
  </si>
  <si>
    <t>Sanhurst</t>
  </si>
  <si>
    <t>Hove</t>
  </si>
  <si>
    <t>Tweed Heads Sth</t>
  </si>
  <si>
    <t>90 Blundell Boulevard Tweed Heads South NSW 2486</t>
  </si>
  <si>
    <t>1/90 Leyte Avenue Palm Beach QLD 4221</t>
  </si>
  <si>
    <t>Waterford</t>
  </si>
  <si>
    <t>6 Eurimbula Close Waterford QLD 4133</t>
  </si>
  <si>
    <t>Newport</t>
  </si>
  <si>
    <t>5 Irrubel Road Newport NSW 2106</t>
  </si>
  <si>
    <t>Frankston victoria</t>
  </si>
  <si>
    <t>2 Valley Road Frankston VIC 3199</t>
  </si>
  <si>
    <t>15 Berry Terrace Baringa QLD 4551</t>
  </si>
  <si>
    <t>Cranbourne</t>
  </si>
  <si>
    <t>Holloways Beach</t>
  </si>
  <si>
    <t>1, 2, 3 &amp; 4/19 Hibiscus Lane Holloways Beach QLD 4878</t>
  </si>
  <si>
    <t>9/405 Barrenjoey Road Newport NSW 2106</t>
  </si>
  <si>
    <t>1/21-25 Wilson Street Wollongong NSW 2500</t>
  </si>
  <si>
    <t>506/13-15 Haig Street Coolangatta QLD 4225</t>
  </si>
  <si>
    <t>Banksia beach</t>
  </si>
  <si>
    <t>60 Topsail Circuit Banksia Beach QLD 4507</t>
  </si>
  <si>
    <t>Bilinga</t>
  </si>
  <si>
    <t>3/20 Pacific Parade Bilinga QLD 4225</t>
  </si>
  <si>
    <t>halls head</t>
  </si>
  <si>
    <t>3 Armstrong Street Halls Head WA 6210</t>
  </si>
  <si>
    <t>8 Mell Street Bracken Ridge QLD 4017</t>
  </si>
  <si>
    <t>Sandringham</t>
  </si>
  <si>
    <t>3/34 Sandringham Road Sandringham VIC 3191</t>
  </si>
  <si>
    <t>29 Voyager Drive, Karalee, QLD, 4306, Australia</t>
  </si>
  <si>
    <t>Jackson Rees</t>
  </si>
  <si>
    <t>Allenstown</t>
  </si>
  <si>
    <t>12 Victor Street Allenstown QLD 4700</t>
  </si>
  <si>
    <t>Elanora</t>
  </si>
  <si>
    <t>1/38 Westminster Boulevard Elanora QLD 4221</t>
  </si>
  <si>
    <t>bray park</t>
  </si>
  <si>
    <t>Beacon hill</t>
  </si>
  <si>
    <t>21 Mills Place Beacon Hill NSW 2100</t>
  </si>
  <si>
    <t>Morayfield</t>
  </si>
  <si>
    <t>3 Griffin Court Morayfield QLD 4506</t>
  </si>
  <si>
    <t>Reservoir</t>
  </si>
  <si>
    <t>15 Cooinda Avenue Mickleham VIC 3064</t>
  </si>
  <si>
    <t>Woody Point</t>
  </si>
  <si>
    <t>4/8-10 Georgina Street Woody Point QLD 4019</t>
  </si>
  <si>
    <t>Broadbeach</t>
  </si>
  <si>
    <t>13 Palmetto Court Broadbeach Waters QLD 4218</t>
  </si>
  <si>
    <t>North Manly</t>
  </si>
  <si>
    <t>3 Wakefield Street North Manly NSW 2100</t>
  </si>
  <si>
    <t>Mermaid beach</t>
  </si>
  <si>
    <t>Pelican Waters</t>
  </si>
  <si>
    <t>5 Toorbul Street Pelican Waters QLD 4551</t>
  </si>
  <si>
    <t>Helensburgh</t>
  </si>
  <si>
    <t>10 Chippendale Place Helensburgh NSW 2508</t>
  </si>
  <si>
    <t>19 Winterbrook Court Caboolture QLD 4510</t>
  </si>
  <si>
    <t>Sam Thompson</t>
  </si>
  <si>
    <t>Bayview</t>
  </si>
  <si>
    <t>7 Barkala Road Bayview NSW 2104</t>
  </si>
  <si>
    <t>7 Timberedge Court Upper Caboolture QLD 4510</t>
  </si>
  <si>
    <t>Burleigh Heads</t>
  </si>
  <si>
    <t>LOT 2/43 Cowell Drive Burleigh Heads QLD 4220</t>
  </si>
  <si>
    <t>Tweed Heads West</t>
  </si>
  <si>
    <t>1/20 Bailey Street Tweed Heads West NSW 2485</t>
  </si>
  <si>
    <t>Collaroy Plateau</t>
  </si>
  <si>
    <t>22 David Road Collaroy Plateau NSW 2097</t>
  </si>
  <si>
    <t>11 Keysborough Street Craigieburn VIC 3064</t>
  </si>
  <si>
    <t>7 Mitchell Court Carrara QLD 4211</t>
  </si>
  <si>
    <t>5/20 Dorothea Street Cannon Hill QLD 4170</t>
  </si>
  <si>
    <t>Fairy Measow</t>
  </si>
  <si>
    <t>8 Winton Place Fairy Meadow NSW 2519</t>
  </si>
  <si>
    <t>Unanderra</t>
  </si>
  <si>
    <t>18 Beveles Avenue Unanderra NSW 2526</t>
  </si>
  <si>
    <t>48 Willslie Crescent Berwick VIC 3806</t>
  </si>
  <si>
    <t>Gracemere</t>
  </si>
  <si>
    <t>23 Archer Road, Gracemere, QLD, 4702, Australia</t>
  </si>
  <si>
    <t>FORTITUDE VALLEY</t>
  </si>
  <si>
    <t>Unit 31A  41 Gotha Street FORTITUDE VALLEY QLD 4006</t>
  </si>
  <si>
    <t>Allan Russell</t>
  </si>
  <si>
    <t>6 Nikau Crescent Nerang QLD 4211</t>
  </si>
  <si>
    <t>Robbie Ventura</t>
  </si>
  <si>
    <t>Stafford Heights</t>
  </si>
  <si>
    <t>5 Heston Street Stafford Heights QLD 4053</t>
  </si>
  <si>
    <t>Carmel Glover</t>
  </si>
  <si>
    <t>Keith Colomb</t>
  </si>
  <si>
    <t>Toowong</t>
  </si>
  <si>
    <t>43D Terrace Street Toowong QLD 4066</t>
  </si>
  <si>
    <t>Stephen Harris</t>
  </si>
  <si>
    <t>24 Kwila Crescent Peregian Springs QLD 4573</t>
  </si>
  <si>
    <t>Pete Stigs (Peter Steyger)</t>
  </si>
  <si>
    <t>manunda</t>
  </si>
  <si>
    <t>13 Foley Street Manunda QLD 4870</t>
  </si>
  <si>
    <t>Dave Stewart</t>
  </si>
  <si>
    <t>Chelsea</t>
  </si>
  <si>
    <t>5/1 Golden Avenue Chelsea VIC 3196</t>
  </si>
  <si>
    <t>Lisa Van</t>
  </si>
  <si>
    <t>Lakelands</t>
  </si>
  <si>
    <t>8 Werribee Loop Lakelands WA 6180</t>
  </si>
  <si>
    <t>Thomas Dyer</t>
  </si>
  <si>
    <t>Wooloowin</t>
  </si>
  <si>
    <t>26 Rigby Street Wooloowin QLD 4030</t>
  </si>
  <si>
    <t>Callum Thompson</t>
  </si>
  <si>
    <t>strathpine</t>
  </si>
  <si>
    <t>20 Ellerdale Street Strathpine QLD 4500</t>
  </si>
  <si>
    <t>Margaret Cunningham</t>
  </si>
  <si>
    <t>Kay Vee (Karen Joan Visser)</t>
  </si>
  <si>
    <t>Mandurah Marina</t>
  </si>
  <si>
    <t>4/8 Torcello Mews Mandurah WA 6210</t>
  </si>
  <si>
    <t>Beverley Brennan</t>
  </si>
  <si>
    <t>64 Reif Street Flinders View QLD 4305</t>
  </si>
  <si>
    <t>Tania Burrows</t>
  </si>
  <si>
    <t>Hope Island</t>
  </si>
  <si>
    <t>2257 Banksia Lakes Drive Hope Island QLD 4212</t>
  </si>
  <si>
    <t>Peter Spencer</t>
  </si>
  <si>
    <t>Chapel Hill</t>
  </si>
  <si>
    <t>133 Chapel Hill Road Chapel Hill QLD 4069</t>
  </si>
  <si>
    <t>Patrick Burns</t>
  </si>
  <si>
    <t>Figtree</t>
  </si>
  <si>
    <t>52 Risley Road Figtree NSW 2525</t>
  </si>
  <si>
    <t>Mark Blackmore</t>
  </si>
  <si>
    <t>Darlinghurst</t>
  </si>
  <si>
    <t>506/172-190 Riley Street, Darlinghurst, NSW, 2010, Australia</t>
  </si>
  <si>
    <t>Camp Hill</t>
  </si>
  <si>
    <t>31 Orwell Street Camp Hill QLD 4152</t>
  </si>
  <si>
    <t>Rachelle</t>
  </si>
  <si>
    <t>Alice river</t>
  </si>
  <si>
    <t>6 Romsey Court Alice River QLD 4817</t>
  </si>
  <si>
    <t>Ross Christensen</t>
  </si>
  <si>
    <t>Albion Park</t>
  </si>
  <si>
    <t>9 Pleasant View Close Albion Park NSW 2527</t>
  </si>
  <si>
    <t>Shanin Long (Shanin Neveling)</t>
  </si>
  <si>
    <t>Brisbane City</t>
  </si>
  <si>
    <t>7056/7 Parkland Boulevard Brisbane City QLD 4000</t>
  </si>
  <si>
    <t>Anne Morrison</t>
  </si>
  <si>
    <t>7 Woodhen Court Bohle Plains QLD 4817</t>
  </si>
  <si>
    <t>Craig Meiklejohn</t>
  </si>
  <si>
    <t>swanbourne</t>
  </si>
  <si>
    <t>152B Alfred Road Swanbourne WA 6010</t>
  </si>
  <si>
    <t>Forbes Chesterman</t>
  </si>
  <si>
    <t>Narangba</t>
  </si>
  <si>
    <t>19 Borumba Court Narangba QLD 4504</t>
  </si>
  <si>
    <t>Leah Rosewarne</t>
  </si>
  <si>
    <t>Thomas Fuller</t>
  </si>
  <si>
    <t>Randwick</t>
  </si>
  <si>
    <t>2 Avoca Street Randwick NSW 2031</t>
  </si>
  <si>
    <t>Allison Roberts</t>
  </si>
  <si>
    <t>Sunshine Beach</t>
  </si>
  <si>
    <t>2/9 Solway Drive Sunshine Beach QLD 4567</t>
  </si>
  <si>
    <t>Chris Wicks</t>
  </si>
  <si>
    <t>Troy Urquhart</t>
  </si>
  <si>
    <t>Thornlands</t>
  </si>
  <si>
    <t>86A Kinross Road Thornlands QLD 4164</t>
  </si>
  <si>
    <t>Rachael Harden</t>
  </si>
  <si>
    <t>Clareville</t>
  </si>
  <si>
    <t>59 Riverview Road Avalon Beach NSW 2107</t>
  </si>
  <si>
    <t>Peter Gale</t>
  </si>
  <si>
    <t>Spring Hill</t>
  </si>
  <si>
    <t>Unit 17  128 Bowen Street SPRING HILL QLD 4000</t>
  </si>
  <si>
    <t>Len Hannah</t>
  </si>
  <si>
    <t>45 Eden Drive Baringa QLD 4551</t>
  </si>
  <si>
    <t>Lane Greene</t>
  </si>
  <si>
    <t>Ian Brown</t>
  </si>
  <si>
    <t>Frenchville</t>
  </si>
  <si>
    <t>17 Beaumont Drive Frenchville QLD 4701</t>
  </si>
  <si>
    <t>Hendrik M Sigle</t>
  </si>
  <si>
    <t>3197 Patterson lakes</t>
  </si>
  <si>
    <t>18 Pier One Drive Patterson Lakes VIC 3197</t>
  </si>
  <si>
    <t>Laurie Pope</t>
  </si>
  <si>
    <t>Helen Porcaro</t>
  </si>
  <si>
    <t>Yeppoon</t>
  </si>
  <si>
    <t>Rory O'Connor</t>
  </si>
  <si>
    <t>Cambel Ball</t>
  </si>
  <si>
    <t>9A Herbert Street Upper Coomera QLD 4209</t>
  </si>
  <si>
    <t>Sarah Welch (Sarah Cabral)</t>
  </si>
  <si>
    <t>Stewart McLeod</t>
  </si>
  <si>
    <t>Cooroy</t>
  </si>
  <si>
    <t>Jonathan Jones</t>
  </si>
  <si>
    <t>133 Dickson Street Wooloowin QLD 4030</t>
  </si>
  <si>
    <t>Phil Latham</t>
  </si>
  <si>
    <t>Mount Ommaney</t>
  </si>
  <si>
    <t>3 Gregory Court Mount Ommaney QLD 4074</t>
  </si>
  <si>
    <t>Jo Ke</t>
  </si>
  <si>
    <t>Bellambi</t>
  </si>
  <si>
    <t>40 Carr Street Towradgi NSW 2518 (Low confidence in this address)</t>
  </si>
  <si>
    <t>Penny Claiborne</t>
  </si>
  <si>
    <t>Rodney Goodwin</t>
  </si>
  <si>
    <t>9/22 Donald Street Hamilton NSW 2303</t>
  </si>
  <si>
    <t>Paul Rothapfel</t>
  </si>
  <si>
    <t>15 Highview Avenue Queenscliff NSW 2096</t>
  </si>
  <si>
    <t>Robyn Perillo</t>
  </si>
  <si>
    <t>15/7 Titania Street Morningside QLD 4170</t>
  </si>
  <si>
    <t>Denise Baring-Gould</t>
  </si>
  <si>
    <t>Shellharbour</t>
  </si>
  <si>
    <t>38 Leawarra Avenue Barrack Heights NSW 2528</t>
  </si>
  <si>
    <t>Biserka Zufic</t>
  </si>
  <si>
    <t>bribie island</t>
  </si>
  <si>
    <t>83 Boronia Drive Bellara QLD 4507</t>
  </si>
  <si>
    <t>Ian Samuels</t>
  </si>
  <si>
    <t>Skye</t>
  </si>
  <si>
    <t>1/11 Coco Parade Skye VIC 3977</t>
  </si>
  <si>
    <t>Jen Gay</t>
  </si>
  <si>
    <t>Adamstown Hts</t>
  </si>
  <si>
    <t>54 Madison Drive Adamstown Heights NSW 2289</t>
  </si>
  <si>
    <t>Karen Rutledge</t>
  </si>
  <si>
    <t>8 Forest View Way Little Mountain QLD 4551</t>
  </si>
  <si>
    <t>15 Denison Street Manly NSW 2095</t>
  </si>
  <si>
    <t>35 Middle Road Exeter NSW 2579</t>
  </si>
  <si>
    <t>Claire Jones</t>
  </si>
  <si>
    <t>9 Grafton Street Windsor QLD 4030</t>
  </si>
  <si>
    <t>Matt Best</t>
  </si>
  <si>
    <t>Elermore Vale</t>
  </si>
  <si>
    <t>45 Aries Way Elermore Vale NSW 2287</t>
  </si>
  <si>
    <t>Nadines Ewin</t>
  </si>
  <si>
    <t>Elermore vale</t>
  </si>
  <si>
    <t>Abby Cable</t>
  </si>
  <si>
    <t>Camden Park</t>
  </si>
  <si>
    <t>391 Remembrance Driveway Camden Park NSW 2570</t>
  </si>
  <si>
    <t>David Neale</t>
  </si>
  <si>
    <t>Burpengary east</t>
  </si>
  <si>
    <t>25 Thorncliffe Drive Burpengary East QLD 4505</t>
  </si>
  <si>
    <t>Paolo Boni</t>
  </si>
  <si>
    <t>Upper kedron</t>
  </si>
  <si>
    <t>260 Levitt Road Upper Kedron QLD 4055</t>
  </si>
  <si>
    <t>Daniel Trew</t>
  </si>
  <si>
    <t>Shorncliffe</t>
  </si>
  <si>
    <t>7 Pier Avenue Shorncliffe QLD 4017</t>
  </si>
  <si>
    <t>Lindy Stanistreet-Brélaz</t>
  </si>
  <si>
    <t>HAMPTON PARK</t>
  </si>
  <si>
    <t>26 Alma Road HAMPTON PARK VIC 3976</t>
  </si>
  <si>
    <t>Lucie Patton</t>
  </si>
  <si>
    <t>Nundah</t>
  </si>
  <si>
    <t>Suzy Bateup (Suzy has submitted a form before, previously in Buderim where she also owns a property. Unsure on her intentions as nothing came from the other lead a few months back)</t>
  </si>
  <si>
    <t>Sunshine coast</t>
  </si>
  <si>
    <t>Mandy Wiggill</t>
  </si>
  <si>
    <t>DOVER HEIGHTS</t>
  </si>
  <si>
    <t>124 Military Road DOVER HEIGHTS NSW 2030</t>
  </si>
  <si>
    <t>Shirley (Susan Werkner)</t>
  </si>
  <si>
    <t>Nancie Gonsalves</t>
  </si>
  <si>
    <t>Cambridge Park NSW</t>
  </si>
  <si>
    <t>2/134 Oxford Street Cambridge Park NSW 2747</t>
  </si>
  <si>
    <t>Angie Marie</t>
  </si>
  <si>
    <t>Redbank Pains Qld 4301</t>
  </si>
  <si>
    <t>20 Glorious Promenade Redbank Plains QLD 4301</t>
  </si>
  <si>
    <t>Nicola Silverton-Alison</t>
  </si>
  <si>
    <t>Augustine Heights</t>
  </si>
  <si>
    <t>Monty Bloom (I think this is an agent?)</t>
  </si>
  <si>
    <t>16 New Street Nundah QLD 4012</t>
  </si>
  <si>
    <t>Gavin McKee</t>
  </si>
  <si>
    <t>Forsestville</t>
  </si>
  <si>
    <t>14 Boree Road Forestville NSW 2087</t>
  </si>
  <si>
    <t>Margaret santone</t>
  </si>
  <si>
    <t>Bowen (Probably too far for you, but you're the closest agent I have. Feel free to pass on if you want)</t>
  </si>
  <si>
    <t>13 Bluewater Parade Bowen QLD 4805</t>
  </si>
  <si>
    <t>Greg Kotvojs</t>
  </si>
  <si>
    <t>11 Burbong Street Chapel Hill QLD 4069</t>
  </si>
  <si>
    <t>Brett Griffiths</t>
  </si>
  <si>
    <t>Mount coolum</t>
  </si>
  <si>
    <t>8 Kim Close Mount Coolum QLD 4573</t>
  </si>
  <si>
    <t>Courtney Black</t>
  </si>
  <si>
    <t>Penrith</t>
  </si>
  <si>
    <t>Tony eid</t>
  </si>
  <si>
    <t>elermorevale</t>
  </si>
  <si>
    <t>Wendall Hipwell</t>
  </si>
  <si>
    <t>Crestmead</t>
  </si>
  <si>
    <t>623 Browns Plains Road Crestmead QLD 4132</t>
  </si>
  <si>
    <t>Geoff Wood</t>
  </si>
  <si>
    <t>Whittlesea</t>
  </si>
  <si>
    <t>Jill Delisia McKeever</t>
  </si>
  <si>
    <t>Rachel Matthews</t>
  </si>
  <si>
    <t>4 Clinton Court Glenview QLD 4553</t>
  </si>
  <si>
    <t>Paulette Watson</t>
  </si>
  <si>
    <t>Mansfield</t>
  </si>
  <si>
    <t>24 Canter Street Mansfield QLD 4122</t>
  </si>
  <si>
    <t>Odino Borgo</t>
  </si>
  <si>
    <t>Terrigal</t>
  </si>
  <si>
    <t>10 Tiarri Crescent Terrigal NSW 2260</t>
  </si>
  <si>
    <t>Kylie Lazzarini</t>
  </si>
  <si>
    <t>11 Yomara Road Marino SA 5049</t>
  </si>
  <si>
    <t>Colin Ellis</t>
  </si>
  <si>
    <t>Bungalow</t>
  </si>
  <si>
    <t>8-10 Flame Close Bayview Heights QLD 4868</t>
  </si>
  <si>
    <t>Steve Della Bella</t>
  </si>
  <si>
    <t>Khem Gurung</t>
  </si>
  <si>
    <t>NT</t>
  </si>
  <si>
    <t>Farrar</t>
  </si>
  <si>
    <t>11 Scott Court Farrar NT 0830</t>
  </si>
  <si>
    <t>Helen Kelly</t>
  </si>
  <si>
    <t>Raceview</t>
  </si>
  <si>
    <t>14 Petaine Street Raceview QLD 4305</t>
  </si>
  <si>
    <t>Anthony Standen</t>
  </si>
  <si>
    <t>8 Isles Road, Indooroopilly, QLD, 4068, Australia</t>
  </si>
  <si>
    <t>16/09/2025</t>
  </si>
  <si>
    <t>3 Terry Close Narre Warren VIC 3805</t>
  </si>
  <si>
    <t>Debra Anderson</t>
  </si>
  <si>
    <t>Cherie Marshall</t>
  </si>
  <si>
    <t>Bellbowrie</t>
  </si>
  <si>
    <t>104 Lather Road Bellbowrie QLD 4070</t>
  </si>
  <si>
    <t>Fiona Smith</t>
  </si>
  <si>
    <t>Sun Valley</t>
  </si>
  <si>
    <t>7 Maple Avenue Sun Valley QLD 4680</t>
  </si>
  <si>
    <t>Kat Thorburn</t>
  </si>
  <si>
    <t>Cleveland</t>
  </si>
  <si>
    <t>Michelle D'Arcy</t>
  </si>
  <si>
    <t>Vicki Jamieson</t>
  </si>
  <si>
    <t>Raceview, QLD</t>
  </si>
  <si>
    <t>26 Ironbark Crescent Raceview QLD 4305</t>
  </si>
  <si>
    <t>Sharon Bakens</t>
  </si>
  <si>
    <t>New Lambton</t>
  </si>
  <si>
    <t>113 Regent Street New Lambton NSW 2305</t>
  </si>
  <si>
    <t>Graeme Silver</t>
  </si>
  <si>
    <t>14 The Walk Camden Park NSW 2570</t>
  </si>
  <si>
    <t>Lynette Richardson</t>
  </si>
  <si>
    <t>Pakenham</t>
  </si>
  <si>
    <t>Fron Spanu</t>
  </si>
  <si>
    <t>CARRUM</t>
  </si>
  <si>
    <t>17 McMahons Road Frankston (Address Data Appears to be old)</t>
  </si>
  <si>
    <t>Georgie Simon</t>
  </si>
  <si>
    <t>palm beach 2108</t>
  </si>
  <si>
    <t>884 Barrenjoey Road Palm Beach NSW 2108</t>
  </si>
  <si>
    <t>Francoise Coadou-Porter</t>
  </si>
  <si>
    <t>Ettalong</t>
  </si>
  <si>
    <t>Chris Casey</t>
  </si>
  <si>
    <t>The Entrance</t>
  </si>
  <si>
    <t>Peter Silver</t>
  </si>
  <si>
    <t>8 Rex Avenue New Lambton</t>
  </si>
  <si>
    <t>Hampton East</t>
  </si>
  <si>
    <t>8 Wickham Road HAMPTON EAST VIC 3188</t>
  </si>
  <si>
    <t>Melanie Bray</t>
  </si>
  <si>
    <t>McKinnon</t>
  </si>
  <si>
    <t>Mark</t>
  </si>
  <si>
    <t>Gulliver</t>
  </si>
  <si>
    <t>25 McHardie Street Gulliver QLD 4812</t>
  </si>
  <si>
    <t>Lionel Linn</t>
  </si>
  <si>
    <t>Craig Pratt (May be a real estate agent, we are unsure)</t>
  </si>
  <si>
    <t>Adamstown</t>
  </si>
  <si>
    <t>Sarah Snow</t>
  </si>
  <si>
    <t>Merewether</t>
  </si>
  <si>
    <t>12 Woodward Street Merewether NSW 2291</t>
  </si>
  <si>
    <t>Jenny Sprout</t>
  </si>
  <si>
    <t>Seacliff Park</t>
  </si>
  <si>
    <t>14 Manos Court Seacliff Park SA 5049</t>
  </si>
  <si>
    <t>Rhonda Miller</t>
  </si>
  <si>
    <t>Alan Kuss</t>
  </si>
  <si>
    <t>Canungra</t>
  </si>
  <si>
    <t>10 King Street Canungra QLD 4275</t>
  </si>
  <si>
    <t>Courtney Leigh</t>
  </si>
  <si>
    <t>Melissa Ahearn</t>
  </si>
  <si>
    <t>Drouin</t>
  </si>
  <si>
    <t>13 Bertram Street Drouin VIC 3818</t>
  </si>
  <si>
    <t>Daniel Bush</t>
  </si>
  <si>
    <t>Maryland</t>
  </si>
  <si>
    <t>45 Beauford Avenue Maryland NSW 2287</t>
  </si>
  <si>
    <t>Michael Styles</t>
  </si>
  <si>
    <t>Brett Mullen</t>
  </si>
  <si>
    <t>Kearneys Spring</t>
  </si>
  <si>
    <t>216 Kearney Street Kearneys Spring QLD 4350</t>
  </si>
  <si>
    <t>Lynnene Gillan Hick</t>
  </si>
  <si>
    <t>34/10 Chapman Place, Oxley &amp; 55 Trout Street, Ashgrove</t>
  </si>
  <si>
    <t>5% referral</t>
  </si>
  <si>
    <t>Yamanto</t>
  </si>
  <si>
    <t>86 Sandalwood Drive Yamanto QLD 4305</t>
  </si>
  <si>
    <t>Sue Ford</t>
  </si>
  <si>
    <t>rothwell</t>
  </si>
  <si>
    <t>Unit 81  77-93 Morris Road ROTHWELL QLD 4022</t>
  </si>
  <si>
    <t>John Gray</t>
  </si>
  <si>
    <t>Narre Warren North</t>
  </si>
  <si>
    <t>30 Montbrae Circuit Narre Warren North VIC 3804</t>
  </si>
  <si>
    <t>Paul Dewick</t>
  </si>
  <si>
    <t>Pete</t>
  </si>
  <si>
    <t>Rosebud</t>
  </si>
  <si>
    <t>35 Sylvan Drive Rosebud VIC 3939</t>
  </si>
  <si>
    <t>Dale Redford</t>
  </si>
  <si>
    <t>18 Lara Drive Buderim QLD 4556</t>
  </si>
  <si>
    <t>Sandy Forster</t>
  </si>
  <si>
    <r>
      <rPr>
        <color rgb="FF1155CC"/>
        <sz val="10.0"/>
        <u/>
      </rPr>
      <t>Sandy@wildlywealthy.com</t>
    </r>
  </si>
  <si>
    <t>115 Goding Court Whittlesea VIC 3757</t>
  </si>
  <si>
    <t>Justin Stewart</t>
  </si>
  <si>
    <t>5 Berkeley Street Heathridge WA 6027</t>
  </si>
  <si>
    <t>Sanjay Patel</t>
  </si>
  <si>
    <t>Red Hill</t>
  </si>
  <si>
    <t>2/12 Lower Clifton Terrace Red Hill QLD 4059</t>
  </si>
  <si>
    <t>John Welsh</t>
  </si>
  <si>
    <t>Kelvin grove</t>
  </si>
  <si>
    <t>42 Eureka Street Kelvin Grove QLD 4059</t>
  </si>
  <si>
    <t>Glenys Keir</t>
  </si>
  <si>
    <t>19A Ettalong Street Wheeler Heights NSW 2097</t>
  </si>
  <si>
    <t>Robyne Horvath</t>
  </si>
  <si>
    <t>Maroubra</t>
  </si>
  <si>
    <t>139 Robey Street Maroubra NSW 2035</t>
  </si>
  <si>
    <t>Tracey Segel</t>
  </si>
  <si>
    <t>Salamander bay</t>
  </si>
  <si>
    <t>6A Anderson Place Salamander Bay NSW 2317</t>
  </si>
  <si>
    <t>Meredith Posa</t>
  </si>
  <si>
    <t>Bongaree</t>
  </si>
  <si>
    <t>49 Lungfish Circuit Bongaree QLD 4507</t>
  </si>
  <si>
    <t>Ann Trubshaw</t>
  </si>
  <si>
    <t>Slacks creek</t>
  </si>
  <si>
    <t>40 Lowry Street Slacks Creek QLD 4127</t>
  </si>
  <si>
    <t>Heather Ford</t>
  </si>
  <si>
    <t>Epping</t>
  </si>
  <si>
    <t>Zac Josevski</t>
  </si>
  <si>
    <t>Joel Robinson</t>
  </si>
  <si>
    <t>Birkdale</t>
  </si>
  <si>
    <t>29 Patersonia Place Birkdale QLD 4159</t>
  </si>
  <si>
    <t>Joanne Gaughan</t>
  </si>
  <si>
    <t>13 Glen Iris Place Robina QLD 4226</t>
  </si>
  <si>
    <t>Gerald Winston</t>
  </si>
  <si>
    <t>Davide Palermo</t>
  </si>
  <si>
    <t>2/2 Egan Street Armadale WA 6112</t>
  </si>
  <si>
    <t>Kuini Hakopa</t>
  </si>
  <si>
    <t>12 Biggs Place Southport QLD 4215</t>
  </si>
  <si>
    <t>Peter blowes</t>
  </si>
  <si>
    <t>8 Melinda Court Buderim QLD 4556</t>
  </si>
  <si>
    <t>Karen Maddock</t>
  </si>
  <si>
    <r>
      <rPr>
        <color rgb="FF1155CC"/>
        <sz val="10.0"/>
        <u/>
      </rPr>
      <t>karenlavinia@hotmail.com</t>
    </r>
  </si>
  <si>
    <t>O'Sullivan Beach</t>
  </si>
  <si>
    <t>26 Norongo Street O'Sullivan Beach SA 5166</t>
  </si>
  <si>
    <t>Michael Thomas</t>
  </si>
  <si>
    <t>Christie Downs</t>
  </si>
  <si>
    <t>10 Beresford Avenue Christie Downs SA 5164</t>
  </si>
  <si>
    <t>Paul Knobloch</t>
  </si>
  <si>
    <t>Gosnells</t>
  </si>
  <si>
    <t>4/31 Astley Street Gosnells WA 6110</t>
  </si>
  <si>
    <t>Julie Mennen</t>
  </si>
  <si>
    <t>Ami Russell</t>
  </si>
  <si>
    <t>Harold Street Sandringham VIC 3191</t>
  </si>
  <si>
    <t>Nick Milat</t>
  </si>
  <si>
    <t>Ricky Campton</t>
  </si>
  <si>
    <t>Swansea</t>
  </si>
  <si>
    <t>254 Old Pacific Highway, Swansea, NSW, 2281, Australia</t>
  </si>
  <si>
    <t>Southern River</t>
  </si>
  <si>
    <t>26 Dollarbird Road Southern River WA 6110</t>
  </si>
  <si>
    <t>Ken Tomlinson</t>
  </si>
  <si>
    <t>Claremount Meadows</t>
  </si>
  <si>
    <t>9 Prairie Glen Claremont Meadows NSW 2747</t>
  </si>
  <si>
    <t>Stephanie Smith</t>
  </si>
  <si>
    <t>9 Galvin Street Maroubra NSW 2035</t>
  </si>
  <si>
    <t>Frank Riley</t>
  </si>
  <si>
    <t>13 Queenscliff Court Sandstone Point QLD 4511</t>
  </si>
  <si>
    <t>Marianna Peto</t>
  </si>
  <si>
    <t>Parkridge south</t>
  </si>
  <si>
    <t>128-136 Granger Road Park Ridge South QLD 4125</t>
  </si>
  <si>
    <t>Mark Boston</t>
  </si>
  <si>
    <t>Iluka</t>
  </si>
  <si>
    <t>505 Burns Beach Road Iluka WA 6028</t>
  </si>
  <si>
    <t>Dalibor Aćimić</t>
  </si>
  <si>
    <t>Charlie Bellow</t>
  </si>
  <si>
    <t>Morley</t>
  </si>
  <si>
    <t>Veronica Sutcliffe</t>
  </si>
  <si>
    <t>Mount Claremont</t>
  </si>
  <si>
    <t>13 Bentley Close Mount Claremont WA 6010</t>
  </si>
  <si>
    <t>Stephanie Knell</t>
  </si>
  <si>
    <t>11/12 Taylor Street Biggera Waters QLD 4216</t>
  </si>
  <si>
    <t>Donna Johns</t>
  </si>
  <si>
    <t>64 Buderim Avenue Alexandra Headland QLD 4572</t>
  </si>
  <si>
    <t>Tim Freeman</t>
  </si>
  <si>
    <t>Thornlie</t>
  </si>
  <si>
    <t>13 Osprey Way Thornlie WA 6108</t>
  </si>
  <si>
    <t>Carina Mangini</t>
  </si>
  <si>
    <t>206 Powderworks Road Elanora Heights NSW 2101</t>
  </si>
  <si>
    <t>John Nudge Cole</t>
  </si>
  <si>
    <t>Christies Beach</t>
  </si>
  <si>
    <t>Katie Jane (Katie Houston)</t>
  </si>
  <si>
    <t>Nerada</t>
  </si>
  <si>
    <t>199 Nerada Road Nerada QLD 4860</t>
  </si>
  <si>
    <t>Janice Meloni</t>
  </si>
  <si>
    <t>Ridgewood</t>
  </si>
  <si>
    <t>55 Happy Jack Creek Road Ridgewood QLD 4563</t>
  </si>
  <si>
    <t>Anthony Gillman</t>
  </si>
  <si>
    <r>
      <rPr>
        <color rgb="FF1155CC"/>
        <sz val="10.0"/>
        <u/>
      </rPr>
      <t>anthonygillman1@gmail.com</t>
    </r>
  </si>
  <si>
    <t>Logan Reserve</t>
  </si>
  <si>
    <t>14 Riparian Circuit Logan Reserve QLD 4133</t>
  </si>
  <si>
    <t>Mareta Teinaki</t>
  </si>
  <si>
    <t>55A St Michael Terrace Mount Pleasant WA 6153</t>
  </si>
  <si>
    <t>Scott Lieschke</t>
  </si>
  <si>
    <t>Mount Morgan</t>
  </si>
  <si>
    <t>169 East Street Mount Morgan QLD 4714</t>
  </si>
  <si>
    <t>Christin Coralive</t>
  </si>
  <si>
    <t>North Ipswich</t>
  </si>
  <si>
    <t>56 Edith Dv North Ipswich Qld</t>
  </si>
  <si>
    <t>Annandale</t>
  </si>
  <si>
    <t>30 Masuda St</t>
  </si>
  <si>
    <t>44 River Links Blvd E.</t>
  </si>
  <si>
    <t>Park Ridge South</t>
  </si>
  <si>
    <t>119-123 Sylvan Road</t>
  </si>
  <si>
    <t>Kuraby</t>
  </si>
  <si>
    <t>1/160 Chesterfield Crescent Kuraby QLD 4112</t>
  </si>
  <si>
    <t>Chris Barlow</t>
  </si>
  <si>
    <t>Wheeler Heights</t>
  </si>
  <si>
    <t>Andrew Dunkerley</t>
  </si>
  <si>
    <t>Canning Vale</t>
  </si>
  <si>
    <t>4 Cheval Place Canning Vale WA 6155</t>
  </si>
  <si>
    <t>Bunny Hema</t>
  </si>
  <si>
    <t xml:space="preserve"> , , QLD, 4209, Australia</t>
  </si>
  <si>
    <t>21/09/2025</t>
  </si>
  <si>
    <t>1/1 Fairway Ave, Southport 4215</t>
  </si>
  <si>
    <t>20 Waddiwong Road Coomera</t>
  </si>
  <si>
    <t>1 Wollemi Street Beerburrum</t>
  </si>
  <si>
    <t>ferny grove</t>
  </si>
  <si>
    <t>22 monash place ferny grove</t>
  </si>
  <si>
    <t>aspley</t>
  </si>
  <si>
    <t>585 Robinson Road West Aspley QLD 4034</t>
  </si>
  <si>
    <t>Elohisa Di Nardo</t>
  </si>
  <si>
    <t>Pagewood</t>
  </si>
  <si>
    <t>18 Kerr Crescent Pagewood NSW 2035</t>
  </si>
  <si>
    <t>Maria Moutopoulos</t>
  </si>
  <si>
    <t>Cranbourne West</t>
  </si>
  <si>
    <t>3 Jacinta Drive Cranbourne West VIC 3977</t>
  </si>
  <si>
    <t>Fatima Dosen</t>
  </si>
  <si>
    <t>wallan</t>
  </si>
  <si>
    <t>47 Toscana Way Wallan VIC 3756</t>
  </si>
  <si>
    <t>Sharon Liebenberg</t>
  </si>
  <si>
    <t>Kahibah</t>
  </si>
  <si>
    <t>73 Burwood Street Kahibah NSW 2290</t>
  </si>
  <si>
    <t>Sam Geale</t>
  </si>
  <si>
    <t>meadow heights</t>
  </si>
  <si>
    <t>17 Bronco Court MEADOW HEIGHTS VIC 3048</t>
  </si>
  <si>
    <t>Michael Ioannou</t>
  </si>
  <si>
    <t>North Adelaide</t>
  </si>
  <si>
    <t>104 Old Street North Adelaide SA 5006</t>
  </si>
  <si>
    <t>Phyllis Purcell</t>
  </si>
  <si>
    <t>Cranbourne North</t>
  </si>
  <si>
    <t>15 Frances Crescent Cranbourne North VIC 3977</t>
  </si>
  <si>
    <t>Anna-liese Garth</t>
  </si>
  <si>
    <t>Kawana</t>
  </si>
  <si>
    <t>90 Carara Drive Kawana QLD 4701</t>
  </si>
  <si>
    <t>Gloria Cornick (Might be Alan Cornick's wife?)</t>
  </si>
  <si>
    <t>Mount eliza</t>
  </si>
  <si>
    <t>7 Dalsten Grove Mount Eliza VIC 3930</t>
  </si>
  <si>
    <t>Julie Stringer</t>
  </si>
  <si>
    <t>6 Langdale Place Wheeler Heights NSW 2097</t>
  </si>
  <si>
    <t>Mark Simpson</t>
  </si>
  <si>
    <t>Huntingdale</t>
  </si>
  <si>
    <t>53 Leatherwood Way Huntingdale WA 6110</t>
  </si>
  <si>
    <t>Sheila khandakar</t>
  </si>
  <si>
    <t>MOUNT ELIZA</t>
  </si>
  <si>
    <t>72 Volitans Avenue MOUNT ELIZA VIC 3930</t>
  </si>
  <si>
    <t>Milo O'reilly</t>
  </si>
  <si>
    <t>14/2 Pappas Way, Carrara, 4211</t>
  </si>
  <si>
    <t>22/09/2025</t>
  </si>
  <si>
    <t>Meta Commission Report</t>
  </si>
  <si>
    <t>Scott Nolan</t>
  </si>
  <si>
    <t>54 steven st redcliffe, Redcliffe, 4020</t>
  </si>
  <si>
    <t>Bruce William Challenor</t>
  </si>
  <si>
    <t>Palmwoods</t>
  </si>
  <si>
    <t>17 Greenlees Court, Palmwoods, QLD, 4555, Australia</t>
  </si>
  <si>
    <t>Smithfield</t>
  </si>
  <si>
    <t>58 Landsborough Drive, Smithfield, QLD, 4878, Australia</t>
  </si>
  <si>
    <t>Smithfield Qld</t>
  </si>
  <si>
    <t>58 Landsborough Drive Smithfield</t>
  </si>
  <si>
    <t>1 / 27 Seaview Street, Balgowlah, NSW, 2093, Australia</t>
  </si>
  <si>
    <t>Trigg</t>
  </si>
  <si>
    <t>41 Bailey Street, Trigg, WA, 6029, Australia</t>
  </si>
  <si>
    <t>kelso 4815</t>
  </si>
  <si>
    <t>62 hammondway</t>
  </si>
  <si>
    <t>3 Janson Street, West Gladstone, QLD, 4680, Australia</t>
  </si>
  <si>
    <t>98 Jarrah Way, Albion Park Rail, NSW, 2527, Australia</t>
  </si>
  <si>
    <t>27 Myrtle Street, Langwarrin, VIC, 3910, Australia</t>
  </si>
  <si>
    <t>1/1 Fairway Avenue</t>
  </si>
  <si>
    <t>Pacific Paradise</t>
  </si>
  <si>
    <t>35 Wywong Street Pacific Paradise QLD 4564</t>
  </si>
  <si>
    <t>Donna Johnston</t>
  </si>
  <si>
    <r>
      <rPr>
        <color rgb="FF1155CC"/>
        <sz val="10.0"/>
        <u/>
      </rPr>
      <t>deelee.johnston98@gmail.com</t>
    </r>
  </si>
  <si>
    <t>1407/1328 Gold Coast Highway Palm Beach QLD 4221</t>
  </si>
  <si>
    <t>Damon Robbins (Currently on the market)</t>
  </si>
  <si>
    <t>4/56-58 Rosebery Street Bedford WA 6052</t>
  </si>
  <si>
    <t>Mohan Vij</t>
  </si>
  <si>
    <t>Berserker</t>
  </si>
  <si>
    <t>Sue Goodwin</t>
  </si>
  <si>
    <t>New lambton</t>
  </si>
  <si>
    <t>14 Curzon Road New Lambton NSW 2305</t>
  </si>
  <si>
    <t>Steve Carter</t>
  </si>
  <si>
    <t>34 Myrlea Trail Alkimos WA 6038</t>
  </si>
  <si>
    <t>Paul Wesley</t>
  </si>
  <si>
    <t>7 Peregrine Street Reedy Creek QLD 4227</t>
  </si>
  <si>
    <t>Melissa Leung</t>
  </si>
  <si>
    <t>Primbee</t>
  </si>
  <si>
    <t>17 Illowra Parkway Primbee NSW 2502</t>
  </si>
  <si>
    <t>Dave Borg</t>
  </si>
  <si>
    <t>wembley</t>
  </si>
  <si>
    <t>11/237 Cambridge Street Wembley WA 6014</t>
  </si>
  <si>
    <t>Pad Bennett</t>
  </si>
  <si>
    <t>40 Waltham Road Armadale WA 6112</t>
  </si>
  <si>
    <t>Peter Daw</t>
  </si>
  <si>
    <t>narre warren north</t>
  </si>
  <si>
    <t>5 Grosvenor Place Narre Warren North VIC 3804</t>
  </si>
  <si>
    <t>Sharon Vanderzee</t>
  </si>
  <si>
    <t>26 Topatig Street Cleveland QLD 4163</t>
  </si>
  <si>
    <t>Vivien Carlsson</t>
  </si>
  <si>
    <t>GOLD COAST</t>
  </si>
  <si>
    <t>52 Springfield Street Macgregor QLD 4109</t>
  </si>
  <si>
    <t>Les Fenton</t>
  </si>
  <si>
    <t>Alan Wealleans</t>
  </si>
  <si>
    <t>Jacqui Plekan</t>
  </si>
  <si>
    <t>Lake Conjola</t>
  </si>
  <si>
    <t>41/1-7 Lagoon st Narrabeen</t>
  </si>
  <si>
    <t>forest hill</t>
  </si>
  <si>
    <t>24 forest hill fernvale road forest hill</t>
  </si>
  <si>
    <t>5 Verrankamp Road, Redbank Plains, QLD, 4301, Australia</t>
  </si>
  <si>
    <t>Darra</t>
  </si>
  <si>
    <t>43 Ellen st Oxley 4075</t>
  </si>
  <si>
    <t>Mount Hawthorn</t>
  </si>
  <si>
    <t>18 The Boulevarde Mount Hawthorn WA 6016</t>
  </si>
  <si>
    <t>Jane Shanahan</t>
  </si>
  <si>
    <t>harrington park</t>
  </si>
  <si>
    <t>Michelle Jade Pisani</t>
  </si>
  <si>
    <t>pascoe vale</t>
  </si>
  <si>
    <t>2/15 Rhodes Parade Pascoe Vale VIC 3044</t>
  </si>
  <si>
    <t>Karina Sjk</t>
  </si>
  <si>
    <t>berwick</t>
  </si>
  <si>
    <t>15 Fairholme Boulevard Berwick VIC 3806</t>
  </si>
  <si>
    <t>Susan Francis-Plunkett</t>
  </si>
  <si>
    <t>Shelley</t>
  </si>
  <si>
    <t>16 Holmes Street Shelley WA 6148</t>
  </si>
  <si>
    <t>Elsie Fisher</t>
  </si>
  <si>
    <t>Petrie</t>
  </si>
  <si>
    <t>3 Oleron Terrace Petrie QLD 4502</t>
  </si>
  <si>
    <t>Robyn Cook</t>
  </si>
  <si>
    <t>Mount Crosby</t>
  </si>
  <si>
    <t>37 Swensons Road Mount Crosby QLD 4306</t>
  </si>
  <si>
    <t>Averill Quinton</t>
  </si>
  <si>
    <t>503/63 Coolum Terrace Coolum Beach QLD 4573</t>
  </si>
  <si>
    <t>Ray Henderson</t>
  </si>
  <si>
    <t>12 Lily Circuit Kuraby QLD 4112</t>
  </si>
  <si>
    <t>Shilpie Alam</t>
  </si>
  <si>
    <t>Lysterfield</t>
  </si>
  <si>
    <t>20 Sommersby Court Lysterfield VIC 3156</t>
  </si>
  <si>
    <t>Sharon Williams</t>
  </si>
  <si>
    <t>annandale Qld</t>
  </si>
  <si>
    <t>12 Sinclair Street Annandale QLD 4814</t>
  </si>
  <si>
    <t>Jennifer Skeggs</t>
  </si>
  <si>
    <t>28 Kaffia Court Elanora QLD 4221</t>
  </si>
  <si>
    <t>Mark Taylor</t>
  </si>
  <si>
    <t>Sue Mackie</t>
  </si>
  <si>
    <t>Black Mountain</t>
  </si>
  <si>
    <t>45 Beechtree Road Black Mountain QLD 4563</t>
  </si>
  <si>
    <t>Noosa Classic Rides | Glenn Brown</t>
  </si>
  <si>
    <t>2 Cascade Avenue Wallan VIC 3756</t>
  </si>
  <si>
    <t>Philip Nicholson</t>
  </si>
  <si>
    <t>Victoria point</t>
  </si>
  <si>
    <t>1 Orana Esplanade Victoria Point QLD 4165</t>
  </si>
  <si>
    <t>Madelyn Clarkson - Grochala</t>
  </si>
  <si>
    <t>Bli Bli QLD 4560</t>
  </si>
  <si>
    <t>4 Bellevue Street Bli Bli QLD 4560</t>
  </si>
  <si>
    <t>Cat Upcroft</t>
  </si>
  <si>
    <t>14 Ross Street, Brassall, QLD, 4305, Australia</t>
  </si>
  <si>
    <t>41/7 Angela Way Pimpama QLD 4209</t>
  </si>
  <si>
    <t>Alan Stewart</t>
  </si>
  <si>
    <t>Meadow Springs</t>
  </si>
  <si>
    <t>74 Grandmere Parade Meadow Springs WA 6210</t>
  </si>
  <si>
    <t>Sharon Brown</t>
  </si>
  <si>
    <t>Pam Hancock</t>
  </si>
  <si>
    <t>elimbah</t>
  </si>
  <si>
    <t>45-49 Hall Road ELIMBAH QLD 4516/1-3 Greentree Road Elimbah QLD 4516</t>
  </si>
  <si>
    <t>melissa Wood</t>
  </si>
  <si>
    <t>Trinity beach</t>
  </si>
  <si>
    <t>1/98-100 Moore Street Trinity Beach QLD 4879</t>
  </si>
  <si>
    <t>Deidre Angela Malady</t>
  </si>
  <si>
    <t>5/14 Hilda Street Hamilton QLD 4007</t>
  </si>
  <si>
    <t>Dale Starkey</t>
  </si>
  <si>
    <t>43 O'Connor Street Tugun QLD 4224</t>
  </si>
  <si>
    <t>Amanda Lambert</t>
  </si>
  <si>
    <t>91 Ryan Place Beacon Hill NSW 2100</t>
  </si>
  <si>
    <t>Allison Dixon</t>
  </si>
  <si>
    <t>38 Gearside Street Everton Park QLD 4053</t>
  </si>
  <si>
    <t>Beth Lehmann</t>
  </si>
  <si>
    <t>Moorooka</t>
  </si>
  <si>
    <t>5 Rabaul Street Moorooka QLD 4105</t>
  </si>
  <si>
    <t>Les Barkla</t>
  </si>
  <si>
    <t>Amit Shrestha</t>
  </si>
  <si>
    <t>Baulkham Hills</t>
  </si>
  <si>
    <t>3 Valda Place Baulkham Hills NSW 2153</t>
  </si>
  <si>
    <t>Anthony Dean</t>
  </si>
  <si>
    <t>48 Protea Drive Bongaree QLD 4507</t>
  </si>
  <si>
    <t>Andy Photellis</t>
  </si>
  <si>
    <t>edge hill</t>
  </si>
  <si>
    <t>1/43 Mazlin Street Edge Hill QLD 4870</t>
  </si>
  <si>
    <t>Scott Fisher</t>
  </si>
  <si>
    <t>4 Adler Court Benowa QLD 4217</t>
  </si>
  <si>
    <t>Paul Hartin</t>
  </si>
  <si>
    <t>80 Laura Street Tarragindi QLD 4121</t>
  </si>
  <si>
    <t>Ryan Maconachie</t>
  </si>
  <si>
    <t>Michelle Kubie</t>
  </si>
  <si>
    <t>castle hill nsw</t>
  </si>
  <si>
    <t>3 Capra Place Castle Hill NSW 2154</t>
  </si>
  <si>
    <t>Maria Ibarra</t>
  </si>
  <si>
    <t>66 Wallumatta Road Newport NSW 2106</t>
  </si>
  <si>
    <t>Graham Spoard</t>
  </si>
  <si>
    <t>Lawnton</t>
  </si>
  <si>
    <t>18 Phillips Place Wakerley QLD 4154</t>
  </si>
  <si>
    <t>Lisa Hurwood (Input suburb as Lawnton, but appears to own the following address included)</t>
  </si>
  <si>
    <t>logan</t>
  </si>
  <si>
    <t>6 Genesta Court Bushland Beach QLD 4818</t>
  </si>
  <si>
    <t>Kelly Parker (Input suburb as Logan, but appears she owns property in Townsville)</t>
  </si>
  <si>
    <t>Chermside west</t>
  </si>
  <si>
    <t>34 Lawrence Road Chermside West QLD 4032</t>
  </si>
  <si>
    <t>Neale Webb</t>
  </si>
  <si>
    <t>36 Abalone Crescent Thornlands QLD 4164</t>
  </si>
  <si>
    <t>Carol-Lee Gerada</t>
  </si>
  <si>
    <t>jennifer Skeggs</t>
  </si>
  <si>
    <t>Tim Bonnefin</t>
  </si>
  <si>
    <t>TAS</t>
  </si>
  <si>
    <t>East Devonport</t>
  </si>
  <si>
    <t>69 Sunbeam Crescent, East Devonport, TAS, 7310, Australia</t>
  </si>
  <si>
    <t>65 Horseshoe Circuit, Yarrabilba, QLD, 4207, Australia</t>
  </si>
  <si>
    <t>25/09/2025</t>
  </si>
  <si>
    <t>Mount Coolum</t>
  </si>
  <si>
    <t>12 Lagoda Drive, Mount Coolum, QLD, 4573, Australia</t>
  </si>
  <si>
    <t>Allyson Lameree</t>
  </si>
  <si>
    <r>
      <rPr>
        <color rgb="FF1155CC"/>
        <sz val="10.0"/>
        <u/>
      </rPr>
      <t>blackallykat@gmail.com</t>
    </r>
  </si>
  <si>
    <t>11 okinya st biggera waters</t>
  </si>
  <si>
    <t>Lindy Loo</t>
  </si>
  <si>
    <t>36 Parry Street Bulimba QLD 4171</t>
  </si>
  <si>
    <t>Lyn Harrys</t>
  </si>
  <si>
    <t>Glenwood</t>
  </si>
  <si>
    <t>Linda Debattista</t>
  </si>
  <si>
    <t>Wolli Creek</t>
  </si>
  <si>
    <t>26/80-90 Bonar Street Wolli Creek NSW 2205</t>
  </si>
  <si>
    <t>Glenn Langley</t>
  </si>
  <si>
    <t>Mitchelton</t>
  </si>
  <si>
    <t>49A Kooya Road Mitchelton QLD 4053</t>
  </si>
  <si>
    <t>Tracey Winders</t>
  </si>
  <si>
    <t>Sinagra</t>
  </si>
  <si>
    <t>23 Plumeria Rise Sinagra WA 6065</t>
  </si>
  <si>
    <t>Ron Costen</t>
  </si>
  <si>
    <t>31 Karloff Drive Stafford Heights QLD 4053</t>
  </si>
  <si>
    <t>Angelo Galano</t>
  </si>
  <si>
    <t>Clearview</t>
  </si>
  <si>
    <t>284 Hampstead Road Clearview SA 5085</t>
  </si>
  <si>
    <t>Kamlesh (Mohit Sangwan)</t>
  </si>
  <si>
    <t>Rothwell</t>
  </si>
  <si>
    <t>42 Tranquility Drive Rothwell QLD 4022</t>
  </si>
  <si>
    <t>Deborah Ingebrigtsen</t>
  </si>
  <si>
    <t>Willetton</t>
  </si>
  <si>
    <t>8 Chaparral Crescent Willetton WA 6155</t>
  </si>
  <si>
    <t>Rikki Giles</t>
  </si>
  <si>
    <t>Sorrento</t>
  </si>
  <si>
    <t>22 Platypus Avenue Bundall QLD 4217</t>
  </si>
  <si>
    <t>Julie Dodson</t>
  </si>
  <si>
    <t>11 Mada Drive Upper Coomera QLD 4209</t>
  </si>
  <si>
    <t>Anne Heinonen</t>
  </si>
  <si>
    <t>57 Luculia Avenue Baulkham Hills NSW 2153</t>
  </si>
  <si>
    <t>Graeme Colman</t>
  </si>
  <si>
    <t>9 Levy Road Elimbah QLD 4516</t>
  </si>
  <si>
    <t>Donna Poll</t>
  </si>
  <si>
    <t>26 Rogar Avenue Frenchville QLD 4701</t>
  </si>
  <si>
    <t>Andrea Evans</t>
  </si>
  <si>
    <t>Liam Jackson</t>
  </si>
  <si>
    <t>Lilydale</t>
  </si>
  <si>
    <t>96 Bastow Road Lilydale VIC 3140</t>
  </si>
  <si>
    <t>Christine Snow</t>
  </si>
  <si>
    <t>Ally Connor</t>
  </si>
  <si>
    <t>Hendra</t>
  </si>
  <si>
    <t>Darren Willersdorf</t>
  </si>
  <si>
    <t>Stanhope Gardens</t>
  </si>
  <si>
    <t>7 Elmstree Road Stanhope Gardens NSW 2768</t>
  </si>
  <si>
    <t>Nel Sen</t>
  </si>
  <si>
    <t>seven Hills</t>
  </si>
  <si>
    <t>2A Johnson Avenue Seven Hills NSW 2147</t>
  </si>
  <si>
    <t>Christopher Rayfield</t>
  </si>
  <si>
    <t>PEREGIAN Beach</t>
  </si>
  <si>
    <t>25 Spoonbill Street Peregian Beach QLD 4573</t>
  </si>
  <si>
    <t>Marla Boykett</t>
  </si>
  <si>
    <t>7 Munroe Court, West Gladstone, Queensland , 4680, Australia</t>
  </si>
  <si>
    <t>Nerida White</t>
  </si>
  <si>
    <t>28 Stone Crescent Baringa QLD 4551</t>
  </si>
  <si>
    <t>Lisa Bartlett</t>
  </si>
  <si>
    <t>One Mile Qld</t>
  </si>
  <si>
    <t>14 Ronayne Circle One Mile QLD 4305</t>
  </si>
  <si>
    <t>Sue Cooper Pavitt</t>
  </si>
  <si>
    <t>Kylie Watson</t>
  </si>
  <si>
    <t>Croydon</t>
  </si>
  <si>
    <t>4 Plumer Street Croydon VIC 3136</t>
  </si>
  <si>
    <t>James Tompkins</t>
  </si>
  <si>
    <t>Warner</t>
  </si>
  <si>
    <t>69 Cootharaba Crescent Warner QLD 4500</t>
  </si>
  <si>
    <t>David Low</t>
  </si>
  <si>
    <t>Narellan Vale</t>
  </si>
  <si>
    <t>14 Quig Place Narellan Vale NSW 2567</t>
  </si>
  <si>
    <t>Luca Ricciardiello</t>
  </si>
  <si>
    <t>West Rockhampton</t>
  </si>
  <si>
    <t>14/12 Ann Street West Rockhampton QLD 4700</t>
  </si>
  <si>
    <t>Kristine Kay Matveyeff</t>
  </si>
  <si>
    <t>9 Whelk Place Mullaloo WA 6027</t>
  </si>
  <si>
    <t>Loana Sica</t>
  </si>
  <si>
    <t>11 Lyndavale Loop Carramar WA 6031</t>
  </si>
  <si>
    <t>Mike Clarke</t>
  </si>
  <si>
    <t>Ferntree Gully</t>
  </si>
  <si>
    <t>17 Outlook Court Ferntree Gully VIC 3156</t>
  </si>
  <si>
    <t>Karen Mackie</t>
  </si>
  <si>
    <t>Glenbrook</t>
  </si>
  <si>
    <t>17E Brookdale Terrace Glenbrook NSW 2773</t>
  </si>
  <si>
    <t>Shane Mills</t>
  </si>
  <si>
    <t>19 seventh road</t>
  </si>
  <si>
    <t>Woollahra</t>
  </si>
  <si>
    <t>Caroline Evans</t>
  </si>
  <si>
    <t>Nudgee</t>
  </si>
  <si>
    <t>34 Jessica Crescent Nudgee QLD 4014</t>
  </si>
  <si>
    <t>Tony Gerard</t>
  </si>
  <si>
    <t>45 Moola Road Ashgrove QLD 4060</t>
  </si>
  <si>
    <t>Stephanie Jackson</t>
  </si>
  <si>
    <t>39 Sharrock Avenue Glenwood NSW 2768</t>
  </si>
  <si>
    <t>Glenn Walker-Stanley</t>
  </si>
  <si>
    <t>8 Jacob Court Berwick VIC 3806</t>
  </si>
  <si>
    <t>Mandy Haynes-Meyer</t>
  </si>
  <si>
    <t>lee blowes</t>
  </si>
  <si>
    <t>25 Paten Road The Gap QLD 4061</t>
  </si>
  <si>
    <t>Cara Cox</t>
  </si>
  <si>
    <t>Coogee</t>
  </si>
  <si>
    <t>1 Pauling Avenue Coogee NSW 2034</t>
  </si>
  <si>
    <t>Lloyd Boolkin</t>
  </si>
  <si>
    <t>6 Anthony Court Seaford VIC 3198</t>
  </si>
  <si>
    <t>Diana N Paul Farrell</t>
  </si>
  <si>
    <t>15 Morotai Avenue Palm Beach QLD 4221</t>
  </si>
  <si>
    <t>Gerard McCormick</t>
  </si>
  <si>
    <t>26 Hazelwood Crescent Annandale QLD 4814 &amp; 32 Horizon Drive Douglas QLD 4814</t>
  </si>
  <si>
    <t>Michelle Sinclair</t>
  </si>
  <si>
    <t>Montrose</t>
  </si>
  <si>
    <t>3 Doreen Court Montrose VIC 3765</t>
  </si>
  <si>
    <t>Angela May</t>
  </si>
  <si>
    <t>37 Tahiti Avenue Palm Beach QLD 4221</t>
  </si>
  <si>
    <t>Cindy Burch</t>
  </si>
  <si>
    <t>Kelmscott</t>
  </si>
  <si>
    <t>9 Toscana Way Kelmscott WA 6111</t>
  </si>
  <si>
    <t>Audrey Gray</t>
  </si>
  <si>
    <t>Mount evelyn</t>
  </si>
  <si>
    <t>Teena Kay-Class</t>
  </si>
  <si>
    <t>10 Platypus Way Warriewood NSW 2102</t>
  </si>
  <si>
    <t>Belinda Youell</t>
  </si>
  <si>
    <t>Clovelly</t>
  </si>
  <si>
    <t>35 Burnie Street, Clovelly, NSW, 2031, Australia</t>
  </si>
  <si>
    <t>28/09/2025</t>
  </si>
  <si>
    <t>Pearl street Scarborough, Scarborough, 4020</t>
  </si>
  <si>
    <t>Suzanna</t>
  </si>
  <si>
    <t>mount pleasant</t>
  </si>
  <si>
    <t>85 New Mount Pleasant Road Mount Pleasant NSW 2519</t>
  </si>
  <si>
    <t>Mike Dowd</t>
  </si>
  <si>
    <t>Peregian springs</t>
  </si>
  <si>
    <t>2 Garcia Court Peregian Springs QLD 4573</t>
  </si>
  <si>
    <t>Amanda Campbell</t>
  </si>
  <si>
    <t>Mill park</t>
  </si>
  <si>
    <t>13 Randell Court Mill Park VIC 3082</t>
  </si>
  <si>
    <t>Ben Gloria</t>
  </si>
  <si>
    <t>Freshwater</t>
  </si>
  <si>
    <t>18 Old Smithfield Road Freshwater QLD 4870</t>
  </si>
  <si>
    <t>Helen Simpson</t>
  </si>
  <si>
    <t>Rosslea</t>
  </si>
  <si>
    <t>1 Champion Drive Rosslea QLD 4812</t>
  </si>
  <si>
    <t>Paul Stewart</t>
  </si>
  <si>
    <t>hendra</t>
  </si>
  <si>
    <t>mark thomas</t>
  </si>
  <si>
    <t>217 Coburg Street West Cleveland QLD 4163</t>
  </si>
  <si>
    <t>Andrew Long</t>
  </si>
  <si>
    <t>4 Bilby Place Gosnells WA 6110</t>
  </si>
  <si>
    <t>Jeff Bremner</t>
  </si>
  <si>
    <t>Acacia Gardens</t>
  </si>
  <si>
    <t>30 Sciarra Crescent Acacia Gardens NSW 2763</t>
  </si>
  <si>
    <t>A G Menendez</t>
  </si>
  <si>
    <t>303/168 Queenscliff Road Queenscliff NSW 2096</t>
  </si>
  <si>
    <t>Nicola Hensler</t>
  </si>
  <si>
    <t>Hallett Cove</t>
  </si>
  <si>
    <t>7 Douglas Court Hallett Cove SA 5158</t>
  </si>
  <si>
    <t>Ann Ryan</t>
  </si>
  <si>
    <t>Even heights</t>
  </si>
  <si>
    <t>292 Coolangatta Road Bilinga QLD 4225</t>
  </si>
  <si>
    <t>Ian Chan</t>
  </si>
  <si>
    <t>Box Hill</t>
  </si>
  <si>
    <t>271 Terry Road Box Hill NSW 2765</t>
  </si>
  <si>
    <t>Maureen Tan Pelaez</t>
  </si>
  <si>
    <t>1 Wilmington Court Helensvale QLD 4212</t>
  </si>
  <si>
    <t>Wendy Lam</t>
  </si>
  <si>
    <t>Tingalpa</t>
  </si>
  <si>
    <t>86 Monterey Circuit Tingalpa QLD 4173</t>
  </si>
  <si>
    <t>Werner Ploschke</t>
  </si>
  <si>
    <t>Broadmeadows</t>
  </si>
  <si>
    <t>4 Lowan Court Dallas VIC 3047</t>
  </si>
  <si>
    <t>Cathrine Attard</t>
  </si>
  <si>
    <t>pimpama</t>
  </si>
  <si>
    <t>Terry Docherty</t>
  </si>
  <si>
    <t>meadow springs Mandurah</t>
  </si>
  <si>
    <t>55 Sunningdale Chase Meadow Springs WA 6210</t>
  </si>
  <si>
    <t>Margaret Moor</t>
  </si>
  <si>
    <t>Kerryn Touzel</t>
  </si>
  <si>
    <t>Baulkham hills</t>
  </si>
  <si>
    <t>Janie Didd</t>
  </si>
  <si>
    <t>Michael Lai</t>
  </si>
  <si>
    <t>Geoff Cutter</t>
  </si>
  <si>
    <t>Somerton Park</t>
  </si>
  <si>
    <t>16 Prospect Place Upper Kedron QLD 4055</t>
  </si>
  <si>
    <t>Lynn Hill</t>
  </si>
  <si>
    <t>72 Wyadra Avenue, Freshwater, NSW, 2096, Australia</t>
  </si>
  <si>
    <t>119 Henry Street Merewether NSW 2291</t>
  </si>
  <si>
    <t>15 Coffey Court, Beachmere, QLD, 4510, Australia</t>
  </si>
  <si>
    <t>Como</t>
  </si>
  <si>
    <t>4/39 Robert Street, Como</t>
  </si>
  <si>
    <t>7 dotterel pl</t>
  </si>
  <si>
    <t>Bayview Heights</t>
  </si>
  <si>
    <t>22 Vista St.</t>
  </si>
  <si>
    <t>11 Colleen grove Wollongong</t>
  </si>
  <si>
    <t>3/33 Sundridge St,Taringa</t>
  </si>
  <si>
    <t>Safety Beach</t>
  </si>
  <si>
    <t>26 Spinnaker Terrace, Safety Beach, VIC, 3936, Australia</t>
  </si>
  <si>
    <t>Upper Beaconsfield</t>
  </si>
  <si>
    <t>Peter Sheppard</t>
  </si>
  <si>
    <t>browns plains</t>
  </si>
  <si>
    <t>1 Dunbar Street Browns Plains QLD 4118</t>
  </si>
  <si>
    <t>Naomi Duncan</t>
  </si>
  <si>
    <t>Kellyville</t>
  </si>
  <si>
    <t>Steve Jackson (Believe his name may be Brendon Wallace based off the phone number and email provided. Low Quality Data)</t>
  </si>
  <si>
    <t>Kilsyth</t>
  </si>
  <si>
    <t>22 Walnut Drive Kilsyth VIC 3137</t>
  </si>
  <si>
    <t>Karen Cowdery</t>
  </si>
  <si>
    <t>10 Honeysuckle Place Kellyville NSW 2155</t>
  </si>
  <si>
    <t>Neala Fraser</t>
  </si>
  <si>
    <t>11 Kent Street Toowong QLD 4066</t>
  </si>
  <si>
    <t>Lyn Harrison</t>
  </si>
  <si>
    <t>2/91 Seagull Avenue Mermaid Beach QLD 4218</t>
  </si>
  <si>
    <t>Edward Patching</t>
  </si>
  <si>
    <t>184 Barton Road Hawthorne QLD 4171</t>
  </si>
  <si>
    <t>Kris Wellings (Previously we have sent this too you, but given the additional information and guides downloaded we are more confident in this lead now)</t>
  </si>
  <si>
    <t>Mick Malady</t>
  </si>
  <si>
    <t>Upper Kedron</t>
  </si>
  <si>
    <t>52 Skye Place Upper Kedron QLD 4055</t>
  </si>
  <si>
    <t>Lauri Meiklejohn</t>
  </si>
  <si>
    <t>47 Canyon Road Baulkham Hills NSW 2153</t>
  </si>
  <si>
    <t>Russ Whitley</t>
  </si>
  <si>
    <t>33 Tequesta Drive Beaudesert QLD 4285</t>
  </si>
  <si>
    <t>Vivien Ouwerkerk</t>
  </si>
  <si>
    <t>41 Grove Crescent TOOWONG QLD 4066</t>
  </si>
  <si>
    <t>Bec Kenny</t>
  </si>
  <si>
    <t>119 Woodland Street Balgowlah NSW 2093</t>
  </si>
  <si>
    <t>Lisa Birch</t>
  </si>
  <si>
    <t>Castle Hill</t>
  </si>
  <si>
    <t>10 Toorak Place CASTLE HILL QLD 4810</t>
  </si>
  <si>
    <t>Kylee Petersen</t>
  </si>
  <si>
    <t>Glenmore Park</t>
  </si>
  <si>
    <t>62 Highdale Terrace Glenmore Park NSW 2745</t>
  </si>
  <si>
    <t>Lisa Hansen</t>
  </si>
  <si>
    <t>Beacon Hill</t>
  </si>
  <si>
    <t>6 Owen Stanley Avenue Beacon Hill NSW 2100</t>
  </si>
  <si>
    <t>Susan Jean</t>
  </si>
  <si>
    <t>353/79-91 Macpherson Street Warriewood NSW 2102</t>
  </si>
  <si>
    <t>Louise Smith</t>
  </si>
  <si>
    <t>4 Kyogle Street Maroubra NSW 2035</t>
  </si>
  <si>
    <t>Jorge Garcia</t>
  </si>
  <si>
    <t>44 River Links Boulevard East Helensvale QLD 4212</t>
  </si>
  <si>
    <t>Bob Hayward</t>
  </si>
  <si>
    <t>Currajong</t>
  </si>
  <si>
    <t>43 Punari Street Currajong QLD 4812</t>
  </si>
  <si>
    <t>Erwin van Mierlo</t>
  </si>
  <si>
    <t>Brisbane</t>
  </si>
  <si>
    <t>30 Gresham Street East Brisbane QLD 4169</t>
  </si>
  <si>
    <t>Gary Gaudion</t>
  </si>
  <si>
    <t>59 Granya Grove MOUNT ELIZA VIC 3930</t>
  </si>
  <si>
    <t>Julie</t>
  </si>
  <si>
    <t>Sinnamon Park</t>
  </si>
  <si>
    <t>6 Swallow Place Sinnamon Park QLD 4073</t>
  </si>
  <si>
    <t>Vicki Goodall</t>
  </si>
  <si>
    <t>40 Taronga Street Palmwoods QLD 4555</t>
  </si>
  <si>
    <t>Sue Gilchrist</t>
  </si>
  <si>
    <t>2a Johnson ave seven Hills</t>
  </si>
  <si>
    <t>Broadbeach Waters</t>
  </si>
  <si>
    <t>13 Welby Street, Broadbeach Waters, QLD, 4218, Australia</t>
  </si>
  <si>
    <t>Varsity Lakes</t>
  </si>
  <si>
    <t>1 / 9 Magenta Drive, Varsity Lakes, QLD, 4227, Australia</t>
  </si>
  <si>
    <t>30/09/2025</t>
  </si>
  <si>
    <t>Highworth</t>
  </si>
  <si>
    <t>6 Yvonne Street, Highworth, QLD, 4560, Australia</t>
  </si>
  <si>
    <t>211 King Street Caboolture QLD 4510</t>
  </si>
  <si>
    <t>Wendy Marsh</t>
  </si>
  <si>
    <t>22 Levy Street Glenbrook NSW 2773</t>
  </si>
  <si>
    <t>SYDNEY RESTORATION COMPANY (Greg Brown)</t>
  </si>
  <si>
    <t>2994 Old Gympie Road Beerwah QLD 4519</t>
  </si>
  <si>
    <t>Kim Hall</t>
  </si>
  <si>
    <t>Morgan</t>
  </si>
  <si>
    <t>40 James Street Mount Morgan QLD 4714</t>
  </si>
  <si>
    <t>catherine helen moyle</t>
  </si>
  <si>
    <t>16 Boyden Square Roxburgh Park VIC 3064</t>
  </si>
  <si>
    <t>Jill Rowley</t>
  </si>
  <si>
    <t>Melinda Smith</t>
  </si>
  <si>
    <t>3 James Mac Court Narangba QLD 4504</t>
  </si>
  <si>
    <t>Carey Hibbett</t>
  </si>
  <si>
    <t>2 Holborn Crescent Carindale QLD 4152</t>
  </si>
  <si>
    <t>Deb Harris</t>
  </si>
  <si>
    <t>deception bay</t>
  </si>
  <si>
    <t>44/80 Webster Road Deception Bay QLD 4508</t>
  </si>
  <si>
    <t>kesa m</t>
  </si>
  <si>
    <t>Balmoral</t>
  </si>
  <si>
    <t>13 Bexley Avenue Balmoral QLD 4171</t>
  </si>
  <si>
    <t>Andrew Churcher</t>
  </si>
  <si>
    <t>Margate</t>
  </si>
  <si>
    <t>Elisha Nikolovska</t>
  </si>
  <si>
    <t>16 Tedbury Road Jordan Springs NSW 2747</t>
  </si>
  <si>
    <t>Kerry Palejs</t>
  </si>
  <si>
    <t>12 Somerton Court, Seaford, SA, 5169, Australia</t>
  </si>
  <si>
    <t>8 Carnation Close, Springfield, QLD, 4300, Australia</t>
  </si>
  <si>
    <t>Forresters Beach</t>
  </si>
  <si>
    <t>36 Noorong Avenue Forresters Beach NSW 2260</t>
  </si>
  <si>
    <t>Robert Broué</t>
  </si>
  <si>
    <t>28 Cooinda Place Kiama NSW 2533</t>
  </si>
  <si>
    <t>John Gabriele</t>
  </si>
  <si>
    <t>Kedron</t>
  </si>
  <si>
    <t>45 Strathmore Street Kedron QLD 4031</t>
  </si>
  <si>
    <t>Deb Spearritt</t>
  </si>
  <si>
    <t>Leichhardt</t>
  </si>
  <si>
    <t>22 Neumann Place Leichhardt QLD 4305</t>
  </si>
  <si>
    <t>Bev Palfrey</t>
  </si>
  <si>
    <t>26 Oxford Road Yeppoon QLD 4703</t>
  </si>
  <si>
    <t>Bobbie Winger</t>
  </si>
  <si>
    <t>20 Monteray Terrace Glenmore Park NSW 2745</t>
  </si>
  <si>
    <t>Cherine Constanti</t>
  </si>
  <si>
    <t>27 Clarke Street HENDRA QLD 4011</t>
  </si>
  <si>
    <t>Monique Bell</t>
  </si>
  <si>
    <t>Veena Gollop - Model and Exercise Scientist</t>
  </si>
  <si>
    <t>clarkson</t>
  </si>
  <si>
    <t>10 Antares Street Clarkson WA 6030</t>
  </si>
  <si>
    <t>Joan Martin</t>
  </si>
  <si>
    <t>North Kellyville</t>
  </si>
  <si>
    <t>4 Mount Scott Way North Kellyville NSW 2155</t>
  </si>
  <si>
    <t>Ian Bosen</t>
  </si>
  <si>
    <t>Doreen</t>
  </si>
  <si>
    <t>Wendy Kelly</t>
  </si>
  <si>
    <t>Sandy</t>
  </si>
  <si>
    <t>16 Emma Place Fig Tree Pocket QLD 4069 &amp; 14 Ramada Place Fig Tree Pocket QLD 4069 (Publicly sourced these addresses owned by Heather - not confident in her selling)</t>
  </si>
  <si>
    <t>Heather Geary</t>
  </si>
  <si>
    <t>Mount Annan</t>
  </si>
  <si>
    <t>22 Hines Place, Mount Annan, NSW, 2567, Australia</t>
  </si>
  <si>
    <t>Taranganba</t>
  </si>
  <si>
    <t>47 Swordfish Ave</t>
  </si>
  <si>
    <t>Kinross</t>
  </si>
  <si>
    <t>45 Stonehaven Parade</t>
  </si>
  <si>
    <t>Amber Werchon</t>
  </si>
  <si>
    <t>Caloundra</t>
  </si>
  <si>
    <t>6 Cooroora Street Dicky Beach QLD 4551</t>
  </si>
  <si>
    <t>Deb Smith</t>
  </si>
  <si>
    <t>57 Wallara Waters Boulevard Wallan VIC 3756</t>
  </si>
  <si>
    <t>Helen Savage</t>
  </si>
  <si>
    <t>Bellmere</t>
  </si>
  <si>
    <t>28 Riverside Circuit Bellmere QLD 4510</t>
  </si>
  <si>
    <t>Vicki Paradine Hawes</t>
  </si>
  <si>
    <t>75 Grover Avenue Cromer NSW 2099</t>
  </si>
  <si>
    <t>Alicen van Bokhoven</t>
  </si>
  <si>
    <t>Oxenford</t>
  </si>
  <si>
    <t>1044 / 6 Crestridge Crescent, Oxenford, QLD, 4210, Australia</t>
  </si>
  <si>
    <t>32 City View Road Camp Hill QLD 4152</t>
  </si>
  <si>
    <t>Lesleigh Kacin</t>
  </si>
  <si>
    <t>19 Kangaroo Street North Lakes QLD 4509</t>
  </si>
  <si>
    <t>Peta Bahre</t>
  </si>
  <si>
    <t>1 Silene Street Wavell Heights QLD 4012</t>
  </si>
  <si>
    <t>Anna Clay-O'Donoghue</t>
  </si>
  <si>
    <t>3 Cobia Court Mountain Creek QLD 4557</t>
  </si>
  <si>
    <t>Temieka Bond</t>
  </si>
  <si>
    <t>7/45 Shore Street East Cleveland QLD 4163</t>
  </si>
  <si>
    <t>Claire Stevens</t>
  </si>
  <si>
    <t>7/157 Kinross Drive Kinross WA 6028</t>
  </si>
  <si>
    <t>Danielle Hayes</t>
  </si>
  <si>
    <t>20 Clipper Street Inala</t>
  </si>
  <si>
    <t>One Mile</t>
  </si>
  <si>
    <t>14 Ronayne Circle, One Mile, QLD, 4305, Australia</t>
  </si>
  <si>
    <t>21 / 15 Lloyd Street, Southport, QLD, 4215, Australia</t>
  </si>
  <si>
    <t>Philip Talbot</t>
  </si>
  <si>
    <t>Sapphire Beach</t>
  </si>
  <si>
    <t>15 Red Gum Circuit, Sapphire Beach, NSW, 2450, Australia</t>
  </si>
  <si>
    <t>32 City View Road, Camp Hill, QLD, 4152, Australia</t>
  </si>
  <si>
    <t>Sellicks Beach</t>
  </si>
  <si>
    <t>14 George Parade</t>
  </si>
  <si>
    <t>Runaway</t>
  </si>
  <si>
    <t>2/40 Markham Avenue Runaway Bay QLD 4216</t>
  </si>
  <si>
    <t>Bruce Judith Wood</t>
  </si>
  <si>
    <t>Hydes Creek</t>
  </si>
  <si>
    <t>450 Hydes Creek Road Hydes Creek NSW 2454</t>
  </si>
  <si>
    <t>Michael Newton</t>
  </si>
  <si>
    <t>South Yunderup</t>
  </si>
  <si>
    <t>24 Sun Land Avenue South Yunderup WA 6208</t>
  </si>
  <si>
    <t>John Mccarthy</t>
  </si>
  <si>
    <t>5 Bigita Place Elimbah QLD 4516</t>
  </si>
  <si>
    <t>Michelle Finlay</t>
  </si>
  <si>
    <t>3 Robert Court Redland Bay QLD 4165</t>
  </si>
  <si>
    <t>Eve Kerlin</t>
  </si>
  <si>
    <t>Clontarf</t>
  </si>
  <si>
    <t>1 Duke Street Clontarf QLD 4019</t>
  </si>
  <si>
    <t>Fiona Tildesley</t>
  </si>
  <si>
    <t>28/61 East Quay Drive Biggera Waters QLD 4216</t>
  </si>
  <si>
    <t>Stephen Wright (Appears this property has just been listed)</t>
  </si>
  <si>
    <t>77 Phoenix Avenue Bongaree QLD 4507</t>
  </si>
  <si>
    <t>Tim Amourous</t>
  </si>
  <si>
    <t>6 Ulverston Way Lakelands NSW 2282</t>
  </si>
  <si>
    <t>Luke Williams</t>
  </si>
  <si>
    <t>maroochydore</t>
  </si>
  <si>
    <t>14 Hazeltine Court Maroochydore QLD 4558</t>
  </si>
  <si>
    <t>Bill Harris</t>
  </si>
  <si>
    <r>
      <rPr>
        <color rgb="FF1155CC"/>
        <sz val="10.0"/>
        <u/>
      </rPr>
      <t>billsphone65@gmail.com</t>
    </r>
  </si>
  <si>
    <t>Charlestown</t>
  </si>
  <si>
    <t>10 Alexander Parade Charlestown NSW 2290</t>
  </si>
  <si>
    <t>Frannie Scott</t>
  </si>
  <si>
    <t>Dernancourt</t>
  </si>
  <si>
    <t>11 Birch Grove Dernancourt SA 5075</t>
  </si>
  <si>
    <t>Heather Bennett</t>
  </si>
  <si>
    <t>Kingswood</t>
  </si>
  <si>
    <t>26 Plunkett Crescent Kingswood NSW 2747</t>
  </si>
  <si>
    <t>Raelene O'Mullane</t>
  </si>
  <si>
    <t>20/360 Benhiam Street Calamvale QLD 4116</t>
  </si>
  <si>
    <t>Jeehan Habib</t>
  </si>
  <si>
    <t>Holland park</t>
  </si>
  <si>
    <t>58 Coonara Street Holland Park QLD 4121</t>
  </si>
  <si>
    <t>Catherine Allen</t>
  </si>
  <si>
    <t>Banora Point</t>
  </si>
  <si>
    <t>23 Sequoia Court Banora Point NSW 2486</t>
  </si>
  <si>
    <t>John Berry</t>
  </si>
  <si>
    <t>19 Augusta Circuit Peregian Springs QLD 4573</t>
  </si>
  <si>
    <t>Gary Hanlon</t>
  </si>
  <si>
    <t>Newstead</t>
  </si>
  <si>
    <t>208/8 Kyabra Street Newstead QLD 4006</t>
  </si>
  <si>
    <t>Kellie Lean</t>
  </si>
  <si>
    <t>Palm beach</t>
  </si>
  <si>
    <t>Jim Davidson</t>
  </si>
  <si>
    <t>129 Biggs avenue</t>
  </si>
  <si>
    <t>Coffs Harbour</t>
  </si>
  <si>
    <t>14 Diggers Beach Road Coffs Harbour NSW 2450</t>
  </si>
  <si>
    <t>Mimi Neill</t>
  </si>
  <si>
    <t>5 Otley Place Gosnells WA 6110</t>
  </si>
  <si>
    <t>Patrick O'Connor</t>
  </si>
  <si>
    <t>6 Coral Street Frankston VIC 3199</t>
  </si>
  <si>
    <t>Rhett Andrew Dempsey</t>
  </si>
  <si>
    <t>Castle hill</t>
  </si>
  <si>
    <t>23 Tristan Court Castle Hill NSW 2154</t>
  </si>
  <si>
    <t>Wendy Kusmenko</t>
  </si>
  <si>
    <t>Kings Beach</t>
  </si>
  <si>
    <t>2/7 Warne Terrace Kings Beach QLD 4551</t>
  </si>
  <si>
    <t>Cassy Impey</t>
  </si>
  <si>
    <t>Baylkham hills</t>
  </si>
  <si>
    <t>10 Alysse Close Baulkham Hills NSW 2153</t>
  </si>
  <si>
    <t>Wendy De Audney</t>
  </si>
  <si>
    <t>18B Quambi Place Buderim QLD 4556</t>
  </si>
  <si>
    <t>Mike Hogan</t>
  </si>
  <si>
    <t>Oak Valley</t>
  </si>
  <si>
    <t>31 Chisholm Trail Oak Valley QLD 4811</t>
  </si>
  <si>
    <t>Adele Smith</t>
  </si>
  <si>
    <t>8 Garrick Street West End QLD 4810</t>
  </si>
  <si>
    <t>Lothar Christiani</t>
  </si>
  <si>
    <t>46 Moyup Way South Yunderup WA 6208</t>
  </si>
  <si>
    <t>Kevin Bertelli</t>
  </si>
  <si>
    <t>kellyville</t>
  </si>
  <si>
    <t>11/115 Cattai Creek Drive Kellyville NSW 2155</t>
  </si>
  <si>
    <t>Wayne West</t>
  </si>
  <si>
    <t>49 Craig Parry Drive Wallan VIC 3756</t>
  </si>
  <si>
    <t>Nicky Harrison</t>
  </si>
  <si>
    <t>41 hart crescent bells creek, Baringa, 4551</t>
  </si>
  <si>
    <t>Scott Miller</t>
  </si>
  <si>
    <t>49 Amulree Street Tarragindi QLD 4121</t>
  </si>
  <si>
    <t>Andrew White</t>
  </si>
  <si>
    <t>29/20 Store Street Albion QLD 4010</t>
  </si>
  <si>
    <t>Beechmont</t>
  </si>
  <si>
    <t>29 Farm Grove Road Beechmont QLD 4211</t>
  </si>
  <si>
    <t>Tony Fishburn</t>
  </si>
  <si>
    <t>99 James Street Charlestown NSW 2290</t>
  </si>
  <si>
    <t>Suzy samiotis</t>
  </si>
  <si>
    <t>Kallangur</t>
  </si>
  <si>
    <t>21 Lintone Street Kallangur QLD 4503</t>
  </si>
  <si>
    <t>Chris Moran</t>
  </si>
  <si>
    <t>Landsdale</t>
  </si>
  <si>
    <t>38 Sissinghurst Crescent Landsdale WA 6065</t>
  </si>
  <si>
    <t>Neil Stewart</t>
  </si>
  <si>
    <t>12 Castlehaven Close Chermside West QLD 4032</t>
  </si>
  <si>
    <t>Kenneth Boles</t>
  </si>
  <si>
    <t>Coolum Beach</t>
  </si>
  <si>
    <t>4 Bywater Road Coolum Beach QLD 4573</t>
  </si>
  <si>
    <t>Russell Higgins</t>
  </si>
  <si>
    <t>Croydon North</t>
  </si>
  <si>
    <t>39-43 Fairview Avenue Croydon North VIC 3136</t>
  </si>
  <si>
    <t>Kerry Farrington</t>
  </si>
  <si>
    <t>Middle Ridge</t>
  </si>
  <si>
    <t>21 Bridget Court Middle Ridge QLD 4350</t>
  </si>
  <si>
    <t>Margaret Simon</t>
  </si>
  <si>
    <t>Kingston</t>
  </si>
  <si>
    <t>26 Woody Avenue Kingston QLD 4114</t>
  </si>
  <si>
    <t>merindah Faye welsh</t>
  </si>
  <si>
    <t>95 Kiap Road South Yunderup WA 6208</t>
  </si>
  <si>
    <t>Quentin Short</t>
  </si>
  <si>
    <t>23 Nellie Street Nundah QLD 4012</t>
  </si>
  <si>
    <t>Emma-Lee</t>
  </si>
  <si>
    <t>53 George Street Alexandra Headland QLD 4572</t>
  </si>
  <si>
    <t>Sally Hopkins</t>
  </si>
  <si>
    <t>Fingal head nsw</t>
  </si>
  <si>
    <t>4/3 Elizabeth Street Fingal Head NSW 2487</t>
  </si>
  <si>
    <t>Rae</t>
  </si>
  <si>
    <t>Burnside</t>
  </si>
  <si>
    <t>163 Perwillowen Road, Burnside, QLD, 4560, Australia</t>
  </si>
  <si>
    <t>Shelharbour</t>
  </si>
  <si>
    <t>29 Elizabeth Circuit Flinders NSW 2529</t>
  </si>
  <si>
    <t>Andrew clancy</t>
  </si>
  <si>
    <t>Lesley Evans</t>
  </si>
  <si>
    <t>Gladstone Central</t>
  </si>
  <si>
    <t>16 Oaka Lane Gladstone Central QLD 4680</t>
  </si>
  <si>
    <t>MichaelBreadsell</t>
  </si>
  <si>
    <t>23 Terraces Court Peregian Springs QLD 4573</t>
  </si>
  <si>
    <t>Shay Balmanno</t>
  </si>
  <si>
    <t>Cluden</t>
  </si>
  <si>
    <t>7 Carney Street Cluden QLD 4811</t>
  </si>
  <si>
    <t>Bill Keppels</t>
  </si>
  <si>
    <t>Jan Hughes</t>
  </si>
  <si>
    <t>Bellara</t>
  </si>
  <si>
    <t>29 Pumicestone Street Bellara QLD 4507</t>
  </si>
  <si>
    <t>Kath Gardner</t>
  </si>
  <si>
    <t>Lyn Dawn</t>
  </si>
  <si>
    <t>kuranda</t>
  </si>
  <si>
    <t>3 Coconut Grove Kuranda QLD 4881</t>
  </si>
  <si>
    <t>Margaret Genever</t>
  </si>
  <si>
    <t>harlaxton</t>
  </si>
  <si>
    <t>16 Wattle Street Harlaxton QLD 4350</t>
  </si>
  <si>
    <t>Chris Petersen</t>
  </si>
  <si>
    <t>Happy Valley</t>
  </si>
  <si>
    <t>8 Roxanne Street Happy Valley SA 5159</t>
  </si>
  <si>
    <t>Helen Telford</t>
  </si>
  <si>
    <t>1012/9-21 Beach Parade Surfers Paradise QLD 4217</t>
  </si>
  <si>
    <t>Michele D'Arcy</t>
  </si>
  <si>
    <t>Pinjarra</t>
  </si>
  <si>
    <t>16 Eureka Court Pinjarra WA 6208</t>
  </si>
  <si>
    <t>Tim Newick</t>
  </si>
  <si>
    <t>Unit 7  118-120 Lagoon Street NARRABEEN NSW 2101</t>
  </si>
  <si>
    <t>Ross Halfacree</t>
  </si>
  <si>
    <t>110 Elanora Road Elanora Heights NSW 2101</t>
  </si>
  <si>
    <t>Paul Butterworth</t>
  </si>
  <si>
    <t>46 Tollington Park Road Kelmscott WA 6111</t>
  </si>
  <si>
    <t>Vic Cook</t>
  </si>
  <si>
    <t>Savannah Georgina Poolman</t>
  </si>
  <si>
    <t>30 Kingfisher Way Warriewood NSW 2102</t>
  </si>
  <si>
    <t>Kay Houston Rice</t>
  </si>
  <si>
    <t>Mermaid Waters</t>
  </si>
  <si>
    <t>4/22 Peter Parade Mermaid Waters QLD 4218</t>
  </si>
  <si>
    <t>Jerildine Stevenson</t>
  </si>
  <si>
    <t>moorooka</t>
  </si>
  <si>
    <t>10 Northview Outlook Moorooka QLD 4105</t>
  </si>
  <si>
    <t>John Sullivan</t>
  </si>
  <si>
    <t>Tennyson</t>
  </si>
  <si>
    <t>38 Camelot Street Tennyson QLD 4105</t>
  </si>
  <si>
    <t>Ian Jobbins</t>
  </si>
  <si>
    <t>1163 Gold Coast Highway Palm Beach QLD 4221</t>
  </si>
  <si>
    <t>31 moore street morningside</t>
  </si>
  <si>
    <t>Kenmore Rd, Kenmore Qld 4069, Australia</t>
  </si>
  <si>
    <t>Sunnybank Hills Shoppingtown</t>
  </si>
  <si>
    <t>booval</t>
  </si>
  <si>
    <t>8 Booval Street Booval QLD 4304</t>
  </si>
  <si>
    <t>StJohn Ernest Hawkes</t>
  </si>
  <si>
    <t>64/62-66 Sixth Avenue Maroochydore QLD 4558</t>
  </si>
  <si>
    <t>Lyn Cheetham</t>
  </si>
  <si>
    <r>
      <rPr>
        <color rgb="FF1155CC"/>
        <sz val="10.0"/>
        <u/>
      </rPr>
      <t>cheetham852@gmail.com</t>
    </r>
  </si>
  <si>
    <t>The gap</t>
  </si>
  <si>
    <t>6 Tandara Street The Gap QLD 4061</t>
  </si>
  <si>
    <t>Caitlin Harvey</t>
  </si>
  <si>
    <t>95 Crombie Avenue Bundall QLD 4217</t>
  </si>
  <si>
    <t>Linna Parker</t>
  </si>
  <si>
    <t>2 Oban Street Frankston VIC 3199</t>
  </si>
  <si>
    <t>Pam Elias</t>
  </si>
  <si>
    <t>redland bay</t>
  </si>
  <si>
    <t>95 Main Street Redland Bay QLD 4165</t>
  </si>
  <si>
    <t>Colette Harding</t>
  </si>
  <si>
    <t>2 Silvertop Place Albion Park Rail NSW 2527</t>
  </si>
  <si>
    <t>Jacky Horn</t>
  </si>
  <si>
    <t>16 Olfersia Court Mooroobool QLD 4870</t>
  </si>
  <si>
    <t>Linda Scanlan</t>
  </si>
  <si>
    <t>Eumundi</t>
  </si>
  <si>
    <t>25 Fullager Drive, Eumundi, QLD, 4562, Australia</t>
  </si>
  <si>
    <t>surfers paradise</t>
  </si>
  <si>
    <t>3/6 northcliffe terrace surfers paradise</t>
  </si>
  <si>
    <t>45 Bellevue Road Figtree NSW 2525</t>
  </si>
  <si>
    <t>Andrew Byron</t>
  </si>
  <si>
    <t>Calliope</t>
  </si>
  <si>
    <t>36 Brown Street Calliope QLD 4680</t>
  </si>
  <si>
    <t>TracySpencer</t>
  </si>
  <si>
    <t>Glenvale Toowoomba</t>
  </si>
  <si>
    <t>3 Neiwand Street Kearneys Spring QLD 4350</t>
  </si>
  <si>
    <t>Frank Moffatt</t>
  </si>
  <si>
    <t>kingscliff</t>
  </si>
  <si>
    <t>Kas Quinn</t>
  </si>
  <si>
    <t>Meg Purcell</t>
  </si>
  <si>
    <t>U 8 32 Cassia St, Dee Why, 2099</t>
  </si>
  <si>
    <t>Roslyn Dunne</t>
  </si>
  <si>
    <t>Deception Bay</t>
  </si>
  <si>
    <t>62 / 80 Webster Road, Deception Bay, QLD, 4508, Australia</t>
  </si>
  <si>
    <t>Caloundra West</t>
  </si>
  <si>
    <t>43 Cobalt Crescent, Caloundra West, QLD, 4551, Australia</t>
  </si>
  <si>
    <t>43 cobalt crescent</t>
  </si>
  <si>
    <t>Deception Bay, Qld.</t>
  </si>
  <si>
    <t>unit 62/ 80 webster road</t>
  </si>
  <si>
    <t>Gumdale</t>
  </si>
  <si>
    <t>823 London Road Chandler QLD 4155</t>
  </si>
  <si>
    <t>Doog (Appears name may be Dugal)</t>
  </si>
  <si>
    <t>5 Barrine Court Skye VIC 3977</t>
  </si>
  <si>
    <t>Pauline Carlisle</t>
  </si>
  <si>
    <t>8 Bradley Drive Harrington Park NSW 2567</t>
  </si>
  <si>
    <t>Heather Ungaro</t>
  </si>
  <si>
    <t>12 Tobruk Avenue Allambie Heights NSW 2100</t>
  </si>
  <si>
    <t>Daana Seeney</t>
  </si>
  <si>
    <t>6 Napoli Way North Kellyville NSW 2155</t>
  </si>
  <si>
    <t>Melanie Cowie</t>
  </si>
  <si>
    <t>Rowville</t>
  </si>
  <si>
    <t>1082 Wellington Road Rowville VIC 3178</t>
  </si>
  <si>
    <t>Ray Klingler</t>
  </si>
  <si>
    <t>33/17 Ferry Lane Bulimba QLD 4171</t>
  </si>
  <si>
    <t>Jenny Barton</t>
  </si>
  <si>
    <t>Alexandra Hills</t>
  </si>
  <si>
    <t>16 Palana Drive Alexandra Hills QLD 4161</t>
  </si>
  <si>
    <t>Lorraine Ware</t>
  </si>
  <si>
    <t>26 Byrne Parade Balmoral QLD 4171</t>
  </si>
  <si>
    <t>Allison Rens</t>
  </si>
  <si>
    <t>2/129 Terralong Street Kiama NSW 2533</t>
  </si>
  <si>
    <t>Danielle Steel</t>
  </si>
  <si>
    <t>11 Mada Drive Upper Coomera, Upper Coomera, 4209</t>
  </si>
  <si>
    <t>11 Mada Drive, Upper Coomera, QLD, 4209, Australia</t>
  </si>
  <si>
    <t>53 Tollesbury Avenue Butler, Butler, 6036</t>
  </si>
  <si>
    <t>Susan Falk</t>
  </si>
  <si>
    <t>58 Wattleglen Street, Craigieburn, VIC, 3064, Australia</t>
  </si>
  <si>
    <t>14 Castlehill Avenue Greenvale VIC 3059</t>
  </si>
  <si>
    <t>Anne Reilly</t>
  </si>
  <si>
    <t>21 Lowlands Avenue Eglinton WA 6034</t>
  </si>
  <si>
    <t>Sandra Palmer</t>
  </si>
  <si>
    <t>61 Hirschfield Street Zillmere QLD 4034</t>
  </si>
  <si>
    <t>Jodee Handley</t>
  </si>
  <si>
    <t>Ocean reef</t>
  </si>
  <si>
    <t>72 Bacchante Circle Ocean Reef WA 6027</t>
  </si>
  <si>
    <t>Renae Horan</t>
  </si>
  <si>
    <t>Gemma McCarthy</t>
  </si>
  <si>
    <t>Middle Park</t>
  </si>
  <si>
    <t>17 Narona Street Middle Park QLD 4074</t>
  </si>
  <si>
    <t>Deirdre Doyle White</t>
  </si>
  <si>
    <t>Elizabeth Rose</t>
  </si>
  <si>
    <t>Pinkenba</t>
  </si>
  <si>
    <t>Damien Rykfield</t>
  </si>
  <si>
    <t>Gilberton</t>
  </si>
  <si>
    <t>Augustine Dave</t>
  </si>
  <si>
    <t>Darren Campbell</t>
  </si>
  <si>
    <t>Davidson</t>
  </si>
  <si>
    <t>Andrea Crespo (Feel free to pass to Pete Capindale or something. don't have anyone else close. Lead is quite low quality too)</t>
  </si>
  <si>
    <t>wollert</t>
  </si>
  <si>
    <t>Haseeb Hashmi</t>
  </si>
  <si>
    <t>North Bondi</t>
  </si>
  <si>
    <t>Faysal Kalal</t>
  </si>
  <si>
    <t>Sooz Mann</t>
  </si>
  <si>
    <t>Camp hill</t>
  </si>
  <si>
    <t>Ravind Chandra</t>
  </si>
  <si>
    <t>40 hopetoun st ascot 4007</t>
  </si>
  <si>
    <t>Surfers paradise qld</t>
  </si>
  <si>
    <t>55/2916 Gold Coast Highway Surfers Paradise QLD 4217</t>
  </si>
  <si>
    <t>6 Dalmeny Avenue Figtree NSW 2525</t>
  </si>
  <si>
    <t>pacific pines</t>
  </si>
  <si>
    <t>29 salvado dr Pacific Pines qld 4211</t>
  </si>
  <si>
    <t>Burleigh waters</t>
  </si>
  <si>
    <t>14 Whitehead Drive Burleigh Waters QLD 4220</t>
  </si>
  <si>
    <t>Sam Scott And Joshua Quinn</t>
  </si>
  <si>
    <t>Cannington</t>
  </si>
  <si>
    <t>4 Manley Street Cannington WA 6107</t>
  </si>
  <si>
    <t>4 Phillip Street South Coogee NSW 2034</t>
  </si>
  <si>
    <t>Daniel Mendes</t>
  </si>
  <si>
    <t>pelican waters</t>
  </si>
  <si>
    <t>18 Campbellville Circuit Pelican Waters QLD 4551</t>
  </si>
  <si>
    <t>18 Woodland Avenue Thirroul NSW 2515</t>
  </si>
  <si>
    <t>Eatons hill</t>
  </si>
  <si>
    <t>2 Starina Court Eatons Hill QLD 4037</t>
  </si>
  <si>
    <t>67 Camms Road Cranbourne VIC 3977</t>
  </si>
  <si>
    <t>7 Yallambee Court Baulkham Hills NSW 2153</t>
  </si>
  <si>
    <t>silver sands</t>
  </si>
  <si>
    <t>22 Perseus Road Silver Sands WA 6210</t>
  </si>
  <si>
    <t>Upper Mount Gravatt</t>
  </si>
  <si>
    <t>23 Valmar Street Upper Mount Gravatt QLD 4122</t>
  </si>
  <si>
    <t>west wollongong</t>
  </si>
  <si>
    <t>24 Therry Street West Wollongong NSW 2500</t>
  </si>
  <si>
    <t>Alec McEwan</t>
  </si>
  <si>
    <t>Wynnum</t>
  </si>
  <si>
    <t>35 Shepherd Street, Wynnum, QLD, 4178, Australia</t>
  </si>
  <si>
    <t>Taloma, South Penrith, 2750</t>
  </si>
  <si>
    <t>Matthew O'Farrell</t>
  </si>
  <si>
    <t>2 Seafarer Court Cleveland</t>
  </si>
  <si>
    <t>21 Michael Court, Berwick, VIC, 3806, Australia</t>
  </si>
  <si>
    <t>Winston Hills</t>
  </si>
  <si>
    <t>83 Caroline Chisholm Dr</t>
  </si>
  <si>
    <t>20206/1 Ferry Road, West End, QLD, 4101, Australia</t>
  </si>
  <si>
    <t>15 Red Cedar Drive Coffs Harbour NSW 2450</t>
  </si>
  <si>
    <t>23 Plantation Avenue Coffs Harbour NSW 2450</t>
  </si>
  <si>
    <t>99 Payne Street Indooroopilly QLD 4068</t>
  </si>
  <si>
    <t>Whitfield</t>
  </si>
  <si>
    <t>24 Kevin Street Whitfield QLD 4870</t>
  </si>
  <si>
    <t>36 Paxton Street Frenchs Forest NSW 2086</t>
  </si>
  <si>
    <t>57 Gerona Circuit Varsity Lakes QLD 4227</t>
  </si>
  <si>
    <t>12 Petersen Avenue Southport QLD 4215</t>
  </si>
  <si>
    <t>Jamisontown</t>
  </si>
  <si>
    <t>4 Anvil Place Jamisontown NSW 2750</t>
  </si>
  <si>
    <t>Laidley</t>
  </si>
  <si>
    <t>21 Mountain Road Laidley QLD 4341</t>
  </si>
  <si>
    <t>57 Monsoon Terrace Mount Sheridan QLD 4868</t>
  </si>
  <si>
    <t>7 Dolphin Street Newport QLD 4020</t>
  </si>
  <si>
    <t>6 Mowburra Place Caloundra West QLD 4551</t>
  </si>
  <si>
    <t>24 &amp; 30 Binna Burra Road Beechmont QLD 4211</t>
  </si>
  <si>
    <t>Cooee bay</t>
  </si>
  <si>
    <t>2 Davidson Street Cooee Bay QLD 4703 &amp; 4/14-24 Elma Street Cooee Bay QLD 4703</t>
  </si>
  <si>
    <t>Kate O'Brien</t>
  </si>
  <si>
    <t>Lemon Tree Passage</t>
  </si>
  <si>
    <t>Minyama</t>
  </si>
  <si>
    <t>81 Mooloolah Drive, Minyama, QLD, 4575, Australia</t>
  </si>
  <si>
    <t>Madora Bay</t>
  </si>
  <si>
    <t>3 Orelia Street Madora Bay WA 6210</t>
  </si>
  <si>
    <t>kearneys spring</t>
  </si>
  <si>
    <t>8 McQuade Court Kearneys Spring QLD 4350</t>
  </si>
  <si>
    <t>Barellan pointed</t>
  </si>
  <si>
    <t>41-43 Mitchell Street Barellan Point QLD 4306</t>
  </si>
  <si>
    <t>25 Holloway Drive Everton Park QLD 4053</t>
  </si>
  <si>
    <t>Highgate hill</t>
  </si>
  <si>
    <t>30/21-25 Dudley Street Highgate Hill QLD 4101</t>
  </si>
  <si>
    <t>Hope island</t>
  </si>
  <si>
    <t>108 John Lund Drive Hope Island QLD 4212</t>
  </si>
  <si>
    <t>Willow vale</t>
  </si>
  <si>
    <t>22 Rosemount Drive Willow Vale QLD 4209</t>
  </si>
  <si>
    <t>66 Leonora Street Como WA 6152</t>
  </si>
  <si>
    <t>71 Strathford Avenue Albany Creek QLD 4035</t>
  </si>
  <si>
    <t>68 Central Street Labrador QLD 4215</t>
  </si>
  <si>
    <t>Glen Eden</t>
  </si>
  <si>
    <t>23 Bendee Street Glen Eden QLD 4680</t>
  </si>
  <si>
    <t>82 Royal Albert Crescent Paradise Point QLD 4216</t>
  </si>
  <si>
    <t>Golden Beach</t>
  </si>
  <si>
    <t>46 Coronation Avenue, Golden Beach, QLD, 4551, Australia</t>
  </si>
  <si>
    <t>1 Amber Drive, Caloundra West, QLD, 4551, Australia</t>
  </si>
  <si>
    <t>Fairfield</t>
  </si>
  <si>
    <t>68 Fairfield Road Fairfield QLD 4103</t>
  </si>
  <si>
    <t>18 Melinda Street Kallangur QLD 4503</t>
  </si>
  <si>
    <t>9 Masthead Drive Cleveland QLD 4163</t>
  </si>
  <si>
    <t>64 Greywacke Entrance Piara Waters WA 6112</t>
  </si>
  <si>
    <t>North Perth</t>
  </si>
  <si>
    <t>62 Mabel Street North Perth WA 6006</t>
  </si>
  <si>
    <t>Malak</t>
  </si>
  <si>
    <t>11 Pitman Court Malak NT 0812</t>
  </si>
  <si>
    <t>2704/3422 Surfers Paradise Boulevard Surfers Paradise QLD 4217</t>
  </si>
  <si>
    <t>6 Hansen Court Capalaba QLD 4157</t>
  </si>
  <si>
    <t>52 &amp; 124/4-16 Kingsway Dee Why NSW 2099</t>
  </si>
  <si>
    <t>26 Lawson Avenue Frankston South VIC 3199</t>
  </si>
  <si>
    <t>19 Barcoo Circuit Albion Park NSW 2527</t>
  </si>
  <si>
    <t>Moorooduc</t>
  </si>
  <si>
    <t>124 Graydens Road Moorooduc VIC 3933</t>
  </si>
  <si>
    <t>104 Brook Street, Lutwyche, Queensland, 4030, Australia</t>
  </si>
  <si>
    <t>Burswood</t>
  </si>
  <si>
    <t>505/96 Bow River Crescent Burswood WA 6100</t>
  </si>
  <si>
    <t>8 Ashfield Court Skye VIC 3977</t>
  </si>
  <si>
    <t>Taringa</t>
  </si>
  <si>
    <t>30 Harrys Road Taringa QLD 4068</t>
  </si>
  <si>
    <t>5 Stormvogel Court Coomera QLD 4209</t>
  </si>
  <si>
    <t>Seaford rise</t>
  </si>
  <si>
    <t>6 Petrel Close</t>
  </si>
  <si>
    <t>Mount Lofty</t>
  </si>
  <si>
    <t>7 Brodie Street, Mount Lofty, QLD, 4350, Australia</t>
  </si>
  <si>
    <t>25 Warbler Crescent, Douglas, QLD, 4814, Australia</t>
  </si>
  <si>
    <t>Collaroy</t>
  </si>
  <si>
    <t>869 Pittwater Road, Collaroy, NSW, 2097, Australia</t>
  </si>
  <si>
    <t>13/10/2025</t>
  </si>
  <si>
    <t>1312/48 Jephson Street Toowong QLD 4066</t>
  </si>
  <si>
    <t>19 Hilda Way Cranbourne VIC 3977</t>
  </si>
  <si>
    <t>Runaway Bay</t>
  </si>
  <si>
    <t>23 Karema Crescent Runaway Bay QLD 4216</t>
  </si>
  <si>
    <t>Attwood</t>
  </si>
  <si>
    <t>2 The Crest, Attwood, VIC, 3049, Australia</t>
  </si>
  <si>
    <t>14/10/2025</t>
  </si>
  <si>
    <t>Attwood Victoria</t>
  </si>
  <si>
    <t>2, The Crest, Attwood 3049. Victoria</t>
  </si>
  <si>
    <t>Sunbury</t>
  </si>
  <si>
    <t>38 The Avenue Sunbury VIC 3429</t>
  </si>
  <si>
    <t>Highfields</t>
  </si>
  <si>
    <t>47 Smythe Drive Highfields QLD 4352</t>
  </si>
  <si>
    <t>204 School Of Arts Road Redland Bay QLD 4165</t>
  </si>
  <si>
    <t>Clagiraba</t>
  </si>
  <si>
    <t>136 Henri Robert Drive Clagiraba QLD 4211</t>
  </si>
  <si>
    <t>10 Merrigal Court Frankston South VIC 3199</t>
  </si>
  <si>
    <t xml:space="preserve">Holland Park </t>
  </si>
  <si>
    <t>21 Grunert Street Holland Park QLD 4121</t>
  </si>
  <si>
    <t>12/2 Catalina Way Upper Coomera QLD 4209</t>
  </si>
  <si>
    <t>26 Andrews Turn,</t>
  </si>
  <si>
    <t>Sherwood</t>
  </si>
  <si>
    <t>56 Lilly Street, Sherwood, QLD, 4075, Australia</t>
  </si>
  <si>
    <t>15 Bartok Street, Burpengary, QLD, 4505, Australia</t>
  </si>
  <si>
    <t>Success</t>
  </si>
  <si>
    <t>27, Steiner AVE, Success. 6164</t>
  </si>
  <si>
    <t>Aubin Grove</t>
  </si>
  <si>
    <t>26 Durango turn Aubin Grove Aubin</t>
  </si>
  <si>
    <t>33 Markeri street</t>
  </si>
  <si>
    <t>16 meadowview place moggill</t>
  </si>
  <si>
    <t>298/64 Gilston Road Nerang QLD 4211</t>
  </si>
  <si>
    <t>15/10/2025</t>
  </si>
  <si>
    <t>Karmeille Mathes</t>
  </si>
  <si>
    <t>Belmont</t>
  </si>
  <si>
    <t>3, Topgallant Way, Belmont NSW 2280, Belmont, 2280</t>
  </si>
  <si>
    <t>John Sims</t>
  </si>
  <si>
    <t>3 Topgallant Way, Belmont, NSW, 2280, Australia</t>
  </si>
  <si>
    <t>298 / 64 Gilston Road, Nerang, QLD, 4211, Australia</t>
  </si>
  <si>
    <t>96 Mansfield Avenue, Butler, WA, 6036, Australia</t>
  </si>
  <si>
    <t>7/70-72 Ringwood Street Ringwood VIC 3134</t>
  </si>
  <si>
    <t>Linda Scott (Unsure if you'd travel this far but thought we'd send anyway)</t>
  </si>
  <si>
    <t>Sam Kolatchew</t>
  </si>
  <si>
    <t>6/81 Womboin Road Lambton NSW 2299</t>
  </si>
  <si>
    <t>Melissa Fry</t>
  </si>
  <si>
    <t>Banksia grove</t>
  </si>
  <si>
    <t>23 Cuddlepie Turn Banksia Grove WA 6031</t>
  </si>
  <si>
    <t>John Gaffney</t>
  </si>
  <si>
    <t>456 Princes Highway Towradgi NSW 2518</t>
  </si>
  <si>
    <t>Nathan Funnell</t>
  </si>
  <si>
    <t>narre warren</t>
  </si>
  <si>
    <t>10 Wallaroo Avenue Narre Warren VIC 3805</t>
  </si>
  <si>
    <t>Jaclyn Hancox</t>
  </si>
  <si>
    <t>10-12 Wade Road Bellmere QLD 4510</t>
  </si>
  <si>
    <t>Helen Staveley</t>
  </si>
  <si>
    <t>29 Hilliards Park Drive Wellington Point QLD 4160</t>
  </si>
  <si>
    <t>Barry Hunt</t>
  </si>
  <si>
    <t>North Lakes</t>
  </si>
  <si>
    <t>28 Rosemead Street North Lakes QLD 4509</t>
  </si>
  <si>
    <t>Erani Muller Haarhoff</t>
  </si>
  <si>
    <t>5 Williams Road Caboolture QLD 4510</t>
  </si>
  <si>
    <t>Graham Laidlaw</t>
  </si>
  <si>
    <t>bellmere</t>
  </si>
  <si>
    <t>81 Thompson Road Bellmere QLD 4510</t>
  </si>
  <si>
    <t>John Sparks</t>
  </si>
  <si>
    <t>caboolture</t>
  </si>
  <si>
    <t>15 Glendale Street Caboolture QLD 4510</t>
  </si>
  <si>
    <t>Helen Chalker</t>
  </si>
  <si>
    <t>20 Shaw Place, Redland Bay, QLD, 4165, Australia</t>
  </si>
  <si>
    <t>Redland bay QLD</t>
  </si>
  <si>
    <t>20 Shaw place Redland Bay qld</t>
  </si>
  <si>
    <t xml:space="preserve">Bli Bli </t>
  </si>
  <si>
    <t>43 kingfisher drv</t>
  </si>
  <si>
    <t>Rosewood</t>
  </si>
  <si>
    <t>9 just st rosewood</t>
  </si>
  <si>
    <t>warabrook</t>
  </si>
  <si>
    <t>8 Eurabbie ave Warabrook</t>
  </si>
  <si>
    <t>Kippa Ring</t>
  </si>
  <si>
    <t>1 Nathan Road Kippa Ring</t>
  </si>
  <si>
    <t>Nirimba</t>
  </si>
  <si>
    <t>30 nicholas street</t>
  </si>
  <si>
    <t>Draper</t>
  </si>
  <si>
    <t>34 Willem Drive, Draper, QLD, 4520, Australia</t>
  </si>
  <si>
    <t>65A Gould Street, Frankston, VIC, 3199, Australia</t>
  </si>
  <si>
    <t>16/10/2025</t>
  </si>
  <si>
    <t>24 High Park Crescent Little Mountain QLD 4551</t>
  </si>
  <si>
    <t>Simon Ewing</t>
  </si>
  <si>
    <r>
      <rPr>
        <color rgb="FF1155CC"/>
        <sz val="10.0"/>
        <u/>
      </rPr>
      <t>smnewing@gmail.com</t>
    </r>
  </si>
  <si>
    <t>Banksia Beach</t>
  </si>
  <si>
    <t>7 Voyagers Drive Banksia Beach QLD 4507</t>
  </si>
  <si>
    <t>Tapping</t>
  </si>
  <si>
    <t>18 Daimler Drive TAPPING WA 6065</t>
  </si>
  <si>
    <t>Upper Ferntree Gully</t>
  </si>
  <si>
    <t>59 Ferndale Road Upper Ferntree Gully VIC 3156</t>
  </si>
  <si>
    <t>8 Sheoak Road Frankston South VIC 3199</t>
  </si>
  <si>
    <t>33 Quintana Avenue Baulkham Hills NSW 2153</t>
  </si>
  <si>
    <t>16 Greystoke Place Alexandra Hills QLD 4161</t>
  </si>
  <si>
    <t>154 Prince Edward Parade Scarborough QLD 4020</t>
  </si>
  <si>
    <t>Nords Wharf</t>
  </si>
  <si>
    <t>33 Central Avenue Nords Wharf NSW 2281</t>
  </si>
  <si>
    <t>Toowoomba</t>
  </si>
  <si>
    <t>9 Boulton Terrace Toowoomba City QLD 4350</t>
  </si>
  <si>
    <t>331 Forest Hills Drive Morayfield QLD 4506</t>
  </si>
  <si>
    <t>Madora bay</t>
  </si>
  <si>
    <t>8 Atwick Court Madora Bay WA 6210</t>
  </si>
  <si>
    <t>9 Kumbada Court Minyama QLD 4575</t>
  </si>
  <si>
    <t>Manly Vale</t>
  </si>
  <si>
    <t>2 / 7 Quirk Road, Manly Vale, New South Wales, 2093, Australia</t>
  </si>
  <si>
    <t>Garbutt</t>
  </si>
  <si>
    <t>45 Havenside Drive Garbutt QLD 4814</t>
  </si>
  <si>
    <t>Pendle Hill</t>
  </si>
  <si>
    <t>singleton</t>
  </si>
  <si>
    <t>56 bight reefs rd singleton</t>
  </si>
  <si>
    <t>Harlaxton</t>
  </si>
  <si>
    <t>6 Mooney St Harlaxton</t>
  </si>
  <si>
    <t>8 Calder Nook, Lakelands, WA, 6180, Australia</t>
  </si>
  <si>
    <t>17/10/2025</t>
  </si>
  <si>
    <t>south yunderup</t>
  </si>
  <si>
    <t>5 Heron Place</t>
  </si>
  <si>
    <t>Redlynch</t>
  </si>
  <si>
    <t>20 Alstonia Cl</t>
  </si>
  <si>
    <t>Arcadia Vale</t>
  </si>
  <si>
    <t>24 Fern Street Arcadia Vale NSW 2283</t>
  </si>
  <si>
    <t>21 Daintree Drive Sandhurst VIC 3977</t>
  </si>
  <si>
    <t>92 Duke Street WOONONA NSW 2517</t>
  </si>
  <si>
    <t>Kingscliff</t>
  </si>
  <si>
    <t>10 Pacific Street Kingscliff NSW 2487</t>
  </si>
  <si>
    <t>10 Serls Street Armadale WA 6112</t>
  </si>
  <si>
    <t>Coleyville</t>
  </si>
  <si>
    <t>93 Kruger Road Coleyville QLD 4307</t>
  </si>
  <si>
    <t>Aman Singh</t>
  </si>
  <si>
    <t>37 Watcombe Street Wavell Heights QLD 4012</t>
  </si>
  <si>
    <t>kearney soribg</t>
  </si>
  <si>
    <t>23 Hinchliffe Drive Kearneys Spring QLD 4350</t>
  </si>
  <si>
    <t>188 Macdonnell Road Margate QLD 4019</t>
  </si>
  <si>
    <t>Cardiff</t>
  </si>
  <si>
    <t>7/14 Newcastle Street Cardiff NSW 2285</t>
  </si>
  <si>
    <t>Palm Beach Gold Coast</t>
  </si>
  <si>
    <t>2/5 Second Avenue Palm Beach QLD 4221</t>
  </si>
  <si>
    <t>Kelley Rigby</t>
  </si>
  <si>
    <t>31103/2 Ephraim Island Paradise Point QLD 4216</t>
  </si>
  <si>
    <t>13/2 Gaven Crescent Mermaid Beach QLD 4218</t>
  </si>
  <si>
    <t>Paradise point</t>
  </si>
  <si>
    <t>18 Plover Avenue Paradise Point QLD 4216</t>
  </si>
  <si>
    <t>2188 Sandgate Road, Boondall, QLD, 4034, Australia</t>
  </si>
  <si>
    <t>30 Lakeview Drive Lilydale VIC 3140</t>
  </si>
  <si>
    <t>Wishart</t>
  </si>
  <si>
    <t>2 Michelle Crescent Wishart QLD 4122</t>
  </si>
  <si>
    <t>7 Robert Avenue North Manly NSW 2100</t>
  </si>
  <si>
    <t>101 Mayfield Road Carina QLD 4152</t>
  </si>
  <si>
    <t>Martin</t>
  </si>
  <si>
    <t>1 Pages Way Martin WA 6110</t>
  </si>
  <si>
    <t>Westbrook</t>
  </si>
  <si>
    <t>70 Ferguson Road Westbrook QLD 4350</t>
  </si>
  <si>
    <t>2 / 64 Beach Drive Woonona NSW 2517</t>
  </si>
  <si>
    <t>50 Popes Road Woonona NSW 2517</t>
  </si>
  <si>
    <t>11/18 Grafton Crescent Dee Why NSW 2099</t>
  </si>
  <si>
    <t>Woombye</t>
  </si>
  <si>
    <t>68 Taintons Road Woombye QLD 4559</t>
  </si>
  <si>
    <t>Gerry Geltch</t>
  </si>
  <si>
    <r>
      <rPr>
        <color rgb="FF1155CC"/>
        <sz val="10.0"/>
        <u/>
      </rPr>
      <t>gerry@airfraserisland.com.au</t>
    </r>
  </si>
  <si>
    <t>7 Kilpa Place Oak Flats NSW 2529</t>
  </si>
  <si>
    <t>205 Princes Highway, Albion Park Rail, NSW, 2527, Australia</t>
  </si>
  <si>
    <t>18/10/2025</t>
  </si>
  <si>
    <t>67 Kneale Street Holland Park West QLD 4121</t>
  </si>
  <si>
    <t>Robertson</t>
  </si>
  <si>
    <t>3 Alcheringa Place Robertson QLD 4109</t>
  </si>
  <si>
    <t>Wonga Park</t>
  </si>
  <si>
    <t>6 Styles Court Wonga Park VIC 3115</t>
  </si>
  <si>
    <t>Harrisdale</t>
  </si>
  <si>
    <t>15 Mingara Avenue Harrisdale WA 6112</t>
  </si>
  <si>
    <t>20 Morialta Street Mansfield QLD 4122</t>
  </si>
  <si>
    <t>New Auckland</t>
  </si>
  <si>
    <t>2 Woollybutt Street New Auckland QLD 4680</t>
  </si>
  <si>
    <t>8 Russell Street Cleveland QLD 4163</t>
  </si>
  <si>
    <t>East Ipswich</t>
  </si>
  <si>
    <t>glenmore park</t>
  </si>
  <si>
    <t>12 loch ave glenmore park</t>
  </si>
  <si>
    <t>huntingdale</t>
  </si>
  <si>
    <t>4 gullima crt huntingdale</t>
  </si>
  <si>
    <t>Hackham</t>
  </si>
  <si>
    <t>11 Higgins St</t>
  </si>
  <si>
    <t>10 King Edward St</t>
  </si>
  <si>
    <t>112 Excelsior Drive Morayfield QLD 4506</t>
  </si>
  <si>
    <t>Sheidow Park</t>
  </si>
  <si>
    <t>4 Sandy Glass Court Sheidow Park SA 5158</t>
  </si>
  <si>
    <t>Somerville</t>
  </si>
  <si>
    <t>78 Grant Road Somerville VIC 3912</t>
  </si>
  <si>
    <t>Bray Park</t>
  </si>
  <si>
    <t>26 Tolosa Street Bray Park QLD 4500</t>
  </si>
  <si>
    <t>Manningham</t>
  </si>
  <si>
    <t>10 Arthur Avenue Manningham SA 5086</t>
  </si>
  <si>
    <t>14 Kulai Street Charlestown NSW 2290</t>
  </si>
  <si>
    <t>37 The Passage Pelican Waters QLD 4551</t>
  </si>
  <si>
    <t>Mooroolbark</t>
  </si>
  <si>
    <t>3 Darnley Way Mooroolbark VIC 3138</t>
  </si>
  <si>
    <t>Tamborine</t>
  </si>
  <si>
    <t>40 Tuggerah Grove Tamborine QLD 4270</t>
  </si>
  <si>
    <t>1/129-131 Musgrave Street Coolangatta QLD 4225</t>
  </si>
  <si>
    <t>14 Della Ricca Place Forest Lake QLD 4078</t>
  </si>
  <si>
    <t>12 Calliandra Place Thornlands, Thornlands, 4164</t>
  </si>
  <si>
    <t>19/10/2025</t>
  </si>
  <si>
    <t>Greg Cairns</t>
  </si>
  <si>
    <t>18 Midhurst Court, Craigieburn, VIC, 3064, Australia</t>
  </si>
  <si>
    <t>20/10/2025</t>
  </si>
  <si>
    <t>27 Boyne Crescent, West Gladstone, QLD, 4680, Australia</t>
  </si>
  <si>
    <t>22 Highland Drive, Frankston South, VIC, 3199, Australia</t>
  </si>
  <si>
    <t>34 Plateau Road, Collaroy Plateau, NSW, 2097, Australia</t>
  </si>
  <si>
    <t>156 Brighton Terrace, Brighton, QLD, 4017, Australia</t>
  </si>
  <si>
    <t>Erskine</t>
  </si>
  <si>
    <t>37 Natures Loop Erskine WA 6210</t>
  </si>
  <si>
    <t>Bondi Beach</t>
  </si>
  <si>
    <t>4/3 Ramsgate Avenue Bondi Beach NSW 2026</t>
  </si>
  <si>
    <t>Kingsford</t>
  </si>
  <si>
    <t>4/43-45 Meeks Street Kingsford NSW 2032</t>
  </si>
  <si>
    <t>46 Oxley Avenue Kiama Downs NSW 2533</t>
  </si>
  <si>
    <t>15 Tribulation Crescent Coomera QLD 4209</t>
  </si>
  <si>
    <t>1 Timbertop Street BUDERIM QLD 4556</t>
  </si>
  <si>
    <t>East Toowoomba</t>
  </si>
  <si>
    <t>98 Campbell Street East Toowoomba QLD 4350</t>
  </si>
  <si>
    <t>Para Hills</t>
  </si>
  <si>
    <t>341 Nelson Road Para Hills SA 5096</t>
  </si>
  <si>
    <t>6 Powerscout Retreat Cranbourne VIC 3977</t>
  </si>
  <si>
    <t>18 mangosteen close Smithfield</t>
  </si>
  <si>
    <t>Pacific Pines</t>
  </si>
  <si>
    <t>Hamilton south</t>
  </si>
  <si>
    <t>157, Kemp St, Hamilton South N.S.W 2303</t>
  </si>
  <si>
    <t>8 maclean lane Camden Park</t>
  </si>
  <si>
    <t>Nsw</t>
  </si>
  <si>
    <t>316  welling drive mount anann  nsw 2567</t>
  </si>
  <si>
    <t>berserker</t>
  </si>
  <si>
    <t>11 Higson St</t>
  </si>
  <si>
    <t>26 mclean road, canning vale wa</t>
  </si>
  <si>
    <t>Loganlea</t>
  </si>
  <si>
    <t>2 Jellicoe St</t>
  </si>
  <si>
    <t>Erskine park</t>
  </si>
  <si>
    <t>74 Fantail Cres</t>
  </si>
  <si>
    <t>cashmere</t>
  </si>
  <si>
    <t>12 Major Ct</t>
  </si>
  <si>
    <t>highfields</t>
  </si>
  <si>
    <t>24/75 highgrove road</t>
  </si>
  <si>
    <t>Officer</t>
  </si>
  <si>
    <t>23 Grassland Crescent, Officer, VIC, 3809, Australia</t>
  </si>
  <si>
    <t>Fairview Park</t>
  </si>
  <si>
    <t>15a Crampton St</t>
  </si>
  <si>
    <t>10 Daniel Court, Scarborough, 4020</t>
  </si>
  <si>
    <t>Frances Murray</t>
  </si>
  <si>
    <t>2 Thornbury Avenue Unanderra NSW 2526</t>
  </si>
  <si>
    <t>Greenbank</t>
  </si>
  <si>
    <t>33 Tigercat Court Greenbank QLD 4124</t>
  </si>
  <si>
    <t>Ashby</t>
  </si>
  <si>
    <t>4 Dusart Way Ashby WA 6065</t>
  </si>
  <si>
    <t>Manunda</t>
  </si>
  <si>
    <t>6 Egan Street Manunda QLD 4870</t>
  </si>
  <si>
    <t>25 Boundary Court Glenvale QLD 4350</t>
  </si>
  <si>
    <t>83 Morna Street Newport QLD 4020</t>
  </si>
  <si>
    <t>Jasmine Corrick</t>
  </si>
  <si>
    <t>Wondunna</t>
  </si>
  <si>
    <t>27 Bay Park Road Wondunna QLD 4655</t>
  </si>
  <si>
    <t>Caravonica</t>
  </si>
  <si>
    <t>19/2-6 Lake Placid Road Caravonica QLD 4878</t>
  </si>
  <si>
    <t>161 Francis Street West End QLD 4810</t>
  </si>
  <si>
    <t>Edmonton</t>
  </si>
  <si>
    <t>14 Wiseman Road East Edmonton QLD 4869</t>
  </si>
  <si>
    <t>waterford</t>
  </si>
  <si>
    <t>6 Eurimbula Close</t>
  </si>
  <si>
    <t>47 Jones Ave Primbee 2502</t>
  </si>
  <si>
    <t>96-102 Boulia Street</t>
  </si>
  <si>
    <t>North Booval</t>
  </si>
  <si>
    <t>14 bickle Place</t>
  </si>
  <si>
    <t>Ridgewood WA</t>
  </si>
  <si>
    <t>10 Denison Turn Ridgewood</t>
  </si>
  <si>
    <t>41 Cooper Crescent, Jimboomba, QLD, 4280, Australia</t>
  </si>
  <si>
    <t>21/10/2025</t>
  </si>
  <si>
    <t>2 Range Court, Flagstone, QLD, 4280, Australia</t>
  </si>
  <si>
    <t>4 / 8 Major Street, Coogee, NSW, 2034, Australia</t>
  </si>
  <si>
    <t>22/10/2025</t>
  </si>
  <si>
    <t>Stacey Ritson</t>
  </si>
  <si>
    <t>8 Liner Street, Wellington Point, QLD, 4160, Australia</t>
  </si>
  <si>
    <t>64 Monash Road Tarragindi QLD 4121</t>
  </si>
  <si>
    <t>blaxland</t>
  </si>
  <si>
    <t>63 Bellbird Crescent Blaxland NSW 2774</t>
  </si>
  <si>
    <t>14 Bronhill Court Cranbourne West VIC 3977</t>
  </si>
  <si>
    <t>Greenfields</t>
  </si>
  <si>
    <t>10 Falstaff Close Greenfields WA 6210</t>
  </si>
  <si>
    <t>Thuringowa Central</t>
  </si>
  <si>
    <t>4 Sweers Court Thuringowa Central QLD 4817</t>
  </si>
  <si>
    <t>Coes Creek</t>
  </si>
  <si>
    <t>12 Kerrs Lane Coes Creek QLD 4560</t>
  </si>
  <si>
    <t>Coodanup</t>
  </si>
  <si>
    <t>18 Rathmines Place Coodanup WA 6210</t>
  </si>
  <si>
    <t>16 McLaren Place Buderim QLD 4556</t>
  </si>
  <si>
    <t>Steven Simjanovic</t>
  </si>
  <si>
    <r>
      <rPr>
        <color rgb="FF1155CC"/>
        <sz val="10.0"/>
        <u/>
      </rPr>
      <t>stevesimjanovic@bigpond.com</t>
    </r>
  </si>
  <si>
    <t>Maylands</t>
  </si>
  <si>
    <t>35 Stone Street Maylands WA 6051</t>
  </si>
  <si>
    <t>Corinda</t>
  </si>
  <si>
    <t>26 Ardoyne Road Corinda QLD 4075</t>
  </si>
  <si>
    <t>17 Ronald Street Bray Park QLD 4500</t>
  </si>
  <si>
    <t>2/15 Wetherill Street Narrabeen NSW 2101</t>
  </si>
  <si>
    <t>PETRIE</t>
  </si>
  <si>
    <t>Eli waters</t>
  </si>
  <si>
    <t>27 Bounty Circuit Eli Waters QLD 4655</t>
  </si>
  <si>
    <t>87 Buderim Pines Drive, Buderim, 4556</t>
  </si>
  <si>
    <t>Bryan Tomlins</t>
  </si>
  <si>
    <t>87 Buderim Pines Drive</t>
  </si>
  <si>
    <t>Mindarie Wa 6030, Australia, Mindarie, 6030</t>
  </si>
  <si>
    <t>Peter Craig</t>
  </si>
  <si>
    <t>3 Maryport Way, Butler, 6036</t>
  </si>
  <si>
    <t>Trevor Lawson</t>
  </si>
  <si>
    <t xml:space="preserve">Kelvin Grove </t>
  </si>
  <si>
    <t>Merrimac</t>
  </si>
  <si>
    <t>29 Macadie Way Merrimac QLD 4226</t>
  </si>
  <si>
    <t>River Heads</t>
  </si>
  <si>
    <t>15 Loggerhead Court, River Heads, QLD, 4655, Australia</t>
  </si>
  <si>
    <t>23/10/2025</t>
  </si>
  <si>
    <t>Cooks hill</t>
  </si>
  <si>
    <t>16 Bingle Street The Hill NSW 2300</t>
  </si>
  <si>
    <t>Mal Forman</t>
  </si>
  <si>
    <r>
      <rPr>
        <color rgb="FF1155CC"/>
        <sz val="10.0"/>
        <u/>
      </rPr>
      <t>malforman@bigpond.com</t>
    </r>
  </si>
  <si>
    <t>Holden Hill</t>
  </si>
  <si>
    <t>32 Southern Terrace Holden Hill SA 5088</t>
  </si>
  <si>
    <t>20 Borgnis Street Davidson NSW 2085</t>
  </si>
  <si>
    <t>Rochedale</t>
  </si>
  <si>
    <t>17 Eagle Parade Rochedale QLD 4123</t>
  </si>
  <si>
    <t>Hervey Bay</t>
  </si>
  <si>
    <t>15 Loggerhead Court River Heads QLD 4655</t>
  </si>
  <si>
    <t>Dianella</t>
  </si>
  <si>
    <t>293 The Strand, Dianella, WA, 6059, Australia</t>
  </si>
  <si>
    <t>58 Xavier Herbert Drive Redlynch, Redlynch, 4870</t>
  </si>
  <si>
    <t>Mary Smith</t>
  </si>
  <si>
    <t>3 / 37 Brighton Street, Biggera Waters, QLD, 4216, Australia</t>
  </si>
  <si>
    <t>53 Katandra Street</t>
  </si>
  <si>
    <t>Earlville</t>
  </si>
  <si>
    <t>8 Kingfisher Close</t>
  </si>
  <si>
    <t>st peters</t>
  </si>
  <si>
    <t>80 Alfred St St Peters NSW Australia</t>
  </si>
  <si>
    <t>25 Gore St, Mount Lofty, 4350</t>
  </si>
  <si>
    <t>Russell Rudd</t>
  </si>
  <si>
    <t>16 Victoria Street West End QLD 4101</t>
  </si>
  <si>
    <t>25 Pinehill St, Yarrabilba, 4207</t>
  </si>
  <si>
    <t>Helen Early</t>
  </si>
  <si>
    <t>fernvale</t>
  </si>
  <si>
    <t>10 brightwood</t>
  </si>
  <si>
    <t>3 Wicklow Street, Thornlie, WA, 6108, Australia</t>
  </si>
  <si>
    <t>10 lowan Place, Kellyville, 2155</t>
  </si>
  <si>
    <t>24/10/2025</t>
  </si>
  <si>
    <t>Hendry Liebenberg</t>
  </si>
  <si>
    <t>Point Vernon</t>
  </si>
  <si>
    <t>10 Marr Street Point Vernon, Point Vernon, 4655</t>
  </si>
  <si>
    <t>Christine Evans</t>
  </si>
  <si>
    <t>18 Romani Street, Ashgrove, 4060</t>
  </si>
  <si>
    <t>Joan Johnson</t>
  </si>
  <si>
    <t>safety beach</t>
  </si>
  <si>
    <t>2 young street</t>
  </si>
  <si>
    <t>14 Haflinger Close</t>
  </si>
  <si>
    <t>South Toowoomba</t>
  </si>
  <si>
    <t>4 Louisa Street South Toowoomba QLD 4350</t>
  </si>
  <si>
    <t>10 Red Ash Drive Woonona NSW 2517</t>
  </si>
  <si>
    <t>39 Tarragon Parade Griffin QLD 4503</t>
  </si>
  <si>
    <t>12 Hamilton Hume Parade Craigieburn VIC 3064</t>
  </si>
  <si>
    <t>burleigh waters</t>
  </si>
  <si>
    <t>51 Grebe Pl</t>
  </si>
  <si>
    <t>1 Burgundy Crescent Thornlands QLD 4164</t>
  </si>
  <si>
    <t>Chris</t>
  </si>
  <si>
    <t>79 Craig st Brighton, Brighton, 4017</t>
  </si>
  <si>
    <t>Tracey L Blackie</t>
  </si>
  <si>
    <t>85 McDonald Street</t>
  </si>
  <si>
    <t>Arrawarra</t>
  </si>
  <si>
    <t>36 Ocean View Road Arrawarra Headland NSW 2456</t>
  </si>
  <si>
    <t>41 Leisureland Drive Langwarrin VIC 3910</t>
  </si>
  <si>
    <t>40 Spurs Drive Wellington Point QLD 4160</t>
  </si>
  <si>
    <t>Tamborine mt</t>
  </si>
  <si>
    <t>12 Makalu Court Tamborine Mountain QLD 4272</t>
  </si>
  <si>
    <t>Woodrising</t>
  </si>
  <si>
    <t>10 Leeward Close Woodrising NSW 2284</t>
  </si>
  <si>
    <t>Ferny Hills</t>
  </si>
  <si>
    <t>28 Bunora Avenue Ferny Hills, Ferny Hills, 4055</t>
  </si>
  <si>
    <t>25/10/2025</t>
  </si>
  <si>
    <t>Susan Meehan</t>
  </si>
  <si>
    <t>53 GEORGE STREET ALEXANDRA HEADLAND QLD 4572, Alexandra Headland, 4572</t>
  </si>
  <si>
    <t>53 George Street Alexandra Headland QLD 4572, Alexandra Headland, 4572</t>
  </si>
  <si>
    <t>85 /123  mark road east, Caloundra West, 4551</t>
  </si>
  <si>
    <t>Robert Collins</t>
  </si>
  <si>
    <t>2 Alto Avenue Seaforth NSW 2092</t>
  </si>
  <si>
    <t>Buttaba</t>
  </si>
  <si>
    <t>94 Clydebank Road Buttaba NSW 2283</t>
  </si>
  <si>
    <t>6 Vine Street Redland Bay QLD 4165</t>
  </si>
  <si>
    <t>Toogoom</t>
  </si>
  <si>
    <t>1/10 Beachside Court Toogoom QLD 4655</t>
  </si>
  <si>
    <t>Boambee</t>
  </si>
  <si>
    <t>33 Deans Road Boambee NSW 2450</t>
  </si>
  <si>
    <t>Rouse Hill</t>
  </si>
  <si>
    <t>6 Ponsford Avenue Rouse Hill NSW 2155</t>
  </si>
  <si>
    <t>Kuranda</t>
  </si>
  <si>
    <t>1 Fairyland Road Kuranda QLD 4881</t>
  </si>
  <si>
    <t>Trinity Beach</t>
  </si>
  <si>
    <t>121 Roberts Drive Trinity Beach QLD 4879 &amp; 12 Mayflower Street Geebung QLD 4034</t>
  </si>
  <si>
    <t>Nome</t>
  </si>
  <si>
    <t>11 Lyons Crescent Nome QLD 4816</t>
  </si>
  <si>
    <t>Eli Waters</t>
  </si>
  <si>
    <t>11 Bounty Circuit Eli Waters QLD 4655</t>
  </si>
  <si>
    <t>7 Sawgrass Court Peregian Springs QLD 4573</t>
  </si>
  <si>
    <t>Spring Farm</t>
  </si>
  <si>
    <t>15 Nicholson Parade, Spring Farm, NSW, 2570, Australia</t>
  </si>
  <si>
    <t>15 Nicholson Parade, Spring Farm, New South Wales, 2570, Australia, Spring Farm, 2570</t>
  </si>
  <si>
    <t>26/10/2025</t>
  </si>
  <si>
    <t>Ebony Evans</t>
  </si>
  <si>
    <t>Salamander Bay</t>
  </si>
  <si>
    <t>Salamander Bay Nsw 2317, Australia 20 Sanderling Cl</t>
  </si>
  <si>
    <t>2/5A hugh Street Wedst End</t>
  </si>
  <si>
    <t>Wilsonton Heights</t>
  </si>
  <si>
    <t>1 Duncan Street Wilsonton Heights QLD 4350</t>
  </si>
  <si>
    <t>Cardiff South</t>
  </si>
  <si>
    <t>10 Albert St</t>
  </si>
  <si>
    <t>39 Timbercrest Road Thornlie 6108</t>
  </si>
  <si>
    <t>26 pioneer drive Thornlie</t>
  </si>
  <si>
    <t>142-150 Begley Road Greenbank QLD 4124</t>
  </si>
  <si>
    <t>39 Australia Court Newport</t>
  </si>
  <si>
    <t>3frances street mooroobool</t>
  </si>
  <si>
    <t>69 Cootharaba Crescent, Warner, QLD, 4500, Australia</t>
  </si>
  <si>
    <t>Corrimal</t>
  </si>
  <si>
    <t>unit 1 39-41 Cross Street Corrimal NSW, Corrimal, 2518</t>
  </si>
  <si>
    <t>Tony Ianni</t>
  </si>
  <si>
    <t>96-102 Boulia Street Greenbank QLD 4124</t>
  </si>
  <si>
    <t>South Townsville</t>
  </si>
  <si>
    <t>1/50 Plume Street South Townsville QLD 4810</t>
  </si>
  <si>
    <t>Chirnside Park</t>
  </si>
  <si>
    <t>Unsubscribed</t>
  </si>
  <si>
    <t>48/6-10 Bourton Road Merrimac QLD 4226</t>
  </si>
  <si>
    <t>2/11 Kingfisher Close Boambee East NSW 2452</t>
  </si>
  <si>
    <t>802/33 Surf Parade Broadbeach QLD 4218</t>
  </si>
  <si>
    <t>2/68 Cortess Street Harristown QLD 4350</t>
  </si>
  <si>
    <t>Unit412 E / 3 Gerbera Place, Kellyville 2155, Kellyville, 2155</t>
  </si>
  <si>
    <t>Terry Toomey</t>
  </si>
  <si>
    <t>Mount Hutton 2290</t>
  </si>
  <si>
    <t>10 Melody Lane Mount Hutton NSW 2290</t>
  </si>
  <si>
    <t>21 Carmine Street Eglinton WA 6034</t>
  </si>
  <si>
    <t>Kenmore 4069</t>
  </si>
  <si>
    <t>76 Kenmore Road Kenmore QLD 4069</t>
  </si>
  <si>
    <t>14 Charnley Avenue Bentley Park QLD 4869</t>
  </si>
  <si>
    <t>11 Trumpet Street Southern River WA 6110</t>
  </si>
  <si>
    <t>dudley park</t>
  </si>
  <si>
    <t>11 Pallinup Pl</t>
  </si>
  <si>
    <t>5 Kingfisher Drive</t>
  </si>
  <si>
    <t>Edgeworth</t>
  </si>
  <si>
    <t>1/49 minmi rd Edgeworth</t>
  </si>
  <si>
    <t>81 Stradbroke Road, Montrose, VIC, 3765, Australia</t>
  </si>
  <si>
    <t>46 Lower Stuart st</t>
  </si>
  <si>
    <t>9 / 17 Greensboro Place, Little Mountain, QLD, 4551, Australia</t>
  </si>
  <si>
    <t>39 Keating Street Tannum Sands QLD 4680</t>
  </si>
  <si>
    <t>38 Birchley Rd, Coodanup, 6210</t>
  </si>
  <si>
    <t>Elaine Hodgkinson</t>
  </si>
  <si>
    <t>Merriwa</t>
  </si>
  <si>
    <t>Leave At Front Door, Merriwa, 6030</t>
  </si>
  <si>
    <t>27/10/2025</t>
  </si>
  <si>
    <t>Julia Johnson</t>
  </si>
  <si>
    <t>93 Dixon Drive Telina QLD 4680, Telina, 4680</t>
  </si>
  <si>
    <t>Anna Thompson</t>
  </si>
  <si>
    <t>14 sir henry parkes ave medowie, Medowie, 2318</t>
  </si>
  <si>
    <t>Joanne Banner</t>
  </si>
  <si>
    <t>3 Ficus Place Redland Bay QLD 4165</t>
  </si>
  <si>
    <t>5 Nellie Green Dudley Park WA 6210</t>
  </si>
  <si>
    <t>78 George Street Avalon Beach NSW 2107</t>
  </si>
  <si>
    <t>Kings beach</t>
  </si>
  <si>
    <t>9/35 Canberra Terrace Kings Beach QLD 4551</t>
  </si>
  <si>
    <t>Mt Eliza</t>
  </si>
  <si>
    <t>120 Humphries Road Mount Eliza VIC 3930</t>
  </si>
  <si>
    <t>Redfern</t>
  </si>
  <si>
    <t>51 Caroline Street Redfern NSW 2016</t>
  </si>
  <si>
    <t>56-58 carron place jimboomba woods, Jimboomba, 4280</t>
  </si>
  <si>
    <t>Mark Lebrese</t>
  </si>
  <si>
    <t>17Protector way, hervey bay, 4655</t>
  </si>
  <si>
    <t>David Smith</t>
  </si>
  <si>
    <t>Vaucluse</t>
  </si>
  <si>
    <t>1/14 Derby Street</t>
  </si>
  <si>
    <t>8/139-141 Stafford Street Penrith NSW 2750</t>
  </si>
  <si>
    <t>6 Warekila Road</t>
  </si>
  <si>
    <t>2/5 Second Ave, Palm Beach, 4221</t>
  </si>
  <si>
    <t>Colleen Brown</t>
  </si>
  <si>
    <t>12 Admiralty Dr, Surfers Paradise QLD 4217, Surfers Paradise, 4217</t>
  </si>
  <si>
    <t>Gary Evans</t>
  </si>
  <si>
    <t>Kuluin</t>
  </si>
  <si>
    <t>Jacinta Sutton</t>
  </si>
  <si>
    <r>
      <rPr>
        <color rgb="FF1155CC"/>
        <sz val="10.0"/>
        <u/>
      </rPr>
      <t>sutton.jacinta@gmail.com</t>
    </r>
  </si>
  <si>
    <t>68 Macarthur Circuit Camden Park NSW 2570</t>
  </si>
  <si>
    <t>4 Blanes Street Cranbrook QLD 4814</t>
  </si>
  <si>
    <t>Bentley Park</t>
  </si>
  <si>
    <t>10 Lorraine Close Bentley Park QLD 4869</t>
  </si>
  <si>
    <t>Top Camp</t>
  </si>
  <si>
    <t>8 Schmidt Court Top Camp QLD 4350</t>
  </si>
  <si>
    <t>Palmview</t>
  </si>
  <si>
    <t>2 Montserrat Cres, Palmview, 4551</t>
  </si>
  <si>
    <t>Steve Hubbard</t>
  </si>
  <si>
    <t>Bli Bli</t>
  </si>
  <si>
    <t>28/10/2025</t>
  </si>
  <si>
    <t>Tony Timba</t>
  </si>
  <si>
    <t>Barney Point</t>
  </si>
  <si>
    <t>51a O'Connell Street, Barney Point, 4680</t>
  </si>
  <si>
    <t>Jennifer Long</t>
  </si>
  <si>
    <t>4 creekside drive sippy downs 4556, Sippy Downs, 4556</t>
  </si>
  <si>
    <t>Paul Sawyers</t>
  </si>
  <si>
    <r>
      <rPr>
        <color rgb="FF1155CC"/>
        <sz val="10.0"/>
        <u/>
      </rPr>
      <t>p.m.sawyers68@gmail.com</t>
    </r>
  </si>
  <si>
    <t>29 Endeavour Cct Harrington Park</t>
  </si>
  <si>
    <t>Beenleigh</t>
  </si>
  <si>
    <t>8/56 Tansey Street Beenleigh QLD 4207</t>
  </si>
  <si>
    <t>14 Mansfield Place Mansfield QLD 4122</t>
  </si>
  <si>
    <t>Waived</t>
  </si>
  <si>
    <t>1 Cardinal Crescent Newport QLD 4020</t>
  </si>
  <si>
    <t>WARRIEWOOD</t>
  </si>
  <si>
    <t>10 Platypus Way WARRIEWOOD NSW 2102</t>
  </si>
  <si>
    <t>9 Fern Gully Place, Mooloolah Valley, QLD, 4553, Australia</t>
  </si>
  <si>
    <t>Corindi Beach</t>
  </si>
  <si>
    <t>95 Corindi Park Drive, Corindi Beach, NSW, 2456, Australia</t>
  </si>
  <si>
    <t>Pearcedale</t>
  </si>
  <si>
    <t>12 Pearcedale Road, Pearcedale, VIC, 3912, Australia</t>
  </si>
  <si>
    <t>Dudley park</t>
  </si>
  <si>
    <t>8 hudson drive dudley park</t>
  </si>
  <si>
    <t>Roselands</t>
  </si>
  <si>
    <t>3/7 Myers Street Roselands NSW 2196</t>
  </si>
  <si>
    <t>Teralba</t>
  </si>
  <si>
    <t>68 pitt st Teralba Nsw</t>
  </si>
  <si>
    <t>Collingwood Park</t>
  </si>
  <si>
    <t>80 Gibbs Avenue</t>
  </si>
  <si>
    <t>Victoria Point</t>
  </si>
  <si>
    <t>11 Peppermint Drive</t>
  </si>
  <si>
    <t>4 Fairland Street Mount Gravatt East QLD 4122</t>
  </si>
  <si>
    <t>45 Claremont Street Mount Eliza VIC 3930</t>
  </si>
  <si>
    <t>39 arthur st, Beaudesert, 4285</t>
  </si>
  <si>
    <t>Phil Wetheril</t>
  </si>
  <si>
    <t>New Beith</t>
  </si>
  <si>
    <t>Details removed - as per user request</t>
  </si>
  <si>
    <t>Tullimbar</t>
  </si>
  <si>
    <t>16 nimittabel st tullimbar 2527, Tullimbar, 2527</t>
  </si>
  <si>
    <t>Bruce Smith</t>
  </si>
  <si>
    <t>26 Highland Crescent Meadow Springs WA 6210</t>
  </si>
  <si>
    <t>Urangan</t>
  </si>
  <si>
    <t>157 Truro Street Urangan QLD 4655</t>
  </si>
  <si>
    <t>87 Lagoon Street Narrabeen NSW 2101</t>
  </si>
  <si>
    <t>Torquay</t>
  </si>
  <si>
    <t>5 Boleyn Place Torquay QLD 4655</t>
  </si>
  <si>
    <t>526 Redland Bay Road Alexandra Hills Brisbane, Alexandra Hills, 4161</t>
  </si>
  <si>
    <t>29/10/2025</t>
  </si>
  <si>
    <t>Alistair Fraser</t>
  </si>
  <si>
    <t>White Rock</t>
  </si>
  <si>
    <t>po box 1572, White Rock, 4868</t>
  </si>
  <si>
    <t>Debbie Hewitt</t>
  </si>
  <si>
    <t>54 Liquidamber Drive</t>
  </si>
  <si>
    <t>Lake Illawarra</t>
  </si>
  <si>
    <t>58 Addison Ave lake illawarra</t>
  </si>
  <si>
    <t>2 Coal Cres</t>
  </si>
  <si>
    <t>100 wallara water bvd</t>
  </si>
  <si>
    <t>11 sometset dv. deception bay, deception bay, 4508</t>
  </si>
  <si>
    <t>andrew</t>
  </si>
  <si>
    <t>Central street, Arundel, 4214</t>
  </si>
  <si>
    <t>Jenny Allen</t>
  </si>
  <si>
    <t>29a Wilson Esplanade Redland Bay, Redland bay, 4165</t>
  </si>
  <si>
    <t>Margaret Evans</t>
  </si>
  <si>
    <t>Warners Bay</t>
  </si>
  <si>
    <t>3 Bucklee Crescent Warners Bay NSW 2282</t>
  </si>
  <si>
    <t>118 North Buderim Boulevard Buderim QLD 4556</t>
  </si>
  <si>
    <t>27 Thompsons Road Coffs Harbour NSW 2450</t>
  </si>
  <si>
    <t>6 Acacia Avenue Coolum Beach QLD 4573</t>
  </si>
  <si>
    <t>2/75-77 Dolphin Street Coogee NSW 2034</t>
  </si>
  <si>
    <t>Holland Park</t>
  </si>
  <si>
    <t>45 Framont Avenue Holland Park QLD 4121</t>
  </si>
  <si>
    <t>92 Doorigo Road Armadale WA 6112</t>
  </si>
  <si>
    <t>30 Tuckeroo Place</t>
  </si>
  <si>
    <t>42/9-15 McLean Street Cairns North QLD 4870</t>
  </si>
  <si>
    <t>Wannanup</t>
  </si>
  <si>
    <t>9 Crowsnest Terrace Wannanup WA 6210</t>
  </si>
  <si>
    <t>1 / 66 Little Street, Manunda, QLD, 4870, Australia</t>
  </si>
  <si>
    <t>Winthrop</t>
  </si>
  <si>
    <t>25 Paterson Gardens Winthrop WA 6150</t>
  </si>
  <si>
    <t>16 Aubrey Crescent Coffs Harbour NSW 2450</t>
  </si>
  <si>
    <t>Belmore</t>
  </si>
  <si>
    <t>11 Garden Street Belmore NSW 2192</t>
  </si>
  <si>
    <t>37 Majorca Crescent Varsity Lakes QLD 4227</t>
  </si>
  <si>
    <t>St Lucia</t>
  </si>
  <si>
    <t>2/52 Bishop Street St Lucia QLD 4067</t>
  </si>
  <si>
    <t>34 Keppel Street Boondall QLD 4034</t>
  </si>
  <si>
    <t>Craignish</t>
  </si>
  <si>
    <t>50 Highview Drive Craignish QLD 4655</t>
  </si>
  <si>
    <t>22 Jean Street Coffs Harbour NSW 2450</t>
  </si>
  <si>
    <t>66 California Drive Oxenford QLD 4210</t>
  </si>
  <si>
    <t>2/69 William Sharp Drive Coffs Harbour NSW 2450</t>
  </si>
  <si>
    <t>84a stanworth  road  boondall, boondall, 4034</t>
  </si>
  <si>
    <t>30/10/2025</t>
  </si>
  <si>
    <t>Julie Marin</t>
  </si>
  <si>
    <t>, Butler, 6036</t>
  </si>
  <si>
    <t>Lance O'Neill</t>
  </si>
  <si>
    <t>26 Bedingfeld Rd</t>
  </si>
  <si>
    <t>Kippa-ring</t>
  </si>
  <si>
    <t>16 Kagara Street Kippa-Ring QLD 4021</t>
  </si>
  <si>
    <t>4/174 Norris Road Bracken Ridge QLD 4017</t>
  </si>
  <si>
    <t>30 Albert Street Beaudesert QLD 4285</t>
  </si>
  <si>
    <t xml:space="preserve">Stacey Cartwright </t>
  </si>
  <si>
    <t>19/37 Lomond Crescent Caloundra West QLD 4551</t>
  </si>
  <si>
    <t>Bill Man</t>
  </si>
  <si>
    <t>baillman@bigpond.com</t>
  </si>
  <si>
    <t>3 Badja Place Merriwa WA 6030</t>
  </si>
  <si>
    <t>142 Ridgecrop Dr, Castle Hill, 2154</t>
  </si>
  <si>
    <t>31/10/2025</t>
  </si>
  <si>
    <t>John Tymmons</t>
  </si>
  <si>
    <t>Booral</t>
  </si>
  <si>
    <t>87 janine street booral, booral, 4655</t>
  </si>
  <si>
    <t>Peter Prescott</t>
  </si>
  <si>
    <t>23 Vista Drive CHIRNSIDE PARK VIC 3116</t>
  </si>
  <si>
    <t>Peregian Beach</t>
  </si>
  <si>
    <t>100 Lakewood Drive Peregian Beach QLD 4573</t>
  </si>
  <si>
    <t>2/41A Nolan Street Frankston VIC 3199</t>
  </si>
  <si>
    <t>Varsity lakes</t>
  </si>
  <si>
    <t>5 Roundelay Drive Varsity Lakes QLD 4227</t>
  </si>
  <si>
    <t>11 Whistling Drive Alkimos WA 6038</t>
  </si>
  <si>
    <t>1/5 gum nut court, New Beith, 4124</t>
  </si>
  <si>
    <t>James Dawson</t>
  </si>
  <si>
    <t>4 Sylvania St, Wellington Point, 4160</t>
  </si>
  <si>
    <t>Francesca Latter</t>
  </si>
  <si>
    <t>19 undanbi place pelican waters, Pelican waters, 4551</t>
  </si>
  <si>
    <t>Graham Kroehnert</t>
  </si>
  <si>
    <t>605 Twenty Third Avenue, Palm Beach, QLD, 4221, Australia</t>
  </si>
  <si>
    <t>Kalkallo</t>
  </si>
  <si>
    <t>14 Camden Drive, Kalkallo, VIC, 3064, Australia</t>
  </si>
  <si>
    <t>redbank plains</t>
  </si>
  <si>
    <t>9 Danyel Ct</t>
  </si>
  <si>
    <t>Cloverdale</t>
  </si>
  <si>
    <t>16/180 Fulham Street</t>
  </si>
  <si>
    <t>Greenfields western australia</t>
  </si>
  <si>
    <t>7 Sartorial Pl</t>
  </si>
  <si>
    <t>9 crystal street Edgeworth NSW</t>
  </si>
  <si>
    <t>9 Pattinson ridge madora Bay WA</t>
  </si>
  <si>
    <t>Alice River</t>
  </si>
  <si>
    <t>101 Ring Rd</t>
  </si>
  <si>
    <t>35 Mitchell St</t>
  </si>
  <si>
    <t>Goldsbough</t>
  </si>
  <si>
    <t>21/ 23 Windlass st</t>
  </si>
  <si>
    <t>25 McBride Street, Kirwan, QLD, 4817, Australia, Kirwan, 4817</t>
  </si>
  <si>
    <t>Charlie Hanna</t>
  </si>
  <si>
    <t>6/118 Manning Street Kiama NSW 2533</t>
  </si>
  <si>
    <t>Cambridge Park</t>
  </si>
  <si>
    <t>68 Pembroke Street Cambridge Park NSW 2747</t>
  </si>
  <si>
    <t>Bokarina</t>
  </si>
  <si>
    <t>2207/19 Kombi Street Bokarina QLD 4575</t>
  </si>
  <si>
    <t>54B Casuarina Circuit Kingswood NSW 2747</t>
  </si>
  <si>
    <t>12 Bonito Close Taranganba QLD 4703</t>
  </si>
  <si>
    <t>62/80 Webster Road Deception Bay QLD 4508</t>
  </si>
  <si>
    <t>18 Saint Anton Drive Mons QLD 4556</t>
  </si>
  <si>
    <t>Donna Orton</t>
  </si>
  <si>
    <r>
      <rPr>
        <color rgb="FF1155CC"/>
        <sz val="10.0"/>
        <u/>
      </rPr>
      <t>donnalarchorton100@gmail.com</t>
    </r>
  </si>
  <si>
    <t>124 Cooper Street Mandurah WA 6210</t>
  </si>
  <si>
    <t>7 Jarrah Street Minyama QLD 4575</t>
  </si>
  <si>
    <t>Strathmore</t>
  </si>
  <si>
    <t>89 Mascoma Street Strathmore VIC 3041</t>
  </si>
  <si>
    <t>29 Laurel Avenue, Mount Sheridan, 4868</t>
  </si>
  <si>
    <t>Janice Staines</t>
  </si>
  <si>
    <t>53 palmwoods school road, palmwoods, 4555</t>
  </si>
  <si>
    <t>darryl drew</t>
  </si>
  <si>
    <t>Highland Park</t>
  </si>
  <si>
    <t>2/45 Alexander Drive, highland Park, 4211</t>
  </si>
  <si>
    <t>Mary E Mitchell</t>
  </si>
  <si>
    <t>2/45 Alexander Drive, Highland Park, 4211</t>
  </si>
  <si>
    <t>Kingsley</t>
  </si>
  <si>
    <t>33 Peregrine Drive Kingsley WA 6026</t>
  </si>
  <si>
    <t>9 Glen Abbey Street Rouse Hill NSW 2155</t>
  </si>
  <si>
    <t>Alderley</t>
  </si>
  <si>
    <t>101 Welbeck Street Alderley QLD 4051</t>
  </si>
  <si>
    <t>Rockyview</t>
  </si>
  <si>
    <t>75 Constance Avenue Rockyview QLD 4701</t>
  </si>
  <si>
    <t>Clinton</t>
  </si>
  <si>
    <t>171 J Hickey Avenue Clinton QLD 4680</t>
  </si>
  <si>
    <t>46 Kawanna Street Mudjimba QLD 4564</t>
  </si>
  <si>
    <t>Rowan Stanley</t>
  </si>
  <si>
    <r>
      <rPr>
        <color rgb="FF1155CC"/>
        <sz val="10.0"/>
        <u/>
      </rPr>
      <t>rowans1@westnet.com.au</t>
    </r>
  </si>
  <si>
    <t>7 Owen Street Mount Lofty QLD 4350</t>
  </si>
  <si>
    <t>Urraween</t>
  </si>
  <si>
    <t>32 gumtree drive urraween 4655, urraween, 4655</t>
  </si>
  <si>
    <t>Will Smith</t>
  </si>
  <si>
    <t>243 mount annan dr mount annan, mount annan, 2567</t>
  </si>
  <si>
    <t>Dragana Spasic</t>
  </si>
  <si>
    <t>49Thornbill Crescent, coodanup, 6210</t>
  </si>
  <si>
    <t>Malena Lema</t>
  </si>
  <si>
    <t>7 Moorabbin Place  Robina, Robina, 4226</t>
  </si>
  <si>
    <t>Cathy Vrolyks</t>
  </si>
  <si>
    <t>Gooseberry Hill</t>
  </si>
  <si>
    <t>140 Watsonia Road, Gooseberry Hill, WA, 6076, Australia, Gooseberry Hill, 6076</t>
  </si>
  <si>
    <t>Flaxton</t>
  </si>
  <si>
    <t>239-253 Flaxton Drive Flaxton QLD 4560</t>
  </si>
  <si>
    <t>Sandy Doble</t>
  </si>
  <si>
    <r>
      <rPr>
        <color rgb="FF1155CC"/>
        <sz val="10.0"/>
        <u/>
      </rPr>
      <t>sandy_doble@outlook.com</t>
    </r>
  </si>
  <si>
    <t>27 Seabrook Circuit Bushland Beach QLD 4818</t>
  </si>
  <si>
    <t>Wandin North</t>
  </si>
  <si>
    <t>35 Greenview Terrace Palmview QLD 4553</t>
  </si>
  <si>
    <t>10/15 Panama Crescent Mountain Creek QLD 4557</t>
  </si>
  <si>
    <t>26 North Quay Circuit Hope Island QLD 4212</t>
  </si>
  <si>
    <t>38 Warrawee Street Sapphire Beach NSW 2450</t>
  </si>
  <si>
    <t>Goldsbough valley</t>
  </si>
  <si>
    <t>21-23 Windlass Street Goldsborough QLD 4865</t>
  </si>
  <si>
    <t>62 Karawatha Drive Mountain Creek QLD 4557</t>
  </si>
  <si>
    <t>915/12 South Sea Islander Way Maroochydore QLD 4558</t>
  </si>
  <si>
    <t>Gail Denyer</t>
  </si>
  <si>
    <r>
      <rPr>
        <color rgb="FF1155CC"/>
        <sz val="10.0"/>
        <u/>
      </rPr>
      <t>gail.denyer@gmail.com</t>
    </r>
  </si>
  <si>
    <t>6 Andress Street McDowall QLD 4053</t>
  </si>
  <si>
    <t>Pomona</t>
  </si>
  <si>
    <t>19 Allira Court Pomona QLD 4568</t>
  </si>
  <si>
    <t>2 Tyrone Street Chermside West QLD 4032</t>
  </si>
  <si>
    <t>Morisset Park</t>
  </si>
  <si>
    <t>44 Crooks Road Mandalong NSW 2264</t>
  </si>
  <si>
    <t>25-31 Spoonbill Dr</t>
  </si>
  <si>
    <t>Beckenham</t>
  </si>
  <si>
    <t>57 wickling dr</t>
  </si>
  <si>
    <t>1 Maywood way, Wannanup 6210</t>
  </si>
  <si>
    <t>4 Winch Court, Mermaid Waters, QLD, 4218, Australia</t>
  </si>
  <si>
    <t>33 Montrose place</t>
  </si>
  <si>
    <t>104 / 3 Marco Polo Drive, Mandurah, WA, 6210, Australia</t>
  </si>
  <si>
    <t>Regency Downs</t>
  </si>
  <si>
    <t>4 ridgevale Dr</t>
  </si>
  <si>
    <t>12 Arthur St</t>
  </si>
  <si>
    <t>38 kahala rd</t>
  </si>
  <si>
    <t>45 Shirley Street</t>
  </si>
  <si>
    <t>29/157 159 Stuart Drive</t>
  </si>
  <si>
    <t>10 Warril Street, Wavell Heights  QLD</t>
  </si>
  <si>
    <t>17 Tarragon Place Thornlie</t>
  </si>
  <si>
    <t>78 Roxburgh Cir</t>
  </si>
  <si>
    <t>34 Derek crescent Morphett Vale</t>
  </si>
  <si>
    <t>53 Palmwoods School Road, Palmwoods</t>
  </si>
  <si>
    <t>140 Watsonia Road</t>
  </si>
  <si>
    <t>Susannah Thomas</t>
  </si>
  <si>
    <t>scthomas0220@yahoo.com</t>
  </si>
  <si>
    <t>48 / 7 Tari Place, Trinity Beach, QLD, 4879, Australia</t>
  </si>
  <si>
    <t>Jeff Bidner</t>
  </si>
  <si>
    <t>jeff6956@gmail.com</t>
  </si>
  <si>
    <t>Sandy beach</t>
  </si>
  <si>
    <t>Lisa Wyatt</t>
  </si>
  <si>
    <t>lisawyatt60@gmail.com</t>
  </si>
  <si>
    <t>Mount Low</t>
  </si>
  <si>
    <t>Fee Waived</t>
  </si>
  <si>
    <t>Jo Crix</t>
  </si>
  <si>
    <t>faiz_iii@hotmail.com</t>
  </si>
  <si>
    <t>Yokine</t>
  </si>
  <si>
    <t>4 Wyndham Way, Yokine, WA, 6060, Australia</t>
  </si>
  <si>
    <t>Brian McKiernan</t>
  </si>
  <si>
    <t>perthbrian@gmail.com</t>
  </si>
  <si>
    <t>Nar Nar Goon North</t>
  </si>
  <si>
    <t>64 Warren Road, Nar Nar Goon North, VIC, 3812, Australia</t>
  </si>
  <si>
    <t>brett andreasen</t>
  </si>
  <si>
    <t>setnt@iprimus.com.au</t>
  </si>
  <si>
    <t>Lisa Pritchard</t>
  </si>
  <si>
    <t>Lisaprit3@gmail.com</t>
  </si>
  <si>
    <t>14 Benson Street Tweed Heads West NSW 2485</t>
  </si>
  <si>
    <t>Debbie Jane Baker Kollinger</t>
  </si>
  <si>
    <t>balian_dj@hotmail.com</t>
  </si>
  <si>
    <t>92 Brickworks Road Kallangur QLD 4503</t>
  </si>
  <si>
    <t>Name removed</t>
  </si>
  <si>
    <t>10 Hibiscus Crescent Maudsland QLD 4210</t>
  </si>
  <si>
    <t>Jason Smit</t>
  </si>
  <si>
    <t>je7smit@hotmail.com</t>
  </si>
  <si>
    <t>torquay</t>
  </si>
  <si>
    <t>34 Truro Street Torquay QLD 4655</t>
  </si>
  <si>
    <t>Prue Robinson</t>
  </si>
  <si>
    <t>pruespad@gmail.com</t>
  </si>
  <si>
    <t>1/8 Sharftesbury St, Frankston, 3199</t>
  </si>
  <si>
    <t>John Oliver</t>
  </si>
  <si>
    <t>jro709190@gmail.com</t>
  </si>
  <si>
    <t>Doonan</t>
  </si>
  <si>
    <t>6 Silvertop Rd</t>
  </si>
  <si>
    <t>Robyn Page</t>
  </si>
  <si>
    <t>robynpage1@gmail.com</t>
  </si>
  <si>
    <t>40 Clover St, Mount Annan, 2567</t>
  </si>
  <si>
    <t>Mark Howarth</t>
  </si>
  <si>
    <t>mhowarth@live.com.au</t>
  </si>
  <si>
    <t>31 Sandy Camp Road, Wynnum, QLD, 4178, Australia</t>
  </si>
  <si>
    <t>Deb Tearle</t>
  </si>
  <si>
    <t>DougandDebTearle@gmail.com</t>
  </si>
  <si>
    <t>52 fern st</t>
  </si>
  <si>
    <t>John Wastell</t>
  </si>
  <si>
    <t>john.wastell@hotmail.com</t>
  </si>
  <si>
    <t>6 Mayfair Mews, Meadow Springs, WA, 6210, Australia</t>
  </si>
  <si>
    <t>Joanne Fitzpatrick</t>
  </si>
  <si>
    <t>joanne.fitzpatrick@gmail.com</t>
  </si>
  <si>
    <t>Tallai</t>
  </si>
  <si>
    <t>13 Earle Court Tallai QLD 4213</t>
  </si>
  <si>
    <t>Scott Hallam</t>
  </si>
  <si>
    <t>Scotthallam71@gmail.com</t>
  </si>
  <si>
    <t>67 Sixth Avenue Bardon QLD 4065</t>
  </si>
  <si>
    <t>Emma Bromell</t>
  </si>
  <si>
    <t>bromells@yahoo.com.au</t>
  </si>
  <si>
    <t>Burleigh Waters</t>
  </si>
  <si>
    <t>3 Nuthatch Street Burleigh Waters QLD 4220</t>
  </si>
  <si>
    <t>Robert Parsons</t>
  </si>
  <si>
    <t>cherylandbob7@optusnet.com.au</t>
  </si>
  <si>
    <t>2 Johnnys Lane Birkdale QLD 4159</t>
  </si>
  <si>
    <t>David Goulter</t>
  </si>
  <si>
    <t>david.goulter@bigpond.com</t>
  </si>
  <si>
    <t>Wellington point</t>
  </si>
  <si>
    <t>55 Plumer Street Wellington Point QLD 4160</t>
  </si>
  <si>
    <t>Corrin Matthews</t>
  </si>
  <si>
    <t>showbriz@gmail.com</t>
  </si>
  <si>
    <t>22 Eldena Place Parkinson QLD 4115</t>
  </si>
  <si>
    <t>Steve Edwards</t>
  </si>
  <si>
    <t>Sedwards@alspec.com.au</t>
  </si>
  <si>
    <t>17-23 Wedge-Tail Court Tamborine QLD 4270</t>
  </si>
  <si>
    <t>Cheryl Sawrey</t>
  </si>
  <si>
    <t>cherloch@hotmail.com</t>
  </si>
  <si>
    <t>Chloe Chloe</t>
  </si>
  <si>
    <t>phuongthaole294@gmail.com</t>
  </si>
  <si>
    <t>Byford</t>
  </si>
  <si>
    <t>79 mead st Byford WA 6122, Byford, 6122</t>
  </si>
  <si>
    <t>Wayne Weber</t>
  </si>
  <si>
    <t>wobbly.weber@gmail.com</t>
  </si>
  <si>
    <t>Phil Salt</t>
  </si>
  <si>
    <t>philjsalt@yahoo.com.au</t>
  </si>
  <si>
    <t>Donnybrook</t>
  </si>
  <si>
    <t>39 Cornhill Parkway, Donnybrook, Victoria, 3064, Australia</t>
  </si>
  <si>
    <t>Steven Russell</t>
  </si>
  <si>
    <t>fcruzn@hotmail.com</t>
  </si>
  <si>
    <t>1 Holz Street Victoria Point QLD 4165, Victoria Point, 4165</t>
  </si>
  <si>
    <t>Bill Hobbs</t>
  </si>
  <si>
    <t>blobbsy@yahoo.com</t>
  </si>
  <si>
    <t>94 Headingley Link, Meadow Springs</t>
  </si>
  <si>
    <t>Vince Anderson</t>
  </si>
  <si>
    <t>vincentg.anderson@gmail.com</t>
  </si>
  <si>
    <t>High Wycombe</t>
  </si>
  <si>
    <t>87 Foxton Boulevard, HIGH WYCOMBE WA 6057</t>
  </si>
  <si>
    <t>Greg Simmons</t>
  </si>
  <si>
    <t>simmons_greg46@hotmail.com</t>
  </si>
  <si>
    <t>Darren Cooper</t>
  </si>
  <si>
    <t>Cabarlah</t>
  </si>
  <si>
    <t>35 Adams Rd Cabarlah</t>
  </si>
  <si>
    <t>Michael Holt</t>
  </si>
  <si>
    <t>michael.holt@pepsico.com</t>
  </si>
  <si>
    <t>Port Noarlunga</t>
  </si>
  <si>
    <t>21 Anderson Ave Port Noarlunga</t>
  </si>
  <si>
    <t>Paul Modra</t>
  </si>
  <si>
    <t>mods06@hotmail.com</t>
  </si>
  <si>
    <t>Woodhill</t>
  </si>
  <si>
    <t>67-73 Mahoney Rd woodhill</t>
  </si>
  <si>
    <t>Randall Lovell</t>
  </si>
  <si>
    <t>randalllovell1960@outlook.com</t>
  </si>
  <si>
    <t>Coomera Waters</t>
  </si>
  <si>
    <t>15 Waddiwong Road</t>
  </si>
  <si>
    <t>Katrina Branch</t>
  </si>
  <si>
    <t>matrina66@gmail.com</t>
  </si>
  <si>
    <t>59 Hillsdon rd. Taringa</t>
  </si>
  <si>
    <t>Richard m Kennedy</t>
  </si>
  <si>
    <t>richard@rkarchitects.com.au</t>
  </si>
  <si>
    <t>43 D terrace st toowong, toowong, 4066</t>
  </si>
  <si>
    <t>stephenharris@valuestreams.com.au</t>
  </si>
  <si>
    <t>Pauline Hanlon</t>
  </si>
  <si>
    <t>paulinehanlon48@gmail.com</t>
  </si>
  <si>
    <t>5 Mizzen Close Wurtulla QLD 4575</t>
  </si>
  <si>
    <t>Mark Jenkinson</t>
  </si>
  <si>
    <t>markj1@bigpond.net.au</t>
  </si>
  <si>
    <t>120 Youngs Drive Doonan QLD 4562</t>
  </si>
  <si>
    <t>Jackie Parsons</t>
  </si>
  <si>
    <t>jp89172@gmail.com</t>
  </si>
  <si>
    <t>Bethania</t>
  </si>
  <si>
    <t>19 Carlton Close Bethania QLD 4205</t>
  </si>
  <si>
    <t>Kerry Phipps</t>
  </si>
  <si>
    <t>Kimlebphipps@gmail.com</t>
  </si>
  <si>
    <t>25 Starfire Close Halls Head WA 6210</t>
  </si>
  <si>
    <t>Garry Backshall</t>
  </si>
  <si>
    <t>garrybackshall@gmail.com</t>
  </si>
  <si>
    <t>Hamish Broome</t>
  </si>
  <si>
    <t>hamish.broome@gmail.com</t>
  </si>
  <si>
    <t>136 Havana Road West Peregian Springs QLD 4573</t>
  </si>
  <si>
    <t>Anja Reuthe</t>
  </si>
  <si>
    <t>areuthe@gmail.com</t>
  </si>
  <si>
    <t>12 Barbara Avenue Morphett Vale SA 5162</t>
  </si>
  <si>
    <t>George Kemp</t>
  </si>
  <si>
    <t>mushy666@gmail.com</t>
  </si>
  <si>
    <t>25 Broughton Avenue Tullimbar NSW 2527</t>
  </si>
  <si>
    <t>Michelle Steenkamp</t>
  </si>
  <si>
    <t>michellee7@hotmail.com</t>
  </si>
  <si>
    <t>Bonnells Bay</t>
  </si>
  <si>
    <t>449 Fishery Point Road Bonnells Bay NSW 2264</t>
  </si>
  <si>
    <t>Athol Mclean</t>
  </si>
  <si>
    <t>athol.mclean@icloud.com</t>
  </si>
  <si>
    <t>46 Fett Road Westbrook QLD 4350, Westbrook, 4350</t>
  </si>
  <si>
    <t>Patrick Jones</t>
  </si>
  <si>
    <t>patrickjones@bigpond.com.au</t>
  </si>
  <si>
    <t>Windaroo</t>
  </si>
  <si>
    <t>42 riverside terrace windaroo 4207, Windaroo, 4207</t>
  </si>
  <si>
    <t>Birgitte Jensen</t>
  </si>
  <si>
    <t>birgittenjensen@gmail.com</t>
  </si>
  <si>
    <t>4 fountain way huntingdale, Huntingdale, 6110</t>
  </si>
  <si>
    <t>Erica Biagioni</t>
  </si>
  <si>
    <t>ericasb@gmail.com.au</t>
  </si>
  <si>
    <t>8 Timbarra Avenue, North Kellyville, 2155</t>
  </si>
  <si>
    <t>Sylvia Alicia Frost</t>
  </si>
  <si>
    <t>sylviaalicia6@hotmail.com</t>
  </si>
  <si>
    <t>1 Burwood Street Kahibah NSW 2290</t>
  </si>
  <si>
    <t>Emma Crane</t>
  </si>
  <si>
    <t>emma.nutrimetics10@gmail.com</t>
  </si>
  <si>
    <t>70 Leyte Avenue Palm Beach QLD 4221</t>
  </si>
  <si>
    <t>Aaron Hammond</t>
  </si>
  <si>
    <t>aaronhammond82@outlook.com</t>
  </si>
  <si>
    <t>Dundowran Beach</t>
  </si>
  <si>
    <t>2 Cockatiel Court Dundowran Beach QLD 4655</t>
  </si>
  <si>
    <t>Dianne Fryer</t>
  </si>
  <si>
    <t>diannemfryer@bigpond.com</t>
  </si>
  <si>
    <t>21 Bubalo Street Warriewood NSW 2102</t>
  </si>
  <si>
    <t>Craig Robinson</t>
  </si>
  <si>
    <t>craig_at_the_beach@hotmail.com</t>
  </si>
  <si>
    <t>1/97 Dunsterville crescent Frankston Victoria 3199, Frankston, 3199</t>
  </si>
  <si>
    <t>Caroline Dobson</t>
  </si>
  <si>
    <t>Cocodobson@outlook.com</t>
  </si>
  <si>
    <t>83 Billanook Way, Chirnside Park, VIC, 3116, Australia</t>
  </si>
  <si>
    <t>Peter Berry</t>
  </si>
  <si>
    <t>Gaythorne</t>
  </si>
  <si>
    <t>U 14 34 Lade St</t>
  </si>
  <si>
    <t>Nera Komaric</t>
  </si>
  <si>
    <t>nera.komaric@gmail.comn</t>
  </si>
  <si>
    <t>Currans Hill</t>
  </si>
  <si>
    <t>23 Newmarket St</t>
  </si>
  <si>
    <t>Lynnette Correia</t>
  </si>
  <si>
    <t>lynnettelcorreia@gmail.com</t>
  </si>
  <si>
    <t>U 14 34 Lade St, Gaythorne, 4051</t>
  </si>
  <si>
    <t>nera.komaric@gmail.com</t>
  </si>
  <si>
    <t>Kanimbla</t>
  </si>
  <si>
    <t>2 Robson Street Kanimbla QLD 4870</t>
  </si>
  <si>
    <t>Kim Freckleton</t>
  </si>
  <si>
    <t>geoffreyfreckleton40@gmail.com</t>
  </si>
  <si>
    <t>10 Long Board Street Peregian Beach QLD 4573</t>
  </si>
  <si>
    <t>Mark Kerr</t>
  </si>
  <si>
    <t>kerrmark13@gmail.com</t>
  </si>
  <si>
    <t>183 Virginia Avenue Hawthorne QLD 4171</t>
  </si>
  <si>
    <t>Mark Scanlan</t>
  </si>
  <si>
    <t>markscanlan@optusnet.com.au</t>
  </si>
  <si>
    <t>Cheree Jackson</t>
  </si>
  <si>
    <t>Cheree.jackson@me.com</t>
  </si>
  <si>
    <t>Worongary</t>
  </si>
  <si>
    <t>15 Grosvenor Court Worongary QLD 4213</t>
  </si>
  <si>
    <t>Loryn McMeekin</t>
  </si>
  <si>
    <t>lorynhilliard@hotmail.com</t>
  </si>
  <si>
    <t>Amanda Mobbs</t>
  </si>
  <si>
    <t>amanda.mobbs@bigpond.com</t>
  </si>
  <si>
    <t>Stockleigh</t>
  </si>
  <si>
    <t>37-41 Rockford Close Stockleigh QLD 4280</t>
  </si>
  <si>
    <t>James Heyfron</t>
  </si>
  <si>
    <t>jamesheyfron@aol.com</t>
  </si>
  <si>
    <t>Sierra Vegar</t>
  </si>
  <si>
    <t>sierra819@hotmail.com</t>
  </si>
  <si>
    <t>10 Chardonnay Drive Skye VIC 3977</t>
  </si>
  <si>
    <t>lyn_dawn@hotmail.com</t>
  </si>
  <si>
    <t>Freshwater nsw</t>
  </si>
  <si>
    <t>Kathy Ingram</t>
  </si>
  <si>
    <t>Rogeringram@ozemail.com.au</t>
  </si>
  <si>
    <t>31 camp st</t>
  </si>
  <si>
    <t>Derek Webber</t>
  </si>
  <si>
    <t>derekwebber267@gmail.com</t>
  </si>
  <si>
    <t>2/20a France street Mandurah</t>
  </si>
  <si>
    <t>Georgina Seymour</t>
  </si>
  <si>
    <t>baz.georgie@hotmail.com</t>
  </si>
  <si>
    <t>Hilbert</t>
  </si>
  <si>
    <t>11 Ardara Lane  HILBERT 6112 WA, Hilbert, 6112</t>
  </si>
  <si>
    <t>Felly Abarquez Bacalla</t>
  </si>
  <si>
    <t>fely_reegan@yahoo.com</t>
  </si>
  <si>
    <t>9 Summerstone Place Maudsland QLD 4210</t>
  </si>
  <si>
    <t>Dennis Phillip Sharp</t>
  </si>
  <si>
    <t>dsharpee@bigpond.com</t>
  </si>
  <si>
    <t>Cranbourne, 3977</t>
  </si>
  <si>
    <t>Kayla Thompson</t>
  </si>
  <si>
    <t>jesseandkaylathompson@gmail.com</t>
  </si>
  <si>
    <t>Wollert</t>
  </si>
  <si>
    <t>15 st Patrick’s rise Wollert, Wollert, 3750</t>
  </si>
  <si>
    <t>Mary Papas</t>
  </si>
  <si>
    <t>mpapadatos511@gmail.com</t>
  </si>
  <si>
    <t>145 Ross River Road, Mundingburra, QLD, 4812, Australia</t>
  </si>
  <si>
    <t>Angelo Coco</t>
  </si>
  <si>
    <t>angelo.coco@bigpond.com</t>
  </si>
  <si>
    <t>143 Ross River Road, Mundingburra, QLD, 4812, Australia</t>
  </si>
  <si>
    <t>angelo Coco</t>
  </si>
  <si>
    <t>U 1 61 Thalassa Ave, Albion Park, 2518</t>
  </si>
  <si>
    <t>Vic Vaccaro</t>
  </si>
  <si>
    <t>vic.vaccaro@y7mail.com</t>
  </si>
  <si>
    <t>14 Charnley Avenue, Bentley Park, QLD, 4869, Australia</t>
  </si>
  <si>
    <t>Susan Morton</t>
  </si>
  <si>
    <t>susanatno62@gmail.com</t>
  </si>
  <si>
    <t>12 Hyacinth Close EDMONTON QLD 4869</t>
  </si>
  <si>
    <t>Kathy Mills</t>
  </si>
  <si>
    <t>mills2008@bigpond.com</t>
  </si>
  <si>
    <t>142 Behrens Road Bellmere QLD 4510</t>
  </si>
  <si>
    <t>Roland Kilgus</t>
  </si>
  <si>
    <t>rolandkilgus@gmail.com</t>
  </si>
  <si>
    <t>19 Banjo Street Albion Park NSW 2527</t>
  </si>
  <si>
    <t>Paul Sullivan</t>
  </si>
  <si>
    <t>psullo@optusnet.com.au</t>
  </si>
  <si>
    <t>Chandlers Hill</t>
  </si>
  <si>
    <t>85 Education Road Chandlers Hill SA 5159</t>
  </si>
  <si>
    <t>Brenda Brophy</t>
  </si>
  <si>
    <t>paubro1@bigpond.com</t>
  </si>
  <si>
    <t>Berwick 3806</t>
  </si>
  <si>
    <t>11/48 Langmore Lane Berwick VIC 3806</t>
  </si>
  <si>
    <t>Ettore Rimbaldo</t>
  </si>
  <si>
    <t>tony@actlaser.com.au</t>
  </si>
  <si>
    <t>Mysterton</t>
  </si>
  <si>
    <t>1/22 Mears Street Mysterton QLD 4812</t>
  </si>
  <si>
    <t>angelo.coco@bigpond.com.au</t>
  </si>
  <si>
    <t>4 Stonecurlew Street UPPER COOMERA QLD 4209</t>
  </si>
  <si>
    <t>Roy Gardner</t>
  </si>
  <si>
    <t>roy.gardner@yatalaformwork.com.au</t>
  </si>
  <si>
    <t>River heads</t>
  </si>
  <si>
    <t>27 Avolet Crescent River Heads QLD 4655</t>
  </si>
  <si>
    <t>Tora Walker</t>
  </si>
  <si>
    <t>artbytora@gmail.com</t>
  </si>
  <si>
    <t>24 Yarra Hill Lane Chirnside Park VIC 3116</t>
  </si>
  <si>
    <t>Josie Minutillo</t>
  </si>
  <si>
    <t>josie.minutillo@gmail.com</t>
  </si>
  <si>
    <t>22 Birra Drive Oak Flats NSW 2529</t>
  </si>
  <si>
    <t>Narelle Gollan (Property appears to have just sold)</t>
  </si>
  <si>
    <t>narelle.gollan@hotmail.com</t>
  </si>
  <si>
    <t>7 Kahibah Road Highfields NSW 2289</t>
  </si>
  <si>
    <t>Natalie May</t>
  </si>
  <si>
    <t>n.haddock@hotmail.com</t>
  </si>
  <si>
    <t>Emerald Beach</t>
  </si>
  <si>
    <t>51 Lights Street Emerald Beach NSW 2456</t>
  </si>
  <si>
    <t>Helen Young</t>
  </si>
  <si>
    <t>hyoung4359@gmail.com</t>
  </si>
  <si>
    <t>East Victoria Park</t>
  </si>
  <si>
    <t>11A Mofflyn Circle East Victoria Park WA 6101</t>
  </si>
  <si>
    <t>Doug Peyman</t>
  </si>
  <si>
    <t>dougpeyman@me.com</t>
  </si>
  <si>
    <t>11 Treetop Close Chapel Hill QLD 4069</t>
  </si>
  <si>
    <t>Donna Bibo</t>
  </si>
  <si>
    <t>dondons0491@gmail.com</t>
  </si>
  <si>
    <t>48 Deagon Drive Runaway Bay QLD 4216</t>
  </si>
  <si>
    <t>juliemauger</t>
  </si>
  <si>
    <t>julie.mauger@bigpond.com</t>
  </si>
  <si>
    <t>Woodend</t>
  </si>
  <si>
    <t>5 Campbell Street Woodend QLD 4305</t>
  </si>
  <si>
    <t>Amy McDowell</t>
  </si>
  <si>
    <t>amysway@hotmail.com</t>
  </si>
  <si>
    <t>6/19 Heath Street Southport QLD 4215</t>
  </si>
  <si>
    <t>Toni Georgiou</t>
  </si>
  <si>
    <t>toni.m.georgiou@gmail.com</t>
  </si>
  <si>
    <t>Horsley</t>
  </si>
  <si>
    <t>23 Parkdale Avenue Horsley NSW 2530</t>
  </si>
  <si>
    <t>Michelle Haiser</t>
  </si>
  <si>
    <t>Michellehaiser29@gmail.com</t>
  </si>
  <si>
    <t>33 Callum Avenue Somerville VIC 3912</t>
  </si>
  <si>
    <t>Sian Herbert</t>
  </si>
  <si>
    <t>dawson.sian@gmail.com</t>
  </si>
  <si>
    <t>Dundowran</t>
  </si>
  <si>
    <t>John Right</t>
  </si>
  <si>
    <t>djr_48@yahoo.com.au</t>
  </si>
  <si>
    <t>63 Empress Terrace, Bardon, QLD, 4065, Australia</t>
  </si>
  <si>
    <t>Nadine  Gowen</t>
  </si>
  <si>
    <t>nadinegowen@gmail.com</t>
  </si>
  <si>
    <t>63 Empress Terrace, Bardon, 4065</t>
  </si>
  <si>
    <t>Nadine Gowen</t>
  </si>
  <si>
    <t>Mark Hayes</t>
  </si>
  <si>
    <t>hmjhayes@aol.com</t>
  </si>
  <si>
    <t>Wallsend</t>
  </si>
  <si>
    <t>Steve O'Nobody</t>
  </si>
  <si>
    <t>steve.northey.2018@gmail.com</t>
  </si>
  <si>
    <t>SIPPY DOWNS</t>
  </si>
  <si>
    <t>14 Franklin Place SIPPY DOWNS QLD 4556</t>
  </si>
  <si>
    <t>Rita Rumler</t>
  </si>
  <si>
    <t>rita.rumler14@gmail.com</t>
  </si>
  <si>
    <t>233/30 Macrossan Street Brisbane City QLD 4000</t>
  </si>
  <si>
    <t>Peter Cross</t>
  </si>
  <si>
    <t>petercross848@gmail.com</t>
  </si>
  <si>
    <t>7 Brack Court Mooroolbark VIC 3138</t>
  </si>
  <si>
    <t>Daryl Dixon</t>
  </si>
  <si>
    <t>daryl_dixon@yahoo.com.au</t>
  </si>
  <si>
    <t>25 Craig Road Junction Village VIC 3977</t>
  </si>
  <si>
    <t>Bevie Kirkwood</t>
  </si>
  <si>
    <t>bevie.kirk@outlook.com</t>
  </si>
  <si>
    <t>Tweed Heads</t>
  </si>
  <si>
    <t>2/13 Park Street Tweed Heads NSW 2485</t>
  </si>
  <si>
    <t>Bruce Loynes</t>
  </si>
  <si>
    <t>bruceloynes@outlook.com</t>
  </si>
  <si>
    <t>Donovan Biss</t>
  </si>
  <si>
    <t>1307/57 Hofmann Drive Noosaville QLD 4566</t>
  </si>
  <si>
    <t>Brett Potter</t>
  </si>
  <si>
    <t>brett.potter@yahoo.com.au</t>
  </si>
  <si>
    <t>6 Cameron Way Mount Eliza VIC 3930</t>
  </si>
  <si>
    <t>Linda Kops</t>
  </si>
  <si>
    <t>Lch.kops@gmail.com</t>
  </si>
  <si>
    <t>363 Brendonna Road Burua QLD 4680</t>
  </si>
  <si>
    <t>Damien Oates</t>
  </si>
  <si>
    <t>demo.1@live.com.au</t>
  </si>
  <si>
    <t>24/62-66 Brown Street Labrador QLD 4215</t>
  </si>
  <si>
    <t>Mikala Smith</t>
  </si>
  <si>
    <t>mikala0111@gmail.com</t>
  </si>
  <si>
    <t>6 Milparinka Way Berwick VIC 3806</t>
  </si>
  <si>
    <t>Barrie Hondow</t>
  </si>
  <si>
    <t>bhondow21@gmail.com</t>
  </si>
  <si>
    <t>Warradale</t>
  </si>
  <si>
    <t>8 Virgo Avenue Warradale SA 5046</t>
  </si>
  <si>
    <t>Lily Galandomos</t>
  </si>
  <si>
    <t>kouklalilly@gmail.com</t>
  </si>
  <si>
    <t>Tania Brattle</t>
  </si>
  <si>
    <t>tbrattz@hotmail.com</t>
  </si>
  <si>
    <t>Bilambil Heights</t>
  </si>
  <si>
    <t>16 Owenia Circuit Bilambil Heights NSW 2486</t>
  </si>
  <si>
    <t>Pauline Sheehan</t>
  </si>
  <si>
    <t>sheehanpauline3@gmail.com</t>
  </si>
  <si>
    <t>90 Allan Day Drive, Wellington Point, QLD, 4160, Australia</t>
  </si>
  <si>
    <t>Theresa Logan</t>
  </si>
  <si>
    <t>theresa.logan@bigpond.com.au</t>
  </si>
  <si>
    <t>18 Coongul Court, Urraween, QLD, 4655, Australia</t>
  </si>
  <si>
    <t>Scott Harding</t>
  </si>
  <si>
    <t>greenenergywholesale@gmail.com</t>
  </si>
  <si>
    <t>Wynnum west</t>
  </si>
  <si>
    <t>82/37 daysure place wynnum west</t>
  </si>
  <si>
    <t>Peter Fitzgerald</t>
  </si>
  <si>
    <t>p.fitzgerakd@gmx.com</t>
  </si>
  <si>
    <t>Mia gow</t>
  </si>
  <si>
    <t>Info@theaustraliansleepco.com.au</t>
  </si>
  <si>
    <t>gympie</t>
  </si>
  <si>
    <t>53 james dean rd widgee crossing</t>
  </si>
  <si>
    <t>Jane Potter</t>
  </si>
  <si>
    <t>janepotter63@bigpond.com</t>
  </si>
  <si>
    <t>81 Pine Ridge Road</t>
  </si>
  <si>
    <t>kiwiaussie77@hotmail.com</t>
  </si>
  <si>
    <t>Carters Ridge</t>
  </si>
  <si>
    <t>384 Happy Jack Creek Road Carters Ridge QLD 4563</t>
  </si>
  <si>
    <t>Mark Anthony</t>
  </si>
  <si>
    <t>markwanthony.60@gmail.com</t>
  </si>
  <si>
    <t>Benaraby</t>
  </si>
  <si>
    <t>16 Ronald Crescent Benaraby QLD 4680</t>
  </si>
  <si>
    <t>Robert Nowitzke</t>
  </si>
  <si>
    <t>chris.rob@live.com.au</t>
  </si>
  <si>
    <t>Capella</t>
  </si>
  <si>
    <t>36 Carmody Parade North Lakes</t>
  </si>
  <si>
    <t>Russell Diack</t>
  </si>
  <si>
    <t>russelldiack@gmail.com</t>
  </si>
  <si>
    <t>Croydon nth</t>
  </si>
  <si>
    <t>2 Borola Court</t>
  </si>
  <si>
    <t>Peter Stillwell</t>
  </si>
  <si>
    <t>peterstillwell34@gmail.com</t>
  </si>
  <si>
    <t>67A Esplanade</t>
  </si>
  <si>
    <t>Incomplete Submission</t>
  </si>
  <si>
    <t>42 Sunwell St, Brighton, 4017</t>
  </si>
  <si>
    <t>Joanne Barnes</t>
  </si>
  <si>
    <t>joanne.barnes22@yahoo.com</t>
  </si>
  <si>
    <t>Themeda Place, Lilydale, 3140</t>
  </si>
  <si>
    <t>Lynne D</t>
  </si>
  <si>
    <t>lynnesaints@gmail.com</t>
  </si>
  <si>
    <t>7 Margaret Cl, Brighton, 4017</t>
  </si>
  <si>
    <t>Brett Gash</t>
  </si>
  <si>
    <t>brettgash8@gmail.com</t>
  </si>
  <si>
    <t>4 Palm ct Beaudesert 4285, Beaudesert, 4285</t>
  </si>
  <si>
    <t>Eric Busby</t>
  </si>
  <si>
    <t>busby@bigpond.net.au</t>
  </si>
  <si>
    <t>2 Crest Street Kallangur QLD 4503</t>
  </si>
  <si>
    <t>Warren Clark</t>
  </si>
  <si>
    <t>wozzaclak@gmail.com</t>
  </si>
  <si>
    <t>509/42 Queen Street Kings Beach QLD 4551</t>
  </si>
  <si>
    <t>Warryn Jones</t>
  </si>
  <si>
    <t>Warryn@nerakcom.au</t>
  </si>
  <si>
    <t>Willmot</t>
  </si>
  <si>
    <t>33 Resolution Avenue Willmot NSW 2770</t>
  </si>
  <si>
    <t>Leslie Gaskin</t>
  </si>
  <si>
    <t>les_gaskin@yahoo.com.au</t>
  </si>
  <si>
    <t>35 Francis Street Castle Hill NSW 2154</t>
  </si>
  <si>
    <t>Janette Crawford</t>
  </si>
  <si>
    <t>janette_crawford@yahoo.com.au</t>
  </si>
  <si>
    <t>19 Bellerive Pass, Meadow Springs, 6210</t>
  </si>
  <si>
    <t>Honey Tapuvae</t>
  </si>
  <si>
    <t>tapuvaea@gmail.com</t>
  </si>
  <si>
    <t>19 Bellerive Pass, Meadow Springs, WA, 6210, Australia</t>
  </si>
  <si>
    <t>Honey  Tapuvae</t>
  </si>
  <si>
    <t>4 Moulton st, coodanup 6210, Coodanup, 6210</t>
  </si>
  <si>
    <t>Peter Trebley</t>
  </si>
  <si>
    <t>ptrebley@gmail.com</t>
  </si>
  <si>
    <t>Themeda Place, Lilydale, 3140, Lilydale, 3140</t>
  </si>
  <si>
    <t>24 Seventh Road Armadale WA 6112</t>
  </si>
  <si>
    <t>Ian Cross</t>
  </si>
  <si>
    <t>lowenhyt@icloud.com</t>
  </si>
  <si>
    <t>Canina</t>
  </si>
  <si>
    <t>15 Canina Road Canina QLD 4570</t>
  </si>
  <si>
    <t>Les Kahler</t>
  </si>
  <si>
    <t>leskahler4@bigpond.com</t>
  </si>
  <si>
    <t>4/64 Valantine Road Birkdale QLD 4159</t>
  </si>
  <si>
    <t>David Baker</t>
  </si>
  <si>
    <t>dacey1925@gmail.com</t>
  </si>
  <si>
    <t>272 Valley Drive Oak Valley QLD 4811</t>
  </si>
  <si>
    <t>Anthony Timms</t>
  </si>
  <si>
    <t>mtnant1966@hotmail.com</t>
  </si>
  <si>
    <t>50 Ailsacraig  Ramble,  Kinross  6028</t>
  </si>
  <si>
    <t>Bryan Martin</t>
  </si>
  <si>
    <t>jamesbryanmartin47@gmail.com</t>
  </si>
  <si>
    <t>Redhead</t>
  </si>
  <si>
    <t>107/81 Kalaroo redhead</t>
  </si>
  <si>
    <t>Keni Sattler</t>
  </si>
  <si>
    <t>Kenisattler54@gmail.com</t>
  </si>
  <si>
    <t>91 holmes st. southern river.6110, Southern River, 6110</t>
  </si>
  <si>
    <t>Mary ann jones</t>
  </si>
  <si>
    <t>maryannjones035@gmail.com</t>
  </si>
  <si>
    <t>26-28 Gum Nut Court, New Beith, 4124</t>
  </si>
  <si>
    <t>Ibby Morton</t>
  </si>
  <si>
    <t>ibbymorton@gmail.com</t>
  </si>
  <si>
    <t>Calderwood</t>
  </si>
  <si>
    <t>2 Oak Farm Rd Calderwood, Calderwood, 2527</t>
  </si>
  <si>
    <t>Salvatore Nardi</t>
  </si>
  <si>
    <t>samammy7072@gmail.com</t>
  </si>
  <si>
    <t>Emu Plains</t>
  </si>
  <si>
    <t>7 Brockamin Drive South Penrith NSW 2750</t>
  </si>
  <si>
    <t>Jenny Cowell</t>
  </si>
  <si>
    <t>jencowell65@gmail.com</t>
  </si>
  <si>
    <t>10 Straite Drive Robina QLD 4226</t>
  </si>
  <si>
    <t>Anna Vanderhelm</t>
  </si>
  <si>
    <t>annavanbrooke@yahoo.com.au</t>
  </si>
  <si>
    <t>Mark Cheney</t>
  </si>
  <si>
    <t>14/16 David Street Burpengary QLD 4505</t>
  </si>
  <si>
    <t>Robert Melbourne</t>
  </si>
  <si>
    <t>melbourne.rob@outlook.com</t>
  </si>
  <si>
    <t>18 Leggatt Street Eglinton WA 6034</t>
  </si>
  <si>
    <t>Madeline Mcloughlin</t>
  </si>
  <si>
    <t>Madelinemcloughlin1@gmail.com</t>
  </si>
  <si>
    <t>24 Glover Street Bentleigh East VIC 3165</t>
  </si>
  <si>
    <t>Andrew Oshlack</t>
  </si>
  <si>
    <t>andrewoshlack@gmail.com</t>
  </si>
  <si>
    <t>6/18  Camfield st Alexandra Headland., Alexandra Headland, 4572</t>
  </si>
  <si>
    <t>Juleen Clements</t>
  </si>
  <si>
    <t>juleenresumes@yahoo.com</t>
  </si>
  <si>
    <t>Glynde</t>
  </si>
  <si>
    <t>36 Castres Street Glynde 5070</t>
  </si>
  <si>
    <t>Patricia Rossi-Grice</t>
  </si>
  <si>
    <t>pat.grice@hotmail.com</t>
  </si>
  <si>
    <t>Daniel Sarzano</t>
  </si>
  <si>
    <t>12 Scribblygum Circuit Rouse Hill NSW 2155</t>
  </si>
  <si>
    <t>Gabriele Bender</t>
  </si>
  <si>
    <t>gabriele.bender@caesarstone.com.au</t>
  </si>
  <si>
    <t>63 Gamburra Drive Redlynch QLD 4870</t>
  </si>
  <si>
    <t>Billy Mensforth</t>
  </si>
  <si>
    <t>billymensforth@bigpond.com</t>
  </si>
  <si>
    <t>Falcon</t>
  </si>
  <si>
    <t>58 Yeedong Road Falcon WA 6210</t>
  </si>
  <si>
    <t>Lynn Edwards</t>
  </si>
  <si>
    <t>russlynn12@hotmail.com</t>
  </si>
  <si>
    <t>18 Toorak Place Castle Hill QLD 4810</t>
  </si>
  <si>
    <t>Kari Arbouin</t>
  </si>
  <si>
    <t>Arbouinkari@gmail.com</t>
  </si>
  <si>
    <t>4 Halyard Drive Wurtulla QLD 4575</t>
  </si>
  <si>
    <t>Zara</t>
  </si>
  <si>
    <t>zarayoung187@gmail.com</t>
  </si>
  <si>
    <t>56 Little Mountain Drive Little Mountain QLD 4551</t>
  </si>
  <si>
    <t>Barbara Dore Webb</t>
  </si>
  <si>
    <t>bzwebb@gmail.com</t>
  </si>
  <si>
    <t>kallangur</t>
  </si>
  <si>
    <t>3 Shield Street Kallangur QLD 4503</t>
  </si>
  <si>
    <t>grant Fitzgerald</t>
  </si>
  <si>
    <t>Grantfitzgerald777@proton.me</t>
  </si>
  <si>
    <t>noosaville 4566</t>
  </si>
  <si>
    <t>2 Aspera Place Noosaville QLD 4566</t>
  </si>
  <si>
    <t>Beverly Prideaux</t>
  </si>
  <si>
    <t>prido.qld@bigpond.com</t>
  </si>
  <si>
    <t>Noosa Heads</t>
  </si>
  <si>
    <t>20 Currawong Street Noosa Heads QLD 4567</t>
  </si>
  <si>
    <t>Nomes Waite</t>
  </si>
  <si>
    <t>Nomeswaite@outlook.com</t>
  </si>
  <si>
    <t>91 Moreton Terrace Beachmere, Beachmere, 4241</t>
  </si>
  <si>
    <t>Melissa Dugon</t>
  </si>
  <si>
    <t>lisswightman@hotmail.com</t>
  </si>
  <si>
    <t>4 Samantha Court, Ferny Hills QLD 4055, Ferny hills, 4055</t>
  </si>
  <si>
    <t>Craig Winwood-Smith</t>
  </si>
  <si>
    <t>craigwinwoodsmith@yahoo.com.au</t>
  </si>
  <si>
    <t>1/269 Weyba Road Noosaville QLD 4566</t>
  </si>
  <si>
    <t>Kristin Collett</t>
  </si>
  <si>
    <t>kristin.anniet@gmail.com</t>
  </si>
  <si>
    <t>Deagon</t>
  </si>
  <si>
    <t>53 biarra street, deagon, 4017</t>
  </si>
  <si>
    <t>Peter Newley</t>
  </si>
  <si>
    <t>peternewley57@gmail.com</t>
  </si>
  <si>
    <t>Billy place  Gosnells, Gosnells, 6109</t>
  </si>
  <si>
    <t>twasame@hotmail.com</t>
  </si>
  <si>
    <t>21 Weeroona Pl, Rouse hill, 2155</t>
  </si>
  <si>
    <t>Richard Houghton</t>
  </si>
  <si>
    <t>jirish460@gmail.com</t>
  </si>
  <si>
    <t>South Ripley</t>
  </si>
  <si>
    <t>22 soul crescent south ripley, South Ripley, 4083</t>
  </si>
  <si>
    <t>13/11/2025</t>
  </si>
  <si>
    <t>Ron Milton</t>
  </si>
  <si>
    <t>ron-milton@outlook.com</t>
  </si>
  <si>
    <t>Sandy Beach</t>
  </si>
  <si>
    <t>1378 Solitary Islands Way Sandy Beach NSW 2456</t>
  </si>
  <si>
    <t>Owen Green</t>
  </si>
  <si>
    <t>ogreen7456@gmail.com</t>
  </si>
  <si>
    <t>McCrae</t>
  </si>
  <si>
    <t>23 Riley Street McCrae VIC 3938</t>
  </si>
  <si>
    <t>cwgreaves@outlook.com</t>
  </si>
  <si>
    <t>Dapto NSW 2530</t>
  </si>
  <si>
    <t>21-23 Colvin Place Dapto NSW 2530</t>
  </si>
  <si>
    <t>Clem O'Leary</t>
  </si>
  <si>
    <t>clemsmail48@gmail.com</t>
  </si>
  <si>
    <t>Adamstown heights</t>
  </si>
  <si>
    <t>107 Carolyn Street Adamstown Heights NSW 2289</t>
  </si>
  <si>
    <t>Rachael Morris</t>
  </si>
  <si>
    <t>rachaelmorris@gmail.com</t>
  </si>
  <si>
    <t>19/2 Springhill Drive Sippy Downs QLD 4556</t>
  </si>
  <si>
    <t>Tracy Lee</t>
  </si>
  <si>
    <t>tracy.mooloolaba@gmail.com</t>
  </si>
  <si>
    <t>Bali</t>
  </si>
  <si>
    <t>1/52 Tallebudgera Drive Palm Beach QLD 4221</t>
  </si>
  <si>
    <t>Sue Ralph</t>
  </si>
  <si>
    <t>brett.sue@bigpond.com</t>
  </si>
  <si>
    <t>36 Pinetree Court Mudgeeraba QLD 4213</t>
  </si>
  <si>
    <t>Simone Skrobar</t>
  </si>
  <si>
    <t>ssdali@gmail.com</t>
  </si>
  <si>
    <t>Michael Berger</t>
  </si>
  <si>
    <t>ozmichael.berger@gmail.com</t>
  </si>
  <si>
    <t>Kahy</t>
  </si>
  <si>
    <t>1 Tibbin Street Kahibah NSW 2290</t>
  </si>
  <si>
    <t>Dottie (Dorota Naszka)</t>
  </si>
  <si>
    <t>Dottien1@gmail.com</t>
  </si>
  <si>
    <t>4 Beach Avenue Vaucluse NSW 2030</t>
  </si>
  <si>
    <t>Ian Slot</t>
  </si>
  <si>
    <t>Ian@slot-mail.com</t>
  </si>
  <si>
    <t>25 Highfields Road Highfields QLD 4352</t>
  </si>
  <si>
    <t>John Buckley</t>
  </si>
  <si>
    <t>johnbuckos25@gmail.c</t>
  </si>
  <si>
    <t>32 Wivenhoe Circuit Narangba QLD 4504</t>
  </si>
  <si>
    <t>Andrew Lundy</t>
  </si>
  <si>
    <t>wholehog105@hotmail.com</t>
  </si>
  <si>
    <t>Schofields</t>
  </si>
  <si>
    <t>503/91A Grima Street Schofields NSW 2762</t>
  </si>
  <si>
    <t>Sameer Arora</t>
  </si>
  <si>
    <t>Itsdifferent.47@gmail.com</t>
  </si>
  <si>
    <t>Everton hills</t>
  </si>
  <si>
    <t>4 Mirbelia Street Everton Hills QLD 4053</t>
  </si>
  <si>
    <t>Gen moller</t>
  </si>
  <si>
    <t>Genevieve.moller@svha.org.au</t>
  </si>
  <si>
    <t>Warranwood</t>
  </si>
  <si>
    <t>5 Avonsleigh Close Warranwood VIC 3134</t>
  </si>
  <si>
    <t>Graham Walker</t>
  </si>
  <si>
    <t>glw05@bigpond.net.au</t>
  </si>
  <si>
    <t>Mia Coffey</t>
  </si>
  <si>
    <t>healthhacks.holistic@gmail.com</t>
  </si>
  <si>
    <t>Coral White</t>
  </si>
  <si>
    <t>coralieps1986@gmail.com</t>
  </si>
  <si>
    <t>Marianne Walker</t>
  </si>
  <si>
    <t>mariannewalk@gmail.com</t>
  </si>
  <si>
    <t>12 Starboard Avenue, Noosaville, QLD, 4566, Australia</t>
  </si>
  <si>
    <t>14/11/2025</t>
  </si>
  <si>
    <t>Sue Dingas</t>
  </si>
  <si>
    <t>suedingas@hotmail.com</t>
  </si>
  <si>
    <t>Avalon Beach</t>
  </si>
  <si>
    <t>60 Cabarita Road Avalon Beach NSW 2107</t>
  </si>
  <si>
    <t>Geoff Smith</t>
  </si>
  <si>
    <t>geoff.smith@hotmail.com</t>
  </si>
  <si>
    <t>Meridan Plains</t>
  </si>
  <si>
    <t>7 Bolwarra Place Meridan Plains QLD 4551</t>
  </si>
  <si>
    <t>Leanne Robyn Macbeth</t>
  </si>
  <si>
    <t>misslea253@gmail.com</t>
  </si>
  <si>
    <t>26 Trecarne Street Bridgeman Downs QLD 4035</t>
  </si>
  <si>
    <t>Ellen Lancaster</t>
  </si>
  <si>
    <t>ellen.lancaster@bigpond.com</t>
  </si>
  <si>
    <t>Queens Park</t>
  </si>
  <si>
    <t>2/73 Birrell Street Queens Park NSW 2022</t>
  </si>
  <si>
    <t>Leon Raleigh</t>
  </si>
  <si>
    <t>leonraleigh72@gmail.com</t>
  </si>
  <si>
    <t>15 Davander Close The Gap QLD 4061</t>
  </si>
  <si>
    <t>Anne-marie knaggs</t>
  </si>
  <si>
    <t>Amtknaggs@bigpond.com</t>
  </si>
  <si>
    <t>1/79-81 Duncan Street Maroubra NSW 2035</t>
  </si>
  <si>
    <t>Mags</t>
  </si>
  <si>
    <t>spoiltmags@gmail.con</t>
  </si>
  <si>
    <t>32 Gairloch Drive Frankston VIC 3199</t>
  </si>
  <si>
    <t>Richard Jones</t>
  </si>
  <si>
    <t>jonesrjsb1@gmail.com</t>
  </si>
  <si>
    <t>Toormina</t>
  </si>
  <si>
    <t>10 Toormina Road Toormina NSW 2452</t>
  </si>
  <si>
    <t>Pamella Murphy</t>
  </si>
  <si>
    <t>pamella2452@hotmail.com</t>
  </si>
  <si>
    <t>47 Kinchela Avenue Toormina NSW 2452</t>
  </si>
  <si>
    <t>Barry Butler</t>
  </si>
  <si>
    <t>barrybutler45@gmail.com</t>
  </si>
  <si>
    <t>12 Kingsway Gardens Canning Vale WA 6155</t>
  </si>
  <si>
    <t>Katherine Gan</t>
  </si>
  <si>
    <t>kat_kpi@yahoo.com</t>
  </si>
  <si>
    <t>Bondi</t>
  </si>
  <si>
    <t>37 Roe Street North Bondi NSW 2026</t>
  </si>
  <si>
    <t>Steve Cahill</t>
  </si>
  <si>
    <t>stevecahill90@gmail.com</t>
  </si>
  <si>
    <t>1/21 Catalina Drive Mudjimba QLD 4564</t>
  </si>
  <si>
    <t>Chris Thompson</t>
  </si>
  <si>
    <t>christhompsoninchina@yahoo.com</t>
  </si>
  <si>
    <t>55 Royal Parade Alderley QLD 4051</t>
  </si>
  <si>
    <t>Josie Parry</t>
  </si>
  <si>
    <t>j.parry@uq.edu.au</t>
  </si>
  <si>
    <t>54 Eckersley Avenue BUDERIM QLD 4556</t>
  </si>
  <si>
    <t>Paul Bevan</t>
  </si>
  <si>
    <t>bevo_42@hotmail.com</t>
  </si>
  <si>
    <t>Stockton</t>
  </si>
  <si>
    <t>96 Fullerton Street, Stockton, NSW, 2295, Australia</t>
  </si>
  <si>
    <t>David  Manns</t>
  </si>
  <si>
    <t>dma85559@bigpond.net.au</t>
  </si>
  <si>
    <t>102 Hamilton Hume pde Craigieburn, Craigieburn, 3064</t>
  </si>
  <si>
    <t>Ray Martin</t>
  </si>
  <si>
    <t>raymartin451@hotmail.com.au</t>
  </si>
  <si>
    <t>Jamie Rivett</t>
  </si>
  <si>
    <t>174 Cracknell Road, Tarragindi, QLD, 4121, Australia</t>
  </si>
  <si>
    <t>Kelli Bridges</t>
  </si>
  <si>
    <t>kelli.kindy@gmail.com</t>
  </si>
  <si>
    <t>22 Tigress Drive Hallett Cove SA 5158</t>
  </si>
  <si>
    <t>Peter Lomman</t>
  </si>
  <si>
    <t>pcls2@bigpond.com</t>
  </si>
  <si>
    <t>Kalinga</t>
  </si>
  <si>
    <t>30 Turner Street Windsor QLD 4030</t>
  </si>
  <si>
    <t>Mick Cole</t>
  </si>
  <si>
    <t>mickcole3481@gmail.com</t>
  </si>
  <si>
    <t>7 Guy Avenue BUDERIM QLD 4556</t>
  </si>
  <si>
    <t>Jo Cutajar Mitchell</t>
  </si>
  <si>
    <t>jocutajarmitchell@gmail.com</t>
  </si>
  <si>
    <t>alderkey</t>
  </si>
  <si>
    <t>112 Mornington Street Alderley QLD 4051</t>
  </si>
  <si>
    <t>Phillip Knight</t>
  </si>
  <si>
    <t>phil.knight112@yahoo.com</t>
  </si>
  <si>
    <t>Caroline Casey</t>
  </si>
  <si>
    <t>casey6271@outlook.com</t>
  </si>
  <si>
    <t>9 Lyra Court Bli Bli QLD 4560</t>
  </si>
  <si>
    <t>Erik Boonstra</t>
  </si>
  <si>
    <t>erikjac26@yahoo.com.au</t>
  </si>
  <si>
    <t>81 Lakewood Avenue Parkinson QLD 4115</t>
  </si>
  <si>
    <t>Sanjay Vaidya</t>
  </si>
  <si>
    <t>26.sanjay@gmail.com</t>
  </si>
  <si>
    <t>U 8 1 Tourmaline St, Narrabeen, 2101</t>
  </si>
  <si>
    <t>Kathryn Kartikeyan</t>
  </si>
  <si>
    <t>kkartikeyan@hotmail.com</t>
  </si>
  <si>
    <t>35 Boongala Terrace, Maroochydore, QLD, 4558, Australia</t>
  </si>
  <si>
    <t>15/11/2025</t>
  </si>
  <si>
    <t>b.may93@hotmail.com</t>
  </si>
  <si>
    <t>11 Clarendon Street Cranbourne, cranbourne, 3977</t>
  </si>
  <si>
    <t>Jodi Hill</t>
  </si>
  <si>
    <t>jodihill1@hotmail.com</t>
  </si>
  <si>
    <t>66 Sickle Avenue, Hope Island, QLD, 4212, Australia</t>
  </si>
  <si>
    <t>Quinton Howe</t>
  </si>
  <si>
    <t>qmhowe@gmail.com</t>
  </si>
  <si>
    <t>2207  / 19 Kombi Street, Bokarina, QLD, 4575, Australia</t>
  </si>
  <si>
    <t>Cath Ford</t>
  </si>
  <si>
    <t>cathihana@gmail.com</t>
  </si>
  <si>
    <t>1 / 16 Singh Street, Tugun, QLD, 4224, Australia</t>
  </si>
  <si>
    <t>Adam  Shoobert</t>
  </si>
  <si>
    <t>ashoobs89@hotmail.com</t>
  </si>
  <si>
    <t>91 Arcadia Street, Arcadia Vale, NSW, 2283, Australia</t>
  </si>
  <si>
    <t>Rayleen Ransome</t>
  </si>
  <si>
    <t>lindale270165@gmail.com</t>
  </si>
  <si>
    <t>Bronte</t>
  </si>
  <si>
    <t>27A Murray Street Bronte NSW 2024</t>
  </si>
  <si>
    <t>Will Maher</t>
  </si>
  <si>
    <t>willo5767@gmail.com</t>
  </si>
  <si>
    <t>Tamarama</t>
  </si>
  <si>
    <t>5/35 Fletcher Street Tamarama NSW 2026</t>
  </si>
  <si>
    <t>Andrea Garling</t>
  </si>
  <si>
    <t>Andrea.garling2021@gmail.com</t>
  </si>
  <si>
    <t>Rose Bay</t>
  </si>
  <si>
    <t>301/45-53 Carlisle Street Rose Bay NSW 2029</t>
  </si>
  <si>
    <t>Terri Mitch</t>
  </si>
  <si>
    <t>bjdrape@bigpond.net.au</t>
  </si>
  <si>
    <t>Stephanie Perez</t>
  </si>
  <si>
    <t>stephanieperez803@gmail.com</t>
  </si>
  <si>
    <t>Coorparoo</t>
  </si>
  <si>
    <t>39 Brae Street Coorparoo QLD 4151</t>
  </si>
  <si>
    <t>Andrew Mclucas</t>
  </si>
  <si>
    <t>amclucas@outlook.com</t>
  </si>
  <si>
    <t>Julie Hansen</t>
  </si>
  <si>
    <t>juliehansen1959@gmail.com</t>
  </si>
  <si>
    <t>Bella Vista</t>
  </si>
  <si>
    <t>7 Flagstone Grove Bella Vista NSW 2153</t>
  </si>
  <si>
    <t>John Neal</t>
  </si>
  <si>
    <t>jnealsnr@gmail.com</t>
  </si>
  <si>
    <t>11 Saint Andrews Avenue Forest Lake QLD 4078</t>
  </si>
  <si>
    <t>Tony Mullett</t>
  </si>
  <si>
    <t>imagine_tony@yahoo.com.au</t>
  </si>
  <si>
    <t>154 Prince Edward Parade, Scarborough, QLD, 4020, Australia</t>
  </si>
  <si>
    <t>Andrea Bird</t>
  </si>
  <si>
    <t>andreafbird@gmail.com</t>
  </si>
  <si>
    <t>8 / Billings  Billings Place, Capalaba, QLD, 4157, Australia</t>
  </si>
  <si>
    <t>16/11/2025</t>
  </si>
  <si>
    <t>Connie Cassar</t>
  </si>
  <si>
    <t>connie@lapeau.com.au</t>
  </si>
  <si>
    <t>2/41a Nolan St Frankston Sth, Frankston, 3199</t>
  </si>
  <si>
    <t>Roli De Lange</t>
  </si>
  <si>
    <t>rolydelange@hotmail.com</t>
  </si>
  <si>
    <t>U 2 45 Tingira Cres, Sunshine Beach, 4567</t>
  </si>
  <si>
    <t>Kaz O'Brien</t>
  </si>
  <si>
    <t>obriens41@bigpond.com</t>
  </si>
  <si>
    <t>19 Wickerson Crescent Bli Bli QLD 4560, Bli Bli, 4560</t>
  </si>
  <si>
    <t>Matthew Vella</t>
  </si>
  <si>
    <t>mattvella65@gmail.com</t>
  </si>
  <si>
    <t>19 highwood cor, Flagstone, 4280</t>
  </si>
  <si>
    <t>Randell Missen</t>
  </si>
  <si>
    <t>Randellmissen@icloud.com</t>
  </si>
  <si>
    <t>15 black Range Avenue Craigieburn, Wallan, 3064</t>
  </si>
  <si>
    <t>thomas Niutili-Schmidt</t>
  </si>
  <si>
    <t>Tniutilischmidt@hotmail.com</t>
  </si>
  <si>
    <t>22 The Maindeck, Belmont, NSW, 2280, Australia</t>
  </si>
  <si>
    <t>Geoff Langford</t>
  </si>
  <si>
    <t>geoffery.langford@gmail.com</t>
  </si>
  <si>
    <t>Anthea Haitidis</t>
  </si>
  <si>
    <t>branddelicious89@gmail.com</t>
  </si>
  <si>
    <t>Rohan Walker</t>
  </si>
  <si>
    <t>rohwalk@bigpond.com</t>
  </si>
  <si>
    <t>10 Jakirralee Court Middle Ridge QLD 4350</t>
  </si>
  <si>
    <t>Norm Garsden</t>
  </si>
  <si>
    <t>Nedsrag@live.com</t>
  </si>
  <si>
    <t>62 Tribulation Circuit Buderim QLD 4556</t>
  </si>
  <si>
    <t>Stevei Panebiango</t>
  </si>
  <si>
    <t>kai@panebiango.com</t>
  </si>
  <si>
    <t>Sunshine Coast</t>
  </si>
  <si>
    <t>12 Cavalry Way Sippy Downs QLD 4556</t>
  </si>
  <si>
    <t>Kevin Meyland</t>
  </si>
  <si>
    <t>kevin.meyland@yahoo.com.au</t>
  </si>
  <si>
    <t>91 Arcadia Street Arcadia Vale NSW 2283</t>
  </si>
  <si>
    <t>Rayleen A Ransome</t>
  </si>
  <si>
    <t>41/49 Colac Street Kedron QLD 4031</t>
  </si>
  <si>
    <t>Paul Hender</t>
  </si>
  <si>
    <t>paul.hender7@gmail.com</t>
  </si>
  <si>
    <t>Alex</t>
  </si>
  <si>
    <t>iradhu65@gmail.com</t>
  </si>
  <si>
    <t>Cooranbong</t>
  </si>
  <si>
    <t>Li Lee</t>
  </si>
  <si>
    <t>Leslee276@hotmail.com</t>
  </si>
  <si>
    <t>12 Arthur Street Caboolture QLD 4510</t>
  </si>
  <si>
    <t>Bevan Cole</t>
  </si>
  <si>
    <t>bevancole@gmail.com</t>
  </si>
  <si>
    <t>Andreafbird@gmail.com</t>
  </si>
  <si>
    <t>Jaz Cross</t>
  </si>
  <si>
    <t>j.omeagher@hotmail.com</t>
  </si>
  <si>
    <t>24 Simon Street FRESHWATER QLD 4870</t>
  </si>
  <si>
    <t>Ron Livingston</t>
  </si>
  <si>
    <t>ron@ipresumeptyltd.com</t>
  </si>
  <si>
    <t>14/30 Dutruc Street Randwick NSW 2031</t>
  </si>
  <si>
    <t>Damien Comerford</t>
  </si>
  <si>
    <t>damien@sharpimagetv.com.au</t>
  </si>
  <si>
    <t>57 Joseph Street Woonona NSW 2517</t>
  </si>
  <si>
    <t>Paul Murray</t>
  </si>
  <si>
    <t>mpd@westnet.com.au</t>
  </si>
  <si>
    <t>76/21 Baywater Drive Twin Waters QLD 4564</t>
  </si>
  <si>
    <t>22 The Maindeck Belmont NSW 2280</t>
  </si>
  <si>
    <t>Geoffery Langford</t>
  </si>
  <si>
    <t>Bittern</t>
  </si>
  <si>
    <t>40 Flinders Street Bittern VIC 3918</t>
  </si>
  <si>
    <t>Carolyn Hand</t>
  </si>
  <si>
    <t>mamacazza@yahoo.com.au</t>
  </si>
  <si>
    <t>124 Holmes Street Maroubra NSW 2035</t>
  </si>
  <si>
    <t>HK HK (Helene Kriketos)</t>
  </si>
  <si>
    <t>Helene.kriketos@det.nsw.edu.au</t>
  </si>
  <si>
    <t>Golden beach</t>
  </si>
  <si>
    <t>Cassie Anne</t>
  </si>
  <si>
    <t>content.cassiecross@gmail.com</t>
  </si>
  <si>
    <t>5/452 Edgecliff Road Edgecliff NSW 2027</t>
  </si>
  <si>
    <t>Susie</t>
  </si>
  <si>
    <t>zsanda2@gmail.com</t>
  </si>
  <si>
    <t>Kin Kora</t>
  </si>
  <si>
    <t>1/152 Sun Valley Road Kin Kora QLD 4680</t>
  </si>
  <si>
    <t>Myron Kynigalakis</t>
  </si>
  <si>
    <t>myron_kinis@hotmail.com</t>
  </si>
  <si>
    <t>1 Katoomba Court Helensvale QLD 4212</t>
  </si>
  <si>
    <t>Chealtzie Haggart</t>
  </si>
  <si>
    <t>chealtzie@hotmail.com</t>
  </si>
  <si>
    <t>8 Billings Place Capalaba QLD 4157</t>
  </si>
  <si>
    <t>Rob Cassar</t>
  </si>
  <si>
    <t>rob@lapeau.com.au</t>
  </si>
  <si>
    <t>11 Hodgson Crescent Baulkham Hills NSW 2153</t>
  </si>
  <si>
    <t>Denis McManus</t>
  </si>
  <si>
    <t>Firstresponse2@bigpond.com</t>
  </si>
  <si>
    <t>Josh Lee-Steere</t>
  </si>
  <si>
    <t>8 Livestock Way Pakenham VIC 3810</t>
  </si>
  <si>
    <t>Gary Abrehart</t>
  </si>
  <si>
    <t>gabrehart@bigpond.com</t>
  </si>
  <si>
    <t>65 Gum Nut Drive Langwarrin VIC 3910</t>
  </si>
  <si>
    <t>John Christopherson</t>
  </si>
  <si>
    <t>jc01051971@gmail.com</t>
  </si>
  <si>
    <t>33 Nightingale Street Woolgoolga NSW 2456</t>
  </si>
  <si>
    <t>Johnene Hobson</t>
  </si>
  <si>
    <t>jdhobbos@hotmail.com</t>
  </si>
  <si>
    <t>12 Mimosa Grove Glenwood NSW 2768</t>
  </si>
  <si>
    <t>Mark Cook</t>
  </si>
  <si>
    <t>cooks247@bigpond.com</t>
  </si>
  <si>
    <t>8-10 Tulloch Place Glenlogan QLD 4280</t>
  </si>
  <si>
    <t>Diane Taylor-Bishop</t>
  </si>
  <si>
    <t>Didizzy61@gmail.com</t>
  </si>
  <si>
    <t>Ashfield</t>
  </si>
  <si>
    <t>40 William Street Ashfield NSW 2131</t>
  </si>
  <si>
    <t>phil carrick</t>
  </si>
  <si>
    <t>collandphil@gmail.com</t>
  </si>
  <si>
    <t>Annandale qld</t>
  </si>
  <si>
    <t>18 Weddel Drive Annandale QLD 4814</t>
  </si>
  <si>
    <t>Kristy Boardman</t>
  </si>
  <si>
    <t>Pminxy@me.com</t>
  </si>
  <si>
    <t>Megan Knight</t>
  </si>
  <si>
    <t>megmax74@gmail.com</t>
  </si>
  <si>
    <t>Keiraville</t>
  </si>
  <si>
    <t>10 Cedar Grove Keiraville NSW 2500</t>
  </si>
  <si>
    <t>Andrew Reveley</t>
  </si>
  <si>
    <t>andrew@wiseeyes.com.au</t>
  </si>
  <si>
    <t>2/17 View Street Chermside QLD 4032</t>
  </si>
  <si>
    <t>Chelsea Eaton</t>
  </si>
  <si>
    <t>chelsea.f.eaton@gmail.com</t>
  </si>
  <si>
    <t>147 blossom drv, Greenvale, 3059</t>
  </si>
  <si>
    <t>17/11/2025</t>
  </si>
  <si>
    <t>Francesca Torchia-Franze</t>
  </si>
  <si>
    <t>franca_franze@hotmail.com</t>
  </si>
  <si>
    <t>55 Humphries Road Frankston South VIC 3199</t>
  </si>
  <si>
    <t>Uschi Saunders</t>
  </si>
  <si>
    <t>ursulasaunders71@yahoo.com.au</t>
  </si>
  <si>
    <t>Ernest Gavey</t>
  </si>
  <si>
    <t>ernest@solazone.com.au</t>
  </si>
  <si>
    <t>11 Duke Court Skye VIC 3977</t>
  </si>
  <si>
    <t>Karen Pettitt</t>
  </si>
  <si>
    <t>kmpettitt@gmail.com</t>
  </si>
  <si>
    <t>49 Galvin Street Maroubra NSW 2035</t>
  </si>
  <si>
    <t>Trieu Leculier</t>
  </si>
  <si>
    <t>Truleculier@gmail.com</t>
  </si>
  <si>
    <t>93 Princes Lane Newport NSW 2106</t>
  </si>
  <si>
    <t>Ingrid Hendry</t>
  </si>
  <si>
    <t>ingridhendry@yahoo.co.uk</t>
  </si>
  <si>
    <t>6/40-42 Old Smithfield Road Freshwater QLD 4870</t>
  </si>
  <si>
    <t>Sue McGirr</t>
  </si>
  <si>
    <t>susankeane2011@hotmail.com</t>
  </si>
  <si>
    <t>Boronia</t>
  </si>
  <si>
    <t>6/19 Dixon Court Boronia VIC 3155</t>
  </si>
  <si>
    <t>PAMELA KING</t>
  </si>
  <si>
    <t>pamelaking18@hotmail.com</t>
  </si>
  <si>
    <t>210 Lone Hand Road Eumundi QLD 4562</t>
  </si>
  <si>
    <t>Jason Pollock</t>
  </si>
  <si>
    <t>jasonpollock00@gmail.com</t>
  </si>
  <si>
    <t>Grantham Farm</t>
  </si>
  <si>
    <t>13 Medlock Street Grantham Farm NSW 2765</t>
  </si>
  <si>
    <t>Patricia Bowen</t>
  </si>
  <si>
    <t>pbutterfly5@gmail.com</t>
  </si>
  <si>
    <t>2-4 Karlee Court Coolum Beach QLD 4573</t>
  </si>
  <si>
    <t>Sam Tucker</t>
  </si>
  <si>
    <t>samtucker20@gmail.com</t>
  </si>
  <si>
    <t>Flinders View</t>
  </si>
  <si>
    <t>3 Boettcher Avenue Flinders View QLD 4305</t>
  </si>
  <si>
    <t>Pamela Boughen</t>
  </si>
  <si>
    <t>pamboughen@outlook.com</t>
  </si>
  <si>
    <t>Frankston Heights</t>
  </si>
  <si>
    <t>9 Madeira Court Frankston VIC 3199</t>
  </si>
  <si>
    <t>Rudi Everts</t>
  </si>
  <si>
    <t>rudi.everts@gmail.com</t>
  </si>
  <si>
    <t>1 Eveline Street Margate QLD 4019</t>
  </si>
  <si>
    <t>Rob Saurini</t>
  </si>
  <si>
    <t>saurinirob@gmail.com</t>
  </si>
  <si>
    <t>4/46 Beatrice Street</t>
  </si>
  <si>
    <t>Jan Cahalan</t>
  </si>
  <si>
    <t>jancaha@mail.com</t>
  </si>
  <si>
    <t>Michael Wallace</t>
  </si>
  <si>
    <t>21 Littlefield Rd   High Wycombe, high Wycombe, 6057</t>
  </si>
  <si>
    <t>Vivienne Gosling</t>
  </si>
  <si>
    <t>v_gosling@yahoo.com</t>
  </si>
  <si>
    <t>Riverstone</t>
  </si>
  <si>
    <t>13 Medlock Street, Riverstone, NSW, 2765, Australia</t>
  </si>
  <si>
    <t xml:space="preserve">Patricia  Bowen </t>
  </si>
  <si>
    <t>Unit 51 5 Gladstone Road</t>
  </si>
  <si>
    <t>Charles Hill</t>
  </si>
  <si>
    <t>chazh@ozemail.com.au</t>
  </si>
  <si>
    <t>13 bullock ct huntingdale w.a, huntingdale, 6110</t>
  </si>
  <si>
    <t>Barry Best</t>
  </si>
  <si>
    <t>barry.best@bigpond.com</t>
  </si>
  <si>
    <t>11 Whistling Drive, Alkimos, WA, 6038, Australia</t>
  </si>
  <si>
    <t>Lexi Moore</t>
  </si>
  <si>
    <t>lexdorop@hotmail.com</t>
  </si>
  <si>
    <t>15-17 Gore St Westbrook, Westbrook, 4350</t>
  </si>
  <si>
    <t>Hannah Steger</t>
  </si>
  <si>
    <t>hannah.steger88@gmail.com</t>
  </si>
  <si>
    <t>31 Obrien Parade Pakenham VIC 3810</t>
  </si>
  <si>
    <t>Ben Hawker</t>
  </si>
  <si>
    <t>Ben.walker46@gmail.com</t>
  </si>
  <si>
    <t>Maleny</t>
  </si>
  <si>
    <t>82 Treehaven Way Maleny QLD 4552</t>
  </si>
  <si>
    <t>Jen Kirby (Sorry mate this one's miles away feel free to let go to keeper)</t>
  </si>
  <si>
    <t>jennykirby8@gmail.com</t>
  </si>
  <si>
    <t>David Bignoux</t>
  </si>
  <si>
    <t>Maidstone</t>
  </si>
  <si>
    <t>Greg Coggiola</t>
  </si>
  <si>
    <t>gregcogg@gmail.com</t>
  </si>
  <si>
    <t>50 Albert Street North Ipswich QLD 4305</t>
  </si>
  <si>
    <t>Emma Paff</t>
  </si>
  <si>
    <t>dev.emma@gmail.com</t>
  </si>
  <si>
    <t>107 Obi Vale North Maleny QLD 4552</t>
  </si>
  <si>
    <t>John Hillman (And this one's even further!)</t>
  </si>
  <si>
    <t>jhillman_h@hotmail.com</t>
  </si>
  <si>
    <t>89-91 Jumping Creek Road Wonga Park VIC 3115</t>
  </si>
  <si>
    <t>Tom Louws</t>
  </si>
  <si>
    <t>tomlouws@outlook.com</t>
  </si>
  <si>
    <t>4 Billeroy Avenue Baulkham Hills NSW 2153</t>
  </si>
  <si>
    <t>Mal Currey</t>
  </si>
  <si>
    <t>mcurrey03@gmail.com</t>
  </si>
  <si>
    <t>Aaron Woolard</t>
  </si>
  <si>
    <t>102/38 Helen Street Teneriffe QLD 4005</t>
  </si>
  <si>
    <t>Amanda Halsey</t>
  </si>
  <si>
    <t>amandalhalsey@gmail.com</t>
  </si>
  <si>
    <t>1/4-6 Clyde Street Randwick NSW 2031</t>
  </si>
  <si>
    <t>Aleksandar Georgievski Rusin</t>
  </si>
  <si>
    <t>alekgeorgievski@gmail.com</t>
  </si>
  <si>
    <t>4 Elanor Court Maudsland QLD 4210</t>
  </si>
  <si>
    <t>Wendy Freid</t>
  </si>
  <si>
    <t>imogen81@bigpond.com</t>
  </si>
  <si>
    <t>Maribyrnong</t>
  </si>
  <si>
    <t>2 Primary Place Maribyrnong VIC 3032</t>
  </si>
  <si>
    <t>Ema Botonjic</t>
  </si>
  <si>
    <t>botonjic@proton.me</t>
  </si>
  <si>
    <t>Oxley</t>
  </si>
  <si>
    <t>3 Finnegan Circuit Oxley QLD 4075</t>
  </si>
  <si>
    <t>Margot Ashburner</t>
  </si>
  <si>
    <t>mkashburner@gmail.com</t>
  </si>
  <si>
    <t>14 Wiseman Road, Edmonton.</t>
  </si>
  <si>
    <t>18/11/2025</t>
  </si>
  <si>
    <t>Jeffery Hartley</t>
  </si>
  <si>
    <t>jeffery_hartley@yahoo.com.au</t>
  </si>
  <si>
    <t>14 Acron Street Elanora Queensland 4221 AU</t>
  </si>
  <si>
    <t>Maria Hamilton</t>
  </si>
  <si>
    <t>mham0631@bigpond.net.au</t>
  </si>
  <si>
    <t>Address data unsubstanitaed</t>
  </si>
  <si>
    <t>Derrick 'Jakes' Jacobs</t>
  </si>
  <si>
    <t>derrickpjacobs@hotmail.com</t>
  </si>
  <si>
    <t>915/12 South Sea Islander Way Maroochydore, Maroochydore, 4558</t>
  </si>
  <si>
    <t>gail.denyer@gmail.com</t>
  </si>
  <si>
    <t>U 4 1 Sydney Street, Redcliffe, 4020</t>
  </si>
  <si>
    <t>19/11/2025</t>
  </si>
  <si>
    <t>Maria Romein</t>
  </si>
  <si>
    <t>maria_romein@yahoo.com.au</t>
  </si>
  <si>
    <t>7 Bolwarra Place Meridan Plains, Meridan Plains, 4551</t>
  </si>
  <si>
    <t>Hallam</t>
  </si>
  <si>
    <t>11 Anbar Mews</t>
  </si>
  <si>
    <t>Sandra Marie Sosa</t>
  </si>
  <si>
    <t>sandramsosa89@gmail.com</t>
  </si>
  <si>
    <t>8 Ammetdown Place Erskine 6210</t>
  </si>
  <si>
    <t>Mandy Eastland</t>
  </si>
  <si>
    <t>eastlandmandy@gmail.com</t>
  </si>
  <si>
    <t>Bellbird Park</t>
  </si>
  <si>
    <t>Katandra Crescent</t>
  </si>
  <si>
    <t>Vicki Schafer</t>
  </si>
  <si>
    <t>63weege@gmail.com</t>
  </si>
  <si>
    <t>81602/23 mollison st west end</t>
  </si>
  <si>
    <t>Conor Scanlan</t>
  </si>
  <si>
    <t>conor.scanlan@bigpond.com</t>
  </si>
  <si>
    <t>Langford</t>
  </si>
  <si>
    <t>9 Ellison Drive Langford WA 6147 &amp; 28 Meyrick Way Langford WA 6147</t>
  </si>
  <si>
    <t>Phil Mahauariki</t>
  </si>
  <si>
    <t>filmahau@hotmail.com</t>
  </si>
  <si>
    <t>36-42 carrick way wondunna qld, wondunna, 4655</t>
  </si>
  <si>
    <t>john fuller</t>
  </si>
  <si>
    <t>fuller2110@hotmail.com</t>
  </si>
  <si>
    <t>Rockdale</t>
  </si>
  <si>
    <t>51 Herbert Street Rockdale NSW 2216</t>
  </si>
  <si>
    <t>Billy Moffat</t>
  </si>
  <si>
    <t>sydbear@yahoo.com</t>
  </si>
  <si>
    <t>2/104 Condamine Street Balgowlah NSW 2093</t>
  </si>
  <si>
    <t>Dave Thompson</t>
  </si>
  <si>
    <t>davedakota888@gmail.com</t>
  </si>
  <si>
    <t>3/12 Cupania Place Elanora QLD 4221</t>
  </si>
  <si>
    <t>Adam Dawes</t>
  </si>
  <si>
    <t>ajdawes@yahoo.com.au</t>
  </si>
  <si>
    <t>Jackie Burdon</t>
  </si>
  <si>
    <t>Jburdon2345@gmail.com</t>
  </si>
  <si>
    <t>123 Diamond Head Drive Sandy Beach NSW 2456</t>
  </si>
  <si>
    <t>Mike Cole</t>
  </si>
  <si>
    <t>mike.ed.cole@gmail.com</t>
  </si>
  <si>
    <t>19/10-16 Genoa Street Surfers Paradise QLD 4217</t>
  </si>
  <si>
    <t>Arthur Pasvanis</t>
  </si>
  <si>
    <t>Artpasv@gmail.com</t>
  </si>
  <si>
    <t>297 Gardner Road Rochedale QLD 4123</t>
  </si>
  <si>
    <t>Irshaad Bham</t>
  </si>
  <si>
    <t>irshaadbham@gmail.com</t>
  </si>
  <si>
    <t>133 meadow road jimboomba, Yarrabilba, 4280</t>
  </si>
  <si>
    <t>Michael Kerri Keeffe</t>
  </si>
  <si>
    <t>michaelkeeffe52@outlook.com</t>
  </si>
  <si>
    <t>48 Deagon Drive, Runaway Bay, QLD, 4216, Australia</t>
  </si>
  <si>
    <t>Julie Mauger</t>
  </si>
  <si>
    <t>106 Silvereye Crescent Greenbank QLD 4124</t>
  </si>
  <si>
    <t>Bill Wallace</t>
  </si>
  <si>
    <t>billwallace106@gmail.com</t>
  </si>
  <si>
    <t>Emily Read</t>
  </si>
  <si>
    <t>North Curl Curl</t>
  </si>
  <si>
    <t>13 Pitt Road North Curl Curl NSW 2099</t>
  </si>
  <si>
    <t>Haydon Bray</t>
  </si>
  <si>
    <t>haydon@audienceprecision.com</t>
  </si>
  <si>
    <t>17 Mikado Way Robina QLD 4226</t>
  </si>
  <si>
    <t>Annie Cook</t>
  </si>
  <si>
    <t>Kuuipo@hotmail.com.au</t>
  </si>
  <si>
    <t>9 College Court Caboolture QLD 4510</t>
  </si>
  <si>
    <t>20/11/2025</t>
  </si>
  <si>
    <t>Whiteys Plastering</t>
  </si>
  <si>
    <t>mwhite631@hotmail.com</t>
  </si>
  <si>
    <t>Emanuele Cappello</t>
  </si>
  <si>
    <t>danieltraveller@outlook.com</t>
  </si>
  <si>
    <t>Luke Day</t>
  </si>
  <si>
    <t>Lday5@bigpond.com</t>
  </si>
  <si>
    <t>47 Capricorn Drive Pacific Pines QLD 4211</t>
  </si>
  <si>
    <t>Hika Wanakore</t>
  </si>
  <si>
    <t>tama.wanakore@hotmail.com</t>
  </si>
  <si>
    <t>3 Hovea Court Elanora QLD 4221</t>
  </si>
  <si>
    <t>Margaret Rose Best</t>
  </si>
  <si>
    <t>margaret.best1948@icloud.com</t>
  </si>
  <si>
    <t>7 Naalong Grove Ferny Hills QLD 4055</t>
  </si>
  <si>
    <t>Christiaan Jonker</t>
  </si>
  <si>
    <t>Chrisj@actechnologies.co.za</t>
  </si>
  <si>
    <t>132 Queens Parade Brighton QLD 4017</t>
  </si>
  <si>
    <t>Robyn Tilyard</t>
  </si>
  <si>
    <t>rtilly132@gmail.com</t>
  </si>
  <si>
    <t>22 Sunset Crescent TORQUAY QLD 4655</t>
  </si>
  <si>
    <t>Barbara Ann</t>
  </si>
  <si>
    <t>nannabarbie12@gmail.com</t>
  </si>
  <si>
    <t>37 Sugarloaf Street Wavell Heights QLD 4012</t>
  </si>
  <si>
    <t>21/11/2025</t>
  </si>
  <si>
    <t>Tina Oppes</t>
  </si>
  <si>
    <t>Sellinginoz@hotmail.com</t>
  </si>
  <si>
    <t>Basin Pocket</t>
  </si>
  <si>
    <t>142 Chermside Road Basin Pocket QLD 4305</t>
  </si>
  <si>
    <t>Gary Noble</t>
  </si>
  <si>
    <t>ganoble58@gmail.com</t>
  </si>
  <si>
    <t>Mt Evelyn</t>
  </si>
  <si>
    <t>15 Elsie Grove Mount Evelyn VIC 3796</t>
  </si>
  <si>
    <t>Alice Rietveld</t>
  </si>
  <si>
    <t>alice.rietveld1@gmail.com</t>
  </si>
  <si>
    <t>3 Maitland Close Halls Head WA 6210</t>
  </si>
  <si>
    <t>Julianne Moseley</t>
  </si>
  <si>
    <t>julesmose54@gmail.com</t>
  </si>
  <si>
    <t>Cashmere</t>
  </si>
  <si>
    <t>8 Grandis Court Cashmere QLD 4500</t>
  </si>
  <si>
    <t>Christine Kenny</t>
  </si>
  <si>
    <t>jckenny7@bigpond.com</t>
  </si>
  <si>
    <t>Double Bay</t>
  </si>
  <si>
    <t>15A Manning Road Double Bay NSW 2028</t>
  </si>
  <si>
    <t>Kimberley Amiot</t>
  </si>
  <si>
    <t>k.amiot@xtra.co.nz</t>
  </si>
  <si>
    <t>10 Mayfair Crescent Baringa QLD 4551</t>
  </si>
  <si>
    <t>Brendan Jonkers</t>
  </si>
  <si>
    <t>bjonkers71+stocksinvest@gmail.com</t>
  </si>
  <si>
    <t>13 Herbert Street, URANGAN, 4655</t>
  </si>
  <si>
    <t>Melinda Crafar</t>
  </si>
  <si>
    <t>melinda@fox-net.com.au</t>
  </si>
  <si>
    <t>372 Matine pde, Labrador, 4215</t>
  </si>
  <si>
    <t>Louise Bennett</t>
  </si>
  <si>
    <t>Louisebennett3001@gmail.com</t>
  </si>
  <si>
    <t>9 College Court, Caboolture, 4510</t>
  </si>
  <si>
    <t>Eastern Heights</t>
  </si>
  <si>
    <t>16 Hannant St, Eastern Heights, 4305</t>
  </si>
  <si>
    <t>Paul Setch</t>
  </si>
  <si>
    <t>psetch77@gmail.com</t>
  </si>
  <si>
    <t>2/208 Central Street Labrador QLD 4215</t>
  </si>
  <si>
    <t>Margie Renwood</t>
  </si>
  <si>
    <t>mrenwood@gmail.com</t>
  </si>
  <si>
    <t>Mark Point</t>
  </si>
  <si>
    <t>121 Marks Point Road Marks Point NSW 2280</t>
  </si>
  <si>
    <t>Oskar Sepp</t>
  </si>
  <si>
    <t>orsepp@gmail.com</t>
  </si>
  <si>
    <t>32 Timbertrail Place, Morayfield, 4506</t>
  </si>
  <si>
    <t>Wayne Sands</t>
  </si>
  <si>
    <t>Firecomausralia@bigpond.com</t>
  </si>
  <si>
    <t>13 Herbert Street, URANGAN, 4655, Urangan, 4655</t>
  </si>
  <si>
    <t>Marks point</t>
  </si>
  <si>
    <t>132 Marks Point Road Marks Point NSW 2280</t>
  </si>
  <si>
    <t>Linda Pont</t>
  </si>
  <si>
    <t>Geigeron12@icloud.com</t>
  </si>
  <si>
    <t>Belmont North</t>
  </si>
  <si>
    <t>12 Tarcoola Close, Belmont North, 2280</t>
  </si>
  <si>
    <t>22/11/2025</t>
  </si>
  <si>
    <t>Sandy Urbanowicz</t>
  </si>
  <si>
    <t>al.urbanowicz@bigpond.com</t>
  </si>
  <si>
    <t>10 Rosella st Wellington Point, Wellington Point, 4160</t>
  </si>
  <si>
    <t>Corey Brown</t>
  </si>
  <si>
    <t>Coreybrown_@outlook.com</t>
  </si>
  <si>
    <t>Will Steinhauer</t>
  </si>
  <si>
    <t>Rozelle</t>
  </si>
  <si>
    <t>201/29 Margaret Street Rozelle NSW 2039</t>
  </si>
  <si>
    <t>Michael Stevenson</t>
  </si>
  <si>
    <t>michael-r-stevenson@hotmail.com</t>
  </si>
  <si>
    <t>Woolgoolga</t>
  </si>
  <si>
    <t>42 Melaleuca Avenue Woolgoolga NSW 2456</t>
  </si>
  <si>
    <t>David Conallin</t>
  </si>
  <si>
    <t>centurygoldau@yahoo.com.au</t>
  </si>
  <si>
    <t>2 Macalister St</t>
  </si>
  <si>
    <t>Judy Clifton</t>
  </si>
  <si>
    <t>juudc@icloud.com</t>
  </si>
  <si>
    <t>Riverside Resdential Resort, Upper Coomera, 4209</t>
  </si>
  <si>
    <t>Barry Fairley</t>
  </si>
  <si>
    <t>bafairley@ngvemail.com</t>
  </si>
  <si>
    <t>Camperdown</t>
  </si>
  <si>
    <t>303 / 4 Denison Street, Camperdown, NSW, 2050, Australia</t>
  </si>
  <si>
    <t>Mandy Dodds</t>
  </si>
  <si>
    <t>mandydodds2015@gmail.com</t>
  </si>
  <si>
    <t>45 Brisbane Street, Berwick, Berwick, 3806</t>
  </si>
  <si>
    <t>Shannon Dyer</t>
  </si>
  <si>
    <t>shannondyer@hotmail.com</t>
  </si>
  <si>
    <t>10 Maryport Way Butler WA 6036, Butler, 6036</t>
  </si>
  <si>
    <t>Nellie David</t>
  </si>
  <si>
    <t>nelliesfdc@gmail.com</t>
  </si>
  <si>
    <t>Cedar Vale</t>
  </si>
  <si>
    <t>56 Whitman rd cedervale, Cedar Vale, 4285</t>
  </si>
  <si>
    <t>Brad Croton</t>
  </si>
  <si>
    <t>bradcroton@icloud.com</t>
  </si>
  <si>
    <t>9 South Avenue Leichhardt NSW 2040</t>
  </si>
  <si>
    <t>Anthony Bathurst</t>
  </si>
  <si>
    <t>tonejb@hotmail.com</t>
  </si>
  <si>
    <t>311 Mount Gravatt Capalaba Road Wishart QLD 4122</t>
  </si>
  <si>
    <t>Donna Randell</t>
  </si>
  <si>
    <t>admin@wishartdental.com.au</t>
  </si>
  <si>
    <t>Blaxland</t>
  </si>
  <si>
    <t>2/36 Wilson Way Blaxland NSW 2774</t>
  </si>
  <si>
    <t>Di Procter</t>
  </si>
  <si>
    <t>dprocter5310@gmail.com</t>
  </si>
  <si>
    <t>Cranbourne west</t>
  </si>
  <si>
    <t>10 Karwarren Way Cranbourne West VIC 3977</t>
  </si>
  <si>
    <t>Julie Domingue</t>
  </si>
  <si>
    <t>julie_anne40@hotmail.com</t>
  </si>
  <si>
    <t>Stu Hamill</t>
  </si>
  <si>
    <t>Phillip</t>
  </si>
  <si>
    <t>66 Byron Court Phillip ACT 2606</t>
  </si>
  <si>
    <t>Sam Edwards</t>
  </si>
  <si>
    <t>Ladyofthewildthings@gmail.com</t>
  </si>
  <si>
    <t>14 Wallace Street Wellington Point QLD 4160</t>
  </si>
  <si>
    <t>David Pettigrew</t>
  </si>
  <si>
    <t>david.pettigrew@optusnet.com.au</t>
  </si>
  <si>
    <t>46 glenrose blvd Clyde North, Clyde North, 3978</t>
  </si>
  <si>
    <t>George Kazinoti</t>
  </si>
  <si>
    <t>g.kazinoti6@gmail.com</t>
  </si>
  <si>
    <t>Annadale</t>
  </si>
  <si>
    <t>65 Casuarina Dr, Annadale, 4814</t>
  </si>
  <si>
    <t>Kym Egan</t>
  </si>
  <si>
    <t>garykym@live.com.au</t>
  </si>
  <si>
    <t>42 Greenacre Dr, Labrador, 4215</t>
  </si>
  <si>
    <t>Diane Smith</t>
  </si>
  <si>
    <t>diane_08@live.com.au</t>
  </si>
  <si>
    <t>10 Gurners Lane Karalee QLD 4306, Karalee, 4306</t>
  </si>
  <si>
    <t>Pearl Frances Fong</t>
  </si>
  <si>
    <t>pearlfong@internode.on.net</t>
  </si>
  <si>
    <t>Campbell</t>
  </si>
  <si>
    <t>G07/2 Anzac Park, Campbell, Australian Capital Territory</t>
  </si>
  <si>
    <t>Roberta Bettio</t>
  </si>
  <si>
    <t>roberta.bettio@outlook.com</t>
  </si>
  <si>
    <t>2-4 Abington Close Redlynch QLD 4870, Redlynch, 4870</t>
  </si>
  <si>
    <t>23/11/2025</t>
  </si>
  <si>
    <t>John Pons</t>
  </si>
  <si>
    <t>jjpons5050@gmail.com</t>
  </si>
  <si>
    <t>25 County Lane, Merrimac, 4226, Merrimac, 4226</t>
  </si>
  <si>
    <t>Mary Galagher</t>
  </si>
  <si>
    <t>mgalagher@gmail.com</t>
  </si>
  <si>
    <t>42 Greenacre Dr, Labrador, 4215, Labrador, 4215</t>
  </si>
  <si>
    <t>35 Bellavista Pde, Meadow springs, 6210</t>
  </si>
  <si>
    <t>Paul Boyce</t>
  </si>
  <si>
    <t>paul.boyce8@gmail.com</t>
  </si>
  <si>
    <t>35 Bellavista Pde, Meadow springs, 6210, Meadow Springs, 6210</t>
  </si>
  <si>
    <t>9 Shawnee Crescent, Pimpama, 4209</t>
  </si>
  <si>
    <t>Jillian Patricia</t>
  </si>
  <si>
    <t>jpquinn1958@gmail.com</t>
  </si>
  <si>
    <t>1180 Mt Tully Rd Eukey QLD, 4380, North Ipswich</t>
  </si>
  <si>
    <t>Chris Blake</t>
  </si>
  <si>
    <t>ccblake57@gmail.com</t>
  </si>
  <si>
    <t>9 Shawnee Crescent, Pimpama, 4209, Pimpama, 4209</t>
  </si>
  <si>
    <t>9 Dakota Pl, Oxenford, 4210</t>
  </si>
  <si>
    <t>Doñald Tru</t>
  </si>
  <si>
    <t>keepon042@gmail.com</t>
  </si>
  <si>
    <t>59 Providence Drive, Gledswood Hills, NSW, 2557, Australia</t>
  </si>
  <si>
    <t>Kim noack</t>
  </si>
  <si>
    <t>k.noack@hotmail.com</t>
  </si>
  <si>
    <t>16 Sunview St</t>
  </si>
  <si>
    <t>Wynn Buthmann</t>
  </si>
  <si>
    <t>wbuthmann@gmail.com</t>
  </si>
  <si>
    <t>102 Apsley Rd</t>
  </si>
  <si>
    <t>Linda Twomey</t>
  </si>
  <si>
    <t>lonlinryli@gmail.com</t>
  </si>
  <si>
    <t>Maida Vale</t>
  </si>
  <si>
    <t>292 Kalamunda Road Maida Vale WA 6057, Maida Vale, 6057</t>
  </si>
  <si>
    <t>Maurice Latino</t>
  </si>
  <si>
    <t>Cnbmmc@gmail.com</t>
  </si>
  <si>
    <t>35 Thomas st., Cannington, 6107</t>
  </si>
  <si>
    <t>Rista Butar</t>
  </si>
  <si>
    <t>rista.miles@yahoo.com.au</t>
  </si>
  <si>
    <t>102 Apsley Rd, Willetton, 6155</t>
  </si>
  <si>
    <t>16 Sunview St, Thornlands, 4164</t>
  </si>
  <si>
    <t>Trish Speechly</t>
  </si>
  <si>
    <t>msp8900@bigpond.net.au</t>
  </si>
  <si>
    <t>23 Morris Street Paddington QLD 4064</t>
  </si>
  <si>
    <t>SloboDan Kocovski</t>
  </si>
  <si>
    <t>dan@mortgageextra.com.au</t>
  </si>
  <si>
    <t>35 Richmond Avenue Carrum Downs VIC 3201</t>
  </si>
  <si>
    <t>Danielle Lewis</t>
  </si>
  <si>
    <t>dplewis1@tpg.com.au</t>
  </si>
  <si>
    <t>Menangle</t>
  </si>
  <si>
    <t>55 Burrells Road Menangle NSW 2568</t>
  </si>
  <si>
    <t>Steve Arentz</t>
  </si>
  <si>
    <t>stevea@lifestylesre.com.au</t>
  </si>
  <si>
    <t>50 Abbeville Street Upper Mount Gravatt QLD 4122</t>
  </si>
  <si>
    <t>Damian  Higgins</t>
  </si>
  <si>
    <t>damian@glenedenconstructions.com.au</t>
  </si>
  <si>
    <t>2/35 Greenmont Close Ashgrove QLD 4060</t>
  </si>
  <si>
    <t>Bettina Palmer</t>
  </si>
  <si>
    <t>bettina.palmer235@gmail.com</t>
  </si>
  <si>
    <t>23 Rushcutter Avenue Oxenford QLD 4210</t>
  </si>
  <si>
    <t>30 Tallara Street Bracken Ridge QLD 4017</t>
  </si>
  <si>
    <t>Doug Harper</t>
  </si>
  <si>
    <t>dugharper@outlook.com</t>
  </si>
  <si>
    <t>Ray Palmer</t>
  </si>
  <si>
    <t>ray.palmer2@bigpond.com</t>
  </si>
  <si>
    <t>28 English Street Manunda QLD 4870</t>
  </si>
  <si>
    <t>Les Thompson</t>
  </si>
  <si>
    <t>lesthompson955@hotmail.com</t>
  </si>
  <si>
    <t>1/138 Greaves Road Narre Warren South VIC 3805</t>
  </si>
  <si>
    <t>Heather Lockhart</t>
  </si>
  <si>
    <t>halockhart48@gmail.com</t>
  </si>
  <si>
    <t>4/90 Robert Street Como WA 6152</t>
  </si>
  <si>
    <t>Alexis Vassiley</t>
  </si>
  <si>
    <t>alexisvassiley@gmail.com</t>
  </si>
  <si>
    <t>South Maclean</t>
  </si>
  <si>
    <t>116-122 Chadwick Drive South Maclean QLD 4280</t>
  </si>
  <si>
    <t>Elizabeth Wilson</t>
  </si>
  <si>
    <t>zildivad11@gmail.com</t>
  </si>
  <si>
    <t>24/11/2025</t>
  </si>
  <si>
    <t>2 Amorette Avenue, Varsity Lakes, 4227</t>
  </si>
  <si>
    <t>25/11/2025</t>
  </si>
  <si>
    <t>John Palmer</t>
  </si>
  <si>
    <t>johnmichaelpalmer77@gmail.com</t>
  </si>
  <si>
    <t>Sheldon</t>
  </si>
  <si>
    <t>187 campbell road sheldon, Sheldon, 4157</t>
  </si>
  <si>
    <t>Timothy McCourt</t>
  </si>
  <si>
    <t>timothyjamesmccourt@gmail.com</t>
  </si>
  <si>
    <t>Dawesville</t>
  </si>
  <si>
    <t>63 Southport boulevard Dawesville</t>
  </si>
  <si>
    <t>Stephen Cairns</t>
  </si>
  <si>
    <t>cairnsy1@live.com</t>
  </si>
  <si>
    <t>169 francis st, west end,4810, West End, 4810</t>
  </si>
  <si>
    <t>Russell Kirkman</t>
  </si>
  <si>
    <t>rkgremlins@gmail.com</t>
  </si>
  <si>
    <t>7 Latchford Street Pimlico QLD 4812</t>
  </si>
  <si>
    <t>Michael Blacklock</t>
  </si>
  <si>
    <t>mickblacklock73@gmail.com</t>
  </si>
  <si>
    <t>13 Hovell Court Cranbourne VIC 3977</t>
  </si>
  <si>
    <t>Garry Cahill</t>
  </si>
  <si>
    <t>garrylyn@bigpond.net.au</t>
  </si>
  <si>
    <t>12 Boree Court Ormeau QLD 4208</t>
  </si>
  <si>
    <t>Melissa Semmler</t>
  </si>
  <si>
    <t>melissa_smelt@hotmail.com</t>
  </si>
  <si>
    <t>Holt</t>
  </si>
  <si>
    <t>337 Southern Cross Drive Holt ACT 2615</t>
  </si>
  <si>
    <t>Sandra James</t>
  </si>
  <si>
    <t>magicmoments28@hotmail.com</t>
  </si>
  <si>
    <t>104 Kingfisher Parade Toogoom QLD 4655</t>
  </si>
  <si>
    <t>Pam Woods</t>
  </si>
  <si>
    <t>pamelajwoods11@gmail.com</t>
  </si>
  <si>
    <t>6 Anika Place Little Mountain QLD 4551</t>
  </si>
  <si>
    <t>Michele Breed</t>
  </si>
  <si>
    <t>shaunandmichele@bigpond.com.au</t>
  </si>
  <si>
    <t>Annie Unwin-Rollinson</t>
  </si>
  <si>
    <t>mrsrolly@gmail.com</t>
  </si>
  <si>
    <t>Vic 3064, 5 Ramsgate Lane, Craigieburn, 3064</t>
  </si>
  <si>
    <t>Ligia Carvalho</t>
  </si>
  <si>
    <t>ligiacarrascalao_carvalho@hotmail.com</t>
  </si>
  <si>
    <t>Ken Aldridge</t>
  </si>
  <si>
    <t>kennethmar@hotmail.com</t>
  </si>
  <si>
    <t>35 Monash Street, Maribyrnong, 3032</t>
  </si>
  <si>
    <t>Gillian Miller</t>
  </si>
  <si>
    <t>gmiller2@vtown.com.au</t>
  </si>
  <si>
    <t>4 france street, Eastern heights, 4305</t>
  </si>
  <si>
    <t>Karen Nipperess</t>
  </si>
  <si>
    <t>knipperess01@gmail.com</t>
  </si>
  <si>
    <t>Furnissdale</t>
  </si>
  <si>
    <t>Jannali Rd, Furnissdale Wa 6209, Australia, Furnissdale, 6209</t>
  </si>
  <si>
    <t>Rosanne Burnett</t>
  </si>
  <si>
    <t>Rosanne49@bigpond.com</t>
  </si>
  <si>
    <t>3/8 Sibyl Avenue, Frankston south, 3199</t>
  </si>
  <si>
    <t>Wendy-Mae Louise Rapson</t>
  </si>
  <si>
    <t>wendymaisy@hotmail.com</t>
  </si>
  <si>
    <t>Toronto</t>
  </si>
  <si>
    <t>33 Bambara Street Toronto NSW 2283</t>
  </si>
  <si>
    <t>26/11/2025</t>
  </si>
  <si>
    <t>Melissa Winter</t>
  </si>
  <si>
    <t>Melissa_winter@live.com.au</t>
  </si>
  <si>
    <t>Wattle Grove</t>
  </si>
  <si>
    <t>268 Hale Road Wattle Grove WA 6107</t>
  </si>
  <si>
    <t>Gary McIntosh</t>
  </si>
  <si>
    <t>gmcintosh@iinet.net.au</t>
  </si>
  <si>
    <t>67 River Crescent Broadbeach Waters QLD 4218</t>
  </si>
  <si>
    <t>Fiona Stenton</t>
  </si>
  <si>
    <t>fstenton@hotmail.com</t>
  </si>
  <si>
    <t>ann rigo</t>
  </si>
  <si>
    <t>hots.tough000@gmail.com</t>
  </si>
  <si>
    <t>21 Liverpool Street Rose Bay NSW 2029</t>
  </si>
  <si>
    <t>Louise Taylor</t>
  </si>
  <si>
    <t>Louise-m-taylor@gmx.com</t>
  </si>
  <si>
    <t>142 Ashby Street Fairfield QLD 4103</t>
  </si>
  <si>
    <t>Carl Bongaarts</t>
  </si>
  <si>
    <t>carl.bongaarts@gmail.com</t>
  </si>
  <si>
    <t>Miami</t>
  </si>
  <si>
    <t>31/1 Great Hall Drive Miami QLD 4220</t>
  </si>
  <si>
    <t>Di Collins</t>
  </si>
  <si>
    <t>too_di_4@hotmail.com</t>
  </si>
  <si>
    <t>SCARNESS</t>
  </si>
  <si>
    <t>350 Boat Harbour Drive SCARNESS QLD 4655</t>
  </si>
  <si>
    <t>Kevin Hallam</t>
  </si>
  <si>
    <t>kevinjohnhallam@gmail.com</t>
  </si>
  <si>
    <t>67 River Cres</t>
  </si>
  <si>
    <t>Brabham</t>
  </si>
  <si>
    <t>8 phascogale st brabham</t>
  </si>
  <si>
    <t>Darrell Taylor</t>
  </si>
  <si>
    <t>dazas67@hotmail.com</t>
  </si>
  <si>
    <t>Cranbourne East</t>
  </si>
  <si>
    <t>19 Corvette Avenue Cranbourne East Victoria, Cranbourne East, 3977</t>
  </si>
  <si>
    <t>Jose Bravo</t>
  </si>
  <si>
    <t>jose.bravo@jbsecurity.com.au</t>
  </si>
  <si>
    <t>1/15 Cedar Court Burleigh Heads QLD 4220</t>
  </si>
  <si>
    <t>Michele Jones</t>
  </si>
  <si>
    <t>scottmichele9@hotmail.com</t>
  </si>
  <si>
    <t>6 Formosa Court, Narre Warren, VIC, 3805, Australia, Narre Warren, Victoria</t>
  </si>
  <si>
    <t>Chris Hallett</t>
  </si>
  <si>
    <t>hlockhar@bigpond.net.au</t>
  </si>
  <si>
    <t>13 Tamworth Drive, Helensvale 4212, Helensvale, 4212</t>
  </si>
  <si>
    <t>Moira Cunningham</t>
  </si>
  <si>
    <t>moycunningham@yahoo.co.uk</t>
  </si>
  <si>
    <t>G11/105 Bella Vista Drive,Bella Vista 2153, Bella Vista, 2153</t>
  </si>
  <si>
    <t>Brian Mayers</t>
  </si>
  <si>
    <t>bjmayers56@gmail.com</t>
  </si>
  <si>
    <t>Wilson</t>
  </si>
  <si>
    <t>19 Kent Street, Wilson, WA, 6107, Australia</t>
  </si>
  <si>
    <t>10-16 Sanno Road  Morayfield 4506, Morayfield, 4506</t>
  </si>
  <si>
    <t>Colin Bremner</t>
  </si>
  <si>
    <t>carol.bremner@outlook.com</t>
  </si>
  <si>
    <t>Ascot Vale</t>
  </si>
  <si>
    <t>9 Warrick St, Ascot Vale, 3032</t>
  </si>
  <si>
    <t>Heather Reid</t>
  </si>
  <si>
    <t>heather.margaret.reid@gmail.com</t>
  </si>
  <si>
    <t>Kawungan</t>
  </si>
  <si>
    <t>24 Wagtail Circuit, Kawungan, 4655</t>
  </si>
  <si>
    <t>Molomolo Tiira Kaumai</t>
  </si>
  <si>
    <t>mtiira06@gmail.com</t>
  </si>
  <si>
    <t>9 Kinarra Ave Kellyville 2155, Kellyville, 2155</t>
  </si>
  <si>
    <t>Marion Barrie</t>
  </si>
  <si>
    <t>marionbarrie@optusnet.com.au</t>
  </si>
  <si>
    <t>22-26 Raven Court Warner, Bray Park, 4500</t>
  </si>
  <si>
    <t>Ron Olsen</t>
  </si>
  <si>
    <t>ronolsen_lawns@hotmail.com</t>
  </si>
  <si>
    <t>14 Wallace St, Wellington Point , QLD, 4160, Australia, Wellington Point, Queensland</t>
  </si>
  <si>
    <t>27/11/2025</t>
  </si>
  <si>
    <t>16 Chauvel Ct, Boyne Island, 4680</t>
  </si>
  <si>
    <t>Gregory Brown</t>
  </si>
  <si>
    <t>gregbrowny8@gmail.com</t>
  </si>
  <si>
    <t>11 Casuarina Dr, Frankston South Vic 3199, Australia, Frankston South, 3199</t>
  </si>
  <si>
    <t>Anne Brown</t>
  </si>
  <si>
    <t>annesvine@hotmail.com</t>
  </si>
  <si>
    <t>85 Pine Street Randwick</t>
  </si>
  <si>
    <t>Susan yu</t>
  </si>
  <si>
    <t>suyu.balmain@bigpond.com</t>
  </si>
  <si>
    <t>56 Birdwood Avenue Como WA 6152</t>
  </si>
  <si>
    <t>Alan Golding</t>
  </si>
  <si>
    <t>agolding51@outlook.com</t>
  </si>
  <si>
    <t>3 Tyne Cl</t>
  </si>
  <si>
    <t>Diane Hale</t>
  </si>
  <si>
    <t>lizziehale@hotmail.com</t>
  </si>
  <si>
    <t>Ripley</t>
  </si>
  <si>
    <t>40 Gonula Cres</t>
  </si>
  <si>
    <t>Glenn Manning</t>
  </si>
  <si>
    <t>manno36@hotmail.com</t>
  </si>
  <si>
    <t>36A Richmond St Corinda</t>
  </si>
  <si>
    <t>Cathy Guymer</t>
  </si>
  <si>
    <t>c_guymer@bigpond.com</t>
  </si>
  <si>
    <t>26 Plunkett Cres</t>
  </si>
  <si>
    <t>raeleneomullane@yahoo.com.au</t>
  </si>
  <si>
    <t>Ningi</t>
  </si>
  <si>
    <t>31 Aylward Rd Ningi</t>
  </si>
  <si>
    <t>Northside AussieBulldogs</t>
  </si>
  <si>
    <t>heavenhere@iprimus.com.au</t>
  </si>
  <si>
    <t>Fishery Falls</t>
  </si>
  <si>
    <t>18-20 McMahon Drive Fishery Falls QLD 4871</t>
  </si>
  <si>
    <t>Jenny Hill (Likely too far for you, but thought I'd send anyway)</t>
  </si>
  <si>
    <t>jennyhill2012@yahoo.com.au</t>
  </si>
  <si>
    <t>9 Oakmere Street Nudgee QLD 4014</t>
  </si>
  <si>
    <t>Warrick Smith</t>
  </si>
  <si>
    <t>warrick@construc.com.au</t>
  </si>
  <si>
    <t>8 Primula Street Nudgee QLD 4014</t>
  </si>
  <si>
    <t>Glenfield</t>
  </si>
  <si>
    <t>20 Fergusson Street Glenfield NSW 2167</t>
  </si>
  <si>
    <t>Christine Burgess</t>
  </si>
  <si>
    <t>orangema@mail.com</t>
  </si>
  <si>
    <t>169 Francis Street West End QLD 4810</t>
  </si>
  <si>
    <t>41 Teasdale Drive Nerang QLD 4211</t>
  </si>
  <si>
    <t>Pete Van Loon</t>
  </si>
  <si>
    <t>pvanloon@goldcoast.qld.gov.au</t>
  </si>
  <si>
    <t>2/121 Tongarra Road Albion Park NSW 2527</t>
  </si>
  <si>
    <t>Alcia Jones</t>
  </si>
  <si>
    <t>Iviscu@gmail.com</t>
  </si>
  <si>
    <t>16 Fitzalan Circuit Arundel QLD 4214</t>
  </si>
  <si>
    <t>Pauline Liong</t>
  </si>
  <si>
    <t>pliong100@yahoo.com.au</t>
  </si>
  <si>
    <t>Sandgate</t>
  </si>
  <si>
    <t>20 Lower Brighton Terrace Sandgate QLD 4017</t>
  </si>
  <si>
    <t>Melisa Astore</t>
  </si>
  <si>
    <t>mschom@bigpond.com</t>
  </si>
  <si>
    <t>4 Emory Court Beaudesert QLD 4285</t>
  </si>
  <si>
    <t>Brett Cullen</t>
  </si>
  <si>
    <t>brettcullengnl@gmail.com</t>
  </si>
  <si>
    <t>Currumbin</t>
  </si>
  <si>
    <t>17 Domain Road Currumbin QLD 4223</t>
  </si>
  <si>
    <t>Dan Condon</t>
  </si>
  <si>
    <t>danielpatrickcondon@gmail.com</t>
  </si>
  <si>
    <t>Woodcroft</t>
  </si>
  <si>
    <t>Kylie Vogt</t>
  </si>
  <si>
    <t>kylievwot@gmail.com</t>
  </si>
  <si>
    <t>Shantell Smith</t>
  </si>
  <si>
    <t>ssmithperth@hotmail.com</t>
  </si>
  <si>
    <t>303/770b Toorak rd Gleniris 3146, 4218</t>
  </si>
  <si>
    <t>Steve Jackson</t>
  </si>
  <si>
    <t>steve@jre.com.au</t>
  </si>
  <si>
    <t>32665, Hallett Cove, 5158</t>
  </si>
  <si>
    <t>Richard Collins</t>
  </si>
  <si>
    <t>Anne Alexander</t>
  </si>
  <si>
    <t>Wickham</t>
  </si>
  <si>
    <t>46 Fleming Street, Wickham, NSW, 2293, Australia</t>
  </si>
  <si>
    <t>Tim Ayres</t>
  </si>
  <si>
    <t>ayres_tim@hotmail.com</t>
  </si>
  <si>
    <t>Brett Street TWEED HEADS</t>
  </si>
  <si>
    <t>lesfenton@hotmail.com</t>
  </si>
  <si>
    <t>Thorneside</t>
  </si>
  <si>
    <t>11 beatty rd, 4158</t>
  </si>
  <si>
    <t>Michael Russell</t>
  </si>
  <si>
    <t>Cobberprojects@gmail.com</t>
  </si>
  <si>
    <t>64 Richview Ramble, 6210</t>
  </si>
  <si>
    <t>28/11/2025</t>
  </si>
  <si>
    <t>Evelyn Godwin</t>
  </si>
  <si>
    <t>vjohnandevelyn@gmail.com</t>
  </si>
  <si>
    <t>22 Merriman Court Palmwoods QLD 4555</t>
  </si>
  <si>
    <t>Maclane Schloss</t>
  </si>
  <si>
    <t>mschloss94@gmail.com</t>
  </si>
  <si>
    <t>Ron Kramp</t>
  </si>
  <si>
    <t>ronkramp@outlook.com</t>
  </si>
  <si>
    <t>10 Deacon Street Basin Pocket QLD 4305</t>
  </si>
  <si>
    <t>Kubda Brown</t>
  </si>
  <si>
    <t>Kubda@hotmail.com</t>
  </si>
  <si>
    <t>88 Glen Eagles Drive Robina QLD 4226</t>
  </si>
  <si>
    <t>Caryn Ward</t>
  </si>
  <si>
    <t>caryn.ward61@gmail.com</t>
  </si>
  <si>
    <t>9 Benjamin Chase Mooroolbark VIC 3138</t>
  </si>
  <si>
    <t>Shellie Storm</t>
  </si>
  <si>
    <t>shellie.storm@outlook.com.au</t>
  </si>
  <si>
    <t>2 Dorchester Court Oxenford QLD 4210</t>
  </si>
  <si>
    <t>Maria Casey</t>
  </si>
  <si>
    <t>maria@coastalspace.com.au</t>
  </si>
  <si>
    <t>56/188 Alexandra Parade Alexandra Headland QLD 4572</t>
  </si>
  <si>
    <t>Greg Selman</t>
  </si>
  <si>
    <t>greg.selman@y7mail.com</t>
  </si>
  <si>
    <t>14/71-79 Avoca Street Randwick NSW 2031</t>
  </si>
  <si>
    <t>Brenda Milanes</t>
  </si>
  <si>
    <t>brenda20dec@yahoo.com.au</t>
  </si>
  <si>
    <t>Catherine Ford</t>
  </si>
  <si>
    <t>Cathihana@gmail.com</t>
  </si>
  <si>
    <t>13 Panama Street Pimpama QLD 4209</t>
  </si>
  <si>
    <t>Nardine Smith</t>
  </si>
  <si>
    <t>nardzee175@gmail.com</t>
  </si>
  <si>
    <t>8 Madeline Street Mudgeeraba QLD 4213</t>
  </si>
  <si>
    <t>Shakey Lake</t>
  </si>
  <si>
    <t>shakey49@optusnet.com</t>
  </si>
  <si>
    <t>Dudley Park, 6210</t>
  </si>
  <si>
    <t>Yvonne Stanley</t>
  </si>
  <si>
    <t>yvonnelstanley@gmail.com</t>
  </si>
  <si>
    <t>66 Eucalypt Drive, Lilydale, 3140</t>
  </si>
  <si>
    <t>Erica Penani</t>
  </si>
  <si>
    <t>erica.penani@bigpond.com.au</t>
  </si>
  <si>
    <t>Burrum Heads</t>
  </si>
  <si>
    <t>9 Barramundi Drive</t>
  </si>
  <si>
    <t>Paul Lewis󠁧󠁢󠁷󠁬󠁳󠁿</t>
  </si>
  <si>
    <t>lewie1961@gmail.com</t>
  </si>
  <si>
    <t>50 Alfred St, Rozelle nsw 2039</t>
  </si>
  <si>
    <t>Mike</t>
  </si>
  <si>
    <t>zest4life4me@yahoo.com.au</t>
  </si>
  <si>
    <t>Pine Mountain</t>
  </si>
  <si>
    <t>80 Glen Ross Dr Pine Mountain</t>
  </si>
  <si>
    <t>Garry Francis</t>
  </si>
  <si>
    <t>francisgkl@yahoo.com</t>
  </si>
  <si>
    <t>15 Dawson Avenue, Earlwood, NSW, 2206, Australia</t>
  </si>
  <si>
    <t>Aldo Travia</t>
  </si>
  <si>
    <t>aldo.travia@gmail.com</t>
  </si>
  <si>
    <t>25 McBride st, 4817</t>
  </si>
  <si>
    <t>char1919@live.com.au</t>
  </si>
  <si>
    <t>19 Breakwater crt  Deception Bay, 4018</t>
  </si>
  <si>
    <t>29/11/2025</t>
  </si>
  <si>
    <t>Donna Murphy</t>
  </si>
  <si>
    <t>dhawea08@gmail.com</t>
  </si>
  <si>
    <t>Aroona</t>
  </si>
  <si>
    <t>6 Rathdowney Avenue, Aroona 4551, 4551</t>
  </si>
  <si>
    <t>Manfred Franklin</t>
  </si>
  <si>
    <t>40mannie@gmail.com</t>
  </si>
  <si>
    <t>131 Pulgul Street, Urangan, QLD, 4655, Australia</t>
  </si>
  <si>
    <t>Jim Smallwood</t>
  </si>
  <si>
    <t>jimroz@bigpond.com</t>
  </si>
  <si>
    <t>42D Aragan Circuit, Bulli, New South Wales</t>
  </si>
  <si>
    <t>Mannie Santos</t>
  </si>
  <si>
    <t>emanuel_dos_santos@telstra.com</t>
  </si>
  <si>
    <t>Spring Mountain</t>
  </si>
  <si>
    <t>2 Broxburn Circuit</t>
  </si>
  <si>
    <t>Vaine Nganut</t>
  </si>
  <si>
    <t>v.nganu26@gmail.com</t>
  </si>
  <si>
    <t>17 Forest Acres Drive Lake MacDonald</t>
  </si>
  <si>
    <t>Kevin Shipp</t>
  </si>
  <si>
    <t>tarragoncarterton@gmail.com</t>
  </si>
  <si>
    <t>30 Missingham Avenue Alkimos WA 6038</t>
  </si>
  <si>
    <t>Linda Mathieson</t>
  </si>
  <si>
    <t>linda.mathieson@yahoo.com</t>
  </si>
  <si>
    <t>5 Long Beach Promenade Mindarie WA 6030</t>
  </si>
  <si>
    <t>Susan Schutte</t>
  </si>
  <si>
    <t>sa.schutte@gmail.com</t>
  </si>
  <si>
    <t>Nelly Bay</t>
  </si>
  <si>
    <t>33 Yates Street Nelly Bay QLD 4819</t>
  </si>
  <si>
    <t>Geoffrey Mclean</t>
  </si>
  <si>
    <t>geoff.mclean60@gmail.com</t>
  </si>
  <si>
    <t>Kellyville Ridge</t>
  </si>
  <si>
    <t>3 Candilla Street, 2155</t>
  </si>
  <si>
    <t>Paul Cester</t>
  </si>
  <si>
    <t>paulcester79@gmail.com</t>
  </si>
  <si>
    <t>11 Jasmine crt, 4655</t>
  </si>
  <si>
    <t>Mike Hewitt</t>
  </si>
  <si>
    <t>hewittmichael5490@gmail.com</t>
  </si>
  <si>
    <t>4 Oakvale Avenue Kellyville Ridge, 2155</t>
  </si>
  <si>
    <t>Tuli Ray</t>
  </si>
  <si>
    <t>tuliray@hotmail.com</t>
  </si>
  <si>
    <t>Parkwood</t>
  </si>
  <si>
    <t>34 ROMNEY WAY, PARKWOOD, Parkwood, 6147</t>
  </si>
  <si>
    <t>JUDITH Angelini</t>
  </si>
  <si>
    <t>lynangelkni@gmail.com</t>
  </si>
  <si>
    <t>21 Frost Street Earlwood NSW 2206</t>
  </si>
  <si>
    <t>Mark King</t>
  </si>
  <si>
    <t>markk0272@gmail.com</t>
  </si>
  <si>
    <t>47 Coronata Crescent Narangba QLD 4504</t>
  </si>
  <si>
    <t>Catherine Nicholas</t>
  </si>
  <si>
    <t>catherine_nicholas@hotmail.com</t>
  </si>
  <si>
    <t>Toolakea</t>
  </si>
  <si>
    <t>132 The Esplanade Toolakea QLD 4818</t>
  </si>
  <si>
    <t>Christopher Allan</t>
  </si>
  <si>
    <t>alien5000@yahoo.com</t>
  </si>
  <si>
    <t>Bauple</t>
  </si>
  <si>
    <t>72 Van Hensbroek Road Bauple QLD 4650</t>
  </si>
  <si>
    <t>Peter Sutton</t>
  </si>
  <si>
    <t>arthur.sutton49@gmail.com</t>
  </si>
  <si>
    <t>1/7 Thurwood Avenue Jamisontown NSW 2750</t>
  </si>
  <si>
    <t>Alexa Thomas</t>
  </si>
  <si>
    <t>alexa7th@gmail.com</t>
  </si>
  <si>
    <t>131 Pulgul Street Urangan QLD 4655</t>
  </si>
  <si>
    <t>Jimroz@bigpond.com</t>
  </si>
  <si>
    <t>Narre</t>
  </si>
  <si>
    <t>Elizabeth Dawset</t>
  </si>
  <si>
    <t>speedofdark159@gmail.com</t>
  </si>
  <si>
    <t>Macgregor</t>
  </si>
  <si>
    <t>7 Fernshaw St, Macgregor</t>
  </si>
  <si>
    <t>Sean Budge</t>
  </si>
  <si>
    <t>sean.budge@gmail.com</t>
  </si>
  <si>
    <t>2 karlee court</t>
  </si>
  <si>
    <t>Bonville</t>
  </si>
  <si>
    <t>342 North Bonville Rd, Bonville, New South Wales</t>
  </si>
  <si>
    <t>30/11/2025</t>
  </si>
  <si>
    <t>Brett Constable</t>
  </si>
  <si>
    <t>luxurycoastallawns@gmail.com.au</t>
  </si>
  <si>
    <t>2/16 Glenlea Drive Maroochydore 4558, 4558</t>
  </si>
  <si>
    <t>Jean-Claude Boulenaz</t>
  </si>
  <si>
    <t>jean-claude48@hotmail.com</t>
  </si>
  <si>
    <t>50 Northport  blvd, 6210</t>
  </si>
  <si>
    <t>Neil Holman</t>
  </si>
  <si>
    <t>innwat2@gmail.com</t>
  </si>
  <si>
    <t>49/49 Thornton St, 4217</t>
  </si>
  <si>
    <t>N A N C Y  R O M A N O</t>
  </si>
  <si>
    <t>nancy@theromanoagency.com</t>
  </si>
  <si>
    <t>11 Milky Way, Mudgeeraba, QLD, 4213, Australia</t>
  </si>
  <si>
    <t>Shireen Blakeway-Smith</t>
  </si>
  <si>
    <t>shireenblakeway@yahoo.com</t>
  </si>
  <si>
    <t>Valentine</t>
  </si>
  <si>
    <t>10 Lloyd Ct</t>
  </si>
  <si>
    <t>Michelle Forrester</t>
  </si>
  <si>
    <t>michelleforrester76@gmail.com</t>
  </si>
  <si>
    <t>11 Woodswallow St</t>
  </si>
  <si>
    <t>Debbie Madison</t>
  </si>
  <si>
    <t>debbie.madison279@gmail.com</t>
  </si>
  <si>
    <t>13 Meredith Dr</t>
  </si>
  <si>
    <t>Shaun Greenland</t>
  </si>
  <si>
    <t>sgbuilders01@gmail.com</t>
  </si>
  <si>
    <t>U 1 28 Amaroo Cres</t>
  </si>
  <si>
    <t>Jennyfer Wilbur</t>
  </si>
  <si>
    <t>jennyferwilbur@hotmil.com</t>
  </si>
  <si>
    <t>Orangeville</t>
  </si>
  <si>
    <t>27 Woodlands Way</t>
  </si>
  <si>
    <t>Kerry Allison</t>
  </si>
  <si>
    <t>kezm4@hotmail.com</t>
  </si>
  <si>
    <t>22 Almora close</t>
  </si>
  <si>
    <t>Steve Taylor</t>
  </si>
  <si>
    <t>Stfish59@gmail.com</t>
  </si>
  <si>
    <t>51 Gribble Avenue</t>
  </si>
  <si>
    <t>Robert Bindahneem</t>
  </si>
  <si>
    <t>bindahneem@gmail.com</t>
  </si>
  <si>
    <t>14 Harrison St, 2290</t>
  </si>
  <si>
    <t>Michelle Davies</t>
  </si>
  <si>
    <t>michelle.gisells64@gmail.com</t>
  </si>
  <si>
    <t>1 Gumdale Court, Noosaville, QLD, 4566, Australia</t>
  </si>
  <si>
    <t>Alex Milanes</t>
  </si>
  <si>
    <t>rexmalex01@gmail.com</t>
  </si>
  <si>
    <t>2 / 117 Stephens Street Morningside QLD 4170</t>
  </si>
  <si>
    <t>Hayley Kennedy</t>
  </si>
  <si>
    <t>hayleykennedy1@gmail.com</t>
  </si>
  <si>
    <t>11 Sanibel Court Parrearra QLD 4575</t>
  </si>
  <si>
    <t>Narelle Ruth Houston</t>
  </si>
  <si>
    <t>narellehouston48@gmail.com</t>
  </si>
  <si>
    <t>146 Newburn Road High Wycombe WA 6057</t>
  </si>
  <si>
    <t>Geoffrey Trutwein</t>
  </si>
  <si>
    <t>Geofftrut@gmail.com</t>
  </si>
  <si>
    <t>1&amp;2/22 Baileys Road Tallai QLD 4213</t>
  </si>
  <si>
    <t>Steve Halford-Smith</t>
  </si>
  <si>
    <t>mlspty@outlook.com</t>
  </si>
  <si>
    <t>7 Begonia Street Ormeau QLD 4208</t>
  </si>
  <si>
    <t>Kaye Hutchinson</t>
  </si>
  <si>
    <t>sootyfangx@hotmail.com</t>
  </si>
  <si>
    <t>25 County Lane Merrimac QLD 4226</t>
  </si>
  <si>
    <t>Wurdong Heights</t>
  </si>
  <si>
    <t>7 Helen Crescent Wurdong Heights QLD 4680</t>
  </si>
  <si>
    <t>Andrew Staib</t>
  </si>
  <si>
    <t>astaib73@gmail.com</t>
  </si>
  <si>
    <t>9 Dreamtime Avenue Burrum Heads QLD 4659</t>
  </si>
  <si>
    <t>James Kennedy</t>
  </si>
  <si>
    <t>kennedy.james@bigpond.com</t>
  </si>
  <si>
    <t>33 Brocklebank Street Box Hill NSW 2765</t>
  </si>
  <si>
    <t>David Popovic</t>
  </si>
  <si>
    <t>davidpopovic76@gmail.com</t>
  </si>
  <si>
    <t>19 Sammi Court Coolum Beach QLD 4573</t>
  </si>
  <si>
    <t>Sherrille Hermon</t>
  </si>
  <si>
    <t>sherrillehermon@yahoo.com</t>
  </si>
  <si>
    <t>25 Findlay Street Burpengary QLD 4505</t>
  </si>
  <si>
    <t>Luke Booker</t>
  </si>
  <si>
    <t>bookerluke@gmail.com</t>
  </si>
  <si>
    <t>4 Timarron Court Langwarrin VIC 3910</t>
  </si>
  <si>
    <t>Leo Alaimo</t>
  </si>
  <si>
    <t>leoalaimo@outlook.com</t>
  </si>
  <si>
    <t>Sunrise Beach</t>
  </si>
  <si>
    <t>2/32 Orealla Crescent Sunrise Beach QLD 4567</t>
  </si>
  <si>
    <t>Suze Garozzo</t>
  </si>
  <si>
    <t>susannegarozzo@bigpond.com</t>
  </si>
  <si>
    <t>Hillcrest</t>
  </si>
  <si>
    <t>8 Juxon Street Hillcrest QLD 4118</t>
  </si>
  <si>
    <t>Ken Bouyer</t>
  </si>
  <si>
    <t>kdbouyer@bigpond.com</t>
  </si>
  <si>
    <t>30 everlasting Blvd., Cranbourne West 3977</t>
  </si>
  <si>
    <t>Eunice Mosimane</t>
  </si>
  <si>
    <t>emosimane9@gmail.com</t>
  </si>
  <si>
    <t>Hillsborough</t>
  </si>
  <si>
    <t>35 Higham Road Hillsborough NSW 2290</t>
  </si>
  <si>
    <t>Vicki Smith</t>
  </si>
  <si>
    <t>vic.star67@hotmail.com</t>
  </si>
  <si>
    <t>26 Maddingley Road, 3049</t>
  </si>
  <si>
    <t>Sevinc Gocer</t>
  </si>
  <si>
    <t>sebogocer@hotmail.com</t>
  </si>
  <si>
    <t>MEDOWIE, 2318</t>
  </si>
  <si>
    <t>Jon Jones</t>
  </si>
  <si>
    <t>jj_jonjones@bigpond.com</t>
  </si>
  <si>
    <t>16 Wyuna Drive Noosaville QLD 4566</t>
  </si>
  <si>
    <t>Maggie Howard</t>
  </si>
  <si>
    <t>magghoward@bigpond.com</t>
  </si>
  <si>
    <t>76 Noosa Parade Noosa Heads QLD 4567</t>
  </si>
  <si>
    <t>Lionel McElroy</t>
  </si>
  <si>
    <t>lionelmcelroy@gmail.com</t>
  </si>
  <si>
    <t>12 Kookaburra Drive Eli Waters QLD 4655</t>
  </si>
  <si>
    <t>Joe Coppola</t>
  </si>
  <si>
    <t>coppolajoe099@gmail.com</t>
  </si>
  <si>
    <t>Roxburgh Park</t>
  </si>
  <si>
    <t>5 Osborne Terrace Roxburgh Park VIC 3064</t>
  </si>
  <si>
    <t>Carmel Dwyer</t>
  </si>
  <si>
    <t>Carmelgd@gmail.com</t>
  </si>
  <si>
    <t>stevensimjanovic@bigpond.com</t>
  </si>
  <si>
    <t>1 Gumdale Court Noosaville QLD 4566</t>
  </si>
  <si>
    <t>Alex Milanese</t>
  </si>
  <si>
    <t>Kelvin Grove</t>
  </si>
  <si>
    <t>53 Vale Street Kelvin Grove QLD 4059</t>
  </si>
  <si>
    <t>Paul Baxter</t>
  </si>
  <si>
    <t>baxterpj@bigpond.com</t>
  </si>
  <si>
    <t>2/9 Cambridge Street Bulimba QLD 4171</t>
  </si>
  <si>
    <t>Jill Warlow</t>
  </si>
  <si>
    <t>Jillwarlow@gmail.com</t>
  </si>
  <si>
    <t>16 Golden Bear Dr, Arundel, 4214</t>
  </si>
  <si>
    <t>Seng Maindonald</t>
  </si>
  <si>
    <t>seng.maindonald@hotmail.com</t>
  </si>
  <si>
    <t>Botanic Ridge</t>
  </si>
  <si>
    <t>22 Colonnade St</t>
  </si>
  <si>
    <t>Michael Andrew Stone</t>
  </si>
  <si>
    <t>stone.michael@bigpond.com</t>
  </si>
  <si>
    <t>Oran Park</t>
  </si>
  <si>
    <t>6 Casey St</t>
  </si>
  <si>
    <t>Alex Pos</t>
  </si>
  <si>
    <t>acapitau@bigpond.com</t>
  </si>
  <si>
    <t>Lisa Black</t>
  </si>
  <si>
    <t>Murrumba Downs</t>
  </si>
  <si>
    <t>42 River Cove Circuit</t>
  </si>
  <si>
    <t>Kim Reynolds</t>
  </si>
  <si>
    <t>Mreyno68@hotmail.com</t>
  </si>
  <si>
    <t>12a cheritons place Armadale, 6112</t>
  </si>
  <si>
    <t>Rojjer Doyle</t>
  </si>
  <si>
    <t>rdale7707@gmail.com</t>
  </si>
  <si>
    <t>60 Billericay CCT Butler, 6036</t>
  </si>
  <si>
    <t>Marie Madamadiotis</t>
  </si>
  <si>
    <t>accfashionw@gmail.com</t>
  </si>
  <si>
    <t>Glenvale</t>
  </si>
  <si>
    <t>Glenvale, 4350</t>
  </si>
  <si>
    <t>frmoffattt54@gmail.com</t>
  </si>
  <si>
    <t>11 Lambour Court Point Vernon QLD 4655</t>
  </si>
  <si>
    <t>Beverley Mallet</t>
  </si>
  <si>
    <t>beverley.mallet1952@gmail.com</t>
  </si>
  <si>
    <t>6 Terminalia St Redlynch, 4870</t>
  </si>
  <si>
    <t>Luke Walker</t>
  </si>
  <si>
    <t>luke@skywalkertours.com</t>
  </si>
  <si>
    <t>2-4 Rocks Road Redlynch, 4870</t>
  </si>
  <si>
    <t>Bruce Saunders</t>
  </si>
  <si>
    <t>brucesaunderspools@gmail.com</t>
  </si>
  <si>
    <t>8 Mary St, Woodend, 4305</t>
  </si>
  <si>
    <t>Michael Anthony Geoghegan</t>
  </si>
  <si>
    <t>leixlip_588@hotmail.com</t>
  </si>
  <si>
    <t>St James</t>
  </si>
  <si>
    <t>16 Victoria Street St James, St James, 6102</t>
  </si>
  <si>
    <t>Bruce Boyd</t>
  </si>
  <si>
    <t>summerskiesptyltd@gmail.com</t>
  </si>
  <si>
    <t>Mulga drive, 6210</t>
  </si>
  <si>
    <t>Vicki Bradley</t>
  </si>
  <si>
    <t>vickibwa@yahoo.com.au</t>
  </si>
  <si>
    <t>U 4 28 Roscoe St, 2026</t>
  </si>
  <si>
    <t>Matthew Deaner</t>
  </si>
  <si>
    <t>matt@mattdeaner.com</t>
  </si>
  <si>
    <t>Boondall, Boondall, 4212</t>
  </si>
  <si>
    <t>Jean Claude Spagna</t>
  </si>
  <si>
    <t>jcspagna@hotmail.com</t>
  </si>
  <si>
    <t>12 Crump Lane Maida Vale WA 6057</t>
  </si>
  <si>
    <t>Lori Woods</t>
  </si>
  <si>
    <t>lori@bigpond.net.au</t>
  </si>
  <si>
    <t>167 The Cove Road Hallett Cove SA 5158</t>
  </si>
  <si>
    <t>Patricia Weeding</t>
  </si>
  <si>
    <t>patriciaweeding@gmail.com</t>
  </si>
  <si>
    <t>Elizabeth Morrisby</t>
  </si>
  <si>
    <t>emorrisb@bigpond.com</t>
  </si>
  <si>
    <t>Bowen Hills</t>
  </si>
  <si>
    <t>301/36 King Street Bowen Hills QLD 4006</t>
  </si>
  <si>
    <t>Taylor Vogt</t>
  </si>
  <si>
    <t>taylorlvogt@gmail.com</t>
  </si>
  <si>
    <t>S Stoddart</t>
  </si>
  <si>
    <t>selkirk@bigpond.net.au</t>
  </si>
  <si>
    <t>17 Bimberi Row Pacific Pines QLD 4211</t>
  </si>
  <si>
    <t>Angela Hall</t>
  </si>
  <si>
    <t>angelahall.ah@gmail.com</t>
  </si>
  <si>
    <t>24 Tayha Crescent Nirimba QLD 4551</t>
  </si>
  <si>
    <t>Susie Patey</t>
  </si>
  <si>
    <t>suzeepatey@gmail.com</t>
  </si>
  <si>
    <t>3 / 32 Darnel Street, Elanora, QLD, 4221, Australia</t>
  </si>
  <si>
    <t>Juanita Murphy</t>
  </si>
  <si>
    <t>jmcaskill1@hotmail.com</t>
  </si>
  <si>
    <t>30 Golf Links Dr, 4817</t>
  </si>
  <si>
    <t>Leonie McInnes</t>
  </si>
  <si>
    <t>leonie.mcinnes@outlook.com</t>
  </si>
  <si>
    <t>21 Shipyard Circuit, Noosaville, QLD, 4566, Australia</t>
  </si>
  <si>
    <t>Ann Mulligan</t>
  </si>
  <si>
    <t>annmulligan@ozemail.com.au</t>
  </si>
  <si>
    <t>Po Box 1835 Pp, 4566</t>
  </si>
  <si>
    <t>ann@mulligan.name</t>
  </si>
  <si>
    <t>1 Armidale Cres, 4212</t>
  </si>
  <si>
    <t>Brickie Lawrence</t>
  </si>
  <si>
    <t>laubec@bigpond.com</t>
  </si>
  <si>
    <t>53 Dundatha Drive, 6122</t>
  </si>
  <si>
    <t>Ricky Farrell</t>
  </si>
  <si>
    <t>Rickyfarrell79@gmail.com</t>
  </si>
  <si>
    <t>replace(replace(replace(trim(249-259 Lindsay Road Buderim QLD 4556);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</si>
  <si>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249-259 Lindsay Road Buderim QLD 4556</t>
  </si>
  <si>
    <t>Carol Fuller</t>
  </si>
  <si>
    <t>malcarolf@gmail.com</t>
  </si>
  <si>
    <t>replace(replace(replace(trim(7/39 Back Street Biggera Waters QLD 4216);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</si>
  <si>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7/39 Back Street Biggera Waters QLD 4216</t>
  </si>
  <si>
    <t>Theresa Yates</t>
  </si>
  <si>
    <t>tyates9110@hotmail.com</t>
  </si>
  <si>
    <t>5 Crampton Court, Arana Hills, Arana Hills, 4054</t>
  </si>
  <si>
    <t>Chris Knox</t>
  </si>
  <si>
    <t>chrisknox@outlook.com.au</t>
  </si>
  <si>
    <t>5 wicks court</t>
  </si>
  <si>
    <t>Kerry Sutherland</t>
  </si>
  <si>
    <t>sutherlandkerryjoy@gmail.com</t>
  </si>
  <si>
    <t>36 Oceanic Drive, Warana, 4575</t>
  </si>
  <si>
    <t>Nathan Frost</t>
  </si>
  <si>
    <t>nathan.smoothedge@gmail.com</t>
  </si>
  <si>
    <t>16 Ontario Court</t>
  </si>
  <si>
    <t>Gary Howle</t>
  </si>
  <si>
    <t>g_howle@hotmail.com</t>
  </si>
  <si>
    <t>Carol Rayner</t>
  </si>
  <si>
    <t>carolrayner4@optusnet.com.au</t>
  </si>
  <si>
    <t>replace(replace(replace(trim(5 Alexandra Crescent Bayview NSW 2104);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</si>
  <si>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5 Alexandra Crescent Bayview NSW 2104</t>
  </si>
  <si>
    <t>Mark Bradbury</t>
  </si>
  <si>
    <t>mbrad6546@gmail.com</t>
  </si>
  <si>
    <t>replace(replace(replace(trim(65 Glen Eagles Drive Robina QLD 4226);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</si>
  <si>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65 Glen Eagles Drive Robina QLD 4226</t>
  </si>
  <si>
    <t>Tony Lloyd</t>
  </si>
  <si>
    <t>tony6and1@gmail.com</t>
  </si>
  <si>
    <t>replace(replace(replace(trim(89 Shoalhaven Street Kiama NSW 2533);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</si>
  <si>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89 Shoalhaven Street Kiama NSW 2533</t>
  </si>
  <si>
    <t>Chris Murray</t>
  </si>
  <si>
    <t>car_murray@hotmail.com</t>
  </si>
  <si>
    <t>replace(replace(replace(trim(6 Egan Street Manunda QLD 4870);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</si>
  <si>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Lynette Lyons</t>
  </si>
  <si>
    <t>lynelyons54@gmail.com</t>
  </si>
  <si>
    <t>replace(replace(replace(trim(23 Donnybrook Turn Dawesville WA 6211);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</si>
  <si>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23 Donnybrook Turn Dawesville WA 6211</t>
  </si>
  <si>
    <t>Darryl Jones</t>
  </si>
  <si>
    <t>demtel67@gmail.com</t>
  </si>
  <si>
    <t>Unknown</t>
  </si>
  <si>
    <t>Rivett</t>
  </si>
  <si>
    <t>6 Gungurra Cres</t>
  </si>
  <si>
    <t>Eric Roger Laderach</t>
  </si>
  <si>
    <t>ericladerach@gmail.com</t>
  </si>
  <si>
    <t>Pakenham Upper</t>
  </si>
  <si>
    <t>420 morrison road</t>
  </si>
  <si>
    <t>Russell Carter</t>
  </si>
  <si>
    <t>russellcarter16@bigpond.com</t>
  </si>
  <si>
    <t>Whites Valley</t>
  </si>
  <si>
    <t>Clark Ernst</t>
  </si>
  <si>
    <t>clarkrernst@gmail.com</t>
  </si>
  <si>
    <t>3/358 canning highway COMO, 6152</t>
  </si>
  <si>
    <t>wendy dobson</t>
  </si>
  <si>
    <t>w.dobson.57@hotmail.com.au</t>
  </si>
  <si>
    <t>Cooroibah</t>
  </si>
  <si>
    <t>26 Craigslea crt Cooroibah, Cooroibah, 4565</t>
  </si>
  <si>
    <t>Wayne Hunt</t>
  </si>
  <si>
    <t>waynehuntcc@bigpond.com</t>
  </si>
  <si>
    <t>41 Lynton Court Greenvale 3059, Greenvale, 3059</t>
  </si>
  <si>
    <t>Magdy Yousef</t>
  </si>
  <si>
    <t>magdymishraky@hotmail.com</t>
  </si>
  <si>
    <t>33 Highfields Pde Highfields, Highfields, 2289</t>
  </si>
  <si>
    <t>Richard Stock</t>
  </si>
  <si>
    <t>stockrichard86@gmail.com</t>
  </si>
  <si>
    <t>24 Flinders Street</t>
  </si>
  <si>
    <t>Lynda Smith</t>
  </si>
  <si>
    <t>lyn357@optusnet.com.au</t>
  </si>
  <si>
    <t>Oakdale</t>
  </si>
  <si>
    <t>60 Nolan Road</t>
  </si>
  <si>
    <t>Michael Sassine</t>
  </si>
  <si>
    <t>admin@evafresh.com.au</t>
  </si>
  <si>
    <t>Regents Park</t>
  </si>
  <si>
    <t>2 Cinear Ct</t>
  </si>
  <si>
    <t>Judith Oakley</t>
  </si>
  <si>
    <t>oakley.jude@gmail.com</t>
  </si>
  <si>
    <t>48 Agnes St</t>
  </si>
  <si>
    <t>Paul Herd</t>
  </si>
  <si>
    <t>paulherd48@gmail.com</t>
  </si>
  <si>
    <t>replace(replace(replace(trim(88 Oyster Point Esplanade Scarborough QLD 4020);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</si>
  <si>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88 Oyster Point Esplanade Scarborough QLD 4020</t>
  </si>
  <si>
    <t>Suresh Nayak</t>
  </si>
  <si>
    <t>sureshn1@hotmail.com</t>
  </si>
  <si>
    <t>Anneka Broekman</t>
  </si>
  <si>
    <t>broekmananneka@gmail.com</t>
  </si>
  <si>
    <t>replace(replace(replace(trim(9 Pilot Court Mermaid Waters QLD 4218);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</si>
  <si>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9 Pilot Court Mermaid Waters QLD 4218</t>
  </si>
  <si>
    <t>Jennifer Burrows</t>
  </si>
  <si>
    <t>rodnjen@hotmail.com</t>
  </si>
  <si>
    <t>replace(replace(replace(trim(76 Kenmore Road Kenmore QLD 4069);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</si>
  <si>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Rebecca Reuter</t>
  </si>
  <si>
    <t>Reuter55@hotmail.com</t>
  </si>
  <si>
    <t>replace(replace(replace(trim(22 Ballarat Street Fisher ACT 2611);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</si>
  <si>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22 Ballarat Street Fisher ACT 2611</t>
  </si>
  <si>
    <t>Jennifer Pickard</t>
  </si>
  <si>
    <t>jennifer.pickard5@gmail.com</t>
  </si>
  <si>
    <t>Debora Black</t>
  </si>
  <si>
    <t>debora.negre@gmail.com</t>
  </si>
  <si>
    <t>replace(replace(replace(trim(30 Stanley Street Leichhardt NSW 2040);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t>
  </si>
  <si>
    <t>30 Stanley Street Leichhardt NSW 2040</t>
  </si>
  <si>
    <t>Brook Ayrton</t>
  </si>
  <si>
    <t>easytigercarpentry@gmail.com</t>
  </si>
  <si>
    <t>1/9 Forest Sound Place Palmwoods QLD 4555</t>
  </si>
  <si>
    <t>Lauren Anne</t>
  </si>
  <si>
    <t>laurenelms@hotmail.com</t>
  </si>
  <si>
    <t>28-30 Impala Cl, 4124</t>
  </si>
  <si>
    <t>Matt Collins</t>
  </si>
  <si>
    <t>cmattcollins@gmail.com</t>
  </si>
  <si>
    <t>Mount Warrigal</t>
  </si>
  <si>
    <t>17 Marchant Crescent Mount Warrigal NSW 2528, Mount Warrigal, 2528</t>
  </si>
  <si>
    <t>Sandra Piper</t>
  </si>
  <si>
    <t>sandrapiper70@gmail.com</t>
  </si>
  <si>
    <t>10 Breeze ct, Gosnells, 6111</t>
  </si>
  <si>
    <t>Rhett Dunn</t>
  </si>
  <si>
    <t>rhett.dunn1@hotmail.com</t>
  </si>
  <si>
    <t>Currumbin Valley</t>
  </si>
  <si>
    <t>7 Forest Way Currumbin Valley QLD 4223</t>
  </si>
  <si>
    <t>Mark Avery</t>
  </si>
  <si>
    <t>3meriet@gmail.com</t>
  </si>
  <si>
    <t>Dinmore</t>
  </si>
  <si>
    <t>37 Earl Street</t>
  </si>
  <si>
    <t>Russell Muller</t>
  </si>
  <si>
    <t>russmuller63@gmail.com</t>
  </si>
  <si>
    <t>Terri Nicolson</t>
  </si>
  <si>
    <t>tezza.n@hotmail.com</t>
  </si>
  <si>
    <t>28 Hedgeley Way, Canning Vale WA 6155, Canning Vale, 6155</t>
  </si>
  <si>
    <t>Stephanie Hester Lee</t>
  </si>
  <si>
    <t>Stephanie6566@hotmail.com</t>
  </si>
  <si>
    <t>Eatons Hill</t>
  </si>
  <si>
    <t>125 Saraband Drive</t>
  </si>
  <si>
    <t>guru89</t>
  </si>
  <si>
    <t>butad80s@gmail.com</t>
  </si>
  <si>
    <t>101 Persimmon Drive Peregian Beach QLD 4573</t>
  </si>
  <si>
    <t>Daryl Sommerville</t>
  </si>
  <si>
    <t>darylsommerville@aol.com</t>
  </si>
  <si>
    <t>Crows Nest</t>
  </si>
  <si>
    <t>29 Toowoomba Road Crows Nest QLD 4355</t>
  </si>
  <si>
    <t>Terry Roberts</t>
  </si>
  <si>
    <t>talarak@yahoo.com</t>
  </si>
  <si>
    <t>Mermaid</t>
  </si>
  <si>
    <t>6 Sandpiper Island Retreat Wannanup WA 6210</t>
  </si>
  <si>
    <t>Eluned Clark</t>
  </si>
  <si>
    <t>eluned.clark@bigpond.com</t>
  </si>
  <si>
    <t>1 Sittella Court Noosa Heads QLD 4567</t>
  </si>
  <si>
    <t>Pip Whittaker</t>
  </si>
  <si>
    <t>flipwhitt@outlook.com</t>
  </si>
  <si>
    <t>Lorraine Swanston</t>
  </si>
  <si>
    <t>rainelady@gmail.com</t>
  </si>
  <si>
    <t>Wavell heights</t>
  </si>
  <si>
    <t>Dayna Bella</t>
  </si>
  <si>
    <t>dayna.wandrey1@gmail.com</t>
  </si>
  <si>
    <t>Seven Hills</t>
  </si>
  <si>
    <t>17 Aemilia Avenue Seven Hills QLD 4170</t>
  </si>
  <si>
    <t>Marguerite James</t>
  </si>
  <si>
    <t>mjmjames@icloud.com</t>
  </si>
  <si>
    <t>Wandin</t>
  </si>
  <si>
    <t>Julian Markin</t>
  </si>
  <si>
    <t>jhcmnik@gmail.com</t>
  </si>
  <si>
    <t>14 Margaret Street Highfields NSW 2289</t>
  </si>
  <si>
    <t>Maree McCarthy</t>
  </si>
  <si>
    <t>dragons@naturesmagic.com.au</t>
  </si>
  <si>
    <t>39 Kidman Circuit Thornlands QLD 4164</t>
  </si>
  <si>
    <t>Tony Evans</t>
  </si>
  <si>
    <t>tonye@sanitair.com.au</t>
  </si>
  <si>
    <t>10 French Street Pimlico QLD 4812</t>
  </si>
  <si>
    <t>Craig Hodges</t>
  </si>
  <si>
    <t>hodgescraig@hotmail.com</t>
  </si>
  <si>
    <t>jerildine@hotmail.com</t>
  </si>
  <si>
    <t>91 Darwin Tce, 6210</t>
  </si>
  <si>
    <t>Julie Higgins</t>
  </si>
  <si>
    <t>juliehiggins9@hotmail.com</t>
  </si>
  <si>
    <t>13 Bromell Close, 4870</t>
  </si>
  <si>
    <t>Louise Renton</t>
  </si>
  <si>
    <t>louii44.lr@hotmail.com</t>
  </si>
  <si>
    <t>6A Trentwood Park Avalon Beach NSW 2107</t>
  </si>
  <si>
    <t>Veronica Thomas</t>
  </si>
  <si>
    <t>veronicathomas2009@gmail.com</t>
  </si>
  <si>
    <t>2 Margaret Street, wilson, Wilson, 6107</t>
  </si>
  <si>
    <t>Richard Chia</t>
  </si>
  <si>
    <t>rich.cyc@gmail.com</t>
  </si>
  <si>
    <t>22 Jagger Cct, 3977</t>
  </si>
  <si>
    <t>Marina Krak</t>
  </si>
  <si>
    <t>marinakrak@yahoo.com.au</t>
  </si>
  <si>
    <t>22 Jagger Circuit, Cranbourne East, VIC, 3977, Australia</t>
  </si>
  <si>
    <t>9 saint andrews crt. Albany Creek 4035</t>
  </si>
  <si>
    <t>John Whittaker</t>
  </si>
  <si>
    <t>Awesome458@bigpond.com</t>
  </si>
  <si>
    <t>Name</t>
  </si>
  <si>
    <t>Phone</t>
  </si>
  <si>
    <t>Email</t>
  </si>
  <si>
    <t>Suburb/Postcode</t>
  </si>
  <si>
    <t>Date</t>
  </si>
  <si>
    <t>Lead Form</t>
  </si>
  <si>
    <t>Clare Pearson</t>
  </si>
  <si>
    <t>clare49.ch@gmail.com</t>
  </si>
  <si>
    <t>26 Brooker Drive Hillbank SA 5112</t>
  </si>
  <si>
    <t>10/09/2025</t>
  </si>
  <si>
    <t>10 Step</t>
  </si>
  <si>
    <t>53 James Dean Road Widgee Crossing South QLD 4570</t>
  </si>
  <si>
    <t>8 Questions VERIFIED</t>
  </si>
  <si>
    <t>Nave Lee</t>
  </si>
  <si>
    <t>navrinder@live.com</t>
  </si>
  <si>
    <t>TR Johnson</t>
  </si>
  <si>
    <t>tamandjus@whitsunday.net.au</t>
  </si>
  <si>
    <t>Cannonvale</t>
  </si>
  <si>
    <t>18 Country Road Cannonvale QLD 4802</t>
  </si>
  <si>
    <t>Faye Pollock</t>
  </si>
  <si>
    <t>fayepollock@gmail.com</t>
  </si>
  <si>
    <t>South Melbourne</t>
  </si>
  <si>
    <t>St Kilda road south Melbourne</t>
  </si>
  <si>
    <t>•  h e l e n  •</t>
  </si>
  <si>
    <t>canadianaussie@mac.com</t>
  </si>
  <si>
    <t>Moffatdale</t>
  </si>
  <si>
    <t>Vivian Daniels</t>
  </si>
  <si>
    <t>vivian.dan30@gmail.com</t>
  </si>
  <si>
    <t>Balga</t>
  </si>
  <si>
    <t>21 Derrington Crescent Balga WA 6061</t>
  </si>
  <si>
    <t>Jeff Galea</t>
  </si>
  <si>
    <t>jeffgalea3@gmail.com</t>
  </si>
  <si>
    <t>Ballarat</t>
  </si>
  <si>
    <t>John Curran</t>
  </si>
  <si>
    <t>kmcurran@optusnet.com.au</t>
  </si>
  <si>
    <t>St Ives</t>
  </si>
  <si>
    <t>9 Yarralumla Avenue St Ives Chase NSW 2075</t>
  </si>
  <si>
    <t>Elisa Hurren</t>
  </si>
  <si>
    <t>3101elisa@gmail.com</t>
  </si>
  <si>
    <t>Eimeo</t>
  </si>
  <si>
    <t>9 Cosford Drive Eimeo QLD 4740</t>
  </si>
  <si>
    <t>Mrs Ruth N Ellis</t>
  </si>
  <si>
    <t>ruth_ellis@bigpond.com</t>
  </si>
  <si>
    <t>Millendon</t>
  </si>
  <si>
    <t>12/09/2025</t>
  </si>
  <si>
    <t>Rainy Daze</t>
  </si>
  <si>
    <t>josephine.derivao@gmail.com</t>
  </si>
  <si>
    <t>Wonga</t>
  </si>
  <si>
    <t>Barry Cox</t>
  </si>
  <si>
    <t>bcox1976@hotmail.com</t>
  </si>
  <si>
    <t>melton south</t>
  </si>
  <si>
    <t>Deb Sherman</t>
  </si>
  <si>
    <t>deb.m.sherman@gmail.com</t>
  </si>
  <si>
    <t>Bargara</t>
  </si>
  <si>
    <t>Cynarra Baker</t>
  </si>
  <si>
    <t>cynarrabaker@gmail.com</t>
  </si>
  <si>
    <t>Fletcher</t>
  </si>
  <si>
    <t>Pierre Campeau</t>
  </si>
  <si>
    <t>Pcampeau99@gmail.com</t>
  </si>
  <si>
    <t>Shaun Jones</t>
  </si>
  <si>
    <t>jonessydneyshaun@gmail.com</t>
  </si>
  <si>
    <t>Leura</t>
  </si>
  <si>
    <t>Steve Donne</t>
  </si>
  <si>
    <t>scjdonne@gmail.com</t>
  </si>
  <si>
    <t>jeremy . simons</t>
  </si>
  <si>
    <t>jeremy@jeremysimons.com.au</t>
  </si>
  <si>
    <t>Girard’s hill</t>
  </si>
  <si>
    <t>Schell Rose Clancy</t>
  </si>
  <si>
    <t>schell@daintreeyoga.com</t>
  </si>
  <si>
    <t>WongaBeach</t>
  </si>
  <si>
    <t>42 Esplanade Wonga Beach QLD 4873</t>
  </si>
  <si>
    <t>15/09/2025</t>
  </si>
  <si>
    <t>Ian Voss</t>
  </si>
  <si>
    <t>Ianvoss111@gmail.com</t>
  </si>
  <si>
    <t>Albury</t>
  </si>
  <si>
    <t>Negotiate Commission (VERIFIED)</t>
  </si>
  <si>
    <t>Shirlie Phillips</t>
  </si>
  <si>
    <t>shirlie.m.phillips@gmail.com</t>
  </si>
  <si>
    <t>Jake Napper</t>
  </si>
  <si>
    <t>jakenapper@hotmail.com</t>
  </si>
  <si>
    <t>North Brighton</t>
  </si>
  <si>
    <t>Christopher Dorman</t>
  </si>
  <si>
    <t>christopherdorman17@gmail.com</t>
  </si>
  <si>
    <t>Ormond</t>
  </si>
  <si>
    <t>Ivor Jacobson</t>
  </si>
  <si>
    <t>ipj@bigpond.net.au</t>
  </si>
  <si>
    <t>Picton</t>
  </si>
  <si>
    <t>Peter Zotti</t>
  </si>
  <si>
    <t>Peter@zotmedia.con.au</t>
  </si>
  <si>
    <t>Sharon Roughley</t>
  </si>
  <si>
    <t>Iatalooc@hotmail.com</t>
  </si>
  <si>
    <t>Kim</t>
  </si>
  <si>
    <t>Shop19emails@gmail.com</t>
  </si>
  <si>
    <t>Pasxoe vale</t>
  </si>
  <si>
    <t>James Cowcher</t>
  </si>
  <si>
    <t>jcowcher@hotmail.com</t>
  </si>
  <si>
    <t>Jon WV</t>
  </si>
  <si>
    <t>Jvundum@gmail.com</t>
  </si>
  <si>
    <t>Susan Mann</t>
  </si>
  <si>
    <t>suzcrawf@hotmail.com</t>
  </si>
  <si>
    <t>Port melbourne</t>
  </si>
  <si>
    <t>189 Dow Street PORT MELBOURNE VIC 3207</t>
  </si>
  <si>
    <t>17/09/2025</t>
  </si>
  <si>
    <t>Peter Livingstone</t>
  </si>
  <si>
    <t>peterbali@hotmail.com</t>
  </si>
  <si>
    <t>Coral Cove</t>
  </si>
  <si>
    <t>23 Chantelle Circuit Coral Cove QLD 4670</t>
  </si>
  <si>
    <t>18/09/2025</t>
  </si>
  <si>
    <t>8 Questions To Ask Your Agent</t>
  </si>
  <si>
    <t>Laurie Antony Maiolo</t>
  </si>
  <si>
    <t>reposestudio13@gmail.com</t>
  </si>
  <si>
    <t>Disnella 6059</t>
  </si>
  <si>
    <t>Unit 1  76 Valentine Avenue DIANELLA WA 6059</t>
  </si>
  <si>
    <t>Scott Madden</t>
  </si>
  <si>
    <t>madjekdiesel@gmail.com</t>
  </si>
  <si>
    <t>51 Mamaku Street Fernvale QLD 4306</t>
  </si>
  <si>
    <t>I think is an agent</t>
  </si>
  <si>
    <t>Nicky Calai</t>
  </si>
  <si>
    <t>jaz.calais12@gmail.com</t>
  </si>
  <si>
    <t>Donvale</t>
  </si>
  <si>
    <t>21 Springwood Close Donvale VIC 3111</t>
  </si>
  <si>
    <t>Fern Robertshaw</t>
  </si>
  <si>
    <t>fernanne.robertshaw@gmail.com</t>
  </si>
  <si>
    <t>Kingaroy</t>
  </si>
  <si>
    <t>9 Tidar Court Booie QLD 4610</t>
  </si>
  <si>
    <t>Bec</t>
  </si>
  <si>
    <t>bec@tailoredspace.com.au</t>
  </si>
  <si>
    <t>Casuarina</t>
  </si>
  <si>
    <t>2 Beason Court Casuarina NSW 2487</t>
  </si>
  <si>
    <t>Nick and Fran Wills</t>
  </si>
  <si>
    <t>fnwills68@gmail.com</t>
  </si>
  <si>
    <t>20 Broadway Drive Craignish QLD 4655</t>
  </si>
  <si>
    <t>Craig Ewens Carter</t>
  </si>
  <si>
    <t>craig19carter51@gmail.com</t>
  </si>
  <si>
    <t>Nollamara</t>
  </si>
  <si>
    <t>36 Ravenswood Drive Nollamara WA 6061</t>
  </si>
  <si>
    <t>19/09/2025</t>
  </si>
  <si>
    <t>Ryan John</t>
  </si>
  <si>
    <t>ryanhislop@hotmail.com</t>
  </si>
  <si>
    <t>orange</t>
  </si>
  <si>
    <t>Ruthven Ruthven</t>
  </si>
  <si>
    <t>gruthven@tfg.com.au</t>
  </si>
  <si>
    <t>Richmond</t>
  </si>
  <si>
    <t>Helen Theuma</t>
  </si>
  <si>
    <t>helen.theuma@gmail.com</t>
  </si>
  <si>
    <t>Gorokan</t>
  </si>
  <si>
    <t>Katrina Cowell</t>
  </si>
  <si>
    <t>katrina.cowell@bigpond.com</t>
  </si>
  <si>
    <t>lambs Valley</t>
  </si>
  <si>
    <t>147 Blue Bonnet Road Lambs Valley NSW 2335</t>
  </si>
  <si>
    <t>Karen Walker</t>
  </si>
  <si>
    <t>kpwalker11@outlook.com</t>
  </si>
  <si>
    <t>63 Bass Horizon Promenade</t>
  </si>
  <si>
    <t>COMPARISON</t>
  </si>
  <si>
    <t>Di Corbett</t>
  </si>
  <si>
    <t>corbettdi@gmail.com</t>
  </si>
  <si>
    <t>59A Tura Beach Drive Tura Beach NSW 2548</t>
  </si>
  <si>
    <t>Merrianne Hunt</t>
  </si>
  <si>
    <t>merrianne@gmail.com</t>
  </si>
  <si>
    <t>Barbara Bryce</t>
  </si>
  <si>
    <t>barbab49@gmail.com</t>
  </si>
  <si>
    <t>hervey bay</t>
  </si>
  <si>
    <t>Patricia Drake-Brockman</t>
  </si>
  <si>
    <t>pattiedb333@gmail.com</t>
  </si>
  <si>
    <t>Australind WA</t>
  </si>
  <si>
    <t>34 Fitzgerald Way Australind WA 6233</t>
  </si>
  <si>
    <t>Chrisdj Clark</t>
  </si>
  <si>
    <t>chrisclark01cc@gmail.com</t>
  </si>
  <si>
    <t>cooloola cove , tin can bay</t>
  </si>
  <si>
    <t>6 Aquitania Court Cooloola Cove QLD 4580</t>
  </si>
  <si>
    <t>Mike Seccombe</t>
  </si>
  <si>
    <t>Msducati916@gmail.com</t>
  </si>
  <si>
    <t>Orange NSW</t>
  </si>
  <si>
    <t>8 Noonameena Drive Orange NSW 2800</t>
  </si>
  <si>
    <t>Greer Helen Dunsford</t>
  </si>
  <si>
    <t>greer.dunsford@bigpond.com</t>
  </si>
  <si>
    <t>Kardinya</t>
  </si>
  <si>
    <t>25B Ainslie Court Kardinya WA 6163</t>
  </si>
  <si>
    <t>Pam Mascart</t>
  </si>
  <si>
    <t>mascartred@gmail.com</t>
  </si>
  <si>
    <t>Kurrajong</t>
  </si>
  <si>
    <t>1 Oswald Park Place Kurrajong NSW 2758</t>
  </si>
  <si>
    <t>John Vella</t>
  </si>
  <si>
    <t>john@caninewise.com.au</t>
  </si>
  <si>
    <t>North Ryde</t>
  </si>
  <si>
    <t>17 Blenheim Road North Ryde NSW 2113</t>
  </si>
  <si>
    <t>Therese Adolfsen</t>
  </si>
  <si>
    <t>thurley33@icloud.com</t>
  </si>
  <si>
    <t>33 Pulgul Street Urangan QLD 4655</t>
  </si>
  <si>
    <t>23/09/2025</t>
  </si>
  <si>
    <t>Natalie Savic</t>
  </si>
  <si>
    <t>nataliesavic01@gmail.com</t>
  </si>
  <si>
    <t>8 Waiora Road Rosanna VIC 3084</t>
  </si>
  <si>
    <t>Mavi Whitton</t>
  </si>
  <si>
    <t>mavi.whitton@gmail.com</t>
  </si>
  <si>
    <t>23 Laura Grove Avondale Heights VIC 3034</t>
  </si>
  <si>
    <t>Helen Brown</t>
  </si>
  <si>
    <t>helenbrown19@gmail.com</t>
  </si>
  <si>
    <t>Tarneit</t>
  </si>
  <si>
    <t>14 Frances Browne Way Tarneit VIC 3029</t>
  </si>
  <si>
    <t>24/09/2025</t>
  </si>
  <si>
    <t>Sue Brunskill</t>
  </si>
  <si>
    <t>sue.brunskill@gmail.com</t>
  </si>
  <si>
    <t>Mosman</t>
  </si>
  <si>
    <t>3/20 Avenue Road Mosman NSW 2088</t>
  </si>
  <si>
    <t>Lee Hosking</t>
  </si>
  <si>
    <t>hoskingone2021@gmail.com</t>
  </si>
  <si>
    <t>19 Silvertop Close Glenwood NSW 2768</t>
  </si>
  <si>
    <t>jan Sweet</t>
  </si>
  <si>
    <t>jansweet01@gmail.com</t>
  </si>
  <si>
    <t>boreen point</t>
  </si>
  <si>
    <t>12 Laguna Street Boreen Point QLD 4565</t>
  </si>
  <si>
    <t>Steve Brian</t>
  </si>
  <si>
    <t>swbrain69@yahoo.com.au</t>
  </si>
  <si>
    <t>Deakin</t>
  </si>
  <si>
    <t>Suzanna Bowman</t>
  </si>
  <si>
    <t>suebowman36@gmail.com</t>
  </si>
  <si>
    <t>Yea</t>
  </si>
  <si>
    <t>11 or 12 Francis Street, Yea, VIC 3717</t>
  </si>
  <si>
    <t>Already Sold</t>
  </si>
  <si>
    <t>David Hetherington</t>
  </si>
  <si>
    <t>Davidhetherington7@gmail.com</t>
  </si>
  <si>
    <t>9 Glenberrie Place Hawthorndene SA 5051</t>
  </si>
  <si>
    <t>Brooke Hamilton</t>
  </si>
  <si>
    <t>brooke.a.hamilton@hotmail.com</t>
  </si>
  <si>
    <t>Drummond Cove</t>
  </si>
  <si>
    <t>25 Waterfront Circle Drummond Cove WA 6532</t>
  </si>
  <si>
    <t>Ian Williams</t>
  </si>
  <si>
    <t>i.williams@live.com.au</t>
  </si>
  <si>
    <t>Brunswixk</t>
  </si>
  <si>
    <t>Unit 3  10 McColl Court BRUNSWICK WEST VIC 3055</t>
  </si>
  <si>
    <t>Julien Gras</t>
  </si>
  <si>
    <t>juliengras@gmail.com</t>
  </si>
  <si>
    <t>78 Carlingford Road Epping NSW 2121</t>
  </si>
  <si>
    <t>Drew McPherson</t>
  </si>
  <si>
    <t>montagemedia@bigpond.com</t>
  </si>
  <si>
    <t>Louise Callington</t>
  </si>
  <si>
    <t>squizzmaloney@gmail.com</t>
  </si>
  <si>
    <t>Caloote SA</t>
  </si>
  <si>
    <t>Heather Quinn</t>
  </si>
  <si>
    <t>quinny75@hotmail.com.au</t>
  </si>
  <si>
    <t>Mackay</t>
  </si>
  <si>
    <t>Coco</t>
  </si>
  <si>
    <t>jenor999@gmail.com</t>
  </si>
  <si>
    <t>104 Gibbes Street Rockdale NSW 2216</t>
  </si>
  <si>
    <t>Raymond Teuma</t>
  </si>
  <si>
    <t>raymondteuma68@gmail.com</t>
  </si>
  <si>
    <t>lindfield</t>
  </si>
  <si>
    <t>Tommy Ess</t>
  </si>
  <si>
    <t>speirsis@hotmail.com</t>
  </si>
  <si>
    <t>Ocen grobe</t>
  </si>
  <si>
    <t>3 Paris Court Ocean Grove VIC 3226</t>
  </si>
  <si>
    <t>Linda Booth</t>
  </si>
  <si>
    <t>linda5759@gmail.com</t>
  </si>
  <si>
    <t>Unit 5  47 Grendon Street MACKAY NORTH QLD 4740</t>
  </si>
  <si>
    <t>Serendipity on 5th Avenue</t>
  </si>
  <si>
    <t>Jajjmccrea@hotmail.com</t>
  </si>
  <si>
    <t>Sharon ArmstrongVukelic</t>
  </si>
  <si>
    <t>sharonvukelic72@hotmail.com</t>
  </si>
  <si>
    <t>Sth Ripley qld</t>
  </si>
  <si>
    <t>Leanne Barnard</t>
  </si>
  <si>
    <t>leanne.m.taylor@outlook.com</t>
  </si>
  <si>
    <t>Stefano Zanco</t>
  </si>
  <si>
    <t>Stef.zanco@gmail.com</t>
  </si>
  <si>
    <t>Prospect</t>
  </si>
  <si>
    <t>Judy Miller</t>
  </si>
  <si>
    <t>Jamiller@outlook.com.au</t>
  </si>
  <si>
    <t>Judy Driscoll</t>
  </si>
  <si>
    <t>judyadriscoll@gmail.com</t>
  </si>
  <si>
    <t>4 Narree Place Orange NSW 2800</t>
  </si>
  <si>
    <t>Stephen Hill</t>
  </si>
  <si>
    <t>bearsforever1922@gmail.com</t>
  </si>
  <si>
    <t>Hornsby Heights</t>
  </si>
  <si>
    <t>474 Somerville Road Hornsby Heights NSW 2077</t>
  </si>
  <si>
    <t>Danny Brady</t>
  </si>
  <si>
    <t>bradybunch_1@bigpond.com</t>
  </si>
  <si>
    <t>duncraig</t>
  </si>
  <si>
    <t>8 Samson Court Duncraig WA 6023</t>
  </si>
  <si>
    <t>Matt Lovell</t>
  </si>
  <si>
    <t>mplovell11@gmail.com</t>
  </si>
  <si>
    <t>Yarraville</t>
  </si>
  <si>
    <t>Mike Currell</t>
  </si>
  <si>
    <t>mike.currell@gmail.com</t>
  </si>
  <si>
    <t>Proserpine</t>
  </si>
  <si>
    <t>12 Marathon Street Proserpine QLD 4800</t>
  </si>
  <si>
    <t>Eve</t>
  </si>
  <si>
    <t>eveivyartist@gmail.com.com</t>
  </si>
  <si>
    <t>mt Gambier</t>
  </si>
  <si>
    <t>50 Hawkins Rd, Glenburnie SA 5291</t>
  </si>
  <si>
    <t>Epping Bunboura</t>
  </si>
  <si>
    <t>poisson_49@live.com.au</t>
  </si>
  <si>
    <t>Truganina</t>
  </si>
  <si>
    <t>Mark Dennis</t>
  </si>
  <si>
    <t>madennis@bigpond.com</t>
  </si>
  <si>
    <t>glen iris</t>
  </si>
  <si>
    <t>8 Pimelia Road Glen Iris WA 6230</t>
  </si>
  <si>
    <t>Ben Raymond</t>
  </si>
  <si>
    <t>superb96@y7mail.com</t>
  </si>
  <si>
    <t>Port macquarie</t>
  </si>
  <si>
    <t>Dreamy Lark</t>
  </si>
  <si>
    <t>radley@yahoo.com.au</t>
  </si>
  <si>
    <t>Islington</t>
  </si>
  <si>
    <t>29/09/2025</t>
  </si>
  <si>
    <t>50 Hawkins Road MOUNT GAMBIER SA 5290</t>
  </si>
  <si>
    <t>Liam</t>
  </si>
  <si>
    <t>sunderland_pomlee@hotmail.com</t>
  </si>
  <si>
    <t>San Darrach</t>
  </si>
  <si>
    <t>Sandrajmccabe@hotmail.com</t>
  </si>
  <si>
    <t>tomtom1378@gmail.com</t>
  </si>
  <si>
    <t>Susie Moore</t>
  </si>
  <si>
    <t>susiem.info@gmail.com</t>
  </si>
  <si>
    <t>545 Ellsmore Road Exeter NSW 2579</t>
  </si>
  <si>
    <t>Jess Gray</t>
  </si>
  <si>
    <t>jess.kravin@gmail.com</t>
  </si>
  <si>
    <t>clarendon</t>
  </si>
  <si>
    <t>Jeanne</t>
  </si>
  <si>
    <t>clarkj71@gmail.com</t>
  </si>
  <si>
    <t>Branka Adlington</t>
  </si>
  <si>
    <t>brankaadlington@gmail.com</t>
  </si>
  <si>
    <t>Lillian Rock NSW</t>
  </si>
  <si>
    <t>165 Gabal Road Lillian Rock NSW 2480</t>
  </si>
  <si>
    <t>Robert Taylor</t>
  </si>
  <si>
    <t>mrrobertjtaylor@gmail.com</t>
  </si>
  <si>
    <t>Kincumber</t>
  </si>
  <si>
    <t>Erin Davis</t>
  </si>
  <si>
    <t>eedavis@hotmail.com</t>
  </si>
  <si>
    <t>North Rothbury</t>
  </si>
  <si>
    <t>13-15 Morgan Street North Rothbury NSW 2335</t>
  </si>
  <si>
    <t>Robertino Arnaldo</t>
  </si>
  <si>
    <t>robarn@bigpond.net.au</t>
  </si>
  <si>
    <t>tranmere</t>
  </si>
  <si>
    <t>24 Freeman Avenue TRANMERE SA 5073</t>
  </si>
  <si>
    <t>01/10/2025</t>
  </si>
  <si>
    <t>Helena VS</t>
  </si>
  <si>
    <t>helenagillies@netspace.net.au</t>
  </si>
  <si>
    <t>30 Linacre Road Hampton VIC 3188</t>
  </si>
  <si>
    <t>Garth Gum Gee</t>
  </si>
  <si>
    <t>ggumgee@yahoo.com.au</t>
  </si>
  <si>
    <t>Lindfield</t>
  </si>
  <si>
    <t>32 Wolseley Road Lindfield NSW 2070</t>
  </si>
  <si>
    <t>Carmen</t>
  </si>
  <si>
    <t>carmenandcraig@damainshome.com</t>
  </si>
  <si>
    <t>cessnock</t>
  </si>
  <si>
    <t>3 Tallowood Drive Nulkaba NSW 2325</t>
  </si>
  <si>
    <t>Lisa Griffiths- Mccann</t>
  </si>
  <si>
    <t>greg_mccann1@outlook.com</t>
  </si>
  <si>
    <t>millbank</t>
  </si>
  <si>
    <t>20 Thomsen Street Millbank QLD 4670</t>
  </si>
  <si>
    <t>David Morey</t>
  </si>
  <si>
    <t>dm1@hotmail.co.uk</t>
  </si>
  <si>
    <t>102 Boyles Road Kuranda QLD 4881</t>
  </si>
  <si>
    <t>John Paul Bradford</t>
  </si>
  <si>
    <t>jpbradford48@gmail.com</t>
  </si>
  <si>
    <t>bargara qld</t>
  </si>
  <si>
    <t>654 Bargara Road Bargara QLD 4670</t>
  </si>
  <si>
    <t>Henniette Harmse</t>
  </si>
  <si>
    <t>harmsehome@optusnet.com.au</t>
  </si>
  <si>
    <t>Bob Miller</t>
  </si>
  <si>
    <t>bobmiller3064@gmail.com</t>
  </si>
  <si>
    <t>1011 Cosgrove-Lemnos Road Pine Lodge VIC 3631</t>
  </si>
  <si>
    <t>Colette Harkin</t>
  </si>
  <si>
    <t>colette353535@gmail.com</t>
  </si>
  <si>
    <t>22 Bailey Place Yarralumla ACT 2600</t>
  </si>
  <si>
    <t>03/10/2025</t>
  </si>
  <si>
    <t>Kate Pecar</t>
  </si>
  <si>
    <t>kate@pecar.id.au</t>
  </si>
  <si>
    <t>Asquith</t>
  </si>
  <si>
    <t>34 Michigan Avenue Asquith NSW 2077</t>
  </si>
  <si>
    <t>Gina Parslow</t>
  </si>
  <si>
    <t>ginaparslow2@gmail.com</t>
  </si>
  <si>
    <t>lambton</t>
  </si>
  <si>
    <t>157 Cleary Street Hamilton NSW 2303</t>
  </si>
  <si>
    <t>Sharon Ryan</t>
  </si>
  <si>
    <t>sharon@tdgc.com.au</t>
  </si>
  <si>
    <t>132 Loton Road Millendon WA 6056</t>
  </si>
  <si>
    <t>Janet Williams-Glerum</t>
  </si>
  <si>
    <t>janetdwilliams@live.com.au</t>
  </si>
  <si>
    <t>Henley Brook</t>
  </si>
  <si>
    <t>12 Mustang Drive Henley Brook WA 6055</t>
  </si>
  <si>
    <t>Linda Hunter</t>
  </si>
  <si>
    <t>linda.hunter61@gmail.com</t>
  </si>
  <si>
    <t>Baldivis</t>
  </si>
  <si>
    <t>83 Camelot Street Baldivis WA 6171</t>
  </si>
  <si>
    <t>hyacinthe</t>
  </si>
  <si>
    <t>jean24_hya25@hotmail.com</t>
  </si>
  <si>
    <t>100 Matson Crescent Miranda NSW 2228</t>
  </si>
  <si>
    <t>Mark Kutzer</t>
  </si>
  <si>
    <t>mwkutzer@tpg.com.au</t>
  </si>
  <si>
    <t>Mawson Lakes</t>
  </si>
  <si>
    <t>Jondaryan</t>
  </si>
  <si>
    <t>Joe Malabello</t>
  </si>
  <si>
    <t>italo.malabello@gmail.com</t>
  </si>
  <si>
    <t>Frances Johnson</t>
  </si>
  <si>
    <t>franjohnson166@gmail.com</t>
  </si>
  <si>
    <t>Baulkham Hills NSW</t>
  </si>
  <si>
    <t>8/38-44 Seven Hills Road Baulkham Hills NSW 2153</t>
  </si>
  <si>
    <t>Hans Ze</t>
  </si>
  <si>
    <t>hans.zerr@gmail.com</t>
  </si>
  <si>
    <t>bellingen</t>
  </si>
  <si>
    <t>04/10/2025</t>
  </si>
  <si>
    <t>Cheryle Mccoy</t>
  </si>
  <si>
    <t>cheryle.mccoy@monashhealth.org</t>
  </si>
  <si>
    <t>Cowes</t>
  </si>
  <si>
    <t>Kay Murphy</t>
  </si>
  <si>
    <t>welshk9s@bigpond.net.au</t>
  </si>
  <si>
    <t>59 Metcalfe Drive Romsey VIC 3434</t>
  </si>
  <si>
    <t>Ben Hammond</t>
  </si>
  <si>
    <t>Ben@curiouser.com.au</t>
  </si>
  <si>
    <t>89 George Street Erskineville NSW 2043</t>
  </si>
  <si>
    <t>Kerry Grant</t>
  </si>
  <si>
    <t>kerry.schlick@gmail.com</t>
  </si>
  <si>
    <t>18 Hall Parade Hazelbrook NSW 2779</t>
  </si>
  <si>
    <t>Steve Bennett</t>
  </si>
  <si>
    <t>p61b@pm.me</t>
  </si>
  <si>
    <t>Bellingen</t>
  </si>
  <si>
    <t>Andrew Berriman</t>
  </si>
  <si>
    <t>a.berriman@icloud.com</t>
  </si>
  <si>
    <t>06/10/2025</t>
  </si>
  <si>
    <t>Chenzo Di Grazia</t>
  </si>
  <si>
    <t>V2019dg@gmail.com</t>
  </si>
  <si>
    <t>Warragul</t>
  </si>
  <si>
    <t>248 Copelands Road Warragul VIC 3820</t>
  </si>
  <si>
    <t>Brad</t>
  </si>
  <si>
    <t>brad.ohara@stoweaustralia.com.au</t>
  </si>
  <si>
    <t>Culburra</t>
  </si>
  <si>
    <t>Andrea taylor</t>
  </si>
  <si>
    <t>andreataylor283@gmail.com</t>
  </si>
  <si>
    <t>Val Colley</t>
  </si>
  <si>
    <t>grahamcolley@bigpond.com</t>
  </si>
  <si>
    <t>tin can bay</t>
  </si>
  <si>
    <t>23 Summer Way Tin Can Bay QLD 4580</t>
  </si>
  <si>
    <t>Michelle Collins</t>
  </si>
  <si>
    <t>michellescollins@bigpond.com</t>
  </si>
  <si>
    <t>Greg Ashton</t>
  </si>
  <si>
    <t>Gandsashton@gmail.com</t>
  </si>
  <si>
    <t>Grattai</t>
  </si>
  <si>
    <t>1920 Hill End Road Grattai NSW 2850</t>
  </si>
  <si>
    <t>Bronwyn Chant</t>
  </si>
  <si>
    <t>bronnychant@gmail.com</t>
  </si>
  <si>
    <t>70 Springbank Road PANORAMA SA 5041</t>
  </si>
  <si>
    <t>Karen McQueen</t>
  </si>
  <si>
    <t>karenjoy67@hotmail.com</t>
  </si>
  <si>
    <t>Dysart Qld</t>
  </si>
  <si>
    <t>81 Winterer Crescent Dysart QLD 4745</t>
  </si>
  <si>
    <t>Kate Elizabeth</t>
  </si>
  <si>
    <t>katebeesley@hotmail.com</t>
  </si>
  <si>
    <t>keilor Downs</t>
  </si>
  <si>
    <t>30 Tarella Drive Keilor Downs VIC 3038</t>
  </si>
  <si>
    <t>Keith Madden</t>
  </si>
  <si>
    <t>Kmadden@bigpond.net.au</t>
  </si>
  <si>
    <t>1 Glenfern Road Epping NSW 2121</t>
  </si>
  <si>
    <t>Rex Robinson</t>
  </si>
  <si>
    <t>robinsonrex161@gmail.com</t>
  </si>
  <si>
    <t>1 Maxton Street Bridgewater SA 5155</t>
  </si>
  <si>
    <t>Lucas Wisse</t>
  </si>
  <si>
    <t>lucaswisse@gmail.com</t>
  </si>
  <si>
    <t>Murwillumbah</t>
  </si>
  <si>
    <t>41 Riverbend Way Murwillumbah NSW 2484</t>
  </si>
  <si>
    <t>s g hewish</t>
  </si>
  <si>
    <t>shane_hewish@hotmail.com</t>
  </si>
  <si>
    <t>lockleys</t>
  </si>
  <si>
    <t>17 Douglas Street Lockleys SA 5032</t>
  </si>
  <si>
    <t>John</t>
  </si>
  <si>
    <t>johnjhinds@gmail.com</t>
  </si>
  <si>
    <t>ferny hills</t>
  </si>
  <si>
    <t>24 Balfour Street Ferny Hills QLD 4055</t>
  </si>
  <si>
    <t>Wind</t>
  </si>
  <si>
    <t>windnicole7@gmail.com</t>
  </si>
  <si>
    <t>72 Dundatha Drive Byford WA 6122</t>
  </si>
  <si>
    <t>07/10/2025</t>
  </si>
  <si>
    <t>Jasna Kim</t>
  </si>
  <si>
    <t>jasnakim8@gmail.com</t>
  </si>
  <si>
    <t>Possum creek</t>
  </si>
  <si>
    <t>Mandy Di Labio</t>
  </si>
  <si>
    <t>mandy.dilabio@yahoo.com.au</t>
  </si>
  <si>
    <t>Richie</t>
  </si>
  <si>
    <t>richardwkurz@gmail.com</t>
  </si>
  <si>
    <t>Malvern East</t>
  </si>
  <si>
    <t>Smar</t>
  </si>
  <si>
    <t>Smartypantsinbox@outlook.com</t>
  </si>
  <si>
    <t>70 Bangalow Street Bridgeman Downs QLD 4035</t>
  </si>
  <si>
    <t>Rebecca Tigani</t>
  </si>
  <si>
    <t>beckandtaylor@hotmail.com</t>
  </si>
  <si>
    <t>currumbin Valley</t>
  </si>
  <si>
    <t>13 Bains Road Currumbin Valley QLD 4223</t>
  </si>
  <si>
    <t>Toni Nall</t>
  </si>
  <si>
    <t>toninall@gmail.com</t>
  </si>
  <si>
    <t>9 Waterlot Street Moorooka QLD 4105</t>
  </si>
  <si>
    <t>Lyn Thomas</t>
  </si>
  <si>
    <t>lynettethomas1960@outlook.com</t>
  </si>
  <si>
    <t>287 Hanlon Parade Portland VIC 3305</t>
  </si>
  <si>
    <t>Wes Heckenberg</t>
  </si>
  <si>
    <t>wesheck@bigpond.com</t>
  </si>
  <si>
    <t>542 Back Creek Road Yackandandah VIC 3749</t>
  </si>
  <si>
    <t>08/10/2025</t>
  </si>
  <si>
    <t>Elli Skuse</t>
  </si>
  <si>
    <t>cobbearie@bigpond.com</t>
  </si>
  <si>
    <t>Runnymede Queensland</t>
  </si>
  <si>
    <t>8 Runnymede Estate Road Runnymede QLD 4615</t>
  </si>
  <si>
    <t>Kerry George</t>
  </si>
  <si>
    <t>kerry.george@ymail.com</t>
  </si>
  <si>
    <t>Lavender Bay</t>
  </si>
  <si>
    <t>10/21 Waiwera Street Lavender Bay NSW 2060</t>
  </si>
  <si>
    <t>Anne-Sophie Sgarbossa</t>
  </si>
  <si>
    <t>ssgarbossa04@gmail.com</t>
  </si>
  <si>
    <t>18 Wattle Street Cannon Hill QLD 4170</t>
  </si>
  <si>
    <t>09/10/2025</t>
  </si>
  <si>
    <t>Craig Durnsford</t>
  </si>
  <si>
    <t>craig.durnsford@outlook.com</t>
  </si>
  <si>
    <t>Bowen</t>
  </si>
  <si>
    <t>7 Siesta Court Bowen QLD 4805</t>
  </si>
  <si>
    <t>Rob Hayden</t>
  </si>
  <si>
    <t>rhayden@bluegumbs.com.au</t>
  </si>
  <si>
    <t>13 Waterman Drive Wantirna VIC 3152</t>
  </si>
  <si>
    <t>Tracey Walker</t>
  </si>
  <si>
    <t>traceyw778@gmail.com</t>
  </si>
  <si>
    <t>116 Waverley Street Bucasia QLD 4750</t>
  </si>
  <si>
    <t>Peter Roberts</t>
  </si>
  <si>
    <t>probe2202@gmail.com</t>
  </si>
  <si>
    <t>28/69 Shailer Road Shailer Park QLD 4128</t>
  </si>
  <si>
    <t>Patsy Tanner</t>
  </si>
  <si>
    <t>rptanner31@gmail.com</t>
  </si>
  <si>
    <t>Townsville</t>
  </si>
  <si>
    <t>25 Empress Close Cungulla QLD 4816</t>
  </si>
  <si>
    <t>Pat Nichols</t>
  </si>
  <si>
    <t>comet_52@yahoo.com</t>
  </si>
  <si>
    <t>Forest Lodge</t>
  </si>
  <si>
    <t>4 David Street Forest Lodge NSW 2037</t>
  </si>
  <si>
    <t>Tracey Edwardes</t>
  </si>
  <si>
    <t>traceyledwardes@gmail.com</t>
  </si>
  <si>
    <t>Evjl Tom</t>
  </si>
  <si>
    <t>eviltom@outlook.com.au</t>
  </si>
  <si>
    <t>6B Balney Street Balga WA 6061</t>
  </si>
  <si>
    <t>CG</t>
  </si>
  <si>
    <t>courtneysexton@gmail.com</t>
  </si>
  <si>
    <t>Athena</t>
  </si>
  <si>
    <t>athena.maratheftis@gmail.com</t>
  </si>
  <si>
    <t>surry hills</t>
  </si>
  <si>
    <t>13/587-589 Riley Street Surry Hills NSW 2010</t>
  </si>
  <si>
    <t>Sandra McQuarrie Shelley</t>
  </si>
  <si>
    <t>sanna.frugo@hotmail.com</t>
  </si>
  <si>
    <t>Mark Stapleton</t>
  </si>
  <si>
    <t>markz1.stapleton@gmail.com</t>
  </si>
  <si>
    <t>4521 Dayboro Qld</t>
  </si>
  <si>
    <t>58 Edmonds Court Dayboro QLD 4521</t>
  </si>
  <si>
    <t>Peter Martin</t>
  </si>
  <si>
    <t>peter248066@gmail.com</t>
  </si>
  <si>
    <t>Ballina</t>
  </si>
  <si>
    <t>Judi Rushbrook</t>
  </si>
  <si>
    <t>judi@rushbrookfamily.com</t>
  </si>
  <si>
    <t>214 Esplanade Pialba QLD 4655</t>
  </si>
  <si>
    <t>Rod Squires</t>
  </si>
  <si>
    <t>rod.squires@yahoo.com.au</t>
  </si>
  <si>
    <t>Summertown</t>
  </si>
  <si>
    <t>17 Woods Hill Road Summertown SA 5141</t>
  </si>
  <si>
    <t>Greg Williams</t>
  </si>
  <si>
    <t>greg.williams15558@gmail.com</t>
  </si>
  <si>
    <t>maleny</t>
  </si>
  <si>
    <t>51 Macadamia Drive Maleny QLD 4552</t>
  </si>
  <si>
    <t>Richard Haren</t>
  </si>
  <si>
    <t>rands.haren@bigpond.com</t>
  </si>
  <si>
    <t>Gympie</t>
  </si>
  <si>
    <t>141 Harch Road Lower Wonga QLD 4570</t>
  </si>
  <si>
    <t>enza musolino</t>
  </si>
  <si>
    <t>enzmus@hotmail.com</t>
  </si>
  <si>
    <t>Wattle park</t>
  </si>
  <si>
    <t>3 Gordo Avenue WATTLE PARK SA 5066</t>
  </si>
  <si>
    <t>Lara Pintara</t>
  </si>
  <si>
    <t>laranesbitt89@gmail.com</t>
  </si>
  <si>
    <t>Ant Lowe</t>
  </si>
  <si>
    <t>apl0055@gmail.com</t>
  </si>
  <si>
    <t>13 Second Avenue Cockatoo VIC 3781</t>
  </si>
  <si>
    <t>Tony Walker</t>
  </si>
  <si>
    <t>bourndabeehoney@gmail.com</t>
  </si>
  <si>
    <t>wallagoot</t>
  </si>
  <si>
    <t>Gerard Roborg-Sondergaard</t>
  </si>
  <si>
    <t>gerardrs@aapt.net.au</t>
  </si>
  <si>
    <t>Eights Mountain</t>
  </si>
  <si>
    <t>33 Richards Road Wights Mountain QLD 4520</t>
  </si>
  <si>
    <t>Judy Hartnett</t>
  </si>
  <si>
    <t>judyhartnett@bigpond.com</t>
  </si>
  <si>
    <t>Closeburn</t>
  </si>
  <si>
    <t>19 Seraya Court CLOSEBURN QLD 4520</t>
  </si>
  <si>
    <t>Alex Marre</t>
  </si>
  <si>
    <t>nmarre@hotmail.com</t>
  </si>
  <si>
    <t>Menai</t>
  </si>
  <si>
    <t>34 Barnes Crescent Menai NSW 2234</t>
  </si>
  <si>
    <t>Susan Forman</t>
  </si>
  <si>
    <t>sueforman11@gmail.com</t>
  </si>
  <si>
    <t>Salisbury Heights  SA</t>
  </si>
  <si>
    <t>7 Arunta Drive Salisbury Heights SA 5109</t>
  </si>
  <si>
    <t>Trev Dickeson</t>
  </si>
  <si>
    <t>ruffyshed6@gmail.com</t>
  </si>
  <si>
    <t>11 Parkers Road Gawler Belt SA 5118</t>
  </si>
  <si>
    <t>Hans Munsel</t>
  </si>
  <si>
    <t>hans.munsel@gmail.com</t>
  </si>
  <si>
    <t>Kooralbyn</t>
  </si>
  <si>
    <t>9-21 Clarke Place Kooralbyn QLD 4285</t>
  </si>
  <si>
    <t>Irene Ajewole</t>
  </si>
  <si>
    <t>ourlove37@gmail.com</t>
  </si>
  <si>
    <t>Queenstown Tasmania</t>
  </si>
  <si>
    <t>4A Powell Street Queenstown TAS 7467</t>
  </si>
  <si>
    <t>Shane Bleasdale</t>
  </si>
  <si>
    <t>shane.bleasdale05@gmail.com</t>
  </si>
  <si>
    <t>34 Gateway Drive Salisbury Heights SA 5109</t>
  </si>
  <si>
    <t>Suzie</t>
  </si>
  <si>
    <t>bmr.nova@gmail.com</t>
  </si>
  <si>
    <t>vivonne bay</t>
  </si>
  <si>
    <t>338B Jetty Road VIVONNE BAY SA 5223</t>
  </si>
  <si>
    <t>Lisa Ivanovska</t>
  </si>
  <si>
    <t>lisaandzoran@gmail.com</t>
  </si>
  <si>
    <t>hurstville</t>
  </si>
  <si>
    <t>244 Carrington Avenue Hurstville NSW 2220</t>
  </si>
  <si>
    <t>Bart Edwards</t>
  </si>
  <si>
    <t>bartandwilma@hotmail.com</t>
  </si>
  <si>
    <t>East Augusta</t>
  </si>
  <si>
    <t>11 Davies Street East Augusta WA 6290</t>
  </si>
  <si>
    <t>Richard Michael</t>
  </si>
  <si>
    <t>flemingrm69@bigpond.com</t>
  </si>
  <si>
    <t>Rod Smith</t>
  </si>
  <si>
    <t>unsubscribed</t>
  </si>
  <si>
    <t>Richard</t>
  </si>
  <si>
    <t>ricardo8184@outlook.com.au</t>
  </si>
  <si>
    <t>Kenthurst</t>
  </si>
  <si>
    <t>Leanne Petersen</t>
  </si>
  <si>
    <t>leanne_mse@hotmail.com</t>
  </si>
  <si>
    <t>Geoff Leerdam</t>
  </si>
  <si>
    <t>geoffkleerdam@gmail.com</t>
  </si>
  <si>
    <t>Erskineville</t>
  </si>
  <si>
    <t>8A Devine Street Erskineville NSW 2043</t>
  </si>
  <si>
    <t>Tony Kinlay</t>
  </si>
  <si>
    <t>tony.kinlay@bigpond.com</t>
  </si>
  <si>
    <t>Goode Beach</t>
  </si>
  <si>
    <t>10 La Perouse Road Goode Beach WA 6330</t>
  </si>
  <si>
    <t>Bibi Liati</t>
  </si>
  <si>
    <t>bibiranch@bigpond.com</t>
  </si>
  <si>
    <t>Frog rock nsw</t>
  </si>
  <si>
    <t>Diane Morrison</t>
  </si>
  <si>
    <t>di3052@gmail.com</t>
  </si>
  <si>
    <t>98 Hammond Drive Clothiers Creek NSW 2484</t>
  </si>
  <si>
    <t>Kym Burchall</t>
  </si>
  <si>
    <t>kymburchall@hotmail.com</t>
  </si>
  <si>
    <t>Ringwood East, Vic</t>
  </si>
  <si>
    <t>2/2 Victoria Street Ringwood East VIC 3135</t>
  </si>
  <si>
    <t>Melinda Lawrence</t>
  </si>
  <si>
    <t>Melinda@uchiko.com.au</t>
  </si>
  <si>
    <t>Gundary</t>
  </si>
  <si>
    <t>296 Mountain Ash Road Gundary NSW 2580</t>
  </si>
  <si>
    <t>Wendy Ettridge</t>
  </si>
  <si>
    <t>w.ettridge@bigpond.com</t>
  </si>
  <si>
    <t>10 Shirley Crescent West Beach SA 5024</t>
  </si>
  <si>
    <t>Griff Griffiths</t>
  </si>
  <si>
    <t>aussiebackyards@hotmail.com</t>
  </si>
  <si>
    <t>Kalgoorlie</t>
  </si>
  <si>
    <t>24 Forrest Street Kalgoorlie WA 6430</t>
  </si>
  <si>
    <t>Robbie Mynott</t>
  </si>
  <si>
    <t>robbiemynott@hotmail.com</t>
  </si>
  <si>
    <t>St Kilda</t>
  </si>
  <si>
    <t>1/67 Wellington Street St Kilda VIC 3182</t>
  </si>
  <si>
    <t>Tricia Walton</t>
  </si>
  <si>
    <t>huk_ho@yahoo.com.au</t>
  </si>
  <si>
    <t>11 President Terrace Macleay Island QLD 4184</t>
  </si>
  <si>
    <t>Paul French</t>
  </si>
  <si>
    <t>paulandree717@gmail.com</t>
  </si>
  <si>
    <t>3 Cribb Street Landsborough QLD 4550</t>
  </si>
  <si>
    <t>Ignace Bellerose</t>
  </si>
  <si>
    <t>belleroseignace@gmail.com</t>
  </si>
  <si>
    <t>13-15 Hill Street Russell Island QLD 4184</t>
  </si>
  <si>
    <t>Bev Moro</t>
  </si>
  <si>
    <t>bevmoro@hotmail.com</t>
  </si>
  <si>
    <t>18 Carrington Avenue Gympie QLD 4570</t>
  </si>
  <si>
    <t>Deangel demoore</t>
  </si>
  <si>
    <t>megandeval@ymail.com</t>
  </si>
  <si>
    <t>Wellington nsw</t>
  </si>
  <si>
    <t>Robert</t>
  </si>
  <si>
    <t>usernamed4v5@gmail.com</t>
  </si>
  <si>
    <t>ORMEAU</t>
  </si>
  <si>
    <t>Liz Skewes</t>
  </si>
  <si>
    <t>lizinrodanandfields@gmail.com</t>
  </si>
  <si>
    <t>8 Windemere Avenue Morningside QLD 4170</t>
  </si>
  <si>
    <t>Carole Bryant</t>
  </si>
  <si>
    <t>Carole@berigorafarm.com.au</t>
  </si>
  <si>
    <t>Grafton</t>
  </si>
  <si>
    <t>1480 Gwydir Highway Ramornie NSW 2460</t>
  </si>
  <si>
    <t>Bernie Carroll</t>
  </si>
  <si>
    <t>bcarrol@bigpond.net.au</t>
  </si>
  <si>
    <t>Robert Girardo</t>
  </si>
  <si>
    <t>rgirardo@gmail.com</t>
  </si>
  <si>
    <t>Manor lakes</t>
  </si>
  <si>
    <t>Chris Dietzel</t>
  </si>
  <si>
    <t>CDIETZEL82@GMAIL.COM</t>
  </si>
  <si>
    <t>Ngunnawal</t>
  </si>
  <si>
    <t>Leena Short</t>
  </si>
  <si>
    <t>leena1405@hotmail.com</t>
  </si>
  <si>
    <t>Kallista</t>
  </si>
  <si>
    <t>6 St James Avenue Kallista VIC 3791</t>
  </si>
  <si>
    <t>Jackie Brunton</t>
  </si>
  <si>
    <t>jmbrunton@bigpond.com</t>
  </si>
  <si>
    <t>Russell island</t>
  </si>
  <si>
    <t>110 Minjerriba Road Russell Island QLD 4184</t>
  </si>
  <si>
    <t>Shelley Parkinson</t>
  </si>
  <si>
    <t>goldsgp@hotmail.com</t>
  </si>
  <si>
    <t>derby</t>
  </si>
  <si>
    <t>132 Knowsley Street East Derby WA 6728</t>
  </si>
  <si>
    <t>Beth Geoghegan</t>
  </si>
  <si>
    <t>thebley3@gmail.com</t>
  </si>
  <si>
    <t>launceston</t>
  </si>
  <si>
    <t>1 Clementina Street Newstead TAS 7250</t>
  </si>
  <si>
    <t>Greg Spooner</t>
  </si>
  <si>
    <t>spoonerman@hotmail.com</t>
  </si>
  <si>
    <t>Paul Eltze</t>
  </si>
  <si>
    <t>Peltze@vtown.com.au</t>
  </si>
  <si>
    <t>Brunswick</t>
  </si>
  <si>
    <t>83 Grantham Street Brunswick West VIC 3055</t>
  </si>
  <si>
    <t>Judy Rafferty</t>
  </si>
  <si>
    <t>Sheep55@bigpond.com</t>
  </si>
  <si>
    <t>Long Beach 2536</t>
  </si>
  <si>
    <t>1/5 Karana Close Long Beach NSW 2536</t>
  </si>
  <si>
    <t>Joanne Horinek</t>
  </si>
  <si>
    <t>jhorinek@optusnet.com.au</t>
  </si>
  <si>
    <t>Panania</t>
  </si>
  <si>
    <t>3 Melham Avenue Panania NSW 2213</t>
  </si>
  <si>
    <t>Brad White</t>
  </si>
  <si>
    <t>Bwhite2484@gmail.com</t>
  </si>
  <si>
    <t>Ann Smith</t>
  </si>
  <si>
    <t>annmckibbinsmith@gmail.com</t>
  </si>
  <si>
    <t>como</t>
  </si>
  <si>
    <t>3 Woronora Crescent Como NSW 2226</t>
  </si>
  <si>
    <t>Rob</t>
  </si>
  <si>
    <t>robj.bugeja@gmail.com</t>
  </si>
  <si>
    <t>Gail Kabay</t>
  </si>
  <si>
    <t>g.kabay@optusnet.com.au</t>
  </si>
  <si>
    <t>Shoalwater</t>
  </si>
  <si>
    <t>20A Shoalwater Road Shoalwater WA 6169</t>
  </si>
  <si>
    <t>Sonia Rutter</t>
  </si>
  <si>
    <t>soniamakoare@gmail.com</t>
  </si>
  <si>
    <t>Greenwood</t>
  </si>
  <si>
    <t>55 Sherington Road GREENWOOD WA 6024</t>
  </si>
  <si>
    <t>Rachelle Watson</t>
  </si>
  <si>
    <t>rwat_510@live.com.au</t>
  </si>
  <si>
    <t>Tammy Lightfoot</t>
  </si>
  <si>
    <t>tltoddles@gmail.com</t>
  </si>
  <si>
    <t>gladesville</t>
  </si>
  <si>
    <t>Sarah</t>
  </si>
  <si>
    <t>sarah_kunst@hotmail.com</t>
  </si>
  <si>
    <t>Mary Kuiters</t>
  </si>
  <si>
    <t>Maryellenkuiters@gmail.com</t>
  </si>
  <si>
    <t>7 Booyong Road Clunes NSW 2480</t>
  </si>
  <si>
    <t>Katie Ferguson</t>
  </si>
  <si>
    <t>homescape.beenleigh@bigpond.com</t>
  </si>
  <si>
    <t>Waterford West</t>
  </si>
  <si>
    <t>43 Louise Street Waterford West QLD 4133</t>
  </si>
  <si>
    <t>Leanne Pascoe</t>
  </si>
  <si>
    <t>leanne_pascoe23@hotmail.com</t>
  </si>
  <si>
    <t>West Brunswick</t>
  </si>
  <si>
    <t>12 Dalgety Street Brunswick West VIC 3055</t>
  </si>
  <si>
    <t>Greg McInerney</t>
  </si>
  <si>
    <t>greg.mcinerney@internode.on.net</t>
  </si>
  <si>
    <t>West Launceston</t>
  </si>
  <si>
    <t>269 Colburn Avenue Victoria Point QLD 4165</t>
  </si>
  <si>
    <t>Jason Thomas</t>
  </si>
  <si>
    <t>jason@tm.com.au</t>
  </si>
  <si>
    <t>Catherine Shanks</t>
  </si>
  <si>
    <t>Shan5cat@iinet.net.au</t>
  </si>
  <si>
    <t>East Ryde</t>
  </si>
  <si>
    <t>276 Pittwater Road East Ryde NSW 2113</t>
  </si>
  <si>
    <t>Angela Hodges</t>
  </si>
  <si>
    <t>mhodges4@bigpond.com</t>
  </si>
  <si>
    <t>619 Upper Orara Road Upper Orara NSW 2450</t>
  </si>
  <si>
    <t>Lisa Waller</t>
  </si>
  <si>
    <t>Lisa.waller@health.nsw.gov.au</t>
  </si>
  <si>
    <t>Point Clare</t>
  </si>
  <si>
    <t>22 Manooka Road Point Clare NSW 2250</t>
  </si>
  <si>
    <t>David Horne</t>
  </si>
  <si>
    <t>dehorne1958@duck.com</t>
  </si>
  <si>
    <t>1 Rasheda Street Watsonia VIC 3087</t>
  </si>
  <si>
    <t>Brad Pearce</t>
  </si>
  <si>
    <t>brad@bpdental.com.au</t>
  </si>
  <si>
    <t>Elizabeth bay</t>
  </si>
  <si>
    <t>103/28 Macleay Street Elizabeth Bay NSW 2011 &amp; 52 &amp; 57 &amp; 79/106 Elizabeth Bay Road Elizabeth Bay NSW 2011</t>
  </si>
  <si>
    <t>Karen Walshaw</t>
  </si>
  <si>
    <t>puddie_0109@hotmail.com.au</t>
  </si>
  <si>
    <t>43 Cureton Avenue East Mildura VIC 3500</t>
  </si>
  <si>
    <t>Jennifer Wilde</t>
  </si>
  <si>
    <t>afloralsignature@gmail.com</t>
  </si>
  <si>
    <t>160 Main Road Toukley NSW 2263</t>
  </si>
  <si>
    <t>Nadia Zanco</t>
  </si>
  <si>
    <t>Nadia@animaclinica.com.au</t>
  </si>
  <si>
    <t>5 Hamilton Street Eglinton NSW 2795</t>
  </si>
  <si>
    <t>Andrew Wilson</t>
  </si>
  <si>
    <t>and46y@yahoo.com.au</t>
  </si>
  <si>
    <t>Newnes junction</t>
  </si>
  <si>
    <t>LOT 27 Chifley Road Dargan NSW 2786</t>
  </si>
  <si>
    <t>Abhishek Sharma</t>
  </si>
  <si>
    <t>Sharmaany1096@gmail.com</t>
  </si>
  <si>
    <t>Rosie Fae Remana</t>
  </si>
  <si>
    <t>rosiefae9@gmail.com</t>
  </si>
  <si>
    <t>Wentworth Point NSW</t>
  </si>
  <si>
    <t>Maggie Chase</t>
  </si>
  <si>
    <t>maggie@bufo.com.au</t>
  </si>
  <si>
    <t>Nicholls</t>
  </si>
  <si>
    <t>19 Oldershaw Court NICHOLLS ACT 2913</t>
  </si>
  <si>
    <t>Nadja</t>
  </si>
  <si>
    <t>npilk001@gmail.com</t>
  </si>
  <si>
    <t>Brendale</t>
  </si>
  <si>
    <t>Karina Rieniets</t>
  </si>
  <si>
    <t>karinarieniets@gmail.com</t>
  </si>
  <si>
    <t>Warrenheip</t>
  </si>
  <si>
    <t>Lynne Nicholson</t>
  </si>
  <si>
    <t>lynnescrystals@hotmail.com</t>
  </si>
  <si>
    <t>Redwood Park</t>
  </si>
  <si>
    <t>39 Somerset Avenue Redwood Park SA 5097</t>
  </si>
  <si>
    <t>Kevin Ross</t>
  </si>
  <si>
    <t>ksmjross@gmail.com</t>
  </si>
  <si>
    <t>Atherton</t>
  </si>
  <si>
    <t>14 Newell Street Atherton QLD 4883</t>
  </si>
  <si>
    <t>Sean Joseph Middleton</t>
  </si>
  <si>
    <t>daseti@outlook.com</t>
  </si>
  <si>
    <t>Thornbury 3071</t>
  </si>
  <si>
    <t>68 Woolton Avenue Thornbury VIC 3071</t>
  </si>
  <si>
    <t>Sharron O'Donoghue</t>
  </si>
  <si>
    <t>sharronodonoghue@gmail.com</t>
  </si>
  <si>
    <t>1 Holding Street BEAUMARIS VIC 3193</t>
  </si>
  <si>
    <t>Steven Thomas</t>
  </si>
  <si>
    <t>echog4@optusnet.com.au</t>
  </si>
  <si>
    <t>Highett 3190</t>
  </si>
  <si>
    <t>Highett Road HIGHETT VIC 3190</t>
  </si>
  <si>
    <t>Joanne Prochilo</t>
  </si>
  <si>
    <t>jproc68@gmail.com</t>
  </si>
  <si>
    <t>Blackburn North</t>
  </si>
  <si>
    <t>4 Finn Mews Blackburn North VIC 3130</t>
  </si>
  <si>
    <t>Gail Stewart</t>
  </si>
  <si>
    <t>gandsstewart@optusnet.com.au</t>
  </si>
  <si>
    <t>ocean grove</t>
  </si>
  <si>
    <t>Jennie Mitchell</t>
  </si>
  <si>
    <t>jennie.mitchell@yahoo.com.au</t>
  </si>
  <si>
    <t>Peter</t>
  </si>
  <si>
    <t>Ptiralongo74@gmail.com</t>
  </si>
  <si>
    <t>03/11/2025</t>
  </si>
  <si>
    <t>Phil Eric</t>
  </si>
  <si>
    <t>phil.clay@live.com</t>
  </si>
  <si>
    <t>Phillip Sinnamon</t>
  </si>
  <si>
    <t>phillip.sinnamon@gmail.com</t>
  </si>
  <si>
    <t>Sarina</t>
  </si>
  <si>
    <t>285 Armstrong Beach Road Armstrong Beach QLD 4737</t>
  </si>
  <si>
    <t>Lisa Waters</t>
  </si>
  <si>
    <t>kangagirl2014@gmail.com</t>
  </si>
  <si>
    <t>2 Inverary Court Southside QLD 4570</t>
  </si>
  <si>
    <t>Peter Francis Nunan</t>
  </si>
  <si>
    <t>peternunan@hotmail.com</t>
  </si>
  <si>
    <t>hepburn springs</t>
  </si>
  <si>
    <t>9 Golf Links Road Hepburn VIC 3461</t>
  </si>
  <si>
    <t>Narelle Prime</t>
  </si>
  <si>
    <t>narelleprime@bigpond.com</t>
  </si>
  <si>
    <t>branyan</t>
  </si>
  <si>
    <t>31 Evergreen Drive Branyan QLD 4670</t>
  </si>
  <si>
    <t>Leo Foley</t>
  </si>
  <si>
    <t>foleo55@gmail.com</t>
  </si>
  <si>
    <t>8 Rosina Court Mount Stuart TAS 7000</t>
  </si>
  <si>
    <t>Leonie Bremer-Kamp</t>
  </si>
  <si>
    <t>lone_ashore@yahoo.com.au</t>
  </si>
  <si>
    <t>Peranga</t>
  </si>
  <si>
    <t>05/11/2025</t>
  </si>
  <si>
    <t>Ian Bennett</t>
  </si>
  <si>
    <t>Cdesign@iinet.net.au</t>
  </si>
  <si>
    <t>Airlie Beach</t>
  </si>
  <si>
    <t>Christine Crowe</t>
  </si>
  <si>
    <t>chrismas3@bigpond.com</t>
  </si>
  <si>
    <t>Karen Sharp</t>
  </si>
  <si>
    <t>karensharpy@gmail.com</t>
  </si>
  <si>
    <t>Geoff Burdette</t>
  </si>
  <si>
    <t>geoff.burdette@hotmail.com</t>
  </si>
  <si>
    <t>Korumburra</t>
  </si>
  <si>
    <t>Dennis O'Brien</t>
  </si>
  <si>
    <t>bolcaro10@gmail.com</t>
  </si>
  <si>
    <t>124 Benson Road Araluen QLD 4570</t>
  </si>
  <si>
    <t>Sophia Szostakowska</t>
  </si>
  <si>
    <t>yogawithsophia@gmail.com</t>
  </si>
  <si>
    <t>altona vic</t>
  </si>
  <si>
    <t>40 Galvin Street Altona VIC 3018</t>
  </si>
  <si>
    <t>Les Thomson</t>
  </si>
  <si>
    <t>thomcarp@gmail.com</t>
  </si>
  <si>
    <t>jubilee Pocket</t>
  </si>
  <si>
    <t>18 Sandpiper Crescent Jubilee Pocket QLD 4802</t>
  </si>
  <si>
    <t>Hany Amer</t>
  </si>
  <si>
    <t>chitownaussie@hotmail.com</t>
  </si>
  <si>
    <t>..</t>
  </si>
  <si>
    <t>Brett Piraner</t>
  </si>
  <si>
    <t>piraner.qld@optusnet.com.au</t>
  </si>
  <si>
    <t>Bunjurgen</t>
  </si>
  <si>
    <t>502 Mount Alford Road Bunjurgen QLD 4310</t>
  </si>
  <si>
    <t>Cecilia Rc</t>
  </si>
  <si>
    <t>crogers@justinternet.com.au</t>
  </si>
  <si>
    <t>Ferntree gully</t>
  </si>
  <si>
    <t>07/11/2025</t>
  </si>
  <si>
    <t>Mary Grace Batterham</t>
  </si>
  <si>
    <t>marybatterham@gmail.com</t>
  </si>
  <si>
    <t>Jacinta Goodacre</t>
  </si>
  <si>
    <t>Jacintaeg67@gmail.com</t>
  </si>
  <si>
    <t>lugarno</t>
  </si>
  <si>
    <t>15 Cliff Avenue Peakhurst Heights NSW 2210</t>
  </si>
  <si>
    <t>Vicky Tulle</t>
  </si>
  <si>
    <t>vickytulle1@gmail.com</t>
  </si>
  <si>
    <t>coraki</t>
  </si>
  <si>
    <t>53 Donaldson Street Coraki NSW 2471</t>
  </si>
  <si>
    <t>09/11/2025</t>
  </si>
  <si>
    <t>Philip Woods</t>
  </si>
  <si>
    <t>philthedragonslayer@gmail.com</t>
  </si>
  <si>
    <t>Youngtown</t>
  </si>
  <si>
    <t>30 Woolven Street Youngtown TAS 7249</t>
  </si>
  <si>
    <t>Cecily Dunn</t>
  </si>
  <si>
    <t>cecilydunn@bigpond.com</t>
  </si>
  <si>
    <t>Strathalbyn</t>
  </si>
  <si>
    <t>6 Helen Court Strathalbyn SA 5255</t>
  </si>
  <si>
    <t>cam dean</t>
  </si>
  <si>
    <t>csbjdean@gmail.com</t>
  </si>
  <si>
    <t>Kangaroo Flat</t>
  </si>
  <si>
    <t>8 Gledhill Rise Kangaroo Flat VIC 3555</t>
  </si>
  <si>
    <t>William Myers</t>
  </si>
  <si>
    <t>manager_material@hotmail.com</t>
  </si>
  <si>
    <t>Cordalba</t>
  </si>
  <si>
    <t>14 Leonard Court Cordalba QLD 4660</t>
  </si>
  <si>
    <t>Vesna Marcetic</t>
  </si>
  <si>
    <t>vesnamarc50@gmail.com</t>
  </si>
  <si>
    <t>Kings park</t>
  </si>
  <si>
    <t>2 Cromwell Road Kings Park VIC 3021</t>
  </si>
  <si>
    <t>Jim Lyle</t>
  </si>
  <si>
    <t>jlyledesk@gmail.com</t>
  </si>
  <si>
    <t>ararat victoria</t>
  </si>
  <si>
    <t>11 Webb Street Ararat VIC 3377</t>
  </si>
  <si>
    <t>Wendy Fellows</t>
  </si>
  <si>
    <t>wpfellows@gmail.com</t>
  </si>
  <si>
    <t>Prospect Vale Tasmania</t>
  </si>
  <si>
    <t>11 Heald Road Travellers Rest TAS 7250</t>
  </si>
  <si>
    <t>10/11/2025</t>
  </si>
  <si>
    <t>Mary-Jane Dunstone</t>
  </si>
  <si>
    <t>studio4beauty@hotmail.com</t>
  </si>
  <si>
    <t>4 Bordin Street Prospect Vale TAS 7250</t>
  </si>
  <si>
    <t>Shivam Sood</t>
  </si>
  <si>
    <t>sharpsood@gmail.com</t>
  </si>
  <si>
    <t>tarneit</t>
  </si>
  <si>
    <t>125 Harmony Drive Tarneit VIC 3029</t>
  </si>
  <si>
    <t>Karen Johnstone</t>
  </si>
  <si>
    <t>karen0706@iinet.net.au</t>
  </si>
  <si>
    <t>23B Zenobia Street Palmyra WA 6157</t>
  </si>
  <si>
    <t>12/11/2025</t>
  </si>
  <si>
    <t>Ally Ken</t>
  </si>
  <si>
    <t>allyken85@gmail.com</t>
  </si>
  <si>
    <t>Denman</t>
  </si>
  <si>
    <t>4 Martindale Street Denman NSW 2328</t>
  </si>
  <si>
    <t>Georgina Pohl</t>
  </si>
  <si>
    <t>coolbellup</t>
  </si>
  <si>
    <t>37 Hartley Street Coolbellup WA 6163</t>
  </si>
  <si>
    <t>Paul Broussard</t>
  </si>
  <si>
    <t>pbroussard@y7mail.com</t>
  </si>
  <si>
    <t>Wesburn</t>
  </si>
  <si>
    <t>41 Station Road Wesburn VIC 3799</t>
  </si>
  <si>
    <t>Dee Pal</t>
  </si>
  <si>
    <t>Dpalmer2you@gmail.com</t>
  </si>
  <si>
    <t>Caringbah south</t>
  </si>
  <si>
    <t>9 Gillham Avenue Caringbah South NSW 2229</t>
  </si>
  <si>
    <t>Rosemary Tate im overseas email info</t>
  </si>
  <si>
    <t>rosemarytate1949@gmail.com</t>
  </si>
  <si>
    <t>8 Waranga Basin Road Waranga Shores VIC 3612</t>
  </si>
  <si>
    <t>Blodwyn Whetstone</t>
  </si>
  <si>
    <t>christine@avonblue.com</t>
  </si>
  <si>
    <t>mt riverview</t>
  </si>
  <si>
    <t>44 Dawn Crescent Mount Riverview NSW 2774</t>
  </si>
  <si>
    <t>Venetia Sieveking</t>
  </si>
  <si>
    <t>vhdegsieveking@gmail.com</t>
  </si>
  <si>
    <t>10 Keith Street Girards Hill NSW 2480</t>
  </si>
  <si>
    <t>Julie Smith</t>
  </si>
  <si>
    <t>03burlier-tourers@icloud.com</t>
  </si>
  <si>
    <t>Orange</t>
  </si>
  <si>
    <t>Anja Bondareff</t>
  </si>
  <si>
    <t>AnjaBondareff@gmail.com</t>
  </si>
  <si>
    <t>Knox</t>
  </si>
  <si>
    <t>4 Rothbury Court Wantirna VIC 3152</t>
  </si>
  <si>
    <t>Mike Bond</t>
  </si>
  <si>
    <t>bondmike2093@gmail.com</t>
  </si>
  <si>
    <t>Aspendale VIC</t>
  </si>
  <si>
    <t>1/18 Sixth Street Parkdale VIC 3195</t>
  </si>
  <si>
    <t>Lorraine De Silva</t>
  </si>
  <si>
    <t>desilva.l.g@bigpond.com</t>
  </si>
  <si>
    <t>jannali</t>
  </si>
  <si>
    <t>3/89-91 Jannali Avenue Jannali NSW 2226</t>
  </si>
  <si>
    <t>Robert Richardson</t>
  </si>
  <si>
    <t>richotribe@hotmail.com</t>
  </si>
  <si>
    <t>10 Kew Court Glenella QLD 4740</t>
  </si>
  <si>
    <t>Rosemary Dingli</t>
  </si>
  <si>
    <t>Tokyo.rose2024@gmail.com</t>
  </si>
  <si>
    <t>61 Meriton Street Gladesville NSW 2111</t>
  </si>
  <si>
    <t>Lee Kingston</t>
  </si>
  <si>
    <t>lee.kingston@hotmail.com</t>
  </si>
  <si>
    <t>Teven</t>
  </si>
  <si>
    <t>10 Jones Lane Teven NSW 2478</t>
  </si>
  <si>
    <t>Beck Semple</t>
  </si>
  <si>
    <t>rebecca.semple@cba.com.au</t>
  </si>
  <si>
    <t>Abbotsford</t>
  </si>
  <si>
    <t>16 Kokoda Street Abbotsford NSW 2046</t>
  </si>
  <si>
    <t>Maria Proietto</t>
  </si>
  <si>
    <t>mciacp@outlook.com</t>
  </si>
  <si>
    <t>Terry Lewis</t>
  </si>
  <si>
    <t>terry@netfx.com.au</t>
  </si>
  <si>
    <t>30 Pardoo Lane Coodanup WA 6210</t>
  </si>
  <si>
    <t>Liz Kong</t>
  </si>
  <si>
    <t>ethkong3@gmail.com</t>
  </si>
  <si>
    <t>Kooyong</t>
  </si>
  <si>
    <t>Mary Bentley</t>
  </si>
  <si>
    <t>dejavueg@bigpond.com</t>
  </si>
  <si>
    <t>Mittagong</t>
  </si>
  <si>
    <t>15 Thomas Street Mittagong NSW 2575</t>
  </si>
  <si>
    <t>Deb Read</t>
  </si>
  <si>
    <t>deb.read26@gmail.com</t>
  </si>
  <si>
    <t>Woodgate, Qld</t>
  </si>
  <si>
    <t>4 Kinkuna Drive Woodgate QLD 4660</t>
  </si>
  <si>
    <t>Grans BT</t>
  </si>
  <si>
    <t>ayp68@icloud.com</t>
  </si>
  <si>
    <t>Mildura</t>
  </si>
  <si>
    <t>Melissa Berry</t>
  </si>
  <si>
    <t>mnberry28@gmail.com</t>
  </si>
  <si>
    <t>Sally Dee</t>
  </si>
  <si>
    <t>sweetleaf_15@bigpond.com</t>
  </si>
  <si>
    <t>South Morang</t>
  </si>
  <si>
    <t>4A Rosella Walk South Morang VIC 3752</t>
  </si>
  <si>
    <t>Michael Bream</t>
  </si>
  <si>
    <t>mikebream@hotmail.com</t>
  </si>
  <si>
    <t>Rockingham</t>
  </si>
  <si>
    <t>Pete Skeen</t>
  </si>
  <si>
    <t>peteskeen417@yahoo.com.au</t>
  </si>
  <si>
    <t>Boronia Heights</t>
  </si>
  <si>
    <t>Clive Samuels</t>
  </si>
  <si>
    <t>jamnet55@hotmail.com</t>
  </si>
  <si>
    <t>Lower Chittering</t>
  </si>
  <si>
    <t>77 Dexter Chase Lower Chittering WA 6084</t>
  </si>
  <si>
    <t>Greg Segnit</t>
  </si>
  <si>
    <t>treechange1946@gmail.com</t>
  </si>
  <si>
    <t>Kilkivan 4600</t>
  </si>
  <si>
    <t>5 Angel Street Kilkivan QLD 4600</t>
  </si>
  <si>
    <t>Judy Fitzgerald</t>
  </si>
  <si>
    <t>judy38jc2539@gmail.com</t>
  </si>
  <si>
    <t>kings point</t>
  </si>
  <si>
    <t>38 James Crescent Kings Point NSW 2539</t>
  </si>
  <si>
    <t>Di Ahern</t>
  </si>
  <si>
    <t>dibakahe@outlook.com</t>
  </si>
  <si>
    <t>Lake Munmorah</t>
  </si>
  <si>
    <t>53 Terence Avenue Lake Munmorah NSW 2259</t>
  </si>
  <si>
    <t>Gail Donlan</t>
  </si>
  <si>
    <t>4321diamondgirl@gmail.com</t>
  </si>
  <si>
    <t>lower Inman Valley</t>
  </si>
  <si>
    <t>Sharonne Briggs</t>
  </si>
  <si>
    <t>sharonne.briggs@outlook.com</t>
  </si>
  <si>
    <t>Smiths creek nsw 2474</t>
  </si>
  <si>
    <t>Afterlee Road Smiths Creek NSW 2474</t>
  </si>
  <si>
    <t>emorrisby@bigpond.com</t>
  </si>
  <si>
    <t>South yarra</t>
  </si>
  <si>
    <t>408/99 River Street South Yarra VIC 3141</t>
  </si>
  <si>
    <t>Gary Purvis</t>
  </si>
  <si>
    <t>abby33@bigpond.com</t>
  </si>
  <si>
    <t>willowvale qld</t>
  </si>
  <si>
    <t>41 Bisley Street Warwick QLD 4370</t>
  </si>
  <si>
    <t>Brian Boon</t>
  </si>
  <si>
    <t>brianrboon@hotmail.com</t>
  </si>
  <si>
    <t>lauderdale</t>
  </si>
  <si>
    <t>28 Balook Street Lauderdale TAS 7021</t>
  </si>
  <si>
    <t>Belinda Hitchins</t>
  </si>
  <si>
    <t>bg.hitchins@gmail.com</t>
  </si>
  <si>
    <t>Alonnah</t>
  </si>
  <si>
    <t>Maria Elliott</t>
  </si>
  <si>
    <t>elliott.maria@gmail.com</t>
  </si>
  <si>
    <t>Sans souci</t>
  </si>
  <si>
    <t>Keith Warren</t>
  </si>
  <si>
    <t>kenward1949@yahoo.com.au</t>
  </si>
  <si>
    <t>Blackburn</t>
  </si>
  <si>
    <t>4 Heath Street Blackburn VIC 3130</t>
  </si>
  <si>
    <t>Steve Yaxley</t>
  </si>
  <si>
    <t>steveyaxley@gmail.com</t>
  </si>
  <si>
    <t>Ulverstone</t>
  </si>
  <si>
    <t>61 Leighlands Avenue Ulverstone TAS 7315</t>
  </si>
  <si>
    <t>Rod Maher</t>
  </si>
  <si>
    <t>rod@apexprofessionalservices.com.au</t>
  </si>
  <si>
    <t>Geelong</t>
  </si>
  <si>
    <t>4 Brownbill Street GEELONG VIC 3220</t>
  </si>
  <si>
    <t>bernice305.bl@gmail.com</t>
  </si>
  <si>
    <t>little bay</t>
  </si>
  <si>
    <t>101/33 Harvey Street Little Bay NSW 2036</t>
  </si>
  <si>
    <t>John F Abraham</t>
  </si>
  <si>
    <t>jaffa58@iinet.net.au</t>
  </si>
  <si>
    <t>Mirboo</t>
  </si>
  <si>
    <t>Jan Donohue</t>
  </si>
  <si>
    <t>jandonohue1@gmail.com</t>
  </si>
  <si>
    <t>2/2 McLauchlin Avenue Sandringham VIC 3191</t>
  </si>
  <si>
    <t>Debra Mack</t>
  </si>
  <si>
    <t>debra.rudov@bigpond.com</t>
  </si>
  <si>
    <t>9/1- 9/2 Laver Street Kew 3101</t>
  </si>
  <si>
    <t>Christine Labone</t>
  </si>
  <si>
    <t>c_labone6150@yahoo.com</t>
  </si>
  <si>
    <t>140 Charles Riley Road Trigg WA 6029</t>
  </si>
  <si>
    <t>Ross Dobell</t>
  </si>
  <si>
    <t>rdobell1@hotmail.com</t>
  </si>
  <si>
    <t>4 Savaris Court Donvale VIC 3111</t>
  </si>
  <si>
    <t>Mark Pozzer</t>
  </si>
  <si>
    <t>pozz10@bigpond.com.au</t>
  </si>
  <si>
    <t>bundoora</t>
  </si>
  <si>
    <t>26 Carolyn Crescent BUNDOORA VIC 3083</t>
  </si>
  <si>
    <t>Rielle Moises</t>
  </si>
  <si>
    <t>rielle.moises@gmail.com</t>
  </si>
  <si>
    <t>raglan nsw 2795</t>
  </si>
  <si>
    <t>25 Napoleon Street Raglan NSW 2795</t>
  </si>
  <si>
    <t>Mara Ronald</t>
  </si>
  <si>
    <t>mara.ronald@gmail.com</t>
  </si>
  <si>
    <t>wodonga</t>
  </si>
  <si>
    <t>5 Highland Crescent West Wodonga VIC 3690</t>
  </si>
  <si>
    <t>Lindsay Walpole</t>
  </si>
  <si>
    <t>ljw01041951@gmail.com</t>
  </si>
  <si>
    <t>Cobram Vic 3644</t>
  </si>
  <si>
    <t>Vanessa Middendorf</t>
  </si>
  <si>
    <t>vanessamiddendorf@me.com</t>
  </si>
  <si>
    <t>Wahroonga</t>
  </si>
  <si>
    <t>176 Eastern Road Wahroonga NSW 2076</t>
  </si>
  <si>
    <t>Liana Strangis</t>
  </si>
  <si>
    <t>lili927142@hotmail.com</t>
  </si>
  <si>
    <t>41 Wilson Boulevard Reservoir VIC 3073</t>
  </si>
  <si>
    <t>Renata Gal</t>
  </si>
  <si>
    <t>Renhome2019@gmail.com</t>
  </si>
  <si>
    <t>owns this 9/40 Dobson Crescent Baulkham Hills NSW 2153</t>
  </si>
  <si>
    <t>Chris Fogarty</t>
  </si>
  <si>
    <t>Cjfogarty72@gmail.com</t>
  </si>
  <si>
    <t>3 Seymour Grove BRIGHTON VIC 3186</t>
  </si>
  <si>
    <t>Ian Rodgers</t>
  </si>
  <si>
    <t>ian.rodgers53@icloud.com</t>
  </si>
  <si>
    <t>Altona Meadows</t>
  </si>
  <si>
    <t>11 Ovington Place Altona Meadows VIC 3028</t>
  </si>
  <si>
    <t>Di Longworth</t>
  </si>
  <si>
    <t>dlworth1@bigpond.com</t>
  </si>
  <si>
    <t>Singleton</t>
  </si>
  <si>
    <t>4/1 Cambridge Street Singleton NSW 2330</t>
  </si>
  <si>
    <t>Daryl Venables</t>
  </si>
  <si>
    <t>venablesdt@gmail.com</t>
  </si>
  <si>
    <t>Blackwater</t>
  </si>
  <si>
    <t>6 Wattle Street Blackwater QLD 4717</t>
  </si>
  <si>
    <t>Denyse Mary</t>
  </si>
  <si>
    <t>denysegibbs@bigpond.com</t>
  </si>
  <si>
    <t>93/25 Best Street Lane Cove NSW 2066</t>
  </si>
  <si>
    <t>Paul Gurman</t>
  </si>
  <si>
    <t>gurmo@westnet.com.au</t>
  </si>
  <si>
    <t>15 Leopold Turn Ellenbrook WA 6069</t>
  </si>
  <si>
    <t>Harold Grant Hollings</t>
  </si>
  <si>
    <t>hghonkey@gmail.com</t>
  </si>
  <si>
    <t>634 Hay Point Road Alligator Creek QLD 4740</t>
  </si>
  <si>
    <t>Charmaine Turner</t>
  </si>
  <si>
    <t>charmaineturner16@gmail.com</t>
  </si>
  <si>
    <t>Shoal Bay nsw</t>
  </si>
  <si>
    <t>81 Government Road Shoal Bay NSW 2315</t>
  </si>
  <si>
    <t>Michael Buechel</t>
  </si>
  <si>
    <t>mbuechel@live.com.au</t>
  </si>
  <si>
    <t>Umina Beach</t>
  </si>
  <si>
    <t>13 Kingsview Drive Umina Beach NSW 2257</t>
  </si>
  <si>
    <t>Nick Mutton</t>
  </si>
  <si>
    <t>nickmutton@hotmail.com</t>
  </si>
  <si>
    <t>Box hill</t>
  </si>
  <si>
    <t>5 Haig Street Box Hill South VIC 3128</t>
  </si>
  <si>
    <t>Clair Greenwood</t>
  </si>
  <si>
    <t>clair.j.greenwood@gmail.com</t>
  </si>
  <si>
    <t>Bywong</t>
  </si>
  <si>
    <t>196 Woolshed Lane Bywong NSW 2621</t>
  </si>
  <si>
    <t>Greg Flint</t>
  </si>
  <si>
    <t>Gregflint54@yahoo.com.au</t>
  </si>
  <si>
    <t>Shelly beach</t>
  </si>
  <si>
    <t>22 Phillip Street Shelly Beach NSW 2261</t>
  </si>
  <si>
    <t>Ken Grant</t>
  </si>
  <si>
    <t>kenslounge@live.com.au</t>
  </si>
  <si>
    <t>bundaberg north</t>
  </si>
  <si>
    <t>16 Gavegan Street Bundaberg North QLD 4670</t>
  </si>
  <si>
    <t>Lynn Burrows</t>
  </si>
  <si>
    <t>lbsmokey07@gmail.com</t>
  </si>
  <si>
    <t>macleay island</t>
  </si>
  <si>
    <t>100 South End Road Russell Island QLD 4184</t>
  </si>
  <si>
    <t>Glynn Symonds</t>
  </si>
  <si>
    <t>Coopersoz@hotmail.com</t>
  </si>
  <si>
    <t>Glenelg</t>
  </si>
  <si>
    <t>Liam Bers</t>
  </si>
  <si>
    <t>lymbers99@gmail.com</t>
  </si>
  <si>
    <t>Sue McGorlick</t>
  </si>
  <si>
    <t>bsmcgorlick@gmail.com</t>
  </si>
  <si>
    <t>Boorolite</t>
  </si>
  <si>
    <t>580 Chapel Hill Road Boorolite VIC 3723</t>
  </si>
  <si>
    <t>Sharyn Duncan</t>
  </si>
  <si>
    <t>swanfel97@gmail.com</t>
  </si>
  <si>
    <t>Swanfels</t>
  </si>
  <si>
    <t>97 Warreners Road Swanfels QLD 4371</t>
  </si>
  <si>
    <t>Sam Browning</t>
  </si>
  <si>
    <t>sam_brownau@yahoo.com.au</t>
  </si>
  <si>
    <t>Oyster bay</t>
  </si>
  <si>
    <t>197 Oyster Bay Road Oyster Bay NSW 2225</t>
  </si>
  <si>
    <t>kris</t>
  </si>
  <si>
    <t>K.gorgijeski@gmail.com</t>
  </si>
  <si>
    <t>Sinnamon park</t>
  </si>
  <si>
    <t>Gerry Minnock</t>
  </si>
  <si>
    <t>Gerry.minnock1960@gmail.com</t>
  </si>
  <si>
    <t>Innaloo</t>
  </si>
  <si>
    <t>70B Barnes Street Innaloo WA 6018</t>
  </si>
  <si>
    <t>Janine Zaia</t>
  </si>
  <si>
    <t>Jmzaia@hotmail.com</t>
  </si>
  <si>
    <t>107/2 Pine Avenue Elwood VIC 3184</t>
  </si>
  <si>
    <t>01/12/2025</t>
  </si>
  <si>
    <t>Rose Arnold</t>
  </si>
  <si>
    <t>arnoldrose66@gmail.com</t>
  </si>
  <si>
    <t>mount perry qld 4671</t>
  </si>
  <si>
    <t>9 Flora Street Mount Perry QLD 4671</t>
  </si>
  <si>
    <t>Maureen Altmann</t>
  </si>
  <si>
    <t>maltmann2003@yahoo.com.au</t>
  </si>
  <si>
    <t>Beverly Hills</t>
  </si>
  <si>
    <t>64 Wamboin Street Gilgandra NSW 2827</t>
  </si>
  <si>
    <t>Sarah Abboud</t>
  </si>
  <si>
    <t>sarheart@hotmail.com</t>
  </si>
  <si>
    <t>Lorne 2439</t>
  </si>
  <si>
    <t>596 Stewarts River Road Lorne NSW 2439</t>
  </si>
  <si>
    <t>Gulshan Bulsara</t>
  </si>
  <si>
    <t>gulshanjamshed2@gmail.com</t>
  </si>
  <si>
    <t>40 Wardell Crescent Beenleigh QLD 4207</t>
  </si>
  <si>
    <t>Raechael Deighton</t>
  </si>
  <si>
    <t>raechaeldeighton73@gmail.com</t>
  </si>
  <si>
    <t>Young</t>
  </si>
  <si>
    <t>57 Noonans Road Young NSW 2594</t>
  </si>
  <si>
    <t>Nadine Griffin</t>
  </si>
  <si>
    <t>nadinegriffin@mail.com</t>
  </si>
  <si>
    <t>12/10 Eveline Street Gracemere QLD 4702 &amp; 851 Gavial-Gracemere Road Gracemere QLD 4702</t>
  </si>
  <si>
    <t>Santi Pedrosa</t>
  </si>
  <si>
    <t>visualeffectspainters@hotmail.com</t>
  </si>
  <si>
    <t>calamvale</t>
  </si>
  <si>
    <t>9 Semper Place Calamvale QLD 4116</t>
  </si>
  <si>
    <t>Louise Nash</t>
  </si>
  <si>
    <t>louisenicole59@hotmail.com</t>
  </si>
  <si>
    <t>9 Napier Street Maryborough VIC 3465</t>
  </si>
  <si>
    <t>Mandi Quinton</t>
  </si>
  <si>
    <t>mandiquinton@outlook.com</t>
  </si>
  <si>
    <t>Leongatha</t>
  </si>
  <si>
    <t>155 South Gippsland Highway Leongatha VIC 3953</t>
  </si>
  <si>
    <t>Stephanie Irvin</t>
  </si>
  <si>
    <t>marsdentennis@gmail.com</t>
  </si>
  <si>
    <t>Marsden</t>
  </si>
  <si>
    <t>6 Tombildan Court Marsden QLD 4132</t>
  </si>
  <si>
    <t>Pam Hunter</t>
  </si>
  <si>
    <t>pjh264@hotmail.com</t>
  </si>
  <si>
    <t>Junction Hill</t>
  </si>
  <si>
    <t>16 Edgecombe Avenue Junction Hill NSW 2460</t>
  </si>
  <si>
    <t>Narelle Hagger</t>
  </si>
  <si>
    <t>narelle.h2@gmail.com</t>
  </si>
  <si>
    <t>Wollongbar</t>
  </si>
  <si>
    <t>10 Wollongbar Drive Wollongbar NSW 2477</t>
  </si>
  <si>
    <t>Michelle Sanders</t>
  </si>
  <si>
    <t>im_ur_little_coppertop@hotmail.com</t>
  </si>
  <si>
    <t>Daisy hill</t>
  </si>
  <si>
    <t>1/7 Farr-Jones Court Daisy Hill QLD 4127</t>
  </si>
  <si>
    <t>Tony Wood</t>
  </si>
  <si>
    <t>t_jwood@outlook.com.au</t>
  </si>
  <si>
    <t>20 San Remo Crescent Sunset Strip VIC 3922</t>
  </si>
  <si>
    <t>Shane West</t>
  </si>
  <si>
    <t>Shane@skyvent.com.au</t>
  </si>
  <si>
    <t>Greenacre</t>
  </si>
  <si>
    <t>61 Lauma Avenue Greenacre NSW 2190</t>
  </si>
  <si>
    <t>02/12/2025</t>
  </si>
  <si>
    <t>Caley Castellan</t>
  </si>
  <si>
    <t>Mizz-caley@hotmail.com</t>
  </si>
  <si>
    <t>12/1 Mountain View Crescent Mount Warren Park QLD 4207</t>
  </si>
  <si>
    <t>Aaron Clarke</t>
  </si>
  <si>
    <t>aranakaraka@hotmail.com</t>
  </si>
  <si>
    <t>speewah</t>
  </si>
  <si>
    <t>52 Forest Close Speewah QLD 4881</t>
  </si>
  <si>
    <t>ccoralive@gmail.com</t>
  </si>
  <si>
    <t>03/12/2025</t>
  </si>
  <si>
    <t>Mark Cooper</t>
  </si>
  <si>
    <t>cooper.mark7@gmail.com</t>
  </si>
  <si>
    <t>SUNNYBANK HILLS</t>
  </si>
  <si>
    <t>39 Lang Street Sunnybank Hills QLD 4109</t>
  </si>
  <si>
    <t>Deb Escott</t>
  </si>
  <si>
    <t>debescott@hotkey.net.au</t>
  </si>
  <si>
    <t>4 Gorgon Place Cable Beach WA 6726</t>
  </si>
  <si>
    <t>Jenny Hill</t>
  </si>
  <si>
    <t>2025-12-04T00:15:17.754Z</t>
  </si>
  <si>
    <t>Steve Devlin</t>
  </si>
  <si>
    <t>ah.strewth@gmail.com</t>
  </si>
  <si>
    <t>Brookfield</t>
  </si>
  <si>
    <t>11 Rees Road Melton South VIC 3338</t>
  </si>
  <si>
    <t>2025-12-04T00:16:16.224Z</t>
  </si>
  <si>
    <t>Lesley Holcombe</t>
  </si>
  <si>
    <t>lesleyholcombe@yahoo.com.au</t>
  </si>
  <si>
    <t>Narrabri NSW</t>
  </si>
  <si>
    <t>2 Fraser Street Narrabri NSW 2390</t>
  </si>
  <si>
    <t>2025-12-05T05:06:20.179Z</t>
  </si>
  <si>
    <t>Alieda Maree Ross</t>
  </si>
  <si>
    <t>aliedsross@outlook.com</t>
  </si>
  <si>
    <t>Lismore</t>
  </si>
  <si>
    <t>526 Piggabeen Road Cobaki Lakes NSW 2486</t>
  </si>
  <si>
    <t>2025-12-06T04:24:01.035Z</t>
  </si>
  <si>
    <t>2025-12-06T04:24:06.769Z</t>
  </si>
  <si>
    <t>Sandra Dunkley</t>
  </si>
  <si>
    <t>sandy_mky11@hotmail.com</t>
  </si>
  <si>
    <t>1/11 Bridge Road East Mackay QLD 4740</t>
  </si>
  <si>
    <t>2025-12-06T04:24:15.484Z</t>
  </si>
  <si>
    <t>Malcolm Baxter</t>
  </si>
  <si>
    <t>Malbax60@gmail.com</t>
  </si>
  <si>
    <t>Nilldottie</t>
  </si>
  <si>
    <t>2025-12-06T04:25:06.892Z</t>
  </si>
  <si>
    <t>Patrick Hogan</t>
  </si>
  <si>
    <t>patrick.hogan@optusnet.com</t>
  </si>
  <si>
    <t>10 Dion Street Ferntree Gully VIC 3156</t>
  </si>
  <si>
    <t>2025-12-06T04:25:14.121Z</t>
  </si>
  <si>
    <t>Mandy BK</t>
  </si>
  <si>
    <t>mandyballa@hotmail.com</t>
  </si>
  <si>
    <t>2025-12-06T04:25:28.609Z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</si>
</sst>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mm/dd/yyyy"/>
    <numFmt numFmtId="166" formatCode="dd&quot;/&quot;mm&quot;/&quot;yyyy"/>
    <numFmt numFmtId="167" formatCode="0#########"/>
    <numFmt numFmtId="168" formatCode="0.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333333"/>
    </font>
    <font>
      <color theme="1"/>
      <name val="Arial"/>
    </font>
    <font>
      <sz val="10.0"/>
      <color rgb="FF212121"/>
      <name val="Arial"/>
    </font>
    <font>
      <sz val="11.0"/>
      <color rgb="FF212121"/>
      <name val="Arial"/>
    </font>
    <font>
      <u/>
      <sz val="10.0"/>
      <color rgb="FF212121"/>
    </font>
    <font>
      <sz val="10.0"/>
      <color rgb="FF212121"/>
      <name val="Arial"/>
      <scheme val="minor"/>
    </font>
    <font>
      <u/>
      <sz val="10.0"/>
      <color rgb="FF333333"/>
    </font>
    <font>
      <sz val="11.0"/>
      <color theme="1"/>
      <name val="Arial"/>
    </font>
    <font>
      <sz val="10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right" readingOrder="0"/>
    </xf>
    <xf borderId="0" fillId="0" fontId="2" numFmtId="0" xfId="0" applyFont="1"/>
    <xf borderId="0" fillId="0" fontId="6" numFmtId="0" xfId="0" applyAlignment="1" applyFont="1">
      <alignment horizontal="right" vertical="bottom"/>
    </xf>
    <xf borderId="0" fillId="0" fontId="6" numFmtId="166" xfId="0" applyAlignment="1" applyFont="1" applyNumberForma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2" numFmtId="166" xfId="0" applyAlignment="1" applyFont="1" applyNumberFormat="1">
      <alignment horizontal="left"/>
    </xf>
    <xf borderId="0" fillId="0" fontId="2" numFmtId="166" xfId="0" applyAlignment="1" applyFont="1" applyNumberFormat="1">
      <alignment horizontal="right"/>
    </xf>
    <xf borderId="0" fillId="0" fontId="2" numFmtId="165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6" numFmtId="166" xfId="0" applyAlignment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6" numFmtId="165" xfId="0" applyAlignment="1" applyFont="1" applyNumberFormat="1">
      <alignment horizontal="left" vertical="bottom"/>
    </xf>
    <xf borderId="0" fillId="0" fontId="6" numFmtId="165" xfId="0" applyAlignment="1" applyFont="1" applyNumberFormat="1">
      <alignment horizontal="left" readingOrder="0" vertical="bottom"/>
    </xf>
    <xf borderId="0" fillId="0" fontId="6" numFmtId="0" xfId="0" applyAlignment="1" applyFont="1">
      <alignment vertical="bottom"/>
    </xf>
    <xf borderId="0" fillId="3" fontId="11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6" numFmtId="9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12" numFmtId="167" xfId="0" applyAlignment="1" applyFont="1" applyNumberFormat="1">
      <alignment horizontal="right" readingOrder="0" vertical="bottom"/>
    </xf>
    <xf borderId="0" fillId="0" fontId="12" numFmtId="167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2" fontId="0" numFmtId="0" xfId="0" applyAlignment="1" applyFont="1">
      <alignment readingOrder="0"/>
    </xf>
    <xf borderId="1" fillId="4" fontId="1" numFmtId="0" xfId="0" applyBorder="1" applyFill="1" applyFont="1"/>
    <xf borderId="1" fillId="4" fontId="1" numFmtId="168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" xfId="0" applyBorder="1" applyFont="1" applyNumberFormat="1"/>
    <xf borderId="1" fillId="0" fontId="1" numFmtId="1" xfId="0" applyBorder="1" applyFont="1" applyNumberFormat="1"/>
    <xf borderId="0" fillId="0" fontId="1" numFmtId="0" xfId="0" applyFont="1"/>
    <xf borderId="0" fillId="0" fontId="2" numFmtId="168" xfId="0" applyFont="1" applyNumberFormat="1"/>
    <xf borderId="0" fillId="4" fontId="1" numFmtId="0" xfId="0" applyFont="1"/>
    <xf borderId="0" fillId="4" fontId="1" numFmtId="0" xfId="0" applyAlignment="1" applyFont="1">
      <alignment horizontal="left"/>
    </xf>
    <xf borderId="0" fillId="0" fontId="2" numFmtId="167" xfId="0" applyFont="1" applyNumberFormat="1"/>
    <xf borderId="0" fillId="0" fontId="2" numFmtId="166" xfId="0" applyAlignment="1" applyFont="1" applyNumberFormat="1">
      <alignment horizontal="left"/>
    </xf>
    <xf borderId="0" fillId="0" fontId="2" numFmtId="9" xfId="0" applyAlignment="1" applyFont="1" applyNumberFormat="1">
      <alignment horizontal="left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jimina7@gmail.com" TargetMode="External"/><Relationship Id="rId41" Type="http://schemas.openxmlformats.org/officeDocument/2006/relationships/vmlDrawing" Target="../drawings/vmlDrawing1.vml"/><Relationship Id="rId22" Type="http://schemas.openxmlformats.org/officeDocument/2006/relationships/hyperlink" Target="mailto:paradiselady56@hotmail.com" TargetMode="External"/><Relationship Id="rId21" Type="http://schemas.openxmlformats.org/officeDocument/2006/relationships/hyperlink" Target="mailto:bevan_mc@hotmail.com" TargetMode="External"/><Relationship Id="rId24" Type="http://schemas.openxmlformats.org/officeDocument/2006/relationships/hyperlink" Target="mailto:karenlavinia@hotmail.com" TargetMode="External"/><Relationship Id="rId23" Type="http://schemas.openxmlformats.org/officeDocument/2006/relationships/hyperlink" Target="mailto:Sandy@wildlywealthy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33justbb@gmail.com" TargetMode="External"/><Relationship Id="rId3" Type="http://schemas.openxmlformats.org/officeDocument/2006/relationships/hyperlink" Target="mailto:b.may93@hotmail.com" TargetMode="External"/><Relationship Id="rId4" Type="http://schemas.openxmlformats.org/officeDocument/2006/relationships/hyperlink" Target="mailto:danieljames.lynch@bigpond.com" TargetMode="External"/><Relationship Id="rId9" Type="http://schemas.openxmlformats.org/officeDocument/2006/relationships/hyperlink" Target="mailto:tworunaways06@yahoo.com.au" TargetMode="External"/><Relationship Id="rId26" Type="http://schemas.openxmlformats.org/officeDocument/2006/relationships/hyperlink" Target="mailto:deelee.johnston98@gmail.com" TargetMode="External"/><Relationship Id="rId25" Type="http://schemas.openxmlformats.org/officeDocument/2006/relationships/hyperlink" Target="mailto:anthonygillman1@gmail.com" TargetMode="External"/><Relationship Id="rId28" Type="http://schemas.openxmlformats.org/officeDocument/2006/relationships/hyperlink" Target="mailto:billsphone65@gmail.com" TargetMode="External"/><Relationship Id="rId27" Type="http://schemas.openxmlformats.org/officeDocument/2006/relationships/hyperlink" Target="mailto:blackallykat@gmail.com" TargetMode="External"/><Relationship Id="rId5" Type="http://schemas.openxmlformats.org/officeDocument/2006/relationships/hyperlink" Target="mailto:Rhawson@me.com" TargetMode="External"/><Relationship Id="rId6" Type="http://schemas.openxmlformats.org/officeDocument/2006/relationships/hyperlink" Target="mailto:robinah157@gmail.com" TargetMode="External"/><Relationship Id="rId29" Type="http://schemas.openxmlformats.org/officeDocument/2006/relationships/hyperlink" Target="mailto:cheetham852@gmail.com" TargetMode="External"/><Relationship Id="rId7" Type="http://schemas.openxmlformats.org/officeDocument/2006/relationships/hyperlink" Target="mailto:Christinewalton87@gmail.com" TargetMode="External"/><Relationship Id="rId8" Type="http://schemas.openxmlformats.org/officeDocument/2006/relationships/hyperlink" Target="mailto:bnun3212@bigpond.net.au" TargetMode="External"/><Relationship Id="rId31" Type="http://schemas.openxmlformats.org/officeDocument/2006/relationships/hyperlink" Target="mailto:gerry@airfraserisland.com.au" TargetMode="External"/><Relationship Id="rId30" Type="http://schemas.openxmlformats.org/officeDocument/2006/relationships/hyperlink" Target="mailto:smnewing@gmail.com" TargetMode="External"/><Relationship Id="rId11" Type="http://schemas.openxmlformats.org/officeDocument/2006/relationships/hyperlink" Target="mailto:podiatrytime@gmail.com" TargetMode="External"/><Relationship Id="rId33" Type="http://schemas.openxmlformats.org/officeDocument/2006/relationships/hyperlink" Target="mailto:malforman@bigpond.com" TargetMode="External"/><Relationship Id="rId10" Type="http://schemas.openxmlformats.org/officeDocument/2006/relationships/hyperlink" Target="mailto:sbateupinvestments@gmail.com" TargetMode="External"/><Relationship Id="rId32" Type="http://schemas.openxmlformats.org/officeDocument/2006/relationships/hyperlink" Target="mailto:stevesimjanovic@bigpond.com" TargetMode="External"/><Relationship Id="rId13" Type="http://schemas.openxmlformats.org/officeDocument/2006/relationships/hyperlink" Target="mailto:Leila.lau@live.com.au" TargetMode="External"/><Relationship Id="rId35" Type="http://schemas.openxmlformats.org/officeDocument/2006/relationships/hyperlink" Target="mailto:p.m.sawyers68@gmail.com" TargetMode="External"/><Relationship Id="rId12" Type="http://schemas.openxmlformats.org/officeDocument/2006/relationships/hyperlink" Target="mailto:c.o.r@bigpond.net.au" TargetMode="External"/><Relationship Id="rId34" Type="http://schemas.openxmlformats.org/officeDocument/2006/relationships/hyperlink" Target="mailto:sutton.jacinta@gmail.com" TargetMode="External"/><Relationship Id="rId15" Type="http://schemas.openxmlformats.org/officeDocument/2006/relationships/hyperlink" Target="mailto:maustullio@hotmail.com" TargetMode="External"/><Relationship Id="rId37" Type="http://schemas.openxmlformats.org/officeDocument/2006/relationships/hyperlink" Target="mailto:rowans1@westnet.com.au" TargetMode="External"/><Relationship Id="rId14" Type="http://schemas.openxmlformats.org/officeDocument/2006/relationships/hyperlink" Target="mailto:craig.s.mcbride@gmail.com" TargetMode="External"/><Relationship Id="rId36" Type="http://schemas.openxmlformats.org/officeDocument/2006/relationships/hyperlink" Target="mailto:donnalarchorton100@gmail.com" TargetMode="External"/><Relationship Id="rId17" Type="http://schemas.openxmlformats.org/officeDocument/2006/relationships/hyperlink" Target="mailto:whoger@hotmail.com" TargetMode="External"/><Relationship Id="rId39" Type="http://schemas.openxmlformats.org/officeDocument/2006/relationships/hyperlink" Target="mailto:gail.denyer@gmail.com" TargetMode="External"/><Relationship Id="rId16" Type="http://schemas.openxmlformats.org/officeDocument/2006/relationships/hyperlink" Target="mailto:Pr.cool@hotmail.com" TargetMode="External"/><Relationship Id="rId38" Type="http://schemas.openxmlformats.org/officeDocument/2006/relationships/hyperlink" Target="mailto:sandy_doble@outlook.com" TargetMode="External"/><Relationship Id="rId19" Type="http://schemas.openxmlformats.org/officeDocument/2006/relationships/hyperlink" Target="mailto:jimina7@gmail.com" TargetMode="External"/><Relationship Id="rId18" Type="http://schemas.openxmlformats.org/officeDocument/2006/relationships/hyperlink" Target="mailto:arlang9@bigpond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bevan_mc@hotmail.com" TargetMode="External"/><Relationship Id="rId22" Type="http://schemas.openxmlformats.org/officeDocument/2006/relationships/hyperlink" Target="mailto:Sandy@wildlywealthy.com" TargetMode="External"/><Relationship Id="rId21" Type="http://schemas.openxmlformats.org/officeDocument/2006/relationships/hyperlink" Target="mailto:paradiselady56@hotmail.com" TargetMode="External"/><Relationship Id="rId24" Type="http://schemas.openxmlformats.org/officeDocument/2006/relationships/hyperlink" Target="mailto:anthonygillman1@gmail.com" TargetMode="External"/><Relationship Id="rId23" Type="http://schemas.openxmlformats.org/officeDocument/2006/relationships/hyperlink" Target="mailto:karenlavinia@hotmail.com" TargetMode="External"/><Relationship Id="rId1" Type="http://schemas.openxmlformats.org/officeDocument/2006/relationships/hyperlink" Target="mailto:33justbb@gmail.com" TargetMode="External"/><Relationship Id="rId2" Type="http://schemas.openxmlformats.org/officeDocument/2006/relationships/hyperlink" Target="mailto:b.may93@hotmail.com" TargetMode="External"/><Relationship Id="rId3" Type="http://schemas.openxmlformats.org/officeDocument/2006/relationships/hyperlink" Target="mailto:danieljames.lynch@bigpond.com" TargetMode="External"/><Relationship Id="rId4" Type="http://schemas.openxmlformats.org/officeDocument/2006/relationships/hyperlink" Target="mailto:Rhawson@me.com" TargetMode="External"/><Relationship Id="rId9" Type="http://schemas.openxmlformats.org/officeDocument/2006/relationships/hyperlink" Target="mailto:sbateupinvestments@gmail.com" TargetMode="External"/><Relationship Id="rId26" Type="http://schemas.openxmlformats.org/officeDocument/2006/relationships/hyperlink" Target="mailto:blackallykat@gmail.com" TargetMode="External"/><Relationship Id="rId25" Type="http://schemas.openxmlformats.org/officeDocument/2006/relationships/hyperlink" Target="mailto:deelee.johnston98@gmail.com" TargetMode="External"/><Relationship Id="rId28" Type="http://schemas.openxmlformats.org/officeDocument/2006/relationships/hyperlink" Target="mailto:cheetham852@gmail.com" TargetMode="External"/><Relationship Id="rId27" Type="http://schemas.openxmlformats.org/officeDocument/2006/relationships/hyperlink" Target="mailto:billsphone65@gmail.com" TargetMode="External"/><Relationship Id="rId5" Type="http://schemas.openxmlformats.org/officeDocument/2006/relationships/hyperlink" Target="mailto:robinah157@gmail.com" TargetMode="External"/><Relationship Id="rId6" Type="http://schemas.openxmlformats.org/officeDocument/2006/relationships/hyperlink" Target="mailto:Christinewalton87@gmail.com" TargetMode="External"/><Relationship Id="rId29" Type="http://schemas.openxmlformats.org/officeDocument/2006/relationships/hyperlink" Target="mailto:smnewing@gmail.com" TargetMode="External"/><Relationship Id="rId7" Type="http://schemas.openxmlformats.org/officeDocument/2006/relationships/hyperlink" Target="mailto:bnun3212@bigpond.net.au" TargetMode="External"/><Relationship Id="rId8" Type="http://schemas.openxmlformats.org/officeDocument/2006/relationships/hyperlink" Target="mailto:tworunaways06@yahoo.com.au" TargetMode="External"/><Relationship Id="rId31" Type="http://schemas.openxmlformats.org/officeDocument/2006/relationships/hyperlink" Target="mailto:stevesimjanovic@bigpond.com" TargetMode="External"/><Relationship Id="rId30" Type="http://schemas.openxmlformats.org/officeDocument/2006/relationships/hyperlink" Target="mailto:gerry@airfraserisland.com.au" TargetMode="External"/><Relationship Id="rId11" Type="http://schemas.openxmlformats.org/officeDocument/2006/relationships/hyperlink" Target="mailto:c.o.r@bigpond.net.au" TargetMode="External"/><Relationship Id="rId33" Type="http://schemas.openxmlformats.org/officeDocument/2006/relationships/hyperlink" Target="mailto:sutton.jacinta@gmail.com" TargetMode="External"/><Relationship Id="rId10" Type="http://schemas.openxmlformats.org/officeDocument/2006/relationships/hyperlink" Target="mailto:podiatrytime@gmail.com" TargetMode="External"/><Relationship Id="rId32" Type="http://schemas.openxmlformats.org/officeDocument/2006/relationships/hyperlink" Target="mailto:malforman@bigpond.com" TargetMode="External"/><Relationship Id="rId13" Type="http://schemas.openxmlformats.org/officeDocument/2006/relationships/hyperlink" Target="mailto:craig.s.mcbride@gmail.com" TargetMode="External"/><Relationship Id="rId35" Type="http://schemas.openxmlformats.org/officeDocument/2006/relationships/hyperlink" Target="mailto:donnalarchorton100@gmail.com" TargetMode="External"/><Relationship Id="rId12" Type="http://schemas.openxmlformats.org/officeDocument/2006/relationships/hyperlink" Target="mailto:Leila.lau@live.com.au" TargetMode="External"/><Relationship Id="rId34" Type="http://schemas.openxmlformats.org/officeDocument/2006/relationships/hyperlink" Target="mailto:p.m.sawyers68@gmail.com" TargetMode="External"/><Relationship Id="rId15" Type="http://schemas.openxmlformats.org/officeDocument/2006/relationships/hyperlink" Target="mailto:Pr.cool@hotmail.com" TargetMode="External"/><Relationship Id="rId37" Type="http://schemas.openxmlformats.org/officeDocument/2006/relationships/hyperlink" Target="mailto:sandy_doble@outlook.com" TargetMode="External"/><Relationship Id="rId14" Type="http://schemas.openxmlformats.org/officeDocument/2006/relationships/hyperlink" Target="mailto:maustullio@hotmail.com" TargetMode="External"/><Relationship Id="rId36" Type="http://schemas.openxmlformats.org/officeDocument/2006/relationships/hyperlink" Target="mailto:rowans1@westnet.com.au" TargetMode="External"/><Relationship Id="rId17" Type="http://schemas.openxmlformats.org/officeDocument/2006/relationships/hyperlink" Target="mailto:arlang9@bigpond.com" TargetMode="External"/><Relationship Id="rId39" Type="http://schemas.openxmlformats.org/officeDocument/2006/relationships/drawing" Target="../drawings/drawing4.xml"/><Relationship Id="rId16" Type="http://schemas.openxmlformats.org/officeDocument/2006/relationships/hyperlink" Target="mailto:whoger@hotmail.com" TargetMode="External"/><Relationship Id="rId38" Type="http://schemas.openxmlformats.org/officeDocument/2006/relationships/hyperlink" Target="mailto:gail.denyer@gmail.com" TargetMode="External"/><Relationship Id="rId19" Type="http://schemas.openxmlformats.org/officeDocument/2006/relationships/hyperlink" Target="mailto:jimina7@gmail.com" TargetMode="External"/><Relationship Id="rId18" Type="http://schemas.openxmlformats.org/officeDocument/2006/relationships/hyperlink" Target="mailto:jimina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13.88"/>
    <col customWidth="1" min="3" max="3" width="42.13"/>
    <col customWidth="1" min="4" max="4" width="54.88"/>
    <col customWidth="1" min="5" max="5" width="15.63"/>
    <col customWidth="1" min="7" max="7" width="20.38"/>
    <col customWidth="1" min="8" max="8" width="14.5"/>
    <col customWidth="1" min="10" max="10" width="16.0"/>
    <col customWidth="1" min="11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4" t="s">
        <v>18</v>
      </c>
      <c r="C2" s="3" t="s">
        <v>19</v>
      </c>
      <c r="D2" s="3" t="s">
        <v>20</v>
      </c>
      <c r="E2" s="5" t="s">
        <v>21</v>
      </c>
      <c r="F2" s="3" t="s">
        <v>22</v>
      </c>
      <c r="H2" s="6"/>
      <c r="I2" s="6"/>
      <c r="J2" s="6"/>
      <c r="K2" s="6"/>
      <c r="L2" s="6"/>
      <c r="M2" s="7"/>
      <c r="P2" s="8"/>
    </row>
    <row r="3">
      <c r="A3" s="3" t="s">
        <v>23</v>
      </c>
      <c r="B3" s="4" t="s">
        <v>18</v>
      </c>
      <c r="C3" s="3" t="s">
        <v>24</v>
      </c>
      <c r="D3" s="3" t="s">
        <v>25</v>
      </c>
      <c r="E3" s="5" t="s">
        <v>26</v>
      </c>
      <c r="F3" s="3" t="s">
        <v>27</v>
      </c>
      <c r="H3" s="9" t="s">
        <v>28</v>
      </c>
      <c r="I3" s="9">
        <v>6.10438149326E11</v>
      </c>
      <c r="J3" s="10" t="s">
        <v>29</v>
      </c>
      <c r="K3" s="11">
        <v>500.0</v>
      </c>
      <c r="L3" s="6"/>
      <c r="M3" s="7"/>
    </row>
    <row r="4">
      <c r="A4" s="3" t="s">
        <v>30</v>
      </c>
      <c r="B4" s="4" t="s">
        <v>31</v>
      </c>
      <c r="C4" s="3" t="s">
        <v>32</v>
      </c>
      <c r="D4" s="3" t="s">
        <v>33</v>
      </c>
      <c r="E4" s="5" t="s">
        <v>34</v>
      </c>
      <c r="F4" s="3" t="s">
        <v>22</v>
      </c>
      <c r="H4" s="6"/>
      <c r="I4" s="6"/>
      <c r="J4" s="6"/>
      <c r="K4" s="6"/>
      <c r="L4" s="6"/>
      <c r="M4" s="7"/>
    </row>
    <row r="5">
      <c r="A5" s="3" t="s">
        <v>35</v>
      </c>
      <c r="B5" s="4" t="s">
        <v>36</v>
      </c>
      <c r="C5" s="3" t="s">
        <v>37</v>
      </c>
      <c r="D5" s="3" t="s">
        <v>38</v>
      </c>
      <c r="E5" s="5" t="s">
        <v>39</v>
      </c>
      <c r="F5" s="3" t="s">
        <v>27</v>
      </c>
      <c r="H5" s="6"/>
      <c r="I5" s="6"/>
      <c r="J5" s="6"/>
      <c r="K5" s="6"/>
      <c r="L5" s="6"/>
      <c r="M5" s="7"/>
    </row>
    <row r="6">
      <c r="A6" s="3" t="s">
        <v>40</v>
      </c>
      <c r="B6" s="4" t="s">
        <v>31</v>
      </c>
      <c r="C6" s="3" t="s">
        <v>41</v>
      </c>
      <c r="D6" s="3" t="s">
        <v>42</v>
      </c>
      <c r="E6" s="5" t="s">
        <v>43</v>
      </c>
      <c r="F6" s="3" t="s">
        <v>22</v>
      </c>
      <c r="H6" s="6"/>
      <c r="I6" s="6"/>
      <c r="J6" s="6"/>
      <c r="K6" s="6"/>
      <c r="L6" s="6"/>
      <c r="M6" s="7"/>
    </row>
    <row r="7">
      <c r="A7" s="3" t="s">
        <v>44</v>
      </c>
      <c r="B7" s="4" t="s">
        <v>45</v>
      </c>
      <c r="C7" s="3" t="s">
        <v>46</v>
      </c>
      <c r="D7" s="3" t="s">
        <v>47</v>
      </c>
      <c r="E7" s="5" t="s">
        <v>43</v>
      </c>
      <c r="F7" s="3" t="s">
        <v>27</v>
      </c>
      <c r="H7" s="6"/>
      <c r="I7" s="6"/>
      <c r="J7" s="6"/>
      <c r="K7" s="6"/>
      <c r="L7" s="6"/>
      <c r="M7" s="7"/>
    </row>
    <row r="8">
      <c r="A8" s="3" t="s">
        <v>44</v>
      </c>
      <c r="B8" s="4" t="s">
        <v>45</v>
      </c>
      <c r="C8" s="3" t="s">
        <v>48</v>
      </c>
      <c r="D8" s="3" t="s">
        <v>49</v>
      </c>
      <c r="E8" s="5" t="s">
        <v>43</v>
      </c>
      <c r="F8" s="3" t="s">
        <v>27</v>
      </c>
      <c r="H8" s="6"/>
      <c r="I8" s="6"/>
      <c r="J8" s="6"/>
      <c r="K8" s="6"/>
      <c r="L8" s="6"/>
      <c r="M8" s="7"/>
    </row>
    <row r="9">
      <c r="A9" s="3" t="s">
        <v>50</v>
      </c>
      <c r="B9" s="4" t="s">
        <v>18</v>
      </c>
      <c r="C9" s="3" t="s">
        <v>51</v>
      </c>
      <c r="D9" s="3" t="s">
        <v>52</v>
      </c>
      <c r="E9" s="5" t="s">
        <v>43</v>
      </c>
      <c r="F9" s="3" t="s">
        <v>27</v>
      </c>
      <c r="H9" s="6"/>
      <c r="I9" s="6"/>
      <c r="J9" s="6"/>
      <c r="K9" s="6"/>
      <c r="L9" s="6"/>
      <c r="M9" s="7"/>
    </row>
    <row r="10">
      <c r="A10" s="3" t="s">
        <v>23</v>
      </c>
      <c r="B10" s="4" t="s">
        <v>18</v>
      </c>
      <c r="C10" s="3" t="s">
        <v>53</v>
      </c>
      <c r="D10" s="3" t="s">
        <v>54</v>
      </c>
      <c r="E10" s="5" t="s">
        <v>43</v>
      </c>
      <c r="F10" s="3" t="s">
        <v>27</v>
      </c>
      <c r="H10" s="9" t="s">
        <v>55</v>
      </c>
      <c r="I10" s="9">
        <v>6.10472532818E11</v>
      </c>
      <c r="J10" s="12" t="s">
        <v>56</v>
      </c>
      <c r="K10" s="11">
        <v>500.0</v>
      </c>
      <c r="L10" s="6"/>
      <c r="M10" s="7"/>
    </row>
    <row r="11">
      <c r="A11" s="3" t="s">
        <v>57</v>
      </c>
      <c r="B11" s="4" t="s">
        <v>18</v>
      </c>
      <c r="C11" s="3" t="s">
        <v>58</v>
      </c>
      <c r="D11" s="3" t="s">
        <v>59</v>
      </c>
      <c r="E11" s="5" t="s">
        <v>60</v>
      </c>
      <c r="F11" s="3" t="s">
        <v>27</v>
      </c>
      <c r="H11" s="6"/>
      <c r="I11" s="6"/>
      <c r="J11" s="6"/>
      <c r="K11" s="6"/>
      <c r="L11" s="6"/>
      <c r="M11" s="7"/>
    </row>
    <row r="12">
      <c r="A12" s="3" t="s">
        <v>61</v>
      </c>
      <c r="B12" s="4" t="s">
        <v>18</v>
      </c>
      <c r="C12" s="3" t="s">
        <v>62</v>
      </c>
      <c r="D12" s="3" t="s">
        <v>63</v>
      </c>
      <c r="E12" s="5" t="s">
        <v>60</v>
      </c>
      <c r="F12" s="3" t="s">
        <v>27</v>
      </c>
      <c r="H12" s="6"/>
      <c r="I12" s="6"/>
      <c r="J12" s="6"/>
      <c r="K12" s="6"/>
      <c r="L12" s="6"/>
      <c r="M12" s="7"/>
    </row>
    <row r="13">
      <c r="A13" s="3" t="s">
        <v>44</v>
      </c>
      <c r="B13" s="4" t="s">
        <v>45</v>
      </c>
      <c r="C13" s="3" t="s">
        <v>46</v>
      </c>
      <c r="D13" s="3" t="s">
        <v>64</v>
      </c>
      <c r="E13" s="5" t="s">
        <v>65</v>
      </c>
      <c r="F13" s="3" t="s">
        <v>27</v>
      </c>
      <c r="H13" s="6"/>
      <c r="I13" s="6"/>
      <c r="J13" s="6"/>
      <c r="K13" s="6"/>
      <c r="L13" s="6"/>
      <c r="M13" s="7"/>
    </row>
    <row r="14">
      <c r="A14" s="3" t="s">
        <v>23</v>
      </c>
      <c r="B14" s="4" t="s">
        <v>18</v>
      </c>
      <c r="C14" s="3" t="s">
        <v>53</v>
      </c>
      <c r="D14" s="3" t="s">
        <v>66</v>
      </c>
      <c r="E14" s="13">
        <v>45694.0</v>
      </c>
      <c r="F14" s="3" t="s">
        <v>27</v>
      </c>
      <c r="H14" s="9" t="s">
        <v>67</v>
      </c>
      <c r="I14" s="9">
        <v>6.1409985835E10</v>
      </c>
      <c r="J14" s="10" t="s">
        <v>68</v>
      </c>
      <c r="K14" s="6"/>
      <c r="L14" s="6"/>
      <c r="M14" s="14"/>
    </row>
    <row r="15">
      <c r="A15" s="3" t="s">
        <v>69</v>
      </c>
      <c r="B15" s="4" t="s">
        <v>31</v>
      </c>
      <c r="C15" s="3" t="s">
        <v>70</v>
      </c>
      <c r="D15" s="3" t="s">
        <v>71</v>
      </c>
      <c r="E15" s="13">
        <v>45722.0</v>
      </c>
      <c r="F15" s="3" t="s">
        <v>27</v>
      </c>
      <c r="H15" s="6"/>
      <c r="I15" s="6"/>
      <c r="J15" s="6"/>
      <c r="K15" s="6"/>
      <c r="L15" s="6"/>
      <c r="M15" s="14"/>
    </row>
    <row r="16">
      <c r="A16" s="3" t="s">
        <v>44</v>
      </c>
      <c r="B16" s="4" t="s">
        <v>45</v>
      </c>
      <c r="C16" s="3" t="s">
        <v>72</v>
      </c>
      <c r="D16" s="3" t="s">
        <v>73</v>
      </c>
      <c r="E16" s="13">
        <v>45753.0</v>
      </c>
      <c r="F16" s="3" t="s">
        <v>27</v>
      </c>
      <c r="H16" s="6"/>
      <c r="I16" s="6"/>
      <c r="J16" s="6"/>
      <c r="K16" s="6"/>
      <c r="L16" s="6"/>
      <c r="M16" s="14"/>
    </row>
    <row r="17">
      <c r="A17" s="3" t="s">
        <v>74</v>
      </c>
      <c r="B17" s="4" t="s">
        <v>45</v>
      </c>
      <c r="C17" s="3" t="s">
        <v>75</v>
      </c>
      <c r="D17" s="3" t="s">
        <v>76</v>
      </c>
      <c r="E17" s="13">
        <v>45753.0</v>
      </c>
      <c r="F17" s="3" t="s">
        <v>27</v>
      </c>
      <c r="H17" s="6"/>
      <c r="I17" s="6"/>
      <c r="J17" s="6"/>
      <c r="K17" s="6"/>
      <c r="L17" s="6"/>
      <c r="M17" s="14"/>
    </row>
    <row r="18">
      <c r="A18" s="3" t="s">
        <v>77</v>
      </c>
      <c r="B18" s="4" t="s">
        <v>18</v>
      </c>
      <c r="C18" s="3" t="s">
        <v>78</v>
      </c>
      <c r="D18" s="3" t="s">
        <v>79</v>
      </c>
      <c r="E18" s="13">
        <v>45753.0</v>
      </c>
      <c r="F18" s="3" t="s">
        <v>27</v>
      </c>
      <c r="H18" s="6"/>
      <c r="I18" s="6"/>
      <c r="J18" s="6"/>
      <c r="K18" s="6"/>
      <c r="L18" s="6"/>
      <c r="M18" s="14"/>
    </row>
    <row r="19">
      <c r="A19" s="3" t="s">
        <v>77</v>
      </c>
      <c r="B19" s="4" t="s">
        <v>18</v>
      </c>
      <c r="C19" s="3" t="s">
        <v>78</v>
      </c>
      <c r="D19" s="3" t="s">
        <v>80</v>
      </c>
      <c r="E19" s="13">
        <v>45783.0</v>
      </c>
      <c r="F19" s="3" t="s">
        <v>27</v>
      </c>
      <c r="H19" s="6"/>
      <c r="I19" s="6"/>
      <c r="J19" s="6"/>
      <c r="K19" s="6"/>
      <c r="L19" s="6"/>
      <c r="M19" s="14"/>
    </row>
    <row r="20">
      <c r="A20" s="3" t="s">
        <v>81</v>
      </c>
      <c r="B20" s="4" t="s">
        <v>45</v>
      </c>
      <c r="C20" s="3" t="s">
        <v>82</v>
      </c>
      <c r="D20" s="3" t="s">
        <v>83</v>
      </c>
      <c r="E20" s="13">
        <v>45814.0</v>
      </c>
      <c r="F20" s="3" t="s">
        <v>27</v>
      </c>
      <c r="H20" s="6"/>
      <c r="I20" s="6"/>
      <c r="J20" s="6"/>
      <c r="K20" s="6"/>
      <c r="L20" s="6"/>
      <c r="M20" s="14"/>
    </row>
    <row r="21">
      <c r="A21" s="3" t="s">
        <v>84</v>
      </c>
      <c r="B21" s="4" t="s">
        <v>31</v>
      </c>
      <c r="C21" s="3" t="s">
        <v>85</v>
      </c>
      <c r="D21" s="3" t="s">
        <v>86</v>
      </c>
      <c r="E21" s="15" t="s">
        <v>87</v>
      </c>
      <c r="F21" s="3" t="s">
        <v>27</v>
      </c>
      <c r="H21" s="6"/>
      <c r="I21" s="6"/>
      <c r="J21" s="6"/>
      <c r="K21" s="6"/>
      <c r="L21" s="6"/>
      <c r="M21" s="16"/>
    </row>
    <row r="22">
      <c r="A22" s="3" t="s">
        <v>30</v>
      </c>
      <c r="B22" s="4" t="s">
        <v>31</v>
      </c>
      <c r="C22" s="3" t="s">
        <v>32</v>
      </c>
      <c r="D22" s="3" t="s">
        <v>88</v>
      </c>
      <c r="E22" s="15" t="s">
        <v>89</v>
      </c>
      <c r="F22" s="3" t="s">
        <v>22</v>
      </c>
      <c r="H22" s="6"/>
      <c r="I22" s="6"/>
      <c r="J22" s="6"/>
      <c r="K22" s="6"/>
      <c r="L22" s="6"/>
      <c r="M22" s="16"/>
    </row>
    <row r="23">
      <c r="A23" s="3" t="s">
        <v>17</v>
      </c>
      <c r="B23" s="4" t="s">
        <v>18</v>
      </c>
      <c r="C23" s="3" t="s">
        <v>19</v>
      </c>
      <c r="D23" s="3" t="s">
        <v>90</v>
      </c>
      <c r="E23" s="15" t="s">
        <v>91</v>
      </c>
      <c r="F23" s="3" t="s">
        <v>22</v>
      </c>
      <c r="H23" s="6"/>
      <c r="I23" s="6"/>
      <c r="J23" s="6"/>
      <c r="K23" s="6"/>
      <c r="L23" s="6"/>
      <c r="M23" s="16"/>
    </row>
    <row r="24">
      <c r="A24" s="3" t="s">
        <v>69</v>
      </c>
      <c r="B24" s="4" t="s">
        <v>31</v>
      </c>
      <c r="C24" s="3">
        <v>2519.0</v>
      </c>
      <c r="D24" s="3"/>
      <c r="E24" s="17">
        <v>45838.5937037037</v>
      </c>
      <c r="F24" s="3" t="s">
        <v>27</v>
      </c>
      <c r="G24" s="3" t="s">
        <v>92</v>
      </c>
      <c r="H24" s="6"/>
      <c r="I24" s="6"/>
      <c r="J24" s="6"/>
      <c r="K24" s="6"/>
      <c r="L24" s="9"/>
      <c r="M24" s="18"/>
      <c r="O24" s="19" t="str">
        <f t="shared" ref="O24:O477" si="1">IF(LEFT(B24,1)="2","NSW",IF(LEFT(B24,1)="3","VIC",IF(LEFT(B24,1)="4","QLD",IF(LEFT(B24,1)="5","SA",IF(LEFT(B24,1)="6","WA","")))))</f>
        <v/>
      </c>
    </row>
    <row r="25">
      <c r="A25" s="3" t="s">
        <v>50</v>
      </c>
      <c r="B25" s="4" t="s">
        <v>18</v>
      </c>
      <c r="C25" s="3">
        <v>4209.0</v>
      </c>
      <c r="D25" s="3"/>
      <c r="E25" s="17">
        <v>45838.59475694445</v>
      </c>
      <c r="F25" s="3" t="s">
        <v>93</v>
      </c>
      <c r="G25" s="3" t="s">
        <v>92</v>
      </c>
      <c r="H25" s="6"/>
      <c r="I25" s="6"/>
      <c r="J25" s="6"/>
      <c r="K25" s="6"/>
      <c r="L25" s="9"/>
      <c r="M25" s="16"/>
      <c r="O25" s="19" t="str">
        <f t="shared" si="1"/>
        <v/>
      </c>
    </row>
    <row r="26">
      <c r="A26" s="3" t="s">
        <v>23</v>
      </c>
      <c r="B26" s="4" t="s">
        <v>18</v>
      </c>
      <c r="C26" s="3">
        <v>4558.0</v>
      </c>
      <c r="D26" s="3" t="s">
        <v>94</v>
      </c>
      <c r="E26" s="17">
        <v>45838.59483796296</v>
      </c>
      <c r="F26" s="3" t="s">
        <v>27</v>
      </c>
      <c r="G26" s="3" t="s">
        <v>92</v>
      </c>
      <c r="H26" s="9" t="s">
        <v>95</v>
      </c>
      <c r="I26" s="9">
        <v>6.1421586336E10</v>
      </c>
      <c r="J26" s="10" t="s">
        <v>96</v>
      </c>
      <c r="K26" s="9">
        <v>0.0</v>
      </c>
      <c r="L26" s="9"/>
      <c r="M26" s="16"/>
      <c r="O26" s="19" t="str">
        <f t="shared" si="1"/>
        <v/>
      </c>
    </row>
    <row r="27">
      <c r="A27" s="3" t="s">
        <v>57</v>
      </c>
      <c r="B27" s="4" t="s">
        <v>18</v>
      </c>
      <c r="C27" s="3">
        <v>4560.0</v>
      </c>
      <c r="D27" s="3"/>
      <c r="E27" s="17">
        <v>45838.59490740741</v>
      </c>
      <c r="F27" s="3" t="s">
        <v>27</v>
      </c>
      <c r="G27" s="3" t="s">
        <v>92</v>
      </c>
      <c r="H27" s="6"/>
      <c r="I27" s="6"/>
      <c r="J27" s="6"/>
      <c r="K27" s="6"/>
      <c r="L27" s="9"/>
      <c r="M27" s="16"/>
      <c r="O27" s="19" t="str">
        <f t="shared" si="1"/>
        <v/>
      </c>
    </row>
    <row r="28">
      <c r="A28" s="3" t="s">
        <v>97</v>
      </c>
      <c r="B28" s="4" t="s">
        <v>18</v>
      </c>
      <c r="C28" s="3">
        <v>4565.0</v>
      </c>
      <c r="D28" s="3"/>
      <c r="E28" s="17">
        <v>45839.737233796295</v>
      </c>
      <c r="F28" s="3" t="s">
        <v>27</v>
      </c>
      <c r="G28" s="3" t="s">
        <v>92</v>
      </c>
      <c r="H28" s="6"/>
      <c r="I28" s="6"/>
      <c r="J28" s="6"/>
      <c r="K28" s="6"/>
      <c r="M28" s="16"/>
      <c r="O28" s="19" t="str">
        <f t="shared" si="1"/>
        <v/>
      </c>
    </row>
    <row r="29">
      <c r="A29" s="3" t="s">
        <v>98</v>
      </c>
      <c r="B29" s="4" t="s">
        <v>31</v>
      </c>
      <c r="C29" s="3" t="s">
        <v>99</v>
      </c>
      <c r="D29" s="3" t="s">
        <v>100</v>
      </c>
      <c r="E29" s="13">
        <v>45695.0</v>
      </c>
      <c r="F29" s="3" t="s">
        <v>27</v>
      </c>
      <c r="G29" s="3"/>
      <c r="H29" s="6"/>
      <c r="I29" s="6"/>
      <c r="J29" s="6"/>
      <c r="K29" s="6"/>
      <c r="L29" s="6"/>
      <c r="M29" s="14"/>
      <c r="O29" s="19" t="str">
        <f t="shared" si="1"/>
        <v/>
      </c>
    </row>
    <row r="30">
      <c r="A30" s="3" t="s">
        <v>61</v>
      </c>
      <c r="B30" s="4" t="s">
        <v>18</v>
      </c>
      <c r="C30" s="3">
        <v>4115.0</v>
      </c>
      <c r="D30" s="3"/>
      <c r="E30" s="17">
        <v>45841.42758101851</v>
      </c>
      <c r="F30" s="3" t="s">
        <v>27</v>
      </c>
      <c r="G30" s="3" t="s">
        <v>92</v>
      </c>
      <c r="H30" s="6"/>
      <c r="I30" s="6"/>
      <c r="J30" s="6"/>
      <c r="K30" s="6"/>
      <c r="L30" s="6"/>
      <c r="M30" s="18"/>
      <c r="O30" s="19" t="str">
        <f t="shared" si="1"/>
        <v/>
      </c>
    </row>
    <row r="31">
      <c r="A31" s="3" t="s">
        <v>101</v>
      </c>
      <c r="B31" s="4" t="s">
        <v>18</v>
      </c>
      <c r="C31" s="3">
        <v>4226.0</v>
      </c>
      <c r="D31" s="3" t="s">
        <v>102</v>
      </c>
      <c r="E31" s="17">
        <v>45842.5308912037</v>
      </c>
      <c r="F31" s="3" t="s">
        <v>27</v>
      </c>
      <c r="G31" s="3" t="s">
        <v>92</v>
      </c>
      <c r="H31" s="6"/>
      <c r="I31" s="6"/>
      <c r="J31" s="6"/>
      <c r="K31" s="6"/>
      <c r="L31" s="6"/>
      <c r="M31" s="18"/>
      <c r="O31" s="19" t="str">
        <f t="shared" si="1"/>
        <v/>
      </c>
    </row>
    <row r="32">
      <c r="A32" s="3" t="s">
        <v>17</v>
      </c>
      <c r="B32" s="4" t="s">
        <v>18</v>
      </c>
      <c r="C32" s="3">
        <v>4214.0</v>
      </c>
      <c r="D32" s="3"/>
      <c r="E32" s="17">
        <v>45842.53256944444</v>
      </c>
      <c r="F32" s="3" t="s">
        <v>103</v>
      </c>
      <c r="G32" s="3" t="s">
        <v>92</v>
      </c>
      <c r="H32" s="6"/>
      <c r="I32" s="6"/>
      <c r="J32" s="6"/>
      <c r="K32" s="6"/>
      <c r="L32" s="6"/>
      <c r="M32" s="18"/>
      <c r="O32" s="19" t="str">
        <f t="shared" si="1"/>
        <v/>
      </c>
    </row>
    <row r="33">
      <c r="A33" s="3" t="s">
        <v>104</v>
      </c>
      <c r="B33" s="4" t="s">
        <v>18</v>
      </c>
      <c r="C33" s="20">
        <v>4403.0</v>
      </c>
      <c r="E33" s="21">
        <v>25569.946226851855</v>
      </c>
      <c r="F33" s="22" t="s">
        <v>103</v>
      </c>
      <c r="G33" s="3" t="s">
        <v>92</v>
      </c>
      <c r="H33" s="23" t="s">
        <v>105</v>
      </c>
      <c r="I33" s="20">
        <v>61412741274</v>
      </c>
      <c r="J33" s="23" t="s">
        <v>106</v>
      </c>
      <c r="K33" s="6"/>
      <c r="L33" s="6"/>
      <c r="M33" s="18"/>
      <c r="O33" s="19" t="str">
        <f t="shared" si="1"/>
        <v/>
      </c>
    </row>
    <row r="34">
      <c r="A34" s="3" t="s">
        <v>107</v>
      </c>
      <c r="B34" s="4" t="s">
        <v>18</v>
      </c>
      <c r="C34" s="24">
        <v>4507.0</v>
      </c>
      <c r="D34" s="23"/>
      <c r="E34" s="21">
        <v>45842.55434027778</v>
      </c>
      <c r="F34" s="22" t="s">
        <v>93</v>
      </c>
      <c r="G34" s="3" t="s">
        <v>92</v>
      </c>
      <c r="H34" s="6"/>
      <c r="I34" s="6"/>
      <c r="J34" s="6"/>
      <c r="K34" s="6"/>
      <c r="L34" s="6"/>
      <c r="M34" s="18"/>
      <c r="O34" s="19" t="str">
        <f t="shared" si="1"/>
        <v/>
      </c>
    </row>
    <row r="35">
      <c r="A35" s="3" t="s">
        <v>108</v>
      </c>
      <c r="B35" s="4" t="s">
        <v>109</v>
      </c>
      <c r="C35" s="24">
        <v>5125.0</v>
      </c>
      <c r="D35" s="23"/>
      <c r="E35" s="21">
        <v>45845.42542824074</v>
      </c>
      <c r="F35" s="22" t="s">
        <v>103</v>
      </c>
      <c r="G35" s="3" t="s">
        <v>92</v>
      </c>
      <c r="H35" s="6"/>
      <c r="I35" s="6"/>
      <c r="J35" s="6"/>
      <c r="K35" s="6"/>
      <c r="L35" s="6"/>
      <c r="M35" s="18"/>
      <c r="O35" s="19" t="str">
        <f t="shared" si="1"/>
        <v/>
      </c>
    </row>
    <row r="36">
      <c r="A36" s="3" t="s">
        <v>107</v>
      </c>
      <c r="B36" s="4" t="s">
        <v>18</v>
      </c>
      <c r="C36" s="24" t="s">
        <v>110</v>
      </c>
      <c r="D36" s="22" t="s">
        <v>111</v>
      </c>
      <c r="E36" s="21">
        <v>25569.94763888889</v>
      </c>
      <c r="F36" s="22" t="s">
        <v>27</v>
      </c>
      <c r="G36" s="3"/>
      <c r="H36" s="6"/>
      <c r="I36" s="6"/>
      <c r="J36" s="6"/>
      <c r="K36" s="6"/>
      <c r="L36" s="6"/>
      <c r="M36" s="18"/>
      <c r="O36" s="19" t="str">
        <f t="shared" si="1"/>
        <v/>
      </c>
    </row>
    <row r="37">
      <c r="A37" s="3" t="s">
        <v>112</v>
      </c>
      <c r="B37" s="4" t="s">
        <v>18</v>
      </c>
      <c r="C37" s="24">
        <v>4006.0</v>
      </c>
      <c r="D37" s="22"/>
      <c r="E37" s="21">
        <v>45846.78907407408</v>
      </c>
      <c r="F37" s="22" t="s">
        <v>27</v>
      </c>
      <c r="G37" s="3" t="s">
        <v>92</v>
      </c>
      <c r="H37" s="6"/>
      <c r="I37" s="6"/>
      <c r="J37" s="6"/>
      <c r="K37" s="6"/>
      <c r="L37" s="6"/>
      <c r="M37" s="18"/>
      <c r="O37" s="19" t="str">
        <f t="shared" si="1"/>
        <v/>
      </c>
    </row>
    <row r="38">
      <c r="A38" s="3" t="s">
        <v>113</v>
      </c>
      <c r="B38" s="4" t="s">
        <v>18</v>
      </c>
      <c r="C38" s="24">
        <v>4217.0</v>
      </c>
      <c r="D38" s="22"/>
      <c r="E38" s="21">
        <v>45847.5715162037</v>
      </c>
      <c r="F38" s="22" t="s">
        <v>93</v>
      </c>
      <c r="G38" s="3" t="s">
        <v>92</v>
      </c>
      <c r="H38" s="6"/>
      <c r="I38" s="6"/>
      <c r="J38" s="6"/>
      <c r="K38" s="6"/>
      <c r="L38" s="6"/>
      <c r="M38" s="18"/>
      <c r="O38" s="19" t="str">
        <f t="shared" si="1"/>
        <v/>
      </c>
    </row>
    <row r="39">
      <c r="A39" s="3" t="s">
        <v>114</v>
      </c>
      <c r="B39" s="4" t="s">
        <v>31</v>
      </c>
      <c r="C39" s="24">
        <v>2021.0</v>
      </c>
      <c r="D39" s="22"/>
      <c r="E39" s="21">
        <v>45848.752592592595</v>
      </c>
      <c r="F39" s="22" t="s">
        <v>103</v>
      </c>
      <c r="G39" s="3" t="s">
        <v>92</v>
      </c>
      <c r="H39" s="6"/>
      <c r="I39" s="6"/>
      <c r="J39" s="6"/>
      <c r="K39" s="6"/>
      <c r="L39" s="6"/>
      <c r="M39" s="18"/>
      <c r="O39" s="19" t="str">
        <f t="shared" si="1"/>
        <v/>
      </c>
    </row>
    <row r="40">
      <c r="A40" s="3" t="s">
        <v>107</v>
      </c>
      <c r="B40" s="4" t="s">
        <v>18</v>
      </c>
      <c r="C40" s="24">
        <v>4506.0</v>
      </c>
      <c r="D40" s="22"/>
      <c r="E40" s="21">
        <v>45848.75267361111</v>
      </c>
      <c r="F40" s="22" t="s">
        <v>27</v>
      </c>
      <c r="G40" s="3" t="s">
        <v>92</v>
      </c>
      <c r="H40" s="6"/>
      <c r="I40" s="6"/>
      <c r="J40" s="6"/>
      <c r="K40" s="6"/>
      <c r="L40" s="6"/>
      <c r="M40" s="18"/>
      <c r="O40" s="19" t="str">
        <f t="shared" si="1"/>
        <v/>
      </c>
    </row>
    <row r="41">
      <c r="A41" s="3" t="s">
        <v>101</v>
      </c>
      <c r="B41" s="4" t="s">
        <v>18</v>
      </c>
      <c r="C41" s="24">
        <v>4211.0</v>
      </c>
      <c r="D41" s="22"/>
      <c r="E41" s="21">
        <v>45848.752754629626</v>
      </c>
      <c r="F41" s="22" t="s">
        <v>93</v>
      </c>
      <c r="G41" s="3" t="s">
        <v>92</v>
      </c>
      <c r="H41" s="6"/>
      <c r="I41" s="6"/>
      <c r="J41" s="6"/>
      <c r="K41" s="6"/>
      <c r="L41" s="6"/>
      <c r="M41" s="18"/>
      <c r="O41" s="19" t="str">
        <f t="shared" si="1"/>
        <v/>
      </c>
    </row>
    <row r="42">
      <c r="A42" s="3" t="s">
        <v>108</v>
      </c>
      <c r="B42" s="4" t="s">
        <v>109</v>
      </c>
      <c r="C42" s="24">
        <v>5011.0</v>
      </c>
      <c r="D42" s="22"/>
      <c r="E42" s="21">
        <v>45849.38346064815</v>
      </c>
      <c r="F42" s="22" t="s">
        <v>103</v>
      </c>
      <c r="G42" s="3" t="s">
        <v>92</v>
      </c>
      <c r="H42" s="6"/>
      <c r="I42" s="6"/>
      <c r="J42" s="6"/>
      <c r="K42" s="6"/>
      <c r="L42" s="6"/>
      <c r="M42" s="18"/>
      <c r="O42" s="19" t="str">
        <f t="shared" si="1"/>
        <v/>
      </c>
    </row>
    <row r="43">
      <c r="A43" s="3" t="s">
        <v>69</v>
      </c>
      <c r="B43" s="4" t="s">
        <v>31</v>
      </c>
      <c r="C43" s="24">
        <v>2505.0</v>
      </c>
      <c r="D43" s="22"/>
      <c r="E43" s="21">
        <v>45849.38359953704</v>
      </c>
      <c r="F43" s="22" t="s">
        <v>27</v>
      </c>
      <c r="G43" s="3" t="s">
        <v>92</v>
      </c>
      <c r="H43" s="6"/>
      <c r="I43" s="6"/>
      <c r="J43" s="6"/>
      <c r="K43" s="6"/>
      <c r="L43" s="6"/>
      <c r="M43" s="18"/>
      <c r="O43" s="19" t="str">
        <f t="shared" si="1"/>
        <v/>
      </c>
    </row>
    <row r="44">
      <c r="A44" s="3" t="s">
        <v>108</v>
      </c>
      <c r="B44" s="4" t="s">
        <v>109</v>
      </c>
      <c r="C44" s="24">
        <v>5125.0</v>
      </c>
      <c r="D44" s="22"/>
      <c r="E44" s="21">
        <v>45849.38574074074</v>
      </c>
      <c r="F44" s="22" t="s">
        <v>103</v>
      </c>
      <c r="G44" s="3" t="s">
        <v>92</v>
      </c>
      <c r="H44" s="6"/>
      <c r="I44" s="6"/>
      <c r="J44" s="6"/>
      <c r="K44" s="6"/>
      <c r="L44" s="6"/>
      <c r="M44" s="18"/>
      <c r="O44" s="19" t="str">
        <f t="shared" si="1"/>
        <v/>
      </c>
    </row>
    <row r="45">
      <c r="A45" s="3" t="s">
        <v>44</v>
      </c>
      <c r="B45" s="4" t="s">
        <v>45</v>
      </c>
      <c r="C45" s="24" t="s">
        <v>46</v>
      </c>
      <c r="D45" s="22" t="s">
        <v>115</v>
      </c>
      <c r="E45" s="21">
        <v>25569.949050925927</v>
      </c>
      <c r="F45" s="22" t="s">
        <v>27</v>
      </c>
      <c r="G45" s="3"/>
      <c r="H45" s="6"/>
      <c r="I45" s="6"/>
      <c r="J45" s="6"/>
      <c r="K45" s="6"/>
      <c r="L45" s="6"/>
      <c r="M45" s="18"/>
      <c r="O45" s="19" t="str">
        <f t="shared" si="1"/>
        <v/>
      </c>
    </row>
    <row r="46">
      <c r="A46" s="3" t="s">
        <v>44</v>
      </c>
      <c r="B46" s="4" t="s">
        <v>45</v>
      </c>
      <c r="C46" s="24">
        <v>6034.0</v>
      </c>
      <c r="D46" s="22"/>
      <c r="E46" s="21">
        <v>45850.44605324074</v>
      </c>
      <c r="F46" s="22" t="s">
        <v>27</v>
      </c>
      <c r="G46" s="3" t="s">
        <v>92</v>
      </c>
      <c r="H46" s="6"/>
      <c r="I46" s="6"/>
      <c r="J46" s="6"/>
      <c r="K46" s="6"/>
      <c r="L46" s="6"/>
      <c r="M46" s="18"/>
      <c r="O46" s="19" t="str">
        <f t="shared" si="1"/>
        <v/>
      </c>
    </row>
    <row r="47">
      <c r="A47" s="3" t="s">
        <v>108</v>
      </c>
      <c r="B47" s="4" t="s">
        <v>109</v>
      </c>
      <c r="C47" s="24">
        <v>5074.0</v>
      </c>
      <c r="D47" s="22"/>
      <c r="E47" s="21">
        <v>45850.4462037037</v>
      </c>
      <c r="F47" s="22" t="s">
        <v>103</v>
      </c>
      <c r="G47" s="3" t="s">
        <v>92</v>
      </c>
      <c r="H47" s="6"/>
      <c r="I47" s="6"/>
      <c r="J47" s="6"/>
      <c r="K47" s="6"/>
      <c r="L47" s="6"/>
      <c r="M47" s="18"/>
      <c r="O47" s="19" t="str">
        <f t="shared" si="1"/>
        <v/>
      </c>
    </row>
    <row r="48">
      <c r="A48" s="3" t="s">
        <v>61</v>
      </c>
      <c r="B48" s="4" t="s">
        <v>18</v>
      </c>
      <c r="C48" s="24">
        <v>4116.0</v>
      </c>
      <c r="D48" s="22"/>
      <c r="E48" s="21">
        <v>45850.44636574074</v>
      </c>
      <c r="F48" s="22" t="s">
        <v>27</v>
      </c>
      <c r="G48" s="3" t="s">
        <v>92</v>
      </c>
      <c r="H48" s="6"/>
      <c r="I48" s="6"/>
      <c r="J48" s="6"/>
      <c r="K48" s="6"/>
      <c r="L48" s="6"/>
      <c r="M48" s="18"/>
      <c r="O48" s="19" t="str">
        <f t="shared" si="1"/>
        <v/>
      </c>
    </row>
    <row r="49">
      <c r="A49" s="3" t="s">
        <v>35</v>
      </c>
      <c r="B49" s="4" t="s">
        <v>36</v>
      </c>
      <c r="C49" s="24">
        <v>3162.0</v>
      </c>
      <c r="D49" s="22"/>
      <c r="E49" s="21">
        <v>45850.7865162037</v>
      </c>
      <c r="F49" s="22" t="s">
        <v>93</v>
      </c>
      <c r="G49" s="3" t="s">
        <v>92</v>
      </c>
      <c r="H49" s="6"/>
      <c r="I49" s="6"/>
      <c r="J49" s="6"/>
      <c r="K49" s="6"/>
      <c r="L49" s="6"/>
      <c r="M49" s="18"/>
      <c r="O49" s="19" t="str">
        <f t="shared" si="1"/>
        <v/>
      </c>
    </row>
    <row r="50">
      <c r="A50" s="3" t="s">
        <v>112</v>
      </c>
      <c r="B50" s="4" t="s">
        <v>18</v>
      </c>
      <c r="C50" s="24">
        <v>4006.0</v>
      </c>
      <c r="D50" s="22"/>
      <c r="E50" s="21">
        <v>45850.78666666666</v>
      </c>
      <c r="F50" s="22" t="s">
        <v>27</v>
      </c>
      <c r="G50" s="3" t="s">
        <v>92</v>
      </c>
      <c r="H50" s="6"/>
      <c r="I50" s="6"/>
      <c r="J50" s="6"/>
      <c r="K50" s="6"/>
      <c r="L50" s="6"/>
      <c r="M50" s="18"/>
      <c r="O50" s="19" t="str">
        <f t="shared" si="1"/>
        <v/>
      </c>
    </row>
    <row r="51">
      <c r="A51" s="3" t="s">
        <v>116</v>
      </c>
      <c r="B51" s="4" t="s">
        <v>31</v>
      </c>
      <c r="C51" s="24">
        <v>2097.0</v>
      </c>
      <c r="D51" s="22"/>
      <c r="E51" s="21">
        <v>45850.786944444444</v>
      </c>
      <c r="F51" s="22" t="s">
        <v>27</v>
      </c>
      <c r="G51" s="3" t="s">
        <v>92</v>
      </c>
      <c r="H51" s="6"/>
      <c r="I51" s="6"/>
      <c r="J51" s="6"/>
      <c r="K51" s="6"/>
      <c r="L51" s="6"/>
      <c r="M51" s="18"/>
      <c r="O51" s="19" t="str">
        <f t="shared" si="1"/>
        <v/>
      </c>
    </row>
    <row r="52">
      <c r="A52" s="3" t="s">
        <v>113</v>
      </c>
      <c r="B52" s="4" t="s">
        <v>18</v>
      </c>
      <c r="C52" s="24">
        <v>4228.0</v>
      </c>
      <c r="D52" s="22"/>
      <c r="E52" s="21">
        <v>45852.388402777775</v>
      </c>
      <c r="F52" s="22" t="s">
        <v>27</v>
      </c>
      <c r="G52" s="3" t="s">
        <v>92</v>
      </c>
      <c r="H52" s="6"/>
      <c r="I52" s="6"/>
      <c r="J52" s="6"/>
      <c r="K52" s="6"/>
      <c r="L52" s="6"/>
      <c r="M52" s="18"/>
      <c r="O52" s="19" t="str">
        <f t="shared" si="1"/>
        <v/>
      </c>
    </row>
    <row r="53">
      <c r="A53" s="3" t="s">
        <v>112</v>
      </c>
      <c r="B53" s="4" t="s">
        <v>18</v>
      </c>
      <c r="C53" s="24">
        <v>4031.0</v>
      </c>
      <c r="D53" s="22"/>
      <c r="E53" s="21">
        <v>45852.3887962963</v>
      </c>
      <c r="F53" s="22" t="s">
        <v>27</v>
      </c>
      <c r="G53" s="3" t="s">
        <v>92</v>
      </c>
      <c r="H53" s="6"/>
      <c r="I53" s="6"/>
      <c r="J53" s="6"/>
      <c r="K53" s="6"/>
      <c r="L53" s="6"/>
      <c r="M53" s="18"/>
      <c r="O53" s="19" t="str">
        <f t="shared" si="1"/>
        <v/>
      </c>
    </row>
    <row r="54">
      <c r="A54" s="3" t="s">
        <v>117</v>
      </c>
      <c r="B54" s="4" t="s">
        <v>18</v>
      </c>
      <c r="C54" s="24">
        <v>4157.0</v>
      </c>
      <c r="D54" s="22"/>
      <c r="E54" s="21">
        <v>45852.389340277776</v>
      </c>
      <c r="F54" s="22" t="s">
        <v>93</v>
      </c>
      <c r="G54" s="3" t="s">
        <v>92</v>
      </c>
      <c r="H54" s="6"/>
      <c r="I54" s="6"/>
      <c r="J54" s="6"/>
      <c r="K54" s="6"/>
      <c r="L54" s="6"/>
      <c r="M54" s="18"/>
      <c r="O54" s="19" t="str">
        <f t="shared" si="1"/>
        <v/>
      </c>
    </row>
    <row r="55">
      <c r="A55" s="3" t="s">
        <v>17</v>
      </c>
      <c r="B55" s="4" t="s">
        <v>18</v>
      </c>
      <c r="C55" s="24">
        <v>4216.0</v>
      </c>
      <c r="D55" s="22"/>
      <c r="E55" s="21">
        <v>45852.389456018514</v>
      </c>
      <c r="F55" s="22" t="s">
        <v>93</v>
      </c>
      <c r="G55" s="3" t="s">
        <v>92</v>
      </c>
      <c r="H55" s="6"/>
      <c r="I55" s="6"/>
      <c r="J55" s="6"/>
      <c r="K55" s="6"/>
      <c r="L55" s="6"/>
      <c r="M55" s="18"/>
      <c r="O55" s="19" t="str">
        <f t="shared" si="1"/>
        <v/>
      </c>
    </row>
    <row r="56">
      <c r="A56" s="3" t="s">
        <v>112</v>
      </c>
      <c r="B56" s="4" t="s">
        <v>18</v>
      </c>
      <c r="C56" s="24">
        <v>4005.0</v>
      </c>
      <c r="D56" s="22"/>
      <c r="E56" s="21">
        <v>45852.38974537037</v>
      </c>
      <c r="F56" s="22" t="s">
        <v>103</v>
      </c>
      <c r="G56" s="3" t="s">
        <v>92</v>
      </c>
      <c r="H56" s="6"/>
      <c r="I56" s="6"/>
      <c r="J56" s="6"/>
      <c r="K56" s="6"/>
      <c r="L56" s="6"/>
      <c r="M56" s="18"/>
      <c r="O56" s="19" t="str">
        <f t="shared" si="1"/>
        <v/>
      </c>
    </row>
    <row r="57">
      <c r="A57" s="3" t="s">
        <v>113</v>
      </c>
      <c r="B57" s="4" t="s">
        <v>18</v>
      </c>
      <c r="C57" s="24">
        <v>4220.0</v>
      </c>
      <c r="D57" s="22"/>
      <c r="E57" s="21">
        <v>45852.38991898148</v>
      </c>
      <c r="F57" s="22" t="s">
        <v>27</v>
      </c>
      <c r="G57" s="3" t="s">
        <v>92</v>
      </c>
      <c r="H57" s="6"/>
      <c r="I57" s="6"/>
      <c r="J57" s="6"/>
      <c r="K57" s="6"/>
      <c r="L57" s="6"/>
      <c r="M57" s="18"/>
      <c r="O57" s="19" t="str">
        <f t="shared" si="1"/>
        <v/>
      </c>
    </row>
    <row r="58">
      <c r="A58" s="3" t="s">
        <v>23</v>
      </c>
      <c r="B58" s="4" t="s">
        <v>18</v>
      </c>
      <c r="C58" s="24">
        <v>4556.0</v>
      </c>
      <c r="D58" s="22"/>
      <c r="E58" s="21">
        <v>45853.65819444444</v>
      </c>
      <c r="F58" s="22" t="s">
        <v>27</v>
      </c>
      <c r="G58" s="3" t="s">
        <v>92</v>
      </c>
      <c r="H58" s="9" t="s">
        <v>118</v>
      </c>
      <c r="I58" s="9">
        <v>6.1432549092E10</v>
      </c>
      <c r="J58" s="10" t="s">
        <v>119</v>
      </c>
      <c r="K58" s="9">
        <v>0.0</v>
      </c>
      <c r="L58" s="6"/>
      <c r="M58" s="18"/>
      <c r="O58" s="19" t="str">
        <f t="shared" si="1"/>
        <v/>
      </c>
    </row>
    <row r="59">
      <c r="A59" s="3" t="s">
        <v>120</v>
      </c>
      <c r="B59" s="4" t="s">
        <v>31</v>
      </c>
      <c r="C59" s="24">
        <v>2750.0</v>
      </c>
      <c r="D59" s="22"/>
      <c r="E59" s="21">
        <v>45853.6583449074</v>
      </c>
      <c r="F59" s="22" t="s">
        <v>27</v>
      </c>
      <c r="G59" s="3" t="s">
        <v>92</v>
      </c>
      <c r="H59" s="6"/>
      <c r="I59" s="6"/>
      <c r="J59" s="6"/>
      <c r="K59" s="6"/>
      <c r="L59" s="6"/>
      <c r="M59" s="18"/>
      <c r="O59" s="19" t="str">
        <f t="shared" si="1"/>
        <v/>
      </c>
    </row>
    <row r="60">
      <c r="A60" s="3" t="s">
        <v>108</v>
      </c>
      <c r="B60" s="4" t="s">
        <v>109</v>
      </c>
      <c r="C60" s="24">
        <v>5087.0</v>
      </c>
      <c r="D60" s="22"/>
      <c r="E60" s="21">
        <v>45853.65851851852</v>
      </c>
      <c r="F60" s="22" t="s">
        <v>103</v>
      </c>
      <c r="G60" s="3" t="s">
        <v>92</v>
      </c>
      <c r="H60" s="6"/>
      <c r="I60" s="6"/>
      <c r="J60" s="6"/>
      <c r="K60" s="6"/>
      <c r="L60" s="6"/>
      <c r="M60" s="18"/>
      <c r="O60" s="19" t="str">
        <f t="shared" si="1"/>
        <v/>
      </c>
    </row>
    <row r="61">
      <c r="A61" s="3" t="s">
        <v>113</v>
      </c>
      <c r="B61" s="4" t="s">
        <v>18</v>
      </c>
      <c r="C61" s="24">
        <v>4226.0</v>
      </c>
      <c r="D61" s="22"/>
      <c r="E61" s="21">
        <v>45853.65877314815</v>
      </c>
      <c r="F61" s="22" t="s">
        <v>27</v>
      </c>
      <c r="G61" s="3" t="s">
        <v>92</v>
      </c>
      <c r="H61" s="6"/>
      <c r="I61" s="6"/>
      <c r="J61" s="6"/>
      <c r="K61" s="6"/>
      <c r="L61" s="6"/>
      <c r="M61" s="18"/>
      <c r="O61" s="19" t="str">
        <f t="shared" si="1"/>
        <v/>
      </c>
    </row>
    <row r="62">
      <c r="A62" s="3" t="s">
        <v>104</v>
      </c>
      <c r="B62" s="4" t="s">
        <v>18</v>
      </c>
      <c r="C62" s="24">
        <v>4352.0</v>
      </c>
      <c r="D62" s="22"/>
      <c r="E62" s="21">
        <v>45853.65892361111</v>
      </c>
      <c r="F62" s="22" t="s">
        <v>93</v>
      </c>
      <c r="G62" s="3" t="s">
        <v>92</v>
      </c>
      <c r="H62" s="6"/>
      <c r="I62" s="6"/>
      <c r="J62" s="6"/>
      <c r="K62" s="6"/>
      <c r="L62" s="6"/>
      <c r="M62" s="18"/>
      <c r="O62" s="19" t="str">
        <f t="shared" si="1"/>
        <v/>
      </c>
    </row>
    <row r="63">
      <c r="A63" s="3" t="s">
        <v>97</v>
      </c>
      <c r="B63" s="4" t="s">
        <v>18</v>
      </c>
      <c r="C63" s="24">
        <v>4573.0</v>
      </c>
      <c r="D63" s="22"/>
      <c r="E63" s="21">
        <v>45854.74967592592</v>
      </c>
      <c r="F63" s="22" t="s">
        <v>27</v>
      </c>
      <c r="G63" s="3" t="s">
        <v>92</v>
      </c>
      <c r="H63" s="6"/>
      <c r="I63" s="6"/>
      <c r="J63" s="6"/>
      <c r="K63" s="6"/>
      <c r="L63" s="6"/>
      <c r="M63" s="18"/>
      <c r="O63" s="19" t="str">
        <f t="shared" si="1"/>
        <v/>
      </c>
    </row>
    <row r="64">
      <c r="A64" s="3" t="s">
        <v>50</v>
      </c>
      <c r="B64" s="4" t="s">
        <v>18</v>
      </c>
      <c r="C64" s="24">
        <v>4208.0</v>
      </c>
      <c r="D64" s="22"/>
      <c r="E64" s="17" t="s">
        <v>121</v>
      </c>
      <c r="F64" s="22" t="s">
        <v>27</v>
      </c>
      <c r="G64" s="3" t="s">
        <v>92</v>
      </c>
      <c r="H64" s="6"/>
      <c r="I64" s="6"/>
      <c r="J64" s="6"/>
      <c r="K64" s="6"/>
      <c r="L64" s="6"/>
      <c r="M64" s="18"/>
      <c r="O64" s="19" t="str">
        <f t="shared" si="1"/>
        <v/>
      </c>
    </row>
    <row r="65">
      <c r="A65" s="23" t="s">
        <v>104</v>
      </c>
      <c r="B65" s="4" t="s">
        <v>18</v>
      </c>
      <c r="C65" s="3">
        <v>4350.0</v>
      </c>
      <c r="E65" s="17" t="s">
        <v>121</v>
      </c>
      <c r="F65" s="3" t="s">
        <v>27</v>
      </c>
      <c r="G65" s="3" t="s">
        <v>92</v>
      </c>
      <c r="H65" s="6"/>
      <c r="I65" s="6"/>
      <c r="J65" s="6"/>
      <c r="K65" s="6"/>
      <c r="L65" s="6"/>
      <c r="M65" s="18"/>
      <c r="O65" s="19" t="str">
        <f t="shared" si="1"/>
        <v/>
      </c>
    </row>
    <row r="66">
      <c r="A66" s="22" t="s">
        <v>112</v>
      </c>
      <c r="B66" s="4" t="s">
        <v>18</v>
      </c>
      <c r="C66" s="3">
        <v>4000.0</v>
      </c>
      <c r="E66" s="17" t="s">
        <v>121</v>
      </c>
      <c r="F66" s="3" t="s">
        <v>27</v>
      </c>
      <c r="G66" s="3" t="s">
        <v>92</v>
      </c>
      <c r="H66" s="6"/>
      <c r="I66" s="6"/>
      <c r="J66" s="6"/>
      <c r="K66" s="6"/>
      <c r="L66" s="6"/>
      <c r="M66" s="18"/>
      <c r="O66" s="19" t="str">
        <f t="shared" si="1"/>
        <v/>
      </c>
    </row>
    <row r="67">
      <c r="A67" s="22" t="s">
        <v>104</v>
      </c>
      <c r="B67" s="4" t="s">
        <v>18</v>
      </c>
      <c r="C67" s="3">
        <v>4350.0</v>
      </c>
      <c r="E67" s="17" t="s">
        <v>121</v>
      </c>
      <c r="F67" s="3" t="s">
        <v>27</v>
      </c>
      <c r="G67" s="3" t="s">
        <v>92</v>
      </c>
      <c r="H67" s="6"/>
      <c r="I67" s="6"/>
      <c r="J67" s="6"/>
      <c r="K67" s="6"/>
      <c r="L67" s="6"/>
      <c r="M67" s="18"/>
      <c r="O67" s="19" t="str">
        <f t="shared" si="1"/>
        <v/>
      </c>
    </row>
    <row r="68">
      <c r="A68" s="22" t="s">
        <v>23</v>
      </c>
      <c r="B68" s="4" t="s">
        <v>18</v>
      </c>
      <c r="C68" s="3">
        <v>4556.0</v>
      </c>
      <c r="E68" s="17" t="s">
        <v>121</v>
      </c>
      <c r="F68" s="3" t="s">
        <v>27</v>
      </c>
      <c r="G68" s="3" t="s">
        <v>92</v>
      </c>
      <c r="H68" s="9" t="s">
        <v>122</v>
      </c>
      <c r="I68" s="9">
        <v>6.1410501018E10</v>
      </c>
      <c r="J68" s="10" t="s">
        <v>123</v>
      </c>
      <c r="K68" s="9">
        <v>0.0</v>
      </c>
      <c r="L68" s="6"/>
      <c r="M68" s="18"/>
      <c r="O68" s="19" t="str">
        <f t="shared" si="1"/>
        <v/>
      </c>
    </row>
    <row r="69">
      <c r="A69" s="22" t="s">
        <v>113</v>
      </c>
      <c r="B69" s="4" t="s">
        <v>18</v>
      </c>
      <c r="C69" s="3">
        <v>4218.0</v>
      </c>
      <c r="E69" s="17" t="s">
        <v>121</v>
      </c>
      <c r="F69" s="3" t="s">
        <v>27</v>
      </c>
      <c r="G69" s="3" t="s">
        <v>92</v>
      </c>
      <c r="H69" s="6"/>
      <c r="I69" s="6"/>
      <c r="J69" s="6"/>
      <c r="K69" s="6"/>
      <c r="L69" s="6"/>
      <c r="M69" s="18"/>
      <c r="O69" s="19" t="str">
        <f t="shared" si="1"/>
        <v/>
      </c>
    </row>
    <row r="70">
      <c r="A70" s="22" t="s">
        <v>116</v>
      </c>
      <c r="B70" s="4" t="s">
        <v>31</v>
      </c>
      <c r="C70" s="3">
        <v>2086.0</v>
      </c>
      <c r="E70" s="17" t="s">
        <v>124</v>
      </c>
      <c r="F70" s="3" t="s">
        <v>93</v>
      </c>
      <c r="G70" s="3" t="s">
        <v>92</v>
      </c>
      <c r="H70" s="6"/>
      <c r="I70" s="6"/>
      <c r="J70" s="6"/>
      <c r="K70" s="6"/>
      <c r="L70" s="6"/>
      <c r="M70" s="18"/>
      <c r="O70" s="19" t="str">
        <f t="shared" si="1"/>
        <v/>
      </c>
    </row>
    <row r="71">
      <c r="A71" s="22" t="s">
        <v>104</v>
      </c>
      <c r="B71" s="4" t="s">
        <v>18</v>
      </c>
      <c r="C71" s="3">
        <v>4350.0</v>
      </c>
      <c r="E71" s="17" t="s">
        <v>124</v>
      </c>
      <c r="F71" s="3" t="s">
        <v>27</v>
      </c>
      <c r="G71" s="3" t="s">
        <v>92</v>
      </c>
      <c r="H71" s="6"/>
      <c r="I71" s="6"/>
      <c r="J71" s="6"/>
      <c r="K71" s="6"/>
      <c r="L71" s="6"/>
      <c r="M71" s="18"/>
      <c r="O71" s="19" t="str">
        <f t="shared" si="1"/>
        <v/>
      </c>
    </row>
    <row r="72">
      <c r="A72" s="22" t="s">
        <v>17</v>
      </c>
      <c r="B72" s="4" t="s">
        <v>18</v>
      </c>
      <c r="C72" s="3">
        <v>4214.0</v>
      </c>
      <c r="E72" s="17" t="s">
        <v>124</v>
      </c>
      <c r="F72" s="3" t="s">
        <v>103</v>
      </c>
      <c r="G72" s="3" t="s">
        <v>92</v>
      </c>
      <c r="H72" s="6"/>
      <c r="I72" s="6"/>
      <c r="J72" s="6"/>
      <c r="K72" s="6"/>
      <c r="L72" s="6"/>
      <c r="M72" s="18"/>
      <c r="O72" s="19" t="str">
        <f t="shared" si="1"/>
        <v/>
      </c>
    </row>
    <row r="73">
      <c r="A73" s="22" t="s">
        <v>44</v>
      </c>
      <c r="B73" s="4" t="s">
        <v>45</v>
      </c>
      <c r="C73" s="3">
        <v>6030.0</v>
      </c>
      <c r="E73" s="17" t="s">
        <v>124</v>
      </c>
      <c r="F73" s="3" t="s">
        <v>27</v>
      </c>
      <c r="G73" s="3" t="s">
        <v>92</v>
      </c>
      <c r="H73" s="6"/>
      <c r="I73" s="6"/>
      <c r="J73" s="6"/>
      <c r="K73" s="6"/>
      <c r="L73" s="6"/>
      <c r="M73" s="18"/>
      <c r="O73" s="19" t="str">
        <f t="shared" si="1"/>
        <v/>
      </c>
    </row>
    <row r="74">
      <c r="A74" s="22" t="s">
        <v>44</v>
      </c>
      <c r="B74" s="4" t="s">
        <v>45</v>
      </c>
      <c r="C74" s="3">
        <v>6026.0</v>
      </c>
      <c r="E74" s="17">
        <v>45857.865706018514</v>
      </c>
      <c r="F74" s="3" t="s">
        <v>27</v>
      </c>
      <c r="G74" s="3" t="s">
        <v>92</v>
      </c>
      <c r="H74" s="6"/>
      <c r="I74" s="6"/>
      <c r="J74" s="6"/>
      <c r="K74" s="6"/>
      <c r="L74" s="6"/>
      <c r="M74" s="18"/>
      <c r="O74" s="19" t="str">
        <f t="shared" si="1"/>
        <v/>
      </c>
    </row>
    <row r="75">
      <c r="A75" s="22" t="s">
        <v>125</v>
      </c>
      <c r="B75" s="4" t="s">
        <v>31</v>
      </c>
      <c r="C75" s="3">
        <v>2099.0</v>
      </c>
      <c r="E75" s="17">
        <v>45859.39407407407</v>
      </c>
      <c r="F75" s="3" t="s">
        <v>27</v>
      </c>
      <c r="G75" s="3" t="s">
        <v>92</v>
      </c>
      <c r="H75" s="6"/>
      <c r="I75" s="6"/>
      <c r="J75" s="6"/>
      <c r="K75" s="6"/>
      <c r="L75" s="6"/>
      <c r="M75" s="18"/>
      <c r="O75" s="19" t="str">
        <f t="shared" si="1"/>
        <v/>
      </c>
    </row>
    <row r="76">
      <c r="A76" s="23" t="s">
        <v>126</v>
      </c>
      <c r="B76" s="4" t="s">
        <v>18</v>
      </c>
      <c r="C76" s="23" t="s">
        <v>127</v>
      </c>
      <c r="D76" s="23" t="s">
        <v>128</v>
      </c>
      <c r="E76" s="17"/>
      <c r="F76" s="3" t="s">
        <v>27</v>
      </c>
      <c r="G76" s="3" t="s">
        <v>129</v>
      </c>
      <c r="H76" s="6"/>
      <c r="I76" s="6"/>
      <c r="J76" s="6"/>
      <c r="K76" s="6"/>
      <c r="L76" s="6"/>
      <c r="M76" s="18"/>
      <c r="O76" s="19" t="str">
        <f t="shared" si="1"/>
        <v/>
      </c>
    </row>
    <row r="77">
      <c r="A77" s="23" t="s">
        <v>108</v>
      </c>
      <c r="B77" s="4" t="s">
        <v>109</v>
      </c>
      <c r="C77" s="23" t="s">
        <v>130</v>
      </c>
      <c r="D77" s="23" t="s">
        <v>131</v>
      </c>
      <c r="E77" s="17"/>
      <c r="F77" s="3" t="s">
        <v>103</v>
      </c>
      <c r="G77" s="3" t="s">
        <v>129</v>
      </c>
      <c r="H77" s="6"/>
      <c r="I77" s="6"/>
      <c r="J77" s="6"/>
      <c r="K77" s="6"/>
      <c r="L77" s="6"/>
      <c r="M77" s="18"/>
      <c r="O77" s="19" t="str">
        <f t="shared" si="1"/>
        <v/>
      </c>
    </row>
    <row r="78">
      <c r="A78" s="23" t="s">
        <v>77</v>
      </c>
      <c r="B78" s="4" t="s">
        <v>18</v>
      </c>
      <c r="C78" s="23" t="s">
        <v>132</v>
      </c>
      <c r="D78" s="23" t="s">
        <v>133</v>
      </c>
      <c r="E78" s="17"/>
      <c r="F78" s="3" t="s">
        <v>27</v>
      </c>
      <c r="G78" s="3" t="s">
        <v>129</v>
      </c>
      <c r="H78" s="6"/>
      <c r="I78" s="6"/>
      <c r="J78" s="6"/>
      <c r="K78" s="6"/>
      <c r="L78" s="6"/>
      <c r="M78" s="18"/>
      <c r="O78" s="19" t="str">
        <f t="shared" si="1"/>
        <v/>
      </c>
    </row>
    <row r="79">
      <c r="A79" s="23" t="s">
        <v>134</v>
      </c>
      <c r="B79" s="4" t="s">
        <v>31</v>
      </c>
      <c r="C79" s="23" t="s">
        <v>135</v>
      </c>
      <c r="D79" s="23" t="s">
        <v>136</v>
      </c>
      <c r="E79" s="17"/>
      <c r="F79" s="3" t="s">
        <v>27</v>
      </c>
      <c r="G79" s="3" t="s">
        <v>129</v>
      </c>
      <c r="H79" s="6"/>
      <c r="I79" s="6"/>
      <c r="J79" s="6"/>
      <c r="K79" s="6"/>
      <c r="L79" s="6"/>
      <c r="M79" s="18"/>
      <c r="O79" s="19" t="str">
        <f t="shared" si="1"/>
        <v/>
      </c>
    </row>
    <row r="80">
      <c r="A80" s="23" t="s">
        <v>137</v>
      </c>
      <c r="B80" s="4" t="s">
        <v>18</v>
      </c>
      <c r="C80" s="23" t="s">
        <v>127</v>
      </c>
      <c r="D80" s="23" t="s">
        <v>138</v>
      </c>
      <c r="E80" s="17"/>
      <c r="F80" s="3" t="s">
        <v>27</v>
      </c>
      <c r="G80" s="3" t="s">
        <v>129</v>
      </c>
      <c r="H80" s="6"/>
      <c r="I80" s="6"/>
      <c r="J80" s="6"/>
      <c r="K80" s="6"/>
      <c r="L80" s="6"/>
      <c r="M80" s="18"/>
      <c r="O80" s="19" t="str">
        <f t="shared" si="1"/>
        <v/>
      </c>
    </row>
    <row r="81">
      <c r="A81" s="23" t="s">
        <v>61</v>
      </c>
      <c r="B81" s="4" t="s">
        <v>18</v>
      </c>
      <c r="C81" s="23" t="s">
        <v>139</v>
      </c>
      <c r="D81" s="23" t="s">
        <v>140</v>
      </c>
      <c r="E81" s="17"/>
      <c r="F81" s="3" t="s">
        <v>27</v>
      </c>
      <c r="G81" s="3" t="s">
        <v>129</v>
      </c>
      <c r="H81" s="6"/>
      <c r="I81" s="6"/>
      <c r="J81" s="6"/>
      <c r="K81" s="6"/>
      <c r="L81" s="6"/>
      <c r="M81" s="18"/>
      <c r="O81" s="19" t="str">
        <f t="shared" si="1"/>
        <v/>
      </c>
    </row>
    <row r="82">
      <c r="A82" s="23" t="s">
        <v>61</v>
      </c>
      <c r="B82" s="4" t="s">
        <v>18</v>
      </c>
      <c r="C82" s="23" t="s">
        <v>141</v>
      </c>
      <c r="D82" s="23" t="s">
        <v>142</v>
      </c>
      <c r="E82" s="17"/>
      <c r="F82" s="3" t="s">
        <v>27</v>
      </c>
      <c r="G82" s="3" t="s">
        <v>129</v>
      </c>
      <c r="H82" s="6"/>
      <c r="I82" s="6"/>
      <c r="J82" s="6"/>
      <c r="K82" s="6"/>
      <c r="L82" s="6"/>
      <c r="M82" s="18"/>
      <c r="O82" s="19" t="str">
        <f t="shared" si="1"/>
        <v/>
      </c>
    </row>
    <row r="83">
      <c r="A83" s="23" t="s">
        <v>30</v>
      </c>
      <c r="B83" s="4" t="s">
        <v>31</v>
      </c>
      <c r="C83" s="23" t="s">
        <v>143</v>
      </c>
      <c r="D83" s="23" t="s">
        <v>144</v>
      </c>
      <c r="E83" s="17"/>
      <c r="F83" s="3" t="s">
        <v>103</v>
      </c>
      <c r="G83" s="3" t="s">
        <v>129</v>
      </c>
      <c r="H83" s="6"/>
      <c r="I83" s="6"/>
      <c r="J83" s="6"/>
      <c r="K83" s="6"/>
      <c r="L83" s="6"/>
      <c r="M83" s="18"/>
      <c r="O83" s="19" t="str">
        <f t="shared" si="1"/>
        <v/>
      </c>
    </row>
    <row r="84">
      <c r="A84" s="23" t="s">
        <v>145</v>
      </c>
      <c r="B84" s="4" t="s">
        <v>109</v>
      </c>
      <c r="C84" s="23" t="s">
        <v>146</v>
      </c>
      <c r="D84" s="23" t="s">
        <v>147</v>
      </c>
      <c r="E84" s="17"/>
      <c r="F84" s="3" t="s">
        <v>27</v>
      </c>
      <c r="G84" s="3" t="s">
        <v>129</v>
      </c>
      <c r="H84" s="6"/>
      <c r="I84" s="6"/>
      <c r="J84" s="6"/>
      <c r="K84" s="6"/>
      <c r="L84" s="6"/>
      <c r="M84" s="18"/>
      <c r="O84" s="19" t="str">
        <f t="shared" si="1"/>
        <v/>
      </c>
    </row>
    <row r="85">
      <c r="A85" s="23" t="s">
        <v>44</v>
      </c>
      <c r="B85" s="4" t="s">
        <v>45</v>
      </c>
      <c r="C85" s="23" t="s">
        <v>148</v>
      </c>
      <c r="D85" s="23" t="s">
        <v>149</v>
      </c>
      <c r="E85" s="17"/>
      <c r="F85" s="3" t="s">
        <v>27</v>
      </c>
      <c r="G85" s="3" t="s">
        <v>129</v>
      </c>
      <c r="H85" s="6"/>
      <c r="I85" s="6"/>
      <c r="J85" s="6"/>
      <c r="K85" s="6"/>
      <c r="L85" s="6"/>
      <c r="M85" s="18"/>
      <c r="O85" s="19" t="str">
        <f t="shared" si="1"/>
        <v/>
      </c>
    </row>
    <row r="86">
      <c r="A86" s="23" t="s">
        <v>150</v>
      </c>
      <c r="B86" s="4" t="s">
        <v>36</v>
      </c>
      <c r="C86" s="23" t="s">
        <v>151</v>
      </c>
      <c r="D86" s="23" t="s">
        <v>152</v>
      </c>
      <c r="E86" s="17"/>
      <c r="F86" s="3" t="s">
        <v>27</v>
      </c>
      <c r="G86" s="3" t="s">
        <v>129</v>
      </c>
      <c r="H86" s="6"/>
      <c r="I86" s="6"/>
      <c r="J86" s="6"/>
      <c r="K86" s="6"/>
      <c r="L86" s="6"/>
      <c r="M86" s="18"/>
      <c r="O86" s="19" t="str">
        <f t="shared" si="1"/>
        <v/>
      </c>
    </row>
    <row r="87">
      <c r="A87" s="23" t="s">
        <v>108</v>
      </c>
      <c r="B87" s="4" t="s">
        <v>109</v>
      </c>
      <c r="C87" s="23" t="s">
        <v>153</v>
      </c>
      <c r="D87" s="23" t="s">
        <v>154</v>
      </c>
      <c r="E87" s="17"/>
      <c r="F87" s="3" t="s">
        <v>103</v>
      </c>
      <c r="G87" s="3" t="s">
        <v>129</v>
      </c>
      <c r="H87" s="6"/>
      <c r="I87" s="6"/>
      <c r="J87" s="6"/>
      <c r="K87" s="6"/>
      <c r="L87" s="6"/>
      <c r="M87" s="18"/>
      <c r="O87" s="19" t="str">
        <f t="shared" si="1"/>
        <v/>
      </c>
    </row>
    <row r="88">
      <c r="A88" s="23" t="s">
        <v>155</v>
      </c>
      <c r="B88" s="4" t="s">
        <v>18</v>
      </c>
      <c r="C88" s="23" t="s">
        <v>156</v>
      </c>
      <c r="D88" s="23" t="s">
        <v>157</v>
      </c>
      <c r="E88" s="17"/>
      <c r="F88" s="3" t="s">
        <v>27</v>
      </c>
      <c r="G88" s="3" t="s">
        <v>129</v>
      </c>
      <c r="H88" s="6"/>
      <c r="I88" s="6"/>
      <c r="J88" s="6"/>
      <c r="K88" s="6"/>
      <c r="L88" s="6"/>
      <c r="M88" s="18"/>
      <c r="O88" s="19" t="str">
        <f t="shared" si="1"/>
        <v/>
      </c>
    </row>
    <row r="89">
      <c r="A89" s="23" t="s">
        <v>158</v>
      </c>
      <c r="B89" s="4" t="s">
        <v>31</v>
      </c>
      <c r="C89" s="23" t="s">
        <v>159</v>
      </c>
      <c r="D89" s="23" t="s">
        <v>160</v>
      </c>
      <c r="E89" s="17"/>
      <c r="F89" s="3" t="s">
        <v>27</v>
      </c>
      <c r="G89" s="3" t="s">
        <v>129</v>
      </c>
      <c r="H89" s="6"/>
      <c r="I89" s="6"/>
      <c r="J89" s="6"/>
      <c r="K89" s="6"/>
      <c r="L89" s="6"/>
      <c r="M89" s="18"/>
      <c r="O89" s="19" t="str">
        <f t="shared" si="1"/>
        <v/>
      </c>
    </row>
    <row r="90">
      <c r="A90" s="23" t="s">
        <v>161</v>
      </c>
      <c r="B90" s="4" t="s">
        <v>18</v>
      </c>
      <c r="C90" s="23" t="s">
        <v>162</v>
      </c>
      <c r="D90" s="23" t="s">
        <v>163</v>
      </c>
      <c r="E90" s="17"/>
      <c r="F90" s="3" t="s">
        <v>27</v>
      </c>
      <c r="G90" s="3" t="s">
        <v>129</v>
      </c>
      <c r="H90" s="6"/>
      <c r="I90" s="6"/>
      <c r="J90" s="6"/>
      <c r="K90" s="6"/>
      <c r="L90" s="6"/>
      <c r="M90" s="18"/>
      <c r="O90" s="19" t="str">
        <f t="shared" si="1"/>
        <v/>
      </c>
    </row>
    <row r="91">
      <c r="A91" s="23" t="s">
        <v>112</v>
      </c>
      <c r="B91" s="4" t="s">
        <v>18</v>
      </c>
      <c r="C91" s="23" t="s">
        <v>164</v>
      </c>
      <c r="D91" s="23" t="s">
        <v>165</v>
      </c>
      <c r="E91" s="17"/>
      <c r="F91" s="3" t="s">
        <v>27</v>
      </c>
      <c r="G91" s="3" t="s">
        <v>129</v>
      </c>
      <c r="H91" s="6"/>
      <c r="I91" s="6"/>
      <c r="J91" s="6"/>
      <c r="K91" s="6"/>
      <c r="L91" s="6"/>
      <c r="M91" s="18"/>
      <c r="O91" s="19" t="str">
        <f t="shared" si="1"/>
        <v/>
      </c>
    </row>
    <row r="92">
      <c r="A92" s="23" t="s">
        <v>17</v>
      </c>
      <c r="B92" s="4" t="s">
        <v>18</v>
      </c>
      <c r="C92" s="23" t="s">
        <v>166</v>
      </c>
      <c r="D92" s="23" t="s">
        <v>167</v>
      </c>
      <c r="E92" s="17"/>
      <c r="F92" s="3" t="s">
        <v>27</v>
      </c>
      <c r="G92" s="3" t="s">
        <v>129</v>
      </c>
      <c r="H92" s="6"/>
      <c r="I92" s="6"/>
      <c r="J92" s="6"/>
      <c r="K92" s="6"/>
      <c r="L92" s="6"/>
      <c r="M92" s="18"/>
      <c r="O92" s="19" t="str">
        <f t="shared" si="1"/>
        <v/>
      </c>
    </row>
    <row r="93">
      <c r="A93" s="23" t="s">
        <v>168</v>
      </c>
      <c r="B93" s="4" t="s">
        <v>45</v>
      </c>
      <c r="C93" s="23" t="s">
        <v>169</v>
      </c>
      <c r="D93" s="23" t="s">
        <v>170</v>
      </c>
      <c r="E93" s="17"/>
      <c r="F93" s="3" t="s">
        <v>27</v>
      </c>
      <c r="G93" s="3" t="s">
        <v>129</v>
      </c>
      <c r="H93" s="6"/>
      <c r="I93" s="6"/>
      <c r="J93" s="6"/>
      <c r="K93" s="6"/>
      <c r="L93" s="6"/>
      <c r="M93" s="18"/>
      <c r="O93" s="19" t="str">
        <f t="shared" si="1"/>
        <v/>
      </c>
    </row>
    <row r="94">
      <c r="A94" s="22" t="s">
        <v>112</v>
      </c>
      <c r="B94" s="4" t="s">
        <v>18</v>
      </c>
      <c r="C94" s="22" t="s">
        <v>171</v>
      </c>
      <c r="D94" s="22" t="s">
        <v>172</v>
      </c>
      <c r="E94" s="17">
        <v>45859.0</v>
      </c>
      <c r="F94" s="3" t="s">
        <v>27</v>
      </c>
      <c r="G94" s="3" t="s">
        <v>129</v>
      </c>
      <c r="H94" s="6"/>
      <c r="I94" s="6"/>
      <c r="J94" s="6"/>
      <c r="K94" s="6"/>
      <c r="L94" s="6"/>
      <c r="M94" s="18"/>
      <c r="O94" s="19" t="str">
        <f t="shared" si="1"/>
        <v/>
      </c>
    </row>
    <row r="95">
      <c r="A95" s="22" t="s">
        <v>112</v>
      </c>
      <c r="B95" s="4" t="s">
        <v>18</v>
      </c>
      <c r="C95" s="22" t="s">
        <v>173</v>
      </c>
      <c r="D95" s="22" t="s">
        <v>174</v>
      </c>
      <c r="E95" s="17">
        <v>45859.0</v>
      </c>
      <c r="F95" s="3" t="s">
        <v>27</v>
      </c>
      <c r="G95" s="3" t="s">
        <v>129</v>
      </c>
      <c r="H95" s="6"/>
      <c r="I95" s="6"/>
      <c r="J95" s="6"/>
      <c r="K95" s="6"/>
      <c r="L95" s="6"/>
      <c r="M95" s="18"/>
      <c r="O95" s="19" t="str">
        <f t="shared" si="1"/>
        <v/>
      </c>
    </row>
    <row r="96">
      <c r="A96" s="22" t="s">
        <v>50</v>
      </c>
      <c r="B96" s="4" t="s">
        <v>18</v>
      </c>
      <c r="C96" s="22">
        <v>4209.0</v>
      </c>
      <c r="D96" s="22"/>
      <c r="E96" s="17">
        <v>45859.0</v>
      </c>
      <c r="F96" s="3" t="s">
        <v>27</v>
      </c>
      <c r="G96" s="3" t="s">
        <v>92</v>
      </c>
      <c r="H96" s="6"/>
      <c r="I96" s="6"/>
      <c r="J96" s="6"/>
      <c r="K96" s="6"/>
      <c r="L96" s="6"/>
      <c r="M96" s="18"/>
      <c r="O96" s="19" t="str">
        <f t="shared" si="1"/>
        <v/>
      </c>
    </row>
    <row r="97">
      <c r="A97" s="22" t="s">
        <v>137</v>
      </c>
      <c r="B97" s="4" t="s">
        <v>18</v>
      </c>
      <c r="C97" s="22">
        <v>4217.0</v>
      </c>
      <c r="D97" s="22"/>
      <c r="E97" s="17">
        <v>45859.0</v>
      </c>
      <c r="F97" s="3" t="s">
        <v>93</v>
      </c>
      <c r="G97" s="3" t="s">
        <v>92</v>
      </c>
      <c r="H97" s="6"/>
      <c r="I97" s="6"/>
      <c r="J97" s="6"/>
      <c r="K97" s="6"/>
      <c r="L97" s="6"/>
      <c r="M97" s="18"/>
      <c r="O97" s="19" t="str">
        <f t="shared" si="1"/>
        <v/>
      </c>
    </row>
    <row r="98">
      <c r="A98" s="22" t="s">
        <v>113</v>
      </c>
      <c r="B98" s="4" t="s">
        <v>18</v>
      </c>
      <c r="C98" s="22" t="s">
        <v>175</v>
      </c>
      <c r="D98" s="22" t="s">
        <v>176</v>
      </c>
      <c r="E98" s="17">
        <v>45860.0</v>
      </c>
      <c r="F98" s="3" t="s">
        <v>27</v>
      </c>
      <c r="G98" s="3" t="s">
        <v>92</v>
      </c>
      <c r="H98" s="6"/>
      <c r="I98" s="6"/>
      <c r="J98" s="6"/>
      <c r="K98" s="6"/>
      <c r="L98" s="6"/>
      <c r="M98" s="18"/>
      <c r="O98" s="19" t="str">
        <f t="shared" si="1"/>
        <v/>
      </c>
    </row>
    <row r="99">
      <c r="A99" s="22" t="s">
        <v>104</v>
      </c>
      <c r="B99" s="4" t="s">
        <v>18</v>
      </c>
      <c r="C99" s="22" t="s">
        <v>177</v>
      </c>
      <c r="D99" s="22"/>
      <c r="E99" s="17">
        <v>45860.0</v>
      </c>
      <c r="F99" s="3" t="s">
        <v>27</v>
      </c>
      <c r="G99" s="3" t="s">
        <v>92</v>
      </c>
      <c r="H99" s="6"/>
      <c r="I99" s="6"/>
      <c r="J99" s="6"/>
      <c r="K99" s="6"/>
      <c r="L99" s="6"/>
      <c r="M99" s="18"/>
      <c r="O99" s="19" t="str">
        <f t="shared" si="1"/>
        <v/>
      </c>
    </row>
    <row r="100">
      <c r="A100" s="22" t="s">
        <v>112</v>
      </c>
      <c r="B100" s="4" t="s">
        <v>18</v>
      </c>
      <c r="C100" s="22">
        <v>4065.0</v>
      </c>
      <c r="D100" s="22"/>
      <c r="E100" s="17">
        <v>45860.0</v>
      </c>
      <c r="F100" s="3" t="s">
        <v>27</v>
      </c>
      <c r="G100" s="3" t="s">
        <v>92</v>
      </c>
      <c r="H100" s="6"/>
      <c r="I100" s="6"/>
      <c r="J100" s="6"/>
      <c r="K100" s="6"/>
      <c r="L100" s="6"/>
      <c r="M100" s="18"/>
      <c r="O100" s="19" t="str">
        <f t="shared" si="1"/>
        <v/>
      </c>
    </row>
    <row r="101">
      <c r="A101" s="22" t="s">
        <v>113</v>
      </c>
      <c r="B101" s="4" t="s">
        <v>18</v>
      </c>
      <c r="C101" s="22" t="s">
        <v>178</v>
      </c>
      <c r="D101" s="22"/>
      <c r="E101" s="17">
        <v>45860.0</v>
      </c>
      <c r="F101" s="3" t="s">
        <v>27</v>
      </c>
      <c r="G101" s="3" t="s">
        <v>92</v>
      </c>
      <c r="H101" s="6"/>
      <c r="I101" s="6"/>
      <c r="J101" s="6"/>
      <c r="K101" s="6"/>
      <c r="L101" s="6"/>
      <c r="M101" s="18"/>
      <c r="O101" s="19" t="str">
        <f t="shared" si="1"/>
        <v/>
      </c>
    </row>
    <row r="102">
      <c r="A102" s="22" t="s">
        <v>17</v>
      </c>
      <c r="B102" s="4" t="s">
        <v>18</v>
      </c>
      <c r="C102" s="22" t="s">
        <v>179</v>
      </c>
      <c r="D102" s="22" t="s">
        <v>180</v>
      </c>
      <c r="E102" s="17">
        <v>45861.0</v>
      </c>
      <c r="F102" s="3" t="s">
        <v>103</v>
      </c>
      <c r="G102" s="3" t="s">
        <v>92</v>
      </c>
      <c r="H102" s="6"/>
      <c r="I102" s="6"/>
      <c r="J102" s="6"/>
      <c r="K102" s="6"/>
      <c r="L102" s="6"/>
      <c r="M102" s="18"/>
      <c r="O102" s="19" t="str">
        <f t="shared" si="1"/>
        <v/>
      </c>
    </row>
    <row r="103">
      <c r="A103" s="22" t="s">
        <v>113</v>
      </c>
      <c r="B103" s="4" t="s">
        <v>18</v>
      </c>
      <c r="C103" s="22">
        <v>4220.0</v>
      </c>
      <c r="D103" s="22"/>
      <c r="E103" s="17">
        <v>45861.0</v>
      </c>
      <c r="F103" s="3" t="s">
        <v>27</v>
      </c>
      <c r="G103" s="3" t="s">
        <v>92</v>
      </c>
      <c r="H103" s="6"/>
      <c r="I103" s="6"/>
      <c r="J103" s="6"/>
      <c r="K103" s="6"/>
      <c r="L103" s="6"/>
      <c r="M103" s="18"/>
      <c r="O103" s="19" t="str">
        <f t="shared" si="1"/>
        <v/>
      </c>
    </row>
    <row r="104">
      <c r="A104" s="22" t="s">
        <v>181</v>
      </c>
      <c r="B104" s="4" t="s">
        <v>18</v>
      </c>
      <c r="C104" s="22" t="s">
        <v>182</v>
      </c>
      <c r="D104" s="22" t="s">
        <v>183</v>
      </c>
      <c r="E104" s="17">
        <v>45861.0</v>
      </c>
      <c r="F104" s="3" t="s">
        <v>27</v>
      </c>
      <c r="G104" s="3" t="s">
        <v>129</v>
      </c>
      <c r="H104" s="6"/>
      <c r="I104" s="6"/>
      <c r="J104" s="6"/>
      <c r="K104" s="6"/>
      <c r="L104" s="6"/>
      <c r="M104" s="18"/>
      <c r="O104" s="19" t="str">
        <f t="shared" si="1"/>
        <v/>
      </c>
    </row>
    <row r="105">
      <c r="A105" s="22" t="s">
        <v>184</v>
      </c>
      <c r="B105" s="4" t="s">
        <v>18</v>
      </c>
      <c r="C105" s="22" t="s">
        <v>185</v>
      </c>
      <c r="D105" s="22" t="s">
        <v>186</v>
      </c>
      <c r="E105" s="17" t="s">
        <v>187</v>
      </c>
      <c r="F105" s="3" t="s">
        <v>27</v>
      </c>
      <c r="G105" s="3"/>
      <c r="H105" s="6"/>
      <c r="I105" s="6"/>
      <c r="J105" s="6"/>
      <c r="K105" s="6"/>
      <c r="L105" s="6"/>
      <c r="M105" s="18"/>
      <c r="O105" s="19" t="str">
        <f t="shared" si="1"/>
        <v/>
      </c>
    </row>
    <row r="106">
      <c r="A106" s="22" t="s">
        <v>168</v>
      </c>
      <c r="B106" s="4" t="s">
        <v>45</v>
      </c>
      <c r="C106" s="22" t="s">
        <v>188</v>
      </c>
      <c r="D106" s="22" t="s">
        <v>189</v>
      </c>
      <c r="E106" s="17" t="s">
        <v>187</v>
      </c>
      <c r="F106" s="3" t="s">
        <v>27</v>
      </c>
      <c r="G106" s="3"/>
      <c r="H106" s="6"/>
      <c r="I106" s="6"/>
      <c r="J106" s="6"/>
      <c r="K106" s="6"/>
      <c r="L106" s="6"/>
      <c r="M106" s="18"/>
      <c r="O106" s="19" t="str">
        <f t="shared" si="1"/>
        <v/>
      </c>
    </row>
    <row r="107">
      <c r="A107" s="22" t="s">
        <v>44</v>
      </c>
      <c r="B107" s="4" t="s">
        <v>45</v>
      </c>
      <c r="C107" s="22" t="s">
        <v>46</v>
      </c>
      <c r="D107" s="22" t="s">
        <v>190</v>
      </c>
      <c r="E107" s="17" t="s">
        <v>191</v>
      </c>
      <c r="F107" s="3" t="s">
        <v>27</v>
      </c>
      <c r="G107" s="3"/>
      <c r="H107" s="6"/>
      <c r="I107" s="6"/>
      <c r="J107" s="6"/>
      <c r="K107" s="6"/>
      <c r="L107" s="6"/>
      <c r="M107" s="18"/>
      <c r="O107" s="19" t="str">
        <f t="shared" si="1"/>
        <v/>
      </c>
    </row>
    <row r="108">
      <c r="A108" s="22" t="s">
        <v>125</v>
      </c>
      <c r="B108" s="4" t="s">
        <v>31</v>
      </c>
      <c r="C108" s="22" t="s">
        <v>192</v>
      </c>
      <c r="D108" s="22"/>
      <c r="E108" s="17" t="s">
        <v>191</v>
      </c>
      <c r="F108" s="3" t="s">
        <v>27</v>
      </c>
      <c r="G108" s="3" t="s">
        <v>92</v>
      </c>
      <c r="H108" s="6"/>
      <c r="I108" s="6"/>
      <c r="J108" s="6"/>
      <c r="K108" s="6"/>
      <c r="L108" s="6"/>
      <c r="M108" s="18"/>
      <c r="O108" s="19" t="str">
        <f t="shared" si="1"/>
        <v/>
      </c>
    </row>
    <row r="109">
      <c r="A109" s="22" t="s">
        <v>104</v>
      </c>
      <c r="B109" s="4" t="s">
        <v>18</v>
      </c>
      <c r="C109" s="22" t="s">
        <v>193</v>
      </c>
      <c r="D109" s="22"/>
      <c r="E109" s="17" t="s">
        <v>191</v>
      </c>
      <c r="F109" s="3" t="s">
        <v>27</v>
      </c>
      <c r="G109" s="3" t="s">
        <v>92</v>
      </c>
      <c r="H109" s="6"/>
      <c r="I109" s="6"/>
      <c r="J109" s="6"/>
      <c r="K109" s="6"/>
      <c r="L109" s="6"/>
      <c r="M109" s="18"/>
      <c r="O109" s="19" t="str">
        <f t="shared" si="1"/>
        <v/>
      </c>
    </row>
    <row r="110">
      <c r="A110" s="22" t="s">
        <v>77</v>
      </c>
      <c r="B110" s="4" t="s">
        <v>18</v>
      </c>
      <c r="C110" s="22" t="s">
        <v>194</v>
      </c>
      <c r="D110" s="22"/>
      <c r="E110" s="17" t="s">
        <v>191</v>
      </c>
      <c r="F110" s="3" t="s">
        <v>93</v>
      </c>
      <c r="G110" s="3" t="s">
        <v>92</v>
      </c>
      <c r="H110" s="6"/>
      <c r="I110" s="6"/>
      <c r="J110" s="6"/>
      <c r="K110" s="6"/>
      <c r="L110" s="6"/>
      <c r="M110" s="18"/>
      <c r="O110" s="19" t="str">
        <f t="shared" si="1"/>
        <v/>
      </c>
    </row>
    <row r="111">
      <c r="A111" s="22" t="s">
        <v>195</v>
      </c>
      <c r="B111" s="4" t="s">
        <v>18</v>
      </c>
      <c r="C111" s="22">
        <v>4280.0</v>
      </c>
      <c r="D111" s="22"/>
      <c r="E111" s="17" t="s">
        <v>196</v>
      </c>
      <c r="F111" s="3" t="s">
        <v>27</v>
      </c>
      <c r="G111" s="3" t="s">
        <v>92</v>
      </c>
      <c r="H111" s="6"/>
      <c r="I111" s="6"/>
      <c r="J111" s="6"/>
      <c r="K111" s="6"/>
      <c r="L111" s="6"/>
      <c r="M111" s="18"/>
      <c r="O111" s="19" t="str">
        <f t="shared" si="1"/>
        <v/>
      </c>
    </row>
    <row r="112">
      <c r="A112" s="22" t="s">
        <v>77</v>
      </c>
      <c r="B112" s="4" t="s">
        <v>18</v>
      </c>
      <c r="C112" s="22">
        <v>4021.0</v>
      </c>
      <c r="D112" s="22"/>
      <c r="E112" s="17" t="s">
        <v>196</v>
      </c>
      <c r="F112" s="3" t="s">
        <v>27</v>
      </c>
      <c r="G112" s="3" t="s">
        <v>92</v>
      </c>
      <c r="H112" s="6"/>
      <c r="I112" s="6"/>
      <c r="J112" s="6"/>
      <c r="K112" s="6"/>
      <c r="L112" s="6"/>
      <c r="M112" s="18"/>
      <c r="O112" s="19" t="str">
        <f t="shared" si="1"/>
        <v/>
      </c>
    </row>
    <row r="113">
      <c r="A113" s="22" t="s">
        <v>77</v>
      </c>
      <c r="B113" s="4" t="s">
        <v>18</v>
      </c>
      <c r="C113" s="22" t="s">
        <v>197</v>
      </c>
      <c r="D113" s="22"/>
      <c r="E113" s="17" t="s">
        <v>196</v>
      </c>
      <c r="F113" s="3" t="s">
        <v>93</v>
      </c>
      <c r="G113" s="3" t="s">
        <v>92</v>
      </c>
      <c r="H113" s="6"/>
      <c r="I113" s="6"/>
      <c r="J113" s="6"/>
      <c r="K113" s="6"/>
      <c r="L113" s="6"/>
      <c r="M113" s="18"/>
      <c r="O113" s="19" t="str">
        <f t="shared" si="1"/>
        <v/>
      </c>
    </row>
    <row r="114">
      <c r="A114" s="22" t="s">
        <v>77</v>
      </c>
      <c r="B114" s="4" t="s">
        <v>18</v>
      </c>
      <c r="C114" s="22">
        <v>4021.0</v>
      </c>
      <c r="D114" s="22"/>
      <c r="E114" s="17" t="s">
        <v>196</v>
      </c>
      <c r="F114" s="3" t="s">
        <v>27</v>
      </c>
      <c r="G114" s="3" t="s">
        <v>92</v>
      </c>
      <c r="H114" s="6"/>
      <c r="I114" s="6"/>
      <c r="J114" s="6"/>
      <c r="K114" s="6"/>
      <c r="L114" s="6"/>
      <c r="M114" s="18"/>
      <c r="O114" s="19" t="str">
        <f t="shared" si="1"/>
        <v/>
      </c>
    </row>
    <row r="115">
      <c r="A115" s="22" t="s">
        <v>198</v>
      </c>
      <c r="B115" s="4" t="s">
        <v>109</v>
      </c>
      <c r="C115" s="22" t="s">
        <v>199</v>
      </c>
      <c r="D115" s="22" t="s">
        <v>200</v>
      </c>
      <c r="E115" s="17" t="s">
        <v>201</v>
      </c>
      <c r="F115" s="3" t="s">
        <v>27</v>
      </c>
      <c r="G115" s="3" t="s">
        <v>129</v>
      </c>
      <c r="H115" s="6"/>
      <c r="I115" s="6"/>
      <c r="J115" s="6"/>
      <c r="K115" s="6"/>
      <c r="L115" s="6"/>
      <c r="M115" s="18"/>
      <c r="O115" s="19" t="str">
        <f t="shared" si="1"/>
        <v/>
      </c>
    </row>
    <row r="116">
      <c r="A116" s="22" t="s">
        <v>202</v>
      </c>
      <c r="B116" s="4" t="s">
        <v>36</v>
      </c>
      <c r="C116" s="22">
        <v>3804.0</v>
      </c>
      <c r="D116" s="22"/>
      <c r="E116" s="17" t="s">
        <v>201</v>
      </c>
      <c r="F116" s="3" t="s">
        <v>27</v>
      </c>
      <c r="G116" s="3" t="s">
        <v>92</v>
      </c>
      <c r="H116" s="6"/>
      <c r="I116" s="6"/>
      <c r="J116" s="6"/>
      <c r="K116" s="6"/>
      <c r="L116" s="6"/>
      <c r="M116" s="18"/>
      <c r="O116" s="19" t="str">
        <f t="shared" si="1"/>
        <v/>
      </c>
    </row>
    <row r="117">
      <c r="A117" s="22" t="s">
        <v>107</v>
      </c>
      <c r="B117" s="4" t="s">
        <v>18</v>
      </c>
      <c r="C117" s="22">
        <v>4507.0</v>
      </c>
      <c r="D117" s="22"/>
      <c r="E117" s="17" t="s">
        <v>201</v>
      </c>
      <c r="F117" s="3" t="s">
        <v>27</v>
      </c>
      <c r="G117" s="3" t="s">
        <v>92</v>
      </c>
      <c r="H117" s="6"/>
      <c r="I117" s="6"/>
      <c r="J117" s="6"/>
      <c r="K117" s="6"/>
      <c r="L117" s="6"/>
      <c r="M117" s="18"/>
      <c r="O117" s="19" t="str">
        <f t="shared" si="1"/>
        <v/>
      </c>
    </row>
    <row r="118">
      <c r="A118" s="22" t="s">
        <v>23</v>
      </c>
      <c r="B118" s="4" t="s">
        <v>18</v>
      </c>
      <c r="C118" s="22" t="s">
        <v>24</v>
      </c>
      <c r="D118" s="22" t="s">
        <v>203</v>
      </c>
      <c r="E118" s="17" t="s">
        <v>204</v>
      </c>
      <c r="F118" s="3" t="s">
        <v>27</v>
      </c>
      <c r="G118" s="3" t="s">
        <v>92</v>
      </c>
      <c r="H118" s="9" t="s">
        <v>205</v>
      </c>
      <c r="I118" s="9">
        <v>6.1428870961E10</v>
      </c>
      <c r="J118" s="10" t="s">
        <v>206</v>
      </c>
      <c r="K118" s="9">
        <v>0.0</v>
      </c>
      <c r="L118" s="6"/>
      <c r="M118" s="18"/>
      <c r="O118" s="19" t="str">
        <f t="shared" si="1"/>
        <v/>
      </c>
    </row>
    <row r="119">
      <c r="A119" s="22" t="s">
        <v>23</v>
      </c>
      <c r="B119" s="4" t="s">
        <v>18</v>
      </c>
      <c r="C119" s="22" t="s">
        <v>162</v>
      </c>
      <c r="D119" s="22" t="s">
        <v>207</v>
      </c>
      <c r="E119" s="17" t="s">
        <v>204</v>
      </c>
      <c r="F119" s="3" t="s">
        <v>27</v>
      </c>
      <c r="G119" s="3" t="s">
        <v>92</v>
      </c>
      <c r="H119" s="9" t="s">
        <v>208</v>
      </c>
      <c r="I119" s="9">
        <v>6.1438722188E10</v>
      </c>
      <c r="J119" s="10" t="s">
        <v>209</v>
      </c>
      <c r="K119" s="9">
        <v>0.0</v>
      </c>
      <c r="L119" s="6"/>
      <c r="M119" s="18"/>
      <c r="O119" s="19" t="str">
        <f t="shared" si="1"/>
        <v/>
      </c>
    </row>
    <row r="120">
      <c r="A120" s="22" t="s">
        <v>210</v>
      </c>
      <c r="B120" s="4" t="s">
        <v>31</v>
      </c>
      <c r="C120" s="22">
        <v>2567.0</v>
      </c>
      <c r="D120" s="22"/>
      <c r="E120" s="17" t="s">
        <v>204</v>
      </c>
      <c r="F120" s="3" t="s">
        <v>27</v>
      </c>
      <c r="G120" s="3" t="s">
        <v>92</v>
      </c>
      <c r="H120" s="6"/>
      <c r="I120" s="6"/>
      <c r="J120" s="6"/>
      <c r="K120" s="6"/>
      <c r="L120" s="6"/>
      <c r="M120" s="18"/>
      <c r="O120" s="19" t="str">
        <f t="shared" si="1"/>
        <v/>
      </c>
    </row>
    <row r="121">
      <c r="A121" s="22" t="s">
        <v>211</v>
      </c>
      <c r="B121" s="4" t="s">
        <v>36</v>
      </c>
      <c r="C121" s="22" t="s">
        <v>212</v>
      </c>
      <c r="D121" s="22"/>
      <c r="E121" s="17" t="s">
        <v>204</v>
      </c>
      <c r="F121" s="3" t="s">
        <v>27</v>
      </c>
      <c r="G121" s="3" t="s">
        <v>92</v>
      </c>
      <c r="H121" s="6"/>
      <c r="I121" s="6"/>
      <c r="J121" s="6"/>
      <c r="K121" s="6"/>
      <c r="L121" s="6"/>
      <c r="M121" s="18"/>
      <c r="O121" s="19" t="str">
        <f t="shared" si="1"/>
        <v/>
      </c>
    </row>
    <row r="122">
      <c r="A122" s="22" t="s">
        <v>113</v>
      </c>
      <c r="B122" s="4" t="s">
        <v>18</v>
      </c>
      <c r="C122" s="22" t="s">
        <v>213</v>
      </c>
      <c r="D122" s="22" t="s">
        <v>214</v>
      </c>
      <c r="E122" s="17" t="s">
        <v>215</v>
      </c>
      <c r="F122" s="3" t="s">
        <v>27</v>
      </c>
      <c r="G122" s="3" t="s">
        <v>92</v>
      </c>
      <c r="H122" s="6"/>
      <c r="I122" s="6"/>
      <c r="J122" s="6"/>
      <c r="K122" s="6"/>
      <c r="L122" s="6"/>
      <c r="M122" s="18"/>
      <c r="O122" s="19" t="str">
        <f t="shared" si="1"/>
        <v/>
      </c>
    </row>
    <row r="123">
      <c r="A123" s="22" t="s">
        <v>168</v>
      </c>
      <c r="B123" s="4" t="s">
        <v>45</v>
      </c>
      <c r="C123" s="22" t="s">
        <v>216</v>
      </c>
      <c r="D123" s="22" t="s">
        <v>217</v>
      </c>
      <c r="E123" s="17" t="s">
        <v>218</v>
      </c>
      <c r="F123" s="3" t="s">
        <v>27</v>
      </c>
      <c r="G123" s="3" t="s">
        <v>129</v>
      </c>
      <c r="H123" s="6"/>
      <c r="I123" s="6"/>
      <c r="J123" s="6"/>
      <c r="K123" s="6"/>
      <c r="L123" s="6"/>
      <c r="M123" s="18"/>
      <c r="O123" s="19" t="str">
        <f t="shared" si="1"/>
        <v/>
      </c>
    </row>
    <row r="124">
      <c r="A124" s="22" t="s">
        <v>98</v>
      </c>
      <c r="B124" s="4" t="s">
        <v>31</v>
      </c>
      <c r="C124" s="22" t="s">
        <v>219</v>
      </c>
      <c r="D124" s="22"/>
      <c r="E124" s="17" t="s">
        <v>218</v>
      </c>
      <c r="F124" s="3" t="s">
        <v>27</v>
      </c>
      <c r="G124" s="3" t="s">
        <v>92</v>
      </c>
      <c r="H124" s="6"/>
      <c r="I124" s="6"/>
      <c r="J124" s="6"/>
      <c r="K124" s="6"/>
      <c r="L124" s="6"/>
      <c r="M124" s="18"/>
      <c r="O124" s="19" t="str">
        <f t="shared" si="1"/>
        <v/>
      </c>
    </row>
    <row r="125">
      <c r="A125" s="22" t="s">
        <v>61</v>
      </c>
      <c r="B125" s="4" t="s">
        <v>18</v>
      </c>
      <c r="C125" s="22" t="s">
        <v>62</v>
      </c>
      <c r="D125" s="22"/>
      <c r="E125" s="17" t="s">
        <v>218</v>
      </c>
      <c r="F125" s="3" t="s">
        <v>27</v>
      </c>
      <c r="G125" s="3" t="s">
        <v>92</v>
      </c>
      <c r="H125" s="6"/>
      <c r="I125" s="6"/>
      <c r="J125" s="6"/>
      <c r="K125" s="6"/>
      <c r="L125" s="6"/>
      <c r="M125" s="18"/>
      <c r="O125" s="19" t="str">
        <f t="shared" si="1"/>
        <v/>
      </c>
    </row>
    <row r="126">
      <c r="A126" s="22" t="s">
        <v>220</v>
      </c>
      <c r="B126" s="4" t="s">
        <v>221</v>
      </c>
      <c r="C126" s="22" t="s">
        <v>222</v>
      </c>
      <c r="D126" s="22" t="s">
        <v>223</v>
      </c>
      <c r="E126" s="17" t="s">
        <v>218</v>
      </c>
      <c r="F126" s="3" t="s">
        <v>27</v>
      </c>
      <c r="G126" s="3" t="s">
        <v>129</v>
      </c>
      <c r="H126" s="6"/>
      <c r="I126" s="6"/>
      <c r="J126" s="6"/>
      <c r="K126" s="6"/>
      <c r="L126" s="6"/>
      <c r="M126" s="18"/>
      <c r="O126" s="19" t="str">
        <f t="shared" si="1"/>
        <v/>
      </c>
    </row>
    <row r="127">
      <c r="A127" s="22" t="s">
        <v>108</v>
      </c>
      <c r="B127" s="4" t="s">
        <v>109</v>
      </c>
      <c r="C127" s="22" t="s">
        <v>224</v>
      </c>
      <c r="D127" s="22"/>
      <c r="E127" s="17" t="s">
        <v>218</v>
      </c>
      <c r="F127" s="3" t="s">
        <v>103</v>
      </c>
      <c r="G127" s="3" t="s">
        <v>92</v>
      </c>
      <c r="H127" s="6"/>
      <c r="I127" s="6"/>
      <c r="J127" s="6"/>
      <c r="K127" s="6"/>
      <c r="L127" s="6"/>
      <c r="M127" s="18"/>
      <c r="O127" s="19" t="str">
        <f t="shared" si="1"/>
        <v/>
      </c>
    </row>
    <row r="128">
      <c r="A128" s="22" t="s">
        <v>225</v>
      </c>
      <c r="B128" s="4" t="s">
        <v>36</v>
      </c>
      <c r="C128" s="22">
        <v>3757.0</v>
      </c>
      <c r="D128" s="22"/>
      <c r="E128" s="17" t="s">
        <v>218</v>
      </c>
      <c r="F128" s="3" t="s">
        <v>27</v>
      </c>
      <c r="G128" s="3" t="s">
        <v>92</v>
      </c>
      <c r="H128" s="6"/>
      <c r="I128" s="6"/>
      <c r="J128" s="6"/>
      <c r="K128" s="6"/>
      <c r="L128" s="6"/>
      <c r="M128" s="18"/>
      <c r="O128" s="19" t="str">
        <f t="shared" si="1"/>
        <v/>
      </c>
    </row>
    <row r="129">
      <c r="A129" s="22" t="s">
        <v>107</v>
      </c>
      <c r="B129" s="4" t="s">
        <v>18</v>
      </c>
      <c r="C129" s="22" t="s">
        <v>226</v>
      </c>
      <c r="D129" s="22"/>
      <c r="E129" s="17" t="s">
        <v>218</v>
      </c>
      <c r="F129" s="3" t="s">
        <v>27</v>
      </c>
      <c r="G129" s="3" t="s">
        <v>92</v>
      </c>
      <c r="H129" s="6"/>
      <c r="I129" s="6"/>
      <c r="J129" s="6"/>
      <c r="K129" s="6"/>
      <c r="L129" s="6"/>
      <c r="M129" s="18"/>
      <c r="O129" s="19" t="str">
        <f t="shared" si="1"/>
        <v/>
      </c>
    </row>
    <row r="130">
      <c r="A130" s="22" t="s">
        <v>202</v>
      </c>
      <c r="B130" s="4" t="s">
        <v>36</v>
      </c>
      <c r="C130" s="22">
        <v>3806.0</v>
      </c>
      <c r="D130" s="22"/>
      <c r="E130" s="17">
        <v>45665.0</v>
      </c>
      <c r="F130" s="3" t="s">
        <v>27</v>
      </c>
      <c r="G130" s="3" t="s">
        <v>92</v>
      </c>
      <c r="H130" s="6"/>
      <c r="I130" s="6"/>
      <c r="J130" s="6"/>
      <c r="K130" s="6"/>
      <c r="L130" s="6"/>
      <c r="M130" s="18"/>
      <c r="O130" s="19" t="str">
        <f t="shared" si="1"/>
        <v/>
      </c>
    </row>
    <row r="131">
      <c r="A131" s="22" t="s">
        <v>120</v>
      </c>
      <c r="B131" s="4" t="s">
        <v>31</v>
      </c>
      <c r="C131" s="22">
        <v>2747.0</v>
      </c>
      <c r="D131" s="22"/>
      <c r="E131" s="17">
        <v>45665.0</v>
      </c>
      <c r="F131" s="3" t="s">
        <v>27</v>
      </c>
      <c r="G131" s="3" t="s">
        <v>92</v>
      </c>
      <c r="H131" s="6"/>
      <c r="I131" s="6"/>
      <c r="J131" s="6"/>
      <c r="K131" s="6"/>
      <c r="L131" s="6"/>
      <c r="M131" s="18"/>
      <c r="O131" s="19" t="str">
        <f t="shared" si="1"/>
        <v/>
      </c>
    </row>
    <row r="132">
      <c r="A132" s="22" t="s">
        <v>227</v>
      </c>
      <c r="B132" s="4" t="s">
        <v>18</v>
      </c>
      <c r="C132" s="22" t="s">
        <v>228</v>
      </c>
      <c r="D132" s="22" t="s">
        <v>229</v>
      </c>
      <c r="E132" s="17">
        <v>45665.0</v>
      </c>
      <c r="F132" s="3" t="s">
        <v>27</v>
      </c>
      <c r="G132" s="3" t="s">
        <v>92</v>
      </c>
      <c r="H132" s="6"/>
      <c r="I132" s="6"/>
      <c r="J132" s="6"/>
      <c r="K132" s="6"/>
      <c r="L132" s="6"/>
      <c r="M132" s="18"/>
      <c r="O132" s="19" t="str">
        <f t="shared" si="1"/>
        <v/>
      </c>
    </row>
    <row r="133">
      <c r="A133" s="22" t="s">
        <v>120</v>
      </c>
      <c r="B133" s="4" t="s">
        <v>31</v>
      </c>
      <c r="C133" s="22" t="s">
        <v>230</v>
      </c>
      <c r="D133" s="22"/>
      <c r="E133" s="17">
        <v>45665.0</v>
      </c>
      <c r="F133" s="3" t="s">
        <v>27</v>
      </c>
      <c r="G133" s="3" t="s">
        <v>92</v>
      </c>
      <c r="H133" s="6"/>
      <c r="I133" s="6"/>
      <c r="J133" s="6"/>
      <c r="K133" s="6"/>
      <c r="L133" s="6"/>
      <c r="M133" s="18"/>
      <c r="O133" s="19" t="str">
        <f t="shared" si="1"/>
        <v/>
      </c>
    </row>
    <row r="134">
      <c r="A134" s="22" t="s">
        <v>195</v>
      </c>
      <c r="B134" s="4" t="s">
        <v>18</v>
      </c>
      <c r="C134" s="22">
        <v>4133.0</v>
      </c>
      <c r="D134" s="22"/>
      <c r="E134" s="17">
        <v>45665.0</v>
      </c>
      <c r="F134" s="3" t="s">
        <v>27</v>
      </c>
      <c r="G134" s="3" t="s">
        <v>92</v>
      </c>
      <c r="H134" s="6"/>
      <c r="I134" s="6"/>
      <c r="J134" s="6"/>
      <c r="K134" s="6"/>
      <c r="L134" s="6"/>
      <c r="M134" s="18"/>
      <c r="O134" s="19" t="str">
        <f t="shared" si="1"/>
        <v/>
      </c>
    </row>
    <row r="135">
      <c r="A135" s="22" t="s">
        <v>112</v>
      </c>
      <c r="B135" s="4" t="s">
        <v>18</v>
      </c>
      <c r="C135" s="22" t="s">
        <v>231</v>
      </c>
      <c r="D135" s="22"/>
      <c r="E135" s="17">
        <v>45665.0</v>
      </c>
      <c r="F135" s="3" t="s">
        <v>27</v>
      </c>
      <c r="G135" s="3" t="s">
        <v>92</v>
      </c>
      <c r="H135" s="6"/>
      <c r="I135" s="6"/>
      <c r="J135" s="6"/>
      <c r="K135" s="6"/>
      <c r="L135" s="6"/>
      <c r="M135" s="18"/>
      <c r="O135" s="19" t="str">
        <f t="shared" si="1"/>
        <v/>
      </c>
    </row>
    <row r="136">
      <c r="A136" s="22" t="s">
        <v>232</v>
      </c>
      <c r="B136" s="4" t="s">
        <v>18</v>
      </c>
      <c r="C136" s="22" t="s">
        <v>233</v>
      </c>
      <c r="D136" s="22"/>
      <c r="E136" s="17">
        <v>45665.0</v>
      </c>
      <c r="F136" s="3" t="s">
        <v>27</v>
      </c>
      <c r="G136" s="3" t="s">
        <v>92</v>
      </c>
      <c r="H136" s="6"/>
      <c r="I136" s="6"/>
      <c r="J136" s="6"/>
      <c r="K136" s="6"/>
      <c r="L136" s="6"/>
      <c r="M136" s="18"/>
      <c r="O136" s="19" t="str">
        <f t="shared" si="1"/>
        <v/>
      </c>
    </row>
    <row r="137">
      <c r="A137" s="22" t="s">
        <v>234</v>
      </c>
      <c r="B137" s="4" t="s">
        <v>18</v>
      </c>
      <c r="C137" s="22" t="s">
        <v>235</v>
      </c>
      <c r="D137" s="22"/>
      <c r="E137" s="17">
        <v>45724.0</v>
      </c>
      <c r="F137" s="3" t="s">
        <v>27</v>
      </c>
      <c r="G137" s="3" t="s">
        <v>92</v>
      </c>
      <c r="H137" s="6"/>
      <c r="I137" s="6"/>
      <c r="J137" s="6"/>
      <c r="K137" s="6"/>
      <c r="L137" s="6"/>
      <c r="M137" s="18"/>
      <c r="O137" s="19" t="str">
        <f t="shared" si="1"/>
        <v/>
      </c>
    </row>
    <row r="138">
      <c r="A138" s="22" t="s">
        <v>44</v>
      </c>
      <c r="B138" s="4" t="s">
        <v>45</v>
      </c>
      <c r="C138" s="22">
        <v>6028.0</v>
      </c>
      <c r="D138" s="22"/>
      <c r="E138" s="17">
        <v>45724.0</v>
      </c>
      <c r="F138" s="3" t="s">
        <v>27</v>
      </c>
      <c r="G138" s="3" t="s">
        <v>92</v>
      </c>
      <c r="H138" s="6"/>
      <c r="I138" s="6"/>
      <c r="J138" s="6"/>
      <c r="K138" s="6"/>
      <c r="L138" s="6"/>
      <c r="M138" s="18"/>
      <c r="O138" s="19" t="str">
        <f t="shared" si="1"/>
        <v/>
      </c>
    </row>
    <row r="139">
      <c r="A139" s="22" t="s">
        <v>236</v>
      </c>
      <c r="B139" s="4" t="s">
        <v>18</v>
      </c>
      <c r="C139" s="22">
        <v>4207.0</v>
      </c>
      <c r="D139" s="22"/>
      <c r="E139" s="17">
        <v>45724.0</v>
      </c>
      <c r="F139" s="3" t="s">
        <v>27</v>
      </c>
      <c r="G139" s="3" t="s">
        <v>92</v>
      </c>
      <c r="H139" s="6"/>
      <c r="I139" s="6"/>
      <c r="J139" s="6"/>
      <c r="K139" s="6"/>
      <c r="L139" s="6"/>
      <c r="M139" s="18"/>
      <c r="O139" s="19" t="str">
        <f t="shared" si="1"/>
        <v/>
      </c>
    </row>
    <row r="140">
      <c r="A140" s="22" t="s">
        <v>84</v>
      </c>
      <c r="B140" s="4" t="s">
        <v>31</v>
      </c>
      <c r="C140" s="22">
        <v>2206.0</v>
      </c>
      <c r="D140" s="22"/>
      <c r="E140" s="17">
        <v>45724.0</v>
      </c>
      <c r="F140" s="3" t="s">
        <v>27</v>
      </c>
      <c r="G140" s="3" t="s">
        <v>92</v>
      </c>
      <c r="H140" s="6"/>
      <c r="I140" s="6"/>
      <c r="J140" s="6"/>
      <c r="K140" s="6"/>
      <c r="L140" s="6"/>
      <c r="M140" s="18"/>
      <c r="O140" s="19" t="str">
        <f t="shared" si="1"/>
        <v/>
      </c>
    </row>
    <row r="141">
      <c r="A141" s="22" t="s">
        <v>237</v>
      </c>
      <c r="B141" s="4" t="s">
        <v>18</v>
      </c>
      <c r="C141" s="22" t="s">
        <v>238</v>
      </c>
      <c r="D141" s="22"/>
      <c r="E141" s="17">
        <v>45755.0</v>
      </c>
      <c r="F141" s="3" t="s">
        <v>27</v>
      </c>
      <c r="G141" s="3" t="s">
        <v>92</v>
      </c>
      <c r="H141" s="6"/>
      <c r="I141" s="6"/>
      <c r="J141" s="6"/>
      <c r="K141" s="6"/>
      <c r="L141" s="6"/>
      <c r="M141" s="18"/>
      <c r="O141" s="19" t="str">
        <f t="shared" si="1"/>
        <v/>
      </c>
    </row>
    <row r="142">
      <c r="A142" s="22" t="s">
        <v>77</v>
      </c>
      <c r="B142" s="4" t="s">
        <v>18</v>
      </c>
      <c r="C142" s="22" t="s">
        <v>197</v>
      </c>
      <c r="D142" s="22"/>
      <c r="E142" s="17">
        <v>45755.0</v>
      </c>
      <c r="F142" s="3" t="s">
        <v>27</v>
      </c>
      <c r="G142" s="3" t="s">
        <v>92</v>
      </c>
      <c r="H142" s="6"/>
      <c r="I142" s="6"/>
      <c r="J142" s="6"/>
      <c r="K142" s="6"/>
      <c r="L142" s="6"/>
      <c r="M142" s="18"/>
      <c r="O142" s="19" t="str">
        <f t="shared" si="1"/>
        <v/>
      </c>
    </row>
    <row r="143">
      <c r="A143" s="22" t="s">
        <v>120</v>
      </c>
      <c r="B143" s="4" t="s">
        <v>31</v>
      </c>
      <c r="C143" s="22" t="s">
        <v>239</v>
      </c>
      <c r="D143" s="22" t="s">
        <v>240</v>
      </c>
      <c r="E143" s="17">
        <v>45755.0</v>
      </c>
      <c r="F143" s="3" t="s">
        <v>27</v>
      </c>
      <c r="G143" s="3" t="s">
        <v>241</v>
      </c>
      <c r="H143" s="6"/>
      <c r="I143" s="6"/>
      <c r="J143" s="6"/>
      <c r="K143" s="6"/>
      <c r="L143" s="6"/>
      <c r="M143" s="18"/>
      <c r="O143" s="19" t="str">
        <f t="shared" si="1"/>
        <v/>
      </c>
    </row>
    <row r="144">
      <c r="A144" s="22" t="s">
        <v>242</v>
      </c>
      <c r="B144" s="4" t="s">
        <v>18</v>
      </c>
      <c r="C144" s="22" t="s">
        <v>243</v>
      </c>
      <c r="D144" s="22"/>
      <c r="E144" s="25">
        <v>45873.0</v>
      </c>
      <c r="F144" s="3" t="s">
        <v>27</v>
      </c>
      <c r="G144" s="3" t="s">
        <v>92</v>
      </c>
      <c r="H144" s="6"/>
      <c r="I144" s="6"/>
      <c r="J144" s="6"/>
      <c r="K144" s="6"/>
      <c r="L144" s="6"/>
      <c r="M144" s="26"/>
      <c r="O144" s="19" t="str">
        <f t="shared" si="1"/>
        <v/>
      </c>
    </row>
    <row r="145">
      <c r="A145" s="22" t="s">
        <v>107</v>
      </c>
      <c r="B145" s="4" t="s">
        <v>18</v>
      </c>
      <c r="C145" s="22">
        <v>4518.0</v>
      </c>
      <c r="D145" s="22"/>
      <c r="E145" s="25">
        <v>45874.0</v>
      </c>
      <c r="F145" s="3" t="s">
        <v>93</v>
      </c>
      <c r="G145" s="3" t="s">
        <v>92</v>
      </c>
      <c r="H145" s="6"/>
      <c r="I145" s="6"/>
      <c r="J145" s="6"/>
      <c r="K145" s="6"/>
      <c r="L145" s="6"/>
      <c r="M145" s="26"/>
      <c r="O145" s="19" t="str">
        <f t="shared" si="1"/>
        <v/>
      </c>
    </row>
    <row r="146">
      <c r="A146" s="22" t="s">
        <v>44</v>
      </c>
      <c r="B146" s="4" t="s">
        <v>45</v>
      </c>
      <c r="C146" s="22" t="s">
        <v>48</v>
      </c>
      <c r="D146" s="22"/>
      <c r="E146" s="25">
        <v>45874.0</v>
      </c>
      <c r="F146" s="3" t="s">
        <v>27</v>
      </c>
      <c r="G146" s="3" t="s">
        <v>92</v>
      </c>
      <c r="H146" s="6"/>
      <c r="I146" s="6"/>
      <c r="J146" s="6"/>
      <c r="K146" s="6"/>
      <c r="L146" s="6"/>
      <c r="M146" s="26"/>
      <c r="O146" s="19" t="str">
        <f t="shared" si="1"/>
        <v/>
      </c>
    </row>
    <row r="147">
      <c r="A147" s="22" t="s">
        <v>84</v>
      </c>
      <c r="B147" s="4" t="s">
        <v>31</v>
      </c>
      <c r="C147" s="22">
        <v>2205.0</v>
      </c>
      <c r="D147" s="22"/>
      <c r="E147" s="25">
        <v>45874.0</v>
      </c>
      <c r="F147" s="3" t="s">
        <v>27</v>
      </c>
      <c r="G147" s="3" t="s">
        <v>92</v>
      </c>
      <c r="H147" s="6"/>
      <c r="I147" s="6"/>
      <c r="J147" s="6"/>
      <c r="K147" s="6"/>
      <c r="L147" s="6"/>
      <c r="M147" s="26"/>
      <c r="O147" s="19" t="str">
        <f t="shared" si="1"/>
        <v/>
      </c>
    </row>
    <row r="148">
      <c r="A148" s="22" t="s">
        <v>225</v>
      </c>
      <c r="B148" s="4" t="s">
        <v>36</v>
      </c>
      <c r="C148" s="22">
        <v>3049.0</v>
      </c>
      <c r="D148" s="22"/>
      <c r="E148" s="25">
        <v>45874.0</v>
      </c>
      <c r="F148" s="3" t="s">
        <v>27</v>
      </c>
      <c r="G148" s="3" t="s">
        <v>92</v>
      </c>
      <c r="H148" s="6"/>
      <c r="I148" s="6"/>
      <c r="J148" s="6"/>
      <c r="K148" s="6"/>
      <c r="L148" s="6"/>
      <c r="M148" s="26"/>
      <c r="O148" s="19" t="str">
        <f t="shared" si="1"/>
        <v/>
      </c>
    </row>
    <row r="149">
      <c r="A149" s="22" t="s">
        <v>113</v>
      </c>
      <c r="B149" s="4" t="s">
        <v>18</v>
      </c>
      <c r="C149" s="22">
        <v>4221.0</v>
      </c>
      <c r="D149" s="22"/>
      <c r="E149" s="25">
        <v>45874.0</v>
      </c>
      <c r="F149" s="3" t="s">
        <v>27</v>
      </c>
      <c r="G149" s="3" t="s">
        <v>92</v>
      </c>
      <c r="H149" s="6"/>
      <c r="I149" s="6"/>
      <c r="J149" s="6"/>
      <c r="K149" s="6"/>
      <c r="L149" s="6"/>
      <c r="M149" s="26"/>
      <c r="O149" s="19" t="str">
        <f t="shared" si="1"/>
        <v/>
      </c>
    </row>
    <row r="150">
      <c r="A150" s="22" t="s">
        <v>244</v>
      </c>
      <c r="B150" s="4" t="s">
        <v>18</v>
      </c>
      <c r="C150" s="22" t="s">
        <v>245</v>
      </c>
      <c r="D150" s="22"/>
      <c r="E150" s="25">
        <v>45875.0</v>
      </c>
      <c r="F150" s="3" t="s">
        <v>27</v>
      </c>
      <c r="G150" s="3" t="s">
        <v>92</v>
      </c>
      <c r="H150" s="6"/>
      <c r="I150" s="6"/>
      <c r="J150" s="6"/>
      <c r="K150" s="6"/>
      <c r="L150" s="6"/>
      <c r="M150" s="26"/>
      <c r="O150" s="19" t="str">
        <f t="shared" si="1"/>
        <v/>
      </c>
    </row>
    <row r="151">
      <c r="A151" s="22" t="s">
        <v>17</v>
      </c>
      <c r="B151" s="4" t="s">
        <v>18</v>
      </c>
      <c r="C151" s="22" t="s">
        <v>245</v>
      </c>
      <c r="D151" s="22"/>
      <c r="E151" s="25">
        <v>45875.0</v>
      </c>
      <c r="F151" s="3" t="s">
        <v>103</v>
      </c>
      <c r="G151" s="3" t="s">
        <v>92</v>
      </c>
      <c r="H151" s="6"/>
      <c r="I151" s="6"/>
      <c r="J151" s="6"/>
      <c r="K151" s="6"/>
      <c r="L151" s="6"/>
      <c r="M151" s="26"/>
      <c r="O151" s="19" t="str">
        <f t="shared" si="1"/>
        <v/>
      </c>
    </row>
    <row r="152">
      <c r="A152" s="22" t="s">
        <v>246</v>
      </c>
      <c r="B152" s="4" t="s">
        <v>36</v>
      </c>
      <c r="C152" s="22" t="s">
        <v>247</v>
      </c>
      <c r="D152" s="22"/>
      <c r="E152" s="25">
        <v>45875.0</v>
      </c>
      <c r="F152" s="3" t="s">
        <v>27</v>
      </c>
      <c r="G152" s="3" t="s">
        <v>92</v>
      </c>
      <c r="H152" s="6"/>
      <c r="I152" s="6"/>
      <c r="J152" s="6"/>
      <c r="K152" s="6"/>
      <c r="L152" s="6"/>
      <c r="M152" s="26"/>
      <c r="O152" s="19" t="str">
        <f t="shared" si="1"/>
        <v/>
      </c>
    </row>
    <row r="153">
      <c r="A153" s="22" t="s">
        <v>244</v>
      </c>
      <c r="B153" s="4" t="s">
        <v>18</v>
      </c>
      <c r="C153" s="22" t="s">
        <v>248</v>
      </c>
      <c r="D153" s="22"/>
      <c r="E153" s="25">
        <v>45875.0</v>
      </c>
      <c r="F153" s="3" t="s">
        <v>27</v>
      </c>
      <c r="G153" s="3" t="s">
        <v>92</v>
      </c>
      <c r="H153" s="6"/>
      <c r="I153" s="6"/>
      <c r="J153" s="6"/>
      <c r="K153" s="6"/>
      <c r="L153" s="6"/>
      <c r="M153" s="26"/>
      <c r="O153" s="19" t="str">
        <f t="shared" si="1"/>
        <v/>
      </c>
    </row>
    <row r="154">
      <c r="A154" s="22" t="s">
        <v>84</v>
      </c>
      <c r="B154" s="4" t="s">
        <v>31</v>
      </c>
      <c r="C154" s="22" t="s">
        <v>249</v>
      </c>
      <c r="D154" s="22"/>
      <c r="E154" s="25">
        <v>45875.0</v>
      </c>
      <c r="F154" s="3" t="s">
        <v>27</v>
      </c>
      <c r="G154" s="3" t="s">
        <v>92</v>
      </c>
      <c r="H154" s="6"/>
      <c r="I154" s="6"/>
      <c r="J154" s="6"/>
      <c r="K154" s="6"/>
      <c r="L154" s="6"/>
      <c r="M154" s="26"/>
      <c r="O154" s="19" t="str">
        <f t="shared" si="1"/>
        <v/>
      </c>
    </row>
    <row r="155">
      <c r="A155" s="22" t="s">
        <v>225</v>
      </c>
      <c r="B155" s="4" t="s">
        <v>36</v>
      </c>
      <c r="C155" s="22">
        <v>3064.0</v>
      </c>
      <c r="D155" s="22"/>
      <c r="E155" s="25">
        <v>45875.0</v>
      </c>
      <c r="F155" s="3" t="s">
        <v>27</v>
      </c>
      <c r="G155" s="3" t="s">
        <v>92</v>
      </c>
      <c r="H155" s="6"/>
      <c r="I155" s="6"/>
      <c r="J155" s="6"/>
      <c r="K155" s="6"/>
      <c r="L155" s="6"/>
      <c r="M155" s="26"/>
      <c r="O155" s="19" t="str">
        <f t="shared" si="1"/>
        <v/>
      </c>
    </row>
    <row r="156">
      <c r="A156" s="22" t="s">
        <v>250</v>
      </c>
      <c r="B156" s="4" t="s">
        <v>221</v>
      </c>
      <c r="C156" s="22" t="s">
        <v>251</v>
      </c>
      <c r="D156" s="22" t="s">
        <v>252</v>
      </c>
      <c r="E156" s="25">
        <v>45876.0</v>
      </c>
      <c r="F156" s="3" t="s">
        <v>103</v>
      </c>
      <c r="G156" s="3" t="s">
        <v>92</v>
      </c>
      <c r="H156" s="6"/>
      <c r="I156" s="6"/>
      <c r="J156" s="6"/>
      <c r="K156" s="6"/>
      <c r="L156" s="6"/>
      <c r="M156" s="26"/>
      <c r="O156" s="19" t="str">
        <f t="shared" si="1"/>
        <v/>
      </c>
    </row>
    <row r="157">
      <c r="A157" s="22" t="s">
        <v>184</v>
      </c>
      <c r="B157" s="4" t="s">
        <v>18</v>
      </c>
      <c r="C157" s="22">
        <v>4812.0</v>
      </c>
      <c r="D157" s="22"/>
      <c r="E157" s="25">
        <v>45876.0</v>
      </c>
      <c r="F157" s="3" t="s">
        <v>27</v>
      </c>
      <c r="G157" s="3" t="s">
        <v>92</v>
      </c>
      <c r="H157" s="6"/>
      <c r="I157" s="6"/>
      <c r="J157" s="6"/>
      <c r="K157" s="6"/>
      <c r="L157" s="6"/>
      <c r="M157" s="26"/>
      <c r="O157" s="19" t="str">
        <f t="shared" si="1"/>
        <v/>
      </c>
    </row>
    <row r="158">
      <c r="A158" s="22" t="s">
        <v>184</v>
      </c>
      <c r="B158" s="4" t="s">
        <v>18</v>
      </c>
      <c r="C158" s="22">
        <v>4811.0</v>
      </c>
      <c r="D158" s="22"/>
      <c r="E158" s="25">
        <v>45876.0</v>
      </c>
      <c r="F158" s="3" t="s">
        <v>27</v>
      </c>
      <c r="G158" s="3" t="s">
        <v>92</v>
      </c>
      <c r="H158" s="6"/>
      <c r="I158" s="6"/>
      <c r="J158" s="6"/>
      <c r="K158" s="6"/>
      <c r="L158" s="6"/>
      <c r="M158" s="26"/>
      <c r="O158" s="19" t="str">
        <f t="shared" si="1"/>
        <v/>
      </c>
    </row>
    <row r="159">
      <c r="A159" s="22" t="s">
        <v>113</v>
      </c>
      <c r="B159" s="4" t="s">
        <v>18</v>
      </c>
      <c r="C159" s="22">
        <v>4215.0</v>
      </c>
      <c r="D159" s="22"/>
      <c r="E159" s="25">
        <v>45876.0</v>
      </c>
      <c r="F159" s="3" t="s">
        <v>27</v>
      </c>
      <c r="G159" s="3" t="s">
        <v>92</v>
      </c>
      <c r="H159" s="6"/>
      <c r="I159" s="6"/>
      <c r="J159" s="6"/>
      <c r="K159" s="6"/>
      <c r="L159" s="6"/>
      <c r="M159" s="26"/>
      <c r="O159" s="19" t="str">
        <f t="shared" si="1"/>
        <v/>
      </c>
    </row>
    <row r="160">
      <c r="A160" s="22" t="s">
        <v>23</v>
      </c>
      <c r="B160" s="4" t="s">
        <v>18</v>
      </c>
      <c r="C160" s="22" t="s">
        <v>253</v>
      </c>
      <c r="D160" s="22" t="s">
        <v>254</v>
      </c>
      <c r="E160" s="25">
        <v>45876.0</v>
      </c>
      <c r="F160" s="3" t="s">
        <v>27</v>
      </c>
      <c r="G160" s="3" t="s">
        <v>92</v>
      </c>
      <c r="H160" s="9" t="s">
        <v>255</v>
      </c>
      <c r="I160" s="9">
        <v>6.1439933063E10</v>
      </c>
      <c r="J160" s="10" t="s">
        <v>256</v>
      </c>
      <c r="K160" s="9">
        <v>0.0</v>
      </c>
      <c r="L160" s="6"/>
      <c r="M160" s="26"/>
      <c r="O160" s="19" t="str">
        <f t="shared" si="1"/>
        <v/>
      </c>
    </row>
    <row r="161">
      <c r="A161" s="22" t="s">
        <v>184</v>
      </c>
      <c r="B161" s="4" t="s">
        <v>18</v>
      </c>
      <c r="C161" s="22" t="s">
        <v>257</v>
      </c>
      <c r="D161" s="22"/>
      <c r="E161" s="25">
        <v>45876.0</v>
      </c>
      <c r="F161" s="3" t="s">
        <v>93</v>
      </c>
      <c r="G161" s="3" t="s">
        <v>92</v>
      </c>
      <c r="H161" s="6"/>
      <c r="I161" s="6"/>
      <c r="J161" s="6"/>
      <c r="K161" s="6"/>
      <c r="L161" s="6"/>
      <c r="M161" s="26"/>
      <c r="O161" s="19" t="str">
        <f t="shared" si="1"/>
        <v/>
      </c>
    </row>
    <row r="162">
      <c r="A162" s="22" t="s">
        <v>227</v>
      </c>
      <c r="B162" s="4" t="s">
        <v>18</v>
      </c>
      <c r="C162" s="22">
        <v>4551.0</v>
      </c>
      <c r="D162" s="22"/>
      <c r="E162" s="25">
        <v>45876.0</v>
      </c>
      <c r="F162" s="3" t="s">
        <v>27</v>
      </c>
      <c r="G162" s="3" t="s">
        <v>92</v>
      </c>
      <c r="H162" s="6"/>
      <c r="I162" s="6"/>
      <c r="J162" s="6"/>
      <c r="K162" s="6"/>
      <c r="L162" s="6"/>
      <c r="M162" s="26"/>
      <c r="O162" s="19" t="str">
        <f t="shared" si="1"/>
        <v/>
      </c>
    </row>
    <row r="163">
      <c r="A163" s="22" t="s">
        <v>112</v>
      </c>
      <c r="B163" s="4" t="s">
        <v>18</v>
      </c>
      <c r="C163" s="22">
        <v>4006.0</v>
      </c>
      <c r="D163" s="22"/>
      <c r="E163" s="25">
        <v>45876.0</v>
      </c>
      <c r="F163" s="3" t="s">
        <v>93</v>
      </c>
      <c r="G163" s="3" t="s">
        <v>92</v>
      </c>
      <c r="H163" s="6"/>
      <c r="I163" s="6"/>
      <c r="J163" s="6"/>
      <c r="K163" s="6"/>
      <c r="L163" s="6"/>
      <c r="M163" s="26"/>
      <c r="O163" s="19" t="str">
        <f t="shared" si="1"/>
        <v/>
      </c>
    </row>
    <row r="164">
      <c r="A164" s="22" t="s">
        <v>258</v>
      </c>
      <c r="B164" s="4" t="s">
        <v>45</v>
      </c>
      <c r="C164" s="22">
        <v>6012.0</v>
      </c>
      <c r="D164" s="22"/>
      <c r="E164" s="25">
        <v>45876.0</v>
      </c>
      <c r="F164" s="3" t="s">
        <v>93</v>
      </c>
      <c r="G164" s="3" t="s">
        <v>92</v>
      </c>
      <c r="H164" s="6"/>
      <c r="I164" s="6"/>
      <c r="J164" s="6"/>
      <c r="K164" s="6"/>
      <c r="L164" s="6"/>
      <c r="M164" s="26"/>
      <c r="O164" s="19" t="str">
        <f t="shared" si="1"/>
        <v/>
      </c>
    </row>
    <row r="165">
      <c r="A165" s="22" t="s">
        <v>195</v>
      </c>
      <c r="B165" s="4" t="s">
        <v>18</v>
      </c>
      <c r="C165" s="22" t="s">
        <v>259</v>
      </c>
      <c r="D165" s="22"/>
      <c r="E165" s="25">
        <v>45876.0</v>
      </c>
      <c r="F165" s="3" t="s">
        <v>93</v>
      </c>
      <c r="G165" s="3" t="s">
        <v>92</v>
      </c>
      <c r="H165" s="6"/>
      <c r="I165" s="6"/>
      <c r="J165" s="6"/>
      <c r="K165" s="6"/>
      <c r="L165" s="6"/>
      <c r="M165" s="26"/>
      <c r="O165" s="19" t="str">
        <f t="shared" si="1"/>
        <v/>
      </c>
    </row>
    <row r="166">
      <c r="A166" s="22" t="s">
        <v>112</v>
      </c>
      <c r="B166" s="4" t="s">
        <v>18</v>
      </c>
      <c r="C166" s="22">
        <v>4007.0</v>
      </c>
      <c r="D166" s="22"/>
      <c r="E166" s="25">
        <v>45877.0</v>
      </c>
      <c r="F166" s="3" t="s">
        <v>27</v>
      </c>
      <c r="G166" s="3" t="s">
        <v>92</v>
      </c>
      <c r="H166" s="6"/>
      <c r="I166" s="6"/>
      <c r="J166" s="6"/>
      <c r="K166" s="6"/>
      <c r="L166" s="6"/>
      <c r="M166" s="26"/>
      <c r="O166" s="19" t="str">
        <f t="shared" si="1"/>
        <v/>
      </c>
    </row>
    <row r="167">
      <c r="A167" s="22" t="s">
        <v>232</v>
      </c>
      <c r="B167" s="4" t="s">
        <v>18</v>
      </c>
      <c r="C167" s="22">
        <v>4301.0</v>
      </c>
      <c r="D167" s="22"/>
      <c r="E167" s="25">
        <v>45877.0</v>
      </c>
      <c r="F167" s="3" t="s">
        <v>93</v>
      </c>
      <c r="G167" s="3" t="s">
        <v>92</v>
      </c>
      <c r="H167" s="6"/>
      <c r="I167" s="6"/>
      <c r="J167" s="6"/>
      <c r="K167" s="6"/>
      <c r="L167" s="6"/>
      <c r="M167" s="26"/>
      <c r="O167" s="19" t="str">
        <f t="shared" si="1"/>
        <v/>
      </c>
    </row>
    <row r="168">
      <c r="A168" s="22" t="s">
        <v>98</v>
      </c>
      <c r="B168" s="4" t="s">
        <v>31</v>
      </c>
      <c r="C168" s="22" t="s">
        <v>260</v>
      </c>
      <c r="D168" s="22"/>
      <c r="E168" s="25">
        <v>45877.0</v>
      </c>
      <c r="F168" s="3" t="s">
        <v>27</v>
      </c>
      <c r="G168" s="3" t="s">
        <v>92</v>
      </c>
      <c r="H168" s="6"/>
      <c r="I168" s="6"/>
      <c r="J168" s="6"/>
      <c r="K168" s="6"/>
      <c r="L168" s="6"/>
      <c r="M168" s="26"/>
      <c r="O168" s="19" t="str">
        <f t="shared" si="1"/>
        <v/>
      </c>
    </row>
    <row r="169">
      <c r="A169" s="22" t="s">
        <v>258</v>
      </c>
      <c r="B169" s="4" t="s">
        <v>45</v>
      </c>
      <c r="C169" s="22" t="s">
        <v>261</v>
      </c>
      <c r="D169" s="22" t="s">
        <v>262</v>
      </c>
      <c r="E169" s="25">
        <v>45877.0</v>
      </c>
      <c r="F169" s="3" t="s">
        <v>27</v>
      </c>
      <c r="G169" s="3" t="s">
        <v>92</v>
      </c>
      <c r="H169" s="6"/>
      <c r="I169" s="6"/>
      <c r="J169" s="6"/>
      <c r="K169" s="6"/>
      <c r="L169" s="6"/>
      <c r="M169" s="26"/>
      <c r="O169" s="19" t="str">
        <f t="shared" si="1"/>
        <v/>
      </c>
    </row>
    <row r="170">
      <c r="A170" s="22" t="s">
        <v>113</v>
      </c>
      <c r="B170" s="4" t="s">
        <v>18</v>
      </c>
      <c r="C170" s="22">
        <v>4227.0</v>
      </c>
      <c r="D170" s="22"/>
      <c r="E170" s="25">
        <v>45879.0</v>
      </c>
      <c r="F170" s="3" t="s">
        <v>27</v>
      </c>
      <c r="G170" s="3" t="s">
        <v>92</v>
      </c>
      <c r="H170" s="6"/>
      <c r="I170" s="6"/>
      <c r="J170" s="6"/>
      <c r="K170" s="6"/>
      <c r="L170" s="6"/>
      <c r="M170" s="26"/>
      <c r="O170" s="19" t="str">
        <f t="shared" si="1"/>
        <v/>
      </c>
    </row>
    <row r="171">
      <c r="A171" s="22" t="s">
        <v>244</v>
      </c>
      <c r="B171" s="4" t="s">
        <v>18</v>
      </c>
      <c r="C171" s="22">
        <v>4556.0</v>
      </c>
      <c r="D171" s="22"/>
      <c r="E171" s="25">
        <v>45879.0</v>
      </c>
      <c r="F171" s="3" t="s">
        <v>27</v>
      </c>
      <c r="G171" s="3" t="s">
        <v>92</v>
      </c>
      <c r="H171" s="6"/>
      <c r="I171" s="6"/>
      <c r="J171" s="6"/>
      <c r="K171" s="6"/>
      <c r="L171" s="6"/>
      <c r="M171" s="26"/>
      <c r="O171" s="19" t="str">
        <f t="shared" si="1"/>
        <v/>
      </c>
    </row>
    <row r="172">
      <c r="A172" s="22" t="s">
        <v>113</v>
      </c>
      <c r="B172" s="4" t="s">
        <v>18</v>
      </c>
      <c r="C172" s="22" t="s">
        <v>263</v>
      </c>
      <c r="D172" s="22"/>
      <c r="E172" s="25">
        <v>45879.0</v>
      </c>
      <c r="F172" s="3" t="s">
        <v>27</v>
      </c>
      <c r="G172" s="3" t="s">
        <v>92</v>
      </c>
      <c r="H172" s="6"/>
      <c r="I172" s="6"/>
      <c r="J172" s="6"/>
      <c r="K172" s="6"/>
      <c r="L172" s="6"/>
      <c r="M172" s="26"/>
      <c r="O172" s="19" t="str">
        <f t="shared" si="1"/>
        <v/>
      </c>
    </row>
    <row r="173">
      <c r="A173" s="22" t="s">
        <v>77</v>
      </c>
      <c r="B173" s="4" t="s">
        <v>18</v>
      </c>
      <c r="C173" s="22" t="s">
        <v>197</v>
      </c>
      <c r="D173" s="22" t="s">
        <v>264</v>
      </c>
      <c r="E173" s="27">
        <v>45969.0</v>
      </c>
      <c r="F173" s="3" t="s">
        <v>27</v>
      </c>
      <c r="G173" s="3"/>
      <c r="H173" s="6"/>
      <c r="I173" s="6"/>
      <c r="J173" s="6"/>
      <c r="K173" s="6"/>
      <c r="L173" s="6"/>
      <c r="M173" s="7"/>
      <c r="O173" s="19" t="str">
        <f t="shared" si="1"/>
        <v/>
      </c>
    </row>
    <row r="174">
      <c r="A174" s="22" t="s">
        <v>265</v>
      </c>
      <c r="B174" s="4" t="s">
        <v>18</v>
      </c>
      <c r="C174" s="22">
        <v>4152.0</v>
      </c>
      <c r="D174" s="22"/>
      <c r="E174" s="25">
        <v>45880.0</v>
      </c>
      <c r="F174" s="3" t="s">
        <v>93</v>
      </c>
      <c r="G174" s="3" t="s">
        <v>92</v>
      </c>
      <c r="H174" s="6"/>
      <c r="I174" s="6"/>
      <c r="J174" s="6"/>
      <c r="K174" s="6"/>
      <c r="L174" s="6"/>
      <c r="M174" s="26"/>
      <c r="O174" s="19" t="str">
        <f t="shared" si="1"/>
        <v/>
      </c>
    </row>
    <row r="175">
      <c r="A175" s="22" t="s">
        <v>120</v>
      </c>
      <c r="B175" s="4" t="s">
        <v>31</v>
      </c>
      <c r="C175" s="22">
        <v>2750.0</v>
      </c>
      <c r="D175" s="22"/>
      <c r="E175" s="25">
        <v>45880.0</v>
      </c>
      <c r="F175" s="3" t="s">
        <v>27</v>
      </c>
      <c r="G175" s="3" t="s">
        <v>92</v>
      </c>
      <c r="H175" s="6"/>
      <c r="I175" s="6"/>
      <c r="J175" s="6"/>
      <c r="K175" s="6"/>
      <c r="L175" s="6"/>
      <c r="M175" s="26"/>
      <c r="O175" s="19" t="str">
        <f t="shared" si="1"/>
        <v/>
      </c>
    </row>
    <row r="176">
      <c r="A176" s="22" t="s">
        <v>184</v>
      </c>
      <c r="B176" s="4" t="s">
        <v>18</v>
      </c>
      <c r="C176" s="22">
        <v>4818.0</v>
      </c>
      <c r="D176" s="22"/>
      <c r="E176" s="25">
        <v>45880.0</v>
      </c>
      <c r="F176" s="3" t="s">
        <v>27</v>
      </c>
      <c r="G176" s="3" t="s">
        <v>92</v>
      </c>
      <c r="H176" s="6"/>
      <c r="I176" s="6"/>
      <c r="J176" s="6"/>
      <c r="K176" s="6"/>
      <c r="L176" s="6"/>
      <c r="M176" s="26"/>
      <c r="O176" s="19" t="str">
        <f t="shared" si="1"/>
        <v/>
      </c>
    </row>
    <row r="177">
      <c r="A177" s="22" t="s">
        <v>168</v>
      </c>
      <c r="B177" s="4" t="s">
        <v>45</v>
      </c>
      <c r="C177" s="22" t="s">
        <v>266</v>
      </c>
      <c r="D177" s="22"/>
      <c r="E177" s="25">
        <v>45880.0</v>
      </c>
      <c r="F177" s="3" t="s">
        <v>27</v>
      </c>
      <c r="G177" s="3" t="s">
        <v>92</v>
      </c>
      <c r="H177" s="6"/>
      <c r="I177" s="6"/>
      <c r="J177" s="6"/>
      <c r="K177" s="6"/>
      <c r="L177" s="6"/>
      <c r="M177" s="26"/>
      <c r="O177" s="19" t="str">
        <f t="shared" si="1"/>
        <v/>
      </c>
    </row>
    <row r="178">
      <c r="A178" s="22" t="s">
        <v>113</v>
      </c>
      <c r="B178" s="4" t="s">
        <v>18</v>
      </c>
      <c r="C178" s="22" t="s">
        <v>267</v>
      </c>
      <c r="D178" s="22"/>
      <c r="E178" s="25">
        <v>45880.0</v>
      </c>
      <c r="F178" s="3" t="s">
        <v>27</v>
      </c>
      <c r="G178" s="3" t="s">
        <v>92</v>
      </c>
      <c r="H178" s="6"/>
      <c r="I178" s="6"/>
      <c r="J178" s="6"/>
      <c r="K178" s="6"/>
      <c r="L178" s="6"/>
      <c r="M178" s="26"/>
      <c r="O178" s="19" t="str">
        <f t="shared" si="1"/>
        <v/>
      </c>
    </row>
    <row r="179">
      <c r="A179" s="22" t="s">
        <v>161</v>
      </c>
      <c r="B179" s="4" t="s">
        <v>18</v>
      </c>
      <c r="C179" s="22" t="s">
        <v>268</v>
      </c>
      <c r="D179" s="22" t="s">
        <v>269</v>
      </c>
      <c r="E179" s="27">
        <v>45999.0</v>
      </c>
      <c r="F179" s="3" t="s">
        <v>27</v>
      </c>
      <c r="G179" s="3"/>
      <c r="H179" s="6"/>
      <c r="I179" s="6"/>
      <c r="J179" s="6"/>
      <c r="K179" s="6"/>
      <c r="L179" s="6"/>
      <c r="M179" s="7"/>
      <c r="O179" s="19" t="str">
        <f t="shared" si="1"/>
        <v/>
      </c>
    </row>
    <row r="180">
      <c r="A180" s="22" t="s">
        <v>258</v>
      </c>
      <c r="B180" s="4" t="s">
        <v>45</v>
      </c>
      <c r="C180" s="22" t="s">
        <v>261</v>
      </c>
      <c r="D180" s="22" t="s">
        <v>270</v>
      </c>
      <c r="E180" s="25">
        <v>45881.0</v>
      </c>
      <c r="F180" s="3" t="s">
        <v>27</v>
      </c>
      <c r="G180" s="3" t="s">
        <v>92</v>
      </c>
      <c r="H180" s="6"/>
      <c r="I180" s="6"/>
      <c r="J180" s="6"/>
      <c r="K180" s="6"/>
      <c r="L180" s="6"/>
      <c r="M180" s="26"/>
      <c r="O180" s="19" t="str">
        <f t="shared" si="1"/>
        <v/>
      </c>
    </row>
    <row r="181">
      <c r="A181" s="22" t="s">
        <v>271</v>
      </c>
      <c r="B181" s="4" t="s">
        <v>45</v>
      </c>
      <c r="C181" s="22" t="s">
        <v>272</v>
      </c>
      <c r="D181" s="22" t="s">
        <v>273</v>
      </c>
      <c r="E181" s="25">
        <v>45881.0</v>
      </c>
      <c r="F181" s="3" t="s">
        <v>27</v>
      </c>
      <c r="G181" s="3" t="s">
        <v>92</v>
      </c>
      <c r="H181" s="6"/>
      <c r="I181" s="6"/>
      <c r="J181" s="6"/>
      <c r="K181" s="6"/>
      <c r="L181" s="6"/>
      <c r="M181" s="26"/>
      <c r="O181" s="19" t="str">
        <f t="shared" si="1"/>
        <v/>
      </c>
    </row>
    <row r="182">
      <c r="A182" s="22" t="s">
        <v>274</v>
      </c>
      <c r="B182" s="4" t="s">
        <v>18</v>
      </c>
      <c r="C182" s="22" t="s">
        <v>275</v>
      </c>
      <c r="D182" s="22"/>
      <c r="E182" s="25">
        <v>45881.0</v>
      </c>
      <c r="F182" s="3" t="s">
        <v>27</v>
      </c>
      <c r="G182" s="3" t="s">
        <v>92</v>
      </c>
      <c r="H182" s="6"/>
      <c r="I182" s="6"/>
      <c r="J182" s="6"/>
      <c r="K182" s="6"/>
      <c r="L182" s="6"/>
      <c r="M182" s="26"/>
      <c r="O182" s="19" t="str">
        <f t="shared" si="1"/>
        <v/>
      </c>
    </row>
    <row r="183">
      <c r="A183" s="22" t="s">
        <v>276</v>
      </c>
      <c r="B183" s="4" t="s">
        <v>18</v>
      </c>
      <c r="C183" s="22" t="s">
        <v>277</v>
      </c>
      <c r="D183" s="22"/>
      <c r="E183" s="25">
        <v>45881.0</v>
      </c>
      <c r="F183" s="3" t="s">
        <v>93</v>
      </c>
      <c r="G183" s="3" t="s">
        <v>92</v>
      </c>
      <c r="H183" s="6"/>
      <c r="I183" s="6"/>
      <c r="J183" s="6"/>
      <c r="K183" s="6"/>
      <c r="L183" s="6"/>
      <c r="M183" s="26"/>
      <c r="O183" s="19" t="str">
        <f t="shared" si="1"/>
        <v/>
      </c>
    </row>
    <row r="184">
      <c r="A184" s="22" t="s">
        <v>155</v>
      </c>
      <c r="B184" s="4" t="s">
        <v>18</v>
      </c>
      <c r="C184" s="22" t="s">
        <v>278</v>
      </c>
      <c r="D184" s="22" t="s">
        <v>279</v>
      </c>
      <c r="E184" s="25">
        <v>45881.0</v>
      </c>
      <c r="F184" s="3" t="s">
        <v>27</v>
      </c>
      <c r="G184" s="3" t="s">
        <v>92</v>
      </c>
      <c r="H184" s="6"/>
      <c r="I184" s="6"/>
      <c r="J184" s="6"/>
      <c r="K184" s="6"/>
      <c r="L184" s="6"/>
      <c r="M184" s="26"/>
      <c r="O184" s="19" t="str">
        <f t="shared" si="1"/>
        <v/>
      </c>
    </row>
    <row r="185">
      <c r="A185" s="22" t="s">
        <v>274</v>
      </c>
      <c r="B185" s="4" t="s">
        <v>18</v>
      </c>
      <c r="C185" s="22">
        <v>4680.0</v>
      </c>
      <c r="D185" s="22"/>
      <c r="E185" s="25">
        <v>45881.0</v>
      </c>
      <c r="F185" s="3" t="s">
        <v>93</v>
      </c>
      <c r="G185" s="3" t="s">
        <v>92</v>
      </c>
      <c r="H185" s="6"/>
      <c r="I185" s="6"/>
      <c r="J185" s="6"/>
      <c r="K185" s="6"/>
      <c r="L185" s="6"/>
      <c r="M185" s="26"/>
      <c r="O185" s="19" t="str">
        <f t="shared" si="1"/>
        <v/>
      </c>
    </row>
    <row r="186">
      <c r="A186" s="22" t="s">
        <v>258</v>
      </c>
      <c r="B186" s="4" t="s">
        <v>45</v>
      </c>
      <c r="C186" s="22" t="s">
        <v>280</v>
      </c>
      <c r="D186" s="22" t="s">
        <v>281</v>
      </c>
      <c r="E186" s="25">
        <v>45881.0</v>
      </c>
      <c r="F186" s="3" t="s">
        <v>27</v>
      </c>
      <c r="G186" s="3" t="s">
        <v>92</v>
      </c>
      <c r="H186" s="6"/>
      <c r="I186" s="6"/>
      <c r="J186" s="6"/>
      <c r="K186" s="6"/>
      <c r="L186" s="6"/>
      <c r="M186" s="26"/>
      <c r="O186" s="19" t="str">
        <f t="shared" si="1"/>
        <v/>
      </c>
    </row>
    <row r="187">
      <c r="A187" s="22" t="s">
        <v>282</v>
      </c>
      <c r="B187" s="4" t="s">
        <v>18</v>
      </c>
      <c r="C187" s="22" t="s">
        <v>283</v>
      </c>
      <c r="D187" s="22" t="s">
        <v>284</v>
      </c>
      <c r="E187" s="25">
        <v>45881.0</v>
      </c>
      <c r="F187" s="3" t="s">
        <v>27</v>
      </c>
      <c r="G187" s="3" t="s">
        <v>129</v>
      </c>
      <c r="H187" s="6"/>
      <c r="I187" s="6"/>
      <c r="J187" s="6"/>
      <c r="K187" s="6"/>
      <c r="L187" s="6"/>
      <c r="M187" s="26"/>
      <c r="O187" s="19" t="str">
        <f t="shared" si="1"/>
        <v/>
      </c>
    </row>
    <row r="188">
      <c r="A188" s="22" t="s">
        <v>202</v>
      </c>
      <c r="B188" s="4" t="s">
        <v>36</v>
      </c>
      <c r="C188" s="22">
        <v>3805.0</v>
      </c>
      <c r="D188" s="22"/>
      <c r="E188" s="25">
        <v>45881.0</v>
      </c>
      <c r="F188" s="3" t="s">
        <v>93</v>
      </c>
      <c r="G188" s="3" t="s">
        <v>92</v>
      </c>
      <c r="H188" s="6"/>
      <c r="I188" s="6"/>
      <c r="J188" s="6"/>
      <c r="K188" s="6"/>
      <c r="L188" s="6"/>
      <c r="M188" s="26"/>
      <c r="O188" s="19" t="str">
        <f t="shared" si="1"/>
        <v/>
      </c>
    </row>
    <row r="189">
      <c r="A189" s="22" t="s">
        <v>285</v>
      </c>
      <c r="B189" s="4" t="s">
        <v>36</v>
      </c>
      <c r="C189" s="22">
        <v>3764.0</v>
      </c>
      <c r="D189" s="22"/>
      <c r="E189" s="25">
        <v>45881.0</v>
      </c>
      <c r="F189" s="3" t="s">
        <v>27</v>
      </c>
      <c r="G189" s="3" t="s">
        <v>92</v>
      </c>
      <c r="H189" s="6"/>
      <c r="I189" s="6"/>
      <c r="J189" s="6"/>
      <c r="K189" s="6"/>
      <c r="L189" s="6"/>
      <c r="M189" s="26"/>
      <c r="O189" s="19" t="str">
        <f t="shared" si="1"/>
        <v/>
      </c>
    </row>
    <row r="190">
      <c r="A190" s="22" t="s">
        <v>225</v>
      </c>
      <c r="B190" s="4" t="s">
        <v>36</v>
      </c>
      <c r="C190" s="22" t="s">
        <v>286</v>
      </c>
      <c r="D190" s="22"/>
      <c r="E190" s="25">
        <v>45881.0</v>
      </c>
      <c r="F190" s="3" t="s">
        <v>27</v>
      </c>
      <c r="G190" s="3" t="s">
        <v>92</v>
      </c>
      <c r="H190" s="6"/>
      <c r="I190" s="6"/>
      <c r="J190" s="6"/>
      <c r="K190" s="6"/>
      <c r="L190" s="6"/>
      <c r="M190" s="26"/>
      <c r="O190" s="19" t="str">
        <f t="shared" si="1"/>
        <v/>
      </c>
    </row>
    <row r="191">
      <c r="A191" s="22" t="s">
        <v>69</v>
      </c>
      <c r="B191" s="4" t="s">
        <v>31</v>
      </c>
      <c r="C191" s="22" t="s">
        <v>287</v>
      </c>
      <c r="D191" s="22"/>
      <c r="E191" s="25">
        <v>45881.0</v>
      </c>
      <c r="F191" s="3" t="s">
        <v>27</v>
      </c>
      <c r="G191" s="3" t="s">
        <v>92</v>
      </c>
      <c r="H191" s="6"/>
      <c r="I191" s="6"/>
      <c r="J191" s="6"/>
      <c r="K191" s="6"/>
      <c r="L191" s="6"/>
      <c r="M191" s="26"/>
      <c r="O191" s="19" t="str">
        <f t="shared" si="1"/>
        <v/>
      </c>
    </row>
    <row r="192">
      <c r="A192" s="22" t="s">
        <v>276</v>
      </c>
      <c r="B192" s="4" t="s">
        <v>18</v>
      </c>
      <c r="C192" s="22" t="s">
        <v>288</v>
      </c>
      <c r="D192" s="22"/>
      <c r="E192" s="25">
        <v>45881.0</v>
      </c>
      <c r="F192" s="3" t="s">
        <v>27</v>
      </c>
      <c r="G192" s="3" t="s">
        <v>92</v>
      </c>
      <c r="H192" s="6"/>
      <c r="I192" s="6"/>
      <c r="J192" s="6"/>
      <c r="K192" s="6"/>
      <c r="L192" s="6"/>
      <c r="M192" s="26"/>
      <c r="O192" s="19" t="str">
        <f t="shared" si="1"/>
        <v/>
      </c>
    </row>
    <row r="193">
      <c r="A193" s="22" t="s">
        <v>202</v>
      </c>
      <c r="B193" s="4" t="s">
        <v>36</v>
      </c>
      <c r="C193" s="22" t="s">
        <v>289</v>
      </c>
      <c r="D193" s="22"/>
      <c r="E193" s="25">
        <v>45881.0</v>
      </c>
      <c r="F193" s="3" t="s">
        <v>93</v>
      </c>
      <c r="G193" s="3" t="s">
        <v>92</v>
      </c>
      <c r="H193" s="6"/>
      <c r="I193" s="6"/>
      <c r="J193" s="6"/>
      <c r="K193" s="6"/>
      <c r="L193" s="6"/>
      <c r="M193" s="26"/>
      <c r="O193" s="19" t="str">
        <f t="shared" si="1"/>
        <v/>
      </c>
    </row>
    <row r="194">
      <c r="A194" s="22" t="s">
        <v>69</v>
      </c>
      <c r="B194" s="4" t="s">
        <v>31</v>
      </c>
      <c r="C194" s="22" t="s">
        <v>70</v>
      </c>
      <c r="D194" s="22"/>
      <c r="E194" s="25">
        <v>45881.0</v>
      </c>
      <c r="F194" s="3" t="s">
        <v>27</v>
      </c>
      <c r="G194" s="3" t="s">
        <v>92</v>
      </c>
      <c r="H194" s="6"/>
      <c r="I194" s="6"/>
      <c r="J194" s="6"/>
      <c r="K194" s="6"/>
      <c r="L194" s="6"/>
      <c r="M194" s="26"/>
      <c r="O194" s="19" t="str">
        <f t="shared" si="1"/>
        <v/>
      </c>
    </row>
    <row r="195">
      <c r="A195" s="22" t="s">
        <v>276</v>
      </c>
      <c r="B195" s="4" t="s">
        <v>18</v>
      </c>
      <c r="C195" s="22">
        <v>4064.0</v>
      </c>
      <c r="D195" s="22"/>
      <c r="E195" s="25">
        <v>45882.0</v>
      </c>
      <c r="F195" s="3" t="s">
        <v>93</v>
      </c>
      <c r="G195" s="3" t="s">
        <v>92</v>
      </c>
      <c r="H195" s="6"/>
      <c r="I195" s="6"/>
      <c r="J195" s="6"/>
      <c r="K195" s="6"/>
      <c r="L195" s="6"/>
      <c r="M195" s="26"/>
      <c r="O195" s="19" t="str">
        <f t="shared" si="1"/>
        <v/>
      </c>
    </row>
    <row r="196">
      <c r="A196" s="22" t="s">
        <v>276</v>
      </c>
      <c r="B196" s="4" t="s">
        <v>18</v>
      </c>
      <c r="C196" s="22" t="s">
        <v>288</v>
      </c>
      <c r="D196" s="22" t="s">
        <v>290</v>
      </c>
      <c r="E196" s="25">
        <v>45882.0</v>
      </c>
      <c r="F196" s="3" t="s">
        <v>27</v>
      </c>
      <c r="G196" s="3" t="s">
        <v>92</v>
      </c>
      <c r="H196" s="6"/>
      <c r="I196" s="6"/>
      <c r="J196" s="6"/>
      <c r="K196" s="6"/>
      <c r="L196" s="6"/>
      <c r="M196" s="26"/>
      <c r="O196" s="19" t="str">
        <f t="shared" si="1"/>
        <v/>
      </c>
    </row>
    <row r="197">
      <c r="A197" s="22" t="s">
        <v>291</v>
      </c>
      <c r="B197" s="4" t="s">
        <v>31</v>
      </c>
      <c r="C197" s="22" t="s">
        <v>292</v>
      </c>
      <c r="D197" s="22"/>
      <c r="E197" s="25">
        <v>45882.0</v>
      </c>
      <c r="F197" s="3" t="s">
        <v>27</v>
      </c>
      <c r="G197" s="3" t="s">
        <v>92</v>
      </c>
      <c r="H197" s="6"/>
      <c r="I197" s="6"/>
      <c r="J197" s="6"/>
      <c r="K197" s="6"/>
      <c r="L197" s="6"/>
      <c r="M197" s="26"/>
      <c r="O197" s="19" t="str">
        <f t="shared" si="1"/>
        <v/>
      </c>
    </row>
    <row r="198">
      <c r="A198" s="22" t="s">
        <v>227</v>
      </c>
      <c r="B198" s="4" t="s">
        <v>18</v>
      </c>
      <c r="C198" s="22" t="s">
        <v>293</v>
      </c>
      <c r="D198" s="22" t="s">
        <v>294</v>
      </c>
      <c r="E198" s="25">
        <v>45882.0</v>
      </c>
      <c r="F198" s="3" t="s">
        <v>27</v>
      </c>
      <c r="G198" s="3" t="s">
        <v>92</v>
      </c>
      <c r="H198" s="6"/>
      <c r="I198" s="6"/>
      <c r="J198" s="6"/>
      <c r="K198" s="6"/>
      <c r="L198" s="6"/>
      <c r="M198" s="26"/>
      <c r="O198" s="19" t="str">
        <f t="shared" si="1"/>
        <v/>
      </c>
    </row>
    <row r="199">
      <c r="A199" s="22" t="s">
        <v>198</v>
      </c>
      <c r="B199" s="4" t="s">
        <v>109</v>
      </c>
      <c r="C199" s="22" t="s">
        <v>295</v>
      </c>
      <c r="D199" s="22"/>
      <c r="E199" s="25">
        <v>45882.0</v>
      </c>
      <c r="F199" s="3" t="s">
        <v>27</v>
      </c>
      <c r="G199" s="3" t="s">
        <v>92</v>
      </c>
      <c r="H199" s="6"/>
      <c r="I199" s="6"/>
      <c r="J199" s="6"/>
      <c r="K199" s="6"/>
      <c r="L199" s="6"/>
      <c r="M199" s="26"/>
      <c r="O199" s="19" t="str">
        <f t="shared" si="1"/>
        <v/>
      </c>
    </row>
    <row r="200">
      <c r="A200" s="22" t="s">
        <v>276</v>
      </c>
      <c r="B200" s="4" t="s">
        <v>18</v>
      </c>
      <c r="C200" s="22" t="s">
        <v>296</v>
      </c>
      <c r="D200" s="22"/>
      <c r="E200" s="25">
        <v>45883.0</v>
      </c>
      <c r="F200" s="3" t="s">
        <v>27</v>
      </c>
      <c r="G200" s="3" t="s">
        <v>92</v>
      </c>
      <c r="H200" s="6"/>
      <c r="I200" s="6"/>
      <c r="J200" s="6"/>
      <c r="K200" s="6"/>
      <c r="L200" s="6"/>
      <c r="M200" s="26"/>
      <c r="O200" s="19" t="str">
        <f t="shared" si="1"/>
        <v/>
      </c>
    </row>
    <row r="201">
      <c r="A201" s="22" t="s">
        <v>69</v>
      </c>
      <c r="B201" s="4" t="s">
        <v>31</v>
      </c>
      <c r="C201" s="22" t="s">
        <v>297</v>
      </c>
      <c r="D201" s="22" t="s">
        <v>298</v>
      </c>
      <c r="E201" s="25">
        <v>45883.0</v>
      </c>
      <c r="F201" s="3" t="s">
        <v>27</v>
      </c>
      <c r="G201" s="3" t="s">
        <v>92</v>
      </c>
      <c r="H201" s="6"/>
      <c r="I201" s="6"/>
      <c r="J201" s="6"/>
      <c r="K201" s="6"/>
      <c r="L201" s="6"/>
      <c r="M201" s="26"/>
      <c r="O201" s="19" t="str">
        <f t="shared" si="1"/>
        <v/>
      </c>
    </row>
    <row r="202">
      <c r="A202" s="22" t="s">
        <v>276</v>
      </c>
      <c r="B202" s="4" t="s">
        <v>18</v>
      </c>
      <c r="C202" s="22" t="s">
        <v>288</v>
      </c>
      <c r="D202" s="22" t="s">
        <v>299</v>
      </c>
      <c r="E202" s="25">
        <v>45884.0</v>
      </c>
      <c r="F202" s="3" t="s">
        <v>27</v>
      </c>
      <c r="G202" s="3" t="s">
        <v>92</v>
      </c>
      <c r="H202" s="6"/>
      <c r="I202" s="6"/>
      <c r="J202" s="6"/>
      <c r="K202" s="6"/>
      <c r="L202" s="6"/>
      <c r="M202" s="26"/>
      <c r="O202" s="19" t="str">
        <f t="shared" si="1"/>
        <v/>
      </c>
    </row>
    <row r="203">
      <c r="A203" s="22" t="s">
        <v>246</v>
      </c>
      <c r="B203" s="4" t="s">
        <v>36</v>
      </c>
      <c r="C203" s="22" t="s">
        <v>300</v>
      </c>
      <c r="D203" s="22" t="s">
        <v>301</v>
      </c>
      <c r="E203" s="25">
        <v>45884.0</v>
      </c>
      <c r="F203" s="3" t="s">
        <v>27</v>
      </c>
      <c r="G203" s="3" t="s">
        <v>92</v>
      </c>
      <c r="H203" s="6"/>
      <c r="I203" s="6"/>
      <c r="J203" s="6"/>
      <c r="K203" s="6"/>
      <c r="L203" s="6"/>
      <c r="M203" s="26"/>
      <c r="O203" s="19" t="str">
        <f t="shared" si="1"/>
        <v/>
      </c>
    </row>
    <row r="204">
      <c r="A204" s="22" t="s">
        <v>291</v>
      </c>
      <c r="B204" s="4" t="s">
        <v>31</v>
      </c>
      <c r="C204" s="22">
        <v>2528.0</v>
      </c>
      <c r="D204" s="22"/>
      <c r="E204" s="25">
        <v>45885.0</v>
      </c>
      <c r="F204" s="3" t="s">
        <v>27</v>
      </c>
      <c r="G204" s="3" t="s">
        <v>92</v>
      </c>
      <c r="H204" s="6"/>
      <c r="I204" s="6"/>
      <c r="J204" s="6"/>
      <c r="K204" s="6"/>
      <c r="L204" s="6"/>
      <c r="M204" s="26"/>
      <c r="O204" s="19" t="str">
        <f t="shared" si="1"/>
        <v/>
      </c>
    </row>
    <row r="205">
      <c r="A205" s="22" t="s">
        <v>107</v>
      </c>
      <c r="B205" s="4" t="s">
        <v>18</v>
      </c>
      <c r="C205" s="22" t="s">
        <v>302</v>
      </c>
      <c r="D205" s="22"/>
      <c r="E205" s="25">
        <v>45885.0</v>
      </c>
      <c r="F205" s="3" t="s">
        <v>27</v>
      </c>
      <c r="G205" s="3" t="s">
        <v>92</v>
      </c>
      <c r="H205" s="6"/>
      <c r="I205" s="6"/>
      <c r="J205" s="6"/>
      <c r="K205" s="6"/>
      <c r="L205" s="6"/>
      <c r="M205" s="26"/>
      <c r="O205" s="19" t="str">
        <f t="shared" si="1"/>
        <v/>
      </c>
    </row>
    <row r="206">
      <c r="A206" s="22" t="s">
        <v>112</v>
      </c>
      <c r="B206" s="4" t="s">
        <v>18</v>
      </c>
      <c r="C206" s="22" t="s">
        <v>303</v>
      </c>
      <c r="D206" s="22"/>
      <c r="E206" s="25">
        <v>45887.0</v>
      </c>
      <c r="F206" s="3" t="s">
        <v>93</v>
      </c>
      <c r="G206" s="3" t="s">
        <v>92</v>
      </c>
      <c r="H206" s="6"/>
      <c r="I206" s="6"/>
      <c r="J206" s="6"/>
      <c r="K206" s="6"/>
      <c r="L206" s="6"/>
      <c r="M206" s="26"/>
      <c r="O206" s="19" t="str">
        <f t="shared" si="1"/>
        <v/>
      </c>
    </row>
    <row r="207">
      <c r="A207" s="22" t="s">
        <v>168</v>
      </c>
      <c r="B207" s="4" t="s">
        <v>45</v>
      </c>
      <c r="C207" s="22" t="s">
        <v>304</v>
      </c>
      <c r="D207" s="22"/>
      <c r="E207" s="25">
        <v>45887.0</v>
      </c>
      <c r="F207" s="3" t="s">
        <v>27</v>
      </c>
      <c r="G207" s="3" t="s">
        <v>92</v>
      </c>
      <c r="H207" s="6"/>
      <c r="I207" s="6"/>
      <c r="J207" s="6"/>
      <c r="K207" s="6"/>
      <c r="L207" s="6"/>
      <c r="M207" s="26"/>
      <c r="O207" s="19" t="str">
        <f t="shared" si="1"/>
        <v/>
      </c>
    </row>
    <row r="208">
      <c r="A208" s="22" t="s">
        <v>305</v>
      </c>
      <c r="B208" s="4" t="s">
        <v>36</v>
      </c>
      <c r="C208" s="22" t="s">
        <v>306</v>
      </c>
      <c r="D208" s="22"/>
      <c r="E208" s="25">
        <v>45887.0</v>
      </c>
      <c r="F208" s="3" t="s">
        <v>27</v>
      </c>
      <c r="G208" s="3" t="s">
        <v>92</v>
      </c>
      <c r="H208" s="6"/>
      <c r="I208" s="6"/>
      <c r="J208" s="6"/>
      <c r="K208" s="6"/>
      <c r="L208" s="6"/>
      <c r="M208" s="26"/>
      <c r="O208" s="19" t="str">
        <f t="shared" si="1"/>
        <v/>
      </c>
    </row>
    <row r="209">
      <c r="A209" s="22" t="s">
        <v>225</v>
      </c>
      <c r="B209" s="4" t="s">
        <v>36</v>
      </c>
      <c r="C209" s="22" t="s">
        <v>307</v>
      </c>
      <c r="D209" s="22"/>
      <c r="E209" s="25">
        <v>45887.0</v>
      </c>
      <c r="F209" s="3" t="s">
        <v>27</v>
      </c>
      <c r="G209" s="3" t="s">
        <v>92</v>
      </c>
      <c r="H209" s="6"/>
      <c r="I209" s="6"/>
      <c r="J209" s="6"/>
      <c r="K209" s="6"/>
      <c r="L209" s="6"/>
      <c r="M209" s="26"/>
      <c r="O209" s="19" t="str">
        <f t="shared" si="1"/>
        <v/>
      </c>
    </row>
    <row r="210">
      <c r="A210" s="22" t="s">
        <v>202</v>
      </c>
      <c r="B210" s="4" t="s">
        <v>36</v>
      </c>
      <c r="C210" s="22" t="s">
        <v>308</v>
      </c>
      <c r="D210" s="22"/>
      <c r="E210" s="25">
        <v>45887.0</v>
      </c>
      <c r="F210" s="3" t="s">
        <v>27</v>
      </c>
      <c r="G210" s="3" t="s">
        <v>92</v>
      </c>
      <c r="H210" s="6"/>
      <c r="I210" s="6"/>
      <c r="J210" s="6"/>
      <c r="K210" s="6"/>
      <c r="L210" s="6"/>
      <c r="M210" s="26"/>
      <c r="O210" s="19" t="str">
        <f t="shared" si="1"/>
        <v/>
      </c>
    </row>
    <row r="211">
      <c r="A211" s="22" t="s">
        <v>113</v>
      </c>
      <c r="B211" s="4" t="s">
        <v>18</v>
      </c>
      <c r="C211" s="22" t="s">
        <v>309</v>
      </c>
      <c r="D211" s="22" t="s">
        <v>310</v>
      </c>
      <c r="E211" s="25">
        <v>45887.0</v>
      </c>
      <c r="F211" s="3" t="s">
        <v>27</v>
      </c>
      <c r="G211" s="3" t="s">
        <v>92</v>
      </c>
      <c r="H211" s="6"/>
      <c r="I211" s="6"/>
      <c r="J211" s="6"/>
      <c r="K211" s="6"/>
      <c r="L211" s="6"/>
      <c r="M211" s="26"/>
      <c r="O211" s="19" t="str">
        <f t="shared" si="1"/>
        <v/>
      </c>
    </row>
    <row r="212">
      <c r="A212" s="22" t="s">
        <v>291</v>
      </c>
      <c r="B212" s="4" t="s">
        <v>31</v>
      </c>
      <c r="C212" s="22" t="s">
        <v>311</v>
      </c>
      <c r="D212" s="22"/>
      <c r="E212" s="25">
        <v>45887.0</v>
      </c>
      <c r="F212" s="3" t="s">
        <v>27</v>
      </c>
      <c r="G212" s="3" t="s">
        <v>92</v>
      </c>
      <c r="H212" s="6"/>
      <c r="I212" s="6"/>
      <c r="J212" s="6"/>
      <c r="K212" s="6"/>
      <c r="L212" s="6"/>
      <c r="M212" s="26"/>
      <c r="O212" s="19" t="str">
        <f t="shared" si="1"/>
        <v/>
      </c>
    </row>
    <row r="213">
      <c r="A213" s="22" t="s">
        <v>258</v>
      </c>
      <c r="B213" s="4" t="s">
        <v>45</v>
      </c>
      <c r="C213" s="22" t="s">
        <v>312</v>
      </c>
      <c r="D213" s="22" t="s">
        <v>313</v>
      </c>
      <c r="E213" s="25">
        <v>45887.0</v>
      </c>
      <c r="F213" s="3" t="s">
        <v>27</v>
      </c>
      <c r="G213" s="3" t="s">
        <v>92</v>
      </c>
      <c r="H213" s="6"/>
      <c r="I213" s="6"/>
      <c r="J213" s="6"/>
      <c r="K213" s="6"/>
      <c r="L213" s="6"/>
      <c r="M213" s="26"/>
      <c r="O213" s="19" t="str">
        <f t="shared" si="1"/>
        <v/>
      </c>
    </row>
    <row r="214">
      <c r="A214" s="22" t="s">
        <v>202</v>
      </c>
      <c r="B214" s="4" t="s">
        <v>36</v>
      </c>
      <c r="C214" s="22">
        <v>3977.0</v>
      </c>
      <c r="D214" s="22"/>
      <c r="E214" s="25">
        <v>45887.0</v>
      </c>
      <c r="F214" s="3" t="s">
        <v>27</v>
      </c>
      <c r="G214" s="3" t="s">
        <v>92</v>
      </c>
      <c r="H214" s="6"/>
      <c r="I214" s="6"/>
      <c r="J214" s="6"/>
      <c r="K214" s="6"/>
      <c r="L214" s="6"/>
      <c r="M214" s="26"/>
      <c r="O214" s="19" t="str">
        <f t="shared" si="1"/>
        <v/>
      </c>
    </row>
    <row r="215">
      <c r="A215" s="22" t="s">
        <v>112</v>
      </c>
      <c r="B215" s="4" t="s">
        <v>18</v>
      </c>
      <c r="C215" s="22" t="s">
        <v>231</v>
      </c>
      <c r="D215" s="22" t="s">
        <v>314</v>
      </c>
      <c r="E215" s="25">
        <v>45887.0</v>
      </c>
      <c r="F215" s="3" t="s">
        <v>103</v>
      </c>
      <c r="G215" s="3" t="s">
        <v>92</v>
      </c>
      <c r="H215" s="6"/>
      <c r="I215" s="6"/>
      <c r="J215" s="6"/>
      <c r="K215" s="6"/>
      <c r="L215" s="6"/>
      <c r="M215" s="26"/>
      <c r="O215" s="19" t="str">
        <f t="shared" si="1"/>
        <v/>
      </c>
    </row>
    <row r="216">
      <c r="A216" s="22" t="s">
        <v>244</v>
      </c>
      <c r="B216" s="4" t="s">
        <v>18</v>
      </c>
      <c r="C216" s="22" t="s">
        <v>315</v>
      </c>
      <c r="D216" s="22" t="s">
        <v>316</v>
      </c>
      <c r="E216" s="25">
        <v>45887.0</v>
      </c>
      <c r="F216" s="3" t="s">
        <v>27</v>
      </c>
      <c r="G216" s="3" t="s">
        <v>92</v>
      </c>
      <c r="H216" s="6"/>
      <c r="I216" s="6"/>
      <c r="J216" s="6"/>
      <c r="K216" s="6"/>
      <c r="L216" s="6"/>
      <c r="M216" s="26"/>
      <c r="O216" s="19" t="str">
        <f t="shared" si="1"/>
        <v/>
      </c>
    </row>
    <row r="217">
      <c r="A217" s="22" t="s">
        <v>276</v>
      </c>
      <c r="B217" s="4" t="s">
        <v>18</v>
      </c>
      <c r="C217" s="22" t="s">
        <v>277</v>
      </c>
      <c r="D217" s="22" t="s">
        <v>317</v>
      </c>
      <c r="E217" s="25">
        <v>45888.0</v>
      </c>
      <c r="F217" s="3" t="s">
        <v>27</v>
      </c>
      <c r="G217" s="3" t="s">
        <v>92</v>
      </c>
      <c r="H217" s="6"/>
      <c r="I217" s="6"/>
      <c r="J217" s="6"/>
      <c r="K217" s="6"/>
      <c r="L217" s="6"/>
      <c r="M217" s="26"/>
      <c r="O217" s="19" t="str">
        <f t="shared" si="1"/>
        <v/>
      </c>
    </row>
    <row r="218">
      <c r="A218" s="22" t="s">
        <v>318</v>
      </c>
      <c r="B218" s="4" t="s">
        <v>18</v>
      </c>
      <c r="C218" s="22" t="s">
        <v>319</v>
      </c>
      <c r="D218" s="22" t="s">
        <v>320</v>
      </c>
      <c r="E218" s="25">
        <v>45888.0</v>
      </c>
      <c r="F218" s="3" t="s">
        <v>27</v>
      </c>
      <c r="G218" s="3" t="s">
        <v>92</v>
      </c>
      <c r="H218" s="6"/>
      <c r="I218" s="6"/>
      <c r="J218" s="6"/>
      <c r="K218" s="6"/>
      <c r="L218" s="6"/>
      <c r="M218" s="26"/>
      <c r="O218" s="19" t="str">
        <f t="shared" si="1"/>
        <v/>
      </c>
    </row>
    <row r="219">
      <c r="A219" s="3" t="s">
        <v>321</v>
      </c>
      <c r="B219" s="4" t="s">
        <v>31</v>
      </c>
      <c r="C219" s="23" t="s">
        <v>322</v>
      </c>
      <c r="D219" s="23" t="s">
        <v>323</v>
      </c>
      <c r="E219" s="25">
        <v>45888.0</v>
      </c>
      <c r="F219" s="3" t="s">
        <v>27</v>
      </c>
      <c r="G219" s="3" t="s">
        <v>92</v>
      </c>
      <c r="H219" s="28"/>
      <c r="I219" s="6"/>
      <c r="J219" s="28"/>
      <c r="K219" s="28"/>
      <c r="L219" s="28"/>
      <c r="M219" s="26"/>
      <c r="O219" s="19" t="str">
        <f t="shared" si="1"/>
        <v/>
      </c>
    </row>
    <row r="220">
      <c r="A220" s="3" t="s">
        <v>324</v>
      </c>
      <c r="B220" s="4" t="s">
        <v>31</v>
      </c>
      <c r="C220" s="22" t="s">
        <v>325</v>
      </c>
      <c r="D220" s="22" t="s">
        <v>326</v>
      </c>
      <c r="E220" s="25">
        <v>45888.0</v>
      </c>
      <c r="F220" s="3" t="s">
        <v>27</v>
      </c>
      <c r="G220" s="3" t="s">
        <v>92</v>
      </c>
      <c r="H220" s="28"/>
      <c r="I220" s="6"/>
      <c r="J220" s="28"/>
      <c r="K220" s="28"/>
      <c r="L220" s="28"/>
      <c r="M220" s="26"/>
      <c r="O220" s="19" t="str">
        <f t="shared" si="1"/>
        <v/>
      </c>
    </row>
    <row r="221">
      <c r="A221" s="3" t="s">
        <v>305</v>
      </c>
      <c r="B221" s="4" t="s">
        <v>36</v>
      </c>
      <c r="C221" s="22" t="s">
        <v>327</v>
      </c>
      <c r="D221" s="22" t="s">
        <v>328</v>
      </c>
      <c r="E221" s="25">
        <v>45888.0</v>
      </c>
      <c r="F221" s="3" t="s">
        <v>27</v>
      </c>
      <c r="G221" s="3" t="s">
        <v>92</v>
      </c>
      <c r="H221" s="28"/>
      <c r="I221" s="6"/>
      <c r="J221" s="28"/>
      <c r="K221" s="28"/>
      <c r="L221" s="28"/>
      <c r="M221" s="26"/>
      <c r="O221" s="19" t="str">
        <f t="shared" si="1"/>
        <v/>
      </c>
    </row>
    <row r="222">
      <c r="A222" s="3" t="s">
        <v>258</v>
      </c>
      <c r="B222" s="4" t="s">
        <v>45</v>
      </c>
      <c r="C222" s="22" t="s">
        <v>329</v>
      </c>
      <c r="D222" s="22" t="s">
        <v>330</v>
      </c>
      <c r="E222" s="25">
        <v>45888.0</v>
      </c>
      <c r="F222" s="3" t="s">
        <v>27</v>
      </c>
      <c r="G222" s="3" t="s">
        <v>92</v>
      </c>
      <c r="H222" s="28"/>
      <c r="I222" s="6"/>
      <c r="J222" s="28"/>
      <c r="K222" s="28"/>
      <c r="L222" s="28"/>
      <c r="M222" s="26"/>
      <c r="O222" s="19" t="str">
        <f t="shared" si="1"/>
        <v/>
      </c>
    </row>
    <row r="223">
      <c r="A223" s="3" t="s">
        <v>305</v>
      </c>
      <c r="B223" s="4" t="s">
        <v>36</v>
      </c>
      <c r="C223" s="22" t="s">
        <v>331</v>
      </c>
      <c r="D223" s="22" t="s">
        <v>332</v>
      </c>
      <c r="E223" s="5" t="s">
        <v>333</v>
      </c>
      <c r="F223" s="3" t="s">
        <v>27</v>
      </c>
      <c r="G223" s="3"/>
      <c r="H223" s="28"/>
      <c r="I223" s="6"/>
      <c r="J223" s="28"/>
      <c r="K223" s="28"/>
      <c r="L223" s="28"/>
      <c r="M223" s="7"/>
      <c r="O223" s="19" t="str">
        <f t="shared" si="1"/>
        <v/>
      </c>
    </row>
    <row r="224">
      <c r="A224" s="3" t="s">
        <v>17</v>
      </c>
      <c r="B224" s="4" t="s">
        <v>18</v>
      </c>
      <c r="C224" s="22" t="s">
        <v>19</v>
      </c>
      <c r="D224" s="22" t="s">
        <v>334</v>
      </c>
      <c r="E224" s="5" t="s">
        <v>335</v>
      </c>
      <c r="F224" s="3" t="s">
        <v>22</v>
      </c>
      <c r="G224" s="3"/>
      <c r="H224" s="28"/>
      <c r="I224" s="6"/>
      <c r="J224" s="28"/>
      <c r="K224" s="28"/>
      <c r="L224" s="28"/>
      <c r="M224" s="7"/>
      <c r="O224" s="19" t="str">
        <f t="shared" si="1"/>
        <v/>
      </c>
    </row>
    <row r="225">
      <c r="A225" s="3" t="s">
        <v>244</v>
      </c>
      <c r="B225" s="4" t="s">
        <v>18</v>
      </c>
      <c r="C225" s="22" t="s">
        <v>315</v>
      </c>
      <c r="D225" s="22" t="s">
        <v>336</v>
      </c>
      <c r="E225" s="5" t="s">
        <v>335</v>
      </c>
      <c r="F225" s="3" t="s">
        <v>27</v>
      </c>
      <c r="G225" s="3"/>
      <c r="H225" s="28"/>
      <c r="I225" s="6"/>
      <c r="J225" s="28"/>
      <c r="K225" s="28"/>
      <c r="L225" s="28"/>
      <c r="M225" s="7"/>
      <c r="O225" s="19" t="str">
        <f t="shared" si="1"/>
        <v/>
      </c>
    </row>
    <row r="226">
      <c r="A226" s="3" t="s">
        <v>155</v>
      </c>
      <c r="B226" s="4" t="s">
        <v>18</v>
      </c>
      <c r="C226" s="22" t="s">
        <v>319</v>
      </c>
      <c r="D226" s="22" t="s">
        <v>337</v>
      </c>
      <c r="E226" s="25">
        <v>45889.0</v>
      </c>
      <c r="F226" s="3" t="s">
        <v>27</v>
      </c>
      <c r="G226" s="3" t="s">
        <v>92</v>
      </c>
      <c r="H226" s="28"/>
      <c r="I226" s="6"/>
      <c r="J226" s="28"/>
      <c r="K226" s="28"/>
      <c r="L226" s="28"/>
      <c r="M226" s="26"/>
      <c r="O226" s="19" t="str">
        <f t="shared" si="1"/>
        <v/>
      </c>
    </row>
    <row r="227">
      <c r="A227" s="3" t="s">
        <v>155</v>
      </c>
      <c r="B227" s="4" t="s">
        <v>18</v>
      </c>
      <c r="C227" s="22" t="s">
        <v>319</v>
      </c>
      <c r="D227" s="22"/>
      <c r="E227" s="25">
        <v>45889.0</v>
      </c>
      <c r="F227" s="3" t="s">
        <v>93</v>
      </c>
      <c r="G227" s="3" t="s">
        <v>92</v>
      </c>
      <c r="H227" s="28"/>
      <c r="I227" s="6"/>
      <c r="J227" s="28"/>
      <c r="K227" s="28"/>
      <c r="L227" s="28"/>
      <c r="M227" s="26"/>
      <c r="O227" s="19" t="str">
        <f t="shared" si="1"/>
        <v/>
      </c>
    </row>
    <row r="228">
      <c r="A228" s="3" t="s">
        <v>276</v>
      </c>
      <c r="B228" s="4" t="s">
        <v>18</v>
      </c>
      <c r="C228" s="22" t="s">
        <v>338</v>
      </c>
      <c r="D228" s="22" t="s">
        <v>339</v>
      </c>
      <c r="E228" s="25">
        <v>45889.0</v>
      </c>
      <c r="F228" s="3" t="s">
        <v>27</v>
      </c>
      <c r="G228" s="3" t="s">
        <v>92</v>
      </c>
      <c r="H228" s="28"/>
      <c r="I228" s="6"/>
      <c r="J228" s="28"/>
      <c r="K228" s="28"/>
      <c r="L228" s="28"/>
      <c r="M228" s="26"/>
      <c r="O228" s="19" t="str">
        <f t="shared" si="1"/>
        <v/>
      </c>
    </row>
    <row r="229">
      <c r="A229" s="3" t="s">
        <v>276</v>
      </c>
      <c r="B229" s="4" t="s">
        <v>18</v>
      </c>
      <c r="C229" s="22" t="s">
        <v>288</v>
      </c>
      <c r="D229" s="22" t="s">
        <v>299</v>
      </c>
      <c r="E229" s="25">
        <v>45889.0</v>
      </c>
      <c r="F229" s="3" t="s">
        <v>27</v>
      </c>
      <c r="G229" s="3" t="s">
        <v>92</v>
      </c>
      <c r="H229" s="28"/>
      <c r="I229" s="6"/>
      <c r="J229" s="28"/>
      <c r="K229" s="28"/>
      <c r="L229" s="28"/>
      <c r="M229" s="26"/>
      <c r="O229" s="19" t="str">
        <f t="shared" si="1"/>
        <v/>
      </c>
    </row>
    <row r="230">
      <c r="A230" s="3" t="s">
        <v>61</v>
      </c>
      <c r="B230" s="4" t="s">
        <v>18</v>
      </c>
      <c r="C230" s="22" t="s">
        <v>340</v>
      </c>
      <c r="D230" s="22" t="s">
        <v>341</v>
      </c>
      <c r="E230" s="25">
        <v>45889.0</v>
      </c>
      <c r="F230" s="3" t="s">
        <v>27</v>
      </c>
      <c r="G230" s="3" t="s">
        <v>92</v>
      </c>
      <c r="H230" s="28"/>
      <c r="I230" s="6"/>
      <c r="J230" s="28"/>
      <c r="K230" s="28"/>
      <c r="L230" s="28"/>
      <c r="M230" s="26"/>
      <c r="O230" s="19" t="str">
        <f t="shared" si="1"/>
        <v/>
      </c>
    </row>
    <row r="231">
      <c r="A231" s="3" t="s">
        <v>112</v>
      </c>
      <c r="B231" s="4" t="s">
        <v>18</v>
      </c>
      <c r="C231" s="22" t="s">
        <v>342</v>
      </c>
      <c r="D231" s="22" t="s">
        <v>343</v>
      </c>
      <c r="E231" s="25">
        <v>45889.0</v>
      </c>
      <c r="F231" s="3" t="s">
        <v>27</v>
      </c>
      <c r="G231" s="3" t="s">
        <v>92</v>
      </c>
      <c r="H231" s="28"/>
      <c r="I231" s="6"/>
      <c r="J231" s="28"/>
      <c r="K231" s="28"/>
      <c r="L231" s="28"/>
      <c r="M231" s="26"/>
      <c r="O231" s="19" t="str">
        <f t="shared" si="1"/>
        <v/>
      </c>
    </row>
    <row r="232">
      <c r="A232" s="3" t="s">
        <v>107</v>
      </c>
      <c r="B232" s="4" t="s">
        <v>18</v>
      </c>
      <c r="C232" s="22" t="s">
        <v>344</v>
      </c>
      <c r="D232" s="22" t="s">
        <v>345</v>
      </c>
      <c r="E232" s="25">
        <v>45889.0</v>
      </c>
      <c r="F232" s="3" t="s">
        <v>27</v>
      </c>
      <c r="G232" s="3" t="s">
        <v>92</v>
      </c>
      <c r="H232" s="28"/>
      <c r="I232" s="6"/>
      <c r="J232" s="28"/>
      <c r="K232" s="28"/>
      <c r="L232" s="28"/>
      <c r="M232" s="26"/>
      <c r="O232" s="19" t="str">
        <f t="shared" si="1"/>
        <v/>
      </c>
    </row>
    <row r="233">
      <c r="A233" s="22" t="s">
        <v>291</v>
      </c>
      <c r="B233" s="4" t="s">
        <v>31</v>
      </c>
      <c r="C233" s="23" t="s">
        <v>346</v>
      </c>
      <c r="E233" s="5"/>
      <c r="F233" s="23" t="s">
        <v>347</v>
      </c>
      <c r="G233" s="23"/>
      <c r="H233" s="23" t="s">
        <v>348</v>
      </c>
      <c r="I233" s="20">
        <f>61402241096</f>
        <v>61402241096</v>
      </c>
      <c r="J233" s="23" t="s">
        <v>349</v>
      </c>
      <c r="K233" s="6"/>
      <c r="L233" s="6"/>
      <c r="M233" s="7"/>
      <c r="O233" s="19" t="str">
        <f t="shared" si="1"/>
        <v/>
      </c>
    </row>
    <row r="234">
      <c r="A234" s="22" t="s">
        <v>155</v>
      </c>
      <c r="B234" s="4" t="s">
        <v>18</v>
      </c>
      <c r="C234" s="24" t="s">
        <v>350</v>
      </c>
      <c r="D234" s="22" t="s">
        <v>351</v>
      </c>
      <c r="E234" s="29">
        <v>45889.0</v>
      </c>
      <c r="F234" s="22" t="s">
        <v>27</v>
      </c>
      <c r="G234" s="22" t="s">
        <v>129</v>
      </c>
      <c r="H234" s="6"/>
      <c r="I234" s="6"/>
      <c r="J234" s="6"/>
      <c r="K234" s="6"/>
      <c r="L234" s="6"/>
      <c r="M234" s="26"/>
      <c r="O234" s="19" t="str">
        <f t="shared" si="1"/>
        <v/>
      </c>
    </row>
    <row r="235">
      <c r="A235" s="22" t="s">
        <v>113</v>
      </c>
      <c r="B235" s="4" t="s">
        <v>18</v>
      </c>
      <c r="C235" s="24" t="s">
        <v>352</v>
      </c>
      <c r="D235" s="22" t="s">
        <v>353</v>
      </c>
      <c r="E235" s="29">
        <v>45889.0</v>
      </c>
      <c r="F235" s="22" t="s">
        <v>27</v>
      </c>
      <c r="G235" s="22" t="s">
        <v>92</v>
      </c>
      <c r="H235" s="6"/>
      <c r="I235" s="6"/>
      <c r="J235" s="6"/>
      <c r="K235" s="6"/>
      <c r="L235" s="6"/>
      <c r="M235" s="26"/>
      <c r="O235" s="19" t="str">
        <f t="shared" si="1"/>
        <v/>
      </c>
    </row>
    <row r="236">
      <c r="A236" s="22" t="s">
        <v>112</v>
      </c>
      <c r="B236" s="4" t="s">
        <v>18</v>
      </c>
      <c r="C236" s="24" t="s">
        <v>354</v>
      </c>
      <c r="D236" s="22" t="s">
        <v>355</v>
      </c>
      <c r="E236" s="29">
        <v>45889.0</v>
      </c>
      <c r="F236" s="22" t="s">
        <v>103</v>
      </c>
      <c r="G236" s="22" t="s">
        <v>92</v>
      </c>
      <c r="H236" s="6"/>
      <c r="I236" s="6"/>
      <c r="J236" s="6"/>
      <c r="K236" s="6"/>
      <c r="L236" s="6"/>
      <c r="M236" s="26"/>
      <c r="O236" s="19" t="str">
        <f t="shared" si="1"/>
        <v/>
      </c>
    </row>
    <row r="237">
      <c r="A237" s="22" t="s">
        <v>112</v>
      </c>
      <c r="B237" s="4" t="s">
        <v>18</v>
      </c>
      <c r="C237" s="24" t="s">
        <v>356</v>
      </c>
      <c r="D237" s="22" t="s">
        <v>357</v>
      </c>
      <c r="E237" s="29">
        <v>45889.0</v>
      </c>
      <c r="F237" s="22" t="s">
        <v>27</v>
      </c>
      <c r="G237" s="22" t="s">
        <v>92</v>
      </c>
      <c r="H237" s="6"/>
      <c r="I237" s="6"/>
      <c r="J237" s="6"/>
      <c r="K237" s="6"/>
      <c r="L237" s="6"/>
      <c r="M237" s="26"/>
      <c r="O237" s="19" t="str">
        <f t="shared" si="1"/>
        <v/>
      </c>
    </row>
    <row r="238">
      <c r="A238" s="22" t="s">
        <v>112</v>
      </c>
      <c r="B238" s="4" t="s">
        <v>18</v>
      </c>
      <c r="C238" s="24" t="s">
        <v>358</v>
      </c>
      <c r="D238" s="22"/>
      <c r="E238" s="29">
        <v>45889.0</v>
      </c>
      <c r="F238" s="22" t="s">
        <v>93</v>
      </c>
      <c r="G238" s="22" t="s">
        <v>92</v>
      </c>
      <c r="H238" s="6"/>
      <c r="I238" s="6"/>
      <c r="J238" s="6"/>
      <c r="K238" s="6"/>
      <c r="L238" s="6"/>
      <c r="M238" s="26"/>
      <c r="O238" s="19" t="str">
        <f t="shared" si="1"/>
        <v/>
      </c>
    </row>
    <row r="239">
      <c r="A239" s="22" t="s">
        <v>61</v>
      </c>
      <c r="B239" s="4" t="s">
        <v>18</v>
      </c>
      <c r="C239" s="24" t="s">
        <v>359</v>
      </c>
      <c r="D239" s="22" t="s">
        <v>360</v>
      </c>
      <c r="E239" s="29">
        <v>45889.0</v>
      </c>
      <c r="F239" s="22" t="s">
        <v>27</v>
      </c>
      <c r="G239" s="22" t="s">
        <v>92</v>
      </c>
      <c r="H239" s="6"/>
      <c r="I239" s="6"/>
      <c r="J239" s="6"/>
      <c r="K239" s="6"/>
      <c r="L239" s="6"/>
      <c r="M239" s="26"/>
      <c r="O239" s="19" t="str">
        <f t="shared" si="1"/>
        <v/>
      </c>
    </row>
    <row r="240">
      <c r="A240" s="22" t="s">
        <v>244</v>
      </c>
      <c r="B240" s="4" t="s">
        <v>18</v>
      </c>
      <c r="C240" s="24" t="s">
        <v>361</v>
      </c>
      <c r="D240" s="22" t="s">
        <v>362</v>
      </c>
      <c r="E240" s="29">
        <v>45889.0</v>
      </c>
      <c r="F240" s="22" t="s">
        <v>27</v>
      </c>
      <c r="G240" s="22" t="s">
        <v>92</v>
      </c>
      <c r="H240" s="6"/>
      <c r="I240" s="6"/>
      <c r="J240" s="6"/>
      <c r="K240" s="6"/>
      <c r="L240" s="6"/>
      <c r="M240" s="26"/>
      <c r="O240" s="19" t="str">
        <f t="shared" si="1"/>
        <v/>
      </c>
    </row>
    <row r="241">
      <c r="A241" s="22" t="s">
        <v>276</v>
      </c>
      <c r="B241" s="4" t="s">
        <v>18</v>
      </c>
      <c r="C241" s="24" t="s">
        <v>363</v>
      </c>
      <c r="D241" s="22"/>
      <c r="E241" s="29">
        <v>45889.0</v>
      </c>
      <c r="F241" s="22" t="s">
        <v>93</v>
      </c>
      <c r="G241" s="22" t="s">
        <v>92</v>
      </c>
      <c r="H241" s="6"/>
      <c r="I241" s="6"/>
      <c r="J241" s="6"/>
      <c r="K241" s="6"/>
      <c r="L241" s="6"/>
      <c r="M241" s="26"/>
      <c r="O241" s="19" t="str">
        <f t="shared" si="1"/>
        <v/>
      </c>
    </row>
    <row r="242">
      <c r="A242" s="22" t="s">
        <v>274</v>
      </c>
      <c r="B242" s="4" t="s">
        <v>18</v>
      </c>
      <c r="C242" s="24" t="s">
        <v>364</v>
      </c>
      <c r="D242" s="22" t="s">
        <v>365</v>
      </c>
      <c r="E242" s="29">
        <v>45889.0</v>
      </c>
      <c r="F242" s="22" t="s">
        <v>27</v>
      </c>
      <c r="G242" s="22" t="s">
        <v>92</v>
      </c>
      <c r="H242" s="6"/>
      <c r="I242" s="6"/>
      <c r="J242" s="6"/>
      <c r="K242" s="6"/>
      <c r="L242" s="6"/>
      <c r="M242" s="26"/>
      <c r="O242" s="19" t="str">
        <f t="shared" si="1"/>
        <v/>
      </c>
    </row>
    <row r="243">
      <c r="A243" s="22" t="s">
        <v>305</v>
      </c>
      <c r="B243" s="4" t="s">
        <v>36</v>
      </c>
      <c r="C243" s="24" t="s">
        <v>306</v>
      </c>
      <c r="D243" s="22"/>
      <c r="E243" s="29">
        <v>45889.0</v>
      </c>
      <c r="F243" s="22" t="s">
        <v>27</v>
      </c>
      <c r="G243" s="22" t="s">
        <v>92</v>
      </c>
      <c r="H243" s="6"/>
      <c r="I243" s="6"/>
      <c r="J243" s="6"/>
      <c r="K243" s="6"/>
      <c r="L243" s="6"/>
      <c r="M243" s="26"/>
      <c r="O243" s="19" t="str">
        <f t="shared" si="1"/>
        <v/>
      </c>
    </row>
    <row r="244">
      <c r="A244" s="22" t="s">
        <v>23</v>
      </c>
      <c r="B244" s="4" t="s">
        <v>18</v>
      </c>
      <c r="C244" s="24" t="s">
        <v>53</v>
      </c>
      <c r="D244" s="22" t="s">
        <v>366</v>
      </c>
      <c r="E244" s="29">
        <v>45889.0</v>
      </c>
      <c r="F244" s="22" t="s">
        <v>27</v>
      </c>
      <c r="G244" s="22" t="s">
        <v>92</v>
      </c>
      <c r="H244" s="9" t="s">
        <v>367</v>
      </c>
      <c r="I244" s="9">
        <v>6.1405290511E10</v>
      </c>
      <c r="J244" s="10" t="s">
        <v>368</v>
      </c>
      <c r="K244" s="9">
        <v>0.0</v>
      </c>
      <c r="L244" s="6"/>
      <c r="M244" s="26"/>
      <c r="O244" s="19" t="str">
        <f t="shared" si="1"/>
        <v/>
      </c>
    </row>
    <row r="245">
      <c r="A245" s="22" t="s">
        <v>236</v>
      </c>
      <c r="B245" s="4" t="s">
        <v>18</v>
      </c>
      <c r="C245" s="24" t="s">
        <v>369</v>
      </c>
      <c r="D245" s="22"/>
      <c r="E245" s="29">
        <v>45889.0</v>
      </c>
      <c r="F245" s="22" t="s">
        <v>93</v>
      </c>
      <c r="G245" s="22" t="s">
        <v>92</v>
      </c>
      <c r="H245" s="6"/>
      <c r="I245" s="6"/>
      <c r="J245" s="6"/>
      <c r="K245" s="6"/>
      <c r="L245" s="6"/>
      <c r="M245" s="26"/>
      <c r="O245" s="19" t="str">
        <f t="shared" si="1"/>
        <v/>
      </c>
    </row>
    <row r="246">
      <c r="A246" s="22" t="s">
        <v>17</v>
      </c>
      <c r="B246" s="4" t="s">
        <v>18</v>
      </c>
      <c r="C246" s="24" t="s">
        <v>19</v>
      </c>
      <c r="D246" s="22" t="s">
        <v>370</v>
      </c>
      <c r="E246" s="29">
        <v>45889.0</v>
      </c>
      <c r="F246" s="22" t="s">
        <v>103</v>
      </c>
      <c r="G246" s="22" t="s">
        <v>92</v>
      </c>
      <c r="H246" s="6"/>
      <c r="I246" s="6"/>
      <c r="J246" s="6"/>
      <c r="K246" s="6"/>
      <c r="L246" s="6"/>
      <c r="M246" s="26"/>
      <c r="O246" s="19" t="str">
        <f t="shared" si="1"/>
        <v/>
      </c>
    </row>
    <row r="247">
      <c r="A247" s="22" t="s">
        <v>318</v>
      </c>
      <c r="B247" s="4" t="s">
        <v>18</v>
      </c>
      <c r="C247" s="24" t="s">
        <v>371</v>
      </c>
      <c r="D247" s="22" t="s">
        <v>372</v>
      </c>
      <c r="E247" s="29">
        <v>45889.0</v>
      </c>
      <c r="F247" s="22" t="s">
        <v>27</v>
      </c>
      <c r="G247" s="22" t="s">
        <v>92</v>
      </c>
      <c r="H247" s="6"/>
      <c r="I247" s="6"/>
      <c r="J247" s="6"/>
      <c r="K247" s="6"/>
      <c r="L247" s="6"/>
      <c r="M247" s="26"/>
      <c r="O247" s="19" t="str">
        <f t="shared" si="1"/>
        <v/>
      </c>
    </row>
    <row r="248">
      <c r="A248" s="22" t="s">
        <v>318</v>
      </c>
      <c r="B248" s="4" t="s">
        <v>18</v>
      </c>
      <c r="C248" s="24" t="s">
        <v>373</v>
      </c>
      <c r="D248" s="22"/>
      <c r="E248" s="29">
        <v>45889.0</v>
      </c>
      <c r="F248" s="22" t="s">
        <v>27</v>
      </c>
      <c r="G248" s="22" t="s">
        <v>92</v>
      </c>
      <c r="H248" s="6"/>
      <c r="I248" s="6"/>
      <c r="J248" s="6"/>
      <c r="K248" s="6"/>
      <c r="L248" s="6"/>
      <c r="M248" s="26"/>
      <c r="O248" s="19" t="str">
        <f t="shared" si="1"/>
        <v/>
      </c>
    </row>
    <row r="249">
      <c r="A249" s="22" t="s">
        <v>232</v>
      </c>
      <c r="B249" s="4" t="s">
        <v>18</v>
      </c>
      <c r="C249" s="24" t="s">
        <v>374</v>
      </c>
      <c r="D249" s="22" t="s">
        <v>375</v>
      </c>
      <c r="E249" s="29">
        <v>45889.0</v>
      </c>
      <c r="F249" s="22" t="s">
        <v>27</v>
      </c>
      <c r="G249" s="22" t="s">
        <v>92</v>
      </c>
      <c r="H249" s="6"/>
      <c r="I249" s="6"/>
      <c r="J249" s="6"/>
      <c r="K249" s="6"/>
      <c r="L249" s="6"/>
      <c r="M249" s="26"/>
      <c r="O249" s="19" t="str">
        <f t="shared" si="1"/>
        <v/>
      </c>
    </row>
    <row r="250">
      <c r="A250" s="22" t="s">
        <v>232</v>
      </c>
      <c r="B250" s="4" t="s">
        <v>18</v>
      </c>
      <c r="C250" s="24" t="s">
        <v>376</v>
      </c>
      <c r="D250" s="22" t="s">
        <v>377</v>
      </c>
      <c r="E250" s="29">
        <v>45889.0</v>
      </c>
      <c r="F250" s="22" t="s">
        <v>27</v>
      </c>
      <c r="G250" s="22" t="s">
        <v>92</v>
      </c>
      <c r="H250" s="6"/>
      <c r="I250" s="6"/>
      <c r="J250" s="6"/>
      <c r="K250" s="6"/>
      <c r="L250" s="6"/>
      <c r="M250" s="26"/>
      <c r="O250" s="19" t="str">
        <f t="shared" si="1"/>
        <v/>
      </c>
    </row>
    <row r="251">
      <c r="A251" s="22" t="s">
        <v>227</v>
      </c>
      <c r="B251" s="4" t="s">
        <v>18</v>
      </c>
      <c r="C251" s="24" t="s">
        <v>378</v>
      </c>
      <c r="D251" s="22"/>
      <c r="E251" s="29">
        <v>45889.0</v>
      </c>
      <c r="F251" s="22" t="s">
        <v>27</v>
      </c>
      <c r="G251" s="22" t="s">
        <v>92</v>
      </c>
      <c r="H251" s="6"/>
      <c r="I251" s="6"/>
      <c r="J251" s="6"/>
      <c r="K251" s="6"/>
      <c r="L251" s="6"/>
      <c r="M251" s="26"/>
      <c r="O251" s="19" t="str">
        <f t="shared" si="1"/>
        <v/>
      </c>
    </row>
    <row r="252">
      <c r="A252" s="22" t="s">
        <v>318</v>
      </c>
      <c r="B252" s="4" t="s">
        <v>18</v>
      </c>
      <c r="C252" s="24" t="s">
        <v>379</v>
      </c>
      <c r="D252" s="22"/>
      <c r="E252" s="29">
        <v>45889.0</v>
      </c>
      <c r="F252" s="22" t="s">
        <v>93</v>
      </c>
      <c r="G252" s="22" t="s">
        <v>92</v>
      </c>
      <c r="H252" s="6"/>
      <c r="I252" s="6"/>
      <c r="J252" s="6"/>
      <c r="K252" s="6"/>
      <c r="L252" s="6"/>
      <c r="M252" s="26"/>
      <c r="O252" s="19" t="str">
        <f t="shared" si="1"/>
        <v/>
      </c>
    </row>
    <row r="253">
      <c r="A253" s="22" t="s">
        <v>184</v>
      </c>
      <c r="B253" s="4" t="s">
        <v>18</v>
      </c>
      <c r="C253" s="24" t="s">
        <v>380</v>
      </c>
      <c r="D253" s="22"/>
      <c r="E253" s="29">
        <v>45889.0</v>
      </c>
      <c r="F253" s="22" t="s">
        <v>93</v>
      </c>
      <c r="G253" s="22" t="s">
        <v>92</v>
      </c>
      <c r="H253" s="6"/>
      <c r="I253" s="6"/>
      <c r="J253" s="6"/>
      <c r="K253" s="6"/>
      <c r="L253" s="6"/>
      <c r="M253" s="26"/>
      <c r="O253" s="19" t="str">
        <f t="shared" si="1"/>
        <v/>
      </c>
    </row>
    <row r="254">
      <c r="A254" s="22" t="s">
        <v>198</v>
      </c>
      <c r="B254" s="4" t="s">
        <v>109</v>
      </c>
      <c r="C254" s="24" t="s">
        <v>381</v>
      </c>
      <c r="D254" s="22" t="s">
        <v>382</v>
      </c>
      <c r="E254" s="29">
        <v>45889.0</v>
      </c>
      <c r="F254" s="22" t="s">
        <v>27</v>
      </c>
      <c r="G254" s="22" t="s">
        <v>92</v>
      </c>
      <c r="H254" s="6"/>
      <c r="I254" s="6"/>
      <c r="J254" s="6"/>
      <c r="K254" s="6"/>
      <c r="L254" s="6"/>
      <c r="M254" s="26"/>
      <c r="O254" s="19" t="str">
        <f t="shared" si="1"/>
        <v/>
      </c>
    </row>
    <row r="255">
      <c r="A255" s="22" t="s">
        <v>234</v>
      </c>
      <c r="B255" s="4" t="s">
        <v>18</v>
      </c>
      <c r="C255" s="24" t="s">
        <v>383</v>
      </c>
      <c r="D255" s="22" t="s">
        <v>384</v>
      </c>
      <c r="E255" s="30" t="s">
        <v>335</v>
      </c>
      <c r="F255" s="22" t="s">
        <v>27</v>
      </c>
      <c r="G255" s="22"/>
      <c r="H255" s="6"/>
      <c r="I255" s="6"/>
      <c r="J255" s="6"/>
      <c r="K255" s="6"/>
      <c r="L255" s="6"/>
      <c r="M255" s="7"/>
      <c r="O255" s="19" t="str">
        <f t="shared" si="1"/>
        <v/>
      </c>
    </row>
    <row r="256">
      <c r="A256" s="22" t="s">
        <v>23</v>
      </c>
      <c r="B256" s="4" t="s">
        <v>18</v>
      </c>
      <c r="C256" s="24" t="s">
        <v>385</v>
      </c>
      <c r="D256" s="22" t="s">
        <v>386</v>
      </c>
      <c r="E256" s="29">
        <v>45889.0</v>
      </c>
      <c r="F256" s="22" t="s">
        <v>27</v>
      </c>
      <c r="G256" s="22" t="s">
        <v>92</v>
      </c>
      <c r="H256" s="9" t="s">
        <v>387</v>
      </c>
      <c r="I256" s="9">
        <v>6.1408749718E10</v>
      </c>
      <c r="J256" s="10" t="s">
        <v>388</v>
      </c>
      <c r="K256" s="9">
        <v>0.0</v>
      </c>
      <c r="L256" s="6"/>
      <c r="M256" s="26"/>
      <c r="O256" s="19" t="str">
        <f t="shared" si="1"/>
        <v/>
      </c>
    </row>
    <row r="257">
      <c r="A257" s="22" t="s">
        <v>50</v>
      </c>
      <c r="B257" s="4" t="s">
        <v>18</v>
      </c>
      <c r="C257" s="24" t="s">
        <v>51</v>
      </c>
      <c r="D257" s="22" t="s">
        <v>389</v>
      </c>
      <c r="E257" s="29">
        <v>45889.0</v>
      </c>
      <c r="F257" s="22" t="s">
        <v>27</v>
      </c>
      <c r="G257" s="22" t="s">
        <v>92</v>
      </c>
      <c r="H257" s="6"/>
      <c r="I257" s="6"/>
      <c r="J257" s="6"/>
      <c r="K257" s="6"/>
      <c r="L257" s="6"/>
      <c r="M257" s="26"/>
      <c r="O257" s="19" t="str">
        <f t="shared" si="1"/>
        <v/>
      </c>
    </row>
    <row r="258">
      <c r="A258" s="22" t="s">
        <v>232</v>
      </c>
      <c r="B258" s="4" t="s">
        <v>18</v>
      </c>
      <c r="C258" s="24" t="s">
        <v>376</v>
      </c>
      <c r="D258" s="22" t="s">
        <v>390</v>
      </c>
      <c r="E258" s="29">
        <v>45889.0</v>
      </c>
      <c r="F258" s="22" t="s">
        <v>27</v>
      </c>
      <c r="G258" s="22" t="s">
        <v>92</v>
      </c>
      <c r="H258" s="6"/>
      <c r="I258" s="6"/>
      <c r="J258" s="6"/>
      <c r="K258" s="6"/>
      <c r="L258" s="6"/>
      <c r="M258" s="26"/>
      <c r="O258" s="19" t="str">
        <f t="shared" si="1"/>
        <v/>
      </c>
    </row>
    <row r="259">
      <c r="A259" s="22" t="s">
        <v>23</v>
      </c>
      <c r="B259" s="4" t="s">
        <v>18</v>
      </c>
      <c r="C259" s="24" t="s">
        <v>391</v>
      </c>
      <c r="D259" s="22" t="s">
        <v>392</v>
      </c>
      <c r="E259" s="29">
        <v>45889.0</v>
      </c>
      <c r="F259" s="22" t="s">
        <v>27</v>
      </c>
      <c r="G259" s="22" t="s">
        <v>92</v>
      </c>
      <c r="H259" s="9" t="s">
        <v>393</v>
      </c>
      <c r="I259" s="9">
        <v>6.1407100333E10</v>
      </c>
      <c r="J259" s="10" t="s">
        <v>394</v>
      </c>
      <c r="K259" s="9">
        <v>0.0</v>
      </c>
      <c r="L259" s="6"/>
      <c r="M259" s="26"/>
      <c r="O259" s="19" t="str">
        <f t="shared" si="1"/>
        <v/>
      </c>
    </row>
    <row r="260">
      <c r="A260" s="22" t="s">
        <v>77</v>
      </c>
      <c r="B260" s="4" t="s">
        <v>18</v>
      </c>
      <c r="C260" s="24" t="s">
        <v>197</v>
      </c>
      <c r="D260" s="22" t="s">
        <v>395</v>
      </c>
      <c r="E260" s="29">
        <v>45889.0</v>
      </c>
      <c r="F260" s="22" t="s">
        <v>27</v>
      </c>
      <c r="G260" s="22" t="s">
        <v>92</v>
      </c>
      <c r="H260" s="6"/>
      <c r="I260" s="6"/>
      <c r="J260" s="6"/>
      <c r="K260" s="6"/>
      <c r="L260" s="6"/>
      <c r="M260" s="26"/>
      <c r="O260" s="19" t="str">
        <f t="shared" si="1"/>
        <v/>
      </c>
    </row>
    <row r="261">
      <c r="A261" s="22" t="s">
        <v>184</v>
      </c>
      <c r="B261" s="4" t="s">
        <v>18</v>
      </c>
      <c r="C261" s="24" t="s">
        <v>396</v>
      </c>
      <c r="D261" s="22" t="s">
        <v>397</v>
      </c>
      <c r="E261" s="29">
        <v>45889.0</v>
      </c>
      <c r="F261" s="22" t="s">
        <v>27</v>
      </c>
      <c r="G261" s="22" t="s">
        <v>92</v>
      </c>
      <c r="H261" s="6"/>
      <c r="I261" s="6"/>
      <c r="J261" s="6"/>
      <c r="K261" s="6"/>
      <c r="L261" s="6"/>
      <c r="M261" s="26"/>
      <c r="O261" s="19" t="str">
        <f t="shared" si="1"/>
        <v/>
      </c>
    </row>
    <row r="262">
      <c r="A262" s="22" t="s">
        <v>113</v>
      </c>
      <c r="B262" s="4" t="s">
        <v>18</v>
      </c>
      <c r="C262" s="24" t="s">
        <v>398</v>
      </c>
      <c r="D262" s="22" t="s">
        <v>399</v>
      </c>
      <c r="E262" s="29">
        <v>45889.0</v>
      </c>
      <c r="F262" s="22" t="s">
        <v>27</v>
      </c>
      <c r="G262" s="22" t="s">
        <v>92</v>
      </c>
      <c r="H262" s="6"/>
      <c r="I262" s="6"/>
      <c r="J262" s="6"/>
      <c r="K262" s="6"/>
      <c r="L262" s="6"/>
      <c r="M262" s="26"/>
      <c r="O262" s="19" t="str">
        <f t="shared" si="1"/>
        <v/>
      </c>
    </row>
    <row r="263">
      <c r="A263" s="22" t="s">
        <v>101</v>
      </c>
      <c r="B263" s="4" t="s">
        <v>18</v>
      </c>
      <c r="C263" s="24" t="s">
        <v>400</v>
      </c>
      <c r="D263" s="22" t="s">
        <v>401</v>
      </c>
      <c r="E263" s="29">
        <v>45889.0</v>
      </c>
      <c r="F263" s="22" t="s">
        <v>27</v>
      </c>
      <c r="G263" s="22" t="s">
        <v>92</v>
      </c>
      <c r="H263" s="6"/>
      <c r="I263" s="6"/>
      <c r="J263" s="6"/>
      <c r="K263" s="6"/>
      <c r="L263" s="6"/>
      <c r="M263" s="26"/>
      <c r="O263" s="19" t="str">
        <f t="shared" si="1"/>
        <v/>
      </c>
    </row>
    <row r="264">
      <c r="A264" s="22" t="s">
        <v>246</v>
      </c>
      <c r="B264" s="4" t="s">
        <v>36</v>
      </c>
      <c r="C264" s="24" t="s">
        <v>300</v>
      </c>
      <c r="D264" s="22" t="s">
        <v>402</v>
      </c>
      <c r="E264" s="29">
        <v>45889.0</v>
      </c>
      <c r="F264" s="22" t="s">
        <v>27</v>
      </c>
      <c r="G264" s="22" t="s">
        <v>92</v>
      </c>
      <c r="H264" s="6"/>
      <c r="I264" s="6"/>
      <c r="J264" s="6"/>
      <c r="K264" s="6"/>
      <c r="L264" s="6"/>
      <c r="M264" s="26"/>
      <c r="O264" s="19" t="str">
        <f t="shared" si="1"/>
        <v/>
      </c>
    </row>
    <row r="265">
      <c r="A265" s="3" t="s">
        <v>104</v>
      </c>
      <c r="B265" s="4" t="s">
        <v>18</v>
      </c>
      <c r="C265" s="3" t="s">
        <v>403</v>
      </c>
      <c r="D265" s="31" t="s">
        <v>404</v>
      </c>
      <c r="E265" s="29">
        <v>45889.0</v>
      </c>
      <c r="F265" s="22" t="s">
        <v>27</v>
      </c>
      <c r="G265" s="22" t="s">
        <v>92</v>
      </c>
      <c r="H265" s="6"/>
      <c r="I265" s="6"/>
      <c r="J265" s="6"/>
      <c r="K265" s="6"/>
      <c r="L265" s="6"/>
      <c r="M265" s="26"/>
      <c r="O265" s="19" t="str">
        <f t="shared" si="1"/>
        <v/>
      </c>
    </row>
    <row r="266">
      <c r="A266" s="3" t="s">
        <v>61</v>
      </c>
      <c r="B266" s="4" t="s">
        <v>18</v>
      </c>
      <c r="C266" s="3" t="s">
        <v>405</v>
      </c>
      <c r="D266" s="32" t="s">
        <v>406</v>
      </c>
      <c r="E266" s="29">
        <v>45890.0</v>
      </c>
      <c r="F266" s="22" t="s">
        <v>27</v>
      </c>
      <c r="G266" s="22" t="s">
        <v>92</v>
      </c>
      <c r="H266" s="6"/>
      <c r="I266" s="6"/>
      <c r="J266" s="6"/>
      <c r="K266" s="6"/>
      <c r="L266" s="6"/>
      <c r="M266" s="26"/>
      <c r="O266" s="19" t="str">
        <f t="shared" si="1"/>
        <v/>
      </c>
    </row>
    <row r="267">
      <c r="A267" s="3" t="s">
        <v>184</v>
      </c>
      <c r="B267" s="4" t="s">
        <v>18</v>
      </c>
      <c r="C267" s="3" t="s">
        <v>185</v>
      </c>
      <c r="D267" s="32" t="s">
        <v>407</v>
      </c>
      <c r="E267" s="29">
        <v>45890.0</v>
      </c>
      <c r="F267" s="22" t="s">
        <v>27</v>
      </c>
      <c r="G267" s="22" t="s">
        <v>92</v>
      </c>
      <c r="H267" s="6"/>
      <c r="I267" s="6"/>
      <c r="J267" s="6"/>
      <c r="K267" s="6"/>
      <c r="L267" s="6"/>
      <c r="M267" s="26"/>
      <c r="O267" s="19" t="str">
        <f t="shared" si="1"/>
        <v/>
      </c>
    </row>
    <row r="268">
      <c r="A268" s="3" t="s">
        <v>61</v>
      </c>
      <c r="B268" s="4" t="s">
        <v>18</v>
      </c>
      <c r="C268" s="3" t="s">
        <v>408</v>
      </c>
      <c r="D268" s="32" t="s">
        <v>409</v>
      </c>
      <c r="E268" s="29">
        <v>45890.0</v>
      </c>
      <c r="F268" s="22" t="s">
        <v>27</v>
      </c>
      <c r="G268" s="22" t="s">
        <v>92</v>
      </c>
      <c r="H268" s="6"/>
      <c r="I268" s="6"/>
      <c r="J268" s="6"/>
      <c r="K268" s="6"/>
      <c r="L268" s="6"/>
      <c r="M268" s="26"/>
      <c r="O268" s="19" t="str">
        <f t="shared" si="1"/>
        <v/>
      </c>
    </row>
    <row r="269">
      <c r="A269" s="3" t="s">
        <v>274</v>
      </c>
      <c r="B269" s="4" t="s">
        <v>18</v>
      </c>
      <c r="C269" s="3" t="s">
        <v>410</v>
      </c>
      <c r="D269" s="32" t="s">
        <v>411</v>
      </c>
      <c r="E269" s="29">
        <v>45890.0</v>
      </c>
      <c r="F269" s="22" t="s">
        <v>27</v>
      </c>
      <c r="G269" s="22" t="s">
        <v>92</v>
      </c>
      <c r="H269" s="6"/>
      <c r="I269" s="6"/>
      <c r="J269" s="6"/>
      <c r="K269" s="6"/>
      <c r="L269" s="6"/>
      <c r="M269" s="26"/>
      <c r="O269" s="19" t="str">
        <f t="shared" si="1"/>
        <v/>
      </c>
    </row>
    <row r="270">
      <c r="A270" s="3" t="s">
        <v>232</v>
      </c>
      <c r="B270" s="4" t="s">
        <v>18</v>
      </c>
      <c r="C270" s="3" t="s">
        <v>412</v>
      </c>
      <c r="D270" s="32"/>
      <c r="E270" s="29">
        <v>45890.0</v>
      </c>
      <c r="F270" s="22" t="s">
        <v>27</v>
      </c>
      <c r="G270" s="22" t="s">
        <v>92</v>
      </c>
      <c r="H270" s="6"/>
      <c r="I270" s="6"/>
      <c r="J270" s="6"/>
      <c r="K270" s="6"/>
      <c r="L270" s="6"/>
      <c r="M270" s="26"/>
      <c r="O270" s="19" t="str">
        <f t="shared" si="1"/>
        <v/>
      </c>
    </row>
    <row r="271">
      <c r="A271" s="3" t="s">
        <v>276</v>
      </c>
      <c r="B271" s="4" t="s">
        <v>18</v>
      </c>
      <c r="C271" s="3" t="s">
        <v>413</v>
      </c>
      <c r="D271" s="32"/>
      <c r="E271" s="29">
        <v>45890.0</v>
      </c>
      <c r="F271" s="22" t="s">
        <v>93</v>
      </c>
      <c r="G271" s="22" t="s">
        <v>92</v>
      </c>
      <c r="H271" s="6"/>
      <c r="I271" s="6"/>
      <c r="J271" s="6"/>
      <c r="K271" s="6"/>
      <c r="L271" s="6"/>
      <c r="M271" s="26"/>
      <c r="O271" s="19" t="str">
        <f t="shared" si="1"/>
        <v/>
      </c>
    </row>
    <row r="272">
      <c r="A272" s="3" t="s">
        <v>155</v>
      </c>
      <c r="B272" s="4" t="s">
        <v>18</v>
      </c>
      <c r="C272" s="3" t="s">
        <v>414</v>
      </c>
      <c r="D272" s="32" t="s">
        <v>415</v>
      </c>
      <c r="E272" s="29">
        <v>45890.0</v>
      </c>
      <c r="F272" s="22" t="s">
        <v>27</v>
      </c>
      <c r="G272" s="22" t="s">
        <v>92</v>
      </c>
      <c r="H272" s="6"/>
      <c r="I272" s="6"/>
      <c r="J272" s="6"/>
      <c r="K272" s="6"/>
      <c r="L272" s="6"/>
      <c r="M272" s="26"/>
      <c r="O272" s="19" t="str">
        <f t="shared" si="1"/>
        <v/>
      </c>
    </row>
    <row r="273">
      <c r="A273" s="3" t="s">
        <v>265</v>
      </c>
      <c r="B273" s="4" t="s">
        <v>18</v>
      </c>
      <c r="C273" s="3" t="s">
        <v>416</v>
      </c>
      <c r="D273" s="32" t="s">
        <v>417</v>
      </c>
      <c r="E273" s="29">
        <v>45890.0</v>
      </c>
      <c r="F273" s="22" t="s">
        <v>27</v>
      </c>
      <c r="G273" s="22" t="s">
        <v>92</v>
      </c>
      <c r="H273" s="6"/>
      <c r="I273" s="6"/>
      <c r="J273" s="6"/>
      <c r="K273" s="6"/>
      <c r="L273" s="6"/>
      <c r="M273" s="26"/>
      <c r="O273" s="19" t="str">
        <f t="shared" si="1"/>
        <v/>
      </c>
    </row>
    <row r="274">
      <c r="A274" s="3" t="s">
        <v>418</v>
      </c>
      <c r="B274" s="4" t="s">
        <v>18</v>
      </c>
      <c r="C274" s="3" t="s">
        <v>419</v>
      </c>
      <c r="D274" s="32" t="s">
        <v>420</v>
      </c>
      <c r="E274" s="29">
        <v>45890.0</v>
      </c>
      <c r="F274" s="22" t="s">
        <v>27</v>
      </c>
      <c r="G274" s="22" t="s">
        <v>92</v>
      </c>
      <c r="H274" s="6"/>
      <c r="I274" s="6"/>
      <c r="J274" s="6"/>
      <c r="K274" s="6"/>
      <c r="L274" s="6"/>
      <c r="M274" s="26"/>
      <c r="O274" s="19" t="str">
        <f t="shared" si="1"/>
        <v/>
      </c>
    </row>
    <row r="275">
      <c r="A275" s="3" t="s">
        <v>265</v>
      </c>
      <c r="B275" s="4" t="s">
        <v>18</v>
      </c>
      <c r="C275" s="3" t="s">
        <v>421</v>
      </c>
      <c r="D275" s="32" t="s">
        <v>422</v>
      </c>
      <c r="E275" s="29">
        <v>45890.0</v>
      </c>
      <c r="F275" s="22" t="s">
        <v>27</v>
      </c>
      <c r="G275" s="22" t="s">
        <v>92</v>
      </c>
      <c r="H275" s="6"/>
      <c r="I275" s="6"/>
      <c r="J275" s="6"/>
      <c r="K275" s="6"/>
      <c r="L275" s="6"/>
      <c r="M275" s="26"/>
      <c r="O275" s="19" t="str">
        <f t="shared" si="1"/>
        <v/>
      </c>
    </row>
    <row r="276">
      <c r="A276" s="3" t="s">
        <v>236</v>
      </c>
      <c r="B276" s="4" t="s">
        <v>18</v>
      </c>
      <c r="C276" s="3" t="s">
        <v>423</v>
      </c>
      <c r="D276" s="3" t="s">
        <v>424</v>
      </c>
      <c r="E276" s="29">
        <v>45890.0</v>
      </c>
      <c r="F276" s="22" t="s">
        <v>27</v>
      </c>
      <c r="G276" s="22" t="s">
        <v>92</v>
      </c>
      <c r="H276" s="6"/>
      <c r="I276" s="6"/>
      <c r="J276" s="6"/>
      <c r="K276" s="6"/>
      <c r="L276" s="6"/>
      <c r="M276" s="26"/>
      <c r="O276" s="19" t="str">
        <f t="shared" si="1"/>
        <v/>
      </c>
    </row>
    <row r="277">
      <c r="A277" s="3" t="s">
        <v>112</v>
      </c>
      <c r="B277" s="4" t="s">
        <v>18</v>
      </c>
      <c r="C277" s="3" t="s">
        <v>425</v>
      </c>
      <c r="D277" s="3" t="s">
        <v>426</v>
      </c>
      <c r="E277" s="29">
        <v>45890.0</v>
      </c>
      <c r="F277" s="22" t="s">
        <v>27</v>
      </c>
      <c r="G277" s="22" t="s">
        <v>92</v>
      </c>
      <c r="H277" s="6"/>
      <c r="I277" s="6"/>
      <c r="J277" s="6"/>
      <c r="K277" s="6"/>
      <c r="L277" s="6"/>
      <c r="M277" s="26"/>
      <c r="O277" s="19" t="str">
        <f t="shared" si="1"/>
        <v/>
      </c>
    </row>
    <row r="278">
      <c r="A278" s="3" t="s">
        <v>427</v>
      </c>
      <c r="B278" s="4" t="s">
        <v>18</v>
      </c>
      <c r="C278" s="3" t="s">
        <v>428</v>
      </c>
      <c r="D278" s="3" t="s">
        <v>429</v>
      </c>
      <c r="E278" s="29">
        <v>45890.0</v>
      </c>
      <c r="F278" s="22" t="s">
        <v>27</v>
      </c>
      <c r="G278" s="22" t="s">
        <v>92</v>
      </c>
      <c r="H278" s="6"/>
      <c r="I278" s="6"/>
      <c r="J278" s="6"/>
      <c r="K278" s="6"/>
      <c r="L278" s="6"/>
      <c r="M278" s="26"/>
      <c r="O278" s="19" t="str">
        <f t="shared" si="1"/>
        <v/>
      </c>
    </row>
    <row r="279">
      <c r="A279" s="3" t="s">
        <v>276</v>
      </c>
      <c r="B279" s="4" t="s">
        <v>18</v>
      </c>
      <c r="C279" s="3" t="s">
        <v>430</v>
      </c>
      <c r="D279" s="3" t="s">
        <v>431</v>
      </c>
      <c r="E279" s="29">
        <v>45890.0</v>
      </c>
      <c r="F279" s="22" t="s">
        <v>27</v>
      </c>
      <c r="G279" s="22" t="s">
        <v>129</v>
      </c>
      <c r="H279" s="6"/>
      <c r="I279" s="6"/>
      <c r="J279" s="6"/>
      <c r="K279" s="6"/>
      <c r="L279" s="6"/>
      <c r="M279" s="26"/>
      <c r="O279" s="19" t="str">
        <f t="shared" si="1"/>
        <v/>
      </c>
    </row>
    <row r="280">
      <c r="A280" s="3" t="s">
        <v>305</v>
      </c>
      <c r="B280" s="4" t="s">
        <v>36</v>
      </c>
      <c r="C280" s="3" t="s">
        <v>327</v>
      </c>
      <c r="D280" s="3" t="s">
        <v>432</v>
      </c>
      <c r="E280" s="29">
        <v>45890.0</v>
      </c>
      <c r="F280" s="22" t="s">
        <v>27</v>
      </c>
      <c r="G280" s="22" t="s">
        <v>92</v>
      </c>
      <c r="H280" s="6"/>
      <c r="I280" s="6"/>
      <c r="J280" s="6"/>
      <c r="K280" s="6"/>
      <c r="L280" s="6"/>
      <c r="M280" s="26"/>
      <c r="O280" s="19" t="str">
        <f t="shared" si="1"/>
        <v/>
      </c>
    </row>
    <row r="281">
      <c r="A281" s="3" t="s">
        <v>113</v>
      </c>
      <c r="B281" s="4" t="s">
        <v>18</v>
      </c>
      <c r="C281" s="3" t="s">
        <v>175</v>
      </c>
      <c r="D281" s="3"/>
      <c r="E281" s="29">
        <v>45890.0</v>
      </c>
      <c r="F281" s="22" t="s">
        <v>27</v>
      </c>
      <c r="G281" s="22" t="s">
        <v>92</v>
      </c>
      <c r="H281" s="6"/>
      <c r="I281" s="6"/>
      <c r="J281" s="6"/>
      <c r="K281" s="6"/>
      <c r="L281" s="6"/>
      <c r="M281" s="26"/>
      <c r="O281" s="19" t="str">
        <f t="shared" si="1"/>
        <v/>
      </c>
    </row>
    <row r="282">
      <c r="A282" s="3" t="s">
        <v>285</v>
      </c>
      <c r="B282" s="4" t="s">
        <v>36</v>
      </c>
      <c r="C282" s="3" t="s">
        <v>433</v>
      </c>
      <c r="D282" s="3" t="s">
        <v>434</v>
      </c>
      <c r="E282" s="29">
        <v>45890.0</v>
      </c>
      <c r="F282" s="22" t="s">
        <v>27</v>
      </c>
      <c r="G282" s="22" t="s">
        <v>92</v>
      </c>
      <c r="H282" s="6"/>
      <c r="I282" s="6"/>
      <c r="J282" s="6"/>
      <c r="K282" s="6"/>
      <c r="L282" s="6"/>
      <c r="M282" s="26"/>
      <c r="O282" s="19" t="str">
        <f t="shared" si="1"/>
        <v/>
      </c>
    </row>
    <row r="283">
      <c r="A283" s="3" t="s">
        <v>435</v>
      </c>
      <c r="B283" s="4" t="s">
        <v>18</v>
      </c>
      <c r="C283" s="3" t="s">
        <v>436</v>
      </c>
      <c r="D283" s="3" t="s">
        <v>437</v>
      </c>
      <c r="E283" s="29">
        <v>45890.0</v>
      </c>
      <c r="F283" s="22" t="s">
        <v>27</v>
      </c>
      <c r="G283" s="22" t="s">
        <v>92</v>
      </c>
      <c r="H283" s="6"/>
      <c r="I283" s="6"/>
      <c r="J283" s="6"/>
      <c r="K283" s="6"/>
      <c r="L283" s="6"/>
      <c r="M283" s="26"/>
      <c r="O283" s="19" t="str">
        <f t="shared" si="1"/>
        <v/>
      </c>
    </row>
    <row r="284">
      <c r="A284" s="3" t="s">
        <v>112</v>
      </c>
      <c r="B284" s="4" t="s">
        <v>18</v>
      </c>
      <c r="C284" s="3" t="s">
        <v>438</v>
      </c>
      <c r="D284" s="3" t="s">
        <v>439</v>
      </c>
      <c r="E284" s="29">
        <v>45890.0</v>
      </c>
      <c r="F284" s="22" t="s">
        <v>103</v>
      </c>
      <c r="G284" s="22" t="s">
        <v>92</v>
      </c>
      <c r="H284" s="6"/>
      <c r="I284" s="6"/>
      <c r="J284" s="6"/>
      <c r="K284" s="6"/>
      <c r="L284" s="6"/>
      <c r="M284" s="26"/>
      <c r="O284" s="19" t="str">
        <f t="shared" si="1"/>
        <v/>
      </c>
    </row>
    <row r="285">
      <c r="A285" s="3" t="s">
        <v>17</v>
      </c>
      <c r="B285" s="4" t="s">
        <v>18</v>
      </c>
      <c r="C285" s="3" t="s">
        <v>440</v>
      </c>
      <c r="D285" s="3" t="s">
        <v>441</v>
      </c>
      <c r="E285" s="29">
        <v>45890.0</v>
      </c>
      <c r="F285" s="22" t="s">
        <v>103</v>
      </c>
      <c r="G285" s="22" t="s">
        <v>92</v>
      </c>
      <c r="H285" s="6"/>
      <c r="I285" s="6"/>
      <c r="J285" s="6"/>
      <c r="K285" s="6"/>
      <c r="L285" s="6"/>
      <c r="M285" s="26"/>
      <c r="O285" s="19" t="str">
        <f t="shared" si="1"/>
        <v/>
      </c>
    </row>
    <row r="286">
      <c r="A286" s="3" t="s">
        <v>113</v>
      </c>
      <c r="B286" s="4" t="s">
        <v>18</v>
      </c>
      <c r="C286" s="3" t="s">
        <v>379</v>
      </c>
      <c r="D286" s="3"/>
      <c r="E286" s="29">
        <v>45890.0</v>
      </c>
      <c r="F286" s="22" t="s">
        <v>27</v>
      </c>
      <c r="G286" s="22" t="s">
        <v>92</v>
      </c>
      <c r="H286" s="6"/>
      <c r="I286" s="6"/>
      <c r="J286" s="6"/>
      <c r="K286" s="6"/>
      <c r="L286" s="6"/>
      <c r="M286" s="26"/>
      <c r="O286" s="19" t="str">
        <f t="shared" si="1"/>
        <v/>
      </c>
    </row>
    <row r="287">
      <c r="A287" s="3" t="s">
        <v>113</v>
      </c>
      <c r="B287" s="4" t="s">
        <v>18</v>
      </c>
      <c r="C287" s="3" t="s">
        <v>175</v>
      </c>
      <c r="D287" s="3" t="s">
        <v>442</v>
      </c>
      <c r="E287" s="29">
        <v>45890.0</v>
      </c>
      <c r="F287" s="22" t="s">
        <v>27</v>
      </c>
      <c r="G287" s="22" t="s">
        <v>92</v>
      </c>
      <c r="H287" s="6"/>
      <c r="I287" s="6"/>
      <c r="J287" s="6"/>
      <c r="K287" s="6"/>
      <c r="L287" s="6"/>
      <c r="M287" s="26"/>
      <c r="O287" s="19" t="str">
        <f t="shared" si="1"/>
        <v/>
      </c>
    </row>
    <row r="288">
      <c r="A288" s="3" t="s">
        <v>113</v>
      </c>
      <c r="B288" s="4" t="s">
        <v>18</v>
      </c>
      <c r="C288" s="3" t="s">
        <v>175</v>
      </c>
      <c r="D288" s="3" t="s">
        <v>443</v>
      </c>
      <c r="E288" s="29">
        <v>45890.0</v>
      </c>
      <c r="F288" s="22" t="s">
        <v>27</v>
      </c>
      <c r="G288" s="22" t="s">
        <v>92</v>
      </c>
      <c r="H288" s="6"/>
      <c r="I288" s="6"/>
      <c r="J288" s="6"/>
      <c r="K288" s="6"/>
      <c r="L288" s="6"/>
      <c r="M288" s="26"/>
      <c r="O288" s="19" t="str">
        <f t="shared" si="1"/>
        <v/>
      </c>
    </row>
    <row r="289">
      <c r="A289" s="3" t="s">
        <v>271</v>
      </c>
      <c r="B289" s="4" t="s">
        <v>45</v>
      </c>
      <c r="C289" s="3" t="s">
        <v>444</v>
      </c>
      <c r="D289" s="3" t="s">
        <v>445</v>
      </c>
      <c r="E289" s="29">
        <v>45890.0</v>
      </c>
      <c r="F289" s="22" t="s">
        <v>27</v>
      </c>
      <c r="G289" s="22" t="s">
        <v>92</v>
      </c>
      <c r="H289" s="6"/>
      <c r="I289" s="6"/>
      <c r="J289" s="6"/>
      <c r="K289" s="6"/>
      <c r="L289" s="6"/>
      <c r="M289" s="26"/>
      <c r="O289" s="19" t="str">
        <f t="shared" si="1"/>
        <v/>
      </c>
    </row>
    <row r="290">
      <c r="A290" s="3" t="s">
        <v>113</v>
      </c>
      <c r="B290" s="4" t="s">
        <v>18</v>
      </c>
      <c r="C290" s="3" t="s">
        <v>446</v>
      </c>
      <c r="D290" s="3" t="s">
        <v>447</v>
      </c>
      <c r="E290" s="29">
        <v>45890.0</v>
      </c>
      <c r="F290" s="22" t="s">
        <v>27</v>
      </c>
      <c r="G290" s="22" t="s">
        <v>92</v>
      </c>
      <c r="H290" s="6"/>
      <c r="I290" s="6"/>
      <c r="J290" s="6"/>
      <c r="K290" s="6"/>
      <c r="L290" s="6"/>
      <c r="M290" s="26"/>
      <c r="O290" s="19" t="str">
        <f t="shared" si="1"/>
        <v/>
      </c>
    </row>
    <row r="291">
      <c r="A291" s="3" t="s">
        <v>107</v>
      </c>
      <c r="B291" s="4" t="s">
        <v>18</v>
      </c>
      <c r="C291" s="3" t="s">
        <v>448</v>
      </c>
      <c r="D291" s="3"/>
      <c r="E291" s="29">
        <v>45891.0</v>
      </c>
      <c r="F291" s="22" t="s">
        <v>93</v>
      </c>
      <c r="G291" s="22" t="s">
        <v>92</v>
      </c>
      <c r="H291" s="6"/>
      <c r="I291" s="6"/>
      <c r="J291" s="6"/>
      <c r="K291" s="6"/>
      <c r="L291" s="6"/>
      <c r="M291" s="26"/>
      <c r="O291" s="19" t="str">
        <f t="shared" si="1"/>
        <v/>
      </c>
    </row>
    <row r="292">
      <c r="A292" s="3" t="s">
        <v>155</v>
      </c>
      <c r="B292" s="4" t="s">
        <v>18</v>
      </c>
      <c r="C292" s="3" t="s">
        <v>319</v>
      </c>
      <c r="D292" s="3" t="s">
        <v>449</v>
      </c>
      <c r="E292" s="29">
        <v>45891.0</v>
      </c>
      <c r="F292" s="22" t="s">
        <v>27</v>
      </c>
      <c r="G292" s="22" t="s">
        <v>92</v>
      </c>
      <c r="H292" s="6"/>
      <c r="I292" s="6"/>
      <c r="J292" s="6"/>
      <c r="K292" s="6"/>
      <c r="L292" s="6"/>
      <c r="M292" s="26"/>
      <c r="O292" s="19" t="str">
        <f t="shared" si="1"/>
        <v/>
      </c>
    </row>
    <row r="293">
      <c r="A293" s="3" t="s">
        <v>242</v>
      </c>
      <c r="B293" s="4" t="s">
        <v>18</v>
      </c>
      <c r="C293" s="3" t="s">
        <v>253</v>
      </c>
      <c r="D293" s="3"/>
      <c r="E293" s="29">
        <v>45891.0</v>
      </c>
      <c r="F293" s="22" t="s">
        <v>93</v>
      </c>
      <c r="G293" s="22" t="s">
        <v>92</v>
      </c>
      <c r="H293" s="6"/>
      <c r="I293" s="6"/>
      <c r="J293" s="6"/>
      <c r="K293" s="6"/>
      <c r="L293" s="6"/>
      <c r="M293" s="26"/>
      <c r="O293" s="19" t="str">
        <f t="shared" si="1"/>
        <v/>
      </c>
    </row>
    <row r="294">
      <c r="A294" s="3" t="s">
        <v>23</v>
      </c>
      <c r="B294" s="4" t="s">
        <v>18</v>
      </c>
      <c r="C294" s="3" t="s">
        <v>53</v>
      </c>
      <c r="D294" s="3" t="s">
        <v>450</v>
      </c>
      <c r="E294" s="29">
        <v>45891.0</v>
      </c>
      <c r="F294" s="22" t="s">
        <v>27</v>
      </c>
      <c r="G294" s="22" t="s">
        <v>92</v>
      </c>
      <c r="H294" s="9" t="s">
        <v>451</v>
      </c>
      <c r="I294" s="9">
        <v>6.1466606578E10</v>
      </c>
      <c r="J294" s="10" t="s">
        <v>452</v>
      </c>
      <c r="K294" s="9">
        <v>0.0</v>
      </c>
      <c r="L294" s="6"/>
      <c r="M294" s="26"/>
      <c r="O294" s="19" t="str">
        <f t="shared" si="1"/>
        <v/>
      </c>
    </row>
    <row r="295">
      <c r="A295" s="3" t="s">
        <v>244</v>
      </c>
      <c r="B295" s="4" t="s">
        <v>18</v>
      </c>
      <c r="C295" s="3" t="s">
        <v>453</v>
      </c>
      <c r="D295" s="3" t="s">
        <v>454</v>
      </c>
      <c r="E295" s="29">
        <v>45891.0</v>
      </c>
      <c r="F295" s="22" t="s">
        <v>93</v>
      </c>
      <c r="G295" s="22" t="s">
        <v>92</v>
      </c>
      <c r="H295" s="6"/>
      <c r="I295" s="6"/>
      <c r="J295" s="6"/>
      <c r="K295" s="6"/>
      <c r="L295" s="6"/>
      <c r="M295" s="26"/>
      <c r="O295" s="19" t="str">
        <f t="shared" si="1"/>
        <v/>
      </c>
    </row>
    <row r="296">
      <c r="A296" s="3" t="s">
        <v>77</v>
      </c>
      <c r="B296" s="4" t="s">
        <v>18</v>
      </c>
      <c r="C296" s="3" t="s">
        <v>455</v>
      </c>
      <c r="D296" s="3" t="s">
        <v>456</v>
      </c>
      <c r="E296" s="29">
        <v>45891.0</v>
      </c>
      <c r="F296" s="22" t="s">
        <v>27</v>
      </c>
      <c r="G296" s="22" t="s">
        <v>92</v>
      </c>
      <c r="H296" s="6"/>
      <c r="I296" s="6"/>
      <c r="J296" s="6"/>
      <c r="K296" s="6"/>
      <c r="L296" s="6"/>
      <c r="M296" s="26"/>
      <c r="O296" s="19" t="str">
        <f t="shared" si="1"/>
        <v/>
      </c>
    </row>
    <row r="297">
      <c r="A297" s="3" t="s">
        <v>113</v>
      </c>
      <c r="B297" s="4" t="s">
        <v>18</v>
      </c>
      <c r="C297" s="3" t="s">
        <v>175</v>
      </c>
      <c r="D297" s="3" t="s">
        <v>457</v>
      </c>
      <c r="E297" s="29">
        <v>45891.0</v>
      </c>
      <c r="F297" s="22" t="s">
        <v>27</v>
      </c>
      <c r="G297" s="22" t="s">
        <v>92</v>
      </c>
      <c r="H297" s="6"/>
      <c r="I297" s="6"/>
      <c r="J297" s="6"/>
      <c r="K297" s="6"/>
      <c r="L297" s="6"/>
      <c r="M297" s="26"/>
      <c r="O297" s="19" t="str">
        <f t="shared" si="1"/>
        <v/>
      </c>
    </row>
    <row r="298">
      <c r="A298" s="3" t="s">
        <v>227</v>
      </c>
      <c r="B298" s="4" t="s">
        <v>18</v>
      </c>
      <c r="C298" s="3" t="s">
        <v>378</v>
      </c>
      <c r="D298" s="3" t="s">
        <v>458</v>
      </c>
      <c r="E298" s="29">
        <v>45891.0</v>
      </c>
      <c r="F298" s="22" t="s">
        <v>27</v>
      </c>
      <c r="G298" s="22" t="s">
        <v>92</v>
      </c>
      <c r="H298" s="6"/>
      <c r="I298" s="6"/>
      <c r="J298" s="6"/>
      <c r="K298" s="6"/>
      <c r="L298" s="6"/>
      <c r="M298" s="26"/>
      <c r="O298" s="19" t="str">
        <f t="shared" si="1"/>
        <v/>
      </c>
    </row>
    <row r="299">
      <c r="A299" s="3" t="s">
        <v>276</v>
      </c>
      <c r="B299" s="4" t="s">
        <v>18</v>
      </c>
      <c r="C299" s="3" t="s">
        <v>459</v>
      </c>
      <c r="D299" s="3" t="s">
        <v>460</v>
      </c>
      <c r="E299" s="29">
        <v>45891.0</v>
      </c>
      <c r="F299" s="22" t="s">
        <v>27</v>
      </c>
      <c r="G299" s="22" t="s">
        <v>92</v>
      </c>
      <c r="H299" s="6"/>
      <c r="I299" s="6"/>
      <c r="J299" s="6"/>
      <c r="K299" s="6"/>
      <c r="L299" s="6"/>
      <c r="M299" s="26"/>
      <c r="O299" s="19" t="str">
        <f t="shared" si="1"/>
        <v/>
      </c>
    </row>
    <row r="300">
      <c r="A300" s="3" t="s">
        <v>107</v>
      </c>
      <c r="B300" s="4" t="s">
        <v>18</v>
      </c>
      <c r="C300" s="3" t="s">
        <v>461</v>
      </c>
      <c r="D300" s="3" t="s">
        <v>462</v>
      </c>
      <c r="E300" s="29">
        <v>45891.0</v>
      </c>
      <c r="F300" s="22" t="s">
        <v>27</v>
      </c>
      <c r="G300" s="22" t="s">
        <v>92</v>
      </c>
      <c r="H300" s="6"/>
      <c r="I300" s="6"/>
      <c r="J300" s="6"/>
      <c r="K300" s="6"/>
      <c r="L300" s="6"/>
      <c r="M300" s="26"/>
      <c r="O300" s="19" t="str">
        <f t="shared" si="1"/>
        <v/>
      </c>
    </row>
    <row r="301">
      <c r="A301" s="3" t="s">
        <v>113</v>
      </c>
      <c r="B301" s="4" t="s">
        <v>18</v>
      </c>
      <c r="C301" s="3" t="s">
        <v>175</v>
      </c>
      <c r="D301" s="3" t="s">
        <v>463</v>
      </c>
      <c r="E301" s="29">
        <v>45891.0</v>
      </c>
      <c r="F301" s="22" t="s">
        <v>27</v>
      </c>
      <c r="G301" s="22" t="s">
        <v>92</v>
      </c>
      <c r="H301" s="6"/>
      <c r="I301" s="6"/>
      <c r="J301" s="6"/>
      <c r="K301" s="6"/>
      <c r="L301" s="6"/>
      <c r="M301" s="26"/>
      <c r="O301" s="19" t="str">
        <f t="shared" si="1"/>
        <v/>
      </c>
    </row>
    <row r="302">
      <c r="A302" s="3" t="s">
        <v>276</v>
      </c>
      <c r="B302" s="4" t="s">
        <v>18</v>
      </c>
      <c r="C302" s="3" t="s">
        <v>464</v>
      </c>
      <c r="D302" s="3" t="s">
        <v>465</v>
      </c>
      <c r="E302" s="29">
        <v>45891.0</v>
      </c>
      <c r="F302" s="22" t="s">
        <v>27</v>
      </c>
      <c r="G302" s="22" t="s">
        <v>92</v>
      </c>
      <c r="H302" s="6"/>
      <c r="I302" s="6"/>
      <c r="J302" s="6"/>
      <c r="K302" s="6"/>
      <c r="L302" s="6"/>
      <c r="M302" s="26"/>
      <c r="O302" s="19" t="str">
        <f t="shared" si="1"/>
        <v/>
      </c>
    </row>
    <row r="303">
      <c r="A303" s="3" t="s">
        <v>232</v>
      </c>
      <c r="B303" s="4" t="s">
        <v>18</v>
      </c>
      <c r="C303" s="3" t="s">
        <v>466</v>
      </c>
      <c r="D303" s="3" t="s">
        <v>467</v>
      </c>
      <c r="E303" s="29">
        <v>45891.0</v>
      </c>
      <c r="F303" s="22" t="s">
        <v>27</v>
      </c>
      <c r="G303" s="22" t="s">
        <v>92</v>
      </c>
      <c r="H303" s="6"/>
      <c r="I303" s="6"/>
      <c r="J303" s="6"/>
      <c r="K303" s="6"/>
      <c r="L303" s="6"/>
      <c r="M303" s="26"/>
      <c r="O303" s="19" t="str">
        <f t="shared" si="1"/>
        <v/>
      </c>
    </row>
    <row r="304">
      <c r="A304" s="3" t="s">
        <v>276</v>
      </c>
      <c r="B304" s="4" t="s">
        <v>18</v>
      </c>
      <c r="C304" s="3" t="s">
        <v>468</v>
      </c>
      <c r="D304" s="3" t="s">
        <v>469</v>
      </c>
      <c r="E304" s="29">
        <v>45891.0</v>
      </c>
      <c r="F304" s="22" t="s">
        <v>27</v>
      </c>
      <c r="G304" s="22" t="s">
        <v>92</v>
      </c>
      <c r="H304" s="6"/>
      <c r="I304" s="6"/>
      <c r="J304" s="6"/>
      <c r="K304" s="6"/>
      <c r="L304" s="6"/>
      <c r="M304" s="26"/>
      <c r="O304" s="19" t="str">
        <f t="shared" si="1"/>
        <v/>
      </c>
    </row>
    <row r="305">
      <c r="A305" s="3" t="s">
        <v>276</v>
      </c>
      <c r="B305" s="4" t="s">
        <v>18</v>
      </c>
      <c r="C305" s="3" t="s">
        <v>470</v>
      </c>
      <c r="D305" s="3" t="s">
        <v>471</v>
      </c>
      <c r="E305" s="29">
        <v>45891.0</v>
      </c>
      <c r="F305" s="22" t="s">
        <v>27</v>
      </c>
      <c r="G305" s="22" t="s">
        <v>92</v>
      </c>
      <c r="H305" s="6"/>
      <c r="I305" s="6"/>
      <c r="J305" s="6"/>
      <c r="K305" s="6"/>
      <c r="L305" s="6"/>
      <c r="M305" s="26"/>
      <c r="O305" s="19" t="str">
        <f t="shared" si="1"/>
        <v/>
      </c>
    </row>
    <row r="306">
      <c r="A306" s="3" t="s">
        <v>472</v>
      </c>
      <c r="B306" s="4" t="s">
        <v>18</v>
      </c>
      <c r="C306" s="3" t="s">
        <v>473</v>
      </c>
      <c r="D306" s="3" t="s">
        <v>474</v>
      </c>
      <c r="E306" s="29">
        <v>45891.0</v>
      </c>
      <c r="F306" s="22" t="s">
        <v>27</v>
      </c>
      <c r="G306" s="22" t="s">
        <v>92</v>
      </c>
      <c r="H306" s="6"/>
      <c r="I306" s="6"/>
      <c r="J306" s="6"/>
      <c r="K306" s="6"/>
      <c r="L306" s="6"/>
      <c r="M306" s="26"/>
      <c r="O306" s="19" t="str">
        <f t="shared" si="1"/>
        <v/>
      </c>
    </row>
    <row r="307">
      <c r="A307" s="3" t="s">
        <v>244</v>
      </c>
      <c r="B307" s="4" t="s">
        <v>18</v>
      </c>
      <c r="C307" s="3" t="s">
        <v>475</v>
      </c>
      <c r="D307" s="3" t="s">
        <v>476</v>
      </c>
      <c r="E307" s="29">
        <v>45891.0</v>
      </c>
      <c r="F307" s="22" t="s">
        <v>27</v>
      </c>
      <c r="G307" s="22" t="s">
        <v>92</v>
      </c>
      <c r="H307" s="6"/>
      <c r="I307" s="6"/>
      <c r="J307" s="6"/>
      <c r="K307" s="6"/>
      <c r="L307" s="6"/>
      <c r="M307" s="26"/>
      <c r="O307" s="19" t="str">
        <f t="shared" si="1"/>
        <v/>
      </c>
    </row>
    <row r="308">
      <c r="A308" s="3" t="s">
        <v>107</v>
      </c>
      <c r="B308" s="4" t="s">
        <v>18</v>
      </c>
      <c r="C308" s="3" t="s">
        <v>477</v>
      </c>
      <c r="D308" s="3" t="s">
        <v>478</v>
      </c>
      <c r="E308" s="29">
        <v>45891.0</v>
      </c>
      <c r="F308" s="22" t="s">
        <v>27</v>
      </c>
      <c r="G308" s="22" t="s">
        <v>129</v>
      </c>
      <c r="H308" s="6"/>
      <c r="I308" s="6"/>
      <c r="J308" s="6"/>
      <c r="K308" s="6"/>
      <c r="L308" s="6"/>
      <c r="M308" s="26"/>
      <c r="O308" s="19" t="str">
        <f t="shared" si="1"/>
        <v/>
      </c>
    </row>
    <row r="309">
      <c r="A309" s="3" t="s">
        <v>479</v>
      </c>
      <c r="B309" s="4" t="s">
        <v>18</v>
      </c>
      <c r="C309" s="3" t="s">
        <v>480</v>
      </c>
      <c r="D309" s="3" t="s">
        <v>481</v>
      </c>
      <c r="E309" s="29">
        <v>45891.0</v>
      </c>
      <c r="F309" s="22" t="s">
        <v>27</v>
      </c>
      <c r="G309" s="22" t="s">
        <v>92</v>
      </c>
      <c r="H309" s="6"/>
      <c r="I309" s="6"/>
      <c r="J309" s="6"/>
      <c r="K309" s="6"/>
      <c r="L309" s="6"/>
      <c r="M309" s="26"/>
      <c r="O309" s="19" t="str">
        <f t="shared" si="1"/>
        <v/>
      </c>
    </row>
    <row r="310">
      <c r="A310" s="3" t="s">
        <v>184</v>
      </c>
      <c r="B310" s="4" t="s">
        <v>18</v>
      </c>
      <c r="C310" s="3" t="s">
        <v>482</v>
      </c>
      <c r="D310" s="3" t="s">
        <v>483</v>
      </c>
      <c r="E310" s="29">
        <v>45891.0</v>
      </c>
      <c r="F310" s="22" t="s">
        <v>27</v>
      </c>
      <c r="G310" s="22" t="s">
        <v>92</v>
      </c>
      <c r="H310" s="6"/>
      <c r="I310" s="6"/>
      <c r="J310" s="6"/>
      <c r="K310" s="6"/>
      <c r="L310" s="6"/>
      <c r="M310" s="26"/>
      <c r="O310" s="19" t="str">
        <f t="shared" si="1"/>
        <v/>
      </c>
    </row>
    <row r="311">
      <c r="A311" s="3" t="s">
        <v>418</v>
      </c>
      <c r="B311" s="4" t="s">
        <v>18</v>
      </c>
      <c r="C311" s="3" t="s">
        <v>484</v>
      </c>
      <c r="D311" s="3" t="s">
        <v>485</v>
      </c>
      <c r="E311" s="29">
        <v>45891.0</v>
      </c>
      <c r="F311" s="22" t="s">
        <v>93</v>
      </c>
      <c r="G311" s="22" t="s">
        <v>92</v>
      </c>
      <c r="H311" s="6"/>
      <c r="I311" s="6"/>
      <c r="J311" s="6"/>
      <c r="K311" s="6"/>
      <c r="L311" s="6"/>
      <c r="M311" s="26"/>
      <c r="O311" s="19" t="str">
        <f t="shared" si="1"/>
        <v/>
      </c>
    </row>
    <row r="312">
      <c r="A312" s="3" t="s">
        <v>23</v>
      </c>
      <c r="B312" s="4" t="s">
        <v>18</v>
      </c>
      <c r="C312" s="3" t="s">
        <v>53</v>
      </c>
      <c r="D312" s="3" t="s">
        <v>486</v>
      </c>
      <c r="E312" s="29">
        <v>45891.0</v>
      </c>
      <c r="F312" s="22" t="s">
        <v>27</v>
      </c>
      <c r="G312" s="22" t="s">
        <v>92</v>
      </c>
      <c r="H312" s="9" t="s">
        <v>487</v>
      </c>
      <c r="I312" s="9">
        <v>6.1402153851E10</v>
      </c>
      <c r="J312" s="10" t="s">
        <v>488</v>
      </c>
      <c r="K312" s="9">
        <v>0.0</v>
      </c>
      <c r="L312" s="6"/>
      <c r="M312" s="26"/>
      <c r="O312" s="19" t="str">
        <f t="shared" si="1"/>
        <v/>
      </c>
    </row>
    <row r="313">
      <c r="A313" s="3" t="s">
        <v>274</v>
      </c>
      <c r="B313" s="4" t="s">
        <v>18</v>
      </c>
      <c r="C313" s="3" t="s">
        <v>489</v>
      </c>
      <c r="D313" s="3" t="s">
        <v>490</v>
      </c>
      <c r="E313" s="29">
        <v>45892.0</v>
      </c>
      <c r="F313" s="22" t="s">
        <v>27</v>
      </c>
      <c r="G313" s="22" t="s">
        <v>92</v>
      </c>
      <c r="H313" s="6"/>
      <c r="I313" s="6"/>
      <c r="J313" s="6"/>
      <c r="K313" s="6"/>
      <c r="L313" s="6"/>
      <c r="M313" s="26"/>
      <c r="O313" s="19" t="str">
        <f t="shared" si="1"/>
        <v/>
      </c>
    </row>
    <row r="314">
      <c r="A314" s="3" t="s">
        <v>244</v>
      </c>
      <c r="B314" s="4" t="s">
        <v>18</v>
      </c>
      <c r="C314" s="3" t="s">
        <v>491</v>
      </c>
      <c r="D314" s="3" t="s">
        <v>492</v>
      </c>
      <c r="E314" s="29">
        <v>45892.0</v>
      </c>
      <c r="F314" s="22" t="s">
        <v>27</v>
      </c>
      <c r="G314" s="22" t="s">
        <v>92</v>
      </c>
      <c r="H314" s="6"/>
      <c r="I314" s="6"/>
      <c r="J314" s="6"/>
      <c r="K314" s="6"/>
      <c r="L314" s="6"/>
      <c r="M314" s="26"/>
      <c r="O314" s="19" t="str">
        <f t="shared" si="1"/>
        <v/>
      </c>
    </row>
    <row r="315">
      <c r="A315" s="3" t="s">
        <v>276</v>
      </c>
      <c r="B315" s="4" t="s">
        <v>18</v>
      </c>
      <c r="C315" s="3" t="s">
        <v>493</v>
      </c>
      <c r="D315" s="3" t="s">
        <v>494</v>
      </c>
      <c r="E315" s="29">
        <v>45892.0</v>
      </c>
      <c r="F315" s="22" t="s">
        <v>27</v>
      </c>
      <c r="G315" s="22" t="s">
        <v>92</v>
      </c>
      <c r="H315" s="6"/>
      <c r="I315" s="6"/>
      <c r="J315" s="6"/>
      <c r="K315" s="6"/>
      <c r="L315" s="6"/>
      <c r="M315" s="26"/>
      <c r="O315" s="19" t="str">
        <f t="shared" si="1"/>
        <v/>
      </c>
    </row>
    <row r="316">
      <c r="A316" s="3" t="s">
        <v>198</v>
      </c>
      <c r="B316" s="4" t="s">
        <v>109</v>
      </c>
      <c r="C316" s="3" t="s">
        <v>495</v>
      </c>
      <c r="D316" s="3"/>
      <c r="E316" s="29">
        <v>45892.0</v>
      </c>
      <c r="F316" s="22" t="s">
        <v>27</v>
      </c>
      <c r="G316" s="22" t="s">
        <v>92</v>
      </c>
      <c r="H316" s="6"/>
      <c r="I316" s="6"/>
      <c r="J316" s="6"/>
      <c r="K316" s="6"/>
      <c r="L316" s="6"/>
      <c r="M316" s="26"/>
      <c r="O316" s="19" t="str">
        <f t="shared" si="1"/>
        <v/>
      </c>
    </row>
    <row r="317">
      <c r="A317" s="3" t="s">
        <v>23</v>
      </c>
      <c r="B317" s="4" t="s">
        <v>18</v>
      </c>
      <c r="C317" s="3" t="s">
        <v>496</v>
      </c>
      <c r="D317" s="3" t="s">
        <v>497</v>
      </c>
      <c r="E317" s="29">
        <v>45892.0</v>
      </c>
      <c r="F317" s="22" t="s">
        <v>27</v>
      </c>
      <c r="G317" s="22" t="s">
        <v>92</v>
      </c>
      <c r="H317" s="9" t="s">
        <v>498</v>
      </c>
      <c r="I317" s="9">
        <v>6.1403353077E10</v>
      </c>
      <c r="J317" s="10" t="s">
        <v>499</v>
      </c>
      <c r="K317" s="9">
        <v>0.0</v>
      </c>
      <c r="L317" s="6"/>
      <c r="M317" s="26"/>
      <c r="O317" s="19" t="str">
        <f t="shared" si="1"/>
        <v/>
      </c>
    </row>
    <row r="318">
      <c r="A318" s="3" t="s">
        <v>195</v>
      </c>
      <c r="B318" s="4" t="s">
        <v>18</v>
      </c>
      <c r="C318" s="3" t="s">
        <v>500</v>
      </c>
      <c r="D318" s="3"/>
      <c r="E318" s="29">
        <v>45892.0</v>
      </c>
      <c r="F318" s="22" t="s">
        <v>93</v>
      </c>
      <c r="G318" s="22" t="s">
        <v>92</v>
      </c>
      <c r="H318" s="6"/>
      <c r="I318" s="6"/>
      <c r="J318" s="6"/>
      <c r="K318" s="6"/>
      <c r="L318" s="6"/>
      <c r="M318" s="26"/>
      <c r="O318" s="19" t="str">
        <f t="shared" si="1"/>
        <v/>
      </c>
    </row>
    <row r="319">
      <c r="A319" s="3" t="s">
        <v>84</v>
      </c>
      <c r="B319" s="4" t="s">
        <v>31</v>
      </c>
      <c r="C319" s="3" t="s">
        <v>85</v>
      </c>
      <c r="D319" s="3" t="s">
        <v>501</v>
      </c>
      <c r="E319" s="29">
        <v>45892.0</v>
      </c>
      <c r="F319" s="22" t="s">
        <v>27</v>
      </c>
      <c r="G319" s="22" t="s">
        <v>92</v>
      </c>
      <c r="H319" s="6"/>
      <c r="I319" s="6"/>
      <c r="J319" s="6"/>
      <c r="K319" s="6"/>
      <c r="L319" s="6"/>
      <c r="M319" s="26"/>
      <c r="O319" s="19" t="str">
        <f t="shared" si="1"/>
        <v/>
      </c>
    </row>
    <row r="320">
      <c r="A320" s="3" t="s">
        <v>265</v>
      </c>
      <c r="B320" s="4" t="s">
        <v>18</v>
      </c>
      <c r="C320" s="3" t="s">
        <v>502</v>
      </c>
      <c r="D320" s="3" t="s">
        <v>503</v>
      </c>
      <c r="E320" s="29">
        <v>45892.0</v>
      </c>
      <c r="F320" s="22" t="s">
        <v>27</v>
      </c>
      <c r="G320" s="22" t="s">
        <v>92</v>
      </c>
      <c r="H320" s="6"/>
      <c r="I320" s="6"/>
      <c r="J320" s="6"/>
      <c r="K320" s="6"/>
      <c r="L320" s="6"/>
      <c r="M320" s="26"/>
      <c r="O320" s="19" t="str">
        <f t="shared" si="1"/>
        <v/>
      </c>
    </row>
    <row r="321">
      <c r="A321" s="3" t="s">
        <v>244</v>
      </c>
      <c r="B321" s="4" t="s">
        <v>18</v>
      </c>
      <c r="C321" s="3" t="s">
        <v>504</v>
      </c>
      <c r="D321" s="3" t="s">
        <v>505</v>
      </c>
      <c r="E321" s="29">
        <v>45892.0</v>
      </c>
      <c r="F321" s="22" t="s">
        <v>27</v>
      </c>
      <c r="G321" s="22" t="s">
        <v>92</v>
      </c>
      <c r="H321" s="6"/>
      <c r="I321" s="6"/>
      <c r="J321" s="6"/>
      <c r="K321" s="6"/>
      <c r="L321" s="6"/>
      <c r="M321" s="26"/>
      <c r="O321" s="19" t="str">
        <f t="shared" si="1"/>
        <v/>
      </c>
    </row>
    <row r="322">
      <c r="A322" s="3" t="s">
        <v>234</v>
      </c>
      <c r="B322" s="4" t="s">
        <v>18</v>
      </c>
      <c r="C322" s="3" t="s">
        <v>506</v>
      </c>
      <c r="D322" s="3" t="s">
        <v>507</v>
      </c>
      <c r="E322" s="29">
        <v>45892.0</v>
      </c>
      <c r="F322" s="22" t="s">
        <v>27</v>
      </c>
      <c r="G322" s="22" t="s">
        <v>92</v>
      </c>
      <c r="H322" s="6"/>
      <c r="I322" s="6"/>
      <c r="J322" s="6"/>
      <c r="K322" s="6"/>
      <c r="L322" s="6"/>
      <c r="M322" s="26"/>
      <c r="O322" s="19" t="str">
        <f t="shared" si="1"/>
        <v/>
      </c>
    </row>
    <row r="323">
      <c r="A323" s="3" t="s">
        <v>232</v>
      </c>
      <c r="B323" s="4" t="s">
        <v>18</v>
      </c>
      <c r="C323" s="3" t="s">
        <v>508</v>
      </c>
      <c r="D323" s="3" t="s">
        <v>509</v>
      </c>
      <c r="E323" s="29">
        <v>45893.0</v>
      </c>
      <c r="F323" s="22" t="s">
        <v>27</v>
      </c>
      <c r="G323" s="22" t="s">
        <v>92</v>
      </c>
      <c r="H323" s="6"/>
      <c r="I323" s="6"/>
      <c r="J323" s="6"/>
      <c r="K323" s="6"/>
      <c r="L323" s="6"/>
      <c r="M323" s="26"/>
      <c r="O323" s="19" t="str">
        <f t="shared" si="1"/>
        <v/>
      </c>
    </row>
    <row r="324">
      <c r="A324" s="3" t="s">
        <v>510</v>
      </c>
      <c r="B324" s="4" t="s">
        <v>18</v>
      </c>
      <c r="C324" s="3" t="s">
        <v>213</v>
      </c>
      <c r="D324" s="3" t="s">
        <v>511</v>
      </c>
      <c r="E324" s="29">
        <v>45893.0</v>
      </c>
      <c r="F324" s="22" t="s">
        <v>27</v>
      </c>
      <c r="G324" s="22" t="s">
        <v>92</v>
      </c>
      <c r="H324" s="6"/>
      <c r="I324" s="6"/>
      <c r="J324" s="6"/>
      <c r="K324" s="6"/>
      <c r="L324" s="6"/>
      <c r="M324" s="26"/>
      <c r="O324" s="19" t="str">
        <f t="shared" si="1"/>
        <v/>
      </c>
    </row>
    <row r="325">
      <c r="A325" s="3" t="s">
        <v>184</v>
      </c>
      <c r="B325" s="4" t="s">
        <v>18</v>
      </c>
      <c r="C325" s="3" t="s">
        <v>512</v>
      </c>
      <c r="D325" s="3"/>
      <c r="E325" s="29">
        <v>45893.0</v>
      </c>
      <c r="F325" s="22" t="s">
        <v>27</v>
      </c>
      <c r="G325" s="22" t="s">
        <v>92</v>
      </c>
      <c r="H325" s="6"/>
      <c r="I325" s="6"/>
      <c r="J325" s="6"/>
      <c r="K325" s="6"/>
      <c r="L325" s="6"/>
      <c r="M325" s="26"/>
      <c r="O325" s="19" t="str">
        <f t="shared" si="1"/>
        <v/>
      </c>
    </row>
    <row r="326">
      <c r="A326" s="3" t="s">
        <v>195</v>
      </c>
      <c r="B326" s="4" t="s">
        <v>18</v>
      </c>
      <c r="C326" s="3" t="s">
        <v>513</v>
      </c>
      <c r="D326" s="3" t="s">
        <v>514</v>
      </c>
      <c r="E326" s="29">
        <v>45893.0</v>
      </c>
      <c r="F326" s="22" t="s">
        <v>27</v>
      </c>
      <c r="G326" s="22" t="s">
        <v>92</v>
      </c>
      <c r="H326" s="6"/>
      <c r="I326" s="6"/>
      <c r="J326" s="6"/>
      <c r="K326" s="6"/>
      <c r="L326" s="6"/>
      <c r="M326" s="26"/>
      <c r="O326" s="19" t="str">
        <f t="shared" si="1"/>
        <v/>
      </c>
    </row>
    <row r="327">
      <c r="A327" s="3" t="s">
        <v>265</v>
      </c>
      <c r="B327" s="4" t="s">
        <v>18</v>
      </c>
      <c r="C327" s="3" t="s">
        <v>515</v>
      </c>
      <c r="D327" s="3" t="s">
        <v>516</v>
      </c>
      <c r="E327" s="29">
        <v>45893.0</v>
      </c>
      <c r="F327" s="22" t="s">
        <v>27</v>
      </c>
      <c r="G327" s="22" t="s">
        <v>129</v>
      </c>
      <c r="H327" s="6"/>
      <c r="I327" s="6"/>
      <c r="J327" s="6"/>
      <c r="K327" s="6"/>
      <c r="L327" s="6"/>
      <c r="M327" s="26"/>
      <c r="O327" s="19" t="str">
        <f t="shared" si="1"/>
        <v/>
      </c>
    </row>
    <row r="328">
      <c r="A328" s="3" t="s">
        <v>184</v>
      </c>
      <c r="B328" s="4" t="s">
        <v>18</v>
      </c>
      <c r="C328" s="3" t="s">
        <v>517</v>
      </c>
      <c r="D328" s="3" t="s">
        <v>518</v>
      </c>
      <c r="E328" s="29">
        <v>45893.0</v>
      </c>
      <c r="F328" s="22" t="s">
        <v>27</v>
      </c>
      <c r="G328" s="22" t="s">
        <v>92</v>
      </c>
      <c r="H328" s="6"/>
      <c r="I328" s="6"/>
      <c r="J328" s="6"/>
      <c r="K328" s="6"/>
      <c r="L328" s="6"/>
      <c r="M328" s="26"/>
      <c r="O328" s="19" t="str">
        <f t="shared" si="1"/>
        <v/>
      </c>
    </row>
    <row r="329">
      <c r="A329" s="3" t="s">
        <v>276</v>
      </c>
      <c r="B329" s="4" t="s">
        <v>18</v>
      </c>
      <c r="C329" s="3" t="s">
        <v>519</v>
      </c>
      <c r="D329" s="3"/>
      <c r="E329" s="29">
        <v>45893.0</v>
      </c>
      <c r="F329" s="22" t="s">
        <v>93</v>
      </c>
      <c r="G329" s="22" t="s">
        <v>92</v>
      </c>
      <c r="H329" s="6"/>
      <c r="I329" s="6"/>
      <c r="J329" s="6"/>
      <c r="K329" s="6"/>
      <c r="L329" s="6"/>
      <c r="M329" s="26"/>
      <c r="O329" s="19" t="str">
        <f t="shared" si="1"/>
        <v/>
      </c>
    </row>
    <row r="330">
      <c r="A330" s="3" t="s">
        <v>30</v>
      </c>
      <c r="B330" s="4" t="s">
        <v>31</v>
      </c>
      <c r="C330" s="3" t="s">
        <v>520</v>
      </c>
      <c r="D330" s="3" t="s">
        <v>521</v>
      </c>
      <c r="E330" s="29">
        <v>45893.0</v>
      </c>
      <c r="F330" s="22" t="s">
        <v>27</v>
      </c>
      <c r="G330" s="22" t="s">
        <v>92</v>
      </c>
      <c r="H330" s="6"/>
      <c r="I330" s="6"/>
      <c r="J330" s="6"/>
      <c r="K330" s="6"/>
      <c r="L330" s="6"/>
      <c r="M330" s="26"/>
      <c r="O330" s="19" t="str">
        <f t="shared" si="1"/>
        <v/>
      </c>
    </row>
    <row r="331">
      <c r="A331" s="3" t="s">
        <v>427</v>
      </c>
      <c r="B331" s="4" t="s">
        <v>18</v>
      </c>
      <c r="C331" s="3" t="s">
        <v>522</v>
      </c>
      <c r="D331" s="3" t="s">
        <v>523</v>
      </c>
      <c r="E331" s="29">
        <v>45893.0</v>
      </c>
      <c r="F331" s="22" t="s">
        <v>27</v>
      </c>
      <c r="G331" s="22" t="s">
        <v>92</v>
      </c>
      <c r="H331" s="6"/>
      <c r="I331" s="6"/>
      <c r="J331" s="6"/>
      <c r="K331" s="6"/>
      <c r="L331" s="6"/>
      <c r="M331" s="26"/>
      <c r="O331" s="19" t="str">
        <f t="shared" si="1"/>
        <v/>
      </c>
    </row>
    <row r="332">
      <c r="A332" s="3" t="s">
        <v>274</v>
      </c>
      <c r="B332" s="4" t="s">
        <v>18</v>
      </c>
      <c r="C332" s="3" t="s">
        <v>524</v>
      </c>
      <c r="D332" s="3" t="s">
        <v>525</v>
      </c>
      <c r="E332" s="29">
        <v>45893.0</v>
      </c>
      <c r="F332" s="22" t="s">
        <v>27</v>
      </c>
      <c r="G332" s="22" t="s">
        <v>92</v>
      </c>
      <c r="H332" s="6"/>
      <c r="I332" s="6"/>
      <c r="J332" s="6"/>
      <c r="K332" s="6"/>
      <c r="L332" s="6"/>
      <c r="M332" s="26"/>
      <c r="O332" s="19" t="str">
        <f t="shared" si="1"/>
        <v/>
      </c>
    </row>
    <row r="333">
      <c r="A333" s="3" t="s">
        <v>244</v>
      </c>
      <c r="B333" s="4" t="s">
        <v>18</v>
      </c>
      <c r="C333" s="3" t="s">
        <v>526</v>
      </c>
      <c r="D333" s="3" t="s">
        <v>527</v>
      </c>
      <c r="E333" s="29">
        <v>45894.0</v>
      </c>
      <c r="F333" s="22" t="s">
        <v>27</v>
      </c>
      <c r="G333" s="22" t="s">
        <v>92</v>
      </c>
      <c r="H333" s="6"/>
      <c r="I333" s="6"/>
      <c r="J333" s="6"/>
      <c r="K333" s="6"/>
      <c r="L333" s="6"/>
      <c r="M333" s="26"/>
      <c r="O333" s="19" t="str">
        <f t="shared" si="1"/>
        <v/>
      </c>
    </row>
    <row r="334">
      <c r="A334" s="3" t="s">
        <v>114</v>
      </c>
      <c r="B334" s="4" t="s">
        <v>31</v>
      </c>
      <c r="C334" s="3" t="s">
        <v>41</v>
      </c>
      <c r="D334" s="3" t="s">
        <v>528</v>
      </c>
      <c r="E334" s="29">
        <v>45894.0</v>
      </c>
      <c r="F334" s="22" t="s">
        <v>103</v>
      </c>
      <c r="G334" s="22" t="s">
        <v>92</v>
      </c>
      <c r="H334" s="6"/>
      <c r="I334" s="6"/>
      <c r="J334" s="6"/>
      <c r="K334" s="6"/>
      <c r="L334" s="6"/>
      <c r="M334" s="26"/>
      <c r="O334" s="19" t="str">
        <f t="shared" si="1"/>
        <v/>
      </c>
    </row>
    <row r="335">
      <c r="A335" s="3" t="s">
        <v>291</v>
      </c>
      <c r="B335" s="4" t="s">
        <v>31</v>
      </c>
      <c r="C335" s="3">
        <v>2529.0</v>
      </c>
      <c r="D335" s="3"/>
      <c r="E335" s="29">
        <v>45894.0</v>
      </c>
      <c r="F335" s="22" t="s">
        <v>93</v>
      </c>
      <c r="G335" s="22" t="s">
        <v>92</v>
      </c>
      <c r="H335" s="6"/>
      <c r="I335" s="6"/>
      <c r="J335" s="6"/>
      <c r="K335" s="6"/>
      <c r="L335" s="6"/>
      <c r="M335" s="26"/>
      <c r="O335" s="19" t="str">
        <f t="shared" si="1"/>
        <v/>
      </c>
    </row>
    <row r="336">
      <c r="A336" s="3" t="s">
        <v>510</v>
      </c>
      <c r="B336" s="4" t="s">
        <v>18</v>
      </c>
      <c r="C336" s="3">
        <v>4221.0</v>
      </c>
      <c r="D336" s="3"/>
      <c r="E336" s="29">
        <v>45894.0</v>
      </c>
      <c r="F336" s="22" t="s">
        <v>93</v>
      </c>
      <c r="G336" s="22" t="s">
        <v>92</v>
      </c>
      <c r="H336" s="6"/>
      <c r="I336" s="6"/>
      <c r="J336" s="6"/>
      <c r="K336" s="6"/>
      <c r="L336" s="6"/>
      <c r="M336" s="26"/>
      <c r="O336" s="19" t="str">
        <f t="shared" si="1"/>
        <v/>
      </c>
    </row>
    <row r="337">
      <c r="A337" s="3" t="s">
        <v>276</v>
      </c>
      <c r="B337" s="4" t="s">
        <v>18</v>
      </c>
      <c r="C337" s="3">
        <v>4073.0</v>
      </c>
      <c r="D337" s="3"/>
      <c r="E337" s="29">
        <v>45894.0</v>
      </c>
      <c r="F337" s="22" t="s">
        <v>93</v>
      </c>
      <c r="G337" s="22" t="s">
        <v>92</v>
      </c>
      <c r="H337" s="6"/>
      <c r="I337" s="6"/>
      <c r="J337" s="6"/>
      <c r="K337" s="6"/>
      <c r="L337" s="6"/>
      <c r="M337" s="26"/>
      <c r="O337" s="19" t="str">
        <f t="shared" si="1"/>
        <v/>
      </c>
    </row>
    <row r="338">
      <c r="A338" s="3" t="s">
        <v>276</v>
      </c>
      <c r="B338" s="4" t="s">
        <v>18</v>
      </c>
      <c r="C338" s="3" t="s">
        <v>413</v>
      </c>
      <c r="D338" s="3" t="s">
        <v>529</v>
      </c>
      <c r="E338" s="29">
        <v>45894.0</v>
      </c>
      <c r="F338" s="22" t="s">
        <v>27</v>
      </c>
      <c r="G338" s="22" t="s">
        <v>92</v>
      </c>
      <c r="H338" s="6"/>
      <c r="I338" s="6"/>
      <c r="J338" s="6"/>
      <c r="K338" s="6"/>
      <c r="L338" s="6"/>
      <c r="M338" s="26"/>
      <c r="O338" s="19" t="str">
        <f t="shared" si="1"/>
        <v/>
      </c>
    </row>
    <row r="339">
      <c r="A339" s="3" t="s">
        <v>112</v>
      </c>
      <c r="B339" s="4" t="s">
        <v>18</v>
      </c>
      <c r="C339" s="3" t="s">
        <v>530</v>
      </c>
      <c r="D339" s="3" t="s">
        <v>531</v>
      </c>
      <c r="E339" s="29">
        <v>45894.0</v>
      </c>
      <c r="F339" s="22" t="s">
        <v>27</v>
      </c>
      <c r="G339" s="22" t="s">
        <v>92</v>
      </c>
      <c r="H339" s="6"/>
      <c r="I339" s="6"/>
      <c r="J339" s="6"/>
      <c r="K339" s="6"/>
      <c r="L339" s="6"/>
      <c r="M339" s="26"/>
      <c r="O339" s="19" t="str">
        <f t="shared" si="1"/>
        <v/>
      </c>
    </row>
    <row r="340">
      <c r="A340" s="3" t="s">
        <v>532</v>
      </c>
      <c r="B340" s="4" t="s">
        <v>18</v>
      </c>
      <c r="C340" s="24" t="s">
        <v>533</v>
      </c>
      <c r="D340" s="3" t="s">
        <v>534</v>
      </c>
      <c r="E340" s="29">
        <v>45894.0</v>
      </c>
      <c r="F340" s="22" t="s">
        <v>27</v>
      </c>
      <c r="G340" s="22" t="s">
        <v>92</v>
      </c>
      <c r="H340" s="6"/>
      <c r="I340" s="6"/>
      <c r="J340" s="6"/>
      <c r="K340" s="6"/>
      <c r="L340" s="6"/>
      <c r="M340" s="26"/>
      <c r="O340" s="19" t="str">
        <f t="shared" si="1"/>
        <v/>
      </c>
    </row>
    <row r="341">
      <c r="A341" s="3" t="s">
        <v>532</v>
      </c>
      <c r="B341" s="4" t="s">
        <v>18</v>
      </c>
      <c r="C341" s="20">
        <v>4032.0</v>
      </c>
      <c r="E341" s="29">
        <v>45894.0</v>
      </c>
      <c r="F341" s="22" t="s">
        <v>27</v>
      </c>
      <c r="G341" s="22" t="s">
        <v>92</v>
      </c>
      <c r="H341" s="6"/>
      <c r="I341" s="6"/>
      <c r="J341" s="6"/>
      <c r="K341" s="6"/>
      <c r="L341" s="6"/>
      <c r="M341" s="26"/>
      <c r="O341" s="19" t="str">
        <f t="shared" si="1"/>
        <v/>
      </c>
    </row>
    <row r="342">
      <c r="A342" s="3" t="s">
        <v>107</v>
      </c>
      <c r="B342" s="4" t="s">
        <v>18</v>
      </c>
      <c r="C342" s="24" t="s">
        <v>448</v>
      </c>
      <c r="D342" s="3" t="s">
        <v>535</v>
      </c>
      <c r="E342" s="29">
        <v>45894.0</v>
      </c>
      <c r="F342" s="22" t="s">
        <v>27</v>
      </c>
      <c r="G342" s="22" t="s">
        <v>92</v>
      </c>
      <c r="H342" s="6"/>
      <c r="I342" s="6"/>
      <c r="J342" s="6"/>
      <c r="K342" s="6"/>
      <c r="L342" s="6"/>
      <c r="M342" s="26"/>
      <c r="O342" s="19" t="str">
        <f t="shared" si="1"/>
        <v/>
      </c>
    </row>
    <row r="343">
      <c r="A343" s="3" t="s">
        <v>17</v>
      </c>
      <c r="B343" s="4" t="s">
        <v>18</v>
      </c>
      <c r="C343" s="24" t="s">
        <v>398</v>
      </c>
      <c r="D343" s="3" t="s">
        <v>536</v>
      </c>
      <c r="E343" s="29">
        <v>45894.0</v>
      </c>
      <c r="F343" s="22" t="s">
        <v>103</v>
      </c>
      <c r="G343" s="22" t="s">
        <v>92</v>
      </c>
      <c r="H343" s="6"/>
      <c r="I343" s="6"/>
      <c r="J343" s="6"/>
      <c r="K343" s="6"/>
      <c r="L343" s="6"/>
      <c r="M343" s="26"/>
      <c r="O343" s="19" t="str">
        <f t="shared" si="1"/>
        <v/>
      </c>
    </row>
    <row r="344">
      <c r="A344" s="3" t="s">
        <v>61</v>
      </c>
      <c r="B344" s="4" t="s">
        <v>18</v>
      </c>
      <c r="C344" s="24" t="s">
        <v>359</v>
      </c>
      <c r="D344" s="3"/>
      <c r="E344" s="29">
        <v>45894.0</v>
      </c>
      <c r="F344" s="22" t="s">
        <v>27</v>
      </c>
      <c r="G344" s="22" t="s">
        <v>92</v>
      </c>
      <c r="H344" s="6"/>
      <c r="I344" s="6"/>
      <c r="J344" s="6"/>
      <c r="K344" s="6"/>
      <c r="L344" s="6"/>
      <c r="M344" s="26"/>
      <c r="O344" s="19" t="str">
        <f t="shared" si="1"/>
        <v/>
      </c>
    </row>
    <row r="345">
      <c r="A345" s="3" t="s">
        <v>244</v>
      </c>
      <c r="B345" s="4" t="s">
        <v>18</v>
      </c>
      <c r="C345" s="24" t="s">
        <v>253</v>
      </c>
      <c r="D345" s="23" t="s">
        <v>537</v>
      </c>
      <c r="E345" s="29">
        <v>45895.0</v>
      </c>
      <c r="F345" s="22" t="s">
        <v>27</v>
      </c>
      <c r="G345" s="22" t="s">
        <v>92</v>
      </c>
      <c r="H345" s="28"/>
      <c r="I345" s="6"/>
      <c r="J345" s="6"/>
      <c r="K345" s="6"/>
      <c r="L345" s="6"/>
      <c r="M345" s="26"/>
      <c r="O345" s="19" t="str">
        <f t="shared" si="1"/>
        <v/>
      </c>
    </row>
    <row r="346">
      <c r="A346" s="3" t="s">
        <v>77</v>
      </c>
      <c r="B346" s="4" t="s">
        <v>18</v>
      </c>
      <c r="C346" s="24" t="s">
        <v>538</v>
      </c>
      <c r="D346" s="22" t="s">
        <v>539</v>
      </c>
      <c r="E346" s="29">
        <v>45895.0</v>
      </c>
      <c r="F346" s="22" t="s">
        <v>27</v>
      </c>
      <c r="G346" s="22" t="s">
        <v>92</v>
      </c>
      <c r="H346" s="28"/>
      <c r="I346" s="6"/>
      <c r="J346" s="6"/>
      <c r="K346" s="6"/>
      <c r="L346" s="6"/>
      <c r="M346" s="26"/>
      <c r="O346" s="19" t="str">
        <f t="shared" si="1"/>
        <v/>
      </c>
    </row>
    <row r="347">
      <c r="A347" s="3" t="s">
        <v>276</v>
      </c>
      <c r="B347" s="4" t="s">
        <v>18</v>
      </c>
      <c r="C347" s="24" t="s">
        <v>540</v>
      </c>
      <c r="D347" s="22" t="s">
        <v>541</v>
      </c>
      <c r="E347" s="29">
        <v>45895.0</v>
      </c>
      <c r="F347" s="22" t="s">
        <v>27</v>
      </c>
      <c r="G347" s="22" t="s">
        <v>92</v>
      </c>
      <c r="H347" s="28"/>
      <c r="I347" s="6"/>
      <c r="J347" s="6"/>
      <c r="K347" s="6"/>
      <c r="L347" s="6"/>
      <c r="M347" s="26"/>
      <c r="O347" s="19" t="str">
        <f t="shared" si="1"/>
        <v/>
      </c>
    </row>
    <row r="348">
      <c r="A348" s="3" t="s">
        <v>112</v>
      </c>
      <c r="B348" s="4" t="s">
        <v>18</v>
      </c>
      <c r="C348" s="24" t="s">
        <v>542</v>
      </c>
      <c r="D348" s="22"/>
      <c r="E348" s="29">
        <v>45895.0</v>
      </c>
      <c r="F348" s="22" t="s">
        <v>93</v>
      </c>
      <c r="G348" s="22" t="s">
        <v>92</v>
      </c>
      <c r="H348" s="28"/>
      <c r="I348" s="6"/>
      <c r="J348" s="6"/>
      <c r="K348" s="6"/>
      <c r="L348" s="6"/>
      <c r="M348" s="26"/>
      <c r="O348" s="19" t="str">
        <f t="shared" si="1"/>
        <v/>
      </c>
    </row>
    <row r="349">
      <c r="A349" s="3" t="s">
        <v>427</v>
      </c>
      <c r="B349" s="4" t="s">
        <v>18</v>
      </c>
      <c r="C349" s="24" t="s">
        <v>543</v>
      </c>
      <c r="D349" s="22" t="s">
        <v>544</v>
      </c>
      <c r="E349" s="29">
        <v>45895.0</v>
      </c>
      <c r="F349" s="22" t="s">
        <v>27</v>
      </c>
      <c r="G349" s="22" t="s">
        <v>92</v>
      </c>
      <c r="H349" s="28"/>
      <c r="I349" s="6"/>
      <c r="J349" s="6"/>
      <c r="K349" s="6"/>
      <c r="L349" s="6"/>
      <c r="M349" s="26"/>
      <c r="O349" s="19" t="str">
        <f t="shared" si="1"/>
        <v/>
      </c>
    </row>
    <row r="350">
      <c r="A350" s="3" t="s">
        <v>232</v>
      </c>
      <c r="B350" s="4" t="s">
        <v>18</v>
      </c>
      <c r="C350" s="24" t="s">
        <v>545</v>
      </c>
      <c r="D350" s="22"/>
      <c r="E350" s="29">
        <v>45895.0</v>
      </c>
      <c r="F350" s="22" t="s">
        <v>27</v>
      </c>
      <c r="G350" s="22" t="s">
        <v>92</v>
      </c>
      <c r="H350" s="28"/>
      <c r="I350" s="6"/>
      <c r="J350" s="6"/>
      <c r="K350" s="6"/>
      <c r="L350" s="6"/>
      <c r="M350" s="26"/>
      <c r="O350" s="19" t="str">
        <f t="shared" si="1"/>
        <v/>
      </c>
    </row>
    <row r="351">
      <c r="A351" s="3" t="s">
        <v>479</v>
      </c>
      <c r="B351" s="4" t="s">
        <v>18</v>
      </c>
      <c r="C351" s="24" t="s">
        <v>546</v>
      </c>
      <c r="D351" s="22" t="s">
        <v>547</v>
      </c>
      <c r="E351" s="29">
        <v>45895.0</v>
      </c>
      <c r="F351" s="22" t="s">
        <v>27</v>
      </c>
      <c r="G351" s="22" t="s">
        <v>92</v>
      </c>
      <c r="H351" s="28"/>
      <c r="I351" s="6"/>
      <c r="J351" s="6"/>
      <c r="K351" s="6"/>
      <c r="L351" s="6"/>
      <c r="M351" s="26"/>
      <c r="O351" s="19" t="str">
        <f t="shared" si="1"/>
        <v/>
      </c>
    </row>
    <row r="352">
      <c r="A352" s="3" t="s">
        <v>479</v>
      </c>
      <c r="B352" s="4" t="s">
        <v>18</v>
      </c>
      <c r="C352" s="24" t="s">
        <v>548</v>
      </c>
      <c r="D352" s="22" t="s">
        <v>549</v>
      </c>
      <c r="E352" s="29">
        <v>45895.0</v>
      </c>
      <c r="F352" s="22" t="s">
        <v>27</v>
      </c>
      <c r="G352" s="22" t="s">
        <v>92</v>
      </c>
      <c r="H352" s="28"/>
      <c r="I352" s="6"/>
      <c r="J352" s="6"/>
      <c r="K352" s="6"/>
      <c r="L352" s="6"/>
      <c r="M352" s="26"/>
      <c r="O352" s="19" t="str">
        <f t="shared" si="1"/>
        <v/>
      </c>
    </row>
    <row r="353">
      <c r="A353" s="3" t="s">
        <v>479</v>
      </c>
      <c r="B353" s="4" t="s">
        <v>18</v>
      </c>
      <c r="C353" s="24" t="s">
        <v>550</v>
      </c>
      <c r="D353" s="22" t="s">
        <v>551</v>
      </c>
      <c r="E353" s="29">
        <v>45895.0</v>
      </c>
      <c r="F353" s="22" t="s">
        <v>27</v>
      </c>
      <c r="G353" s="22" t="s">
        <v>92</v>
      </c>
      <c r="H353" s="28"/>
      <c r="I353" s="6"/>
      <c r="J353" s="6"/>
      <c r="K353" s="6"/>
      <c r="L353" s="6"/>
      <c r="M353" s="26"/>
      <c r="O353" s="19" t="str">
        <f t="shared" si="1"/>
        <v/>
      </c>
    </row>
    <row r="354">
      <c r="A354" s="3" t="s">
        <v>184</v>
      </c>
      <c r="B354" s="4" t="s">
        <v>18</v>
      </c>
      <c r="C354" s="24" t="s">
        <v>552</v>
      </c>
      <c r="D354" s="22" t="s">
        <v>553</v>
      </c>
      <c r="E354" s="29">
        <v>45895.0</v>
      </c>
      <c r="F354" s="22" t="s">
        <v>27</v>
      </c>
      <c r="G354" s="22" t="s">
        <v>92</v>
      </c>
      <c r="H354" s="28"/>
      <c r="I354" s="6"/>
      <c r="J354" s="6"/>
      <c r="K354" s="6"/>
      <c r="L354" s="6"/>
      <c r="M354" s="26"/>
      <c r="O354" s="19" t="str">
        <f t="shared" si="1"/>
        <v/>
      </c>
    </row>
    <row r="355">
      <c r="A355" s="3" t="s">
        <v>112</v>
      </c>
      <c r="B355" s="4" t="s">
        <v>18</v>
      </c>
      <c r="C355" s="24" t="s">
        <v>342</v>
      </c>
      <c r="D355" s="22" t="s">
        <v>554</v>
      </c>
      <c r="E355" s="29">
        <v>45895.0</v>
      </c>
      <c r="F355" s="22" t="s">
        <v>27</v>
      </c>
      <c r="G355" s="22" t="s">
        <v>92</v>
      </c>
      <c r="H355" s="28"/>
      <c r="I355" s="6"/>
      <c r="J355" s="6"/>
      <c r="K355" s="6"/>
      <c r="L355" s="6"/>
      <c r="M355" s="26"/>
      <c r="O355" s="19" t="str">
        <f t="shared" si="1"/>
        <v/>
      </c>
    </row>
    <row r="356">
      <c r="A356" s="3" t="s">
        <v>555</v>
      </c>
      <c r="B356" s="4" t="s">
        <v>18</v>
      </c>
      <c r="C356" s="24" t="s">
        <v>556</v>
      </c>
      <c r="D356" s="22" t="s">
        <v>557</v>
      </c>
      <c r="E356" s="29">
        <v>45895.0</v>
      </c>
      <c r="F356" s="22" t="s">
        <v>27</v>
      </c>
      <c r="G356" s="22" t="s">
        <v>92</v>
      </c>
      <c r="H356" s="28"/>
      <c r="I356" s="6"/>
      <c r="J356" s="6"/>
      <c r="K356" s="6"/>
      <c r="L356" s="6"/>
      <c r="M356" s="26"/>
      <c r="O356" s="19" t="str">
        <f t="shared" si="1"/>
        <v/>
      </c>
    </row>
    <row r="357">
      <c r="A357" s="3" t="s">
        <v>472</v>
      </c>
      <c r="B357" s="4" t="s">
        <v>18</v>
      </c>
      <c r="C357" s="24" t="s">
        <v>556</v>
      </c>
      <c r="D357" s="22"/>
      <c r="E357" s="29">
        <v>45896.0</v>
      </c>
      <c r="F357" s="22" t="s">
        <v>93</v>
      </c>
      <c r="G357" s="22" t="s">
        <v>92</v>
      </c>
      <c r="H357" s="28"/>
      <c r="I357" s="6"/>
      <c r="J357" s="6"/>
      <c r="K357" s="6"/>
      <c r="L357" s="6"/>
      <c r="M357" s="26"/>
      <c r="O357" s="19" t="str">
        <f t="shared" si="1"/>
        <v/>
      </c>
    </row>
    <row r="358">
      <c r="A358" s="3" t="s">
        <v>98</v>
      </c>
      <c r="B358" s="4" t="s">
        <v>31</v>
      </c>
      <c r="C358" s="24" t="s">
        <v>558</v>
      </c>
      <c r="D358" s="22"/>
      <c r="E358" s="29">
        <v>45896.0</v>
      </c>
      <c r="F358" s="22" t="s">
        <v>93</v>
      </c>
      <c r="G358" s="22" t="s">
        <v>92</v>
      </c>
      <c r="H358" s="28"/>
      <c r="I358" s="6"/>
      <c r="J358" s="6"/>
      <c r="K358" s="6"/>
      <c r="L358" s="6"/>
      <c r="M358" s="26"/>
      <c r="O358" s="19" t="str">
        <f t="shared" si="1"/>
        <v/>
      </c>
    </row>
    <row r="359">
      <c r="A359" s="3" t="s">
        <v>77</v>
      </c>
      <c r="B359" s="4" t="s">
        <v>18</v>
      </c>
      <c r="C359" s="24" t="s">
        <v>559</v>
      </c>
      <c r="D359" s="22" t="s">
        <v>560</v>
      </c>
      <c r="E359" s="29">
        <v>45896.0</v>
      </c>
      <c r="F359" s="22" t="s">
        <v>27</v>
      </c>
      <c r="G359" s="22" t="s">
        <v>92</v>
      </c>
      <c r="H359" s="28"/>
      <c r="I359" s="6"/>
      <c r="J359" s="6"/>
      <c r="K359" s="6"/>
      <c r="L359" s="6"/>
      <c r="M359" s="26"/>
      <c r="O359" s="19" t="str">
        <f t="shared" si="1"/>
        <v/>
      </c>
    </row>
    <row r="360">
      <c r="A360" s="3" t="s">
        <v>184</v>
      </c>
      <c r="B360" s="4" t="s">
        <v>18</v>
      </c>
      <c r="C360" s="24" t="s">
        <v>561</v>
      </c>
      <c r="D360" s="22" t="s">
        <v>562</v>
      </c>
      <c r="E360" s="29">
        <v>45896.0</v>
      </c>
      <c r="F360" s="22" t="s">
        <v>27</v>
      </c>
      <c r="G360" s="22" t="s">
        <v>92</v>
      </c>
      <c r="H360" s="28"/>
      <c r="I360" s="6"/>
      <c r="J360" s="6"/>
      <c r="K360" s="6"/>
      <c r="L360" s="6"/>
      <c r="M360" s="26"/>
      <c r="O360" s="19" t="str">
        <f t="shared" si="1"/>
        <v/>
      </c>
    </row>
    <row r="361">
      <c r="A361" s="3" t="s">
        <v>184</v>
      </c>
      <c r="B361" s="4" t="s">
        <v>18</v>
      </c>
      <c r="C361" s="24" t="s">
        <v>561</v>
      </c>
      <c r="D361" s="22" t="s">
        <v>563</v>
      </c>
      <c r="E361" s="29">
        <v>45896.0</v>
      </c>
      <c r="F361" s="22" t="s">
        <v>27</v>
      </c>
      <c r="G361" s="22" t="s">
        <v>92</v>
      </c>
      <c r="H361" s="28"/>
      <c r="I361" s="6"/>
      <c r="J361" s="6"/>
      <c r="K361" s="6"/>
      <c r="L361" s="6"/>
      <c r="M361" s="26"/>
      <c r="O361" s="19" t="str">
        <f t="shared" si="1"/>
        <v/>
      </c>
    </row>
    <row r="362">
      <c r="A362" s="3" t="s">
        <v>510</v>
      </c>
      <c r="B362" s="4" t="s">
        <v>18</v>
      </c>
      <c r="C362" s="24" t="s">
        <v>564</v>
      </c>
      <c r="D362" s="22" t="s">
        <v>565</v>
      </c>
      <c r="E362" s="29">
        <v>45896.0</v>
      </c>
      <c r="F362" s="22" t="s">
        <v>27</v>
      </c>
      <c r="G362" s="22" t="s">
        <v>92</v>
      </c>
      <c r="H362" s="28"/>
      <c r="I362" s="6"/>
      <c r="J362" s="6"/>
      <c r="K362" s="6"/>
      <c r="L362" s="6"/>
      <c r="M362" s="26"/>
      <c r="O362" s="19" t="str">
        <f t="shared" si="1"/>
        <v/>
      </c>
    </row>
    <row r="363">
      <c r="A363" s="3" t="s">
        <v>276</v>
      </c>
      <c r="B363" s="4" t="s">
        <v>18</v>
      </c>
      <c r="C363" s="24" t="s">
        <v>566</v>
      </c>
      <c r="D363" s="22" t="s">
        <v>567</v>
      </c>
      <c r="E363" s="29">
        <v>45896.0</v>
      </c>
      <c r="F363" s="22" t="s">
        <v>27</v>
      </c>
      <c r="G363" s="22" t="s">
        <v>92</v>
      </c>
      <c r="H363" s="28"/>
      <c r="I363" s="6"/>
      <c r="J363" s="6"/>
      <c r="K363" s="6"/>
      <c r="L363" s="6"/>
      <c r="M363" s="26"/>
      <c r="O363" s="19" t="str">
        <f t="shared" si="1"/>
        <v/>
      </c>
    </row>
    <row r="364">
      <c r="A364" s="3" t="s">
        <v>232</v>
      </c>
      <c r="B364" s="4" t="s">
        <v>18</v>
      </c>
      <c r="C364" s="24" t="s">
        <v>568</v>
      </c>
      <c r="D364" s="22" t="s">
        <v>569</v>
      </c>
      <c r="E364" s="29">
        <v>45896.0</v>
      </c>
      <c r="F364" s="22" t="s">
        <v>27</v>
      </c>
      <c r="G364" s="22" t="s">
        <v>92</v>
      </c>
      <c r="H364" s="28"/>
      <c r="I364" s="6"/>
      <c r="J364" s="6"/>
      <c r="K364" s="6"/>
      <c r="L364" s="6"/>
      <c r="M364" s="26"/>
      <c r="O364" s="19" t="str">
        <f t="shared" si="1"/>
        <v/>
      </c>
    </row>
    <row r="365">
      <c r="A365" s="3" t="s">
        <v>570</v>
      </c>
      <c r="B365" s="4" t="s">
        <v>18</v>
      </c>
      <c r="C365" s="24">
        <v>4165.0</v>
      </c>
      <c r="D365" s="22"/>
      <c r="E365" s="29">
        <v>45896.0</v>
      </c>
      <c r="F365" s="22" t="s">
        <v>93</v>
      </c>
      <c r="G365" s="22" t="s">
        <v>92</v>
      </c>
      <c r="H365" s="28"/>
      <c r="I365" s="6"/>
      <c r="J365" s="6"/>
      <c r="K365" s="6"/>
      <c r="L365" s="6"/>
      <c r="M365" s="26"/>
      <c r="O365" s="19" t="str">
        <f t="shared" si="1"/>
        <v/>
      </c>
    </row>
    <row r="366">
      <c r="A366" s="3" t="s">
        <v>479</v>
      </c>
      <c r="B366" s="4" t="s">
        <v>18</v>
      </c>
      <c r="C366" s="24" t="s">
        <v>571</v>
      </c>
      <c r="D366" s="22"/>
      <c r="E366" s="29">
        <v>45896.0</v>
      </c>
      <c r="F366" s="22" t="s">
        <v>93</v>
      </c>
      <c r="G366" s="22" t="s">
        <v>92</v>
      </c>
      <c r="H366" s="28"/>
      <c r="I366" s="6"/>
      <c r="J366" s="6"/>
      <c r="K366" s="6"/>
      <c r="L366" s="6"/>
      <c r="M366" s="26"/>
      <c r="O366" s="19" t="str">
        <f t="shared" si="1"/>
        <v/>
      </c>
    </row>
    <row r="367">
      <c r="A367" s="3" t="s">
        <v>246</v>
      </c>
      <c r="B367" s="4" t="s">
        <v>36</v>
      </c>
      <c r="C367" s="24" t="s">
        <v>300</v>
      </c>
      <c r="D367" s="22"/>
      <c r="E367" s="29">
        <v>45896.0</v>
      </c>
      <c r="F367" s="22" t="s">
        <v>27</v>
      </c>
      <c r="G367" s="22" t="s">
        <v>92</v>
      </c>
      <c r="H367" s="28"/>
      <c r="I367" s="6"/>
      <c r="J367" s="6"/>
      <c r="K367" s="6"/>
      <c r="L367" s="6"/>
      <c r="M367" s="26"/>
      <c r="O367" s="19" t="str">
        <f t="shared" si="1"/>
        <v/>
      </c>
    </row>
    <row r="368">
      <c r="A368" s="3" t="s">
        <v>195</v>
      </c>
      <c r="B368" s="4" t="s">
        <v>18</v>
      </c>
      <c r="C368" s="24">
        <v>4280.0</v>
      </c>
      <c r="D368" s="22"/>
      <c r="E368" s="29">
        <v>45896.0</v>
      </c>
      <c r="F368" s="22" t="s">
        <v>27</v>
      </c>
      <c r="G368" s="22" t="s">
        <v>92</v>
      </c>
      <c r="H368" s="28"/>
      <c r="I368" s="6"/>
      <c r="J368" s="6"/>
      <c r="K368" s="6"/>
      <c r="L368" s="6"/>
      <c r="M368" s="26"/>
      <c r="O368" s="19" t="str">
        <f t="shared" si="1"/>
        <v/>
      </c>
    </row>
    <row r="369">
      <c r="A369" s="3" t="s">
        <v>276</v>
      </c>
      <c r="B369" s="4" t="s">
        <v>18</v>
      </c>
      <c r="C369" s="24" t="s">
        <v>173</v>
      </c>
      <c r="D369" s="22" t="s">
        <v>572</v>
      </c>
      <c r="E369" s="29">
        <v>45896.0</v>
      </c>
      <c r="F369" s="22" t="s">
        <v>27</v>
      </c>
      <c r="G369" s="22" t="s">
        <v>92</v>
      </c>
      <c r="H369" s="28"/>
      <c r="I369" s="6"/>
      <c r="J369" s="6"/>
      <c r="K369" s="6"/>
      <c r="L369" s="6"/>
      <c r="M369" s="26"/>
      <c r="O369" s="19" t="str">
        <f t="shared" si="1"/>
        <v/>
      </c>
    </row>
    <row r="370">
      <c r="A370" s="3" t="s">
        <v>573</v>
      </c>
      <c r="B370" s="4" t="s">
        <v>31</v>
      </c>
      <c r="C370" s="24">
        <v>2260.0</v>
      </c>
      <c r="D370" s="22"/>
      <c r="E370" s="29">
        <v>45896.0</v>
      </c>
      <c r="F370" s="22" t="s">
        <v>27</v>
      </c>
      <c r="G370" s="22" t="s">
        <v>92</v>
      </c>
      <c r="H370" s="28"/>
      <c r="I370" s="6"/>
      <c r="J370" s="6"/>
      <c r="K370" s="6"/>
      <c r="L370" s="6"/>
      <c r="M370" s="26"/>
      <c r="O370" s="19" t="str">
        <f t="shared" si="1"/>
        <v/>
      </c>
    </row>
    <row r="371">
      <c r="A371" s="3" t="s">
        <v>570</v>
      </c>
      <c r="B371" s="4" t="s">
        <v>18</v>
      </c>
      <c r="C371" s="24" t="s">
        <v>574</v>
      </c>
      <c r="D371" s="22" t="s">
        <v>575</v>
      </c>
      <c r="E371" s="29">
        <v>45896.0</v>
      </c>
      <c r="F371" s="22" t="s">
        <v>27</v>
      </c>
      <c r="G371" s="22" t="s">
        <v>92</v>
      </c>
      <c r="H371" s="28"/>
      <c r="I371" s="6"/>
      <c r="J371" s="6"/>
      <c r="K371" s="6"/>
      <c r="L371" s="6"/>
      <c r="M371" s="26"/>
      <c r="O371" s="19" t="str">
        <f t="shared" si="1"/>
        <v/>
      </c>
    </row>
    <row r="372">
      <c r="A372" s="3" t="s">
        <v>576</v>
      </c>
      <c r="B372" s="4" t="s">
        <v>31</v>
      </c>
      <c r="C372" s="24" t="s">
        <v>577</v>
      </c>
      <c r="D372" s="22" t="s">
        <v>578</v>
      </c>
      <c r="E372" s="29">
        <v>45896.0</v>
      </c>
      <c r="F372" s="22" t="s">
        <v>27</v>
      </c>
      <c r="G372" s="22" t="s">
        <v>92</v>
      </c>
      <c r="H372" s="28"/>
      <c r="I372" s="6"/>
      <c r="J372" s="6"/>
      <c r="K372" s="6"/>
      <c r="L372" s="6"/>
      <c r="M372" s="26"/>
      <c r="O372" s="19" t="str">
        <f t="shared" si="1"/>
        <v/>
      </c>
    </row>
    <row r="373">
      <c r="A373" s="3" t="s">
        <v>184</v>
      </c>
      <c r="B373" s="4" t="s">
        <v>18</v>
      </c>
      <c r="C373" s="24" t="s">
        <v>579</v>
      </c>
      <c r="D373" s="22" t="s">
        <v>580</v>
      </c>
      <c r="E373" s="29">
        <v>45897.0</v>
      </c>
      <c r="F373" s="22" t="s">
        <v>27</v>
      </c>
      <c r="G373" s="22" t="s">
        <v>92</v>
      </c>
      <c r="H373" s="28"/>
      <c r="I373" s="6"/>
      <c r="J373" s="6"/>
      <c r="K373" s="6"/>
      <c r="L373" s="6"/>
      <c r="M373" s="26"/>
      <c r="O373" s="19" t="str">
        <f t="shared" si="1"/>
        <v/>
      </c>
    </row>
    <row r="374">
      <c r="A374" s="3" t="s">
        <v>112</v>
      </c>
      <c r="B374" s="4" t="s">
        <v>18</v>
      </c>
      <c r="C374" s="24" t="s">
        <v>581</v>
      </c>
      <c r="D374" s="22" t="s">
        <v>582</v>
      </c>
      <c r="E374" s="29">
        <v>45897.0</v>
      </c>
      <c r="F374" s="22" t="s">
        <v>27</v>
      </c>
      <c r="G374" s="22" t="s">
        <v>92</v>
      </c>
      <c r="H374" s="28"/>
      <c r="I374" s="6"/>
      <c r="J374" s="6"/>
      <c r="K374" s="6"/>
      <c r="L374" s="6"/>
      <c r="M374" s="26"/>
      <c r="O374" s="19" t="str">
        <f t="shared" si="1"/>
        <v/>
      </c>
    </row>
    <row r="375">
      <c r="A375" s="3" t="s">
        <v>276</v>
      </c>
      <c r="B375" s="4" t="s">
        <v>18</v>
      </c>
      <c r="C375" s="24" t="s">
        <v>583</v>
      </c>
      <c r="D375" s="22"/>
      <c r="E375" s="29">
        <v>45897.0</v>
      </c>
      <c r="F375" s="22" t="s">
        <v>93</v>
      </c>
      <c r="G375" s="22" t="s">
        <v>92</v>
      </c>
      <c r="H375" s="28"/>
      <c r="I375" s="6"/>
      <c r="J375" s="6"/>
      <c r="K375" s="6"/>
      <c r="L375" s="6"/>
      <c r="M375" s="26"/>
      <c r="O375" s="19" t="str">
        <f t="shared" si="1"/>
        <v/>
      </c>
    </row>
    <row r="376">
      <c r="A376" s="3" t="s">
        <v>274</v>
      </c>
      <c r="B376" s="4" t="s">
        <v>18</v>
      </c>
      <c r="C376" s="24" t="s">
        <v>584</v>
      </c>
      <c r="D376" s="22" t="s">
        <v>585</v>
      </c>
      <c r="E376" s="29">
        <v>45897.0</v>
      </c>
      <c r="F376" s="22" t="s">
        <v>27</v>
      </c>
      <c r="G376" s="22" t="s">
        <v>92</v>
      </c>
      <c r="H376" s="28"/>
      <c r="I376" s="6"/>
      <c r="J376" s="6"/>
      <c r="K376" s="6"/>
      <c r="L376" s="6"/>
      <c r="M376" s="26"/>
      <c r="O376" s="19" t="str">
        <f t="shared" si="1"/>
        <v/>
      </c>
    </row>
    <row r="377">
      <c r="A377" s="3" t="s">
        <v>61</v>
      </c>
      <c r="B377" s="4" t="s">
        <v>18</v>
      </c>
      <c r="C377" s="24" t="s">
        <v>586</v>
      </c>
      <c r="D377" s="22" t="s">
        <v>587</v>
      </c>
      <c r="E377" s="29">
        <v>45897.0</v>
      </c>
      <c r="F377" s="22" t="s">
        <v>27</v>
      </c>
      <c r="G377" s="22" t="s">
        <v>92</v>
      </c>
      <c r="H377" s="28"/>
      <c r="I377" s="6"/>
      <c r="J377" s="6"/>
      <c r="K377" s="6"/>
      <c r="L377" s="6"/>
      <c r="M377" s="26"/>
      <c r="O377" s="19" t="str">
        <f t="shared" si="1"/>
        <v/>
      </c>
    </row>
    <row r="378">
      <c r="A378" s="3" t="s">
        <v>479</v>
      </c>
      <c r="B378" s="4" t="s">
        <v>18</v>
      </c>
      <c r="C378" s="24" t="s">
        <v>588</v>
      </c>
      <c r="D378" s="22" t="s">
        <v>589</v>
      </c>
      <c r="E378" s="29">
        <v>45897.0</v>
      </c>
      <c r="F378" s="22" t="s">
        <v>27</v>
      </c>
      <c r="G378" s="22" t="s">
        <v>92</v>
      </c>
      <c r="H378" s="28"/>
      <c r="I378" s="6"/>
      <c r="J378" s="6"/>
      <c r="K378" s="6"/>
      <c r="L378" s="6"/>
      <c r="M378" s="26"/>
      <c r="O378" s="19" t="str">
        <f t="shared" si="1"/>
        <v/>
      </c>
    </row>
    <row r="379">
      <c r="A379" s="3" t="s">
        <v>184</v>
      </c>
      <c r="B379" s="4" t="s">
        <v>18</v>
      </c>
      <c r="C379" s="24" t="s">
        <v>590</v>
      </c>
      <c r="D379" s="22"/>
      <c r="E379" s="29">
        <v>45897.0</v>
      </c>
      <c r="F379" s="22" t="s">
        <v>27</v>
      </c>
      <c r="G379" s="22" t="s">
        <v>92</v>
      </c>
      <c r="H379" s="28"/>
      <c r="I379" s="6"/>
      <c r="J379" s="6"/>
      <c r="K379" s="6"/>
      <c r="L379" s="6"/>
      <c r="M379" s="26"/>
      <c r="O379" s="19" t="str">
        <f t="shared" si="1"/>
        <v/>
      </c>
    </row>
    <row r="380">
      <c r="A380" s="3" t="s">
        <v>17</v>
      </c>
      <c r="B380" s="4" t="s">
        <v>18</v>
      </c>
      <c r="C380" s="24" t="s">
        <v>591</v>
      </c>
      <c r="D380" s="22" t="s">
        <v>592</v>
      </c>
      <c r="E380" s="29">
        <v>45897.0</v>
      </c>
      <c r="F380" s="22" t="s">
        <v>103</v>
      </c>
      <c r="G380" s="22" t="s">
        <v>92</v>
      </c>
      <c r="H380" s="28"/>
      <c r="I380" s="6"/>
      <c r="J380" s="6"/>
      <c r="K380" s="6"/>
      <c r="L380" s="6"/>
      <c r="M380" s="26"/>
      <c r="O380" s="19" t="str">
        <f t="shared" si="1"/>
        <v/>
      </c>
    </row>
    <row r="381">
      <c r="A381" s="3" t="s">
        <v>479</v>
      </c>
      <c r="B381" s="4" t="s">
        <v>18</v>
      </c>
      <c r="C381" s="24" t="s">
        <v>593</v>
      </c>
      <c r="D381" s="22" t="s">
        <v>594</v>
      </c>
      <c r="E381" s="29">
        <v>45897.0</v>
      </c>
      <c r="F381" s="22" t="s">
        <v>27</v>
      </c>
      <c r="G381" s="22" t="s">
        <v>92</v>
      </c>
      <c r="H381" s="28"/>
      <c r="I381" s="6"/>
      <c r="J381" s="6"/>
      <c r="K381" s="6"/>
      <c r="L381" s="6"/>
      <c r="M381" s="26"/>
      <c r="O381" s="19" t="str">
        <f t="shared" si="1"/>
        <v/>
      </c>
    </row>
    <row r="382">
      <c r="A382" s="3" t="s">
        <v>510</v>
      </c>
      <c r="B382" s="4" t="s">
        <v>18</v>
      </c>
      <c r="C382" s="24" t="s">
        <v>595</v>
      </c>
      <c r="D382" s="22" t="s">
        <v>596</v>
      </c>
      <c r="E382" s="29">
        <v>45897.0</v>
      </c>
      <c r="F382" s="22" t="s">
        <v>27</v>
      </c>
      <c r="G382" s="22" t="s">
        <v>92</v>
      </c>
      <c r="H382" s="28"/>
      <c r="I382" s="6"/>
      <c r="J382" s="6"/>
      <c r="K382" s="6"/>
      <c r="L382" s="6"/>
      <c r="M382" s="26"/>
      <c r="O382" s="19" t="str">
        <f t="shared" si="1"/>
        <v/>
      </c>
    </row>
    <row r="383">
      <c r="A383" s="3" t="s">
        <v>274</v>
      </c>
      <c r="B383" s="4" t="s">
        <v>18</v>
      </c>
      <c r="C383" s="24" t="s">
        <v>597</v>
      </c>
      <c r="D383" s="22" t="s">
        <v>598</v>
      </c>
      <c r="E383" s="29">
        <v>45897.0</v>
      </c>
      <c r="F383" s="22" t="s">
        <v>27</v>
      </c>
      <c r="G383" s="22" t="s">
        <v>92</v>
      </c>
      <c r="H383" s="28"/>
      <c r="I383" s="6"/>
      <c r="J383" s="6"/>
      <c r="K383" s="6"/>
      <c r="L383" s="6"/>
      <c r="M383" s="26"/>
      <c r="O383" s="19" t="str">
        <f t="shared" si="1"/>
        <v/>
      </c>
    </row>
    <row r="384">
      <c r="A384" s="3" t="s">
        <v>435</v>
      </c>
      <c r="B384" s="4" t="s">
        <v>18</v>
      </c>
      <c r="C384" s="24" t="s">
        <v>599</v>
      </c>
      <c r="D384" s="22" t="s">
        <v>600</v>
      </c>
      <c r="E384" s="29">
        <v>45898.0</v>
      </c>
      <c r="F384" s="22" t="s">
        <v>27</v>
      </c>
      <c r="G384" s="22" t="s">
        <v>92</v>
      </c>
      <c r="H384" s="28"/>
      <c r="I384" s="6"/>
      <c r="J384" s="6"/>
      <c r="K384" s="6"/>
      <c r="L384" s="6"/>
      <c r="M384" s="26"/>
      <c r="O384" s="19" t="str">
        <f t="shared" si="1"/>
        <v/>
      </c>
    </row>
    <row r="385">
      <c r="A385" s="3" t="s">
        <v>276</v>
      </c>
      <c r="B385" s="4" t="s">
        <v>18</v>
      </c>
      <c r="C385" s="24" t="s">
        <v>601</v>
      </c>
      <c r="D385" s="22" t="s">
        <v>602</v>
      </c>
      <c r="E385" s="29">
        <v>45898.0</v>
      </c>
      <c r="F385" s="22" t="s">
        <v>27</v>
      </c>
      <c r="G385" s="22" t="s">
        <v>92</v>
      </c>
      <c r="H385" s="28"/>
      <c r="I385" s="6"/>
      <c r="J385" s="6"/>
      <c r="K385" s="6"/>
      <c r="L385" s="6"/>
      <c r="M385" s="26"/>
      <c r="O385" s="19" t="str">
        <f t="shared" si="1"/>
        <v/>
      </c>
    </row>
    <row r="386">
      <c r="A386" s="3" t="s">
        <v>232</v>
      </c>
      <c r="B386" s="4" t="s">
        <v>18</v>
      </c>
      <c r="C386" s="24" t="s">
        <v>603</v>
      </c>
      <c r="D386" s="22" t="s">
        <v>604</v>
      </c>
      <c r="E386" s="29">
        <v>45898.0</v>
      </c>
      <c r="F386" s="22" t="s">
        <v>27</v>
      </c>
      <c r="G386" s="22" t="s">
        <v>92</v>
      </c>
      <c r="H386" s="28"/>
      <c r="I386" s="6"/>
      <c r="J386" s="6"/>
      <c r="K386" s="6"/>
      <c r="L386" s="6"/>
      <c r="M386" s="26"/>
      <c r="O386" s="19" t="str">
        <f t="shared" si="1"/>
        <v/>
      </c>
    </row>
    <row r="387">
      <c r="A387" s="3" t="s">
        <v>77</v>
      </c>
      <c r="B387" s="4" t="s">
        <v>18</v>
      </c>
      <c r="C387" s="24" t="s">
        <v>605</v>
      </c>
      <c r="D387" s="22"/>
      <c r="E387" s="29">
        <v>45898.0</v>
      </c>
      <c r="F387" s="22" t="s">
        <v>27</v>
      </c>
      <c r="G387" s="22" t="s">
        <v>92</v>
      </c>
      <c r="H387" s="28"/>
      <c r="I387" s="6"/>
      <c r="J387" s="6"/>
      <c r="K387" s="6"/>
      <c r="L387" s="6"/>
      <c r="M387" s="26"/>
      <c r="O387" s="19" t="str">
        <f t="shared" si="1"/>
        <v/>
      </c>
    </row>
    <row r="388">
      <c r="A388" s="3" t="s">
        <v>276</v>
      </c>
      <c r="B388" s="4" t="s">
        <v>18</v>
      </c>
      <c r="C388" s="24" t="s">
        <v>606</v>
      </c>
      <c r="D388" s="22" t="s">
        <v>607</v>
      </c>
      <c r="E388" s="29">
        <v>45898.0</v>
      </c>
      <c r="F388" s="22" t="s">
        <v>27</v>
      </c>
      <c r="G388" s="22" t="s">
        <v>92</v>
      </c>
      <c r="H388" s="28"/>
      <c r="I388" s="6"/>
      <c r="J388" s="6"/>
      <c r="K388" s="6"/>
      <c r="L388" s="6"/>
      <c r="M388" s="26"/>
      <c r="O388" s="19" t="str">
        <f t="shared" si="1"/>
        <v/>
      </c>
    </row>
    <row r="389">
      <c r="A389" s="3" t="s">
        <v>184</v>
      </c>
      <c r="B389" s="4" t="s">
        <v>18</v>
      </c>
      <c r="C389" s="24" t="s">
        <v>608</v>
      </c>
      <c r="D389" s="22" t="s">
        <v>609</v>
      </c>
      <c r="E389" s="29">
        <v>45898.0</v>
      </c>
      <c r="F389" s="22" t="s">
        <v>27</v>
      </c>
      <c r="G389" s="22" t="s">
        <v>92</v>
      </c>
      <c r="H389" s="28"/>
      <c r="I389" s="6"/>
      <c r="J389" s="6"/>
      <c r="K389" s="6"/>
      <c r="L389" s="6"/>
      <c r="M389" s="26"/>
      <c r="O389" s="19" t="str">
        <f t="shared" si="1"/>
        <v/>
      </c>
    </row>
    <row r="390">
      <c r="A390" s="3" t="s">
        <v>155</v>
      </c>
      <c r="B390" s="4" t="s">
        <v>18</v>
      </c>
      <c r="C390" s="24" t="s">
        <v>610</v>
      </c>
      <c r="D390" s="22" t="s">
        <v>611</v>
      </c>
      <c r="E390" s="29">
        <v>45898.0</v>
      </c>
      <c r="F390" s="22" t="s">
        <v>27</v>
      </c>
      <c r="G390" s="22" t="s">
        <v>92</v>
      </c>
      <c r="H390" s="28"/>
      <c r="I390" s="6"/>
      <c r="J390" s="6"/>
      <c r="K390" s="6"/>
      <c r="L390" s="6"/>
      <c r="M390" s="26"/>
      <c r="O390" s="19" t="str">
        <f t="shared" si="1"/>
        <v/>
      </c>
    </row>
    <row r="391">
      <c r="A391" s="3" t="s">
        <v>112</v>
      </c>
      <c r="B391" s="4" t="s">
        <v>18</v>
      </c>
      <c r="C391" s="24" t="s">
        <v>612</v>
      </c>
      <c r="D391" s="22" t="s">
        <v>613</v>
      </c>
      <c r="E391" s="29">
        <v>45898.0</v>
      </c>
      <c r="F391" s="22" t="s">
        <v>27</v>
      </c>
      <c r="G391" s="22" t="s">
        <v>92</v>
      </c>
      <c r="H391" s="28"/>
      <c r="I391" s="6"/>
      <c r="J391" s="6"/>
      <c r="K391" s="6"/>
      <c r="L391" s="6"/>
      <c r="M391" s="26"/>
      <c r="O391" s="19" t="str">
        <f t="shared" si="1"/>
        <v/>
      </c>
    </row>
    <row r="392">
      <c r="A392" s="3" t="s">
        <v>318</v>
      </c>
      <c r="B392" s="4" t="s">
        <v>18</v>
      </c>
      <c r="C392" s="24" t="s">
        <v>591</v>
      </c>
      <c r="D392" s="22" t="s">
        <v>614</v>
      </c>
      <c r="E392" s="29">
        <v>45898.0</v>
      </c>
      <c r="F392" s="22" t="s">
        <v>27</v>
      </c>
      <c r="G392" s="22" t="s">
        <v>92</v>
      </c>
      <c r="H392" s="28"/>
      <c r="I392" s="6"/>
      <c r="J392" s="6"/>
      <c r="K392" s="6"/>
      <c r="L392" s="6"/>
      <c r="M392" s="26"/>
      <c r="O392" s="19" t="str">
        <f t="shared" si="1"/>
        <v/>
      </c>
    </row>
    <row r="393">
      <c r="A393" s="3" t="s">
        <v>276</v>
      </c>
      <c r="B393" s="4" t="s">
        <v>18</v>
      </c>
      <c r="C393" s="24" t="s">
        <v>615</v>
      </c>
      <c r="D393" s="22" t="s">
        <v>616</v>
      </c>
      <c r="E393" s="29">
        <v>45898.0</v>
      </c>
      <c r="F393" s="22" t="s">
        <v>27</v>
      </c>
      <c r="G393" s="22" t="s">
        <v>92</v>
      </c>
      <c r="H393" s="28"/>
      <c r="I393" s="6"/>
      <c r="J393" s="6"/>
      <c r="K393" s="6"/>
      <c r="L393" s="6"/>
      <c r="M393" s="26"/>
      <c r="O393" s="19" t="str">
        <f t="shared" si="1"/>
        <v/>
      </c>
    </row>
    <row r="394">
      <c r="A394" s="3" t="s">
        <v>57</v>
      </c>
      <c r="B394" s="4" t="s">
        <v>18</v>
      </c>
      <c r="C394" s="24" t="s">
        <v>617</v>
      </c>
      <c r="D394" s="22" t="s">
        <v>618</v>
      </c>
      <c r="E394" s="29">
        <v>45898.0</v>
      </c>
      <c r="F394" s="22" t="s">
        <v>93</v>
      </c>
      <c r="G394" s="22" t="s">
        <v>92</v>
      </c>
      <c r="H394" s="28"/>
      <c r="I394" s="6"/>
      <c r="J394" s="6"/>
      <c r="K394" s="6"/>
      <c r="L394" s="6"/>
      <c r="M394" s="26"/>
      <c r="O394" s="19" t="str">
        <f t="shared" si="1"/>
        <v/>
      </c>
    </row>
    <row r="395">
      <c r="A395" s="3" t="s">
        <v>155</v>
      </c>
      <c r="B395" s="4" t="s">
        <v>18</v>
      </c>
      <c r="C395" s="24" t="s">
        <v>619</v>
      </c>
      <c r="D395" s="22" t="s">
        <v>620</v>
      </c>
      <c r="E395" s="29">
        <v>45898.0</v>
      </c>
      <c r="F395" s="22" t="s">
        <v>27</v>
      </c>
      <c r="G395" s="22" t="s">
        <v>92</v>
      </c>
      <c r="H395" s="28"/>
      <c r="I395" s="6"/>
      <c r="J395" s="6"/>
      <c r="K395" s="6"/>
      <c r="L395" s="6"/>
      <c r="M395" s="26"/>
      <c r="O395" s="19" t="str">
        <f t="shared" si="1"/>
        <v/>
      </c>
    </row>
    <row r="396">
      <c r="A396" s="3" t="s">
        <v>23</v>
      </c>
      <c r="B396" s="4" t="s">
        <v>18</v>
      </c>
      <c r="C396" s="24" t="s">
        <v>24</v>
      </c>
      <c r="D396" s="22" t="s">
        <v>621</v>
      </c>
      <c r="E396" s="29">
        <v>45898.0</v>
      </c>
      <c r="F396" s="22" t="s">
        <v>27</v>
      </c>
      <c r="G396" s="22" t="s">
        <v>92</v>
      </c>
      <c r="H396" s="9" t="s">
        <v>622</v>
      </c>
      <c r="I396" s="9">
        <v>6.1403315753E10</v>
      </c>
      <c r="J396" s="10" t="s">
        <v>623</v>
      </c>
      <c r="K396" s="9">
        <v>0.0</v>
      </c>
      <c r="L396" s="6"/>
      <c r="M396" s="26"/>
      <c r="O396" s="19" t="str">
        <f t="shared" si="1"/>
        <v/>
      </c>
    </row>
    <row r="397">
      <c r="A397" s="3" t="s">
        <v>244</v>
      </c>
      <c r="B397" s="4" t="s">
        <v>18</v>
      </c>
      <c r="C397" s="24" t="s">
        <v>624</v>
      </c>
      <c r="D397" s="22" t="s">
        <v>625</v>
      </c>
      <c r="E397" s="29">
        <v>45898.0</v>
      </c>
      <c r="F397" s="22" t="s">
        <v>27</v>
      </c>
      <c r="G397" s="22" t="s">
        <v>92</v>
      </c>
      <c r="H397" s="28"/>
      <c r="I397" s="6"/>
      <c r="J397" s="6"/>
      <c r="K397" s="6"/>
      <c r="L397" s="6"/>
      <c r="M397" s="26"/>
      <c r="O397" s="19" t="str">
        <f t="shared" si="1"/>
        <v/>
      </c>
    </row>
    <row r="398">
      <c r="A398" s="3" t="s">
        <v>195</v>
      </c>
      <c r="B398" s="4" t="s">
        <v>18</v>
      </c>
      <c r="C398" s="24" t="s">
        <v>513</v>
      </c>
      <c r="D398" s="22" t="s">
        <v>626</v>
      </c>
      <c r="E398" s="29">
        <v>45898.0</v>
      </c>
      <c r="F398" s="22" t="s">
        <v>27</v>
      </c>
      <c r="G398" s="22" t="s">
        <v>92</v>
      </c>
      <c r="H398" s="28"/>
      <c r="I398" s="6"/>
      <c r="J398" s="6"/>
      <c r="K398" s="6"/>
      <c r="L398" s="6"/>
      <c r="M398" s="26"/>
      <c r="O398" s="19" t="str">
        <f t="shared" si="1"/>
        <v/>
      </c>
    </row>
    <row r="399">
      <c r="A399" s="3" t="s">
        <v>107</v>
      </c>
      <c r="B399" s="4" t="s">
        <v>18</v>
      </c>
      <c r="C399" s="24" t="s">
        <v>627</v>
      </c>
      <c r="D399" s="22" t="s">
        <v>628</v>
      </c>
      <c r="E399" s="29">
        <v>45898.0</v>
      </c>
      <c r="F399" s="22" t="s">
        <v>27</v>
      </c>
      <c r="G399" s="22" t="s">
        <v>92</v>
      </c>
      <c r="H399" s="28"/>
      <c r="I399" s="6"/>
      <c r="J399" s="6"/>
      <c r="K399" s="6"/>
      <c r="L399" s="6"/>
      <c r="M399" s="26"/>
      <c r="O399" s="19" t="str">
        <f t="shared" si="1"/>
        <v/>
      </c>
    </row>
    <row r="400">
      <c r="A400" s="3" t="s">
        <v>112</v>
      </c>
      <c r="B400" s="4" t="s">
        <v>18</v>
      </c>
      <c r="C400" s="24" t="s">
        <v>629</v>
      </c>
      <c r="D400" s="22"/>
      <c r="E400" s="29">
        <v>45898.0</v>
      </c>
      <c r="F400" s="22" t="s">
        <v>27</v>
      </c>
      <c r="G400" s="22" t="s">
        <v>92</v>
      </c>
      <c r="H400" s="28"/>
      <c r="I400" s="6"/>
      <c r="J400" s="6"/>
      <c r="K400" s="6"/>
      <c r="L400" s="6"/>
      <c r="M400" s="26"/>
      <c r="O400" s="19" t="str">
        <f t="shared" si="1"/>
        <v/>
      </c>
    </row>
    <row r="401">
      <c r="A401" s="3" t="s">
        <v>232</v>
      </c>
      <c r="B401" s="4" t="s">
        <v>18</v>
      </c>
      <c r="C401" s="24" t="s">
        <v>630</v>
      </c>
      <c r="D401" s="22"/>
      <c r="E401" s="29">
        <v>45899.0</v>
      </c>
      <c r="F401" s="22" t="s">
        <v>93</v>
      </c>
      <c r="G401" s="22" t="s">
        <v>92</v>
      </c>
      <c r="H401" s="28"/>
      <c r="I401" s="6"/>
      <c r="J401" s="6"/>
      <c r="K401" s="6"/>
      <c r="L401" s="6"/>
      <c r="M401" s="26"/>
      <c r="O401" s="19" t="str">
        <f t="shared" si="1"/>
        <v/>
      </c>
    </row>
    <row r="402">
      <c r="A402" s="3" t="s">
        <v>23</v>
      </c>
      <c r="B402" s="4" t="s">
        <v>18</v>
      </c>
      <c r="C402" s="24" t="s">
        <v>631</v>
      </c>
      <c r="D402" s="22" t="s">
        <v>632</v>
      </c>
      <c r="E402" s="29">
        <v>45899.0</v>
      </c>
      <c r="F402" s="22" t="s">
        <v>27</v>
      </c>
      <c r="G402" s="22" t="s">
        <v>92</v>
      </c>
      <c r="H402" s="9" t="s">
        <v>633</v>
      </c>
      <c r="I402" s="9">
        <v>6.1402474166E10</v>
      </c>
      <c r="J402" s="10" t="s">
        <v>634</v>
      </c>
      <c r="K402" s="9">
        <v>0.0</v>
      </c>
      <c r="L402" s="6"/>
      <c r="M402" s="26"/>
      <c r="O402" s="19" t="str">
        <f t="shared" si="1"/>
        <v/>
      </c>
    </row>
    <row r="403">
      <c r="A403" s="3" t="s">
        <v>112</v>
      </c>
      <c r="B403" s="4" t="s">
        <v>18</v>
      </c>
      <c r="C403" s="24" t="s">
        <v>635</v>
      </c>
      <c r="D403" s="22" t="s">
        <v>636</v>
      </c>
      <c r="E403" s="29">
        <v>45899.0</v>
      </c>
      <c r="F403" s="22" t="s">
        <v>27</v>
      </c>
      <c r="G403" s="22" t="s">
        <v>92</v>
      </c>
      <c r="H403" s="28"/>
      <c r="I403" s="6"/>
      <c r="J403" s="6"/>
      <c r="K403" s="6"/>
      <c r="L403" s="6"/>
      <c r="M403" s="26"/>
      <c r="O403" s="19" t="str">
        <f t="shared" si="1"/>
        <v/>
      </c>
    </row>
    <row r="404">
      <c r="A404" s="3" t="s">
        <v>305</v>
      </c>
      <c r="B404" s="4" t="s">
        <v>36</v>
      </c>
      <c r="C404" s="24" t="s">
        <v>327</v>
      </c>
      <c r="D404" s="22"/>
      <c r="E404" s="29">
        <v>45899.0</v>
      </c>
      <c r="F404" s="22" t="s">
        <v>93</v>
      </c>
      <c r="G404" s="22" t="s">
        <v>92</v>
      </c>
      <c r="H404" s="28"/>
      <c r="I404" s="6"/>
      <c r="J404" s="6"/>
      <c r="K404" s="6"/>
      <c r="L404" s="6"/>
      <c r="M404" s="26"/>
      <c r="O404" s="19" t="str">
        <f t="shared" si="1"/>
        <v/>
      </c>
    </row>
    <row r="405">
      <c r="A405" s="3" t="s">
        <v>61</v>
      </c>
      <c r="B405" s="4" t="s">
        <v>18</v>
      </c>
      <c r="C405" s="24" t="s">
        <v>637</v>
      </c>
      <c r="D405" s="22" t="s">
        <v>638</v>
      </c>
      <c r="E405" s="29">
        <v>45899.0</v>
      </c>
      <c r="F405" s="22" t="s">
        <v>27</v>
      </c>
      <c r="G405" s="22" t="s">
        <v>92</v>
      </c>
      <c r="H405" s="28"/>
      <c r="I405" s="6"/>
      <c r="J405" s="6"/>
      <c r="K405" s="6"/>
      <c r="L405" s="6"/>
      <c r="M405" s="26"/>
      <c r="O405" s="19" t="str">
        <f t="shared" si="1"/>
        <v/>
      </c>
    </row>
    <row r="406">
      <c r="A406" s="3" t="s">
        <v>435</v>
      </c>
      <c r="B406" s="4" t="s">
        <v>18</v>
      </c>
      <c r="C406" s="24" t="s">
        <v>639</v>
      </c>
      <c r="D406" s="22" t="s">
        <v>640</v>
      </c>
      <c r="E406" s="29">
        <v>45899.0</v>
      </c>
      <c r="F406" s="22" t="s">
        <v>27</v>
      </c>
      <c r="G406" s="22" t="s">
        <v>92</v>
      </c>
      <c r="H406" s="28"/>
      <c r="I406" s="6"/>
      <c r="J406" s="6"/>
      <c r="K406" s="6"/>
      <c r="L406" s="6"/>
      <c r="M406" s="26"/>
      <c r="O406" s="19" t="str">
        <f t="shared" si="1"/>
        <v/>
      </c>
    </row>
    <row r="407">
      <c r="A407" s="3" t="s">
        <v>77</v>
      </c>
      <c r="B407" s="4" t="s">
        <v>18</v>
      </c>
      <c r="C407" s="24" t="s">
        <v>641</v>
      </c>
      <c r="D407" s="22" t="s">
        <v>642</v>
      </c>
      <c r="E407" s="29">
        <v>45899.0</v>
      </c>
      <c r="F407" s="22" t="s">
        <v>27</v>
      </c>
      <c r="G407" s="22" t="s">
        <v>92</v>
      </c>
      <c r="H407" s="28"/>
      <c r="I407" s="6"/>
      <c r="J407" s="6"/>
      <c r="K407" s="6"/>
      <c r="L407" s="6"/>
      <c r="M407" s="26"/>
      <c r="O407" s="19" t="str">
        <f t="shared" si="1"/>
        <v/>
      </c>
    </row>
    <row r="408">
      <c r="A408" s="3" t="s">
        <v>435</v>
      </c>
      <c r="B408" s="4" t="s">
        <v>18</v>
      </c>
      <c r="C408" s="24" t="s">
        <v>643</v>
      </c>
      <c r="D408" s="22" t="s">
        <v>644</v>
      </c>
      <c r="E408" s="29">
        <v>45899.0</v>
      </c>
      <c r="F408" s="22" t="s">
        <v>27</v>
      </c>
      <c r="G408" s="22" t="s">
        <v>92</v>
      </c>
      <c r="H408" s="28"/>
      <c r="I408" s="6"/>
      <c r="J408" s="6"/>
      <c r="K408" s="6"/>
      <c r="L408" s="6"/>
      <c r="M408" s="26"/>
      <c r="O408" s="19" t="str">
        <f t="shared" si="1"/>
        <v/>
      </c>
    </row>
    <row r="409">
      <c r="A409" s="3" t="s">
        <v>184</v>
      </c>
      <c r="B409" s="4" t="s">
        <v>18</v>
      </c>
      <c r="C409" s="24">
        <v>4817.0</v>
      </c>
      <c r="D409" s="22"/>
      <c r="E409" s="29">
        <v>45899.0</v>
      </c>
      <c r="F409" s="22" t="s">
        <v>93</v>
      </c>
      <c r="G409" s="22" t="s">
        <v>92</v>
      </c>
      <c r="H409" s="28"/>
      <c r="I409" s="6"/>
      <c r="J409" s="6"/>
      <c r="K409" s="6"/>
      <c r="L409" s="6"/>
      <c r="M409" s="26"/>
      <c r="O409" s="19" t="str">
        <f t="shared" si="1"/>
        <v/>
      </c>
    </row>
    <row r="410">
      <c r="A410" s="3" t="s">
        <v>112</v>
      </c>
      <c r="B410" s="4" t="s">
        <v>18</v>
      </c>
      <c r="C410" s="24" t="s">
        <v>645</v>
      </c>
      <c r="D410" s="22" t="s">
        <v>646</v>
      </c>
      <c r="E410" s="29">
        <v>45899.0</v>
      </c>
      <c r="F410" s="22" t="s">
        <v>27</v>
      </c>
      <c r="G410" s="22" t="s">
        <v>92</v>
      </c>
      <c r="H410" s="28"/>
      <c r="I410" s="6"/>
      <c r="J410" s="6"/>
      <c r="K410" s="6"/>
      <c r="L410" s="6"/>
      <c r="M410" s="26"/>
      <c r="O410" s="19" t="str">
        <f t="shared" si="1"/>
        <v/>
      </c>
    </row>
    <row r="411">
      <c r="A411" s="3" t="s">
        <v>246</v>
      </c>
      <c r="B411" s="4" t="s">
        <v>36</v>
      </c>
      <c r="C411" s="24" t="s">
        <v>300</v>
      </c>
      <c r="D411" s="22"/>
      <c r="E411" s="29">
        <v>45899.0</v>
      </c>
      <c r="F411" s="22" t="s">
        <v>27</v>
      </c>
      <c r="G411" s="22" t="s">
        <v>92</v>
      </c>
      <c r="H411" s="28"/>
      <c r="I411" s="6"/>
      <c r="J411" s="6"/>
      <c r="K411" s="6"/>
      <c r="L411" s="6"/>
      <c r="M411" s="26"/>
      <c r="O411" s="19" t="str">
        <f t="shared" si="1"/>
        <v/>
      </c>
    </row>
    <row r="412">
      <c r="A412" s="3" t="s">
        <v>244</v>
      </c>
      <c r="B412" s="4" t="s">
        <v>18</v>
      </c>
      <c r="C412" s="24" t="s">
        <v>647</v>
      </c>
      <c r="D412" s="22" t="s">
        <v>648</v>
      </c>
      <c r="E412" s="29">
        <v>45899.0</v>
      </c>
      <c r="F412" s="22" t="s">
        <v>27</v>
      </c>
      <c r="G412" s="22" t="s">
        <v>92</v>
      </c>
      <c r="H412" s="28"/>
      <c r="I412" s="6"/>
      <c r="J412" s="6"/>
      <c r="K412" s="6"/>
      <c r="L412" s="6"/>
      <c r="M412" s="26"/>
      <c r="O412" s="19" t="str">
        <f t="shared" si="1"/>
        <v/>
      </c>
    </row>
    <row r="413">
      <c r="A413" s="3" t="s">
        <v>184</v>
      </c>
      <c r="B413" s="4" t="s">
        <v>18</v>
      </c>
      <c r="C413" s="24" t="s">
        <v>649</v>
      </c>
      <c r="D413" s="22" t="s">
        <v>650</v>
      </c>
      <c r="E413" s="29">
        <v>45900.0</v>
      </c>
      <c r="F413" s="22" t="s">
        <v>27</v>
      </c>
      <c r="G413" s="22" t="s">
        <v>92</v>
      </c>
      <c r="H413" s="28"/>
      <c r="I413" s="6"/>
      <c r="J413" s="6"/>
      <c r="K413" s="6"/>
      <c r="L413" s="6"/>
      <c r="M413" s="26"/>
      <c r="O413" s="19" t="str">
        <f t="shared" si="1"/>
        <v/>
      </c>
    </row>
    <row r="414">
      <c r="A414" s="3" t="s">
        <v>112</v>
      </c>
      <c r="B414" s="4" t="s">
        <v>18</v>
      </c>
      <c r="C414" s="24" t="s">
        <v>651</v>
      </c>
      <c r="D414" s="22" t="s">
        <v>652</v>
      </c>
      <c r="E414" s="29">
        <v>45900.0</v>
      </c>
      <c r="F414" s="22" t="s">
        <v>27</v>
      </c>
      <c r="G414" s="22" t="s">
        <v>92</v>
      </c>
      <c r="H414" s="28"/>
      <c r="I414" s="6"/>
      <c r="J414" s="6"/>
      <c r="K414" s="6"/>
      <c r="L414" s="6"/>
      <c r="M414" s="26"/>
      <c r="O414" s="19" t="str">
        <f t="shared" si="1"/>
        <v/>
      </c>
    </row>
    <row r="415">
      <c r="A415" s="3" t="s">
        <v>276</v>
      </c>
      <c r="B415" s="4" t="s">
        <v>18</v>
      </c>
      <c r="C415" s="24" t="s">
        <v>583</v>
      </c>
      <c r="D415" s="22" t="s">
        <v>653</v>
      </c>
      <c r="E415" s="29">
        <v>45900.0</v>
      </c>
      <c r="F415" s="22" t="s">
        <v>27</v>
      </c>
      <c r="G415" s="22" t="s">
        <v>92</v>
      </c>
      <c r="H415" s="28"/>
      <c r="I415" s="6"/>
      <c r="J415" s="6"/>
      <c r="K415" s="6"/>
      <c r="L415" s="6"/>
      <c r="M415" s="26"/>
      <c r="O415" s="19" t="str">
        <f t="shared" si="1"/>
        <v/>
      </c>
    </row>
    <row r="416">
      <c r="A416" s="3" t="s">
        <v>234</v>
      </c>
      <c r="B416" s="4" t="s">
        <v>18</v>
      </c>
      <c r="C416" s="24" t="s">
        <v>654</v>
      </c>
      <c r="D416" s="22" t="s">
        <v>655</v>
      </c>
      <c r="E416" s="29">
        <v>45900.0</v>
      </c>
      <c r="F416" s="22" t="s">
        <v>27</v>
      </c>
      <c r="G416" s="22" t="s">
        <v>92</v>
      </c>
      <c r="H416" s="28"/>
      <c r="I416" s="6"/>
      <c r="J416" s="6"/>
      <c r="K416" s="6"/>
      <c r="L416" s="6"/>
      <c r="M416" s="26"/>
      <c r="O416" s="19" t="str">
        <f t="shared" si="1"/>
        <v/>
      </c>
    </row>
    <row r="417">
      <c r="A417" s="3" t="s">
        <v>125</v>
      </c>
      <c r="B417" s="4" t="s">
        <v>31</v>
      </c>
      <c r="C417" s="24">
        <v>2099.0</v>
      </c>
      <c r="D417" s="22"/>
      <c r="E417" s="29">
        <v>45900.0</v>
      </c>
      <c r="F417" s="22" t="s">
        <v>27</v>
      </c>
      <c r="G417" s="22" t="s">
        <v>92</v>
      </c>
      <c r="H417" s="28"/>
      <c r="I417" s="6"/>
      <c r="J417" s="6"/>
      <c r="K417" s="6"/>
      <c r="L417" s="6"/>
      <c r="M417" s="26"/>
      <c r="O417" s="19" t="str">
        <f t="shared" si="1"/>
        <v/>
      </c>
    </row>
    <row r="418">
      <c r="A418" s="3" t="s">
        <v>570</v>
      </c>
      <c r="B418" s="4" t="s">
        <v>18</v>
      </c>
      <c r="C418" s="24" t="s">
        <v>656</v>
      </c>
      <c r="D418" s="22"/>
      <c r="E418" s="29">
        <v>45900.0</v>
      </c>
      <c r="F418" s="22" t="s">
        <v>27</v>
      </c>
      <c r="G418" s="22" t="s">
        <v>92</v>
      </c>
      <c r="H418" s="28"/>
      <c r="I418" s="6"/>
      <c r="J418" s="6"/>
      <c r="K418" s="6"/>
      <c r="L418" s="6"/>
      <c r="M418" s="26"/>
      <c r="O418" s="19" t="str">
        <f t="shared" si="1"/>
        <v/>
      </c>
    </row>
    <row r="419">
      <c r="A419" s="3" t="s">
        <v>113</v>
      </c>
      <c r="B419" s="4" t="s">
        <v>18</v>
      </c>
      <c r="C419" s="24" t="s">
        <v>657</v>
      </c>
      <c r="D419" s="22"/>
      <c r="E419" s="29">
        <v>45900.0</v>
      </c>
      <c r="F419" s="22" t="s">
        <v>27</v>
      </c>
      <c r="G419" s="22" t="s">
        <v>92</v>
      </c>
      <c r="H419" s="28"/>
      <c r="I419" s="6"/>
      <c r="J419" s="6"/>
      <c r="K419" s="6"/>
      <c r="L419" s="6"/>
      <c r="M419" s="26"/>
      <c r="O419" s="19" t="str">
        <f t="shared" si="1"/>
        <v/>
      </c>
    </row>
    <row r="420">
      <c r="A420" s="3" t="s">
        <v>576</v>
      </c>
      <c r="B420" s="4" t="s">
        <v>31</v>
      </c>
      <c r="C420" s="24" t="s">
        <v>658</v>
      </c>
      <c r="D420" s="22" t="s">
        <v>659</v>
      </c>
      <c r="E420" s="29">
        <v>45900.0</v>
      </c>
      <c r="F420" s="22" t="s">
        <v>27</v>
      </c>
      <c r="G420" s="22" t="s">
        <v>92</v>
      </c>
      <c r="H420" s="28"/>
      <c r="I420" s="6"/>
      <c r="J420" s="6"/>
      <c r="K420" s="6"/>
      <c r="L420" s="6"/>
      <c r="M420" s="26"/>
      <c r="O420" s="19" t="str">
        <f t="shared" si="1"/>
        <v/>
      </c>
    </row>
    <row r="421">
      <c r="A421" s="3" t="s">
        <v>107</v>
      </c>
      <c r="B421" s="4" t="s">
        <v>18</v>
      </c>
      <c r="C421" s="24" t="s">
        <v>660</v>
      </c>
      <c r="D421" s="22"/>
      <c r="E421" s="29">
        <v>45900.0</v>
      </c>
      <c r="F421" s="22" t="s">
        <v>27</v>
      </c>
      <c r="G421" s="22" t="s">
        <v>92</v>
      </c>
      <c r="H421" s="28"/>
      <c r="I421" s="6"/>
      <c r="J421" s="6"/>
      <c r="K421" s="6"/>
      <c r="L421" s="6"/>
      <c r="M421" s="26"/>
      <c r="O421" s="19" t="str">
        <f t="shared" si="1"/>
        <v/>
      </c>
    </row>
    <row r="422">
      <c r="A422" s="3" t="s">
        <v>276</v>
      </c>
      <c r="B422" s="4" t="s">
        <v>18</v>
      </c>
      <c r="C422" s="24" t="s">
        <v>661</v>
      </c>
      <c r="D422" s="22" t="s">
        <v>662</v>
      </c>
      <c r="E422" s="29">
        <v>45900.0</v>
      </c>
      <c r="F422" s="22" t="s">
        <v>27</v>
      </c>
      <c r="G422" s="22" t="s">
        <v>92</v>
      </c>
      <c r="H422" s="28"/>
      <c r="I422" s="6"/>
      <c r="J422" s="6"/>
      <c r="K422" s="6"/>
      <c r="L422" s="6"/>
      <c r="M422" s="26"/>
      <c r="O422" s="19" t="str">
        <f t="shared" si="1"/>
        <v/>
      </c>
    </row>
    <row r="423">
      <c r="A423" s="3" t="s">
        <v>472</v>
      </c>
      <c r="B423" s="4" t="s">
        <v>18</v>
      </c>
      <c r="C423" s="24" t="s">
        <v>400</v>
      </c>
      <c r="D423" s="22" t="s">
        <v>663</v>
      </c>
      <c r="E423" s="29">
        <v>45900.0</v>
      </c>
      <c r="F423" s="22" t="s">
        <v>27</v>
      </c>
      <c r="G423" s="22" t="s">
        <v>92</v>
      </c>
      <c r="H423" s="28"/>
      <c r="I423" s="6"/>
      <c r="J423" s="6"/>
      <c r="K423" s="6"/>
      <c r="L423" s="6"/>
      <c r="M423" s="26"/>
      <c r="O423" s="19" t="str">
        <f t="shared" si="1"/>
        <v/>
      </c>
    </row>
    <row r="424">
      <c r="A424" s="3" t="s">
        <v>318</v>
      </c>
      <c r="B424" s="4" t="s">
        <v>18</v>
      </c>
      <c r="C424" s="24" t="s">
        <v>166</v>
      </c>
      <c r="D424" s="22"/>
      <c r="E424" s="29">
        <v>45900.0</v>
      </c>
      <c r="F424" s="22" t="s">
        <v>27</v>
      </c>
      <c r="G424" s="22" t="s">
        <v>92</v>
      </c>
      <c r="H424" s="28"/>
      <c r="I424" s="6"/>
      <c r="J424" s="6"/>
      <c r="K424" s="6"/>
      <c r="L424" s="6"/>
      <c r="M424" s="26"/>
      <c r="O424" s="19" t="str">
        <f t="shared" si="1"/>
        <v/>
      </c>
    </row>
    <row r="425">
      <c r="A425" s="3" t="s">
        <v>17</v>
      </c>
      <c r="B425" s="4" t="s">
        <v>18</v>
      </c>
      <c r="C425" s="24">
        <v>4214.0</v>
      </c>
      <c r="D425" s="22"/>
      <c r="E425" s="29">
        <v>45900.0</v>
      </c>
      <c r="F425" s="22" t="s">
        <v>93</v>
      </c>
      <c r="G425" s="22" t="s">
        <v>92</v>
      </c>
      <c r="H425" s="28"/>
      <c r="I425" s="6"/>
      <c r="J425" s="6"/>
      <c r="K425" s="6"/>
      <c r="L425" s="6"/>
      <c r="M425" s="26"/>
      <c r="O425" s="19" t="str">
        <f t="shared" si="1"/>
        <v/>
      </c>
    </row>
    <row r="426">
      <c r="A426" s="3" t="s">
        <v>77</v>
      </c>
      <c r="B426" s="4" t="s">
        <v>18</v>
      </c>
      <c r="C426" s="24" t="s">
        <v>664</v>
      </c>
      <c r="D426" s="22" t="s">
        <v>665</v>
      </c>
      <c r="E426" s="29">
        <v>45900.0</v>
      </c>
      <c r="F426" s="22" t="s">
        <v>27</v>
      </c>
      <c r="G426" s="22" t="s">
        <v>92</v>
      </c>
      <c r="H426" s="28"/>
      <c r="I426" s="6"/>
      <c r="J426" s="6"/>
      <c r="K426" s="6"/>
      <c r="L426" s="6"/>
      <c r="M426" s="26"/>
      <c r="O426" s="19" t="str">
        <f t="shared" si="1"/>
        <v/>
      </c>
    </row>
    <row r="427">
      <c r="A427" s="3" t="s">
        <v>274</v>
      </c>
      <c r="B427" s="4" t="s">
        <v>18</v>
      </c>
      <c r="C427" s="24" t="s">
        <v>489</v>
      </c>
      <c r="D427" s="22" t="s">
        <v>666</v>
      </c>
      <c r="E427" s="29">
        <v>45900.0</v>
      </c>
      <c r="F427" s="22" t="s">
        <v>27</v>
      </c>
      <c r="G427" s="22" t="s">
        <v>92</v>
      </c>
      <c r="H427" s="28"/>
      <c r="I427" s="6"/>
      <c r="J427" s="6"/>
      <c r="K427" s="6"/>
      <c r="L427" s="6"/>
      <c r="M427" s="26"/>
      <c r="O427" s="19" t="str">
        <f t="shared" si="1"/>
        <v/>
      </c>
    </row>
    <row r="428">
      <c r="A428" s="3" t="s">
        <v>112</v>
      </c>
      <c r="B428" s="4" t="s">
        <v>18</v>
      </c>
      <c r="C428" s="24" t="s">
        <v>164</v>
      </c>
      <c r="D428" s="22"/>
      <c r="E428" s="29">
        <v>45900.0</v>
      </c>
      <c r="F428" s="22" t="s">
        <v>27</v>
      </c>
      <c r="G428" s="22" t="s">
        <v>92</v>
      </c>
      <c r="H428" s="28"/>
      <c r="I428" s="6"/>
      <c r="J428" s="6"/>
      <c r="K428" s="6"/>
      <c r="L428" s="6"/>
      <c r="M428" s="26"/>
      <c r="O428" s="19" t="str">
        <f t="shared" si="1"/>
        <v/>
      </c>
    </row>
    <row r="429">
      <c r="A429" s="3" t="s">
        <v>435</v>
      </c>
      <c r="B429" s="4" t="s">
        <v>18</v>
      </c>
      <c r="C429" s="24" t="s">
        <v>667</v>
      </c>
      <c r="D429" s="22"/>
      <c r="E429" s="29">
        <v>45901.0</v>
      </c>
      <c r="F429" s="22" t="s">
        <v>93</v>
      </c>
      <c r="G429" s="22" t="s">
        <v>92</v>
      </c>
      <c r="H429" s="28"/>
      <c r="I429" s="6"/>
      <c r="J429" s="6"/>
      <c r="K429" s="6"/>
      <c r="L429" s="6"/>
      <c r="M429" s="26"/>
      <c r="O429" s="19" t="str">
        <f t="shared" si="1"/>
        <v/>
      </c>
    </row>
    <row r="430">
      <c r="A430" s="3" t="s">
        <v>472</v>
      </c>
      <c r="B430" s="4" t="s">
        <v>18</v>
      </c>
      <c r="C430" s="24" t="s">
        <v>668</v>
      </c>
      <c r="D430" s="22"/>
      <c r="E430" s="29">
        <v>45901.0</v>
      </c>
      <c r="F430" s="22" t="s">
        <v>93</v>
      </c>
      <c r="G430" s="22" t="s">
        <v>92</v>
      </c>
      <c r="H430" s="28"/>
      <c r="I430" s="6"/>
      <c r="J430" s="6"/>
      <c r="K430" s="6"/>
      <c r="L430" s="6"/>
      <c r="M430" s="26"/>
      <c r="O430" s="19" t="str">
        <f t="shared" si="1"/>
        <v/>
      </c>
    </row>
    <row r="431">
      <c r="A431" s="3" t="s">
        <v>669</v>
      </c>
      <c r="B431" s="4" t="s">
        <v>31</v>
      </c>
      <c r="D431" s="3" t="s">
        <v>670</v>
      </c>
      <c r="E431" s="29">
        <v>45901.0</v>
      </c>
      <c r="F431" s="22" t="s">
        <v>93</v>
      </c>
      <c r="G431" s="22" t="s">
        <v>92</v>
      </c>
      <c r="H431" s="6"/>
      <c r="I431" s="6"/>
      <c r="J431" s="6"/>
      <c r="K431" s="6"/>
      <c r="L431" s="6"/>
      <c r="M431" s="26"/>
      <c r="O431" s="19" t="str">
        <f t="shared" si="1"/>
        <v/>
      </c>
    </row>
    <row r="432">
      <c r="A432" s="3" t="s">
        <v>198</v>
      </c>
      <c r="B432" s="4" t="s">
        <v>109</v>
      </c>
      <c r="C432" s="3" t="s">
        <v>671</v>
      </c>
      <c r="D432" s="3" t="s">
        <v>672</v>
      </c>
      <c r="E432" s="29">
        <v>45901.0</v>
      </c>
      <c r="F432" s="22" t="s">
        <v>93</v>
      </c>
      <c r="G432" s="22" t="s">
        <v>92</v>
      </c>
      <c r="H432" s="6"/>
      <c r="I432" s="6"/>
      <c r="J432" s="6"/>
      <c r="K432" s="6"/>
      <c r="L432" s="6"/>
      <c r="M432" s="26"/>
      <c r="O432" s="19" t="str">
        <f t="shared" si="1"/>
        <v/>
      </c>
    </row>
    <row r="433">
      <c r="A433" s="3" t="s">
        <v>276</v>
      </c>
      <c r="B433" s="4" t="s">
        <v>18</v>
      </c>
      <c r="C433" s="3" t="s">
        <v>673</v>
      </c>
      <c r="D433" s="3" t="s">
        <v>674</v>
      </c>
      <c r="E433" s="29">
        <v>45901.0</v>
      </c>
      <c r="F433" s="22" t="s">
        <v>27</v>
      </c>
      <c r="G433" s="22" t="s">
        <v>92</v>
      </c>
      <c r="H433" s="6"/>
      <c r="I433" s="6"/>
      <c r="J433" s="6"/>
      <c r="K433" s="6"/>
      <c r="L433" s="6"/>
      <c r="M433" s="26"/>
      <c r="O433" s="19" t="str">
        <f t="shared" si="1"/>
        <v/>
      </c>
    </row>
    <row r="434">
      <c r="A434" s="3" t="s">
        <v>77</v>
      </c>
      <c r="B434" s="4" t="s">
        <v>18</v>
      </c>
      <c r="C434" s="3" t="s">
        <v>675</v>
      </c>
      <c r="D434" s="3" t="s">
        <v>676</v>
      </c>
      <c r="E434" s="29">
        <v>45901.0</v>
      </c>
      <c r="F434" s="22" t="s">
        <v>27</v>
      </c>
      <c r="G434" s="22" t="s">
        <v>92</v>
      </c>
      <c r="H434" s="6"/>
      <c r="I434" s="6"/>
      <c r="J434" s="6"/>
      <c r="K434" s="6"/>
      <c r="L434" s="6"/>
      <c r="M434" s="26"/>
      <c r="O434" s="19" t="str">
        <f t="shared" si="1"/>
        <v/>
      </c>
    </row>
    <row r="435">
      <c r="A435" s="3" t="s">
        <v>77</v>
      </c>
      <c r="B435" s="4" t="s">
        <v>18</v>
      </c>
      <c r="C435" s="3" t="s">
        <v>677</v>
      </c>
      <c r="D435" s="3" t="s">
        <v>678</v>
      </c>
      <c r="E435" s="29">
        <v>45901.0</v>
      </c>
      <c r="F435" s="22" t="s">
        <v>27</v>
      </c>
      <c r="G435" s="22" t="s">
        <v>92</v>
      </c>
      <c r="H435" s="6"/>
      <c r="I435" s="6"/>
      <c r="J435" s="6"/>
      <c r="K435" s="6"/>
      <c r="L435" s="6"/>
      <c r="M435" s="26"/>
      <c r="O435" s="19" t="str">
        <f t="shared" si="1"/>
        <v/>
      </c>
    </row>
    <row r="436">
      <c r="A436" s="3" t="s">
        <v>112</v>
      </c>
      <c r="B436" s="4" t="s">
        <v>18</v>
      </c>
      <c r="C436" s="3" t="s">
        <v>679</v>
      </c>
      <c r="D436" s="3"/>
      <c r="E436" s="29">
        <v>45901.0</v>
      </c>
      <c r="F436" s="22" t="s">
        <v>93</v>
      </c>
      <c r="G436" s="22" t="s">
        <v>92</v>
      </c>
      <c r="H436" s="6"/>
      <c r="I436" s="6"/>
      <c r="J436" s="6"/>
      <c r="K436" s="6"/>
      <c r="L436" s="6"/>
      <c r="M436" s="26"/>
      <c r="O436" s="19" t="str">
        <f t="shared" si="1"/>
        <v/>
      </c>
    </row>
    <row r="437">
      <c r="A437" s="3" t="s">
        <v>69</v>
      </c>
      <c r="B437" s="4" t="s">
        <v>31</v>
      </c>
      <c r="C437" s="3" t="s">
        <v>680</v>
      </c>
      <c r="D437" s="3" t="s">
        <v>681</v>
      </c>
      <c r="E437" s="29">
        <v>45901.0</v>
      </c>
      <c r="F437" s="22" t="s">
        <v>27</v>
      </c>
      <c r="G437" s="22" t="s">
        <v>92</v>
      </c>
      <c r="H437" s="6"/>
      <c r="I437" s="6"/>
      <c r="J437" s="6"/>
      <c r="K437" s="6"/>
      <c r="L437" s="6"/>
      <c r="M437" s="26"/>
      <c r="O437" s="19" t="str">
        <f t="shared" si="1"/>
        <v/>
      </c>
    </row>
    <row r="438">
      <c r="A438" s="3" t="s">
        <v>77</v>
      </c>
      <c r="B438" s="4" t="s">
        <v>18</v>
      </c>
      <c r="C438" s="3" t="s">
        <v>538</v>
      </c>
      <c r="D438" s="3" t="s">
        <v>682</v>
      </c>
      <c r="E438" s="29">
        <v>45901.0</v>
      </c>
      <c r="F438" s="22" t="s">
        <v>27</v>
      </c>
      <c r="G438" s="22" t="s">
        <v>92</v>
      </c>
      <c r="H438" s="6"/>
      <c r="I438" s="6"/>
      <c r="J438" s="6"/>
      <c r="K438" s="6"/>
      <c r="L438" s="6"/>
      <c r="M438" s="26"/>
      <c r="O438" s="19" t="str">
        <f t="shared" si="1"/>
        <v/>
      </c>
    </row>
    <row r="439">
      <c r="A439" s="3" t="s">
        <v>23</v>
      </c>
      <c r="B439" s="4" t="s">
        <v>18</v>
      </c>
      <c r="C439" s="33" t="s">
        <v>683</v>
      </c>
      <c r="D439" s="34" t="s">
        <v>684</v>
      </c>
      <c r="E439" s="29">
        <v>45901.0</v>
      </c>
      <c r="F439" s="3" t="s">
        <v>93</v>
      </c>
      <c r="G439" s="22" t="s">
        <v>92</v>
      </c>
      <c r="H439" s="9" t="s">
        <v>685</v>
      </c>
      <c r="I439" s="9">
        <v>6.1400711304E10</v>
      </c>
      <c r="J439" s="35" t="s">
        <v>686</v>
      </c>
      <c r="K439" s="9">
        <v>0.0</v>
      </c>
      <c r="L439" s="6"/>
      <c r="M439" s="26"/>
      <c r="O439" s="19" t="str">
        <f t="shared" si="1"/>
        <v/>
      </c>
    </row>
    <row r="440">
      <c r="A440" s="3" t="s">
        <v>23</v>
      </c>
      <c r="B440" s="4" t="s">
        <v>18</v>
      </c>
      <c r="C440" s="3" t="s">
        <v>683</v>
      </c>
      <c r="D440" s="34" t="s">
        <v>687</v>
      </c>
      <c r="E440" s="29">
        <v>45901.0</v>
      </c>
      <c r="F440" s="3" t="s">
        <v>93</v>
      </c>
      <c r="G440" s="22" t="s">
        <v>92</v>
      </c>
      <c r="H440" s="9" t="s">
        <v>685</v>
      </c>
      <c r="I440" s="9">
        <v>6.1400711304E10</v>
      </c>
      <c r="J440" s="35" t="s">
        <v>688</v>
      </c>
      <c r="K440" s="9">
        <v>0.0</v>
      </c>
      <c r="L440" s="6"/>
      <c r="M440" s="26"/>
      <c r="O440" s="19" t="str">
        <f t="shared" si="1"/>
        <v/>
      </c>
    </row>
    <row r="441">
      <c r="A441" s="3" t="s">
        <v>77</v>
      </c>
      <c r="B441" s="4" t="s">
        <v>18</v>
      </c>
      <c r="C441" s="3" t="s">
        <v>689</v>
      </c>
      <c r="D441" s="3" t="s">
        <v>690</v>
      </c>
      <c r="E441" s="29">
        <v>45901.0</v>
      </c>
      <c r="F441" s="22" t="s">
        <v>27</v>
      </c>
      <c r="G441" s="22" t="s">
        <v>92</v>
      </c>
      <c r="H441" s="6"/>
      <c r="I441" s="6"/>
      <c r="J441" s="36"/>
      <c r="K441" s="6"/>
      <c r="L441" s="6"/>
      <c r="M441" s="26"/>
      <c r="O441" s="19" t="str">
        <f t="shared" si="1"/>
        <v/>
      </c>
    </row>
    <row r="442">
      <c r="A442" s="3" t="s">
        <v>244</v>
      </c>
      <c r="B442" s="4" t="s">
        <v>18</v>
      </c>
      <c r="C442" s="3" t="s">
        <v>235</v>
      </c>
      <c r="D442" s="3" t="s">
        <v>691</v>
      </c>
      <c r="E442" s="29">
        <v>45901.0</v>
      </c>
      <c r="F442" s="22" t="s">
        <v>27</v>
      </c>
      <c r="G442" s="22" t="s">
        <v>92</v>
      </c>
      <c r="H442" s="6"/>
      <c r="I442" s="6"/>
      <c r="J442" s="6"/>
      <c r="K442" s="6"/>
      <c r="L442" s="6"/>
      <c r="M442" s="26"/>
      <c r="O442" s="19" t="str">
        <f t="shared" si="1"/>
        <v/>
      </c>
    </row>
    <row r="443">
      <c r="A443" s="3" t="s">
        <v>276</v>
      </c>
      <c r="B443" s="4" t="s">
        <v>18</v>
      </c>
      <c r="C443" s="3" t="s">
        <v>692</v>
      </c>
      <c r="D443" s="3" t="s">
        <v>693</v>
      </c>
      <c r="E443" s="29">
        <v>45901.0</v>
      </c>
      <c r="F443" s="22" t="s">
        <v>27</v>
      </c>
      <c r="G443" s="22" t="s">
        <v>92</v>
      </c>
      <c r="H443" s="6"/>
      <c r="I443" s="6"/>
      <c r="J443" s="6"/>
      <c r="K443" s="6"/>
      <c r="L443" s="6"/>
      <c r="M443" s="26"/>
      <c r="O443" s="19" t="str">
        <f t="shared" si="1"/>
        <v/>
      </c>
    </row>
    <row r="444">
      <c r="A444" s="3" t="s">
        <v>107</v>
      </c>
      <c r="B444" s="4" t="s">
        <v>18</v>
      </c>
      <c r="C444" s="3">
        <v>4506.0</v>
      </c>
      <c r="D444" s="3"/>
      <c r="E444" s="29">
        <v>45901.0</v>
      </c>
      <c r="F444" s="22" t="s">
        <v>27</v>
      </c>
      <c r="G444" s="22" t="s">
        <v>92</v>
      </c>
      <c r="H444" s="6"/>
      <c r="I444" s="6"/>
      <c r="J444" s="6"/>
      <c r="K444" s="6"/>
      <c r="L444" s="6"/>
      <c r="M444" s="26"/>
      <c r="O444" s="19" t="str">
        <f t="shared" si="1"/>
        <v/>
      </c>
    </row>
    <row r="445">
      <c r="A445" s="3" t="s">
        <v>246</v>
      </c>
      <c r="B445" s="4" t="s">
        <v>36</v>
      </c>
      <c r="C445" s="3" t="s">
        <v>694</v>
      </c>
      <c r="D445" s="3"/>
      <c r="E445" s="29">
        <v>45901.0</v>
      </c>
      <c r="F445" s="22" t="s">
        <v>93</v>
      </c>
      <c r="G445" s="22" t="s">
        <v>92</v>
      </c>
      <c r="H445" s="6"/>
      <c r="I445" s="6"/>
      <c r="J445" s="6"/>
      <c r="K445" s="6"/>
      <c r="L445" s="6"/>
      <c r="M445" s="26"/>
      <c r="O445" s="19" t="str">
        <f t="shared" si="1"/>
        <v/>
      </c>
    </row>
    <row r="446">
      <c r="A446" s="3" t="s">
        <v>427</v>
      </c>
      <c r="B446" s="4" t="s">
        <v>18</v>
      </c>
      <c r="C446" s="3" t="s">
        <v>695</v>
      </c>
      <c r="D446" s="3" t="s">
        <v>696</v>
      </c>
      <c r="E446" s="29">
        <v>45901.0</v>
      </c>
      <c r="F446" s="22" t="s">
        <v>27</v>
      </c>
      <c r="G446" s="22" t="s">
        <v>92</v>
      </c>
      <c r="H446" s="6"/>
      <c r="I446" s="6"/>
      <c r="J446" s="6"/>
      <c r="K446" s="6"/>
      <c r="L446" s="6"/>
      <c r="M446" s="26"/>
      <c r="O446" s="19" t="str">
        <f t="shared" si="1"/>
        <v/>
      </c>
    </row>
    <row r="447">
      <c r="A447" s="3" t="s">
        <v>265</v>
      </c>
      <c r="B447" s="4" t="s">
        <v>18</v>
      </c>
      <c r="C447" s="3" t="s">
        <v>515</v>
      </c>
      <c r="D447" s="3"/>
      <c r="E447" s="29">
        <v>45901.0</v>
      </c>
      <c r="F447" s="22" t="s">
        <v>93</v>
      </c>
      <c r="G447" s="22" t="s">
        <v>92</v>
      </c>
      <c r="H447" s="6"/>
      <c r="I447" s="6"/>
      <c r="J447" s="6"/>
      <c r="K447" s="6"/>
      <c r="L447" s="6"/>
      <c r="M447" s="26"/>
      <c r="O447" s="19" t="str">
        <f t="shared" si="1"/>
        <v/>
      </c>
    </row>
    <row r="448">
      <c r="A448" s="3" t="s">
        <v>265</v>
      </c>
      <c r="B448" s="4" t="s">
        <v>18</v>
      </c>
      <c r="C448" s="3" t="s">
        <v>697</v>
      </c>
      <c r="D448" s="3" t="s">
        <v>698</v>
      </c>
      <c r="E448" s="29">
        <v>45901.0</v>
      </c>
      <c r="F448" s="22" t="s">
        <v>27</v>
      </c>
      <c r="G448" s="22" t="s">
        <v>92</v>
      </c>
      <c r="H448" s="6"/>
      <c r="I448" s="6"/>
      <c r="J448" s="6"/>
      <c r="K448" s="6"/>
      <c r="L448" s="6"/>
      <c r="M448" s="26"/>
      <c r="O448" s="19" t="str">
        <f t="shared" si="1"/>
        <v/>
      </c>
    </row>
    <row r="449">
      <c r="A449" s="3" t="s">
        <v>232</v>
      </c>
      <c r="B449" s="4" t="s">
        <v>18</v>
      </c>
      <c r="C449" s="3" t="s">
        <v>699</v>
      </c>
      <c r="D449" s="3" t="s">
        <v>700</v>
      </c>
      <c r="E449" s="29">
        <v>45901.0</v>
      </c>
      <c r="F449" s="22" t="s">
        <v>27</v>
      </c>
      <c r="G449" s="22" t="s">
        <v>92</v>
      </c>
      <c r="H449" s="6"/>
      <c r="I449" s="6"/>
      <c r="J449" s="6"/>
      <c r="K449" s="6"/>
      <c r="L449" s="6"/>
      <c r="M449" s="26"/>
      <c r="O449" s="19" t="str">
        <f t="shared" si="1"/>
        <v/>
      </c>
    </row>
    <row r="450">
      <c r="A450" s="3" t="s">
        <v>276</v>
      </c>
      <c r="B450" s="4" t="s">
        <v>18</v>
      </c>
      <c r="C450" s="3" t="s">
        <v>701</v>
      </c>
      <c r="D450" s="3" t="s">
        <v>702</v>
      </c>
      <c r="E450" s="29">
        <v>45901.0</v>
      </c>
      <c r="F450" s="22" t="s">
        <v>27</v>
      </c>
      <c r="G450" s="22" t="s">
        <v>92</v>
      </c>
      <c r="H450" s="6"/>
      <c r="I450" s="6"/>
      <c r="J450" s="6"/>
      <c r="K450" s="6"/>
      <c r="L450" s="6"/>
      <c r="M450" s="26"/>
      <c r="O450" s="19" t="str">
        <f t="shared" si="1"/>
        <v/>
      </c>
    </row>
    <row r="451">
      <c r="A451" s="3" t="s">
        <v>23</v>
      </c>
      <c r="B451" s="4" t="s">
        <v>18</v>
      </c>
      <c r="C451" s="3" t="s">
        <v>703</v>
      </c>
      <c r="D451" s="3"/>
      <c r="E451" s="29">
        <v>45901.0</v>
      </c>
      <c r="F451" s="22" t="s">
        <v>93</v>
      </c>
      <c r="G451" s="22" t="s">
        <v>92</v>
      </c>
      <c r="H451" s="9" t="s">
        <v>704</v>
      </c>
      <c r="I451" s="9">
        <v>6.141113369E10</v>
      </c>
      <c r="J451" s="10" t="s">
        <v>705</v>
      </c>
      <c r="K451" s="9">
        <v>0.0</v>
      </c>
      <c r="L451" s="6"/>
      <c r="M451" s="26"/>
      <c r="O451" s="19" t="str">
        <f t="shared" si="1"/>
        <v/>
      </c>
    </row>
    <row r="452">
      <c r="A452" s="3" t="s">
        <v>318</v>
      </c>
      <c r="B452" s="4" t="s">
        <v>18</v>
      </c>
      <c r="C452" s="3" t="s">
        <v>706</v>
      </c>
      <c r="D452" s="3" t="s">
        <v>707</v>
      </c>
      <c r="E452" s="29">
        <v>45901.0</v>
      </c>
      <c r="F452" s="22" t="s">
        <v>27</v>
      </c>
      <c r="G452" s="22" t="s">
        <v>92</v>
      </c>
      <c r="H452" s="6"/>
      <c r="I452" s="6"/>
      <c r="J452" s="6"/>
      <c r="K452" s="6"/>
      <c r="L452" s="6"/>
      <c r="M452" s="26"/>
      <c r="O452" s="19" t="str">
        <f t="shared" si="1"/>
        <v/>
      </c>
    </row>
    <row r="453">
      <c r="A453" s="3" t="s">
        <v>265</v>
      </c>
      <c r="B453" s="4" t="s">
        <v>18</v>
      </c>
      <c r="C453" s="3" t="s">
        <v>515</v>
      </c>
      <c r="D453" s="3" t="s">
        <v>708</v>
      </c>
      <c r="E453" s="29">
        <v>45901.0</v>
      </c>
      <c r="F453" s="22" t="s">
        <v>27</v>
      </c>
      <c r="G453" s="22" t="s">
        <v>92</v>
      </c>
      <c r="H453" s="6"/>
      <c r="I453" s="6"/>
      <c r="J453" s="6"/>
      <c r="K453" s="6"/>
      <c r="L453" s="6"/>
      <c r="M453" s="26"/>
      <c r="O453" s="19" t="str">
        <f t="shared" si="1"/>
        <v/>
      </c>
    </row>
    <row r="454">
      <c r="A454" s="3" t="s">
        <v>479</v>
      </c>
      <c r="B454" s="4" t="s">
        <v>18</v>
      </c>
      <c r="C454" s="3" t="s">
        <v>571</v>
      </c>
      <c r="D454" s="3"/>
      <c r="E454" s="29">
        <v>45901.0</v>
      </c>
      <c r="F454" s="22" t="s">
        <v>93</v>
      </c>
      <c r="G454" s="22" t="s">
        <v>92</v>
      </c>
      <c r="H454" s="6"/>
      <c r="I454" s="6"/>
      <c r="J454" s="6"/>
      <c r="K454" s="6"/>
      <c r="L454" s="6"/>
      <c r="M454" s="26"/>
      <c r="O454" s="19" t="str">
        <f t="shared" si="1"/>
        <v/>
      </c>
    </row>
    <row r="455">
      <c r="A455" s="3" t="s">
        <v>61</v>
      </c>
      <c r="B455" s="4" t="s">
        <v>18</v>
      </c>
      <c r="C455" s="3" t="s">
        <v>359</v>
      </c>
      <c r="D455" s="3" t="s">
        <v>709</v>
      </c>
      <c r="E455" s="29">
        <v>45901.0</v>
      </c>
      <c r="F455" s="22" t="s">
        <v>27</v>
      </c>
      <c r="G455" s="22" t="s">
        <v>92</v>
      </c>
      <c r="H455" s="6"/>
      <c r="I455" s="6"/>
      <c r="J455" s="6"/>
      <c r="K455" s="6"/>
      <c r="L455" s="6"/>
      <c r="M455" s="26"/>
      <c r="O455" s="19" t="str">
        <f t="shared" si="1"/>
        <v/>
      </c>
    </row>
    <row r="456">
      <c r="A456" s="3" t="s">
        <v>479</v>
      </c>
      <c r="B456" s="4" t="s">
        <v>18</v>
      </c>
      <c r="C456" s="3" t="s">
        <v>710</v>
      </c>
      <c r="D456" s="3" t="s">
        <v>711</v>
      </c>
      <c r="E456" s="29">
        <v>45901.0</v>
      </c>
      <c r="F456" s="22" t="s">
        <v>27</v>
      </c>
      <c r="G456" s="22" t="s">
        <v>92</v>
      </c>
      <c r="H456" s="6"/>
      <c r="I456" s="6"/>
      <c r="J456" s="6"/>
      <c r="K456" s="6"/>
      <c r="L456" s="6"/>
      <c r="M456" s="26"/>
      <c r="O456" s="19" t="str">
        <f t="shared" si="1"/>
        <v/>
      </c>
    </row>
    <row r="457">
      <c r="A457" s="3" t="s">
        <v>570</v>
      </c>
      <c r="B457" s="4" t="s">
        <v>18</v>
      </c>
      <c r="C457" s="3" t="s">
        <v>712</v>
      </c>
      <c r="D457" s="3" t="s">
        <v>713</v>
      </c>
      <c r="E457" s="29">
        <v>45901.0</v>
      </c>
      <c r="F457" s="22" t="s">
        <v>27</v>
      </c>
      <c r="G457" s="22" t="s">
        <v>92</v>
      </c>
      <c r="H457" s="6"/>
      <c r="I457" s="6"/>
      <c r="J457" s="6"/>
      <c r="K457" s="6"/>
      <c r="L457" s="6"/>
      <c r="M457" s="26"/>
      <c r="O457" s="19" t="str">
        <f t="shared" si="1"/>
        <v/>
      </c>
    </row>
    <row r="458">
      <c r="A458" s="3" t="s">
        <v>285</v>
      </c>
      <c r="B458" s="4" t="s">
        <v>36</v>
      </c>
      <c r="C458" s="3" t="s">
        <v>714</v>
      </c>
      <c r="D458" s="3"/>
      <c r="E458" s="29">
        <v>45901.0</v>
      </c>
      <c r="F458" s="22" t="s">
        <v>27</v>
      </c>
      <c r="G458" s="22" t="s">
        <v>92</v>
      </c>
      <c r="H458" s="6"/>
      <c r="I458" s="6"/>
      <c r="J458" s="6"/>
      <c r="K458" s="6"/>
      <c r="L458" s="6"/>
      <c r="M458" s="26"/>
      <c r="O458" s="19" t="str">
        <f t="shared" si="1"/>
        <v/>
      </c>
    </row>
    <row r="459">
      <c r="A459" s="3" t="s">
        <v>77</v>
      </c>
      <c r="B459" s="4" t="s">
        <v>18</v>
      </c>
      <c r="C459" s="3" t="s">
        <v>675</v>
      </c>
      <c r="D459" s="3" t="s">
        <v>715</v>
      </c>
      <c r="E459" s="29">
        <v>45901.0</v>
      </c>
      <c r="F459" s="22" t="s">
        <v>27</v>
      </c>
      <c r="G459" s="22" t="s">
        <v>92</v>
      </c>
      <c r="H459" s="6"/>
      <c r="I459" s="6"/>
      <c r="J459" s="6"/>
      <c r="K459" s="6"/>
      <c r="L459" s="6"/>
      <c r="M459" s="26"/>
      <c r="O459" s="19" t="str">
        <f t="shared" si="1"/>
        <v/>
      </c>
    </row>
    <row r="460">
      <c r="A460" s="23" t="s">
        <v>435</v>
      </c>
      <c r="B460" s="4" t="s">
        <v>18</v>
      </c>
      <c r="C460" s="23" t="s">
        <v>376</v>
      </c>
      <c r="E460" s="29">
        <v>45901.0</v>
      </c>
      <c r="F460" s="22" t="s">
        <v>93</v>
      </c>
      <c r="G460" s="22" t="s">
        <v>92</v>
      </c>
      <c r="H460" s="6"/>
      <c r="I460" s="6"/>
      <c r="J460" s="6"/>
      <c r="K460" s="6"/>
      <c r="L460" s="6"/>
      <c r="M460" s="26"/>
      <c r="O460" s="19" t="str">
        <f t="shared" si="1"/>
        <v/>
      </c>
    </row>
    <row r="461">
      <c r="A461" s="23" t="s">
        <v>435</v>
      </c>
      <c r="B461" s="4" t="s">
        <v>18</v>
      </c>
      <c r="C461" s="23" t="s">
        <v>716</v>
      </c>
      <c r="E461" s="29">
        <v>45901.0</v>
      </c>
      <c r="F461" s="22" t="s">
        <v>93</v>
      </c>
      <c r="G461" s="22" t="s">
        <v>92</v>
      </c>
      <c r="H461" s="6"/>
      <c r="I461" s="6"/>
      <c r="J461" s="6"/>
      <c r="K461" s="6"/>
      <c r="L461" s="6"/>
      <c r="M461" s="26"/>
      <c r="O461" s="19" t="str">
        <f t="shared" si="1"/>
        <v/>
      </c>
    </row>
    <row r="462">
      <c r="A462" s="23" t="s">
        <v>435</v>
      </c>
      <c r="B462" s="4" t="s">
        <v>18</v>
      </c>
      <c r="C462" s="23" t="s">
        <v>667</v>
      </c>
      <c r="E462" s="29">
        <v>45901.0</v>
      </c>
      <c r="F462" s="22" t="s">
        <v>93</v>
      </c>
      <c r="G462" s="22" t="s">
        <v>92</v>
      </c>
      <c r="H462" s="6"/>
      <c r="I462" s="6"/>
      <c r="J462" s="6"/>
      <c r="K462" s="6"/>
      <c r="L462" s="6"/>
      <c r="M462" s="26"/>
      <c r="O462" s="19" t="str">
        <f t="shared" si="1"/>
        <v/>
      </c>
    </row>
    <row r="463">
      <c r="A463" s="22" t="s">
        <v>717</v>
      </c>
      <c r="B463" s="4" t="s">
        <v>36</v>
      </c>
      <c r="C463" s="22" t="s">
        <v>718</v>
      </c>
      <c r="D463" s="3" t="s">
        <v>719</v>
      </c>
      <c r="E463" s="29">
        <v>45902.0</v>
      </c>
      <c r="F463" s="22" t="s">
        <v>27</v>
      </c>
      <c r="G463" s="22" t="s">
        <v>129</v>
      </c>
      <c r="H463" s="6"/>
      <c r="I463" s="6"/>
      <c r="J463" s="6"/>
      <c r="K463" s="6"/>
      <c r="L463" s="6"/>
      <c r="M463" s="26"/>
      <c r="O463" s="19" t="str">
        <f t="shared" si="1"/>
        <v/>
      </c>
    </row>
    <row r="464">
      <c r="A464" s="22" t="s">
        <v>265</v>
      </c>
      <c r="B464" s="4" t="s">
        <v>18</v>
      </c>
      <c r="C464" s="22" t="s">
        <v>720</v>
      </c>
      <c r="D464" s="3" t="s">
        <v>721</v>
      </c>
      <c r="E464" s="29">
        <v>45902.0</v>
      </c>
      <c r="F464" s="22" t="s">
        <v>27</v>
      </c>
      <c r="G464" s="22" t="s">
        <v>129</v>
      </c>
      <c r="H464" s="6"/>
      <c r="I464" s="6"/>
      <c r="J464" s="6"/>
      <c r="K464" s="6"/>
      <c r="L464" s="6"/>
      <c r="M464" s="26"/>
      <c r="O464" s="19" t="str">
        <f t="shared" si="1"/>
        <v/>
      </c>
    </row>
    <row r="465">
      <c r="A465" s="22" t="s">
        <v>479</v>
      </c>
      <c r="B465" s="4" t="s">
        <v>18</v>
      </c>
      <c r="C465" s="22" t="s">
        <v>722</v>
      </c>
      <c r="D465" s="3" t="s">
        <v>723</v>
      </c>
      <c r="E465" s="29">
        <v>45902.0</v>
      </c>
      <c r="F465" s="22" t="s">
        <v>27</v>
      </c>
      <c r="G465" s="22" t="s">
        <v>129</v>
      </c>
      <c r="H465" s="6"/>
      <c r="I465" s="6"/>
      <c r="J465" s="6"/>
      <c r="K465" s="6"/>
      <c r="L465" s="6"/>
      <c r="M465" s="26"/>
      <c r="O465" s="19" t="str">
        <f t="shared" si="1"/>
        <v/>
      </c>
    </row>
    <row r="466">
      <c r="A466" s="22" t="s">
        <v>479</v>
      </c>
      <c r="B466" s="4" t="s">
        <v>18</v>
      </c>
      <c r="C466" s="22" t="s">
        <v>724</v>
      </c>
      <c r="D466" s="3" t="s">
        <v>725</v>
      </c>
      <c r="E466" s="37">
        <v>45697.0</v>
      </c>
      <c r="F466" s="22" t="s">
        <v>27</v>
      </c>
      <c r="G466" s="22" t="s">
        <v>129</v>
      </c>
      <c r="H466" s="6"/>
      <c r="I466" s="6"/>
      <c r="J466" s="6"/>
      <c r="K466" s="6"/>
      <c r="L466" s="6"/>
      <c r="M466" s="7"/>
      <c r="O466" s="19" t="str">
        <f t="shared" si="1"/>
        <v/>
      </c>
    </row>
    <row r="467">
      <c r="A467" s="22" t="s">
        <v>107</v>
      </c>
      <c r="B467" s="4" t="s">
        <v>18</v>
      </c>
      <c r="C467" s="22" t="s">
        <v>448</v>
      </c>
      <c r="D467" s="3" t="s">
        <v>726</v>
      </c>
      <c r="E467" s="29">
        <v>45902.0</v>
      </c>
      <c r="F467" s="22" t="s">
        <v>27</v>
      </c>
      <c r="G467" s="22" t="s">
        <v>92</v>
      </c>
      <c r="H467" s="6"/>
      <c r="I467" s="6"/>
      <c r="J467" s="6"/>
      <c r="K467" s="6"/>
      <c r="L467" s="6"/>
      <c r="M467" s="26"/>
      <c r="O467" s="19" t="str">
        <f t="shared" si="1"/>
        <v/>
      </c>
    </row>
    <row r="468">
      <c r="A468" s="22" t="s">
        <v>265</v>
      </c>
      <c r="B468" s="4" t="s">
        <v>18</v>
      </c>
      <c r="C468" s="22" t="s">
        <v>727</v>
      </c>
      <c r="D468" s="3" t="s">
        <v>728</v>
      </c>
      <c r="E468" s="29">
        <v>45902.0</v>
      </c>
      <c r="F468" s="22" t="s">
        <v>27</v>
      </c>
      <c r="G468" s="22" t="s">
        <v>92</v>
      </c>
      <c r="H468" s="6"/>
      <c r="I468" s="6"/>
      <c r="J468" s="6"/>
      <c r="K468" s="6"/>
      <c r="L468" s="6"/>
      <c r="M468" s="26"/>
      <c r="O468" s="19" t="str">
        <f t="shared" si="1"/>
        <v/>
      </c>
    </row>
    <row r="469">
      <c r="A469" s="22" t="s">
        <v>265</v>
      </c>
      <c r="B469" s="4" t="s">
        <v>18</v>
      </c>
      <c r="C469" s="22" t="s">
        <v>729</v>
      </c>
      <c r="D469" s="3" t="s">
        <v>730</v>
      </c>
      <c r="E469" s="29">
        <v>45902.0</v>
      </c>
      <c r="F469" s="22" t="s">
        <v>27</v>
      </c>
      <c r="G469" s="22" t="s">
        <v>92</v>
      </c>
      <c r="H469" s="6"/>
      <c r="I469" s="6"/>
      <c r="J469" s="6"/>
      <c r="K469" s="6"/>
      <c r="L469" s="6"/>
      <c r="M469" s="26"/>
      <c r="O469" s="19" t="str">
        <f t="shared" si="1"/>
        <v/>
      </c>
    </row>
    <row r="470">
      <c r="A470" s="22" t="s">
        <v>244</v>
      </c>
      <c r="B470" s="4" t="s">
        <v>18</v>
      </c>
      <c r="C470" s="22" t="s">
        <v>731</v>
      </c>
      <c r="D470" s="3" t="s">
        <v>732</v>
      </c>
      <c r="E470" s="29">
        <v>45902.0</v>
      </c>
      <c r="F470" s="22" t="s">
        <v>27</v>
      </c>
      <c r="G470" s="22" t="s">
        <v>92</v>
      </c>
      <c r="H470" s="6"/>
      <c r="I470" s="6"/>
      <c r="J470" s="6"/>
      <c r="K470" s="6"/>
      <c r="L470" s="6"/>
      <c r="M470" s="26"/>
      <c r="O470" s="19" t="str">
        <f t="shared" si="1"/>
        <v/>
      </c>
    </row>
    <row r="471">
      <c r="A471" s="22" t="s">
        <v>23</v>
      </c>
      <c r="B471" s="4" t="s">
        <v>18</v>
      </c>
      <c r="C471" s="22" t="s">
        <v>733</v>
      </c>
      <c r="D471" s="3" t="s">
        <v>734</v>
      </c>
      <c r="E471" s="29">
        <v>45902.0</v>
      </c>
      <c r="F471" s="22" t="s">
        <v>27</v>
      </c>
      <c r="G471" s="22" t="s">
        <v>92</v>
      </c>
      <c r="H471" s="9" t="s">
        <v>735</v>
      </c>
      <c r="I471" s="9">
        <v>6.1412720923E10</v>
      </c>
      <c r="J471" s="10" t="s">
        <v>736</v>
      </c>
      <c r="K471" s="9">
        <v>0.0</v>
      </c>
      <c r="L471" s="6"/>
      <c r="M471" s="26"/>
      <c r="O471" s="19" t="str">
        <f t="shared" si="1"/>
        <v/>
      </c>
    </row>
    <row r="472">
      <c r="A472" s="22" t="s">
        <v>107</v>
      </c>
      <c r="B472" s="4" t="s">
        <v>18</v>
      </c>
      <c r="C472" s="22" t="s">
        <v>737</v>
      </c>
      <c r="D472" s="3" t="s">
        <v>738</v>
      </c>
      <c r="E472" s="29">
        <v>45902.0</v>
      </c>
      <c r="F472" s="22" t="s">
        <v>27</v>
      </c>
      <c r="G472" s="22" t="s">
        <v>92</v>
      </c>
      <c r="H472" s="6"/>
      <c r="I472" s="6"/>
      <c r="J472" s="6"/>
      <c r="K472" s="6"/>
      <c r="L472" s="6"/>
      <c r="M472" s="26"/>
      <c r="O472" s="19" t="str">
        <f t="shared" si="1"/>
        <v/>
      </c>
    </row>
    <row r="473">
      <c r="A473" s="22" t="s">
        <v>44</v>
      </c>
      <c r="B473" s="4" t="s">
        <v>45</v>
      </c>
      <c r="C473" s="22" t="s">
        <v>739</v>
      </c>
      <c r="D473" s="3" t="s">
        <v>740</v>
      </c>
      <c r="E473" s="29">
        <v>45902.0</v>
      </c>
      <c r="F473" s="22" t="s">
        <v>27</v>
      </c>
      <c r="G473" s="22" t="s">
        <v>92</v>
      </c>
      <c r="H473" s="6"/>
      <c r="I473" s="6"/>
      <c r="J473" s="6"/>
      <c r="K473" s="6"/>
      <c r="L473" s="6"/>
      <c r="M473" s="26"/>
      <c r="O473" s="19" t="str">
        <f t="shared" si="1"/>
        <v/>
      </c>
    </row>
    <row r="474">
      <c r="A474" s="22" t="s">
        <v>244</v>
      </c>
      <c r="B474" s="4" t="s">
        <v>18</v>
      </c>
      <c r="C474" s="22" t="s">
        <v>731</v>
      </c>
      <c r="D474" s="3" t="s">
        <v>741</v>
      </c>
      <c r="E474" s="29">
        <v>45902.0</v>
      </c>
      <c r="F474" s="22" t="s">
        <v>27</v>
      </c>
      <c r="G474" s="22" t="s">
        <v>129</v>
      </c>
      <c r="H474" s="6"/>
      <c r="I474" s="6"/>
      <c r="J474" s="6"/>
      <c r="K474" s="6"/>
      <c r="L474" s="6"/>
      <c r="M474" s="26"/>
      <c r="O474" s="19" t="str">
        <f t="shared" si="1"/>
        <v/>
      </c>
    </row>
    <row r="475">
      <c r="A475" s="22" t="s">
        <v>234</v>
      </c>
      <c r="B475" s="4" t="s">
        <v>18</v>
      </c>
      <c r="C475" s="22" t="s">
        <v>742</v>
      </c>
      <c r="D475" s="3" t="s">
        <v>743</v>
      </c>
      <c r="E475" s="29">
        <v>45903.0</v>
      </c>
      <c r="F475" s="22" t="s">
        <v>27</v>
      </c>
      <c r="G475" s="22" t="s">
        <v>129</v>
      </c>
      <c r="H475" s="6"/>
      <c r="I475" s="6"/>
      <c r="J475" s="6"/>
      <c r="K475" s="6"/>
      <c r="L475" s="6"/>
      <c r="M475" s="26"/>
      <c r="O475" s="19" t="str">
        <f t="shared" si="1"/>
        <v/>
      </c>
    </row>
    <row r="476">
      <c r="A476" s="22" t="s">
        <v>744</v>
      </c>
      <c r="B476" s="4" t="s">
        <v>18</v>
      </c>
      <c r="C476" s="3" t="s">
        <v>745</v>
      </c>
      <c r="D476" s="3" t="s">
        <v>746</v>
      </c>
      <c r="E476" s="29">
        <v>45903.0</v>
      </c>
      <c r="F476" s="22" t="s">
        <v>27</v>
      </c>
      <c r="G476" s="22" t="s">
        <v>92</v>
      </c>
      <c r="H476" s="6"/>
      <c r="I476" s="6"/>
      <c r="J476" s="6"/>
      <c r="K476" s="6"/>
      <c r="L476" s="6"/>
      <c r="M476" s="26"/>
      <c r="O476" s="19" t="str">
        <f t="shared" si="1"/>
        <v/>
      </c>
    </row>
    <row r="477">
      <c r="A477" s="22" t="s">
        <v>77</v>
      </c>
      <c r="B477" s="4" t="s">
        <v>18</v>
      </c>
      <c r="C477" s="3" t="s">
        <v>747</v>
      </c>
      <c r="D477" s="3" t="s">
        <v>748</v>
      </c>
      <c r="E477" s="29">
        <v>45903.0</v>
      </c>
      <c r="F477" s="22" t="s">
        <v>27</v>
      </c>
      <c r="G477" s="22" t="s">
        <v>92</v>
      </c>
      <c r="H477" s="6"/>
      <c r="I477" s="6"/>
      <c r="J477" s="6"/>
      <c r="K477" s="6"/>
      <c r="L477" s="6"/>
      <c r="M477" s="26"/>
      <c r="O477" s="19" t="str">
        <f t="shared" si="1"/>
        <v/>
      </c>
    </row>
    <row r="478">
      <c r="A478" s="22" t="s">
        <v>570</v>
      </c>
      <c r="B478" s="4" t="s">
        <v>18</v>
      </c>
      <c r="C478" s="3" t="s">
        <v>749</v>
      </c>
      <c r="D478" s="3" t="s">
        <v>750</v>
      </c>
      <c r="E478" s="29">
        <v>45903.0</v>
      </c>
      <c r="F478" s="22" t="s">
        <v>27</v>
      </c>
      <c r="G478" s="22" t="s">
        <v>92</v>
      </c>
      <c r="H478" s="6"/>
      <c r="I478" s="6"/>
      <c r="J478" s="6"/>
      <c r="K478" s="6"/>
      <c r="L478" s="6"/>
      <c r="M478" s="26"/>
    </row>
    <row r="479">
      <c r="A479" s="22" t="s">
        <v>227</v>
      </c>
      <c r="B479" s="4" t="s">
        <v>18</v>
      </c>
      <c r="C479" s="3" t="s">
        <v>378</v>
      </c>
      <c r="D479" s="3" t="s">
        <v>751</v>
      </c>
      <c r="E479" s="29">
        <v>45903.0</v>
      </c>
      <c r="F479" s="22" t="s">
        <v>27</v>
      </c>
      <c r="G479" s="22" t="s">
        <v>92</v>
      </c>
      <c r="H479" s="6"/>
      <c r="I479" s="6"/>
      <c r="J479" s="6"/>
      <c r="K479" s="6"/>
      <c r="L479" s="6"/>
      <c r="M479" s="26"/>
      <c r="O479" s="19" t="str">
        <f t="shared" ref="O479:O2050" si="2">IF(LEFT(B479,1)="2","NSW",IF(LEFT(B479,1)="3","VIC",IF(LEFT(B479,1)="4","QLD",IF(LEFT(B479,1)="5","SA",IF(LEFT(B479,1)="6","WA","")))))</f>
        <v/>
      </c>
    </row>
    <row r="480">
      <c r="A480" s="22" t="s">
        <v>112</v>
      </c>
      <c r="B480" s="4" t="s">
        <v>18</v>
      </c>
      <c r="C480" s="3" t="s">
        <v>651</v>
      </c>
      <c r="D480" s="3" t="s">
        <v>752</v>
      </c>
      <c r="E480" s="29">
        <v>45903.0</v>
      </c>
      <c r="F480" s="22" t="s">
        <v>27</v>
      </c>
      <c r="G480" s="22" t="s">
        <v>92</v>
      </c>
      <c r="H480" s="6"/>
      <c r="I480" s="6"/>
      <c r="J480" s="6"/>
      <c r="K480" s="6"/>
      <c r="L480" s="6"/>
      <c r="M480" s="26"/>
      <c r="O480" s="19" t="str">
        <f t="shared" si="2"/>
        <v/>
      </c>
    </row>
    <row r="481">
      <c r="A481" s="22" t="s">
        <v>113</v>
      </c>
      <c r="B481" s="4" t="s">
        <v>18</v>
      </c>
      <c r="C481" s="3" t="s">
        <v>753</v>
      </c>
      <c r="D481" s="3" t="s">
        <v>754</v>
      </c>
      <c r="E481" s="29">
        <v>45903.0</v>
      </c>
      <c r="F481" s="22" t="s">
        <v>27</v>
      </c>
      <c r="G481" s="22" t="s">
        <v>92</v>
      </c>
      <c r="H481" s="6"/>
      <c r="I481" s="6"/>
      <c r="J481" s="6"/>
      <c r="K481" s="6"/>
      <c r="L481" s="6"/>
      <c r="M481" s="26"/>
      <c r="O481" s="19" t="str">
        <f t="shared" si="2"/>
        <v/>
      </c>
    </row>
    <row r="482">
      <c r="A482" s="22" t="s">
        <v>435</v>
      </c>
      <c r="B482" s="4" t="s">
        <v>18</v>
      </c>
      <c r="C482" s="3" t="s">
        <v>755</v>
      </c>
      <c r="D482" s="3" t="s">
        <v>756</v>
      </c>
      <c r="E482" s="29">
        <v>45903.0</v>
      </c>
      <c r="F482" s="22" t="s">
        <v>27</v>
      </c>
      <c r="G482" s="22" t="s">
        <v>92</v>
      </c>
      <c r="H482" s="6"/>
      <c r="I482" s="6"/>
      <c r="J482" s="6"/>
      <c r="K482" s="6"/>
      <c r="L482" s="6"/>
      <c r="M482" s="26"/>
      <c r="O482" s="19" t="str">
        <f t="shared" si="2"/>
        <v/>
      </c>
    </row>
    <row r="483">
      <c r="A483" s="22" t="s">
        <v>276</v>
      </c>
      <c r="B483" s="4" t="s">
        <v>18</v>
      </c>
      <c r="C483" s="3" t="s">
        <v>171</v>
      </c>
      <c r="D483" s="3" t="s">
        <v>757</v>
      </c>
      <c r="E483" s="29">
        <v>45903.0</v>
      </c>
      <c r="F483" s="22" t="s">
        <v>27</v>
      </c>
      <c r="G483" s="22" t="s">
        <v>92</v>
      </c>
      <c r="H483" s="6"/>
      <c r="I483" s="6"/>
      <c r="J483" s="6"/>
      <c r="K483" s="6"/>
      <c r="L483" s="6"/>
      <c r="M483" s="26"/>
      <c r="O483" s="19" t="str">
        <f t="shared" si="2"/>
        <v/>
      </c>
    </row>
    <row r="484">
      <c r="A484" s="22" t="s">
        <v>155</v>
      </c>
      <c r="B484" s="4" t="s">
        <v>18</v>
      </c>
      <c r="C484" s="3" t="s">
        <v>758</v>
      </c>
      <c r="D484" s="3" t="s">
        <v>759</v>
      </c>
      <c r="E484" s="29">
        <v>45903.0</v>
      </c>
      <c r="F484" s="22" t="s">
        <v>27</v>
      </c>
      <c r="G484" s="22" t="s">
        <v>92</v>
      </c>
      <c r="H484" s="6"/>
      <c r="I484" s="6"/>
      <c r="J484" s="6"/>
      <c r="K484" s="6"/>
      <c r="L484" s="6"/>
      <c r="M484" s="26"/>
      <c r="O484" s="19" t="str">
        <f t="shared" si="2"/>
        <v/>
      </c>
    </row>
    <row r="485">
      <c r="A485" s="22" t="s">
        <v>274</v>
      </c>
      <c r="B485" s="4" t="s">
        <v>18</v>
      </c>
      <c r="C485" s="3" t="s">
        <v>760</v>
      </c>
      <c r="D485" s="3" t="s">
        <v>761</v>
      </c>
      <c r="E485" s="29">
        <v>45903.0</v>
      </c>
      <c r="F485" s="22" t="s">
        <v>27</v>
      </c>
      <c r="G485" s="22" t="s">
        <v>92</v>
      </c>
      <c r="H485" s="6"/>
      <c r="I485" s="6"/>
      <c r="J485" s="6"/>
      <c r="K485" s="6"/>
      <c r="L485" s="6"/>
      <c r="M485" s="26"/>
      <c r="O485" s="19" t="str">
        <f t="shared" si="2"/>
        <v/>
      </c>
    </row>
    <row r="486">
      <c r="A486" s="22" t="s">
        <v>112</v>
      </c>
      <c r="B486" s="4" t="s">
        <v>18</v>
      </c>
      <c r="C486" s="3" t="s">
        <v>581</v>
      </c>
      <c r="D486" s="3" t="s">
        <v>762</v>
      </c>
      <c r="E486" s="29">
        <v>45903.0</v>
      </c>
      <c r="F486" s="22" t="s">
        <v>27</v>
      </c>
      <c r="G486" s="22" t="s">
        <v>92</v>
      </c>
      <c r="H486" s="6"/>
      <c r="I486" s="6"/>
      <c r="J486" s="6"/>
      <c r="K486" s="6"/>
      <c r="L486" s="6"/>
      <c r="M486" s="26"/>
      <c r="O486" s="19" t="str">
        <f t="shared" si="2"/>
        <v/>
      </c>
    </row>
    <row r="487">
      <c r="A487" s="22" t="s">
        <v>472</v>
      </c>
      <c r="B487" s="4" t="s">
        <v>18</v>
      </c>
      <c r="C487" s="3" t="s">
        <v>763</v>
      </c>
      <c r="D487" s="3" t="s">
        <v>764</v>
      </c>
      <c r="E487" s="29">
        <v>45903.0</v>
      </c>
      <c r="F487" s="22" t="s">
        <v>27</v>
      </c>
      <c r="G487" s="22" t="s">
        <v>92</v>
      </c>
      <c r="H487" s="6"/>
      <c r="I487" s="6"/>
      <c r="J487" s="6"/>
      <c r="K487" s="6"/>
      <c r="L487" s="6"/>
      <c r="M487" s="26"/>
      <c r="O487" s="19" t="str">
        <f t="shared" si="2"/>
        <v/>
      </c>
    </row>
    <row r="488">
      <c r="A488" s="22" t="s">
        <v>107</v>
      </c>
      <c r="B488" s="4" t="s">
        <v>18</v>
      </c>
      <c r="C488" s="3" t="s">
        <v>312</v>
      </c>
      <c r="D488" s="3" t="s">
        <v>765</v>
      </c>
      <c r="E488" s="29">
        <v>45903.0</v>
      </c>
      <c r="F488" s="22" t="s">
        <v>27</v>
      </c>
      <c r="G488" s="22" t="s">
        <v>92</v>
      </c>
      <c r="H488" s="6"/>
      <c r="I488" s="6"/>
      <c r="J488" s="6"/>
      <c r="K488" s="6"/>
      <c r="L488" s="6"/>
      <c r="M488" s="26"/>
      <c r="O488" s="19" t="str">
        <f t="shared" si="2"/>
        <v/>
      </c>
    </row>
    <row r="489">
      <c r="A489" s="22" t="s">
        <v>570</v>
      </c>
      <c r="B489" s="4" t="s">
        <v>18</v>
      </c>
      <c r="C489" s="3" t="s">
        <v>766</v>
      </c>
      <c r="D489" s="3"/>
      <c r="E489" s="29">
        <v>45903.0</v>
      </c>
      <c r="F489" s="22" t="s">
        <v>27</v>
      </c>
      <c r="G489" s="22" t="s">
        <v>92</v>
      </c>
      <c r="H489" s="6"/>
      <c r="I489" s="6"/>
      <c r="J489" s="6"/>
      <c r="K489" s="6"/>
      <c r="L489" s="6"/>
      <c r="M489" s="26"/>
      <c r="O489" s="19" t="str">
        <f t="shared" si="2"/>
        <v/>
      </c>
    </row>
    <row r="490">
      <c r="A490" s="22" t="s">
        <v>274</v>
      </c>
      <c r="B490" s="4" t="s">
        <v>18</v>
      </c>
      <c r="C490" s="3" t="s">
        <v>584</v>
      </c>
      <c r="D490" s="3" t="s">
        <v>767</v>
      </c>
      <c r="E490" s="29">
        <v>45903.0</v>
      </c>
      <c r="F490" s="22" t="s">
        <v>27</v>
      </c>
      <c r="G490" s="22" t="s">
        <v>92</v>
      </c>
      <c r="H490" s="6"/>
      <c r="I490" s="6"/>
      <c r="J490" s="6"/>
      <c r="K490" s="6"/>
      <c r="L490" s="6"/>
      <c r="M490" s="26"/>
      <c r="O490" s="19" t="str">
        <f t="shared" si="2"/>
        <v/>
      </c>
    </row>
    <row r="491">
      <c r="A491" s="22" t="s">
        <v>155</v>
      </c>
      <c r="B491" s="4" t="s">
        <v>18</v>
      </c>
      <c r="C491" s="3" t="s">
        <v>414</v>
      </c>
      <c r="D491" s="3"/>
      <c r="E491" s="29">
        <v>45903.0</v>
      </c>
      <c r="F491" s="22" t="s">
        <v>27</v>
      </c>
      <c r="G491" s="22" t="s">
        <v>92</v>
      </c>
      <c r="H491" s="6"/>
      <c r="I491" s="6"/>
      <c r="J491" s="6"/>
      <c r="K491" s="6"/>
      <c r="L491" s="6"/>
      <c r="M491" s="26"/>
      <c r="O491" s="19" t="str">
        <f t="shared" si="2"/>
        <v/>
      </c>
    </row>
    <row r="492">
      <c r="A492" s="22" t="s">
        <v>285</v>
      </c>
      <c r="B492" s="4" t="s">
        <v>36</v>
      </c>
      <c r="C492" s="3" t="s">
        <v>433</v>
      </c>
      <c r="D492" s="3" t="s">
        <v>768</v>
      </c>
      <c r="E492" s="37">
        <v>45725.0</v>
      </c>
      <c r="F492" s="22" t="s">
        <v>27</v>
      </c>
      <c r="G492" s="22"/>
      <c r="H492" s="6"/>
      <c r="I492" s="6"/>
      <c r="J492" s="6"/>
      <c r="K492" s="6"/>
      <c r="L492" s="6"/>
      <c r="M492" s="7"/>
      <c r="O492" s="19" t="str">
        <f t="shared" si="2"/>
        <v/>
      </c>
    </row>
    <row r="493">
      <c r="A493" s="22" t="s">
        <v>155</v>
      </c>
      <c r="B493" s="4" t="s">
        <v>18</v>
      </c>
      <c r="C493" s="3" t="s">
        <v>414</v>
      </c>
      <c r="D493" s="3" t="s">
        <v>769</v>
      </c>
      <c r="E493" s="29">
        <v>45904.0</v>
      </c>
      <c r="F493" s="22" t="s">
        <v>27</v>
      </c>
      <c r="G493" s="22" t="s">
        <v>92</v>
      </c>
      <c r="H493" s="6"/>
      <c r="I493" s="6"/>
      <c r="J493" s="6"/>
      <c r="K493" s="6"/>
      <c r="L493" s="6"/>
      <c r="M493" s="26"/>
      <c r="O493" s="19" t="str">
        <f t="shared" si="2"/>
        <v/>
      </c>
    </row>
    <row r="494">
      <c r="A494" s="22" t="s">
        <v>210</v>
      </c>
      <c r="B494" s="4" t="s">
        <v>31</v>
      </c>
      <c r="C494" s="3" t="s">
        <v>770</v>
      </c>
      <c r="D494" s="3" t="s">
        <v>771</v>
      </c>
      <c r="E494" s="29">
        <v>45904.0</v>
      </c>
      <c r="F494" s="22" t="s">
        <v>27</v>
      </c>
      <c r="G494" s="22" t="s">
        <v>92</v>
      </c>
      <c r="H494" s="6"/>
      <c r="I494" s="6"/>
      <c r="J494" s="6"/>
      <c r="K494" s="6"/>
      <c r="L494" s="6"/>
      <c r="M494" s="26"/>
      <c r="O494" s="19" t="str">
        <f t="shared" si="2"/>
        <v/>
      </c>
    </row>
    <row r="495">
      <c r="A495" s="22" t="s">
        <v>113</v>
      </c>
      <c r="B495" s="4" t="s">
        <v>18</v>
      </c>
      <c r="C495" s="3" t="s">
        <v>772</v>
      </c>
      <c r="D495" s="3" t="s">
        <v>773</v>
      </c>
      <c r="E495" s="29">
        <v>45904.0</v>
      </c>
      <c r="F495" s="22" t="s">
        <v>27</v>
      </c>
      <c r="G495" s="22" t="s">
        <v>92</v>
      </c>
      <c r="H495" s="6"/>
      <c r="I495" s="6"/>
      <c r="J495" s="6"/>
      <c r="K495" s="6"/>
      <c r="L495" s="6"/>
      <c r="M495" s="26"/>
      <c r="O495" s="19" t="str">
        <f t="shared" si="2"/>
        <v/>
      </c>
    </row>
    <row r="496">
      <c r="A496" s="22" t="s">
        <v>116</v>
      </c>
      <c r="B496" s="4" t="s">
        <v>31</v>
      </c>
      <c r="C496" s="3" t="s">
        <v>774</v>
      </c>
      <c r="D496" s="3" t="s">
        <v>775</v>
      </c>
      <c r="E496" s="29">
        <v>45904.0</v>
      </c>
      <c r="F496" s="22" t="s">
        <v>27</v>
      </c>
      <c r="G496" s="22" t="s">
        <v>92</v>
      </c>
      <c r="H496" s="6"/>
      <c r="I496" s="6"/>
      <c r="J496" s="6"/>
      <c r="K496" s="6"/>
      <c r="L496" s="6"/>
      <c r="M496" s="26"/>
      <c r="O496" s="19" t="str">
        <f t="shared" si="2"/>
        <v/>
      </c>
    </row>
    <row r="497">
      <c r="A497" s="22" t="s">
        <v>669</v>
      </c>
      <c r="B497" s="4" t="s">
        <v>31</v>
      </c>
      <c r="C497" s="3" t="s">
        <v>776</v>
      </c>
      <c r="D497" s="3" t="s">
        <v>777</v>
      </c>
      <c r="E497" s="29">
        <v>45904.0</v>
      </c>
      <c r="F497" s="22" t="s">
        <v>27</v>
      </c>
      <c r="G497" s="22" t="s">
        <v>92</v>
      </c>
      <c r="H497" s="6"/>
      <c r="I497" s="6"/>
      <c r="J497" s="6"/>
      <c r="K497" s="6"/>
      <c r="L497" s="6"/>
      <c r="M497" s="26"/>
      <c r="O497" s="19" t="str">
        <f t="shared" si="2"/>
        <v/>
      </c>
    </row>
    <row r="498">
      <c r="A498" s="22" t="s">
        <v>246</v>
      </c>
      <c r="B498" s="4" t="s">
        <v>36</v>
      </c>
      <c r="C498" s="3" t="s">
        <v>778</v>
      </c>
      <c r="D498" s="3" t="s">
        <v>779</v>
      </c>
      <c r="E498" s="29">
        <v>45904.0</v>
      </c>
      <c r="F498" s="22" t="s">
        <v>27</v>
      </c>
      <c r="G498" s="22" t="s">
        <v>92</v>
      </c>
      <c r="H498" s="6"/>
      <c r="I498" s="6"/>
      <c r="J498" s="6"/>
      <c r="K498" s="6"/>
      <c r="L498" s="6"/>
      <c r="M498" s="26"/>
      <c r="O498" s="19" t="str">
        <f t="shared" si="2"/>
        <v/>
      </c>
    </row>
    <row r="499">
      <c r="A499" s="22" t="s">
        <v>479</v>
      </c>
      <c r="B499" s="4" t="s">
        <v>18</v>
      </c>
      <c r="C499" s="3" t="s">
        <v>724</v>
      </c>
      <c r="D499" s="3" t="s">
        <v>780</v>
      </c>
      <c r="E499" s="29">
        <v>45904.0</v>
      </c>
      <c r="F499" s="22" t="s">
        <v>27</v>
      </c>
      <c r="G499" s="22" t="s">
        <v>92</v>
      </c>
      <c r="H499" s="6"/>
      <c r="I499" s="6"/>
      <c r="J499" s="6"/>
      <c r="K499" s="6"/>
      <c r="L499" s="6"/>
      <c r="M499" s="26"/>
      <c r="O499" s="19" t="str">
        <f t="shared" si="2"/>
        <v/>
      </c>
    </row>
    <row r="500">
      <c r="A500" s="22" t="s">
        <v>291</v>
      </c>
      <c r="B500" s="4" t="s">
        <v>31</v>
      </c>
      <c r="C500" s="3" t="s">
        <v>781</v>
      </c>
      <c r="D500" s="3" t="s">
        <v>782</v>
      </c>
      <c r="E500" s="29">
        <v>45904.0</v>
      </c>
      <c r="F500" s="22" t="s">
        <v>27</v>
      </c>
      <c r="G500" s="22" t="s">
        <v>92</v>
      </c>
      <c r="H500" s="6"/>
      <c r="I500" s="6"/>
      <c r="J500" s="6"/>
      <c r="K500" s="6"/>
      <c r="L500" s="6"/>
      <c r="M500" s="26"/>
      <c r="O500" s="19" t="str">
        <f t="shared" si="2"/>
        <v/>
      </c>
    </row>
    <row r="501">
      <c r="A501" s="22" t="s">
        <v>44</v>
      </c>
      <c r="B501" s="4" t="s">
        <v>45</v>
      </c>
      <c r="C501" s="3" t="s">
        <v>783</v>
      </c>
      <c r="D501" s="3" t="s">
        <v>784</v>
      </c>
      <c r="E501" s="29">
        <v>45904.0</v>
      </c>
      <c r="F501" s="22" t="s">
        <v>27</v>
      </c>
      <c r="G501" s="22" t="s">
        <v>92</v>
      </c>
      <c r="H501" s="6"/>
      <c r="I501" s="6"/>
      <c r="J501" s="6"/>
      <c r="K501" s="6"/>
      <c r="L501" s="6"/>
      <c r="M501" s="26"/>
      <c r="O501" s="19" t="str">
        <f t="shared" si="2"/>
        <v/>
      </c>
    </row>
    <row r="502">
      <c r="A502" s="22" t="s">
        <v>198</v>
      </c>
      <c r="B502" s="4" t="s">
        <v>109</v>
      </c>
      <c r="C502" s="3" t="s">
        <v>785</v>
      </c>
      <c r="D502" s="3" t="s">
        <v>786</v>
      </c>
      <c r="E502" s="29">
        <v>45904.0</v>
      </c>
      <c r="F502" s="22" t="s">
        <v>27</v>
      </c>
      <c r="G502" s="22" t="s">
        <v>92</v>
      </c>
      <c r="H502" s="6"/>
      <c r="I502" s="6"/>
      <c r="J502" s="6"/>
      <c r="K502" s="6"/>
      <c r="L502" s="6"/>
      <c r="M502" s="26"/>
      <c r="O502" s="19" t="str">
        <f t="shared" si="2"/>
        <v/>
      </c>
    </row>
    <row r="503">
      <c r="A503" s="22" t="s">
        <v>744</v>
      </c>
      <c r="B503" s="4" t="s">
        <v>18</v>
      </c>
      <c r="C503" s="3" t="s">
        <v>787</v>
      </c>
      <c r="D503" s="3" t="s">
        <v>788</v>
      </c>
      <c r="E503" s="29">
        <v>45904.0</v>
      </c>
      <c r="F503" s="22" t="s">
        <v>27</v>
      </c>
      <c r="G503" s="22" t="s">
        <v>92</v>
      </c>
      <c r="H503" s="6"/>
      <c r="I503" s="6"/>
      <c r="J503" s="6"/>
      <c r="K503" s="6"/>
      <c r="L503" s="6"/>
      <c r="M503" s="26"/>
      <c r="O503" s="19" t="str">
        <f t="shared" si="2"/>
        <v/>
      </c>
    </row>
    <row r="504">
      <c r="A504" s="22" t="s">
        <v>57</v>
      </c>
      <c r="B504" s="4" t="s">
        <v>18</v>
      </c>
      <c r="C504" s="3" t="s">
        <v>789</v>
      </c>
      <c r="D504" s="3" t="s">
        <v>790</v>
      </c>
      <c r="E504" s="29">
        <v>45904.0</v>
      </c>
      <c r="F504" s="22" t="s">
        <v>27</v>
      </c>
      <c r="G504" s="22" t="s">
        <v>92</v>
      </c>
      <c r="H504" s="6"/>
      <c r="I504" s="6"/>
      <c r="J504" s="6"/>
      <c r="K504" s="6"/>
      <c r="L504" s="6"/>
      <c r="M504" s="26"/>
      <c r="O504" s="19" t="str">
        <f t="shared" si="2"/>
        <v/>
      </c>
    </row>
    <row r="505">
      <c r="A505" s="22" t="s">
        <v>107</v>
      </c>
      <c r="B505" s="4" t="s">
        <v>18</v>
      </c>
      <c r="C505" s="3" t="s">
        <v>791</v>
      </c>
      <c r="D505" s="3" t="s">
        <v>792</v>
      </c>
      <c r="E505" s="29">
        <v>45904.0</v>
      </c>
      <c r="F505" s="22" t="s">
        <v>27</v>
      </c>
      <c r="G505" s="22" t="s">
        <v>92</v>
      </c>
      <c r="H505" s="6"/>
      <c r="I505" s="6"/>
      <c r="J505" s="6"/>
      <c r="K505" s="6"/>
      <c r="L505" s="6"/>
      <c r="M505" s="26"/>
      <c r="O505" s="19" t="str">
        <f t="shared" si="2"/>
        <v/>
      </c>
    </row>
    <row r="506">
      <c r="A506" s="22" t="s">
        <v>246</v>
      </c>
      <c r="B506" s="4" t="s">
        <v>36</v>
      </c>
      <c r="C506" s="3" t="s">
        <v>793</v>
      </c>
      <c r="D506" s="3" t="s">
        <v>794</v>
      </c>
      <c r="E506" s="29">
        <v>45904.0</v>
      </c>
      <c r="F506" s="22" t="s">
        <v>27</v>
      </c>
      <c r="G506" s="22" t="s">
        <v>92</v>
      </c>
      <c r="H506" s="6"/>
      <c r="I506" s="6"/>
      <c r="J506" s="6"/>
      <c r="K506" s="6"/>
      <c r="L506" s="6"/>
      <c r="M506" s="26"/>
      <c r="O506" s="19" t="str">
        <f t="shared" si="2"/>
        <v/>
      </c>
    </row>
    <row r="507">
      <c r="A507" s="22" t="s">
        <v>795</v>
      </c>
      <c r="B507" s="4" t="s">
        <v>109</v>
      </c>
      <c r="C507" s="3" t="s">
        <v>199</v>
      </c>
      <c r="D507" s="3" t="s">
        <v>796</v>
      </c>
      <c r="E507" s="29">
        <v>45904.0</v>
      </c>
      <c r="F507" s="22" t="s">
        <v>27</v>
      </c>
      <c r="G507" s="22" t="s">
        <v>92</v>
      </c>
      <c r="H507" s="6"/>
      <c r="I507" s="6"/>
      <c r="J507" s="6"/>
      <c r="K507" s="6"/>
      <c r="L507" s="6"/>
      <c r="M507" s="26"/>
      <c r="O507" s="19" t="str">
        <f t="shared" si="2"/>
        <v/>
      </c>
    </row>
    <row r="508">
      <c r="A508" s="22" t="s">
        <v>108</v>
      </c>
      <c r="B508" s="4" t="s">
        <v>109</v>
      </c>
      <c r="C508" s="3" t="s">
        <v>249</v>
      </c>
      <c r="D508" s="3"/>
      <c r="E508" s="29">
        <v>45904.0</v>
      </c>
      <c r="F508" s="22" t="s">
        <v>93</v>
      </c>
      <c r="G508" s="22" t="s">
        <v>92</v>
      </c>
      <c r="H508" s="6"/>
      <c r="I508" s="6"/>
      <c r="J508" s="6"/>
      <c r="K508" s="6"/>
      <c r="L508" s="6"/>
      <c r="M508" s="26"/>
      <c r="O508" s="19" t="str">
        <f t="shared" si="2"/>
        <v/>
      </c>
    </row>
    <row r="509">
      <c r="A509" s="22" t="s">
        <v>44</v>
      </c>
      <c r="B509" s="4" t="s">
        <v>45</v>
      </c>
      <c r="C509" s="3" t="s">
        <v>797</v>
      </c>
      <c r="D509" s="3" t="s">
        <v>798</v>
      </c>
      <c r="E509" s="29">
        <v>45904.0</v>
      </c>
      <c r="F509" s="22" t="s">
        <v>27</v>
      </c>
      <c r="G509" s="22" t="s">
        <v>92</v>
      </c>
      <c r="H509" s="6"/>
      <c r="I509" s="6"/>
      <c r="J509" s="6"/>
      <c r="K509" s="6"/>
      <c r="L509" s="6"/>
      <c r="M509" s="26"/>
      <c r="O509" s="19" t="str">
        <f t="shared" si="2"/>
        <v/>
      </c>
    </row>
    <row r="510">
      <c r="A510" s="22" t="s">
        <v>285</v>
      </c>
      <c r="B510" s="4" t="s">
        <v>36</v>
      </c>
      <c r="C510" s="3" t="s">
        <v>799</v>
      </c>
      <c r="D510" s="3" t="s">
        <v>800</v>
      </c>
      <c r="E510" s="29">
        <v>45904.0</v>
      </c>
      <c r="F510" s="22" t="s">
        <v>93</v>
      </c>
      <c r="G510" s="22" t="s">
        <v>92</v>
      </c>
      <c r="H510" s="6"/>
      <c r="I510" s="6"/>
      <c r="J510" s="6"/>
      <c r="K510" s="6"/>
      <c r="L510" s="6"/>
      <c r="M510" s="26"/>
      <c r="O510" s="19" t="str">
        <f t="shared" si="2"/>
        <v/>
      </c>
    </row>
    <row r="511">
      <c r="A511" s="22" t="s">
        <v>285</v>
      </c>
      <c r="B511" s="4" t="s">
        <v>36</v>
      </c>
      <c r="C511" s="3" t="s">
        <v>801</v>
      </c>
      <c r="D511" s="3" t="s">
        <v>802</v>
      </c>
      <c r="E511" s="29">
        <v>45904.0</v>
      </c>
      <c r="F511" s="22" t="s">
        <v>27</v>
      </c>
      <c r="G511" s="22" t="s">
        <v>92</v>
      </c>
      <c r="H511" s="6"/>
      <c r="I511" s="6"/>
      <c r="J511" s="6"/>
      <c r="K511" s="6"/>
      <c r="L511" s="6"/>
      <c r="M511" s="26"/>
      <c r="O511" s="19" t="str">
        <f t="shared" si="2"/>
        <v/>
      </c>
    </row>
    <row r="512">
      <c r="A512" s="22" t="s">
        <v>717</v>
      </c>
      <c r="B512" s="4" t="s">
        <v>36</v>
      </c>
      <c r="C512" s="3">
        <v>3977.0</v>
      </c>
      <c r="D512" s="3"/>
      <c r="E512" s="29">
        <v>45904.0</v>
      </c>
      <c r="F512" s="22" t="s">
        <v>93</v>
      </c>
      <c r="G512" s="22" t="s">
        <v>92</v>
      </c>
      <c r="H512" s="6"/>
      <c r="I512" s="6"/>
      <c r="J512" s="6"/>
      <c r="K512" s="6"/>
      <c r="L512" s="6"/>
      <c r="M512" s="26"/>
      <c r="O512" s="19" t="str">
        <f t="shared" si="2"/>
        <v/>
      </c>
    </row>
    <row r="513">
      <c r="A513" s="22" t="s">
        <v>276</v>
      </c>
      <c r="B513" s="4" t="s">
        <v>18</v>
      </c>
      <c r="C513" s="3" t="s">
        <v>583</v>
      </c>
      <c r="D513" s="3" t="s">
        <v>803</v>
      </c>
      <c r="E513" s="29">
        <v>45904.0</v>
      </c>
      <c r="F513" s="22" t="s">
        <v>27</v>
      </c>
      <c r="G513" s="22" t="s">
        <v>92</v>
      </c>
      <c r="H513" s="6"/>
      <c r="I513" s="6"/>
      <c r="J513" s="6"/>
      <c r="K513" s="6"/>
      <c r="L513" s="6"/>
      <c r="M513" s="26"/>
      <c r="O513" s="19" t="str">
        <f t="shared" si="2"/>
        <v/>
      </c>
    </row>
    <row r="514">
      <c r="A514" s="22" t="s">
        <v>276</v>
      </c>
      <c r="B514" s="4" t="s">
        <v>18</v>
      </c>
      <c r="C514" s="3" t="s">
        <v>673</v>
      </c>
      <c r="D514" s="3" t="s">
        <v>804</v>
      </c>
      <c r="E514" s="29">
        <v>45904.0</v>
      </c>
      <c r="F514" s="22" t="s">
        <v>27</v>
      </c>
      <c r="G514" s="22" t="s">
        <v>92</v>
      </c>
      <c r="H514" s="6"/>
      <c r="I514" s="6"/>
      <c r="J514" s="6"/>
      <c r="K514" s="6"/>
      <c r="L514" s="6"/>
      <c r="M514" s="26"/>
      <c r="O514" s="19" t="str">
        <f t="shared" si="2"/>
        <v/>
      </c>
    </row>
    <row r="515">
      <c r="A515" s="22" t="s">
        <v>210</v>
      </c>
      <c r="B515" s="4" t="s">
        <v>31</v>
      </c>
      <c r="C515" s="3" t="s">
        <v>770</v>
      </c>
      <c r="D515" s="3" t="s">
        <v>805</v>
      </c>
      <c r="E515" s="29">
        <v>45904.0</v>
      </c>
      <c r="F515" s="22" t="s">
        <v>27</v>
      </c>
      <c r="G515" s="22" t="s">
        <v>92</v>
      </c>
      <c r="H515" s="6"/>
      <c r="I515" s="6"/>
      <c r="J515" s="6"/>
      <c r="K515" s="6"/>
      <c r="L515" s="6"/>
      <c r="M515" s="26"/>
      <c r="O515" s="19" t="str">
        <f t="shared" si="2"/>
        <v/>
      </c>
    </row>
    <row r="516">
      <c r="A516" s="22" t="s">
        <v>98</v>
      </c>
      <c r="B516" s="4" t="s">
        <v>31</v>
      </c>
      <c r="C516" s="3" t="s">
        <v>99</v>
      </c>
      <c r="D516" s="3" t="s">
        <v>806</v>
      </c>
      <c r="E516" s="29">
        <v>45904.0</v>
      </c>
      <c r="F516" s="22" t="s">
        <v>27</v>
      </c>
      <c r="G516" s="22" t="s">
        <v>92</v>
      </c>
      <c r="H516" s="6"/>
      <c r="I516" s="6"/>
      <c r="J516" s="6"/>
      <c r="K516" s="6"/>
      <c r="L516" s="6"/>
      <c r="M516" s="26"/>
      <c r="O516" s="19" t="str">
        <f t="shared" si="2"/>
        <v/>
      </c>
    </row>
    <row r="517">
      <c r="A517" s="22" t="s">
        <v>77</v>
      </c>
      <c r="B517" s="4" t="s">
        <v>18</v>
      </c>
      <c r="C517" s="3" t="s">
        <v>807</v>
      </c>
      <c r="D517" s="3" t="s">
        <v>808</v>
      </c>
      <c r="E517" s="29">
        <v>45904.0</v>
      </c>
      <c r="F517" s="22" t="s">
        <v>27</v>
      </c>
      <c r="G517" s="22" t="s">
        <v>92</v>
      </c>
      <c r="H517" s="6"/>
      <c r="I517" s="6"/>
      <c r="J517" s="6"/>
      <c r="K517" s="6"/>
      <c r="L517" s="6"/>
      <c r="M517" s="26"/>
      <c r="O517" s="19" t="str">
        <f t="shared" si="2"/>
        <v/>
      </c>
    </row>
    <row r="518">
      <c r="A518" s="22" t="s">
        <v>717</v>
      </c>
      <c r="B518" s="4" t="s">
        <v>36</v>
      </c>
      <c r="C518" s="3" t="s">
        <v>809</v>
      </c>
      <c r="D518" s="3" t="s">
        <v>810</v>
      </c>
      <c r="E518" s="29">
        <v>45904.0</v>
      </c>
      <c r="F518" s="22" t="s">
        <v>27</v>
      </c>
      <c r="G518" s="22" t="s">
        <v>92</v>
      </c>
      <c r="H518" s="6"/>
      <c r="I518" s="6"/>
      <c r="J518" s="6"/>
      <c r="K518" s="6"/>
      <c r="L518" s="6"/>
      <c r="M518" s="26"/>
      <c r="O518" s="19" t="str">
        <f t="shared" si="2"/>
        <v/>
      </c>
    </row>
    <row r="519">
      <c r="A519" s="22" t="s">
        <v>125</v>
      </c>
      <c r="B519" s="4" t="s">
        <v>31</v>
      </c>
      <c r="C519" s="3" t="s">
        <v>811</v>
      </c>
      <c r="D519" s="3" t="s">
        <v>812</v>
      </c>
      <c r="E519" s="29">
        <v>45904.0</v>
      </c>
      <c r="F519" s="22" t="s">
        <v>27</v>
      </c>
      <c r="G519" s="22" t="s">
        <v>92</v>
      </c>
      <c r="H519" s="6"/>
      <c r="I519" s="6"/>
      <c r="J519" s="6"/>
      <c r="K519" s="6"/>
      <c r="L519" s="6"/>
      <c r="M519" s="26"/>
      <c r="O519" s="19" t="str">
        <f t="shared" si="2"/>
        <v/>
      </c>
    </row>
    <row r="520">
      <c r="A520" s="22" t="s">
        <v>125</v>
      </c>
      <c r="B520" s="4" t="s">
        <v>31</v>
      </c>
      <c r="C520" s="3" t="s">
        <v>813</v>
      </c>
      <c r="D520" s="3" t="s">
        <v>814</v>
      </c>
      <c r="E520" s="29">
        <v>45904.0</v>
      </c>
      <c r="F520" s="22" t="s">
        <v>27</v>
      </c>
      <c r="G520" s="22" t="s">
        <v>92</v>
      </c>
      <c r="H520" s="6"/>
      <c r="I520" s="6"/>
      <c r="J520" s="6"/>
      <c r="K520" s="6"/>
      <c r="L520" s="6"/>
      <c r="M520" s="26"/>
      <c r="O520" s="19" t="str">
        <f t="shared" si="2"/>
        <v/>
      </c>
    </row>
    <row r="521">
      <c r="A521" s="22" t="s">
        <v>112</v>
      </c>
      <c r="B521" s="4" t="s">
        <v>18</v>
      </c>
      <c r="C521" s="3" t="s">
        <v>815</v>
      </c>
      <c r="D521" s="3" t="s">
        <v>816</v>
      </c>
      <c r="E521" s="29">
        <v>45904.0</v>
      </c>
      <c r="F521" s="22" t="s">
        <v>27</v>
      </c>
      <c r="G521" s="22" t="s">
        <v>92</v>
      </c>
      <c r="H521" s="6"/>
      <c r="I521" s="6"/>
      <c r="J521" s="6"/>
      <c r="K521" s="6"/>
      <c r="L521" s="6"/>
      <c r="M521" s="26"/>
      <c r="O521" s="19" t="str">
        <f t="shared" si="2"/>
        <v/>
      </c>
    </row>
    <row r="522">
      <c r="A522" s="22" t="s">
        <v>817</v>
      </c>
      <c r="B522" s="4" t="s">
        <v>36</v>
      </c>
      <c r="C522" s="3" t="s">
        <v>818</v>
      </c>
      <c r="D522" s="3"/>
      <c r="E522" s="29">
        <v>45904.0</v>
      </c>
      <c r="F522" s="22" t="s">
        <v>93</v>
      </c>
      <c r="G522" s="22" t="s">
        <v>92</v>
      </c>
      <c r="H522" s="6"/>
      <c r="I522" s="6"/>
      <c r="J522" s="6"/>
      <c r="K522" s="6"/>
      <c r="L522" s="6"/>
      <c r="M522" s="26"/>
      <c r="O522" s="19" t="str">
        <f t="shared" si="2"/>
        <v/>
      </c>
    </row>
    <row r="523">
      <c r="A523" s="22" t="s">
        <v>819</v>
      </c>
      <c r="B523" s="4" t="s">
        <v>31</v>
      </c>
      <c r="C523" s="3" t="s">
        <v>820</v>
      </c>
      <c r="D523" s="3" t="s">
        <v>821</v>
      </c>
      <c r="E523" s="29">
        <v>45904.0</v>
      </c>
      <c r="F523" s="22" t="s">
        <v>27</v>
      </c>
      <c r="G523" s="22" t="s">
        <v>92</v>
      </c>
      <c r="H523" s="6"/>
      <c r="I523" s="6"/>
      <c r="J523" s="6"/>
      <c r="K523" s="6"/>
      <c r="L523" s="6"/>
      <c r="M523" s="26"/>
      <c r="O523" s="19" t="str">
        <f t="shared" si="2"/>
        <v/>
      </c>
    </row>
    <row r="524">
      <c r="A524" s="22" t="s">
        <v>168</v>
      </c>
      <c r="B524" s="4" t="s">
        <v>45</v>
      </c>
      <c r="C524" s="3" t="s">
        <v>822</v>
      </c>
      <c r="D524" s="3" t="s">
        <v>823</v>
      </c>
      <c r="E524" s="29">
        <v>45904.0</v>
      </c>
      <c r="F524" s="22" t="s">
        <v>27</v>
      </c>
      <c r="G524" s="22" t="s">
        <v>92</v>
      </c>
      <c r="H524" s="6"/>
      <c r="I524" s="6"/>
      <c r="J524" s="6"/>
      <c r="K524" s="6"/>
      <c r="L524" s="6"/>
      <c r="M524" s="26"/>
      <c r="O524" s="19" t="str">
        <f t="shared" si="2"/>
        <v/>
      </c>
    </row>
    <row r="525">
      <c r="A525" s="22" t="s">
        <v>69</v>
      </c>
      <c r="B525" s="4" t="s">
        <v>31</v>
      </c>
      <c r="C525" s="3" t="s">
        <v>70</v>
      </c>
      <c r="D525" s="3" t="s">
        <v>824</v>
      </c>
      <c r="E525" s="29">
        <v>45904.0</v>
      </c>
      <c r="F525" s="22" t="s">
        <v>93</v>
      </c>
      <c r="G525" s="22" t="s">
        <v>92</v>
      </c>
      <c r="H525" s="6"/>
      <c r="I525" s="6"/>
      <c r="J525" s="6"/>
      <c r="K525" s="6"/>
      <c r="L525" s="6"/>
      <c r="M525" s="26"/>
      <c r="O525" s="19" t="str">
        <f t="shared" si="2"/>
        <v/>
      </c>
    </row>
    <row r="526">
      <c r="A526" s="22" t="s">
        <v>69</v>
      </c>
      <c r="B526" s="4" t="s">
        <v>31</v>
      </c>
      <c r="C526" s="3" t="s">
        <v>825</v>
      </c>
      <c r="D526" s="3" t="s">
        <v>826</v>
      </c>
      <c r="E526" s="29">
        <v>45904.0</v>
      </c>
      <c r="F526" s="22" t="s">
        <v>27</v>
      </c>
      <c r="G526" s="22" t="s">
        <v>92</v>
      </c>
      <c r="H526" s="6"/>
      <c r="I526" s="6"/>
      <c r="J526" s="6"/>
      <c r="K526" s="6"/>
      <c r="L526" s="6"/>
      <c r="M526" s="26"/>
      <c r="O526" s="19" t="str">
        <f t="shared" si="2"/>
        <v/>
      </c>
    </row>
    <row r="527">
      <c r="A527" s="22" t="s">
        <v>819</v>
      </c>
      <c r="B527" s="4" t="s">
        <v>31</v>
      </c>
      <c r="C527" s="3" t="s">
        <v>820</v>
      </c>
      <c r="D527" s="3" t="s">
        <v>827</v>
      </c>
      <c r="E527" s="29">
        <v>45904.0</v>
      </c>
      <c r="F527" s="22" t="s">
        <v>27</v>
      </c>
      <c r="G527" s="22" t="s">
        <v>92</v>
      </c>
      <c r="H527" s="6"/>
      <c r="I527" s="6"/>
      <c r="J527" s="6"/>
      <c r="K527" s="6"/>
      <c r="L527" s="6"/>
      <c r="M527" s="26"/>
      <c r="O527" s="19" t="str">
        <f t="shared" si="2"/>
        <v/>
      </c>
    </row>
    <row r="528">
      <c r="A528" s="22" t="s">
        <v>305</v>
      </c>
      <c r="B528" s="4" t="s">
        <v>36</v>
      </c>
      <c r="C528" s="3" t="s">
        <v>828</v>
      </c>
      <c r="D528" s="3"/>
      <c r="E528" s="29">
        <v>45904.0</v>
      </c>
      <c r="F528" s="22" t="s">
        <v>93</v>
      </c>
      <c r="G528" s="22" t="s">
        <v>92</v>
      </c>
      <c r="H528" s="6"/>
      <c r="I528" s="6"/>
      <c r="J528" s="6"/>
      <c r="K528" s="6"/>
      <c r="L528" s="6"/>
      <c r="M528" s="26"/>
      <c r="O528" s="19" t="str">
        <f t="shared" si="2"/>
        <v/>
      </c>
    </row>
    <row r="529">
      <c r="A529" s="22" t="s">
        <v>744</v>
      </c>
      <c r="B529" s="4" t="s">
        <v>18</v>
      </c>
      <c r="C529" s="3" t="s">
        <v>829</v>
      </c>
      <c r="D529" s="3" t="s">
        <v>830</v>
      </c>
      <c r="E529" s="29">
        <v>45904.0</v>
      </c>
      <c r="F529" s="22" t="s">
        <v>27</v>
      </c>
      <c r="G529" s="22" t="s">
        <v>92</v>
      </c>
      <c r="H529" s="6"/>
      <c r="I529" s="6"/>
      <c r="J529" s="6"/>
      <c r="K529" s="6"/>
      <c r="L529" s="6"/>
      <c r="M529" s="26"/>
      <c r="O529" s="19" t="str">
        <f t="shared" si="2"/>
        <v/>
      </c>
    </row>
    <row r="530">
      <c r="A530" s="22" t="s">
        <v>744</v>
      </c>
      <c r="B530" s="4" t="s">
        <v>18</v>
      </c>
      <c r="C530" s="3" t="s">
        <v>831</v>
      </c>
      <c r="D530" s="3" t="s">
        <v>832</v>
      </c>
      <c r="E530" s="29">
        <v>45904.0</v>
      </c>
      <c r="F530" s="22" t="s">
        <v>27</v>
      </c>
      <c r="G530" s="22" t="s">
        <v>92</v>
      </c>
      <c r="H530" s="6"/>
      <c r="I530" s="6"/>
      <c r="J530" s="6"/>
      <c r="K530" s="6"/>
      <c r="L530" s="6"/>
      <c r="M530" s="26"/>
      <c r="O530" s="19" t="str">
        <f t="shared" si="2"/>
        <v/>
      </c>
    </row>
    <row r="531">
      <c r="A531" s="22" t="s">
        <v>210</v>
      </c>
      <c r="B531" s="4" t="s">
        <v>31</v>
      </c>
      <c r="C531" s="3" t="s">
        <v>833</v>
      </c>
      <c r="D531" s="3" t="s">
        <v>834</v>
      </c>
      <c r="E531" s="29">
        <v>45904.0</v>
      </c>
      <c r="F531" s="22" t="s">
        <v>27</v>
      </c>
      <c r="G531" s="22" t="s">
        <v>92</v>
      </c>
      <c r="H531" s="6"/>
      <c r="I531" s="6"/>
      <c r="J531" s="6"/>
      <c r="K531" s="6"/>
      <c r="L531" s="6"/>
      <c r="M531" s="26"/>
      <c r="O531" s="19" t="str">
        <f t="shared" si="2"/>
        <v/>
      </c>
    </row>
    <row r="532">
      <c r="A532" s="22" t="s">
        <v>276</v>
      </c>
      <c r="B532" s="4" t="s">
        <v>18</v>
      </c>
      <c r="C532" s="3" t="s">
        <v>835</v>
      </c>
      <c r="D532" s="3" t="s">
        <v>836</v>
      </c>
      <c r="E532" s="29">
        <v>45904.0</v>
      </c>
      <c r="F532" s="22" t="s">
        <v>27</v>
      </c>
      <c r="G532" s="22" t="s">
        <v>92</v>
      </c>
      <c r="H532" s="6"/>
      <c r="I532" s="6"/>
      <c r="J532" s="6"/>
      <c r="K532" s="6"/>
      <c r="L532" s="6"/>
      <c r="M532" s="26"/>
      <c r="O532" s="19" t="str">
        <f t="shared" si="2"/>
        <v/>
      </c>
    </row>
    <row r="533">
      <c r="A533" s="22" t="s">
        <v>744</v>
      </c>
      <c r="B533" s="4" t="s">
        <v>18</v>
      </c>
      <c r="C533" s="3" t="s">
        <v>837</v>
      </c>
      <c r="D533" s="3" t="s">
        <v>838</v>
      </c>
      <c r="E533" s="29">
        <v>45904.0</v>
      </c>
      <c r="F533" s="22" t="s">
        <v>27</v>
      </c>
      <c r="G533" s="22" t="s">
        <v>92</v>
      </c>
      <c r="H533" s="6"/>
      <c r="I533" s="6"/>
      <c r="J533" s="6"/>
      <c r="K533" s="6"/>
      <c r="L533" s="6"/>
      <c r="M533" s="26"/>
      <c r="O533" s="19" t="str">
        <f t="shared" si="2"/>
        <v/>
      </c>
    </row>
    <row r="534">
      <c r="A534" s="22" t="s">
        <v>184</v>
      </c>
      <c r="B534" s="4" t="s">
        <v>18</v>
      </c>
      <c r="C534" s="3" t="s">
        <v>839</v>
      </c>
      <c r="D534" s="3" t="s">
        <v>840</v>
      </c>
      <c r="E534" s="29">
        <v>45904.0</v>
      </c>
      <c r="F534" s="22" t="s">
        <v>27</v>
      </c>
      <c r="G534" s="22" t="s">
        <v>92</v>
      </c>
      <c r="H534" s="6"/>
      <c r="I534" s="6"/>
      <c r="J534" s="6"/>
      <c r="K534" s="6"/>
      <c r="L534" s="6"/>
      <c r="M534" s="26"/>
      <c r="O534" s="19" t="str">
        <f t="shared" si="2"/>
        <v/>
      </c>
    </row>
    <row r="535">
      <c r="A535" s="22" t="s">
        <v>510</v>
      </c>
      <c r="B535" s="4" t="s">
        <v>18</v>
      </c>
      <c r="C535" s="3" t="s">
        <v>841</v>
      </c>
      <c r="D535" s="3" t="s">
        <v>842</v>
      </c>
      <c r="E535" s="29">
        <v>45904.0</v>
      </c>
      <c r="F535" s="22" t="s">
        <v>27</v>
      </c>
      <c r="G535" s="22" t="s">
        <v>92</v>
      </c>
      <c r="H535" s="6"/>
      <c r="I535" s="6"/>
      <c r="J535" s="6"/>
      <c r="K535" s="6"/>
      <c r="L535" s="6"/>
      <c r="M535" s="26"/>
      <c r="O535" s="19" t="str">
        <f t="shared" si="2"/>
        <v/>
      </c>
    </row>
    <row r="536">
      <c r="A536" s="22" t="s">
        <v>198</v>
      </c>
      <c r="B536" s="4" t="s">
        <v>109</v>
      </c>
      <c r="C536" s="3" t="s">
        <v>843</v>
      </c>
      <c r="D536" s="3" t="s">
        <v>844</v>
      </c>
      <c r="E536" s="29">
        <v>45904.0</v>
      </c>
      <c r="F536" s="22" t="s">
        <v>27</v>
      </c>
      <c r="G536" s="22" t="s">
        <v>92</v>
      </c>
      <c r="H536" s="6"/>
      <c r="I536" s="6"/>
      <c r="J536" s="6"/>
      <c r="K536" s="6"/>
      <c r="L536" s="6"/>
      <c r="M536" s="26"/>
      <c r="O536" s="19" t="str">
        <f t="shared" si="2"/>
        <v/>
      </c>
    </row>
    <row r="537">
      <c r="A537" s="22" t="s">
        <v>717</v>
      </c>
      <c r="B537" s="4" t="s">
        <v>36</v>
      </c>
      <c r="C537" s="3" t="s">
        <v>845</v>
      </c>
      <c r="D537" s="3" t="s">
        <v>846</v>
      </c>
      <c r="E537" s="29">
        <v>45904.0</v>
      </c>
      <c r="F537" s="22" t="s">
        <v>27</v>
      </c>
      <c r="G537" s="22" t="s">
        <v>92</v>
      </c>
      <c r="H537" s="6"/>
      <c r="I537" s="6"/>
      <c r="J537" s="6"/>
      <c r="K537" s="6"/>
      <c r="L537" s="6"/>
      <c r="M537" s="26"/>
      <c r="O537" s="19" t="str">
        <f t="shared" si="2"/>
        <v/>
      </c>
    </row>
    <row r="538">
      <c r="A538" s="22" t="s">
        <v>744</v>
      </c>
      <c r="B538" s="4" t="s">
        <v>18</v>
      </c>
      <c r="C538" s="3" t="s">
        <v>847</v>
      </c>
      <c r="D538" s="3" t="s">
        <v>848</v>
      </c>
      <c r="E538" s="29">
        <v>45904.0</v>
      </c>
      <c r="F538" s="22" t="s">
        <v>27</v>
      </c>
      <c r="G538" s="22" t="s">
        <v>92</v>
      </c>
      <c r="H538" s="6"/>
      <c r="I538" s="6"/>
      <c r="J538" s="6"/>
      <c r="K538" s="6"/>
      <c r="L538" s="6"/>
      <c r="M538" s="26"/>
      <c r="O538" s="19" t="str">
        <f t="shared" si="2"/>
        <v/>
      </c>
    </row>
    <row r="539">
      <c r="A539" s="22" t="s">
        <v>795</v>
      </c>
      <c r="B539" s="4" t="s">
        <v>109</v>
      </c>
      <c r="C539" s="3" t="s">
        <v>849</v>
      </c>
      <c r="D539" s="3"/>
      <c r="E539" s="29">
        <v>45904.0</v>
      </c>
      <c r="F539" s="22" t="s">
        <v>93</v>
      </c>
      <c r="G539" s="22" t="s">
        <v>92</v>
      </c>
      <c r="H539" s="6"/>
      <c r="I539" s="6"/>
      <c r="J539" s="6"/>
      <c r="K539" s="6"/>
      <c r="L539" s="6"/>
      <c r="M539" s="26"/>
      <c r="O539" s="19" t="str">
        <f t="shared" si="2"/>
        <v/>
      </c>
    </row>
    <row r="540">
      <c r="A540" s="22" t="s">
        <v>108</v>
      </c>
      <c r="B540" s="4" t="s">
        <v>109</v>
      </c>
      <c r="C540" s="3" t="s">
        <v>249</v>
      </c>
      <c r="D540" s="3" t="s">
        <v>850</v>
      </c>
      <c r="E540" s="29">
        <v>45904.0</v>
      </c>
      <c r="F540" s="22" t="s">
        <v>103</v>
      </c>
      <c r="G540" s="22" t="s">
        <v>92</v>
      </c>
      <c r="H540" s="6"/>
      <c r="I540" s="6"/>
      <c r="J540" s="6"/>
      <c r="K540" s="6"/>
      <c r="L540" s="6"/>
      <c r="M540" s="26"/>
      <c r="O540" s="19" t="str">
        <f t="shared" si="2"/>
        <v/>
      </c>
    </row>
    <row r="541">
      <c r="A541" s="22" t="s">
        <v>108</v>
      </c>
      <c r="B541" s="4" t="s">
        <v>109</v>
      </c>
      <c r="C541" s="3">
        <v>5085.0</v>
      </c>
      <c r="D541" s="3"/>
      <c r="E541" s="29">
        <v>45905.0</v>
      </c>
      <c r="F541" s="22" t="s">
        <v>103</v>
      </c>
      <c r="G541" s="22" t="s">
        <v>92</v>
      </c>
      <c r="H541" s="6"/>
      <c r="I541" s="6"/>
      <c r="J541" s="6"/>
      <c r="K541" s="6"/>
      <c r="L541" s="6"/>
      <c r="M541" s="26"/>
      <c r="O541" s="19" t="str">
        <f t="shared" si="2"/>
        <v/>
      </c>
    </row>
    <row r="542">
      <c r="A542" s="22" t="s">
        <v>244</v>
      </c>
      <c r="B542" s="4" t="s">
        <v>18</v>
      </c>
      <c r="C542" s="3">
        <v>4557.0</v>
      </c>
      <c r="D542" s="3" t="s">
        <v>851</v>
      </c>
      <c r="E542" s="29">
        <v>45905.0</v>
      </c>
      <c r="F542" s="22" t="s">
        <v>27</v>
      </c>
      <c r="G542" s="22" t="s">
        <v>92</v>
      </c>
      <c r="H542" s="6"/>
      <c r="I542" s="6"/>
      <c r="J542" s="6"/>
      <c r="K542" s="6"/>
      <c r="L542" s="6"/>
      <c r="M542" s="26"/>
      <c r="O542" s="19" t="str">
        <f t="shared" si="2"/>
        <v/>
      </c>
    </row>
    <row r="543">
      <c r="A543" s="22" t="s">
        <v>274</v>
      </c>
      <c r="B543" s="4" t="s">
        <v>18</v>
      </c>
      <c r="C543" s="3" t="s">
        <v>839</v>
      </c>
      <c r="D543" s="3" t="s">
        <v>840</v>
      </c>
      <c r="E543" s="29">
        <v>45905.0</v>
      </c>
      <c r="F543" s="22" t="s">
        <v>27</v>
      </c>
      <c r="G543" s="22" t="s">
        <v>92</v>
      </c>
      <c r="H543" s="6"/>
      <c r="I543" s="6"/>
      <c r="J543" s="6"/>
      <c r="K543" s="6"/>
      <c r="L543" s="6"/>
      <c r="M543" s="26"/>
      <c r="O543" s="19" t="str">
        <f t="shared" si="2"/>
        <v/>
      </c>
    </row>
    <row r="544">
      <c r="A544" s="22" t="s">
        <v>852</v>
      </c>
      <c r="B544" s="4" t="s">
        <v>31</v>
      </c>
      <c r="C544" s="3" t="s">
        <v>776</v>
      </c>
      <c r="D544" s="3"/>
      <c r="E544" s="29">
        <v>45905.0</v>
      </c>
      <c r="F544" s="22" t="s">
        <v>27</v>
      </c>
      <c r="G544" s="22" t="s">
        <v>92</v>
      </c>
      <c r="H544" s="6"/>
      <c r="I544" s="6"/>
      <c r="J544" s="6"/>
      <c r="K544" s="6"/>
      <c r="L544" s="6"/>
      <c r="M544" s="26"/>
      <c r="O544" s="19" t="str">
        <f t="shared" si="2"/>
        <v/>
      </c>
    </row>
    <row r="545">
      <c r="A545" s="22" t="s">
        <v>744</v>
      </c>
      <c r="B545" s="4" t="s">
        <v>18</v>
      </c>
      <c r="C545" s="3" t="s">
        <v>853</v>
      </c>
      <c r="D545" s="3" t="s">
        <v>854</v>
      </c>
      <c r="E545" s="29">
        <v>45905.0</v>
      </c>
      <c r="F545" s="22" t="s">
        <v>27</v>
      </c>
      <c r="G545" s="22" t="s">
        <v>92</v>
      </c>
      <c r="H545" s="6"/>
      <c r="I545" s="6"/>
      <c r="J545" s="6"/>
      <c r="K545" s="6"/>
      <c r="L545" s="6"/>
      <c r="M545" s="26"/>
      <c r="O545" s="19" t="str">
        <f t="shared" si="2"/>
        <v/>
      </c>
    </row>
    <row r="546">
      <c r="A546" s="22" t="s">
        <v>242</v>
      </c>
      <c r="B546" s="4" t="s">
        <v>18</v>
      </c>
      <c r="C546" s="3" t="s">
        <v>243</v>
      </c>
      <c r="D546" s="3"/>
      <c r="E546" s="29">
        <v>45905.0</v>
      </c>
      <c r="F546" s="22" t="s">
        <v>27</v>
      </c>
      <c r="G546" s="22" t="s">
        <v>92</v>
      </c>
      <c r="H546" s="6"/>
      <c r="I546" s="6"/>
      <c r="J546" s="6"/>
      <c r="K546" s="6"/>
      <c r="L546" s="6"/>
      <c r="M546" s="26"/>
      <c r="O546" s="19" t="str">
        <f t="shared" si="2"/>
        <v/>
      </c>
    </row>
    <row r="547">
      <c r="A547" s="22" t="s">
        <v>795</v>
      </c>
      <c r="B547" s="4" t="s">
        <v>109</v>
      </c>
      <c r="C547" s="3" t="s">
        <v>855</v>
      </c>
      <c r="D547" s="3" t="s">
        <v>856</v>
      </c>
      <c r="E547" s="29">
        <v>45905.0</v>
      </c>
      <c r="F547" s="22" t="s">
        <v>27</v>
      </c>
      <c r="G547" s="22" t="s">
        <v>92</v>
      </c>
      <c r="H547" s="6"/>
      <c r="I547" s="6"/>
      <c r="J547" s="6"/>
      <c r="K547" s="6"/>
      <c r="L547" s="6"/>
      <c r="M547" s="26"/>
      <c r="O547" s="19" t="str">
        <f t="shared" si="2"/>
        <v/>
      </c>
    </row>
    <row r="548">
      <c r="A548" s="22" t="s">
        <v>817</v>
      </c>
      <c r="B548" s="4" t="s">
        <v>36</v>
      </c>
      <c r="C548" s="3" t="s">
        <v>857</v>
      </c>
      <c r="D548" s="3"/>
      <c r="E548" s="29">
        <v>45905.0</v>
      </c>
      <c r="F548" s="22" t="s">
        <v>27</v>
      </c>
      <c r="G548" s="22" t="s">
        <v>92</v>
      </c>
      <c r="H548" s="6"/>
      <c r="I548" s="6"/>
      <c r="J548" s="6"/>
      <c r="K548" s="6"/>
      <c r="L548" s="6"/>
      <c r="M548" s="26"/>
      <c r="O548" s="19" t="str">
        <f t="shared" si="2"/>
        <v/>
      </c>
    </row>
    <row r="549">
      <c r="A549" s="22" t="s">
        <v>305</v>
      </c>
      <c r="B549" s="4" t="s">
        <v>36</v>
      </c>
      <c r="C549" s="3" t="s">
        <v>306</v>
      </c>
      <c r="D549" s="3"/>
      <c r="E549" s="29">
        <v>45905.0</v>
      </c>
      <c r="F549" s="22" t="s">
        <v>93</v>
      </c>
      <c r="G549" s="22" t="s">
        <v>92</v>
      </c>
      <c r="H549" s="6"/>
      <c r="I549" s="6"/>
      <c r="J549" s="6"/>
      <c r="K549" s="6"/>
      <c r="L549" s="6"/>
      <c r="M549" s="26"/>
      <c r="O549" s="19" t="str">
        <f t="shared" si="2"/>
        <v/>
      </c>
    </row>
    <row r="550">
      <c r="A550" s="22" t="s">
        <v>112</v>
      </c>
      <c r="B550" s="4" t="s">
        <v>18</v>
      </c>
      <c r="C550" s="3" t="s">
        <v>858</v>
      </c>
      <c r="D550" s="3"/>
      <c r="E550" s="29">
        <v>45905.0</v>
      </c>
      <c r="F550" s="22" t="s">
        <v>93</v>
      </c>
      <c r="G550" s="22" t="s">
        <v>92</v>
      </c>
      <c r="H550" s="6"/>
      <c r="I550" s="6"/>
      <c r="J550" s="6"/>
      <c r="K550" s="6"/>
      <c r="L550" s="6"/>
      <c r="M550" s="26"/>
      <c r="O550" s="19" t="str">
        <f t="shared" si="2"/>
        <v/>
      </c>
    </row>
    <row r="551">
      <c r="A551" s="22" t="s">
        <v>291</v>
      </c>
      <c r="B551" s="4" t="s">
        <v>31</v>
      </c>
      <c r="C551" s="3" t="s">
        <v>859</v>
      </c>
      <c r="D551" s="3" t="s">
        <v>860</v>
      </c>
      <c r="E551" s="29">
        <v>45905.0</v>
      </c>
      <c r="F551" s="22" t="s">
        <v>27</v>
      </c>
      <c r="G551" s="22" t="s">
        <v>92</v>
      </c>
      <c r="H551" s="6"/>
      <c r="I551" s="6"/>
      <c r="J551" s="6"/>
      <c r="K551" s="6"/>
      <c r="L551" s="6"/>
      <c r="M551" s="26"/>
      <c r="O551" s="19" t="str">
        <f t="shared" si="2"/>
        <v/>
      </c>
    </row>
    <row r="552">
      <c r="A552" s="22" t="s">
        <v>198</v>
      </c>
      <c r="B552" s="4" t="s">
        <v>109</v>
      </c>
      <c r="C552" s="3" t="s">
        <v>849</v>
      </c>
      <c r="D552" s="3" t="s">
        <v>861</v>
      </c>
      <c r="E552" s="29">
        <v>45905.0</v>
      </c>
      <c r="F552" s="22" t="s">
        <v>27</v>
      </c>
      <c r="G552" s="22" t="s">
        <v>92</v>
      </c>
      <c r="H552" s="6"/>
      <c r="I552" s="6"/>
      <c r="J552" s="6"/>
      <c r="K552" s="6"/>
      <c r="L552" s="6"/>
      <c r="M552" s="26"/>
      <c r="O552" s="19" t="str">
        <f t="shared" si="2"/>
        <v/>
      </c>
    </row>
    <row r="553">
      <c r="A553" s="22" t="s">
        <v>120</v>
      </c>
      <c r="B553" s="4" t="s">
        <v>31</v>
      </c>
      <c r="C553" s="3" t="s">
        <v>862</v>
      </c>
      <c r="D553" s="3" t="s">
        <v>863</v>
      </c>
      <c r="E553" s="29">
        <v>45905.0</v>
      </c>
      <c r="F553" s="22" t="s">
        <v>27</v>
      </c>
      <c r="G553" s="22" t="s">
        <v>92</v>
      </c>
      <c r="H553" s="6"/>
      <c r="I553" s="6"/>
      <c r="J553" s="6"/>
      <c r="K553" s="6"/>
      <c r="L553" s="6"/>
      <c r="M553" s="26"/>
      <c r="O553" s="19" t="str">
        <f t="shared" si="2"/>
        <v/>
      </c>
    </row>
    <row r="554">
      <c r="A554" s="22" t="s">
        <v>717</v>
      </c>
      <c r="B554" s="4" t="s">
        <v>36</v>
      </c>
      <c r="C554" s="3" t="s">
        <v>864</v>
      </c>
      <c r="D554" s="3" t="s">
        <v>865</v>
      </c>
      <c r="E554" s="29">
        <v>45905.0</v>
      </c>
      <c r="F554" s="22" t="s">
        <v>27</v>
      </c>
      <c r="G554" s="22" t="s">
        <v>92</v>
      </c>
      <c r="H554" s="6"/>
      <c r="I554" s="6"/>
      <c r="J554" s="6"/>
      <c r="K554" s="6"/>
      <c r="L554" s="6"/>
      <c r="M554" s="26"/>
      <c r="O554" s="19" t="str">
        <f t="shared" si="2"/>
        <v/>
      </c>
    </row>
    <row r="555">
      <c r="A555" s="22" t="s">
        <v>276</v>
      </c>
      <c r="B555" s="4" t="s">
        <v>18</v>
      </c>
      <c r="C555" s="3" t="s">
        <v>470</v>
      </c>
      <c r="D555" s="3"/>
      <c r="E555" s="29">
        <v>45905.0</v>
      </c>
      <c r="F555" s="22" t="s">
        <v>27</v>
      </c>
      <c r="G555" s="22" t="s">
        <v>92</v>
      </c>
      <c r="H555" s="6"/>
      <c r="I555" s="6"/>
      <c r="J555" s="6"/>
      <c r="K555" s="6"/>
      <c r="L555" s="6"/>
      <c r="M555" s="26"/>
      <c r="O555" s="19" t="str">
        <f t="shared" si="2"/>
        <v/>
      </c>
    </row>
    <row r="556">
      <c r="A556" s="22" t="s">
        <v>158</v>
      </c>
      <c r="B556" s="4" t="s">
        <v>31</v>
      </c>
      <c r="C556" s="3" t="s">
        <v>866</v>
      </c>
      <c r="D556" s="3" t="s">
        <v>867</v>
      </c>
      <c r="E556" s="29">
        <v>45905.0</v>
      </c>
      <c r="F556" s="22" t="s">
        <v>27</v>
      </c>
      <c r="G556" s="22" t="s">
        <v>92</v>
      </c>
      <c r="H556" s="6"/>
      <c r="I556" s="6"/>
      <c r="J556" s="6"/>
      <c r="K556" s="6"/>
      <c r="L556" s="6"/>
      <c r="M556" s="26"/>
      <c r="O556" s="19" t="str">
        <f t="shared" si="2"/>
        <v/>
      </c>
    </row>
    <row r="557">
      <c r="A557" s="22" t="s">
        <v>210</v>
      </c>
      <c r="B557" s="4" t="s">
        <v>31</v>
      </c>
      <c r="C557" s="3" t="s">
        <v>868</v>
      </c>
      <c r="D557" s="3" t="s">
        <v>869</v>
      </c>
      <c r="E557" s="29">
        <v>45905.0</v>
      </c>
      <c r="F557" s="22" t="s">
        <v>27</v>
      </c>
      <c r="G557" s="22" t="s">
        <v>92</v>
      </c>
      <c r="H557" s="6"/>
      <c r="I557" s="6"/>
      <c r="J557" s="6"/>
      <c r="K557" s="6"/>
      <c r="L557" s="6"/>
      <c r="M557" s="26"/>
      <c r="O557" s="19" t="str">
        <f t="shared" si="2"/>
        <v/>
      </c>
    </row>
    <row r="558">
      <c r="A558" s="22" t="s">
        <v>113</v>
      </c>
      <c r="B558" s="4" t="s">
        <v>18</v>
      </c>
      <c r="C558" s="3" t="s">
        <v>870</v>
      </c>
      <c r="D558" s="3" t="s">
        <v>871</v>
      </c>
      <c r="E558" s="29">
        <v>45905.0</v>
      </c>
      <c r="F558" s="22" t="s">
        <v>27</v>
      </c>
      <c r="G558" s="22" t="s">
        <v>92</v>
      </c>
      <c r="H558" s="6"/>
      <c r="I558" s="6"/>
      <c r="J558" s="6"/>
      <c r="K558" s="6"/>
      <c r="L558" s="6"/>
      <c r="M558" s="26"/>
      <c r="O558" s="19" t="str">
        <f t="shared" si="2"/>
        <v/>
      </c>
    </row>
    <row r="559">
      <c r="A559" s="22" t="s">
        <v>795</v>
      </c>
      <c r="B559" s="4" t="s">
        <v>109</v>
      </c>
      <c r="C559" s="3" t="s">
        <v>872</v>
      </c>
      <c r="D559" s="3" t="s">
        <v>873</v>
      </c>
      <c r="E559" s="29">
        <v>45905.0</v>
      </c>
      <c r="F559" s="22" t="s">
        <v>27</v>
      </c>
      <c r="G559" s="22" t="s">
        <v>92</v>
      </c>
      <c r="H559" s="6"/>
      <c r="I559" s="6"/>
      <c r="J559" s="6"/>
      <c r="K559" s="6"/>
      <c r="L559" s="6"/>
      <c r="M559" s="26"/>
      <c r="O559" s="19" t="str">
        <f t="shared" si="2"/>
        <v/>
      </c>
    </row>
    <row r="560">
      <c r="A560" s="22" t="s">
        <v>472</v>
      </c>
      <c r="B560" s="4" t="s">
        <v>18</v>
      </c>
      <c r="C560" s="3" t="s">
        <v>753</v>
      </c>
      <c r="D560" s="3" t="s">
        <v>874</v>
      </c>
      <c r="E560" s="29">
        <v>45905.0</v>
      </c>
      <c r="F560" s="22" t="s">
        <v>27</v>
      </c>
      <c r="G560" s="22" t="s">
        <v>92</v>
      </c>
      <c r="H560" s="6"/>
      <c r="I560" s="6"/>
      <c r="J560" s="6"/>
      <c r="K560" s="6"/>
      <c r="L560" s="6"/>
      <c r="M560" s="26"/>
      <c r="O560" s="19" t="str">
        <f t="shared" si="2"/>
        <v/>
      </c>
    </row>
    <row r="561">
      <c r="A561" s="22" t="s">
        <v>510</v>
      </c>
      <c r="B561" s="4" t="s">
        <v>18</v>
      </c>
      <c r="C561" s="3" t="s">
        <v>841</v>
      </c>
      <c r="D561" s="3"/>
      <c r="E561" s="29">
        <v>45905.0</v>
      </c>
      <c r="F561" s="22" t="s">
        <v>27</v>
      </c>
      <c r="G561" s="22" t="s">
        <v>92</v>
      </c>
      <c r="H561" s="6"/>
      <c r="I561" s="6"/>
      <c r="J561" s="6"/>
      <c r="K561" s="6"/>
      <c r="L561" s="6"/>
      <c r="M561" s="26"/>
      <c r="O561" s="19" t="str">
        <f t="shared" si="2"/>
        <v/>
      </c>
    </row>
    <row r="562">
      <c r="A562" s="22" t="s">
        <v>576</v>
      </c>
      <c r="B562" s="4" t="s">
        <v>31</v>
      </c>
      <c r="C562" s="3" t="s">
        <v>875</v>
      </c>
      <c r="D562" s="3" t="s">
        <v>876</v>
      </c>
      <c r="E562" s="29">
        <v>45905.0</v>
      </c>
      <c r="F562" s="22" t="s">
        <v>27</v>
      </c>
      <c r="G562" s="22" t="s">
        <v>92</v>
      </c>
      <c r="H562" s="6"/>
      <c r="I562" s="6"/>
      <c r="J562" s="6"/>
      <c r="K562" s="6"/>
      <c r="L562" s="6"/>
      <c r="M562" s="26"/>
      <c r="O562" s="19" t="str">
        <f t="shared" si="2"/>
        <v/>
      </c>
    </row>
    <row r="563">
      <c r="A563" s="22" t="s">
        <v>113</v>
      </c>
      <c r="B563" s="4" t="s">
        <v>18</v>
      </c>
      <c r="C563" s="3" t="s">
        <v>877</v>
      </c>
      <c r="D563" s="3" t="s">
        <v>878</v>
      </c>
      <c r="E563" s="29">
        <v>45905.0</v>
      </c>
      <c r="F563" s="22" t="s">
        <v>27</v>
      </c>
      <c r="G563" s="22" t="s">
        <v>92</v>
      </c>
      <c r="H563" s="6"/>
      <c r="I563" s="6"/>
      <c r="J563" s="6"/>
      <c r="K563" s="6"/>
      <c r="L563" s="6"/>
      <c r="M563" s="26"/>
      <c r="O563" s="19" t="str">
        <f t="shared" si="2"/>
        <v/>
      </c>
    </row>
    <row r="564">
      <c r="A564" s="22" t="s">
        <v>44</v>
      </c>
      <c r="B564" s="4" t="s">
        <v>45</v>
      </c>
      <c r="C564" s="3" t="s">
        <v>879</v>
      </c>
      <c r="D564" s="3" t="s">
        <v>880</v>
      </c>
      <c r="E564" s="29">
        <v>45905.0</v>
      </c>
      <c r="F564" s="22" t="s">
        <v>27</v>
      </c>
      <c r="G564" s="22" t="s">
        <v>92</v>
      </c>
      <c r="H564" s="6"/>
      <c r="I564" s="6"/>
      <c r="J564" s="6"/>
      <c r="K564" s="6"/>
      <c r="L564" s="6"/>
      <c r="M564" s="26"/>
      <c r="O564" s="19" t="str">
        <f t="shared" si="2"/>
        <v/>
      </c>
    </row>
    <row r="565">
      <c r="A565" s="22" t="s">
        <v>202</v>
      </c>
      <c r="B565" s="4" t="s">
        <v>36</v>
      </c>
      <c r="C565" s="3" t="s">
        <v>881</v>
      </c>
      <c r="D565" s="3" t="s">
        <v>882</v>
      </c>
      <c r="E565" s="29">
        <v>45905.0</v>
      </c>
      <c r="F565" s="22" t="s">
        <v>27</v>
      </c>
      <c r="G565" s="22" t="s">
        <v>92</v>
      </c>
      <c r="H565" s="6"/>
      <c r="I565" s="6"/>
      <c r="J565" s="6"/>
      <c r="K565" s="6"/>
      <c r="L565" s="6"/>
      <c r="M565" s="26"/>
      <c r="O565" s="19" t="str">
        <f t="shared" si="2"/>
        <v/>
      </c>
    </row>
    <row r="566">
      <c r="A566" s="22" t="s">
        <v>258</v>
      </c>
      <c r="B566" s="4" t="s">
        <v>45</v>
      </c>
      <c r="C566" s="3" t="s">
        <v>883</v>
      </c>
      <c r="D566" s="3" t="s">
        <v>884</v>
      </c>
      <c r="E566" s="29">
        <v>45905.0</v>
      </c>
      <c r="F566" s="22" t="s">
        <v>27</v>
      </c>
      <c r="G566" s="22" t="s">
        <v>92</v>
      </c>
      <c r="H566" s="6"/>
      <c r="I566" s="6"/>
      <c r="J566" s="6"/>
      <c r="K566" s="6"/>
      <c r="L566" s="6"/>
      <c r="M566" s="26"/>
      <c r="O566" s="19" t="str">
        <f t="shared" si="2"/>
        <v/>
      </c>
    </row>
    <row r="567">
      <c r="A567" s="22" t="s">
        <v>198</v>
      </c>
      <c r="B567" s="4" t="s">
        <v>109</v>
      </c>
      <c r="C567" s="3" t="s">
        <v>885</v>
      </c>
      <c r="D567" s="3" t="s">
        <v>886</v>
      </c>
      <c r="E567" s="29">
        <v>45905.0</v>
      </c>
      <c r="F567" s="22" t="s">
        <v>27</v>
      </c>
      <c r="G567" s="22" t="s">
        <v>129</v>
      </c>
      <c r="H567" s="6"/>
      <c r="I567" s="6"/>
      <c r="J567" s="6"/>
      <c r="K567" s="6"/>
      <c r="L567" s="6"/>
      <c r="M567" s="26"/>
      <c r="O567" s="19" t="str">
        <f t="shared" si="2"/>
        <v/>
      </c>
    </row>
    <row r="568">
      <c r="A568" s="22" t="s">
        <v>744</v>
      </c>
      <c r="B568" s="4" t="s">
        <v>18</v>
      </c>
      <c r="C568" s="3" t="s">
        <v>887</v>
      </c>
      <c r="D568" s="3" t="s">
        <v>888</v>
      </c>
      <c r="E568" s="29">
        <v>45906.0</v>
      </c>
      <c r="F568" s="22" t="s">
        <v>27</v>
      </c>
      <c r="G568" s="22" t="s">
        <v>92</v>
      </c>
      <c r="H568" s="6"/>
      <c r="I568" s="6"/>
      <c r="J568" s="6"/>
      <c r="K568" s="6"/>
      <c r="L568" s="6"/>
      <c r="M568" s="26"/>
      <c r="O568" s="19" t="str">
        <f t="shared" si="2"/>
        <v/>
      </c>
    </row>
    <row r="569">
      <c r="A569" s="22" t="s">
        <v>158</v>
      </c>
      <c r="B569" s="4" t="s">
        <v>31</v>
      </c>
      <c r="C569" s="3" t="s">
        <v>889</v>
      </c>
      <c r="D569" s="3" t="s">
        <v>890</v>
      </c>
      <c r="E569" s="29">
        <v>45906.0</v>
      </c>
      <c r="F569" s="22" t="s">
        <v>27</v>
      </c>
      <c r="G569" s="22" t="s">
        <v>92</v>
      </c>
      <c r="H569" s="6"/>
      <c r="I569" s="6"/>
      <c r="J569" s="6"/>
      <c r="K569" s="6"/>
      <c r="L569" s="6"/>
      <c r="M569" s="26"/>
      <c r="O569" s="19" t="str">
        <f t="shared" si="2"/>
        <v/>
      </c>
    </row>
    <row r="570">
      <c r="A570" s="22" t="s">
        <v>744</v>
      </c>
      <c r="B570" s="4" t="s">
        <v>18</v>
      </c>
      <c r="C570" s="3" t="s">
        <v>853</v>
      </c>
      <c r="D570" s="3" t="s">
        <v>891</v>
      </c>
      <c r="E570" s="29">
        <v>45906.0</v>
      </c>
      <c r="F570" s="22" t="s">
        <v>27</v>
      </c>
      <c r="G570" s="22" t="s">
        <v>92</v>
      </c>
      <c r="H570" s="6"/>
      <c r="I570" s="6"/>
      <c r="J570" s="6"/>
      <c r="K570" s="6"/>
      <c r="L570" s="6"/>
      <c r="M570" s="26"/>
      <c r="O570" s="19" t="str">
        <f t="shared" si="2"/>
        <v/>
      </c>
    </row>
    <row r="571">
      <c r="A571" s="22" t="s">
        <v>276</v>
      </c>
      <c r="B571" s="4" t="s">
        <v>18</v>
      </c>
      <c r="C571" s="3" t="s">
        <v>892</v>
      </c>
      <c r="D571" s="3" t="s">
        <v>893</v>
      </c>
      <c r="E571" s="29">
        <v>45906.0</v>
      </c>
      <c r="F571" s="22" t="s">
        <v>27</v>
      </c>
      <c r="G571" s="22" t="s">
        <v>92</v>
      </c>
      <c r="H571" s="6"/>
      <c r="I571" s="6"/>
      <c r="J571" s="6"/>
      <c r="K571" s="6"/>
      <c r="L571" s="6"/>
      <c r="M571" s="26"/>
      <c r="O571" s="19" t="str">
        <f t="shared" si="2"/>
        <v/>
      </c>
    </row>
    <row r="572">
      <c r="A572" s="22" t="s">
        <v>744</v>
      </c>
      <c r="B572" s="4" t="s">
        <v>18</v>
      </c>
      <c r="C572" s="3" t="s">
        <v>894</v>
      </c>
      <c r="D572" s="3" t="s">
        <v>895</v>
      </c>
      <c r="E572" s="29">
        <v>45906.0</v>
      </c>
      <c r="F572" s="22" t="s">
        <v>27</v>
      </c>
      <c r="G572" s="22" t="s">
        <v>92</v>
      </c>
      <c r="H572" s="6"/>
      <c r="I572" s="6"/>
      <c r="J572" s="6"/>
      <c r="K572" s="6"/>
      <c r="L572" s="6"/>
      <c r="M572" s="26"/>
      <c r="O572" s="19" t="str">
        <f t="shared" si="2"/>
        <v/>
      </c>
    </row>
    <row r="573">
      <c r="A573" s="22" t="s">
        <v>57</v>
      </c>
      <c r="B573" s="4" t="s">
        <v>18</v>
      </c>
      <c r="C573" s="3" t="s">
        <v>896</v>
      </c>
      <c r="D573" s="3" t="s">
        <v>897</v>
      </c>
      <c r="E573" s="29">
        <v>45906.0</v>
      </c>
      <c r="F573" s="22" t="s">
        <v>27</v>
      </c>
      <c r="G573" s="22" t="s">
        <v>92</v>
      </c>
      <c r="H573" s="6"/>
      <c r="I573" s="6"/>
      <c r="J573" s="6"/>
      <c r="K573" s="6"/>
      <c r="L573" s="6"/>
      <c r="M573" s="26"/>
      <c r="O573" s="19" t="str">
        <f t="shared" si="2"/>
        <v/>
      </c>
    </row>
    <row r="574">
      <c r="A574" s="22" t="s">
        <v>44</v>
      </c>
      <c r="B574" s="4" t="s">
        <v>45</v>
      </c>
      <c r="C574" s="3" t="s">
        <v>898</v>
      </c>
      <c r="D574" s="3" t="s">
        <v>899</v>
      </c>
      <c r="E574" s="29">
        <v>45906.0</v>
      </c>
      <c r="F574" s="22" t="s">
        <v>27</v>
      </c>
      <c r="G574" s="22" t="s">
        <v>92</v>
      </c>
      <c r="H574" s="6"/>
      <c r="I574" s="6"/>
      <c r="J574" s="6"/>
      <c r="K574" s="6"/>
      <c r="L574" s="6"/>
      <c r="M574" s="26"/>
      <c r="O574" s="19" t="str">
        <f t="shared" si="2"/>
        <v/>
      </c>
    </row>
    <row r="575">
      <c r="A575" s="22" t="s">
        <v>210</v>
      </c>
      <c r="B575" s="4" t="s">
        <v>31</v>
      </c>
      <c r="C575" s="3" t="s">
        <v>900</v>
      </c>
      <c r="D575" s="3" t="s">
        <v>901</v>
      </c>
      <c r="E575" s="29">
        <v>45906.0</v>
      </c>
      <c r="F575" s="22" t="s">
        <v>27</v>
      </c>
      <c r="G575" s="22" t="s">
        <v>92</v>
      </c>
      <c r="H575" s="6"/>
      <c r="I575" s="6"/>
      <c r="J575" s="6"/>
      <c r="K575" s="6"/>
      <c r="L575" s="6"/>
      <c r="M575" s="26"/>
      <c r="O575" s="19" t="str">
        <f t="shared" si="2"/>
        <v/>
      </c>
    </row>
    <row r="576">
      <c r="A576" s="22" t="s">
        <v>125</v>
      </c>
      <c r="B576" s="4" t="s">
        <v>31</v>
      </c>
      <c r="C576" s="3" t="s">
        <v>813</v>
      </c>
      <c r="D576" s="3" t="s">
        <v>902</v>
      </c>
      <c r="E576" s="29">
        <v>45906.0</v>
      </c>
      <c r="F576" s="22" t="s">
        <v>27</v>
      </c>
      <c r="G576" s="22" t="s">
        <v>92</v>
      </c>
      <c r="H576" s="6"/>
      <c r="I576" s="6"/>
      <c r="J576" s="6"/>
      <c r="K576" s="6"/>
      <c r="L576" s="6"/>
      <c r="M576" s="26"/>
      <c r="O576" s="19" t="str">
        <f t="shared" si="2"/>
        <v/>
      </c>
    </row>
    <row r="577">
      <c r="A577" s="22" t="s">
        <v>155</v>
      </c>
      <c r="B577" s="4" t="s">
        <v>18</v>
      </c>
      <c r="C577" s="3" t="s">
        <v>156</v>
      </c>
      <c r="D577" s="3" t="s">
        <v>903</v>
      </c>
      <c r="E577" s="29">
        <v>45906.0</v>
      </c>
      <c r="F577" s="22" t="s">
        <v>27</v>
      </c>
      <c r="G577" s="22" t="s">
        <v>92</v>
      </c>
      <c r="H577" s="6"/>
      <c r="I577" s="6"/>
      <c r="J577" s="6"/>
      <c r="K577" s="6"/>
      <c r="L577" s="6"/>
      <c r="M577" s="26"/>
      <c r="O577" s="19" t="str">
        <f t="shared" si="2"/>
        <v/>
      </c>
    </row>
    <row r="578">
      <c r="A578" s="22" t="s">
        <v>744</v>
      </c>
      <c r="B578" s="4" t="s">
        <v>18</v>
      </c>
      <c r="C578" s="3" t="s">
        <v>904</v>
      </c>
      <c r="D578" s="3" t="s">
        <v>905</v>
      </c>
      <c r="E578" s="29">
        <v>45906.0</v>
      </c>
      <c r="F578" s="22" t="s">
        <v>27</v>
      </c>
      <c r="G578" s="22" t="s">
        <v>92</v>
      </c>
      <c r="H578" s="6"/>
      <c r="I578" s="6"/>
      <c r="J578" s="6"/>
      <c r="K578" s="6"/>
      <c r="L578" s="6"/>
      <c r="M578" s="26"/>
      <c r="O578" s="19" t="str">
        <f t="shared" si="2"/>
        <v/>
      </c>
    </row>
    <row r="579">
      <c r="A579" s="22" t="s">
        <v>265</v>
      </c>
      <c r="B579" s="4" t="s">
        <v>18</v>
      </c>
      <c r="C579" s="3" t="s">
        <v>132</v>
      </c>
      <c r="D579" s="3" t="s">
        <v>906</v>
      </c>
      <c r="E579" s="29">
        <v>45906.0</v>
      </c>
      <c r="F579" s="22" t="s">
        <v>27</v>
      </c>
      <c r="G579" s="22" t="s">
        <v>92</v>
      </c>
      <c r="H579" s="6"/>
      <c r="I579" s="6"/>
      <c r="J579" s="6"/>
      <c r="K579" s="6"/>
      <c r="L579" s="6"/>
      <c r="M579" s="26"/>
      <c r="O579" s="19" t="str">
        <f t="shared" si="2"/>
        <v/>
      </c>
    </row>
    <row r="580">
      <c r="A580" s="22" t="s">
        <v>244</v>
      </c>
      <c r="B580" s="4" t="s">
        <v>18</v>
      </c>
      <c r="C580" s="3" t="s">
        <v>907</v>
      </c>
      <c r="D580" s="3" t="s">
        <v>908</v>
      </c>
      <c r="E580" s="29">
        <v>45906.0</v>
      </c>
      <c r="F580" s="22" t="s">
        <v>27</v>
      </c>
      <c r="G580" s="22" t="s">
        <v>92</v>
      </c>
      <c r="H580" s="6"/>
      <c r="I580" s="6"/>
      <c r="J580" s="6"/>
      <c r="K580" s="6"/>
      <c r="L580" s="6"/>
      <c r="M580" s="26"/>
      <c r="O580" s="19" t="str">
        <f t="shared" si="2"/>
        <v/>
      </c>
    </row>
    <row r="581">
      <c r="A581" s="22" t="s">
        <v>276</v>
      </c>
      <c r="B581" s="4" t="s">
        <v>18</v>
      </c>
      <c r="C581" s="3" t="s">
        <v>909</v>
      </c>
      <c r="D581" s="3" t="s">
        <v>910</v>
      </c>
      <c r="E581" s="29">
        <v>45906.0</v>
      </c>
      <c r="F581" s="22" t="s">
        <v>27</v>
      </c>
      <c r="G581" s="22" t="s">
        <v>92</v>
      </c>
      <c r="H581" s="6"/>
      <c r="I581" s="6"/>
      <c r="J581" s="6"/>
      <c r="K581" s="6"/>
      <c r="L581" s="6"/>
      <c r="M581" s="26"/>
      <c r="O581" s="19" t="str">
        <f t="shared" si="2"/>
        <v/>
      </c>
    </row>
    <row r="582">
      <c r="A582" s="22" t="s">
        <v>158</v>
      </c>
      <c r="B582" s="4" t="s">
        <v>31</v>
      </c>
      <c r="C582" s="3" t="s">
        <v>911</v>
      </c>
      <c r="D582" s="3" t="s">
        <v>912</v>
      </c>
      <c r="E582" s="29">
        <v>45906.0</v>
      </c>
      <c r="F582" s="22" t="s">
        <v>27</v>
      </c>
      <c r="G582" s="22" t="s">
        <v>92</v>
      </c>
      <c r="H582" s="6"/>
      <c r="I582" s="6"/>
      <c r="J582" s="6"/>
      <c r="K582" s="6"/>
      <c r="L582" s="6"/>
      <c r="M582" s="26"/>
      <c r="O582" s="19" t="str">
        <f t="shared" si="2"/>
        <v/>
      </c>
    </row>
    <row r="583">
      <c r="A583" s="22" t="s">
        <v>305</v>
      </c>
      <c r="B583" s="4" t="s">
        <v>36</v>
      </c>
      <c r="C583" s="3" t="s">
        <v>306</v>
      </c>
      <c r="D583" s="3" t="s">
        <v>913</v>
      </c>
      <c r="E583" s="29">
        <v>45906.0</v>
      </c>
      <c r="F583" s="22" t="s">
        <v>27</v>
      </c>
      <c r="G583" s="22" t="s">
        <v>92</v>
      </c>
      <c r="H583" s="6"/>
      <c r="I583" s="6"/>
      <c r="J583" s="6"/>
      <c r="K583" s="6"/>
      <c r="L583" s="6"/>
      <c r="M583" s="26"/>
      <c r="O583" s="19" t="str">
        <f t="shared" si="2"/>
        <v/>
      </c>
    </row>
    <row r="584">
      <c r="A584" s="22" t="s">
        <v>44</v>
      </c>
      <c r="B584" s="4" t="s">
        <v>45</v>
      </c>
      <c r="C584" s="3" t="s">
        <v>914</v>
      </c>
      <c r="D584" s="3" t="s">
        <v>915</v>
      </c>
      <c r="E584" s="29">
        <v>45906.0</v>
      </c>
      <c r="F584" s="22" t="s">
        <v>27</v>
      </c>
      <c r="G584" s="22" t="s">
        <v>92</v>
      </c>
      <c r="H584" s="6"/>
      <c r="I584" s="6"/>
      <c r="J584" s="6"/>
      <c r="K584" s="6"/>
      <c r="L584" s="6"/>
      <c r="M584" s="26"/>
      <c r="O584" s="19" t="str">
        <f t="shared" si="2"/>
        <v/>
      </c>
    </row>
    <row r="585">
      <c r="A585" s="22" t="s">
        <v>202</v>
      </c>
      <c r="B585" s="4" t="s">
        <v>36</v>
      </c>
      <c r="C585" s="3" t="s">
        <v>916</v>
      </c>
      <c r="D585" s="3"/>
      <c r="E585" s="29">
        <v>45907.0</v>
      </c>
      <c r="F585" s="22" t="s">
        <v>27</v>
      </c>
      <c r="G585" s="22" t="s">
        <v>92</v>
      </c>
      <c r="H585" s="6"/>
      <c r="I585" s="6"/>
      <c r="J585" s="6"/>
      <c r="K585" s="6"/>
      <c r="L585" s="6"/>
      <c r="M585" s="26"/>
      <c r="O585" s="19" t="str">
        <f t="shared" si="2"/>
        <v/>
      </c>
    </row>
    <row r="586">
      <c r="A586" s="22" t="s">
        <v>717</v>
      </c>
      <c r="B586" s="4" t="s">
        <v>36</v>
      </c>
      <c r="C586" s="3" t="s">
        <v>917</v>
      </c>
      <c r="D586" s="3"/>
      <c r="E586" s="29">
        <v>45907.0</v>
      </c>
      <c r="F586" s="22" t="s">
        <v>93</v>
      </c>
      <c r="G586" s="22" t="s">
        <v>92</v>
      </c>
      <c r="H586" s="6"/>
      <c r="I586" s="6"/>
      <c r="J586" s="6"/>
      <c r="K586" s="6"/>
      <c r="L586" s="6"/>
      <c r="M586" s="26"/>
      <c r="O586" s="19" t="str">
        <f t="shared" si="2"/>
        <v/>
      </c>
    </row>
    <row r="587">
      <c r="A587" s="22" t="s">
        <v>198</v>
      </c>
      <c r="B587" s="4" t="s">
        <v>109</v>
      </c>
      <c r="C587" s="3" t="s">
        <v>918</v>
      </c>
      <c r="D587" s="3"/>
      <c r="E587" s="29">
        <v>45907.0</v>
      </c>
      <c r="F587" s="22" t="s">
        <v>93</v>
      </c>
      <c r="G587" s="22" t="s">
        <v>92</v>
      </c>
      <c r="H587" s="6"/>
      <c r="I587" s="6"/>
      <c r="J587" s="6"/>
      <c r="K587" s="6"/>
      <c r="L587" s="6"/>
      <c r="M587" s="26"/>
      <c r="O587" s="19" t="str">
        <f t="shared" si="2"/>
        <v/>
      </c>
    </row>
    <row r="588">
      <c r="A588" s="22" t="s">
        <v>198</v>
      </c>
      <c r="B588" s="4" t="s">
        <v>109</v>
      </c>
      <c r="C588" s="3">
        <v>5046.0</v>
      </c>
      <c r="D588" s="3"/>
      <c r="E588" s="29">
        <v>45907.0</v>
      </c>
      <c r="F588" s="22" t="s">
        <v>93</v>
      </c>
      <c r="G588" s="22" t="s">
        <v>92</v>
      </c>
      <c r="H588" s="6"/>
      <c r="I588" s="6"/>
      <c r="J588" s="6"/>
      <c r="K588" s="6"/>
      <c r="L588" s="6"/>
      <c r="M588" s="26"/>
      <c r="O588" s="19" t="str">
        <f t="shared" si="2"/>
        <v/>
      </c>
    </row>
    <row r="589">
      <c r="A589" s="22" t="s">
        <v>510</v>
      </c>
      <c r="B589" s="4" t="s">
        <v>18</v>
      </c>
      <c r="C589" s="3" t="s">
        <v>919</v>
      </c>
      <c r="D589" s="3" t="s">
        <v>920</v>
      </c>
      <c r="E589" s="29">
        <v>45907.0</v>
      </c>
      <c r="F589" s="22" t="s">
        <v>27</v>
      </c>
      <c r="G589" s="22" t="s">
        <v>92</v>
      </c>
      <c r="H589" s="6"/>
      <c r="I589" s="6"/>
      <c r="J589" s="6"/>
      <c r="K589" s="6"/>
      <c r="L589" s="6"/>
      <c r="M589" s="26"/>
      <c r="O589" s="19" t="str">
        <f t="shared" si="2"/>
        <v/>
      </c>
    </row>
    <row r="590">
      <c r="A590" s="22" t="s">
        <v>510</v>
      </c>
      <c r="B590" s="4" t="s">
        <v>18</v>
      </c>
      <c r="C590" s="3" t="s">
        <v>564</v>
      </c>
      <c r="D590" s="3" t="s">
        <v>921</v>
      </c>
      <c r="E590" s="29">
        <v>45907.0</v>
      </c>
      <c r="F590" s="22" t="s">
        <v>27</v>
      </c>
      <c r="G590" s="22" t="s">
        <v>92</v>
      </c>
      <c r="H590" s="6"/>
      <c r="I590" s="6"/>
      <c r="J590" s="6"/>
      <c r="K590" s="6"/>
      <c r="L590" s="6"/>
      <c r="M590" s="26"/>
      <c r="O590" s="19" t="str">
        <f t="shared" si="2"/>
        <v/>
      </c>
    </row>
    <row r="591">
      <c r="A591" s="22" t="s">
        <v>236</v>
      </c>
      <c r="B591" s="4" t="s">
        <v>18</v>
      </c>
      <c r="C591" s="3" t="s">
        <v>922</v>
      </c>
      <c r="D591" s="3" t="s">
        <v>923</v>
      </c>
      <c r="E591" s="29">
        <v>45907.0</v>
      </c>
      <c r="F591" s="22" t="s">
        <v>27</v>
      </c>
      <c r="G591" s="22" t="s">
        <v>92</v>
      </c>
      <c r="H591" s="6"/>
      <c r="I591" s="6"/>
      <c r="J591" s="6"/>
      <c r="K591" s="6"/>
      <c r="L591" s="6"/>
      <c r="M591" s="26"/>
      <c r="O591" s="19" t="str">
        <f t="shared" si="2"/>
        <v/>
      </c>
    </row>
    <row r="592">
      <c r="A592" s="22" t="s">
        <v>576</v>
      </c>
      <c r="B592" s="4" t="s">
        <v>31</v>
      </c>
      <c r="C592" s="3" t="s">
        <v>924</v>
      </c>
      <c r="D592" s="3" t="s">
        <v>925</v>
      </c>
      <c r="E592" s="29">
        <v>45907.0</v>
      </c>
      <c r="F592" s="22" t="s">
        <v>27</v>
      </c>
      <c r="G592" s="22" t="s">
        <v>92</v>
      </c>
      <c r="H592" s="6"/>
      <c r="I592" s="6"/>
      <c r="J592" s="6"/>
      <c r="K592" s="6"/>
      <c r="L592" s="6"/>
      <c r="M592" s="26"/>
      <c r="O592" s="19" t="str">
        <f t="shared" si="2"/>
        <v/>
      </c>
    </row>
    <row r="593">
      <c r="A593" s="22" t="s">
        <v>305</v>
      </c>
      <c r="B593" s="4" t="s">
        <v>36</v>
      </c>
      <c r="C593" s="3" t="s">
        <v>926</v>
      </c>
      <c r="D593" s="3" t="s">
        <v>927</v>
      </c>
      <c r="E593" s="29">
        <v>45907.0</v>
      </c>
      <c r="F593" s="22" t="s">
        <v>27</v>
      </c>
      <c r="G593" s="22" t="s">
        <v>92</v>
      </c>
      <c r="H593" s="6"/>
      <c r="I593" s="6"/>
      <c r="J593" s="6"/>
      <c r="K593" s="6"/>
      <c r="L593" s="6"/>
      <c r="M593" s="26"/>
      <c r="O593" s="19" t="str">
        <f t="shared" si="2"/>
        <v/>
      </c>
    </row>
    <row r="594">
      <c r="A594" s="22" t="s">
        <v>227</v>
      </c>
      <c r="B594" s="4" t="s">
        <v>18</v>
      </c>
      <c r="C594" s="3" t="s">
        <v>182</v>
      </c>
      <c r="D594" s="3" t="s">
        <v>928</v>
      </c>
      <c r="E594" s="29">
        <v>45907.0</v>
      </c>
      <c r="F594" s="22" t="s">
        <v>27</v>
      </c>
      <c r="G594" s="22" t="s">
        <v>92</v>
      </c>
      <c r="H594" s="6"/>
      <c r="I594" s="6"/>
      <c r="J594" s="6"/>
      <c r="K594" s="6"/>
      <c r="L594" s="6"/>
      <c r="M594" s="26"/>
      <c r="O594" s="19" t="str">
        <f t="shared" si="2"/>
        <v/>
      </c>
    </row>
    <row r="595">
      <c r="A595" s="22" t="s">
        <v>717</v>
      </c>
      <c r="B595" s="4" t="s">
        <v>36</v>
      </c>
      <c r="C595" s="3" t="s">
        <v>929</v>
      </c>
      <c r="D595" s="3"/>
      <c r="E595" s="29">
        <v>45907.0</v>
      </c>
      <c r="F595" s="22" t="s">
        <v>27</v>
      </c>
      <c r="G595" s="22" t="s">
        <v>92</v>
      </c>
      <c r="H595" s="6"/>
      <c r="I595" s="6"/>
      <c r="J595" s="6"/>
      <c r="K595" s="6"/>
      <c r="L595" s="6"/>
      <c r="M595" s="26"/>
      <c r="O595" s="19" t="str">
        <f t="shared" si="2"/>
        <v/>
      </c>
    </row>
    <row r="596">
      <c r="A596" s="22" t="s">
        <v>744</v>
      </c>
      <c r="B596" s="4" t="s">
        <v>18</v>
      </c>
      <c r="C596" s="3" t="s">
        <v>930</v>
      </c>
      <c r="D596" s="3" t="s">
        <v>931</v>
      </c>
      <c r="E596" s="29">
        <v>45907.0</v>
      </c>
      <c r="F596" s="22" t="s">
        <v>27</v>
      </c>
      <c r="G596" s="22" t="s">
        <v>92</v>
      </c>
      <c r="H596" s="6"/>
      <c r="I596" s="6"/>
      <c r="J596" s="6"/>
      <c r="K596" s="6"/>
      <c r="L596" s="6"/>
      <c r="M596" s="26"/>
      <c r="O596" s="19" t="str">
        <f t="shared" si="2"/>
        <v/>
      </c>
    </row>
    <row r="597">
      <c r="A597" s="22" t="s">
        <v>576</v>
      </c>
      <c r="B597" s="4" t="s">
        <v>31</v>
      </c>
      <c r="C597" s="3" t="s">
        <v>924</v>
      </c>
      <c r="D597" s="3" t="s">
        <v>932</v>
      </c>
      <c r="E597" s="29">
        <v>45907.0</v>
      </c>
      <c r="F597" s="22" t="s">
        <v>27</v>
      </c>
      <c r="G597" s="22" t="s">
        <v>92</v>
      </c>
      <c r="H597" s="6"/>
      <c r="I597" s="6"/>
      <c r="J597" s="6"/>
      <c r="K597" s="6"/>
      <c r="L597" s="6"/>
      <c r="M597" s="26"/>
      <c r="O597" s="19" t="str">
        <f t="shared" si="2"/>
        <v/>
      </c>
    </row>
    <row r="598">
      <c r="A598" s="22" t="s">
        <v>69</v>
      </c>
      <c r="B598" s="4" t="s">
        <v>31</v>
      </c>
      <c r="C598" s="3" t="s">
        <v>287</v>
      </c>
      <c r="D598" s="3" t="s">
        <v>933</v>
      </c>
      <c r="E598" s="29">
        <v>45907.0</v>
      </c>
      <c r="F598" s="22" t="s">
        <v>27</v>
      </c>
      <c r="G598" s="22" t="s">
        <v>92</v>
      </c>
      <c r="H598" s="6"/>
      <c r="I598" s="6"/>
      <c r="J598" s="6"/>
      <c r="K598" s="6"/>
      <c r="L598" s="6"/>
      <c r="M598" s="26"/>
      <c r="O598" s="19" t="str">
        <f t="shared" si="2"/>
        <v/>
      </c>
    </row>
    <row r="599">
      <c r="A599" s="22" t="s">
        <v>510</v>
      </c>
      <c r="B599" s="4" t="s">
        <v>18</v>
      </c>
      <c r="C599" s="3" t="s">
        <v>213</v>
      </c>
      <c r="D599" s="3" t="s">
        <v>934</v>
      </c>
      <c r="E599" s="29">
        <v>45907.0</v>
      </c>
      <c r="F599" s="22" t="s">
        <v>27</v>
      </c>
      <c r="G599" s="22" t="s">
        <v>92</v>
      </c>
      <c r="H599" s="6"/>
      <c r="I599" s="6"/>
      <c r="J599" s="6"/>
      <c r="K599" s="6"/>
      <c r="L599" s="6"/>
      <c r="M599" s="26"/>
      <c r="O599" s="19" t="str">
        <f t="shared" si="2"/>
        <v/>
      </c>
    </row>
    <row r="600">
      <c r="A600" s="22" t="s">
        <v>107</v>
      </c>
      <c r="B600" s="4" t="s">
        <v>18</v>
      </c>
      <c r="C600" s="3" t="s">
        <v>935</v>
      </c>
      <c r="D600" s="3" t="s">
        <v>936</v>
      </c>
      <c r="E600" s="29">
        <v>45907.0</v>
      </c>
      <c r="F600" s="22" t="s">
        <v>27</v>
      </c>
      <c r="G600" s="22" t="s">
        <v>92</v>
      </c>
      <c r="H600" s="6"/>
      <c r="I600" s="6"/>
      <c r="J600" s="6"/>
      <c r="K600" s="6"/>
      <c r="L600" s="6"/>
      <c r="M600" s="26"/>
      <c r="O600" s="19" t="str">
        <f t="shared" si="2"/>
        <v/>
      </c>
    </row>
    <row r="601">
      <c r="A601" s="22" t="s">
        <v>510</v>
      </c>
      <c r="B601" s="4" t="s">
        <v>18</v>
      </c>
      <c r="C601" s="3" t="s">
        <v>937</v>
      </c>
      <c r="D601" s="3" t="s">
        <v>938</v>
      </c>
      <c r="E601" s="29">
        <v>45907.0</v>
      </c>
      <c r="F601" s="22" t="s">
        <v>27</v>
      </c>
      <c r="G601" s="22" t="s">
        <v>92</v>
      </c>
      <c r="H601" s="6"/>
      <c r="I601" s="6"/>
      <c r="J601" s="6"/>
      <c r="K601" s="6"/>
      <c r="L601" s="6"/>
      <c r="M601" s="26"/>
      <c r="O601" s="19" t="str">
        <f t="shared" si="2"/>
        <v/>
      </c>
    </row>
    <row r="602">
      <c r="A602" s="22" t="s">
        <v>168</v>
      </c>
      <c r="B602" s="4" t="s">
        <v>45</v>
      </c>
      <c r="C602" s="3" t="s">
        <v>939</v>
      </c>
      <c r="D602" s="3" t="s">
        <v>940</v>
      </c>
      <c r="E602" s="29">
        <v>45907.0</v>
      </c>
      <c r="F602" s="22" t="s">
        <v>27</v>
      </c>
      <c r="G602" s="22" t="s">
        <v>92</v>
      </c>
      <c r="H602" s="6"/>
      <c r="I602" s="6"/>
      <c r="J602" s="6"/>
      <c r="K602" s="6"/>
      <c r="L602" s="6"/>
      <c r="M602" s="26"/>
      <c r="O602" s="19" t="str">
        <f t="shared" si="2"/>
        <v/>
      </c>
    </row>
    <row r="603">
      <c r="A603" s="22" t="s">
        <v>418</v>
      </c>
      <c r="B603" s="4" t="s">
        <v>18</v>
      </c>
      <c r="C603" s="3" t="s">
        <v>641</v>
      </c>
      <c r="D603" s="3" t="s">
        <v>941</v>
      </c>
      <c r="E603" s="29">
        <v>45907.0</v>
      </c>
      <c r="F603" s="22" t="s">
        <v>27</v>
      </c>
      <c r="G603" s="22" t="s">
        <v>92</v>
      </c>
      <c r="H603" s="6"/>
      <c r="I603" s="6"/>
      <c r="J603" s="6"/>
      <c r="K603" s="6"/>
      <c r="L603" s="6"/>
      <c r="M603" s="26"/>
      <c r="O603" s="19" t="str">
        <f t="shared" si="2"/>
        <v/>
      </c>
    </row>
    <row r="604">
      <c r="A604" s="22" t="s">
        <v>717</v>
      </c>
      <c r="B604" s="4" t="s">
        <v>36</v>
      </c>
      <c r="C604" s="3" t="s">
        <v>942</v>
      </c>
      <c r="D604" s="3" t="s">
        <v>943</v>
      </c>
      <c r="E604" s="29">
        <v>45907.0</v>
      </c>
      <c r="F604" s="22" t="s">
        <v>27</v>
      </c>
      <c r="G604" s="22" t="s">
        <v>92</v>
      </c>
      <c r="H604" s="6"/>
      <c r="I604" s="6"/>
      <c r="J604" s="6"/>
      <c r="K604" s="6"/>
      <c r="L604" s="6"/>
      <c r="M604" s="26"/>
      <c r="O604" s="19" t="str">
        <f t="shared" si="2"/>
        <v/>
      </c>
    </row>
    <row r="605">
      <c r="A605" s="22" t="s">
        <v>435</v>
      </c>
      <c r="B605" s="4" t="s">
        <v>18</v>
      </c>
      <c r="C605" s="3" t="s">
        <v>716</v>
      </c>
      <c r="D605" s="3" t="s">
        <v>944</v>
      </c>
      <c r="E605" s="29">
        <v>45908.0</v>
      </c>
      <c r="F605" s="22" t="s">
        <v>27</v>
      </c>
      <c r="G605" s="22" t="s">
        <v>129</v>
      </c>
      <c r="H605" s="6"/>
      <c r="I605" s="6"/>
      <c r="J605" s="6"/>
      <c r="K605" s="6"/>
      <c r="L605" s="6"/>
      <c r="M605" s="26"/>
      <c r="O605" s="19" t="str">
        <f t="shared" si="2"/>
        <v/>
      </c>
    </row>
    <row r="606">
      <c r="A606" s="22" t="s">
        <v>945</v>
      </c>
      <c r="B606" s="4" t="s">
        <v>18</v>
      </c>
      <c r="C606" s="3" t="s">
        <v>946</v>
      </c>
      <c r="D606" s="3" t="s">
        <v>947</v>
      </c>
      <c r="E606" s="29">
        <v>45908.0</v>
      </c>
      <c r="F606" s="22" t="s">
        <v>27</v>
      </c>
      <c r="G606" s="22" t="s">
        <v>92</v>
      </c>
      <c r="H606" s="6"/>
      <c r="I606" s="6"/>
      <c r="J606" s="6"/>
      <c r="K606" s="6"/>
      <c r="L606" s="6"/>
      <c r="M606" s="26"/>
      <c r="O606" s="19" t="str">
        <f t="shared" si="2"/>
        <v/>
      </c>
    </row>
    <row r="607">
      <c r="A607" s="22" t="s">
        <v>510</v>
      </c>
      <c r="B607" s="4" t="s">
        <v>18</v>
      </c>
      <c r="C607" s="3" t="s">
        <v>948</v>
      </c>
      <c r="D607" s="3" t="s">
        <v>949</v>
      </c>
      <c r="E607" s="29">
        <v>45908.0</v>
      </c>
      <c r="F607" s="22" t="s">
        <v>27</v>
      </c>
      <c r="G607" s="22" t="s">
        <v>92</v>
      </c>
      <c r="H607" s="6"/>
      <c r="I607" s="6"/>
      <c r="J607" s="6"/>
      <c r="K607" s="6"/>
      <c r="L607" s="6"/>
      <c r="M607" s="26"/>
      <c r="O607" s="19" t="str">
        <f t="shared" si="2"/>
        <v/>
      </c>
    </row>
    <row r="608">
      <c r="A608" s="22" t="s">
        <v>418</v>
      </c>
      <c r="B608" s="4" t="s">
        <v>18</v>
      </c>
      <c r="C608" s="3" t="s">
        <v>950</v>
      </c>
      <c r="D608" s="3"/>
      <c r="E608" s="29">
        <v>45908.0</v>
      </c>
      <c r="F608" s="22" t="s">
        <v>27</v>
      </c>
      <c r="G608" s="22" t="s">
        <v>92</v>
      </c>
      <c r="H608" s="6"/>
      <c r="I608" s="6"/>
      <c r="J608" s="6"/>
      <c r="K608" s="6"/>
      <c r="L608" s="6"/>
      <c r="M608" s="26"/>
      <c r="O608" s="19" t="str">
        <f t="shared" si="2"/>
        <v/>
      </c>
    </row>
    <row r="609">
      <c r="A609" s="22" t="s">
        <v>125</v>
      </c>
      <c r="B609" s="4" t="s">
        <v>31</v>
      </c>
      <c r="C609" s="3" t="s">
        <v>951</v>
      </c>
      <c r="D609" s="3" t="s">
        <v>952</v>
      </c>
      <c r="E609" s="29">
        <v>45908.0</v>
      </c>
      <c r="F609" s="22" t="s">
        <v>27</v>
      </c>
      <c r="G609" s="22" t="s">
        <v>92</v>
      </c>
      <c r="H609" s="6"/>
      <c r="I609" s="6"/>
      <c r="J609" s="6"/>
      <c r="K609" s="6"/>
      <c r="L609" s="6"/>
      <c r="M609" s="26"/>
      <c r="O609" s="19" t="str">
        <f t="shared" si="2"/>
        <v/>
      </c>
    </row>
    <row r="610">
      <c r="A610" s="22" t="s">
        <v>107</v>
      </c>
      <c r="B610" s="4" t="s">
        <v>18</v>
      </c>
      <c r="C610" s="3" t="s">
        <v>953</v>
      </c>
      <c r="D610" s="3" t="s">
        <v>954</v>
      </c>
      <c r="E610" s="29">
        <v>45908.0</v>
      </c>
      <c r="F610" s="22" t="s">
        <v>27</v>
      </c>
      <c r="G610" s="22" t="s">
        <v>92</v>
      </c>
      <c r="H610" s="6"/>
      <c r="I610" s="6"/>
      <c r="J610" s="6"/>
      <c r="K610" s="6"/>
      <c r="L610" s="6"/>
      <c r="M610" s="26"/>
      <c r="O610" s="19" t="str">
        <f t="shared" si="2"/>
        <v/>
      </c>
    </row>
    <row r="611">
      <c r="A611" s="22" t="s">
        <v>817</v>
      </c>
      <c r="B611" s="4" t="s">
        <v>36</v>
      </c>
      <c r="C611" s="3" t="s">
        <v>955</v>
      </c>
      <c r="D611" s="3"/>
      <c r="E611" s="29">
        <v>45908.0</v>
      </c>
      <c r="F611" s="22" t="s">
        <v>93</v>
      </c>
      <c r="G611" s="22" t="s">
        <v>92</v>
      </c>
      <c r="H611" s="6"/>
      <c r="I611" s="6"/>
      <c r="J611" s="6"/>
      <c r="K611" s="6"/>
      <c r="L611" s="6"/>
      <c r="M611" s="26"/>
      <c r="O611" s="19" t="str">
        <f t="shared" si="2"/>
        <v/>
      </c>
    </row>
    <row r="612">
      <c r="A612" s="22" t="s">
        <v>817</v>
      </c>
      <c r="B612" s="4" t="s">
        <v>36</v>
      </c>
      <c r="C612" s="3" t="s">
        <v>286</v>
      </c>
      <c r="D612" s="3" t="s">
        <v>956</v>
      </c>
      <c r="E612" s="29">
        <v>45908.0</v>
      </c>
      <c r="F612" s="22" t="s">
        <v>27</v>
      </c>
      <c r="G612" s="22" t="s">
        <v>92</v>
      </c>
      <c r="H612" s="6"/>
      <c r="I612" s="6"/>
      <c r="J612" s="6"/>
      <c r="K612" s="6"/>
      <c r="L612" s="6"/>
      <c r="M612" s="26"/>
      <c r="O612" s="19" t="str">
        <f t="shared" si="2"/>
        <v/>
      </c>
    </row>
    <row r="613">
      <c r="A613" s="22" t="s">
        <v>291</v>
      </c>
      <c r="B613" s="4" t="s">
        <v>31</v>
      </c>
      <c r="C613" s="3">
        <v>2530.0</v>
      </c>
      <c r="D613" s="3"/>
      <c r="E613" s="29">
        <v>45908.0</v>
      </c>
      <c r="F613" s="22" t="s">
        <v>93</v>
      </c>
      <c r="G613" s="22" t="s">
        <v>92</v>
      </c>
      <c r="H613" s="6"/>
      <c r="I613" s="6"/>
      <c r="J613" s="6"/>
      <c r="K613" s="6"/>
      <c r="L613" s="6"/>
      <c r="M613" s="26"/>
      <c r="O613" s="19" t="str">
        <f t="shared" si="2"/>
        <v/>
      </c>
    </row>
    <row r="614">
      <c r="A614" s="22" t="s">
        <v>77</v>
      </c>
      <c r="B614" s="4" t="s">
        <v>18</v>
      </c>
      <c r="C614" s="3" t="s">
        <v>957</v>
      </c>
      <c r="D614" s="3" t="s">
        <v>958</v>
      </c>
      <c r="E614" s="29">
        <v>45908.0</v>
      </c>
      <c r="F614" s="22" t="s">
        <v>27</v>
      </c>
      <c r="G614" s="22" t="s">
        <v>92</v>
      </c>
      <c r="H614" s="6"/>
      <c r="I614" s="6"/>
      <c r="J614" s="6"/>
      <c r="K614" s="6"/>
      <c r="L614" s="6"/>
      <c r="M614" s="26"/>
      <c r="O614" s="19" t="str">
        <f t="shared" si="2"/>
        <v/>
      </c>
    </row>
    <row r="615">
      <c r="A615" s="22" t="s">
        <v>113</v>
      </c>
      <c r="B615" s="4" t="s">
        <v>18</v>
      </c>
      <c r="C615" s="3" t="s">
        <v>959</v>
      </c>
      <c r="D615" s="3" t="s">
        <v>960</v>
      </c>
      <c r="E615" s="29">
        <v>45908.0</v>
      </c>
      <c r="F615" s="22" t="s">
        <v>27</v>
      </c>
      <c r="G615" s="22" t="s">
        <v>92</v>
      </c>
      <c r="H615" s="6"/>
      <c r="I615" s="6"/>
      <c r="J615" s="6"/>
      <c r="K615" s="6"/>
      <c r="L615" s="6"/>
      <c r="M615" s="26"/>
      <c r="O615" s="19" t="str">
        <f t="shared" si="2"/>
        <v/>
      </c>
    </row>
    <row r="616">
      <c r="A616" s="22" t="s">
        <v>158</v>
      </c>
      <c r="B616" s="4" t="s">
        <v>31</v>
      </c>
      <c r="C616" s="3" t="s">
        <v>961</v>
      </c>
      <c r="D616" s="3" t="s">
        <v>962</v>
      </c>
      <c r="E616" s="29">
        <v>45908.0</v>
      </c>
      <c r="F616" s="22" t="s">
        <v>27</v>
      </c>
      <c r="G616" s="22" t="s">
        <v>92</v>
      </c>
      <c r="H616" s="6"/>
      <c r="I616" s="6"/>
      <c r="J616" s="6"/>
      <c r="K616" s="6"/>
      <c r="L616" s="6"/>
      <c r="M616" s="26"/>
      <c r="O616" s="19" t="str">
        <f t="shared" si="2"/>
        <v/>
      </c>
    </row>
    <row r="617">
      <c r="A617" s="22" t="s">
        <v>113</v>
      </c>
      <c r="B617" s="4" t="s">
        <v>18</v>
      </c>
      <c r="C617" s="3" t="s">
        <v>963</v>
      </c>
      <c r="D617" s="3"/>
      <c r="E617" s="29">
        <v>45908.0</v>
      </c>
      <c r="F617" s="22" t="s">
        <v>27</v>
      </c>
      <c r="G617" s="22" t="s">
        <v>92</v>
      </c>
      <c r="H617" s="6"/>
      <c r="I617" s="6"/>
      <c r="J617" s="6"/>
      <c r="K617" s="6"/>
      <c r="L617" s="6"/>
      <c r="M617" s="26"/>
      <c r="O617" s="19" t="str">
        <f t="shared" si="2"/>
        <v/>
      </c>
    </row>
    <row r="618">
      <c r="A618" s="22" t="s">
        <v>227</v>
      </c>
      <c r="B618" s="4" t="s">
        <v>18</v>
      </c>
      <c r="C618" s="3" t="s">
        <v>964</v>
      </c>
      <c r="D618" s="3" t="s">
        <v>965</v>
      </c>
      <c r="E618" s="29">
        <v>45908.0</v>
      </c>
      <c r="F618" s="22" t="s">
        <v>27</v>
      </c>
      <c r="G618" s="22" t="s">
        <v>92</v>
      </c>
      <c r="H618" s="6"/>
      <c r="I618" s="6"/>
      <c r="J618" s="6"/>
      <c r="K618" s="6"/>
      <c r="L618" s="6"/>
      <c r="M618" s="26"/>
      <c r="O618" s="19" t="str">
        <f t="shared" si="2"/>
        <v/>
      </c>
    </row>
    <row r="619">
      <c r="A619" s="22" t="s">
        <v>69</v>
      </c>
      <c r="B619" s="4" t="s">
        <v>31</v>
      </c>
      <c r="C619" s="3" t="s">
        <v>966</v>
      </c>
      <c r="D619" s="3" t="s">
        <v>967</v>
      </c>
      <c r="E619" s="29">
        <v>45908.0</v>
      </c>
      <c r="F619" s="22" t="s">
        <v>27</v>
      </c>
      <c r="G619" s="22" t="s">
        <v>92</v>
      </c>
      <c r="H619" s="6"/>
      <c r="I619" s="6"/>
      <c r="J619" s="6"/>
      <c r="K619" s="6"/>
      <c r="L619" s="6"/>
      <c r="M619" s="26"/>
      <c r="O619" s="19" t="str">
        <f t="shared" si="2"/>
        <v/>
      </c>
    </row>
    <row r="620">
      <c r="A620" s="22" t="s">
        <v>107</v>
      </c>
      <c r="B620" s="4" t="s">
        <v>18</v>
      </c>
      <c r="C620" s="3" t="s">
        <v>627</v>
      </c>
      <c r="D620" s="3" t="s">
        <v>968</v>
      </c>
      <c r="E620" s="29">
        <v>45908.0</v>
      </c>
      <c r="F620" s="22" t="s">
        <v>27</v>
      </c>
      <c r="G620" s="22" t="s">
        <v>92</v>
      </c>
      <c r="H620" s="6"/>
      <c r="I620" s="6"/>
      <c r="J620" s="6"/>
      <c r="K620" s="6"/>
      <c r="L620" s="6"/>
      <c r="M620" s="26"/>
      <c r="O620" s="19" t="str">
        <f t="shared" si="2"/>
        <v/>
      </c>
    </row>
    <row r="621">
      <c r="A621" s="22" t="s">
        <v>969</v>
      </c>
      <c r="B621" s="4" t="s">
        <v>31</v>
      </c>
      <c r="C621" s="3" t="s">
        <v>970</v>
      </c>
      <c r="D621" s="3" t="s">
        <v>971</v>
      </c>
      <c r="E621" s="29">
        <v>45908.0</v>
      </c>
      <c r="F621" s="22" t="s">
        <v>27</v>
      </c>
      <c r="G621" s="22" t="s">
        <v>92</v>
      </c>
      <c r="H621" s="6"/>
      <c r="I621" s="6"/>
      <c r="J621" s="6"/>
      <c r="K621" s="6"/>
      <c r="L621" s="6"/>
      <c r="M621" s="26"/>
      <c r="O621" s="19" t="str">
        <f t="shared" si="2"/>
        <v/>
      </c>
    </row>
    <row r="622">
      <c r="A622" s="22" t="s">
        <v>107</v>
      </c>
      <c r="B622" s="4" t="s">
        <v>18</v>
      </c>
      <c r="C622" s="3" t="s">
        <v>627</v>
      </c>
      <c r="D622" s="3" t="s">
        <v>972</v>
      </c>
      <c r="E622" s="29">
        <v>45908.0</v>
      </c>
      <c r="F622" s="22" t="s">
        <v>27</v>
      </c>
      <c r="G622" s="22" t="s">
        <v>92</v>
      </c>
      <c r="H622" s="6"/>
      <c r="I622" s="6"/>
      <c r="J622" s="6"/>
      <c r="K622" s="6"/>
      <c r="L622" s="6"/>
      <c r="M622" s="26"/>
      <c r="O622" s="19" t="str">
        <f t="shared" si="2"/>
        <v/>
      </c>
    </row>
    <row r="623">
      <c r="A623" s="22" t="s">
        <v>510</v>
      </c>
      <c r="B623" s="4" t="s">
        <v>18</v>
      </c>
      <c r="C623" s="3" t="s">
        <v>973</v>
      </c>
      <c r="D623" s="3" t="s">
        <v>974</v>
      </c>
      <c r="E623" s="29">
        <v>45908.0</v>
      </c>
      <c r="F623" s="22" t="s">
        <v>27</v>
      </c>
      <c r="G623" s="22" t="s">
        <v>92</v>
      </c>
      <c r="H623" s="6"/>
      <c r="I623" s="6"/>
      <c r="J623" s="6"/>
      <c r="K623" s="6"/>
      <c r="L623" s="6"/>
      <c r="M623" s="26"/>
      <c r="O623" s="19" t="str">
        <f t="shared" si="2"/>
        <v/>
      </c>
    </row>
    <row r="624">
      <c r="A624" s="22" t="s">
        <v>510</v>
      </c>
      <c r="B624" s="4" t="s">
        <v>18</v>
      </c>
      <c r="C624" s="3" t="s">
        <v>975</v>
      </c>
      <c r="D624" s="3" t="s">
        <v>976</v>
      </c>
      <c r="E624" s="29">
        <v>45908.0</v>
      </c>
      <c r="F624" s="22" t="s">
        <v>27</v>
      </c>
      <c r="G624" s="22" t="s">
        <v>92</v>
      </c>
      <c r="H624" s="6"/>
      <c r="I624" s="6"/>
      <c r="J624" s="6"/>
      <c r="K624" s="6"/>
      <c r="L624" s="6"/>
      <c r="M624" s="26"/>
      <c r="O624" s="19" t="str">
        <f t="shared" si="2"/>
        <v/>
      </c>
    </row>
    <row r="625">
      <c r="A625" s="22" t="s">
        <v>116</v>
      </c>
      <c r="B625" s="4" t="s">
        <v>31</v>
      </c>
      <c r="C625" s="3" t="s">
        <v>977</v>
      </c>
      <c r="D625" s="3" t="s">
        <v>978</v>
      </c>
      <c r="E625" s="29">
        <v>45908.0</v>
      </c>
      <c r="F625" s="22" t="s">
        <v>27</v>
      </c>
      <c r="G625" s="22" t="s">
        <v>92</v>
      </c>
      <c r="H625" s="6"/>
      <c r="I625" s="6"/>
      <c r="J625" s="6"/>
      <c r="K625" s="6"/>
      <c r="L625" s="6"/>
      <c r="M625" s="26"/>
      <c r="O625" s="19" t="str">
        <f t="shared" si="2"/>
        <v/>
      </c>
    </row>
    <row r="626">
      <c r="A626" s="22" t="s">
        <v>817</v>
      </c>
      <c r="B626" s="4" t="s">
        <v>36</v>
      </c>
      <c r="C626" s="3" t="s">
        <v>286</v>
      </c>
      <c r="D626" s="3" t="s">
        <v>979</v>
      </c>
      <c r="E626" s="29">
        <v>45908.0</v>
      </c>
      <c r="F626" s="22" t="s">
        <v>27</v>
      </c>
      <c r="G626" s="22" t="s">
        <v>92</v>
      </c>
      <c r="H626" s="6"/>
      <c r="I626" s="6"/>
      <c r="J626" s="6"/>
      <c r="K626" s="6"/>
      <c r="L626" s="6"/>
      <c r="M626" s="26"/>
      <c r="O626" s="19" t="str">
        <f t="shared" si="2"/>
        <v/>
      </c>
    </row>
    <row r="627">
      <c r="A627" s="22" t="s">
        <v>472</v>
      </c>
      <c r="B627" s="4" t="s">
        <v>18</v>
      </c>
      <c r="C627" s="3" t="s">
        <v>400</v>
      </c>
      <c r="D627" s="3" t="s">
        <v>980</v>
      </c>
      <c r="E627" s="29">
        <v>45908.0</v>
      </c>
      <c r="F627" s="22" t="s">
        <v>27</v>
      </c>
      <c r="G627" s="22" t="s">
        <v>92</v>
      </c>
      <c r="H627" s="6"/>
      <c r="I627" s="6"/>
      <c r="J627" s="6"/>
      <c r="K627" s="6"/>
      <c r="L627" s="6"/>
      <c r="M627" s="26"/>
      <c r="O627" s="19" t="str">
        <f t="shared" si="2"/>
        <v/>
      </c>
    </row>
    <row r="628">
      <c r="A628" s="22" t="s">
        <v>265</v>
      </c>
      <c r="B628" s="4" t="s">
        <v>18</v>
      </c>
      <c r="C628" s="3" t="s">
        <v>712</v>
      </c>
      <c r="D628" s="3" t="s">
        <v>981</v>
      </c>
      <c r="E628" s="29">
        <v>45908.0</v>
      </c>
      <c r="F628" s="22" t="s">
        <v>27</v>
      </c>
      <c r="G628" s="22" t="s">
        <v>92</v>
      </c>
      <c r="H628" s="6"/>
      <c r="I628" s="6"/>
      <c r="J628" s="6"/>
      <c r="K628" s="6"/>
      <c r="L628" s="6"/>
      <c r="M628" s="26"/>
      <c r="O628" s="19" t="str">
        <f t="shared" si="2"/>
        <v/>
      </c>
    </row>
    <row r="629">
      <c r="A629" s="22" t="s">
        <v>69</v>
      </c>
      <c r="B629" s="4" t="s">
        <v>31</v>
      </c>
      <c r="C629" s="3" t="s">
        <v>982</v>
      </c>
      <c r="D629" s="3" t="s">
        <v>983</v>
      </c>
      <c r="E629" s="29">
        <v>45908.0</v>
      </c>
      <c r="F629" s="22" t="s">
        <v>27</v>
      </c>
      <c r="G629" s="22" t="s">
        <v>92</v>
      </c>
      <c r="H629" s="6"/>
      <c r="I629" s="6"/>
      <c r="J629" s="6"/>
      <c r="K629" s="6"/>
      <c r="L629" s="6"/>
      <c r="M629" s="26"/>
      <c r="O629" s="19" t="str">
        <f t="shared" si="2"/>
        <v/>
      </c>
    </row>
    <row r="630">
      <c r="A630" s="22" t="s">
        <v>69</v>
      </c>
      <c r="B630" s="4" t="s">
        <v>31</v>
      </c>
      <c r="C630" s="3" t="s">
        <v>984</v>
      </c>
      <c r="D630" s="3" t="s">
        <v>985</v>
      </c>
      <c r="E630" s="29">
        <v>45908.0</v>
      </c>
      <c r="F630" s="22" t="s">
        <v>27</v>
      </c>
      <c r="G630" s="22" t="s">
        <v>92</v>
      </c>
      <c r="H630" s="6"/>
      <c r="I630" s="6"/>
      <c r="J630" s="6"/>
      <c r="K630" s="6"/>
      <c r="L630" s="6"/>
      <c r="M630" s="26"/>
      <c r="O630" s="19" t="str">
        <f t="shared" si="2"/>
        <v/>
      </c>
    </row>
    <row r="631">
      <c r="A631" s="22" t="s">
        <v>202</v>
      </c>
      <c r="B631" s="4" t="s">
        <v>36</v>
      </c>
      <c r="C631" s="3" t="s">
        <v>289</v>
      </c>
      <c r="D631" s="3" t="s">
        <v>986</v>
      </c>
      <c r="E631" s="29">
        <v>45908.0</v>
      </c>
      <c r="F631" s="22" t="s">
        <v>27</v>
      </c>
      <c r="G631" s="22" t="s">
        <v>92</v>
      </c>
      <c r="H631" s="6"/>
      <c r="I631" s="6"/>
      <c r="J631" s="6"/>
      <c r="K631" s="6"/>
      <c r="L631" s="6"/>
      <c r="M631" s="26"/>
      <c r="O631" s="19" t="str">
        <f t="shared" si="2"/>
        <v/>
      </c>
    </row>
    <row r="632">
      <c r="A632" s="22" t="s">
        <v>113</v>
      </c>
      <c r="B632" s="4" t="s">
        <v>18</v>
      </c>
      <c r="C632" s="3" t="s">
        <v>668</v>
      </c>
      <c r="D632" s="3"/>
      <c r="E632" s="29">
        <v>45908.0</v>
      </c>
      <c r="F632" s="22" t="s">
        <v>27</v>
      </c>
      <c r="G632" s="22" t="s">
        <v>92</v>
      </c>
      <c r="H632" s="6"/>
      <c r="I632" s="6"/>
      <c r="J632" s="6"/>
      <c r="K632" s="6"/>
      <c r="L632" s="6"/>
      <c r="M632" s="26"/>
      <c r="O632" s="19" t="str">
        <f t="shared" si="2"/>
        <v/>
      </c>
    </row>
    <row r="633">
      <c r="A633" s="22" t="s">
        <v>945</v>
      </c>
      <c r="B633" s="4" t="s">
        <v>18</v>
      </c>
      <c r="C633" s="3" t="s">
        <v>987</v>
      </c>
      <c r="D633" s="3" t="s">
        <v>988</v>
      </c>
      <c r="E633" s="29">
        <v>45909.0</v>
      </c>
      <c r="F633" s="22" t="s">
        <v>27</v>
      </c>
      <c r="G633" s="22" t="s">
        <v>129</v>
      </c>
      <c r="H633" s="6"/>
      <c r="I633" s="6"/>
      <c r="J633" s="6"/>
      <c r="K633" s="6"/>
      <c r="L633" s="6"/>
      <c r="M633" s="26"/>
      <c r="O633" s="19" t="str">
        <f t="shared" si="2"/>
        <v/>
      </c>
    </row>
    <row r="634">
      <c r="A634" s="22" t="s">
        <v>112</v>
      </c>
      <c r="B634" s="4" t="s">
        <v>18</v>
      </c>
      <c r="C634" s="3" t="s">
        <v>989</v>
      </c>
      <c r="D634" s="23" t="s">
        <v>990</v>
      </c>
      <c r="E634" s="29">
        <v>45909.0</v>
      </c>
      <c r="F634" s="22" t="s">
        <v>22</v>
      </c>
      <c r="G634" s="22" t="s">
        <v>92</v>
      </c>
      <c r="H634" s="3" t="s">
        <v>991</v>
      </c>
      <c r="I634" s="6"/>
      <c r="J634" s="6"/>
      <c r="K634" s="6"/>
      <c r="L634" s="6"/>
      <c r="M634" s="26"/>
      <c r="O634" s="19" t="str">
        <f t="shared" si="2"/>
        <v/>
      </c>
    </row>
    <row r="635">
      <c r="A635" s="22" t="s">
        <v>472</v>
      </c>
      <c r="B635" s="4" t="s">
        <v>18</v>
      </c>
      <c r="C635" s="3" t="s">
        <v>556</v>
      </c>
      <c r="D635" s="23" t="s">
        <v>992</v>
      </c>
      <c r="E635" s="29">
        <v>45909.0</v>
      </c>
      <c r="F635" s="22">
        <v>8.0</v>
      </c>
      <c r="G635" s="22" t="s">
        <v>92</v>
      </c>
      <c r="H635" s="3" t="s">
        <v>993</v>
      </c>
      <c r="I635" s="6"/>
      <c r="J635" s="6"/>
      <c r="K635" s="6"/>
      <c r="L635" s="6"/>
      <c r="M635" s="26"/>
      <c r="O635" s="19" t="str">
        <f t="shared" si="2"/>
        <v/>
      </c>
    </row>
    <row r="636">
      <c r="A636" s="22" t="s">
        <v>532</v>
      </c>
      <c r="B636" s="4" t="s">
        <v>18</v>
      </c>
      <c r="C636" s="3" t="s">
        <v>994</v>
      </c>
      <c r="D636" s="23" t="s">
        <v>995</v>
      </c>
      <c r="E636" s="29">
        <v>45909.0</v>
      </c>
      <c r="F636" s="22">
        <v>8.0</v>
      </c>
      <c r="G636" s="22" t="s">
        <v>92</v>
      </c>
      <c r="H636" s="3" t="s">
        <v>996</v>
      </c>
      <c r="I636" s="6"/>
      <c r="J636" s="6"/>
      <c r="K636" s="6"/>
      <c r="L636" s="6"/>
      <c r="M636" s="26"/>
      <c r="O636" s="19" t="str">
        <f t="shared" si="2"/>
        <v/>
      </c>
    </row>
    <row r="637">
      <c r="A637" s="22" t="s">
        <v>202</v>
      </c>
      <c r="B637" s="4" t="s">
        <v>36</v>
      </c>
      <c r="C637" s="3" t="s">
        <v>881</v>
      </c>
      <c r="D637" s="23" t="s">
        <v>882</v>
      </c>
      <c r="E637" s="29">
        <v>45909.0</v>
      </c>
      <c r="F637" s="22">
        <v>8.0</v>
      </c>
      <c r="G637" s="22" t="s">
        <v>92</v>
      </c>
      <c r="H637" s="3" t="s">
        <v>997</v>
      </c>
      <c r="I637" s="6"/>
      <c r="J637" s="6"/>
      <c r="K637" s="6"/>
      <c r="L637" s="6"/>
      <c r="M637" s="26"/>
      <c r="O637" s="19" t="str">
        <f t="shared" si="2"/>
        <v/>
      </c>
    </row>
    <row r="638">
      <c r="A638" s="22" t="s">
        <v>276</v>
      </c>
      <c r="B638" s="4" t="s">
        <v>18</v>
      </c>
      <c r="C638" s="3" t="s">
        <v>998</v>
      </c>
      <c r="D638" s="23" t="s">
        <v>999</v>
      </c>
      <c r="E638" s="29">
        <v>45909.0</v>
      </c>
      <c r="F638" s="22">
        <v>8.0</v>
      </c>
      <c r="G638" s="22" t="s">
        <v>92</v>
      </c>
      <c r="H638" s="3" t="s">
        <v>1000</v>
      </c>
      <c r="I638" s="6"/>
      <c r="J638" s="6"/>
      <c r="K638" s="6"/>
      <c r="L638" s="6"/>
      <c r="M638" s="26"/>
      <c r="O638" s="19" t="str">
        <f t="shared" si="2"/>
        <v/>
      </c>
    </row>
    <row r="639">
      <c r="A639" s="22" t="s">
        <v>479</v>
      </c>
      <c r="B639" s="4" t="s">
        <v>18</v>
      </c>
      <c r="C639" s="3" t="s">
        <v>629</v>
      </c>
      <c r="D639" s="23" t="s">
        <v>1001</v>
      </c>
      <c r="E639" s="29">
        <v>45909.0</v>
      </c>
      <c r="F639" s="22">
        <v>5.0</v>
      </c>
      <c r="G639" s="22" t="s">
        <v>92</v>
      </c>
      <c r="H639" s="3" t="s">
        <v>1002</v>
      </c>
      <c r="I639" s="6"/>
      <c r="J639" s="6"/>
      <c r="K639" s="6"/>
      <c r="L639" s="6"/>
      <c r="M639" s="26"/>
      <c r="O639" s="19" t="str">
        <f t="shared" si="2"/>
        <v/>
      </c>
    </row>
    <row r="640">
      <c r="A640" s="22" t="s">
        <v>744</v>
      </c>
      <c r="B640" s="4" t="s">
        <v>18</v>
      </c>
      <c r="C640" s="3" t="s">
        <v>1003</v>
      </c>
      <c r="D640" s="23" t="s">
        <v>1004</v>
      </c>
      <c r="E640" s="29">
        <v>45910.0</v>
      </c>
      <c r="F640" s="22">
        <v>8.0</v>
      </c>
      <c r="G640" s="22" t="s">
        <v>92</v>
      </c>
      <c r="H640" s="3" t="s">
        <v>1005</v>
      </c>
      <c r="I640" s="6"/>
      <c r="J640" s="6"/>
      <c r="K640" s="6"/>
      <c r="L640" s="6"/>
      <c r="M640" s="26"/>
      <c r="O640" s="19" t="str">
        <f t="shared" si="2"/>
        <v/>
      </c>
    </row>
    <row r="641">
      <c r="A641" s="22" t="s">
        <v>305</v>
      </c>
      <c r="B641" s="4" t="s">
        <v>36</v>
      </c>
      <c r="C641" s="3" t="s">
        <v>1006</v>
      </c>
      <c r="D641" s="23" t="s">
        <v>1007</v>
      </c>
      <c r="E641" s="29">
        <v>45910.0</v>
      </c>
      <c r="F641" s="22">
        <v>8.0</v>
      </c>
      <c r="G641" s="22" t="s">
        <v>92</v>
      </c>
      <c r="H641" s="3" t="s">
        <v>1008</v>
      </c>
      <c r="I641" s="6"/>
      <c r="J641" s="6"/>
      <c r="K641" s="6"/>
      <c r="L641" s="6"/>
      <c r="M641" s="26"/>
      <c r="O641" s="19" t="str">
        <f t="shared" si="2"/>
        <v/>
      </c>
    </row>
    <row r="642">
      <c r="A642" s="22" t="s">
        <v>168</v>
      </c>
      <c r="B642" s="4" t="s">
        <v>45</v>
      </c>
      <c r="C642" s="3" t="s">
        <v>1009</v>
      </c>
      <c r="D642" s="23" t="s">
        <v>1010</v>
      </c>
      <c r="E642" s="29">
        <v>45910.0</v>
      </c>
      <c r="F642" s="22">
        <v>8.0</v>
      </c>
      <c r="G642" s="22" t="s">
        <v>92</v>
      </c>
      <c r="H642" s="3" t="s">
        <v>1011</v>
      </c>
      <c r="I642" s="6"/>
      <c r="J642" s="6"/>
      <c r="K642" s="6"/>
      <c r="L642" s="6"/>
      <c r="M642" s="26"/>
      <c r="O642" s="19" t="str">
        <f t="shared" si="2"/>
        <v/>
      </c>
    </row>
    <row r="643">
      <c r="A643" s="22" t="s">
        <v>112</v>
      </c>
      <c r="B643" s="4" t="s">
        <v>18</v>
      </c>
      <c r="C643" s="3" t="s">
        <v>1012</v>
      </c>
      <c r="D643" s="23" t="s">
        <v>1013</v>
      </c>
      <c r="E643" s="29">
        <v>45910.0</v>
      </c>
      <c r="F643" s="22">
        <v>8.0</v>
      </c>
      <c r="G643" s="22" t="s">
        <v>92</v>
      </c>
      <c r="H643" s="3" t="s">
        <v>1014</v>
      </c>
      <c r="I643" s="6"/>
      <c r="J643" s="6"/>
      <c r="K643" s="6"/>
      <c r="L643" s="6"/>
      <c r="M643" s="26"/>
      <c r="O643" s="19" t="str">
        <f t="shared" si="2"/>
        <v/>
      </c>
    </row>
    <row r="644">
      <c r="A644" s="22" t="s">
        <v>418</v>
      </c>
      <c r="B644" s="4" t="s">
        <v>18</v>
      </c>
      <c r="C644" s="3" t="s">
        <v>1015</v>
      </c>
      <c r="D644" s="23" t="s">
        <v>1016</v>
      </c>
      <c r="E644" s="29">
        <v>45910.0</v>
      </c>
      <c r="F644" s="22">
        <v>8.0</v>
      </c>
      <c r="G644" s="22" t="s">
        <v>92</v>
      </c>
      <c r="H644" s="3" t="s">
        <v>1017</v>
      </c>
      <c r="I644" s="6"/>
      <c r="J644" s="6"/>
      <c r="K644" s="6"/>
      <c r="L644" s="6"/>
      <c r="M644" s="26"/>
      <c r="O644" s="19" t="str">
        <f t="shared" si="2"/>
        <v/>
      </c>
    </row>
    <row r="645">
      <c r="A645" s="22" t="s">
        <v>158</v>
      </c>
      <c r="B645" s="4" t="s">
        <v>31</v>
      </c>
      <c r="C645" s="3" t="s">
        <v>961</v>
      </c>
      <c r="D645" s="23" t="s">
        <v>962</v>
      </c>
      <c r="E645" s="29">
        <v>45910.0</v>
      </c>
      <c r="F645" s="22">
        <v>8.0</v>
      </c>
      <c r="G645" s="22" t="s">
        <v>92</v>
      </c>
      <c r="H645" s="3" t="s">
        <v>1018</v>
      </c>
      <c r="I645" s="6"/>
      <c r="J645" s="6"/>
      <c r="K645" s="6"/>
      <c r="L645" s="6"/>
      <c r="M645" s="26"/>
      <c r="O645" s="19" t="str">
        <f t="shared" si="2"/>
        <v/>
      </c>
    </row>
    <row r="646">
      <c r="A646" s="22" t="s">
        <v>168</v>
      </c>
      <c r="B646" s="4" t="s">
        <v>45</v>
      </c>
      <c r="C646" s="3" t="s">
        <v>1019</v>
      </c>
      <c r="D646" s="23" t="s">
        <v>1020</v>
      </c>
      <c r="E646" s="29">
        <v>45910.0</v>
      </c>
      <c r="F646" s="22">
        <v>8.0</v>
      </c>
      <c r="G646" s="22" t="s">
        <v>92</v>
      </c>
      <c r="H646" s="3" t="s">
        <v>1021</v>
      </c>
      <c r="I646" s="6"/>
      <c r="J646" s="6"/>
      <c r="K646" s="6"/>
      <c r="L646" s="6"/>
      <c r="M646" s="26"/>
      <c r="O646" s="19" t="str">
        <f t="shared" si="2"/>
        <v/>
      </c>
    </row>
    <row r="647">
      <c r="A647" s="22" t="s">
        <v>435</v>
      </c>
      <c r="B647" s="4" t="s">
        <v>18</v>
      </c>
      <c r="C647" s="3" t="s">
        <v>667</v>
      </c>
      <c r="D647" s="23" t="s">
        <v>1022</v>
      </c>
      <c r="E647" s="29">
        <v>45910.0</v>
      </c>
      <c r="F647" s="22">
        <v>8.0</v>
      </c>
      <c r="G647" s="22" t="s">
        <v>92</v>
      </c>
      <c r="H647" s="3" t="s">
        <v>1023</v>
      </c>
      <c r="I647" s="6"/>
      <c r="J647" s="6"/>
      <c r="K647" s="6"/>
      <c r="L647" s="6"/>
      <c r="M647" s="26"/>
      <c r="O647" s="19" t="str">
        <f t="shared" si="2"/>
        <v/>
      </c>
    </row>
    <row r="648">
      <c r="A648" s="22" t="s">
        <v>318</v>
      </c>
      <c r="B648" s="4" t="s">
        <v>18</v>
      </c>
      <c r="C648" s="3" t="s">
        <v>1024</v>
      </c>
      <c r="D648" s="23" t="s">
        <v>1025</v>
      </c>
      <c r="E648" s="29">
        <v>45910.0</v>
      </c>
      <c r="F648" s="22">
        <v>8.0</v>
      </c>
      <c r="G648" s="22" t="s">
        <v>92</v>
      </c>
      <c r="H648" s="3" t="s">
        <v>1026</v>
      </c>
      <c r="I648" s="6"/>
      <c r="J648" s="6"/>
      <c r="K648" s="6"/>
      <c r="L648" s="6"/>
      <c r="M648" s="26"/>
      <c r="O648" s="19" t="str">
        <f t="shared" si="2"/>
        <v/>
      </c>
    </row>
    <row r="649">
      <c r="A649" s="22" t="s">
        <v>276</v>
      </c>
      <c r="B649" s="4" t="s">
        <v>18</v>
      </c>
      <c r="C649" s="3" t="s">
        <v>1027</v>
      </c>
      <c r="D649" s="23" t="s">
        <v>1028</v>
      </c>
      <c r="E649" s="29">
        <v>45910.0</v>
      </c>
      <c r="F649" s="22">
        <v>8.0</v>
      </c>
      <c r="G649" s="22" t="s">
        <v>92</v>
      </c>
      <c r="H649" s="3" t="s">
        <v>1029</v>
      </c>
      <c r="I649" s="6"/>
      <c r="J649" s="6"/>
      <c r="K649" s="6"/>
      <c r="L649" s="6"/>
      <c r="M649" s="26"/>
      <c r="O649" s="19" t="str">
        <f t="shared" si="2"/>
        <v/>
      </c>
    </row>
    <row r="650">
      <c r="A650" s="22" t="s">
        <v>69</v>
      </c>
      <c r="B650" s="4" t="s">
        <v>31</v>
      </c>
      <c r="C650" s="3" t="s">
        <v>1030</v>
      </c>
      <c r="D650" s="23" t="s">
        <v>1031</v>
      </c>
      <c r="E650" s="29">
        <v>45910.0</v>
      </c>
      <c r="F650" s="22">
        <v>8.0</v>
      </c>
      <c r="G650" s="22" t="s">
        <v>92</v>
      </c>
      <c r="H650" s="3" t="s">
        <v>1032</v>
      </c>
      <c r="I650" s="6"/>
      <c r="J650" s="6"/>
      <c r="K650" s="6"/>
      <c r="L650" s="6"/>
      <c r="M650" s="26"/>
      <c r="O650" s="19" t="str">
        <f t="shared" si="2"/>
        <v/>
      </c>
    </row>
    <row r="651">
      <c r="A651" s="22" t="s">
        <v>114</v>
      </c>
      <c r="B651" s="4" t="s">
        <v>31</v>
      </c>
      <c r="C651" s="3" t="s">
        <v>1033</v>
      </c>
      <c r="D651" s="3" t="s">
        <v>1034</v>
      </c>
      <c r="E651" s="29">
        <v>45910.0</v>
      </c>
      <c r="F651" s="22" t="s">
        <v>103</v>
      </c>
      <c r="G651" s="22" t="s">
        <v>129</v>
      </c>
      <c r="H651" s="6"/>
      <c r="I651" s="6"/>
      <c r="J651" s="6"/>
      <c r="K651" s="6"/>
      <c r="L651" s="6"/>
      <c r="M651" s="26"/>
      <c r="O651" s="19" t="str">
        <f t="shared" si="2"/>
        <v/>
      </c>
    </row>
    <row r="652">
      <c r="A652" s="22" t="s">
        <v>265</v>
      </c>
      <c r="B652" s="4" t="s">
        <v>18</v>
      </c>
      <c r="C652" s="3" t="s">
        <v>1035</v>
      </c>
      <c r="D652" s="23" t="s">
        <v>1036</v>
      </c>
      <c r="E652" s="29">
        <v>45910.0</v>
      </c>
      <c r="F652" s="22">
        <v>7.0</v>
      </c>
      <c r="G652" s="22" t="s">
        <v>92</v>
      </c>
      <c r="H652" s="3" t="s">
        <v>1037</v>
      </c>
      <c r="I652" s="6"/>
      <c r="J652" s="6"/>
      <c r="K652" s="6"/>
      <c r="L652" s="6"/>
      <c r="M652" s="26"/>
      <c r="O652" s="19" t="str">
        <f t="shared" si="2"/>
        <v/>
      </c>
    </row>
    <row r="653">
      <c r="A653" s="22" t="s">
        <v>184</v>
      </c>
      <c r="B653" s="4" t="s">
        <v>18</v>
      </c>
      <c r="C653" s="3" t="s">
        <v>1038</v>
      </c>
      <c r="D653" s="23" t="s">
        <v>1039</v>
      </c>
      <c r="E653" s="29">
        <v>45910.0</v>
      </c>
      <c r="F653" s="22">
        <v>8.0</v>
      </c>
      <c r="G653" s="22" t="s">
        <v>92</v>
      </c>
      <c r="H653" s="3" t="s">
        <v>1040</v>
      </c>
      <c r="I653" s="6"/>
      <c r="J653" s="6"/>
      <c r="K653" s="6"/>
      <c r="L653" s="6"/>
      <c r="M653" s="26"/>
      <c r="O653" s="19" t="str">
        <f t="shared" si="2"/>
        <v/>
      </c>
    </row>
    <row r="654">
      <c r="A654" s="22" t="s">
        <v>291</v>
      </c>
      <c r="B654" s="4" t="s">
        <v>31</v>
      </c>
      <c r="C654" s="3" t="s">
        <v>1041</v>
      </c>
      <c r="D654" s="23" t="s">
        <v>1042</v>
      </c>
      <c r="E654" s="29">
        <v>45910.0</v>
      </c>
      <c r="F654" s="22">
        <v>8.0</v>
      </c>
      <c r="G654" s="22" t="s">
        <v>92</v>
      </c>
      <c r="H654" s="3" t="s">
        <v>1043</v>
      </c>
      <c r="I654" s="6"/>
      <c r="J654" s="6"/>
      <c r="K654" s="6"/>
      <c r="L654" s="6"/>
      <c r="M654" s="26"/>
      <c r="O654" s="19" t="str">
        <f t="shared" si="2"/>
        <v/>
      </c>
    </row>
    <row r="655">
      <c r="A655" s="22" t="s">
        <v>112</v>
      </c>
      <c r="B655" s="4" t="s">
        <v>18</v>
      </c>
      <c r="C655" s="3" t="s">
        <v>1044</v>
      </c>
      <c r="D655" s="23" t="s">
        <v>1045</v>
      </c>
      <c r="E655" s="29">
        <v>45910.0</v>
      </c>
      <c r="F655" s="22">
        <v>8.0</v>
      </c>
      <c r="G655" s="22" t="s">
        <v>92</v>
      </c>
      <c r="H655" s="3" t="s">
        <v>1046</v>
      </c>
      <c r="I655" s="6"/>
      <c r="J655" s="6"/>
      <c r="K655" s="6"/>
      <c r="L655" s="6"/>
      <c r="M655" s="26"/>
      <c r="O655" s="19" t="str">
        <f t="shared" si="2"/>
        <v/>
      </c>
    </row>
    <row r="656">
      <c r="A656" s="22" t="s">
        <v>184</v>
      </c>
      <c r="B656" s="4" t="s">
        <v>18</v>
      </c>
      <c r="C656" s="3" t="s">
        <v>608</v>
      </c>
      <c r="D656" s="23" t="s">
        <v>1047</v>
      </c>
      <c r="E656" s="29">
        <v>45910.0</v>
      </c>
      <c r="F656" s="22">
        <v>8.0</v>
      </c>
      <c r="G656" s="22" t="s">
        <v>92</v>
      </c>
      <c r="H656" s="3" t="s">
        <v>1048</v>
      </c>
      <c r="I656" s="6"/>
      <c r="J656" s="6"/>
      <c r="K656" s="6"/>
      <c r="L656" s="6"/>
      <c r="M656" s="26"/>
      <c r="O656" s="19" t="str">
        <f t="shared" si="2"/>
        <v/>
      </c>
    </row>
    <row r="657">
      <c r="A657" s="22" t="s">
        <v>258</v>
      </c>
      <c r="B657" s="4" t="s">
        <v>45</v>
      </c>
      <c r="C657" s="3" t="s">
        <v>1049</v>
      </c>
      <c r="D657" s="23" t="s">
        <v>1050</v>
      </c>
      <c r="E657" s="29">
        <v>45910.0</v>
      </c>
      <c r="F657" s="22">
        <v>7.0</v>
      </c>
      <c r="G657" s="22" t="s">
        <v>92</v>
      </c>
      <c r="H657" s="3" t="s">
        <v>1051</v>
      </c>
      <c r="I657" s="6"/>
      <c r="J657" s="6"/>
      <c r="K657" s="6"/>
      <c r="L657" s="6"/>
      <c r="M657" s="26"/>
      <c r="O657" s="19" t="str">
        <f t="shared" si="2"/>
        <v/>
      </c>
    </row>
    <row r="658">
      <c r="A658" s="22" t="s">
        <v>107</v>
      </c>
      <c r="B658" s="4" t="s">
        <v>18</v>
      </c>
      <c r="C658" s="3" t="s">
        <v>1052</v>
      </c>
      <c r="D658" s="23" t="s">
        <v>1053</v>
      </c>
      <c r="E658" s="29">
        <v>45910.0</v>
      </c>
      <c r="F658" s="22">
        <v>8.0</v>
      </c>
      <c r="G658" s="22" t="s">
        <v>92</v>
      </c>
      <c r="H658" s="3" t="s">
        <v>1054</v>
      </c>
      <c r="I658" s="6"/>
      <c r="J658" s="6"/>
      <c r="K658" s="6"/>
      <c r="L658" s="6"/>
      <c r="M658" s="26"/>
      <c r="O658" s="19" t="str">
        <f t="shared" si="2"/>
        <v/>
      </c>
    </row>
    <row r="659">
      <c r="A659" s="22" t="s">
        <v>1055</v>
      </c>
      <c r="B659" s="4" t="s">
        <v>31</v>
      </c>
      <c r="C659" s="3" t="s">
        <v>1056</v>
      </c>
      <c r="D659" s="23" t="s">
        <v>1057</v>
      </c>
      <c r="E659" s="29">
        <v>45910.0</v>
      </c>
      <c r="F659" s="22">
        <v>8.0</v>
      </c>
      <c r="G659" s="22" t="s">
        <v>92</v>
      </c>
      <c r="H659" s="3" t="s">
        <v>1058</v>
      </c>
      <c r="I659" s="6"/>
      <c r="J659" s="6"/>
      <c r="K659" s="6"/>
      <c r="L659" s="6"/>
      <c r="M659" s="26"/>
      <c r="O659" s="19" t="str">
        <f t="shared" si="2"/>
        <v/>
      </c>
    </row>
    <row r="660">
      <c r="A660" s="22" t="s">
        <v>479</v>
      </c>
      <c r="B660" s="4" t="s">
        <v>18</v>
      </c>
      <c r="C660" s="3" t="s">
        <v>1059</v>
      </c>
      <c r="D660" s="23" t="s">
        <v>1060</v>
      </c>
      <c r="E660" s="29">
        <v>45911.0</v>
      </c>
      <c r="F660" s="22">
        <v>8.0</v>
      </c>
      <c r="G660" s="22" t="s">
        <v>92</v>
      </c>
      <c r="H660" s="3" t="s">
        <v>1061</v>
      </c>
      <c r="I660" s="6"/>
      <c r="J660" s="6"/>
      <c r="K660" s="6"/>
      <c r="L660" s="6"/>
      <c r="M660" s="26"/>
      <c r="O660" s="19" t="str">
        <f t="shared" si="2"/>
        <v/>
      </c>
    </row>
    <row r="661">
      <c r="A661" s="22" t="s">
        <v>1062</v>
      </c>
      <c r="B661" s="4" t="s">
        <v>18</v>
      </c>
      <c r="C661" s="3" t="s">
        <v>1063</v>
      </c>
      <c r="D661" s="23" t="s">
        <v>1064</v>
      </c>
      <c r="E661" s="29">
        <v>45911.0</v>
      </c>
      <c r="F661" s="22">
        <v>8.0</v>
      </c>
      <c r="G661" s="22" t="s">
        <v>92</v>
      </c>
      <c r="H661" s="3" t="s">
        <v>1065</v>
      </c>
      <c r="I661" s="6"/>
      <c r="J661" s="6"/>
      <c r="K661" s="6"/>
      <c r="L661" s="6"/>
      <c r="M661" s="26"/>
      <c r="O661" s="19" t="str">
        <f t="shared" si="2"/>
        <v/>
      </c>
    </row>
    <row r="662">
      <c r="A662" s="22" t="s">
        <v>669</v>
      </c>
      <c r="B662" s="4" t="s">
        <v>31</v>
      </c>
      <c r="C662" s="3" t="s">
        <v>1066</v>
      </c>
      <c r="D662" s="23" t="s">
        <v>1067</v>
      </c>
      <c r="E662" s="29">
        <v>45911.0</v>
      </c>
      <c r="F662" s="22">
        <v>8.0</v>
      </c>
      <c r="G662" s="22" t="s">
        <v>92</v>
      </c>
      <c r="H662" s="3" t="s">
        <v>1068</v>
      </c>
      <c r="I662" s="6"/>
      <c r="J662" s="6"/>
      <c r="K662" s="6"/>
      <c r="L662" s="6"/>
      <c r="M662" s="26"/>
      <c r="O662" s="19" t="str">
        <f t="shared" si="2"/>
        <v/>
      </c>
    </row>
    <row r="663">
      <c r="A663" s="22" t="s">
        <v>112</v>
      </c>
      <c r="B663" s="4" t="s">
        <v>18</v>
      </c>
      <c r="C663" s="3" t="s">
        <v>1069</v>
      </c>
      <c r="D663" s="23" t="s">
        <v>1070</v>
      </c>
      <c r="E663" s="29">
        <v>45911.0</v>
      </c>
      <c r="F663" s="22">
        <v>6.0</v>
      </c>
      <c r="G663" s="22" t="s">
        <v>92</v>
      </c>
      <c r="H663" s="3" t="s">
        <v>1071</v>
      </c>
      <c r="I663" s="6"/>
      <c r="J663" s="6"/>
      <c r="K663" s="6"/>
      <c r="L663" s="6"/>
      <c r="M663" s="26"/>
      <c r="O663" s="19" t="str">
        <f t="shared" si="2"/>
        <v/>
      </c>
    </row>
    <row r="664">
      <c r="A664" s="22" t="s">
        <v>227</v>
      </c>
      <c r="B664" s="4" t="s">
        <v>18</v>
      </c>
      <c r="C664" s="3" t="s">
        <v>182</v>
      </c>
      <c r="D664" s="23" t="s">
        <v>1072</v>
      </c>
      <c r="E664" s="29">
        <v>45911.0</v>
      </c>
      <c r="F664" s="22">
        <v>6.0</v>
      </c>
      <c r="G664" s="22" t="s">
        <v>92</v>
      </c>
      <c r="H664" s="3" t="s">
        <v>1073</v>
      </c>
      <c r="I664" s="6"/>
      <c r="J664" s="6"/>
      <c r="K664" s="6"/>
      <c r="L664" s="6"/>
      <c r="M664" s="26"/>
      <c r="O664" s="19" t="str">
        <f t="shared" si="2"/>
        <v/>
      </c>
    </row>
    <row r="665">
      <c r="A665" s="22" t="s">
        <v>69</v>
      </c>
      <c r="B665" s="4" t="s">
        <v>31</v>
      </c>
      <c r="C665" s="3">
        <v>2526.0</v>
      </c>
      <c r="D665" s="23"/>
      <c r="E665" s="29">
        <v>45911.0</v>
      </c>
      <c r="F665" s="22">
        <v>5.0</v>
      </c>
      <c r="G665" s="22" t="s">
        <v>92</v>
      </c>
      <c r="H665" s="3" t="s">
        <v>1074</v>
      </c>
      <c r="I665" s="6"/>
      <c r="J665" s="6"/>
      <c r="K665" s="6"/>
      <c r="L665" s="6"/>
      <c r="M665" s="26"/>
      <c r="O665" s="19" t="str">
        <f t="shared" si="2"/>
        <v/>
      </c>
    </row>
    <row r="666">
      <c r="A666" s="22" t="s">
        <v>945</v>
      </c>
      <c r="B666" s="4" t="s">
        <v>18</v>
      </c>
      <c r="C666" s="3" t="s">
        <v>1075</v>
      </c>
      <c r="D666" s="23" t="s">
        <v>1076</v>
      </c>
      <c r="E666" s="29">
        <v>45911.0</v>
      </c>
      <c r="F666" s="22">
        <v>8.0</v>
      </c>
      <c r="G666" s="22" t="s">
        <v>92</v>
      </c>
      <c r="H666" s="3" t="s">
        <v>1077</v>
      </c>
      <c r="I666" s="6"/>
      <c r="J666" s="6"/>
      <c r="K666" s="6"/>
      <c r="L666" s="6"/>
      <c r="M666" s="26"/>
      <c r="O666" s="19" t="str">
        <f t="shared" si="2"/>
        <v/>
      </c>
    </row>
    <row r="667">
      <c r="A667" s="22" t="s">
        <v>305</v>
      </c>
      <c r="B667" s="4" t="s">
        <v>36</v>
      </c>
      <c r="C667" s="3" t="s">
        <v>1078</v>
      </c>
      <c r="D667" s="23" t="s">
        <v>1079</v>
      </c>
      <c r="E667" s="29">
        <v>45911.0</v>
      </c>
      <c r="F667" s="22">
        <v>6.0</v>
      </c>
      <c r="G667" s="22" t="s">
        <v>92</v>
      </c>
      <c r="H667" s="3" t="s">
        <v>1080</v>
      </c>
      <c r="I667" s="6"/>
      <c r="J667" s="6"/>
      <c r="K667" s="6"/>
      <c r="L667" s="6"/>
      <c r="M667" s="26"/>
      <c r="O667" s="19" t="str">
        <f t="shared" si="2"/>
        <v/>
      </c>
    </row>
    <row r="668">
      <c r="A668" s="22" t="s">
        <v>305</v>
      </c>
      <c r="B668" s="4" t="s">
        <v>36</v>
      </c>
      <c r="C668" s="3" t="s">
        <v>306</v>
      </c>
      <c r="D668" s="23"/>
      <c r="E668" s="29">
        <v>45911.0</v>
      </c>
      <c r="F668" s="22">
        <v>6.0</v>
      </c>
      <c r="G668" s="22" t="s">
        <v>92</v>
      </c>
      <c r="H668" s="3" t="s">
        <v>1081</v>
      </c>
      <c r="I668" s="6"/>
      <c r="J668" s="6"/>
      <c r="K668" s="6"/>
      <c r="L668" s="6"/>
      <c r="M668" s="26"/>
      <c r="O668" s="19" t="str">
        <f t="shared" si="2"/>
        <v/>
      </c>
    </row>
    <row r="669">
      <c r="A669" s="22" t="s">
        <v>945</v>
      </c>
      <c r="B669" s="4" t="s">
        <v>18</v>
      </c>
      <c r="C669" s="3" t="s">
        <v>1082</v>
      </c>
      <c r="D669" s="23"/>
      <c r="E669" s="29">
        <v>45911.0</v>
      </c>
      <c r="F669" s="22">
        <v>6.0</v>
      </c>
      <c r="G669" s="22" t="s">
        <v>92</v>
      </c>
      <c r="H669" s="3" t="s">
        <v>1083</v>
      </c>
      <c r="I669" s="6"/>
      <c r="J669" s="6"/>
      <c r="K669" s="6"/>
      <c r="L669" s="6"/>
      <c r="M669" s="26"/>
      <c r="O669" s="19" t="str">
        <f t="shared" si="2"/>
        <v/>
      </c>
    </row>
    <row r="670">
      <c r="A670" s="22" t="s">
        <v>479</v>
      </c>
      <c r="B670" s="4" t="s">
        <v>18</v>
      </c>
      <c r="C670" s="3" t="s">
        <v>550</v>
      </c>
      <c r="D670" s="23"/>
      <c r="E670" s="29">
        <v>45911.0</v>
      </c>
      <c r="F670" s="22">
        <v>6.0</v>
      </c>
      <c r="G670" s="22" t="s">
        <v>92</v>
      </c>
      <c r="H670" s="3" t="s">
        <v>1084</v>
      </c>
      <c r="I670" s="6"/>
      <c r="J670" s="6"/>
      <c r="K670" s="6"/>
      <c r="L670" s="6"/>
      <c r="M670" s="26"/>
      <c r="O670" s="19" t="str">
        <f t="shared" si="2"/>
        <v/>
      </c>
    </row>
    <row r="671">
      <c r="A671" s="22" t="s">
        <v>155</v>
      </c>
      <c r="B671" s="4" t="s">
        <v>18</v>
      </c>
      <c r="C671" s="3" t="s">
        <v>238</v>
      </c>
      <c r="D671" s="23" t="s">
        <v>1085</v>
      </c>
      <c r="E671" s="29">
        <v>45911.0</v>
      </c>
      <c r="F671" s="22">
        <v>8.0</v>
      </c>
      <c r="G671" s="22" t="s">
        <v>92</v>
      </c>
      <c r="H671" s="3" t="s">
        <v>1086</v>
      </c>
      <c r="I671" s="6"/>
      <c r="J671" s="6"/>
      <c r="K671" s="6"/>
      <c r="L671" s="6"/>
      <c r="M671" s="26"/>
      <c r="O671" s="19" t="str">
        <f t="shared" si="2"/>
        <v/>
      </c>
    </row>
    <row r="672">
      <c r="A672" s="22" t="s">
        <v>265</v>
      </c>
      <c r="B672" s="4" t="s">
        <v>18</v>
      </c>
      <c r="C672" s="3" t="s">
        <v>1035</v>
      </c>
      <c r="D672" s="23"/>
      <c r="E672" s="29">
        <v>45911.0</v>
      </c>
      <c r="F672" s="22">
        <v>5.0</v>
      </c>
      <c r="G672" s="22" t="s">
        <v>92</v>
      </c>
      <c r="H672" s="3" t="s">
        <v>1087</v>
      </c>
      <c r="I672" s="6"/>
      <c r="J672" s="6"/>
      <c r="K672" s="6"/>
      <c r="L672" s="6"/>
      <c r="M672" s="26"/>
      <c r="O672" s="19" t="str">
        <f t="shared" si="2"/>
        <v/>
      </c>
    </row>
    <row r="673">
      <c r="A673" s="22" t="s">
        <v>479</v>
      </c>
      <c r="B673" s="4" t="s">
        <v>18</v>
      </c>
      <c r="C673" s="3" t="s">
        <v>1088</v>
      </c>
      <c r="D673" s="23"/>
      <c r="E673" s="29">
        <v>45911.0</v>
      </c>
      <c r="F673" s="22">
        <v>6.0</v>
      </c>
      <c r="G673" s="22" t="s">
        <v>92</v>
      </c>
      <c r="H673" s="3" t="s">
        <v>1089</v>
      </c>
      <c r="I673" s="6"/>
      <c r="J673" s="6"/>
      <c r="K673" s="6"/>
      <c r="L673" s="6"/>
      <c r="M673" s="26"/>
      <c r="O673" s="19" t="str">
        <f t="shared" si="2"/>
        <v/>
      </c>
    </row>
    <row r="674">
      <c r="A674" s="22" t="s">
        <v>532</v>
      </c>
      <c r="B674" s="4" t="s">
        <v>18</v>
      </c>
      <c r="C674" s="3" t="s">
        <v>1012</v>
      </c>
      <c r="D674" s="23" t="s">
        <v>1090</v>
      </c>
      <c r="E674" s="29">
        <v>45912.0</v>
      </c>
      <c r="F674" s="22">
        <v>8.0</v>
      </c>
      <c r="G674" s="22" t="s">
        <v>92</v>
      </c>
      <c r="H674" s="3" t="s">
        <v>1091</v>
      </c>
      <c r="I674" s="6"/>
      <c r="J674" s="6"/>
      <c r="K674" s="6"/>
      <c r="L674" s="6"/>
      <c r="M674" s="26"/>
      <c r="O674" s="19" t="str">
        <f t="shared" si="2"/>
        <v/>
      </c>
    </row>
    <row r="675">
      <c r="A675" s="22" t="s">
        <v>232</v>
      </c>
      <c r="B675" s="4" t="s">
        <v>18</v>
      </c>
      <c r="C675" s="3" t="s">
        <v>1092</v>
      </c>
      <c r="D675" s="23" t="s">
        <v>1093</v>
      </c>
      <c r="E675" s="29">
        <v>45912.0</v>
      </c>
      <c r="F675" s="22">
        <v>8.0</v>
      </c>
      <c r="G675" s="22" t="s">
        <v>92</v>
      </c>
      <c r="H675" s="3" t="s">
        <v>1094</v>
      </c>
      <c r="I675" s="6"/>
      <c r="J675" s="6"/>
      <c r="K675" s="6"/>
      <c r="L675" s="6"/>
      <c r="M675" s="26"/>
      <c r="O675" s="19" t="str">
        <f t="shared" si="2"/>
        <v/>
      </c>
    </row>
    <row r="676">
      <c r="A676" s="22" t="s">
        <v>69</v>
      </c>
      <c r="B676" s="4" t="s">
        <v>31</v>
      </c>
      <c r="C676" s="3" t="s">
        <v>1095</v>
      </c>
      <c r="D676" s="23" t="s">
        <v>1096</v>
      </c>
      <c r="E676" s="29">
        <v>45912.0</v>
      </c>
      <c r="F676" s="22">
        <v>6.0</v>
      </c>
      <c r="G676" s="22" t="s">
        <v>92</v>
      </c>
      <c r="H676" s="3" t="s">
        <v>1097</v>
      </c>
      <c r="I676" s="6"/>
      <c r="J676" s="6"/>
      <c r="K676" s="6"/>
      <c r="L676" s="6"/>
      <c r="M676" s="26"/>
      <c r="O676" s="19" t="str">
        <f t="shared" si="2"/>
        <v/>
      </c>
    </row>
    <row r="677">
      <c r="A677" s="22" t="s">
        <v>1098</v>
      </c>
      <c r="B677" s="4" t="s">
        <v>18</v>
      </c>
      <c r="C677" s="3" t="s">
        <v>629</v>
      </c>
      <c r="D677" s="23" t="s">
        <v>1099</v>
      </c>
      <c r="E677" s="29">
        <v>45912.0</v>
      </c>
      <c r="F677" s="22">
        <v>8.0</v>
      </c>
      <c r="G677" s="22" t="s">
        <v>92</v>
      </c>
      <c r="H677" s="3" t="s">
        <v>1100</v>
      </c>
      <c r="I677" s="6"/>
      <c r="J677" s="6"/>
      <c r="K677" s="6"/>
      <c r="L677" s="6"/>
      <c r="M677" s="26"/>
      <c r="O677" s="19" t="str">
        <f t="shared" si="2"/>
        <v/>
      </c>
    </row>
    <row r="678">
      <c r="A678" s="22" t="s">
        <v>158</v>
      </c>
      <c r="B678" s="4" t="s">
        <v>31</v>
      </c>
      <c r="C678" s="3" t="s">
        <v>866</v>
      </c>
      <c r="D678" s="23" t="s">
        <v>1101</v>
      </c>
      <c r="E678" s="29">
        <v>45912.0</v>
      </c>
      <c r="F678" s="22">
        <v>6.0</v>
      </c>
      <c r="G678" s="22" t="s">
        <v>92</v>
      </c>
      <c r="H678" s="3" t="s">
        <v>1102</v>
      </c>
      <c r="I678" s="6"/>
      <c r="J678" s="6"/>
      <c r="K678" s="6"/>
      <c r="L678" s="6"/>
      <c r="M678" s="26"/>
      <c r="O678" s="19" t="str">
        <f t="shared" si="2"/>
        <v/>
      </c>
    </row>
    <row r="679">
      <c r="A679" s="22" t="s">
        <v>112</v>
      </c>
      <c r="B679" s="4" t="s">
        <v>18</v>
      </c>
      <c r="C679" s="3" t="s">
        <v>530</v>
      </c>
      <c r="D679" s="23" t="s">
        <v>1103</v>
      </c>
      <c r="E679" s="29">
        <v>45912.0</v>
      </c>
      <c r="F679" s="22">
        <v>8.0</v>
      </c>
      <c r="G679" s="22" t="s">
        <v>92</v>
      </c>
      <c r="H679" s="3" t="s">
        <v>1104</v>
      </c>
      <c r="I679" s="6"/>
      <c r="J679" s="6"/>
      <c r="K679" s="6"/>
      <c r="L679" s="6"/>
      <c r="M679" s="26"/>
      <c r="O679" s="19" t="str">
        <f t="shared" si="2"/>
        <v/>
      </c>
    </row>
    <row r="680">
      <c r="A680" s="22" t="s">
        <v>291</v>
      </c>
      <c r="B680" s="4" t="s">
        <v>31</v>
      </c>
      <c r="C680" s="3" t="s">
        <v>1105</v>
      </c>
      <c r="D680" s="23" t="s">
        <v>1106</v>
      </c>
      <c r="E680" s="29">
        <v>45912.0</v>
      </c>
      <c r="F680" s="22">
        <v>8.0</v>
      </c>
      <c r="G680" s="22" t="s">
        <v>92</v>
      </c>
      <c r="H680" s="3" t="s">
        <v>1107</v>
      </c>
      <c r="I680" s="6"/>
      <c r="J680" s="6"/>
      <c r="K680" s="6"/>
      <c r="L680" s="6"/>
      <c r="M680" s="26"/>
      <c r="O680" s="19" t="str">
        <f t="shared" si="2"/>
        <v/>
      </c>
    </row>
    <row r="681">
      <c r="A681" s="22" t="s">
        <v>107</v>
      </c>
      <c r="B681" s="4" t="s">
        <v>18</v>
      </c>
      <c r="C681" s="3" t="s">
        <v>1108</v>
      </c>
      <c r="D681" s="23" t="s">
        <v>1109</v>
      </c>
      <c r="E681" s="29">
        <v>45912.0</v>
      </c>
      <c r="F681" s="22">
        <v>8.0</v>
      </c>
      <c r="G681" s="22" t="s">
        <v>92</v>
      </c>
      <c r="H681" s="3" t="s">
        <v>1110</v>
      </c>
      <c r="I681" s="6"/>
      <c r="J681" s="6"/>
      <c r="K681" s="6"/>
      <c r="L681" s="6"/>
      <c r="M681" s="26"/>
      <c r="O681" s="19" t="str">
        <f t="shared" si="2"/>
        <v/>
      </c>
    </row>
    <row r="682">
      <c r="A682" s="22" t="s">
        <v>305</v>
      </c>
      <c r="B682" s="4" t="s">
        <v>36</v>
      </c>
      <c r="C682" s="3" t="s">
        <v>1111</v>
      </c>
      <c r="D682" s="23" t="s">
        <v>1112</v>
      </c>
      <c r="E682" s="29">
        <v>45912.0</v>
      </c>
      <c r="F682" s="22">
        <v>6.0</v>
      </c>
      <c r="G682" s="22" t="s">
        <v>92</v>
      </c>
      <c r="H682" s="3" t="s">
        <v>1113</v>
      </c>
      <c r="I682" s="6"/>
      <c r="J682" s="6"/>
      <c r="K682" s="6"/>
      <c r="L682" s="6"/>
      <c r="M682" s="26"/>
      <c r="O682" s="19" t="str">
        <f t="shared" si="2"/>
        <v/>
      </c>
    </row>
    <row r="683">
      <c r="A683" s="22" t="s">
        <v>1098</v>
      </c>
      <c r="B683" s="4" t="s">
        <v>18</v>
      </c>
      <c r="C683" s="3" t="s">
        <v>1114</v>
      </c>
      <c r="D683" s="23" t="s">
        <v>1115</v>
      </c>
      <c r="E683" s="29">
        <v>45912.0</v>
      </c>
      <c r="F683" s="22">
        <v>8.0</v>
      </c>
      <c r="G683" s="22" t="s">
        <v>92</v>
      </c>
      <c r="H683" s="3" t="s">
        <v>1116</v>
      </c>
      <c r="I683" s="6"/>
      <c r="J683" s="6"/>
      <c r="K683" s="6"/>
      <c r="L683" s="6"/>
      <c r="M683" s="26"/>
      <c r="O683" s="19" t="str">
        <f t="shared" si="2"/>
        <v/>
      </c>
    </row>
    <row r="684">
      <c r="A684" s="22" t="s">
        <v>244</v>
      </c>
      <c r="B684" s="4" t="s">
        <v>18</v>
      </c>
      <c r="D684" s="23" t="s">
        <v>1117</v>
      </c>
      <c r="E684" s="29">
        <v>45912.0</v>
      </c>
      <c r="F684" s="22">
        <v>5.0</v>
      </c>
      <c r="G684" s="22" t="s">
        <v>92</v>
      </c>
      <c r="I684" s="6"/>
      <c r="J684" s="6"/>
      <c r="K684" s="6"/>
      <c r="L684" s="6"/>
      <c r="M684" s="26"/>
      <c r="O684" s="19" t="str">
        <f t="shared" si="2"/>
        <v/>
      </c>
    </row>
    <row r="685">
      <c r="A685" s="22" t="s">
        <v>158</v>
      </c>
      <c r="B685" s="4" t="s">
        <v>31</v>
      </c>
      <c r="D685" s="23" t="s">
        <v>1118</v>
      </c>
      <c r="E685" s="29">
        <v>45912.0</v>
      </c>
      <c r="F685" s="22">
        <v>5.0</v>
      </c>
      <c r="G685" s="22" t="s">
        <v>92</v>
      </c>
      <c r="I685" s="6"/>
      <c r="J685" s="6"/>
      <c r="K685" s="6"/>
      <c r="L685" s="6"/>
      <c r="M685" s="26"/>
      <c r="O685" s="19" t="str">
        <f t="shared" si="2"/>
        <v/>
      </c>
    </row>
    <row r="686">
      <c r="A686" s="22" t="s">
        <v>158</v>
      </c>
      <c r="B686" s="4" t="s">
        <v>31</v>
      </c>
      <c r="D686" s="23" t="s">
        <v>1119</v>
      </c>
      <c r="E686" s="29">
        <v>45912.0</v>
      </c>
      <c r="F686" s="22">
        <v>5.0</v>
      </c>
      <c r="G686" s="22" t="s">
        <v>92</v>
      </c>
      <c r="I686" s="6"/>
      <c r="J686" s="6"/>
      <c r="K686" s="6"/>
      <c r="L686" s="6"/>
      <c r="M686" s="26"/>
      <c r="O686" s="19" t="str">
        <f t="shared" si="2"/>
        <v/>
      </c>
    </row>
    <row r="687">
      <c r="A687" s="22" t="s">
        <v>276</v>
      </c>
      <c r="B687" s="4" t="s">
        <v>18</v>
      </c>
      <c r="C687" s="3" t="s">
        <v>171</v>
      </c>
      <c r="D687" s="23"/>
      <c r="E687" s="29">
        <v>45912.0</v>
      </c>
      <c r="F687" s="22">
        <v>6.0</v>
      </c>
      <c r="G687" s="22" t="s">
        <v>92</v>
      </c>
      <c r="H687" s="3" t="s">
        <v>1120</v>
      </c>
      <c r="I687" s="6"/>
      <c r="J687" s="6"/>
      <c r="K687" s="6"/>
      <c r="L687" s="6"/>
      <c r="M687" s="26"/>
      <c r="O687" s="19" t="str">
        <f t="shared" si="2"/>
        <v/>
      </c>
    </row>
    <row r="688">
      <c r="A688" s="22" t="s">
        <v>112</v>
      </c>
      <c r="B688" s="4" t="s">
        <v>18</v>
      </c>
      <c r="C688" s="3" t="s">
        <v>651</v>
      </c>
      <c r="D688" s="22" t="s">
        <v>1121</v>
      </c>
      <c r="E688" s="29">
        <v>45912.0</v>
      </c>
      <c r="F688" s="22">
        <v>10.0</v>
      </c>
      <c r="G688" s="22" t="s">
        <v>92</v>
      </c>
      <c r="H688" s="3" t="s">
        <v>1122</v>
      </c>
      <c r="I688" s="6"/>
      <c r="J688" s="6"/>
      <c r="K688" s="6"/>
      <c r="L688" s="6"/>
      <c r="M688" s="26"/>
      <c r="O688" s="19" t="str">
        <f t="shared" si="2"/>
        <v/>
      </c>
    </row>
    <row r="689">
      <c r="A689" s="22" t="s">
        <v>1098</v>
      </c>
      <c r="B689" s="4" t="s">
        <v>18</v>
      </c>
      <c r="C689" s="3" t="s">
        <v>1123</v>
      </c>
      <c r="D689" s="23" t="s">
        <v>1124</v>
      </c>
      <c r="E689" s="29">
        <v>45912.0</v>
      </c>
      <c r="F689" s="22">
        <v>8.0</v>
      </c>
      <c r="G689" s="22" t="s">
        <v>92</v>
      </c>
      <c r="H689" s="3" t="s">
        <v>1125</v>
      </c>
      <c r="I689" s="6"/>
      <c r="J689" s="6"/>
      <c r="K689" s="6"/>
      <c r="L689" s="6"/>
      <c r="M689" s="26"/>
      <c r="O689" s="19" t="str">
        <f t="shared" si="2"/>
        <v/>
      </c>
    </row>
    <row r="690">
      <c r="A690" s="22" t="s">
        <v>1098</v>
      </c>
      <c r="B690" s="4" t="s">
        <v>18</v>
      </c>
      <c r="C690" s="3" t="s">
        <v>1126</v>
      </c>
      <c r="D690" s="23"/>
      <c r="E690" s="29">
        <v>45912.0</v>
      </c>
      <c r="F690" s="22">
        <v>5.0</v>
      </c>
      <c r="G690" s="22" t="s">
        <v>92</v>
      </c>
      <c r="H690" s="3" t="s">
        <v>1127</v>
      </c>
      <c r="I690" s="6"/>
      <c r="J690" s="6"/>
      <c r="K690" s="6"/>
      <c r="L690" s="6"/>
      <c r="M690" s="26"/>
      <c r="O690" s="19" t="str">
        <f t="shared" si="2"/>
        <v/>
      </c>
    </row>
    <row r="691">
      <c r="A691" s="22" t="s">
        <v>210</v>
      </c>
      <c r="B691" s="4" t="s">
        <v>31</v>
      </c>
      <c r="C691" s="3" t="s">
        <v>1128</v>
      </c>
      <c r="D691" s="23" t="s">
        <v>1129</v>
      </c>
      <c r="E691" s="29">
        <v>45912.0</v>
      </c>
      <c r="F691" s="22">
        <v>8.0</v>
      </c>
      <c r="G691" s="22" t="s">
        <v>92</v>
      </c>
      <c r="H691" s="3" t="s">
        <v>1130</v>
      </c>
      <c r="I691" s="6"/>
      <c r="J691" s="6"/>
      <c r="K691" s="6"/>
      <c r="L691" s="6"/>
      <c r="M691" s="26"/>
      <c r="O691" s="19" t="str">
        <f t="shared" si="2"/>
        <v/>
      </c>
    </row>
    <row r="692">
      <c r="A692" s="22" t="s">
        <v>107</v>
      </c>
      <c r="B692" s="4" t="s">
        <v>18</v>
      </c>
      <c r="C692" s="3" t="s">
        <v>1131</v>
      </c>
      <c r="D692" s="23" t="s">
        <v>1132</v>
      </c>
      <c r="E692" s="29">
        <v>45912.0</v>
      </c>
      <c r="F692" s="22">
        <v>8.0</v>
      </c>
      <c r="G692" s="22" t="s">
        <v>92</v>
      </c>
      <c r="H692" s="3" t="s">
        <v>1133</v>
      </c>
      <c r="I692" s="6"/>
      <c r="J692" s="6"/>
      <c r="K692" s="6"/>
      <c r="L692" s="6"/>
      <c r="M692" s="26"/>
      <c r="O692" s="19" t="str">
        <f t="shared" si="2"/>
        <v/>
      </c>
    </row>
    <row r="693">
      <c r="A693" s="22" t="s">
        <v>276</v>
      </c>
      <c r="B693" s="4" t="s">
        <v>18</v>
      </c>
      <c r="C693" s="3" t="s">
        <v>1134</v>
      </c>
      <c r="D693" s="23" t="s">
        <v>1135</v>
      </c>
      <c r="E693" s="29">
        <v>45912.0</v>
      </c>
      <c r="F693" s="22">
        <v>8.0</v>
      </c>
      <c r="G693" s="22" t="s">
        <v>92</v>
      </c>
      <c r="H693" s="3" t="s">
        <v>1136</v>
      </c>
      <c r="I693" s="6"/>
      <c r="J693" s="6"/>
      <c r="K693" s="6"/>
      <c r="L693" s="6"/>
      <c r="M693" s="26"/>
      <c r="O693" s="19" t="str">
        <f t="shared" si="2"/>
        <v/>
      </c>
    </row>
    <row r="694">
      <c r="A694" s="22" t="s">
        <v>77</v>
      </c>
      <c r="B694" s="4" t="s">
        <v>18</v>
      </c>
      <c r="C694" s="3" t="s">
        <v>1137</v>
      </c>
      <c r="D694" s="23" t="s">
        <v>1138</v>
      </c>
      <c r="E694" s="29">
        <v>45912.0</v>
      </c>
      <c r="F694" s="22">
        <v>8.0</v>
      </c>
      <c r="G694" s="22" t="s">
        <v>92</v>
      </c>
      <c r="H694" s="3" t="s">
        <v>1139</v>
      </c>
      <c r="I694" s="6"/>
      <c r="J694" s="6"/>
      <c r="K694" s="6"/>
      <c r="L694" s="6"/>
      <c r="M694" s="26"/>
      <c r="O694" s="19" t="str">
        <f t="shared" si="2"/>
        <v/>
      </c>
    </row>
    <row r="695">
      <c r="A695" s="22" t="s">
        <v>717</v>
      </c>
      <c r="B695" s="4" t="s">
        <v>36</v>
      </c>
      <c r="C695" s="3" t="s">
        <v>1140</v>
      </c>
      <c r="D695" s="23" t="s">
        <v>1141</v>
      </c>
      <c r="E695" s="29">
        <v>45915.0</v>
      </c>
      <c r="F695" s="22">
        <v>9.0</v>
      </c>
      <c r="G695" s="22" t="s">
        <v>92</v>
      </c>
      <c r="H695" s="3" t="s">
        <v>1142</v>
      </c>
      <c r="I695" s="6"/>
      <c r="J695" s="6"/>
      <c r="K695" s="6"/>
      <c r="L695" s="6"/>
      <c r="M695" s="26"/>
      <c r="O695" s="19" t="str">
        <f t="shared" si="2"/>
        <v/>
      </c>
    </row>
    <row r="696">
      <c r="A696" s="22" t="s">
        <v>532</v>
      </c>
      <c r="B696" s="4" t="s">
        <v>18</v>
      </c>
      <c r="C696" s="3" t="s">
        <v>1143</v>
      </c>
      <c r="D696" s="23"/>
      <c r="E696" s="29">
        <v>45915.0</v>
      </c>
      <c r="F696" s="22">
        <v>6.0</v>
      </c>
      <c r="G696" s="22" t="s">
        <v>92</v>
      </c>
      <c r="H696" s="3" t="s">
        <v>1144</v>
      </c>
      <c r="I696" s="6"/>
      <c r="J696" s="6"/>
      <c r="K696" s="6"/>
      <c r="L696" s="6"/>
      <c r="M696" s="26"/>
      <c r="O696" s="19" t="str">
        <f t="shared" si="2"/>
        <v/>
      </c>
    </row>
    <row r="697">
      <c r="A697" s="22" t="s">
        <v>244</v>
      </c>
      <c r="B697" s="4" t="s">
        <v>18</v>
      </c>
      <c r="C697" s="3" t="s">
        <v>1145</v>
      </c>
      <c r="D697" s="23"/>
      <c r="E697" s="29">
        <v>45915.0</v>
      </c>
      <c r="F697" s="22">
        <v>5.0</v>
      </c>
      <c r="G697" s="22" t="s">
        <v>92</v>
      </c>
      <c r="H697" s="3" t="s">
        <v>1146</v>
      </c>
      <c r="I697" s="6"/>
      <c r="J697" s="6"/>
      <c r="K697" s="6"/>
      <c r="L697" s="6"/>
      <c r="M697" s="26"/>
      <c r="O697" s="19" t="str">
        <f t="shared" si="2"/>
        <v/>
      </c>
    </row>
    <row r="698">
      <c r="A698" s="22" t="s">
        <v>1055</v>
      </c>
      <c r="B698" s="4" t="s">
        <v>31</v>
      </c>
      <c r="C698" s="3" t="s">
        <v>1147</v>
      </c>
      <c r="D698" s="23" t="s">
        <v>1148</v>
      </c>
      <c r="E698" s="29">
        <v>45915.0</v>
      </c>
      <c r="F698" s="22">
        <v>6.0</v>
      </c>
      <c r="G698" s="22" t="s">
        <v>92</v>
      </c>
      <c r="H698" s="3" t="s">
        <v>1149</v>
      </c>
      <c r="I698" s="6"/>
      <c r="J698" s="6"/>
      <c r="K698" s="6"/>
      <c r="L698" s="6"/>
      <c r="M698" s="26"/>
      <c r="O698" s="19" t="str">
        <f t="shared" si="2"/>
        <v/>
      </c>
    </row>
    <row r="699">
      <c r="A699" s="22" t="s">
        <v>168</v>
      </c>
      <c r="B699" s="4" t="s">
        <v>45</v>
      </c>
      <c r="C699" s="3">
        <v>6210.0</v>
      </c>
      <c r="D699" s="23"/>
      <c r="E699" s="29">
        <v>45915.0</v>
      </c>
      <c r="F699" s="22">
        <v>6.0</v>
      </c>
      <c r="G699" s="22" t="s">
        <v>92</v>
      </c>
      <c r="H699" s="3" t="s">
        <v>1150</v>
      </c>
      <c r="I699" s="6"/>
      <c r="J699" s="6"/>
      <c r="K699" s="6"/>
      <c r="L699" s="6"/>
      <c r="M699" s="26"/>
      <c r="O699" s="19" t="str">
        <f t="shared" si="2"/>
        <v/>
      </c>
    </row>
    <row r="700">
      <c r="A700" s="22" t="s">
        <v>210</v>
      </c>
      <c r="B700" s="4" t="s">
        <v>31</v>
      </c>
      <c r="C700" s="3" t="s">
        <v>1151</v>
      </c>
      <c r="D700" s="23" t="s">
        <v>1152</v>
      </c>
      <c r="E700" s="29">
        <v>45915.0</v>
      </c>
      <c r="F700" s="22">
        <v>8.0</v>
      </c>
      <c r="G700" s="22" t="s">
        <v>92</v>
      </c>
      <c r="H700" s="3" t="s">
        <v>1153</v>
      </c>
      <c r="I700" s="6"/>
      <c r="J700" s="6"/>
      <c r="K700" s="6"/>
      <c r="L700" s="6"/>
      <c r="M700" s="26"/>
      <c r="O700" s="19" t="str">
        <f t="shared" si="2"/>
        <v/>
      </c>
    </row>
    <row r="701">
      <c r="A701" s="22" t="s">
        <v>232</v>
      </c>
      <c r="B701" s="4" t="s">
        <v>18</v>
      </c>
      <c r="C701" s="3" t="s">
        <v>1154</v>
      </c>
      <c r="D701" s="23" t="s">
        <v>1155</v>
      </c>
      <c r="E701" s="29">
        <v>45916.0</v>
      </c>
      <c r="F701" s="22">
        <v>8.0</v>
      </c>
      <c r="G701" s="22" t="s">
        <v>92</v>
      </c>
      <c r="H701" s="3" t="s">
        <v>1156</v>
      </c>
      <c r="I701" s="6"/>
      <c r="J701" s="6"/>
      <c r="K701" s="6"/>
      <c r="L701" s="6"/>
      <c r="M701" s="26"/>
      <c r="O701" s="19" t="str">
        <f t="shared" si="2"/>
        <v/>
      </c>
    </row>
    <row r="702">
      <c r="A702" s="22" t="s">
        <v>232</v>
      </c>
      <c r="B702" s="4" t="s">
        <v>18</v>
      </c>
      <c r="C702" s="3" t="s">
        <v>1157</v>
      </c>
      <c r="D702" s="23" t="s">
        <v>1155</v>
      </c>
      <c r="E702" s="29">
        <v>45916.0</v>
      </c>
      <c r="F702" s="22">
        <v>6.0</v>
      </c>
      <c r="G702" s="22" t="s">
        <v>92</v>
      </c>
      <c r="H702" s="3" t="s">
        <v>1158</v>
      </c>
      <c r="I702" s="6"/>
      <c r="J702" s="6"/>
      <c r="K702" s="6"/>
      <c r="L702" s="6"/>
      <c r="M702" s="26"/>
      <c r="O702" s="19" t="str">
        <f t="shared" si="2"/>
        <v/>
      </c>
    </row>
    <row r="703">
      <c r="A703" s="22" t="s">
        <v>532</v>
      </c>
      <c r="B703" s="4" t="s">
        <v>18</v>
      </c>
      <c r="C703" s="3" t="s">
        <v>1143</v>
      </c>
      <c r="D703" s="23" t="s">
        <v>1159</v>
      </c>
      <c r="E703" s="29">
        <v>45916.0</v>
      </c>
      <c r="F703" s="22">
        <v>8.0</v>
      </c>
      <c r="G703" s="22" t="s">
        <v>92</v>
      </c>
      <c r="H703" s="3" t="s">
        <v>1160</v>
      </c>
      <c r="I703" s="6"/>
      <c r="J703" s="6"/>
      <c r="K703" s="6"/>
      <c r="L703" s="6"/>
      <c r="M703" s="26"/>
      <c r="O703" s="19" t="str">
        <f t="shared" si="2"/>
        <v/>
      </c>
    </row>
    <row r="704">
      <c r="A704" s="22" t="s">
        <v>116</v>
      </c>
      <c r="B704" s="4" t="s">
        <v>31</v>
      </c>
      <c r="C704" s="3" t="s">
        <v>1161</v>
      </c>
      <c r="D704" s="23" t="s">
        <v>1162</v>
      </c>
      <c r="E704" s="29">
        <v>45916.0</v>
      </c>
      <c r="F704" s="22">
        <v>8.0</v>
      </c>
      <c r="G704" s="22" t="s">
        <v>92</v>
      </c>
      <c r="H704" s="3" t="s">
        <v>1163</v>
      </c>
      <c r="I704" s="6"/>
      <c r="J704" s="6"/>
      <c r="K704" s="6"/>
      <c r="L704" s="6"/>
      <c r="M704" s="26"/>
      <c r="O704" s="19" t="str">
        <f t="shared" si="2"/>
        <v/>
      </c>
    </row>
    <row r="705">
      <c r="A705" s="22" t="s">
        <v>184</v>
      </c>
      <c r="B705" s="4" t="s">
        <v>18</v>
      </c>
      <c r="C705" s="3" t="s">
        <v>1164</v>
      </c>
      <c r="D705" s="23" t="s">
        <v>1165</v>
      </c>
      <c r="E705" s="29">
        <v>45916.0</v>
      </c>
      <c r="F705" s="22">
        <v>8.0</v>
      </c>
      <c r="G705" s="22" t="s">
        <v>92</v>
      </c>
      <c r="H705" s="3" t="s">
        <v>1166</v>
      </c>
      <c r="I705" s="6"/>
      <c r="J705" s="6"/>
      <c r="K705" s="6"/>
      <c r="L705" s="6"/>
      <c r="M705" s="26"/>
      <c r="O705" s="19" t="str">
        <f t="shared" si="2"/>
        <v/>
      </c>
    </row>
    <row r="706">
      <c r="A706" s="22" t="s">
        <v>276</v>
      </c>
      <c r="B706" s="4" t="s">
        <v>18</v>
      </c>
      <c r="C706" s="3" t="s">
        <v>1027</v>
      </c>
      <c r="D706" s="23" t="s">
        <v>1167</v>
      </c>
      <c r="E706" s="29">
        <v>45916.0</v>
      </c>
      <c r="F706" s="22">
        <v>8.0</v>
      </c>
      <c r="G706" s="22" t="s">
        <v>92</v>
      </c>
      <c r="H706" s="3" t="s">
        <v>1168</v>
      </c>
      <c r="I706" s="6"/>
      <c r="J706" s="6"/>
      <c r="K706" s="6"/>
      <c r="L706" s="6"/>
      <c r="M706" s="26"/>
      <c r="O706" s="19" t="str">
        <f t="shared" si="2"/>
        <v/>
      </c>
    </row>
    <row r="707">
      <c r="A707" s="22" t="s">
        <v>479</v>
      </c>
      <c r="B707" s="4" t="s">
        <v>18</v>
      </c>
      <c r="C707" s="3" t="s">
        <v>1169</v>
      </c>
      <c r="D707" s="23" t="s">
        <v>1170</v>
      </c>
      <c r="E707" s="29">
        <v>45916.0</v>
      </c>
      <c r="F707" s="22">
        <v>8.0</v>
      </c>
      <c r="G707" s="22" t="s">
        <v>92</v>
      </c>
      <c r="H707" s="3" t="s">
        <v>1171</v>
      </c>
      <c r="I707" s="6"/>
      <c r="J707" s="6"/>
      <c r="K707" s="6"/>
      <c r="L707" s="6"/>
      <c r="M707" s="26"/>
      <c r="O707" s="19" t="str">
        <f t="shared" si="2"/>
        <v/>
      </c>
    </row>
    <row r="708">
      <c r="A708" s="22" t="s">
        <v>120</v>
      </c>
      <c r="B708" s="4" t="s">
        <v>31</v>
      </c>
      <c r="C708" s="3" t="s">
        <v>1172</v>
      </c>
      <c r="D708" s="23"/>
      <c r="E708" s="29">
        <v>45916.0</v>
      </c>
      <c r="F708" s="22">
        <v>6.0</v>
      </c>
      <c r="G708" s="22" t="s">
        <v>92</v>
      </c>
      <c r="H708" s="3" t="s">
        <v>1173</v>
      </c>
      <c r="I708" s="6"/>
      <c r="J708" s="6"/>
      <c r="K708" s="6"/>
      <c r="L708" s="6"/>
      <c r="M708" s="26"/>
      <c r="O708" s="19" t="str">
        <f t="shared" si="2"/>
        <v/>
      </c>
    </row>
    <row r="709">
      <c r="A709" s="22" t="s">
        <v>1098</v>
      </c>
      <c r="B709" s="4" t="s">
        <v>18</v>
      </c>
      <c r="C709" s="3" t="s">
        <v>1174</v>
      </c>
      <c r="D709" s="23"/>
      <c r="E709" s="29">
        <v>45916.0</v>
      </c>
      <c r="F709" s="22">
        <v>6.0</v>
      </c>
      <c r="G709" s="22" t="s">
        <v>92</v>
      </c>
      <c r="H709" s="3" t="s">
        <v>1175</v>
      </c>
      <c r="I709" s="6"/>
      <c r="J709" s="6"/>
      <c r="K709" s="6"/>
      <c r="L709" s="6"/>
      <c r="M709" s="26"/>
      <c r="O709" s="19" t="str">
        <f t="shared" si="2"/>
        <v/>
      </c>
    </row>
    <row r="710">
      <c r="A710" s="22" t="s">
        <v>427</v>
      </c>
      <c r="B710" s="4" t="s">
        <v>18</v>
      </c>
      <c r="C710" s="3" t="s">
        <v>1176</v>
      </c>
      <c r="D710" s="23" t="s">
        <v>1177</v>
      </c>
      <c r="E710" s="29">
        <v>45916.0</v>
      </c>
      <c r="F710" s="22">
        <v>8.0</v>
      </c>
      <c r="G710" s="22" t="s">
        <v>92</v>
      </c>
      <c r="H710" s="3" t="s">
        <v>1178</v>
      </c>
      <c r="I710" s="6"/>
      <c r="J710" s="6"/>
      <c r="K710" s="6"/>
      <c r="L710" s="6"/>
      <c r="M710" s="26"/>
      <c r="O710" s="19" t="str">
        <f t="shared" si="2"/>
        <v/>
      </c>
    </row>
    <row r="711">
      <c r="A711" s="22" t="s">
        <v>225</v>
      </c>
      <c r="B711" s="4" t="s">
        <v>36</v>
      </c>
      <c r="C711" s="3" t="s">
        <v>1179</v>
      </c>
      <c r="D711" s="23"/>
      <c r="E711" s="29">
        <v>45916.0</v>
      </c>
      <c r="F711" s="22">
        <v>6.0</v>
      </c>
      <c r="G711" s="22" t="s">
        <v>92</v>
      </c>
      <c r="H711" s="3" t="s">
        <v>1180</v>
      </c>
      <c r="I711" s="6"/>
      <c r="J711" s="6"/>
      <c r="K711" s="6"/>
      <c r="L711" s="6"/>
      <c r="M711" s="26"/>
      <c r="O711" s="19" t="str">
        <f t="shared" si="2"/>
        <v/>
      </c>
    </row>
    <row r="712">
      <c r="A712" s="22" t="s">
        <v>945</v>
      </c>
      <c r="B712" s="4" t="s">
        <v>18</v>
      </c>
      <c r="C712" s="3">
        <v>4701.0</v>
      </c>
      <c r="D712" s="23"/>
      <c r="E712" s="29">
        <v>45916.0</v>
      </c>
      <c r="F712" s="22">
        <v>6.0</v>
      </c>
      <c r="G712" s="22" t="s">
        <v>92</v>
      </c>
      <c r="H712" s="3" t="s">
        <v>1181</v>
      </c>
      <c r="I712" s="6"/>
      <c r="J712" s="6"/>
      <c r="K712" s="6"/>
      <c r="L712" s="6"/>
      <c r="M712" s="26"/>
      <c r="O712" s="19" t="str">
        <f t="shared" si="2"/>
        <v/>
      </c>
    </row>
    <row r="713">
      <c r="A713" s="22" t="s">
        <v>244</v>
      </c>
      <c r="B713" s="4" t="s">
        <v>18</v>
      </c>
      <c r="C713" s="3" t="s">
        <v>361</v>
      </c>
      <c r="D713" s="23" t="s">
        <v>1182</v>
      </c>
      <c r="E713" s="29">
        <v>45916.0</v>
      </c>
      <c r="F713" s="22">
        <v>8.0</v>
      </c>
      <c r="G713" s="22" t="s">
        <v>92</v>
      </c>
      <c r="H713" s="3" t="s">
        <v>1183</v>
      </c>
      <c r="I713" s="6"/>
      <c r="J713" s="6"/>
      <c r="K713" s="6"/>
      <c r="L713" s="6"/>
      <c r="M713" s="26"/>
      <c r="O713" s="19" t="str">
        <f t="shared" si="2"/>
        <v/>
      </c>
    </row>
    <row r="714">
      <c r="A714" s="22" t="s">
        <v>265</v>
      </c>
      <c r="B714" s="4" t="s">
        <v>18</v>
      </c>
      <c r="C714" s="3" t="s">
        <v>1184</v>
      </c>
      <c r="D714" s="23" t="s">
        <v>1185</v>
      </c>
      <c r="E714" s="29">
        <v>45916.0</v>
      </c>
      <c r="F714" s="22">
        <v>8.0</v>
      </c>
      <c r="G714" s="22" t="s">
        <v>92</v>
      </c>
      <c r="H714" s="3" t="s">
        <v>1186</v>
      </c>
      <c r="I714" s="6"/>
      <c r="J714" s="6"/>
      <c r="K714" s="6"/>
      <c r="L714" s="6"/>
      <c r="M714" s="26"/>
      <c r="O714" s="19" t="str">
        <f t="shared" si="2"/>
        <v/>
      </c>
    </row>
    <row r="715">
      <c r="A715" s="22" t="s">
        <v>573</v>
      </c>
      <c r="B715" s="4" t="s">
        <v>31</v>
      </c>
      <c r="C715" s="3" t="s">
        <v>1187</v>
      </c>
      <c r="D715" s="23" t="s">
        <v>1188</v>
      </c>
      <c r="E715" s="29">
        <v>45916.0</v>
      </c>
      <c r="F715" s="22">
        <v>6.0</v>
      </c>
      <c r="G715" s="22" t="s">
        <v>92</v>
      </c>
      <c r="H715" s="3" t="s">
        <v>1189</v>
      </c>
      <c r="I715" s="6"/>
      <c r="J715" s="6"/>
      <c r="K715" s="6"/>
      <c r="L715" s="6"/>
      <c r="M715" s="26"/>
      <c r="O715" s="19" t="str">
        <f t="shared" si="2"/>
        <v/>
      </c>
    </row>
    <row r="716">
      <c r="A716" s="22" t="s">
        <v>198</v>
      </c>
      <c r="B716" s="4" t="s">
        <v>109</v>
      </c>
      <c r="C716" s="3" t="s">
        <v>671</v>
      </c>
      <c r="D716" s="23" t="s">
        <v>1190</v>
      </c>
      <c r="E716" s="29">
        <v>45916.0</v>
      </c>
      <c r="F716" s="22">
        <v>8.0</v>
      </c>
      <c r="G716" s="22" t="s">
        <v>92</v>
      </c>
      <c r="H716" s="3" t="s">
        <v>1191</v>
      </c>
      <c r="I716" s="6"/>
      <c r="J716" s="6"/>
      <c r="K716" s="6"/>
      <c r="L716" s="6"/>
      <c r="M716" s="26"/>
      <c r="O716" s="19" t="str">
        <f t="shared" si="2"/>
        <v/>
      </c>
    </row>
    <row r="717">
      <c r="A717" s="22" t="s">
        <v>744</v>
      </c>
      <c r="B717" s="4" t="s">
        <v>18</v>
      </c>
      <c r="C717" s="3" t="s">
        <v>1192</v>
      </c>
      <c r="D717" s="23" t="s">
        <v>1193</v>
      </c>
      <c r="E717" s="29">
        <v>45916.0</v>
      </c>
      <c r="F717" s="22">
        <v>8.0</v>
      </c>
      <c r="G717" s="22" t="s">
        <v>92</v>
      </c>
      <c r="H717" s="3" t="s">
        <v>1194</v>
      </c>
      <c r="I717" s="6"/>
      <c r="J717" s="6"/>
      <c r="K717" s="6"/>
      <c r="L717" s="6"/>
      <c r="M717" s="26"/>
      <c r="O717" s="19" t="str">
        <f t="shared" si="2"/>
        <v/>
      </c>
    </row>
    <row r="718">
      <c r="A718" s="22" t="s">
        <v>1195</v>
      </c>
      <c r="B718" s="4" t="s">
        <v>1196</v>
      </c>
      <c r="C718" s="3" t="s">
        <v>1197</v>
      </c>
      <c r="D718" s="23" t="s">
        <v>1198</v>
      </c>
      <c r="E718" s="29">
        <v>45916.0</v>
      </c>
      <c r="F718" s="22">
        <v>6.0</v>
      </c>
      <c r="G718" s="22" t="s">
        <v>92</v>
      </c>
      <c r="H718" s="3" t="s">
        <v>1199</v>
      </c>
      <c r="I718" s="6"/>
      <c r="J718" s="6"/>
      <c r="K718" s="6"/>
      <c r="L718" s="6"/>
      <c r="M718" s="26"/>
      <c r="O718" s="19" t="str">
        <f t="shared" si="2"/>
        <v/>
      </c>
    </row>
    <row r="719">
      <c r="A719" s="22" t="s">
        <v>435</v>
      </c>
      <c r="B719" s="4" t="s">
        <v>18</v>
      </c>
      <c r="C719" s="3" t="s">
        <v>1200</v>
      </c>
      <c r="D719" s="23" t="s">
        <v>1201</v>
      </c>
      <c r="E719" s="29">
        <v>45916.0</v>
      </c>
      <c r="F719" s="22">
        <v>8.0</v>
      </c>
      <c r="G719" s="22" t="s">
        <v>92</v>
      </c>
      <c r="H719" s="3" t="s">
        <v>1202</v>
      </c>
      <c r="I719" s="6"/>
      <c r="J719" s="6"/>
      <c r="K719" s="6"/>
      <c r="L719" s="6"/>
      <c r="M719" s="26"/>
      <c r="O719" s="19" t="str">
        <f t="shared" si="2"/>
        <v/>
      </c>
    </row>
    <row r="720">
      <c r="A720" s="22" t="s">
        <v>276</v>
      </c>
      <c r="B720" s="4" t="s">
        <v>18</v>
      </c>
      <c r="C720" s="3" t="s">
        <v>296</v>
      </c>
      <c r="D720" s="3" t="s">
        <v>1203</v>
      </c>
      <c r="E720" s="30" t="s">
        <v>1204</v>
      </c>
      <c r="F720" s="22" t="s">
        <v>27</v>
      </c>
      <c r="G720" s="22"/>
      <c r="H720" s="6"/>
      <c r="I720" s="6"/>
      <c r="J720" s="6"/>
      <c r="K720" s="6"/>
      <c r="L720" s="6"/>
      <c r="M720" s="7"/>
      <c r="O720" s="19" t="str">
        <f t="shared" si="2"/>
        <v/>
      </c>
    </row>
    <row r="721">
      <c r="A721" s="22" t="s">
        <v>717</v>
      </c>
      <c r="B721" s="4" t="s">
        <v>36</v>
      </c>
      <c r="C721" s="3" t="s">
        <v>151</v>
      </c>
      <c r="D721" s="23" t="s">
        <v>1205</v>
      </c>
      <c r="E721" s="29">
        <v>45916.0</v>
      </c>
      <c r="F721" s="22">
        <v>8.0</v>
      </c>
      <c r="G721" s="22" t="s">
        <v>92</v>
      </c>
      <c r="H721" s="3" t="s">
        <v>1206</v>
      </c>
      <c r="I721" s="6"/>
      <c r="J721" s="6"/>
      <c r="K721" s="6"/>
      <c r="L721" s="6"/>
      <c r="M721" s="26"/>
      <c r="O721" s="19" t="str">
        <f t="shared" si="2"/>
        <v/>
      </c>
    </row>
    <row r="722">
      <c r="A722" s="22" t="s">
        <v>435</v>
      </c>
      <c r="B722" s="4" t="s">
        <v>18</v>
      </c>
      <c r="C722" s="3">
        <v>4305.0</v>
      </c>
      <c r="D722" s="23"/>
      <c r="E722" s="29">
        <v>45916.0</v>
      </c>
      <c r="F722" s="22">
        <v>6.0</v>
      </c>
      <c r="G722" s="22" t="s">
        <v>92</v>
      </c>
      <c r="H722" s="3" t="s">
        <v>1207</v>
      </c>
      <c r="I722" s="6"/>
      <c r="J722" s="6"/>
      <c r="K722" s="6"/>
      <c r="L722" s="6"/>
      <c r="M722" s="26"/>
      <c r="O722" s="19" t="str">
        <f t="shared" si="2"/>
        <v/>
      </c>
    </row>
    <row r="723">
      <c r="A723" s="22" t="s">
        <v>232</v>
      </c>
      <c r="B723" s="4" t="s">
        <v>18</v>
      </c>
      <c r="C723" s="3" t="s">
        <v>1208</v>
      </c>
      <c r="D723" s="23" t="s">
        <v>1209</v>
      </c>
      <c r="E723" s="29">
        <v>45916.0</v>
      </c>
      <c r="F723" s="22">
        <v>6.0</v>
      </c>
      <c r="G723" s="22" t="s">
        <v>92</v>
      </c>
      <c r="H723" s="3" t="s">
        <v>1210</v>
      </c>
      <c r="I723" s="6"/>
      <c r="J723" s="6"/>
      <c r="K723" s="6"/>
      <c r="L723" s="6"/>
      <c r="M723" s="26"/>
      <c r="O723" s="19" t="str">
        <f t="shared" si="2"/>
        <v/>
      </c>
    </row>
    <row r="724">
      <c r="A724" s="22" t="s">
        <v>274</v>
      </c>
      <c r="B724" s="4" t="s">
        <v>18</v>
      </c>
      <c r="C724" s="3" t="s">
        <v>1211</v>
      </c>
      <c r="D724" s="23" t="s">
        <v>1212</v>
      </c>
      <c r="E724" s="29">
        <v>45916.0</v>
      </c>
      <c r="F724" s="22">
        <v>8.0</v>
      </c>
      <c r="G724" s="22" t="s">
        <v>92</v>
      </c>
      <c r="H724" s="3" t="s">
        <v>1213</v>
      </c>
      <c r="I724" s="6"/>
      <c r="J724" s="6"/>
      <c r="K724" s="6"/>
      <c r="L724" s="6"/>
      <c r="M724" s="26"/>
      <c r="O724" s="19" t="str">
        <f t="shared" si="2"/>
        <v/>
      </c>
    </row>
    <row r="725">
      <c r="A725" s="22" t="s">
        <v>1062</v>
      </c>
      <c r="B725" s="4" t="s">
        <v>18</v>
      </c>
      <c r="C725" s="3" t="s">
        <v>1214</v>
      </c>
      <c r="D725" s="23"/>
      <c r="E725" s="29">
        <v>45916.0</v>
      </c>
      <c r="F725" s="22">
        <v>6.0</v>
      </c>
      <c r="G725" s="22" t="s">
        <v>92</v>
      </c>
      <c r="H725" s="3" t="s">
        <v>1215</v>
      </c>
      <c r="I725" s="6"/>
      <c r="J725" s="6"/>
      <c r="K725" s="6"/>
      <c r="L725" s="6"/>
      <c r="M725" s="26"/>
      <c r="O725" s="19" t="str">
        <f t="shared" si="2"/>
        <v/>
      </c>
    </row>
    <row r="726">
      <c r="A726" s="22" t="s">
        <v>168</v>
      </c>
      <c r="B726" s="4" t="s">
        <v>45</v>
      </c>
      <c r="C726" s="3">
        <v>6210.0</v>
      </c>
      <c r="D726" s="23"/>
      <c r="E726" s="29">
        <v>45916.0</v>
      </c>
      <c r="F726" s="22">
        <v>6.0</v>
      </c>
      <c r="G726" s="22" t="s">
        <v>92</v>
      </c>
      <c r="H726" s="3" t="s">
        <v>1216</v>
      </c>
      <c r="I726" s="6"/>
      <c r="J726" s="6"/>
      <c r="K726" s="6"/>
      <c r="L726" s="6"/>
      <c r="M726" s="26"/>
      <c r="O726" s="19" t="str">
        <f t="shared" si="2"/>
        <v/>
      </c>
    </row>
    <row r="727">
      <c r="A727" s="22" t="s">
        <v>435</v>
      </c>
      <c r="B727" s="4" t="s">
        <v>18</v>
      </c>
      <c r="C727" s="3" t="s">
        <v>1217</v>
      </c>
      <c r="D727" s="23" t="s">
        <v>1218</v>
      </c>
      <c r="E727" s="29">
        <v>45916.0</v>
      </c>
      <c r="F727" s="22">
        <v>8.0</v>
      </c>
      <c r="G727" s="22" t="s">
        <v>92</v>
      </c>
      <c r="H727" s="3" t="s">
        <v>1219</v>
      </c>
      <c r="I727" s="6"/>
      <c r="J727" s="6"/>
      <c r="K727" s="6"/>
      <c r="L727" s="6"/>
      <c r="M727" s="26"/>
      <c r="O727" s="19" t="str">
        <f t="shared" si="2"/>
        <v/>
      </c>
    </row>
    <row r="728">
      <c r="A728" s="22" t="s">
        <v>1098</v>
      </c>
      <c r="B728" s="4" t="s">
        <v>18</v>
      </c>
      <c r="C728" s="3" t="s">
        <v>1220</v>
      </c>
      <c r="D728" s="23" t="s">
        <v>1221</v>
      </c>
      <c r="E728" s="29">
        <v>45916.0</v>
      </c>
      <c r="F728" s="22">
        <v>8.0</v>
      </c>
      <c r="G728" s="22" t="s">
        <v>92</v>
      </c>
      <c r="H728" s="3" t="s">
        <v>1222</v>
      </c>
      <c r="I728" s="6"/>
      <c r="J728" s="6"/>
      <c r="K728" s="6"/>
      <c r="L728" s="6"/>
      <c r="M728" s="26"/>
      <c r="O728" s="19" t="str">
        <f t="shared" si="2"/>
        <v/>
      </c>
    </row>
    <row r="729">
      <c r="A729" s="22" t="s">
        <v>210</v>
      </c>
      <c r="B729" s="4" t="s">
        <v>31</v>
      </c>
      <c r="C729" s="3" t="s">
        <v>1128</v>
      </c>
      <c r="D729" s="23" t="s">
        <v>1223</v>
      </c>
      <c r="E729" s="29">
        <v>45916.0</v>
      </c>
      <c r="F729" s="22">
        <v>8.0</v>
      </c>
      <c r="G729" s="22" t="s">
        <v>92</v>
      </c>
      <c r="H729" s="3" t="s">
        <v>1224</v>
      </c>
      <c r="I729" s="6"/>
      <c r="J729" s="6"/>
      <c r="K729" s="6"/>
      <c r="L729" s="6"/>
      <c r="M729" s="26"/>
      <c r="O729" s="19" t="str">
        <f t="shared" si="2"/>
        <v/>
      </c>
    </row>
    <row r="730">
      <c r="A730" s="22" t="s">
        <v>202</v>
      </c>
      <c r="B730" s="4" t="s">
        <v>36</v>
      </c>
      <c r="C730" s="3" t="s">
        <v>1225</v>
      </c>
      <c r="D730" s="23"/>
      <c r="E730" s="29">
        <v>45916.0</v>
      </c>
      <c r="F730" s="22">
        <v>6.0</v>
      </c>
      <c r="G730" s="22" t="s">
        <v>92</v>
      </c>
      <c r="H730" s="3" t="s">
        <v>1226</v>
      </c>
      <c r="I730" s="6"/>
      <c r="J730" s="6"/>
      <c r="K730" s="6"/>
      <c r="L730" s="6"/>
      <c r="M730" s="26"/>
      <c r="O730" s="19" t="str">
        <f t="shared" si="2"/>
        <v/>
      </c>
    </row>
    <row r="731">
      <c r="A731" s="22" t="s">
        <v>305</v>
      </c>
      <c r="B731" s="4" t="s">
        <v>36</v>
      </c>
      <c r="C731" s="3" t="s">
        <v>1227</v>
      </c>
      <c r="D731" s="23" t="s">
        <v>1228</v>
      </c>
      <c r="E731" s="29">
        <v>45916.0</v>
      </c>
      <c r="F731" s="22">
        <v>5.0</v>
      </c>
      <c r="G731" s="22" t="s">
        <v>92</v>
      </c>
      <c r="H731" s="3" t="s">
        <v>1229</v>
      </c>
      <c r="I731" s="6"/>
      <c r="J731" s="6"/>
      <c r="K731" s="6"/>
      <c r="L731" s="6"/>
      <c r="M731" s="26"/>
      <c r="O731" s="19" t="str">
        <f t="shared" si="2"/>
        <v/>
      </c>
    </row>
    <row r="732">
      <c r="A732" s="22" t="s">
        <v>669</v>
      </c>
      <c r="B732" s="4" t="s">
        <v>31</v>
      </c>
      <c r="C732" s="3" t="s">
        <v>1230</v>
      </c>
      <c r="D732" s="23" t="s">
        <v>1231</v>
      </c>
      <c r="E732" s="29">
        <v>45916.0</v>
      </c>
      <c r="F732" s="22">
        <v>8.0</v>
      </c>
      <c r="G732" s="22" t="s">
        <v>92</v>
      </c>
      <c r="H732" s="3" t="s">
        <v>1232</v>
      </c>
      <c r="I732" s="6"/>
      <c r="J732" s="6"/>
      <c r="K732" s="6"/>
      <c r="L732" s="6"/>
      <c r="M732" s="26"/>
      <c r="O732" s="19" t="str">
        <f t="shared" si="2"/>
        <v/>
      </c>
    </row>
    <row r="733">
      <c r="A733" s="22" t="s">
        <v>573</v>
      </c>
      <c r="B733" s="4" t="s">
        <v>31</v>
      </c>
      <c r="C733" s="3" t="s">
        <v>1233</v>
      </c>
      <c r="D733" s="23"/>
      <c r="E733" s="29">
        <v>45916.0</v>
      </c>
      <c r="F733" s="22">
        <v>6.0</v>
      </c>
      <c r="G733" s="22" t="s">
        <v>92</v>
      </c>
      <c r="H733" s="3" t="s">
        <v>1234</v>
      </c>
      <c r="I733" s="6"/>
      <c r="J733" s="6"/>
      <c r="K733" s="6"/>
      <c r="L733" s="6"/>
      <c r="M733" s="26"/>
      <c r="O733" s="19" t="str">
        <f t="shared" si="2"/>
        <v/>
      </c>
    </row>
    <row r="734">
      <c r="A734" s="22" t="s">
        <v>573</v>
      </c>
      <c r="B734" s="4" t="s">
        <v>31</v>
      </c>
      <c r="C734" s="3" t="s">
        <v>1235</v>
      </c>
      <c r="D734" s="23"/>
      <c r="E734" s="29">
        <v>45916.0</v>
      </c>
      <c r="F734" s="22">
        <v>6.0</v>
      </c>
      <c r="G734" s="22" t="s">
        <v>92</v>
      </c>
      <c r="H734" s="3" t="s">
        <v>1236</v>
      </c>
      <c r="I734" s="6"/>
      <c r="J734" s="6"/>
      <c r="K734" s="6"/>
      <c r="L734" s="6"/>
      <c r="M734" s="26"/>
      <c r="O734" s="19" t="str">
        <f t="shared" si="2"/>
        <v/>
      </c>
    </row>
    <row r="735">
      <c r="A735" s="22" t="s">
        <v>1098</v>
      </c>
      <c r="B735" s="4" t="s">
        <v>18</v>
      </c>
      <c r="C735" s="3" t="s">
        <v>1220</v>
      </c>
      <c r="D735" s="23" t="s">
        <v>1237</v>
      </c>
      <c r="E735" s="29">
        <v>45916.0</v>
      </c>
      <c r="F735" s="22">
        <v>5.0</v>
      </c>
      <c r="G735" s="22" t="s">
        <v>92</v>
      </c>
      <c r="I735" s="6"/>
      <c r="J735" s="6"/>
      <c r="K735" s="6"/>
      <c r="L735" s="6"/>
      <c r="M735" s="26"/>
      <c r="O735" s="19" t="str">
        <f t="shared" si="2"/>
        <v/>
      </c>
    </row>
    <row r="736">
      <c r="A736" s="22" t="s">
        <v>35</v>
      </c>
      <c r="B736" s="4" t="s">
        <v>36</v>
      </c>
      <c r="C736" s="3" t="s">
        <v>1238</v>
      </c>
      <c r="D736" s="23" t="s">
        <v>1239</v>
      </c>
      <c r="E736" s="29">
        <v>45917.0</v>
      </c>
      <c r="F736" s="22">
        <v>8.0</v>
      </c>
      <c r="G736" s="22" t="s">
        <v>92</v>
      </c>
      <c r="H736" s="3" t="s">
        <v>1240</v>
      </c>
      <c r="I736" s="6"/>
      <c r="J736" s="6"/>
      <c r="K736" s="6"/>
      <c r="L736" s="6"/>
      <c r="M736" s="26"/>
      <c r="O736" s="19" t="str">
        <f t="shared" si="2"/>
        <v/>
      </c>
    </row>
    <row r="737">
      <c r="A737" s="22" t="s">
        <v>35</v>
      </c>
      <c r="B737" s="4" t="s">
        <v>36</v>
      </c>
      <c r="C737" s="3" t="s">
        <v>1241</v>
      </c>
      <c r="D737" s="23"/>
      <c r="E737" s="29">
        <v>45917.0</v>
      </c>
      <c r="F737" s="22">
        <v>5.0</v>
      </c>
      <c r="G737" s="22" t="s">
        <v>92</v>
      </c>
      <c r="H737" s="3" t="s">
        <v>1242</v>
      </c>
      <c r="I737" s="6"/>
      <c r="J737" s="6"/>
      <c r="K737" s="6"/>
      <c r="L737" s="6"/>
      <c r="M737" s="26"/>
      <c r="O737" s="19" t="str">
        <f t="shared" si="2"/>
        <v/>
      </c>
    </row>
    <row r="738">
      <c r="A738" s="22" t="s">
        <v>184</v>
      </c>
      <c r="B738" s="4" t="s">
        <v>18</v>
      </c>
      <c r="C738" s="3" t="s">
        <v>1243</v>
      </c>
      <c r="D738" s="23" t="s">
        <v>1244</v>
      </c>
      <c r="E738" s="29">
        <v>45917.0</v>
      </c>
      <c r="F738" s="22">
        <v>8.0</v>
      </c>
      <c r="G738" s="22" t="s">
        <v>92</v>
      </c>
      <c r="H738" s="3" t="s">
        <v>1245</v>
      </c>
      <c r="I738" s="6"/>
      <c r="J738" s="6"/>
      <c r="K738" s="6"/>
      <c r="L738" s="6"/>
      <c r="M738" s="26"/>
      <c r="O738" s="19" t="str">
        <f t="shared" si="2"/>
        <v/>
      </c>
    </row>
    <row r="739">
      <c r="A739" s="22" t="s">
        <v>418</v>
      </c>
      <c r="B739" s="4" t="s">
        <v>18</v>
      </c>
      <c r="C739" s="3">
        <v>4500.0</v>
      </c>
      <c r="D739" s="23"/>
      <c r="E739" s="29">
        <v>45917.0</v>
      </c>
      <c r="F739" s="22">
        <v>5.0</v>
      </c>
      <c r="G739" s="22" t="s">
        <v>92</v>
      </c>
      <c r="H739" s="3" t="s">
        <v>1246</v>
      </c>
      <c r="I739" s="6"/>
      <c r="J739" s="6"/>
      <c r="K739" s="6"/>
      <c r="L739" s="6"/>
      <c r="M739" s="26"/>
      <c r="O739" s="19" t="str">
        <f t="shared" si="2"/>
        <v/>
      </c>
    </row>
    <row r="740">
      <c r="A740" s="22" t="s">
        <v>1098</v>
      </c>
      <c r="B740" s="4" t="s">
        <v>18</v>
      </c>
      <c r="C740" s="3" t="s">
        <v>1247</v>
      </c>
      <c r="D740" s="23"/>
      <c r="E740" s="29">
        <v>45917.0</v>
      </c>
      <c r="F740" s="22">
        <v>6.0</v>
      </c>
      <c r="G740" s="22" t="s">
        <v>92</v>
      </c>
      <c r="H740" s="3" t="s">
        <v>1248</v>
      </c>
      <c r="I740" s="6"/>
      <c r="J740" s="6"/>
      <c r="K740" s="6"/>
      <c r="L740" s="6"/>
      <c r="M740" s="26"/>
      <c r="O740" s="19" t="str">
        <f t="shared" si="2"/>
        <v/>
      </c>
    </row>
    <row r="741">
      <c r="A741" s="22" t="s">
        <v>1098</v>
      </c>
      <c r="B741" s="4" t="s">
        <v>18</v>
      </c>
      <c r="C741" s="3" t="s">
        <v>1249</v>
      </c>
      <c r="D741" s="23" t="s">
        <v>1250</v>
      </c>
      <c r="E741" s="29">
        <v>45917.0</v>
      </c>
      <c r="F741" s="22">
        <v>8.0</v>
      </c>
      <c r="G741" s="22" t="s">
        <v>92</v>
      </c>
      <c r="H741" s="3" t="s">
        <v>1251</v>
      </c>
      <c r="I741" s="6"/>
      <c r="J741" s="6"/>
      <c r="K741" s="6"/>
      <c r="L741" s="6"/>
      <c r="M741" s="26"/>
      <c r="O741" s="19" t="str">
        <f t="shared" si="2"/>
        <v/>
      </c>
    </row>
    <row r="742">
      <c r="A742" s="22" t="s">
        <v>198</v>
      </c>
      <c r="B742" s="4" t="s">
        <v>109</v>
      </c>
      <c r="C742" s="3" t="s">
        <v>1252</v>
      </c>
      <c r="D742" s="23" t="s">
        <v>1253</v>
      </c>
      <c r="E742" s="29">
        <v>45917.0</v>
      </c>
      <c r="F742" s="22">
        <v>8.0</v>
      </c>
      <c r="G742" s="22" t="s">
        <v>92</v>
      </c>
      <c r="H742" s="3" t="s">
        <v>1254</v>
      </c>
      <c r="I742" s="6"/>
      <c r="J742" s="6"/>
      <c r="K742" s="6"/>
      <c r="L742" s="6"/>
      <c r="M742" s="26"/>
      <c r="O742" s="19" t="str">
        <f t="shared" si="2"/>
        <v/>
      </c>
    </row>
    <row r="743">
      <c r="A743" s="22" t="s">
        <v>1255</v>
      </c>
      <c r="B743" s="4" t="s">
        <v>18</v>
      </c>
      <c r="C743" s="3" t="s">
        <v>1256</v>
      </c>
      <c r="D743" s="23" t="s">
        <v>1257</v>
      </c>
      <c r="E743" s="29">
        <v>45917.0</v>
      </c>
      <c r="F743" s="22">
        <v>6.0</v>
      </c>
      <c r="G743" s="22" t="s">
        <v>92</v>
      </c>
      <c r="H743" s="3" t="s">
        <v>1258</v>
      </c>
      <c r="I743" s="6"/>
      <c r="J743" s="6"/>
      <c r="K743" s="6"/>
      <c r="L743" s="6"/>
      <c r="M743" s="26"/>
      <c r="O743" s="19" t="str">
        <f t="shared" si="2"/>
        <v/>
      </c>
    </row>
    <row r="744">
      <c r="A744" s="22" t="s">
        <v>1259</v>
      </c>
      <c r="B744" s="4" t="s">
        <v>36</v>
      </c>
      <c r="C744" s="3" t="s">
        <v>1260</v>
      </c>
      <c r="D744" s="23" t="s">
        <v>1261</v>
      </c>
      <c r="E744" s="29">
        <v>45917.0</v>
      </c>
      <c r="F744" s="22">
        <v>8.0</v>
      </c>
      <c r="G744" s="22" t="s">
        <v>92</v>
      </c>
      <c r="H744" s="3" t="s">
        <v>1262</v>
      </c>
      <c r="I744" s="6"/>
      <c r="J744" s="6"/>
      <c r="K744" s="6"/>
      <c r="L744" s="6"/>
      <c r="M744" s="26"/>
      <c r="O744" s="19" t="str">
        <f t="shared" si="2"/>
        <v/>
      </c>
    </row>
    <row r="745">
      <c r="A745" s="22" t="s">
        <v>1098</v>
      </c>
      <c r="B745" s="4" t="s">
        <v>18</v>
      </c>
      <c r="C745" s="3" t="s">
        <v>1263</v>
      </c>
      <c r="D745" s="23" t="s">
        <v>1264</v>
      </c>
      <c r="E745" s="29">
        <v>45917.0</v>
      </c>
      <c r="F745" s="22">
        <v>8.0</v>
      </c>
      <c r="G745" s="22" t="s">
        <v>92</v>
      </c>
      <c r="H745" s="3" t="s">
        <v>1265</v>
      </c>
      <c r="I745" s="6"/>
      <c r="J745" s="6"/>
      <c r="K745" s="6"/>
      <c r="L745" s="6"/>
      <c r="M745" s="26"/>
      <c r="O745" s="19" t="str">
        <f t="shared" si="2"/>
        <v/>
      </c>
    </row>
    <row r="746">
      <c r="A746" s="22" t="s">
        <v>1266</v>
      </c>
      <c r="B746" s="4" t="s">
        <v>31</v>
      </c>
      <c r="C746" s="3" t="s">
        <v>1267</v>
      </c>
      <c r="D746" s="23" t="s">
        <v>1268</v>
      </c>
      <c r="E746" s="29">
        <v>45917.0</v>
      </c>
      <c r="F746" s="22">
        <v>8.0</v>
      </c>
      <c r="G746" s="22" t="s">
        <v>92</v>
      </c>
      <c r="H746" s="3" t="s">
        <v>1269</v>
      </c>
      <c r="I746" s="6"/>
      <c r="J746" s="6"/>
      <c r="K746" s="6"/>
      <c r="L746" s="6"/>
      <c r="M746" s="26"/>
      <c r="O746" s="19" t="str">
        <f t="shared" si="2"/>
        <v/>
      </c>
    </row>
    <row r="747">
      <c r="A747" s="22" t="s">
        <v>276</v>
      </c>
      <c r="B747" s="4" t="s">
        <v>18</v>
      </c>
      <c r="C747" s="3" t="s">
        <v>288</v>
      </c>
      <c r="D747" s="22" t="s">
        <v>1270</v>
      </c>
      <c r="E747" s="29">
        <v>45917.0</v>
      </c>
      <c r="F747" s="22" t="s">
        <v>1271</v>
      </c>
      <c r="G747" s="22" t="s">
        <v>92</v>
      </c>
      <c r="I747" s="6"/>
      <c r="J747" s="6"/>
      <c r="K747" s="6"/>
      <c r="L747" s="6"/>
      <c r="M747" s="26"/>
      <c r="O747" s="19" t="str">
        <f t="shared" si="2"/>
        <v/>
      </c>
    </row>
    <row r="748">
      <c r="A748" s="22" t="s">
        <v>435</v>
      </c>
      <c r="B748" s="4" t="s">
        <v>18</v>
      </c>
      <c r="C748" s="3" t="s">
        <v>1272</v>
      </c>
      <c r="D748" s="23" t="s">
        <v>1273</v>
      </c>
      <c r="E748" s="29">
        <v>45917.0</v>
      </c>
      <c r="F748" s="22">
        <v>8.0</v>
      </c>
      <c r="G748" s="22" t="s">
        <v>92</v>
      </c>
      <c r="H748" s="3" t="s">
        <v>1274</v>
      </c>
      <c r="I748" s="6"/>
      <c r="J748" s="6"/>
      <c r="K748" s="6"/>
      <c r="L748" s="6"/>
      <c r="M748" s="26"/>
      <c r="O748" s="19" t="str">
        <f t="shared" si="2"/>
        <v/>
      </c>
    </row>
    <row r="749">
      <c r="A749" s="22" t="s">
        <v>77</v>
      </c>
      <c r="B749" s="4" t="s">
        <v>18</v>
      </c>
      <c r="C749" s="3" t="s">
        <v>1275</v>
      </c>
      <c r="D749" s="23" t="s">
        <v>1276</v>
      </c>
      <c r="E749" s="29">
        <v>45917.0</v>
      </c>
      <c r="F749" s="22">
        <v>8.0</v>
      </c>
      <c r="G749" s="22" t="s">
        <v>92</v>
      </c>
      <c r="H749" s="3" t="s">
        <v>1277</v>
      </c>
      <c r="I749" s="6"/>
      <c r="J749" s="6"/>
      <c r="K749" s="6"/>
      <c r="L749" s="6"/>
      <c r="M749" s="26"/>
      <c r="O749" s="19" t="str">
        <f t="shared" si="2"/>
        <v/>
      </c>
    </row>
    <row r="750">
      <c r="A750" s="22" t="s">
        <v>202</v>
      </c>
      <c r="B750" s="4" t="s">
        <v>36</v>
      </c>
      <c r="C750" s="3" t="s">
        <v>1278</v>
      </c>
      <c r="D750" s="23" t="s">
        <v>1279</v>
      </c>
      <c r="E750" s="29">
        <v>45917.0</v>
      </c>
      <c r="F750" s="22">
        <v>8.0</v>
      </c>
      <c r="G750" s="22" t="s">
        <v>92</v>
      </c>
      <c r="H750" s="3" t="s">
        <v>1280</v>
      </c>
      <c r="I750" s="6"/>
      <c r="J750" s="6"/>
      <c r="K750" s="6"/>
      <c r="L750" s="6"/>
      <c r="M750" s="26"/>
      <c r="O750" s="19" t="str">
        <f t="shared" si="2"/>
        <v/>
      </c>
    </row>
    <row r="751">
      <c r="A751" s="22" t="s">
        <v>305</v>
      </c>
      <c r="B751" s="4" t="s">
        <v>36</v>
      </c>
      <c r="C751" s="3" t="s">
        <v>327</v>
      </c>
      <c r="D751" s="23"/>
      <c r="E751" s="29">
        <v>45917.0</v>
      </c>
      <c r="F751" s="22">
        <v>5.0</v>
      </c>
      <c r="G751" s="22" t="s">
        <v>92</v>
      </c>
      <c r="H751" s="3" t="s">
        <v>1281</v>
      </c>
      <c r="I751" s="6"/>
      <c r="J751" s="6"/>
      <c r="K751" s="6"/>
      <c r="L751" s="6"/>
      <c r="M751" s="26"/>
      <c r="O751" s="19" t="str">
        <f t="shared" si="2"/>
        <v/>
      </c>
    </row>
    <row r="752">
      <c r="A752" s="22" t="s">
        <v>246</v>
      </c>
      <c r="B752" s="4" t="s">
        <v>36</v>
      </c>
      <c r="C752" s="3" t="s">
        <v>1282</v>
      </c>
      <c r="D752" s="23" t="s">
        <v>1283</v>
      </c>
      <c r="E752" s="29">
        <v>45917.0</v>
      </c>
      <c r="F752" s="22">
        <v>6.0</v>
      </c>
      <c r="G752" s="22" t="s">
        <v>92</v>
      </c>
      <c r="H752" s="3" t="s">
        <v>1284</v>
      </c>
      <c r="I752" s="6"/>
      <c r="J752" s="6"/>
      <c r="K752" s="6"/>
      <c r="L752" s="6"/>
      <c r="M752" s="26"/>
      <c r="O752" s="19" t="str">
        <f t="shared" si="2"/>
        <v/>
      </c>
    </row>
    <row r="753">
      <c r="A753" s="22" t="s">
        <v>23</v>
      </c>
      <c r="B753" s="4" t="s">
        <v>18</v>
      </c>
      <c r="C753" s="3" t="s">
        <v>253</v>
      </c>
      <c r="D753" s="23" t="s">
        <v>1285</v>
      </c>
      <c r="E753" s="29">
        <v>45918.0</v>
      </c>
      <c r="F753" s="22">
        <v>6.0</v>
      </c>
      <c r="G753" s="22" t="s">
        <v>92</v>
      </c>
      <c r="H753" s="32" t="s">
        <v>1286</v>
      </c>
      <c r="I753" s="9">
        <v>6.1414639891E10</v>
      </c>
      <c r="J753" s="10" t="s">
        <v>1287</v>
      </c>
      <c r="K753" s="9">
        <v>0.0</v>
      </c>
      <c r="L753" s="6"/>
      <c r="M753" s="26"/>
      <c r="O753" s="19" t="str">
        <f t="shared" si="2"/>
        <v/>
      </c>
    </row>
    <row r="754">
      <c r="A754" s="22" t="s">
        <v>225</v>
      </c>
      <c r="B754" s="4" t="s">
        <v>36</v>
      </c>
      <c r="C754" s="3" t="s">
        <v>1179</v>
      </c>
      <c r="D754" s="23" t="s">
        <v>1288</v>
      </c>
      <c r="E754" s="29">
        <v>45918.0</v>
      </c>
      <c r="F754" s="22">
        <v>7.0</v>
      </c>
      <c r="G754" s="22" t="s">
        <v>92</v>
      </c>
      <c r="H754" s="3" t="s">
        <v>1289</v>
      </c>
      <c r="I754" s="6"/>
      <c r="J754" s="6"/>
      <c r="K754" s="6"/>
      <c r="L754" s="6"/>
      <c r="M754" s="26"/>
      <c r="O754" s="19" t="str">
        <f t="shared" si="2"/>
        <v/>
      </c>
    </row>
    <row r="755">
      <c r="A755" s="22" t="s">
        <v>44</v>
      </c>
      <c r="B755" s="4" t="s">
        <v>45</v>
      </c>
      <c r="C755" s="3" t="s">
        <v>797</v>
      </c>
      <c r="D755" s="23" t="s">
        <v>1290</v>
      </c>
      <c r="E755" s="29">
        <v>45918.0</v>
      </c>
      <c r="F755" s="22">
        <v>8.0</v>
      </c>
      <c r="G755" s="22" t="s">
        <v>92</v>
      </c>
      <c r="H755" s="3" t="s">
        <v>1291</v>
      </c>
      <c r="I755" s="6"/>
      <c r="J755" s="6"/>
      <c r="K755" s="6"/>
      <c r="L755" s="6"/>
      <c r="M755" s="26"/>
      <c r="O755" s="19" t="str">
        <f t="shared" si="2"/>
        <v/>
      </c>
    </row>
    <row r="756">
      <c r="A756" s="22" t="s">
        <v>112</v>
      </c>
      <c r="B756" s="4" t="s">
        <v>18</v>
      </c>
      <c r="C756" s="3" t="s">
        <v>1292</v>
      </c>
      <c r="D756" s="23" t="s">
        <v>1293</v>
      </c>
      <c r="E756" s="29">
        <v>45918.0</v>
      </c>
      <c r="F756" s="22">
        <v>8.0</v>
      </c>
      <c r="G756" s="22" t="s">
        <v>92</v>
      </c>
      <c r="H756" s="3" t="s">
        <v>1294</v>
      </c>
      <c r="I756" s="6"/>
      <c r="J756" s="6"/>
      <c r="K756" s="6"/>
      <c r="L756" s="6"/>
      <c r="M756" s="26"/>
      <c r="O756" s="19" t="str">
        <f t="shared" si="2"/>
        <v/>
      </c>
    </row>
    <row r="757">
      <c r="A757" s="22" t="s">
        <v>276</v>
      </c>
      <c r="B757" s="4" t="s">
        <v>18</v>
      </c>
      <c r="C757" s="3" t="s">
        <v>1295</v>
      </c>
      <c r="D757" s="23" t="s">
        <v>1296</v>
      </c>
      <c r="E757" s="29">
        <v>45918.0</v>
      </c>
      <c r="F757" s="22">
        <v>9.0</v>
      </c>
      <c r="G757" s="22" t="s">
        <v>92</v>
      </c>
      <c r="H757" s="3" t="s">
        <v>1297</v>
      </c>
      <c r="I757" s="6"/>
      <c r="J757" s="6"/>
      <c r="K757" s="6"/>
      <c r="L757" s="6"/>
      <c r="M757" s="26"/>
      <c r="O757" s="19" t="str">
        <f t="shared" si="2"/>
        <v/>
      </c>
    </row>
    <row r="758">
      <c r="A758" s="22" t="s">
        <v>98</v>
      </c>
      <c r="B758" s="4" t="s">
        <v>31</v>
      </c>
      <c r="C758" s="3" t="s">
        <v>977</v>
      </c>
      <c r="D758" s="23" t="s">
        <v>1298</v>
      </c>
      <c r="E758" s="29">
        <v>45918.0</v>
      </c>
      <c r="F758" s="22">
        <v>8.0</v>
      </c>
      <c r="G758" s="22" t="s">
        <v>92</v>
      </c>
      <c r="H758" s="3" t="s">
        <v>1299</v>
      </c>
      <c r="I758" s="6"/>
      <c r="J758" s="6"/>
      <c r="K758" s="6"/>
      <c r="L758" s="6"/>
      <c r="M758" s="26"/>
      <c r="O758" s="19" t="str">
        <f t="shared" si="2"/>
        <v/>
      </c>
    </row>
    <row r="759">
      <c r="A759" s="22" t="s">
        <v>1055</v>
      </c>
      <c r="B759" s="4" t="s">
        <v>31</v>
      </c>
      <c r="C759" s="3" t="s">
        <v>1300</v>
      </c>
      <c r="D759" s="23" t="s">
        <v>1301</v>
      </c>
      <c r="E759" s="29">
        <v>45918.0</v>
      </c>
      <c r="F759" s="22">
        <v>8.0</v>
      </c>
      <c r="G759" s="22" t="s">
        <v>92</v>
      </c>
      <c r="H759" s="3" t="s">
        <v>1302</v>
      </c>
      <c r="I759" s="6"/>
      <c r="J759" s="6"/>
      <c r="K759" s="6"/>
      <c r="L759" s="6"/>
      <c r="M759" s="26"/>
      <c r="O759" s="19" t="str">
        <f t="shared" si="2"/>
        <v/>
      </c>
    </row>
    <row r="760">
      <c r="A760" s="22" t="s">
        <v>30</v>
      </c>
      <c r="B760" s="4" t="s">
        <v>31</v>
      </c>
      <c r="C760" s="3" t="s">
        <v>1303</v>
      </c>
      <c r="D760" s="23" t="s">
        <v>1304</v>
      </c>
      <c r="E760" s="29">
        <v>45918.0</v>
      </c>
      <c r="F760" s="22">
        <v>8.0</v>
      </c>
      <c r="G760" s="22" t="s">
        <v>92</v>
      </c>
      <c r="H760" s="3" t="s">
        <v>1305</v>
      </c>
      <c r="I760" s="6"/>
      <c r="J760" s="6"/>
      <c r="K760" s="6"/>
      <c r="L760" s="6"/>
      <c r="M760" s="26"/>
      <c r="O760" s="19" t="str">
        <f t="shared" si="2"/>
        <v/>
      </c>
    </row>
    <row r="761">
      <c r="A761" s="22" t="s">
        <v>107</v>
      </c>
      <c r="B761" s="4" t="s">
        <v>18</v>
      </c>
      <c r="C761" s="3" t="s">
        <v>1306</v>
      </c>
      <c r="D761" s="23" t="s">
        <v>1307</v>
      </c>
      <c r="E761" s="29">
        <v>45918.0</v>
      </c>
      <c r="F761" s="22">
        <v>8.0</v>
      </c>
      <c r="G761" s="22" t="s">
        <v>92</v>
      </c>
      <c r="H761" s="3" t="s">
        <v>1308</v>
      </c>
      <c r="I761" s="6"/>
      <c r="J761" s="6"/>
      <c r="K761" s="6"/>
      <c r="L761" s="6"/>
      <c r="M761" s="26"/>
      <c r="O761" s="19" t="str">
        <f t="shared" si="2"/>
        <v/>
      </c>
    </row>
    <row r="762">
      <c r="A762" s="22" t="s">
        <v>427</v>
      </c>
      <c r="B762" s="4" t="s">
        <v>18</v>
      </c>
      <c r="C762" s="3" t="s">
        <v>1309</v>
      </c>
      <c r="D762" s="23" t="s">
        <v>1310</v>
      </c>
      <c r="E762" s="29">
        <v>45918.0</v>
      </c>
      <c r="F762" s="22">
        <v>6.0</v>
      </c>
      <c r="G762" s="22" t="s">
        <v>92</v>
      </c>
      <c r="H762" s="3" t="s">
        <v>1311</v>
      </c>
      <c r="I762" s="6"/>
      <c r="J762" s="6"/>
      <c r="K762" s="6"/>
      <c r="L762" s="6"/>
      <c r="M762" s="26"/>
      <c r="O762" s="19" t="str">
        <f t="shared" si="2"/>
        <v/>
      </c>
    </row>
    <row r="763">
      <c r="A763" s="22" t="s">
        <v>817</v>
      </c>
      <c r="B763" s="4" t="s">
        <v>36</v>
      </c>
      <c r="C763" s="3" t="s">
        <v>1312</v>
      </c>
      <c r="D763" s="23"/>
      <c r="E763" s="29">
        <v>45918.0</v>
      </c>
      <c r="F763" s="22">
        <v>6.0</v>
      </c>
      <c r="G763" s="22" t="s">
        <v>92</v>
      </c>
      <c r="H763" s="3" t="s">
        <v>1313</v>
      </c>
      <c r="I763" s="6"/>
      <c r="J763" s="6"/>
      <c r="K763" s="6"/>
      <c r="L763" s="6"/>
      <c r="M763" s="26"/>
      <c r="O763" s="19" t="str">
        <f t="shared" si="2"/>
        <v/>
      </c>
    </row>
    <row r="764">
      <c r="A764" s="22" t="s">
        <v>69</v>
      </c>
      <c r="B764" s="4" t="s">
        <v>31</v>
      </c>
      <c r="C764" s="3">
        <v>2530.0</v>
      </c>
      <c r="D764" s="23"/>
      <c r="E764" s="29">
        <v>45918.0</v>
      </c>
      <c r="F764" s="22">
        <v>6.0</v>
      </c>
      <c r="G764" s="22" t="s">
        <v>92</v>
      </c>
      <c r="H764" s="3" t="s">
        <v>1314</v>
      </c>
      <c r="I764" s="6"/>
      <c r="J764" s="6"/>
      <c r="K764" s="6"/>
      <c r="L764" s="6"/>
      <c r="M764" s="26"/>
      <c r="O764" s="19" t="str">
        <f t="shared" si="2"/>
        <v/>
      </c>
    </row>
    <row r="765">
      <c r="A765" s="22" t="s">
        <v>570</v>
      </c>
      <c r="B765" s="4" t="s">
        <v>18</v>
      </c>
      <c r="C765" s="3" t="s">
        <v>1315</v>
      </c>
      <c r="D765" s="23" t="s">
        <v>1316</v>
      </c>
      <c r="E765" s="29">
        <v>45918.0</v>
      </c>
      <c r="F765" s="22">
        <v>8.0</v>
      </c>
      <c r="G765" s="22" t="s">
        <v>92</v>
      </c>
      <c r="H765" s="3" t="s">
        <v>1317</v>
      </c>
      <c r="I765" s="6"/>
      <c r="J765" s="6"/>
      <c r="K765" s="6"/>
      <c r="L765" s="6"/>
      <c r="M765" s="26"/>
      <c r="O765" s="19" t="str">
        <f t="shared" si="2"/>
        <v/>
      </c>
    </row>
    <row r="766">
      <c r="A766" s="22" t="s">
        <v>113</v>
      </c>
      <c r="B766" s="4" t="s">
        <v>18</v>
      </c>
      <c r="C766" s="3" t="s">
        <v>175</v>
      </c>
      <c r="D766" s="23" t="s">
        <v>1318</v>
      </c>
      <c r="E766" s="29">
        <v>45918.0</v>
      </c>
      <c r="F766" s="22">
        <v>8.0</v>
      </c>
      <c r="G766" s="22" t="s">
        <v>92</v>
      </c>
      <c r="H766" s="3" t="s">
        <v>1319</v>
      </c>
      <c r="I766" s="6"/>
      <c r="J766" s="6"/>
      <c r="K766" s="6"/>
      <c r="L766" s="6"/>
      <c r="M766" s="26"/>
      <c r="O766" s="19" t="str">
        <f t="shared" si="2"/>
        <v/>
      </c>
    </row>
    <row r="767">
      <c r="A767" s="22" t="s">
        <v>1320</v>
      </c>
      <c r="B767" s="4" t="s">
        <v>45</v>
      </c>
      <c r="C767" s="3" t="s">
        <v>75</v>
      </c>
      <c r="D767" s="23" t="s">
        <v>1321</v>
      </c>
      <c r="E767" s="29">
        <v>45918.0</v>
      </c>
      <c r="F767" s="22">
        <v>8.0</v>
      </c>
      <c r="G767" s="22" t="s">
        <v>92</v>
      </c>
      <c r="H767" s="3" t="s">
        <v>1322</v>
      </c>
      <c r="I767" s="6"/>
      <c r="J767" s="6"/>
      <c r="K767" s="6"/>
      <c r="L767" s="6"/>
      <c r="M767" s="26"/>
      <c r="O767" s="19" t="str">
        <f t="shared" si="2"/>
        <v/>
      </c>
    </row>
    <row r="768">
      <c r="A768" s="22" t="s">
        <v>137</v>
      </c>
      <c r="B768" s="4" t="s">
        <v>18</v>
      </c>
      <c r="C768" s="3" t="s">
        <v>398</v>
      </c>
      <c r="D768" s="23" t="s">
        <v>1323</v>
      </c>
      <c r="E768" s="29">
        <v>45918.0</v>
      </c>
      <c r="F768" s="22">
        <v>8.0</v>
      </c>
      <c r="G768" s="22" t="s">
        <v>92</v>
      </c>
      <c r="H768" s="3" t="s">
        <v>1324</v>
      </c>
      <c r="I768" s="6"/>
      <c r="J768" s="6"/>
      <c r="K768" s="6"/>
      <c r="L768" s="6"/>
      <c r="M768" s="26"/>
      <c r="O768" s="19" t="str">
        <f t="shared" si="2"/>
        <v/>
      </c>
    </row>
    <row r="769">
      <c r="A769" s="22" t="s">
        <v>23</v>
      </c>
      <c r="B769" s="4" t="s">
        <v>18</v>
      </c>
      <c r="C769" s="3" t="s">
        <v>253</v>
      </c>
      <c r="D769" s="23" t="s">
        <v>1325</v>
      </c>
      <c r="E769" s="29">
        <v>45918.0</v>
      </c>
      <c r="F769" s="22">
        <v>8.0</v>
      </c>
      <c r="G769" s="22" t="s">
        <v>92</v>
      </c>
      <c r="H769" s="3" t="s">
        <v>1326</v>
      </c>
      <c r="I769" s="9">
        <v>6.1422833603E10</v>
      </c>
      <c r="J769" s="10" t="s">
        <v>1327</v>
      </c>
      <c r="K769" s="9">
        <v>0.0</v>
      </c>
      <c r="L769" s="6"/>
      <c r="M769" s="26"/>
      <c r="O769" s="19" t="str">
        <f t="shared" si="2"/>
        <v/>
      </c>
    </row>
    <row r="770">
      <c r="A770" s="22" t="s">
        <v>795</v>
      </c>
      <c r="B770" s="4" t="s">
        <v>109</v>
      </c>
      <c r="C770" s="3" t="s">
        <v>1328</v>
      </c>
      <c r="D770" s="23" t="s">
        <v>1329</v>
      </c>
      <c r="E770" s="29">
        <v>45918.0</v>
      </c>
      <c r="F770" s="22">
        <v>8.0</v>
      </c>
      <c r="G770" s="22" t="s">
        <v>92</v>
      </c>
      <c r="H770" s="3" t="s">
        <v>1330</v>
      </c>
      <c r="I770" s="6"/>
      <c r="J770" s="6"/>
      <c r="K770" s="6"/>
      <c r="L770" s="6"/>
      <c r="M770" s="26"/>
      <c r="O770" s="19" t="str">
        <f t="shared" si="2"/>
        <v/>
      </c>
    </row>
    <row r="771">
      <c r="A771" s="22" t="s">
        <v>795</v>
      </c>
      <c r="B771" s="4" t="s">
        <v>109</v>
      </c>
      <c r="C771" s="3" t="s">
        <v>1331</v>
      </c>
      <c r="D771" s="23" t="s">
        <v>1332</v>
      </c>
      <c r="E771" s="29">
        <v>45918.0</v>
      </c>
      <c r="F771" s="22">
        <v>8.0</v>
      </c>
      <c r="G771" s="22" t="s">
        <v>92</v>
      </c>
      <c r="H771" s="3" t="s">
        <v>1333</v>
      </c>
      <c r="I771" s="6"/>
      <c r="J771" s="6"/>
      <c r="K771" s="6"/>
      <c r="L771" s="6"/>
      <c r="M771" s="26"/>
      <c r="O771" s="19" t="str">
        <f t="shared" si="2"/>
        <v/>
      </c>
    </row>
    <row r="772">
      <c r="A772" s="22" t="s">
        <v>1320</v>
      </c>
      <c r="B772" s="4" t="s">
        <v>45</v>
      </c>
      <c r="C772" s="3" t="s">
        <v>1334</v>
      </c>
      <c r="D772" s="23" t="s">
        <v>1335</v>
      </c>
      <c r="E772" s="29">
        <v>45918.0</v>
      </c>
      <c r="F772" s="22">
        <v>8.0</v>
      </c>
      <c r="G772" s="22" t="s">
        <v>92</v>
      </c>
      <c r="H772" s="3" t="s">
        <v>1336</v>
      </c>
      <c r="I772" s="6"/>
      <c r="J772" s="6"/>
      <c r="K772" s="6"/>
      <c r="L772" s="6"/>
      <c r="M772" s="26"/>
      <c r="O772" s="19" t="str">
        <f t="shared" si="2"/>
        <v/>
      </c>
    </row>
    <row r="773">
      <c r="A773" s="22" t="s">
        <v>1337</v>
      </c>
      <c r="B773" s="4" t="s">
        <v>36</v>
      </c>
      <c r="C773" s="3" t="s">
        <v>942</v>
      </c>
      <c r="D773" s="23" t="s">
        <v>1338</v>
      </c>
      <c r="E773" s="29">
        <v>45918.0</v>
      </c>
      <c r="F773" s="22">
        <v>6.0</v>
      </c>
      <c r="G773" s="22" t="s">
        <v>92</v>
      </c>
      <c r="H773" s="3" t="s">
        <v>1339</v>
      </c>
      <c r="I773" s="6"/>
      <c r="J773" s="6"/>
      <c r="K773" s="6"/>
      <c r="L773" s="6"/>
      <c r="M773" s="26"/>
      <c r="O773" s="19" t="str">
        <f t="shared" si="2"/>
        <v/>
      </c>
    </row>
    <row r="774">
      <c r="A774" s="22" t="s">
        <v>1340</v>
      </c>
      <c r="B774" s="4" t="s">
        <v>31</v>
      </c>
      <c r="C774" s="3" t="s">
        <v>1341</v>
      </c>
      <c r="D774" s="3" t="s">
        <v>1342</v>
      </c>
      <c r="E774" s="29">
        <v>45919.0</v>
      </c>
      <c r="F774" s="22" t="s">
        <v>27</v>
      </c>
      <c r="G774" s="22" t="s">
        <v>129</v>
      </c>
      <c r="H774" s="6"/>
      <c r="I774" s="6"/>
      <c r="J774" s="6"/>
      <c r="K774" s="6"/>
      <c r="L774" s="6"/>
      <c r="M774" s="26"/>
      <c r="O774" s="19" t="str">
        <f t="shared" si="2"/>
        <v/>
      </c>
    </row>
    <row r="775">
      <c r="A775" s="22" t="s">
        <v>1320</v>
      </c>
      <c r="B775" s="4" t="s">
        <v>45</v>
      </c>
      <c r="C775" s="3" t="s">
        <v>1343</v>
      </c>
      <c r="D775" s="23" t="s">
        <v>1344</v>
      </c>
      <c r="E775" s="29">
        <v>45919.0</v>
      </c>
      <c r="F775" s="22">
        <v>6.0</v>
      </c>
      <c r="G775" s="22" t="s">
        <v>92</v>
      </c>
      <c r="H775" s="3" t="s">
        <v>1345</v>
      </c>
      <c r="I775" s="6"/>
      <c r="J775" s="6"/>
      <c r="K775" s="6"/>
      <c r="L775" s="6"/>
      <c r="M775" s="26"/>
      <c r="O775" s="19" t="str">
        <f t="shared" si="2"/>
        <v/>
      </c>
    </row>
    <row r="776">
      <c r="A776" s="22" t="s">
        <v>120</v>
      </c>
      <c r="B776" s="4" t="s">
        <v>31</v>
      </c>
      <c r="C776" s="3" t="s">
        <v>1346</v>
      </c>
      <c r="D776" s="23" t="s">
        <v>1347</v>
      </c>
      <c r="E776" s="29">
        <v>45919.0</v>
      </c>
      <c r="F776" s="22">
        <v>8.0</v>
      </c>
      <c r="G776" s="22" t="s">
        <v>92</v>
      </c>
      <c r="H776" s="3" t="s">
        <v>1348</v>
      </c>
      <c r="I776" s="6"/>
      <c r="J776" s="6"/>
      <c r="K776" s="6"/>
      <c r="L776" s="6"/>
      <c r="M776" s="26"/>
      <c r="O776" s="19" t="str">
        <f t="shared" si="2"/>
        <v/>
      </c>
    </row>
    <row r="777">
      <c r="A777" s="22" t="s">
        <v>1055</v>
      </c>
      <c r="B777" s="4" t="s">
        <v>31</v>
      </c>
      <c r="C777" s="3" t="s">
        <v>1300</v>
      </c>
      <c r="D777" s="23" t="s">
        <v>1349</v>
      </c>
      <c r="E777" s="29">
        <v>45919.0</v>
      </c>
      <c r="F777" s="22">
        <v>8.0</v>
      </c>
      <c r="G777" s="22" t="s">
        <v>92</v>
      </c>
      <c r="H777" s="3" t="s">
        <v>1350</v>
      </c>
      <c r="I777" s="6"/>
      <c r="J777" s="6"/>
      <c r="K777" s="6"/>
      <c r="L777" s="6"/>
      <c r="M777" s="26"/>
      <c r="O777" s="19" t="str">
        <f t="shared" si="2"/>
        <v/>
      </c>
    </row>
    <row r="778">
      <c r="A778" s="22" t="s">
        <v>107</v>
      </c>
      <c r="B778" s="4" t="s">
        <v>18</v>
      </c>
      <c r="C778" s="3" t="s">
        <v>110</v>
      </c>
      <c r="D778" s="23" t="s">
        <v>1351</v>
      </c>
      <c r="E778" s="29">
        <v>45919.0</v>
      </c>
      <c r="F778" s="22">
        <v>8.0</v>
      </c>
      <c r="G778" s="22" t="s">
        <v>92</v>
      </c>
      <c r="H778" s="3" t="s">
        <v>1352</v>
      </c>
      <c r="I778" s="6"/>
      <c r="J778" s="6"/>
      <c r="K778" s="6"/>
      <c r="L778" s="6"/>
      <c r="M778" s="26"/>
      <c r="O778" s="19" t="str">
        <f t="shared" si="2"/>
        <v/>
      </c>
    </row>
    <row r="779">
      <c r="A779" s="22" t="s">
        <v>195</v>
      </c>
      <c r="B779" s="4" t="s">
        <v>18</v>
      </c>
      <c r="C779" s="3" t="s">
        <v>1353</v>
      </c>
      <c r="D779" s="23" t="s">
        <v>1354</v>
      </c>
      <c r="E779" s="29">
        <v>45919.0</v>
      </c>
      <c r="F779" s="22">
        <v>6.0</v>
      </c>
      <c r="G779" s="22" t="s">
        <v>92</v>
      </c>
      <c r="H779" s="3" t="s">
        <v>1355</v>
      </c>
      <c r="I779" s="6"/>
      <c r="J779" s="6"/>
      <c r="K779" s="6"/>
      <c r="L779" s="6"/>
      <c r="M779" s="26"/>
      <c r="O779" s="19" t="str">
        <f t="shared" si="2"/>
        <v/>
      </c>
    </row>
    <row r="780">
      <c r="A780" s="22" t="s">
        <v>44</v>
      </c>
      <c r="B780" s="4" t="s">
        <v>45</v>
      </c>
      <c r="C780" s="3" t="s">
        <v>1356</v>
      </c>
      <c r="D780" s="23" t="s">
        <v>1357</v>
      </c>
      <c r="E780" s="29">
        <v>45919.0</v>
      </c>
      <c r="F780" s="22">
        <v>8.0</v>
      </c>
      <c r="G780" s="22" t="s">
        <v>92</v>
      </c>
      <c r="H780" s="3" t="s">
        <v>1358</v>
      </c>
      <c r="I780" s="6"/>
      <c r="J780" s="6"/>
      <c r="K780" s="6"/>
      <c r="L780" s="6"/>
      <c r="M780" s="26"/>
      <c r="O780" s="19" t="str">
        <f t="shared" si="2"/>
        <v/>
      </c>
    </row>
    <row r="781">
      <c r="A781" s="22" t="s">
        <v>1359</v>
      </c>
      <c r="B781" s="4" t="s">
        <v>45</v>
      </c>
      <c r="C781" s="3" t="s">
        <v>1360</v>
      </c>
      <c r="D781" s="23"/>
      <c r="E781" s="29">
        <v>45919.0</v>
      </c>
      <c r="F781" s="22">
        <v>5.0</v>
      </c>
      <c r="G781" s="22" t="s">
        <v>92</v>
      </c>
      <c r="H781" s="3" t="s">
        <v>1361</v>
      </c>
      <c r="I781" s="6"/>
      <c r="J781" s="6"/>
      <c r="K781" s="6"/>
      <c r="L781" s="6"/>
      <c r="M781" s="26"/>
      <c r="O781" s="19" t="str">
        <f t="shared" si="2"/>
        <v/>
      </c>
    </row>
    <row r="782">
      <c r="A782" s="22" t="s">
        <v>258</v>
      </c>
      <c r="B782" s="4" t="s">
        <v>45</v>
      </c>
      <c r="C782" s="3" t="s">
        <v>1362</v>
      </c>
      <c r="D782" s="23" t="s">
        <v>1363</v>
      </c>
      <c r="E782" s="29">
        <v>45919.0</v>
      </c>
      <c r="F782" s="22">
        <v>6.0</v>
      </c>
      <c r="G782" s="22" t="s">
        <v>92</v>
      </c>
      <c r="H782" s="3" t="s">
        <v>1364</v>
      </c>
      <c r="I782" s="6"/>
      <c r="J782" s="6"/>
      <c r="K782" s="6"/>
      <c r="L782" s="6"/>
      <c r="M782" s="26"/>
      <c r="O782" s="19" t="str">
        <f t="shared" si="2"/>
        <v/>
      </c>
    </row>
    <row r="783">
      <c r="A783" s="22" t="s">
        <v>113</v>
      </c>
      <c r="B783" s="4" t="s">
        <v>18</v>
      </c>
      <c r="C783" s="3" t="s">
        <v>166</v>
      </c>
      <c r="D783" s="23" t="s">
        <v>1365</v>
      </c>
      <c r="E783" s="29">
        <v>45919.0</v>
      </c>
      <c r="F783" s="22">
        <v>6.0</v>
      </c>
      <c r="G783" s="22" t="s">
        <v>92</v>
      </c>
      <c r="H783" s="3" t="s">
        <v>1366</v>
      </c>
      <c r="I783" s="6"/>
      <c r="J783" s="6"/>
      <c r="K783" s="6"/>
      <c r="L783" s="6"/>
      <c r="M783" s="26"/>
      <c r="O783" s="19" t="str">
        <f t="shared" si="2"/>
        <v/>
      </c>
    </row>
    <row r="784">
      <c r="A784" s="22" t="s">
        <v>244</v>
      </c>
      <c r="B784" s="4" t="s">
        <v>18</v>
      </c>
      <c r="C784" s="3" t="s">
        <v>315</v>
      </c>
      <c r="D784" s="23" t="s">
        <v>1367</v>
      </c>
      <c r="E784" s="29">
        <v>45919.0</v>
      </c>
      <c r="F784" s="22">
        <v>8.0</v>
      </c>
      <c r="G784" s="22" t="s">
        <v>92</v>
      </c>
      <c r="H784" s="3" t="s">
        <v>1368</v>
      </c>
      <c r="I784" s="6"/>
      <c r="J784" s="6"/>
      <c r="K784" s="6"/>
      <c r="L784" s="6"/>
      <c r="M784" s="26"/>
      <c r="O784" s="19" t="str">
        <f t="shared" si="2"/>
        <v/>
      </c>
    </row>
    <row r="785">
      <c r="A785" s="22" t="s">
        <v>1359</v>
      </c>
      <c r="B785" s="4" t="s">
        <v>45</v>
      </c>
      <c r="C785" s="3" t="s">
        <v>1369</v>
      </c>
      <c r="D785" s="23" t="s">
        <v>1370</v>
      </c>
      <c r="E785" s="29">
        <v>45920.0</v>
      </c>
      <c r="F785" s="22">
        <v>8.0</v>
      </c>
      <c r="G785" s="22" t="s">
        <v>92</v>
      </c>
      <c r="H785" s="3" t="s">
        <v>1371</v>
      </c>
      <c r="I785" s="6"/>
      <c r="J785" s="6"/>
      <c r="K785" s="6"/>
      <c r="L785" s="6"/>
      <c r="M785" s="26"/>
      <c r="O785" s="19" t="str">
        <f t="shared" si="2"/>
        <v/>
      </c>
    </row>
    <row r="786">
      <c r="A786" s="22" t="s">
        <v>98</v>
      </c>
      <c r="B786" s="4" t="s">
        <v>31</v>
      </c>
      <c r="C786" s="3" t="s">
        <v>99</v>
      </c>
      <c r="D786" s="23" t="s">
        <v>1372</v>
      </c>
      <c r="E786" s="29">
        <v>45920.0</v>
      </c>
      <c r="F786" s="22">
        <v>8.0</v>
      </c>
      <c r="G786" s="22" t="s">
        <v>92</v>
      </c>
      <c r="H786" s="3" t="s">
        <v>1373</v>
      </c>
      <c r="I786" s="6"/>
      <c r="J786" s="6"/>
      <c r="K786" s="6"/>
      <c r="L786" s="6"/>
      <c r="M786" s="26"/>
      <c r="O786" s="19" t="str">
        <f t="shared" si="2"/>
        <v/>
      </c>
    </row>
    <row r="787">
      <c r="A787" s="22" t="s">
        <v>795</v>
      </c>
      <c r="B787" s="4" t="s">
        <v>109</v>
      </c>
      <c r="C787" s="3" t="s">
        <v>1374</v>
      </c>
      <c r="D787" s="23"/>
      <c r="E787" s="29">
        <v>45920.0</v>
      </c>
      <c r="F787" s="22">
        <v>6.0</v>
      </c>
      <c r="G787" s="22" t="s">
        <v>92</v>
      </c>
      <c r="H787" s="3" t="s">
        <v>1375</v>
      </c>
      <c r="I787" s="6"/>
      <c r="J787" s="6"/>
      <c r="K787" s="6"/>
      <c r="L787" s="6"/>
      <c r="M787" s="26"/>
      <c r="O787" s="19" t="str">
        <f t="shared" si="2"/>
        <v/>
      </c>
    </row>
    <row r="788">
      <c r="A788" s="22" t="s">
        <v>744</v>
      </c>
      <c r="B788" s="4" t="s">
        <v>18</v>
      </c>
      <c r="C788" s="3" t="s">
        <v>1376</v>
      </c>
      <c r="D788" s="22" t="s">
        <v>1377</v>
      </c>
      <c r="E788" s="29">
        <v>45920.0</v>
      </c>
      <c r="F788" s="22">
        <v>6.0</v>
      </c>
      <c r="G788" s="22" t="s">
        <v>92</v>
      </c>
      <c r="H788" s="3" t="s">
        <v>1378</v>
      </c>
      <c r="I788" s="6"/>
      <c r="J788" s="6"/>
      <c r="K788" s="6"/>
      <c r="L788" s="6"/>
      <c r="M788" s="26"/>
      <c r="O788" s="19" t="str">
        <f t="shared" si="2"/>
        <v/>
      </c>
    </row>
    <row r="789">
      <c r="A789" s="22" t="s">
        <v>23</v>
      </c>
      <c r="B789" s="4" t="s">
        <v>18</v>
      </c>
      <c r="C789" s="3" t="s">
        <v>1379</v>
      </c>
      <c r="D789" s="23" t="s">
        <v>1380</v>
      </c>
      <c r="E789" s="29">
        <v>45920.0</v>
      </c>
      <c r="F789" s="22">
        <v>10.0</v>
      </c>
      <c r="G789" s="22" t="s">
        <v>92</v>
      </c>
      <c r="H789" s="3" t="s">
        <v>1381</v>
      </c>
      <c r="I789" s="9">
        <v>6.1478926777E10</v>
      </c>
      <c r="J789" s="10" t="s">
        <v>1382</v>
      </c>
      <c r="K789" s="9">
        <v>0.0</v>
      </c>
      <c r="L789" s="6"/>
      <c r="M789" s="26"/>
      <c r="O789" s="19" t="str">
        <f t="shared" si="2"/>
        <v/>
      </c>
    </row>
    <row r="790">
      <c r="A790" s="22" t="s">
        <v>1255</v>
      </c>
      <c r="B790" s="4" t="s">
        <v>18</v>
      </c>
      <c r="C790" s="3" t="s">
        <v>1383</v>
      </c>
      <c r="D790" s="23" t="s">
        <v>1384</v>
      </c>
      <c r="E790" s="29">
        <v>45920.0</v>
      </c>
      <c r="F790" s="22">
        <v>6.0</v>
      </c>
      <c r="G790" s="22" t="s">
        <v>92</v>
      </c>
      <c r="H790" s="3" t="s">
        <v>1385</v>
      </c>
      <c r="I790" s="6"/>
      <c r="J790" s="6"/>
      <c r="K790" s="6"/>
      <c r="L790" s="6"/>
      <c r="M790" s="26"/>
      <c r="O790" s="19" t="str">
        <f t="shared" si="2"/>
        <v/>
      </c>
    </row>
    <row r="791">
      <c r="A791" s="22" t="s">
        <v>1359</v>
      </c>
      <c r="B791" s="4" t="s">
        <v>45</v>
      </c>
      <c r="C791" s="3" t="s">
        <v>312</v>
      </c>
      <c r="D791" s="23" t="s">
        <v>1386</v>
      </c>
      <c r="E791" s="29">
        <v>45920.0</v>
      </c>
      <c r="F791" s="22">
        <v>6.0</v>
      </c>
      <c r="G791" s="22" t="s">
        <v>92</v>
      </c>
      <c r="H791" s="3" t="s">
        <v>1387</v>
      </c>
      <c r="I791" s="6"/>
      <c r="J791" s="6"/>
      <c r="K791" s="6"/>
      <c r="L791" s="6"/>
      <c r="M791" s="26"/>
      <c r="O791" s="19" t="str">
        <f t="shared" si="2"/>
        <v/>
      </c>
    </row>
    <row r="792">
      <c r="A792" s="22" t="s">
        <v>945</v>
      </c>
      <c r="B792" s="4" t="s">
        <v>18</v>
      </c>
      <c r="C792" s="3" t="s">
        <v>1388</v>
      </c>
      <c r="D792" s="23" t="s">
        <v>1389</v>
      </c>
      <c r="E792" s="29">
        <v>45920.0</v>
      </c>
      <c r="F792" s="22">
        <v>8.0</v>
      </c>
      <c r="G792" s="22" t="s">
        <v>92</v>
      </c>
      <c r="H792" s="3" t="s">
        <v>1390</v>
      </c>
      <c r="I792" s="6"/>
      <c r="J792" s="6"/>
      <c r="K792" s="6"/>
      <c r="L792" s="6"/>
      <c r="M792" s="26"/>
      <c r="O792" s="19" t="str">
        <f t="shared" si="2"/>
        <v/>
      </c>
    </row>
    <row r="793">
      <c r="A793" s="22" t="s">
        <v>435</v>
      </c>
      <c r="B793" s="4" t="s">
        <v>18</v>
      </c>
      <c r="C793" s="3" t="s">
        <v>1391</v>
      </c>
      <c r="D793" s="3" t="s">
        <v>1392</v>
      </c>
      <c r="E793" s="29">
        <v>45920.0</v>
      </c>
      <c r="F793" s="22" t="s">
        <v>27</v>
      </c>
      <c r="G793" s="22" t="s">
        <v>129</v>
      </c>
      <c r="H793" s="6"/>
      <c r="I793" s="6"/>
      <c r="J793" s="6"/>
      <c r="K793" s="6"/>
      <c r="L793" s="6"/>
      <c r="M793" s="26"/>
      <c r="O793" s="19" t="str">
        <f t="shared" si="2"/>
        <v/>
      </c>
    </row>
    <row r="794">
      <c r="A794" s="22" t="s">
        <v>184</v>
      </c>
      <c r="B794" s="4" t="s">
        <v>18</v>
      </c>
      <c r="C794" s="3" t="s">
        <v>1393</v>
      </c>
      <c r="D794" s="3" t="s">
        <v>1394</v>
      </c>
      <c r="E794" s="29">
        <v>45920.0</v>
      </c>
      <c r="F794" s="22" t="s">
        <v>27</v>
      </c>
      <c r="G794" s="22" t="s">
        <v>129</v>
      </c>
      <c r="H794" s="6"/>
      <c r="I794" s="6"/>
      <c r="J794" s="6"/>
      <c r="K794" s="6"/>
      <c r="L794" s="6"/>
      <c r="M794" s="26"/>
      <c r="O794" s="19" t="str">
        <f t="shared" si="2"/>
        <v/>
      </c>
    </row>
    <row r="795">
      <c r="A795" s="22" t="s">
        <v>155</v>
      </c>
      <c r="B795" s="4" t="s">
        <v>18</v>
      </c>
      <c r="C795" s="3" t="s">
        <v>414</v>
      </c>
      <c r="D795" s="3" t="s">
        <v>1395</v>
      </c>
      <c r="E795" s="29">
        <v>45920.0</v>
      </c>
      <c r="F795" s="22" t="s">
        <v>27</v>
      </c>
      <c r="G795" s="22" t="s">
        <v>129</v>
      </c>
      <c r="H795" s="6"/>
      <c r="I795" s="6"/>
      <c r="J795" s="6"/>
      <c r="K795" s="6"/>
      <c r="L795" s="6"/>
      <c r="M795" s="26"/>
      <c r="O795" s="19" t="str">
        <f t="shared" si="2"/>
        <v/>
      </c>
    </row>
    <row r="796">
      <c r="A796" s="22" t="s">
        <v>1255</v>
      </c>
      <c r="B796" s="4" t="s">
        <v>18</v>
      </c>
      <c r="C796" s="3" t="s">
        <v>1396</v>
      </c>
      <c r="D796" s="3" t="s">
        <v>1397</v>
      </c>
      <c r="E796" s="29">
        <v>45920.0</v>
      </c>
      <c r="F796" s="22" t="s">
        <v>27</v>
      </c>
      <c r="G796" s="22" t="s">
        <v>129</v>
      </c>
      <c r="H796" s="6"/>
      <c r="I796" s="6"/>
      <c r="J796" s="6"/>
      <c r="K796" s="6"/>
      <c r="L796" s="6"/>
      <c r="M796" s="26"/>
      <c r="O796" s="19" t="str">
        <f t="shared" si="2"/>
        <v/>
      </c>
    </row>
    <row r="797">
      <c r="A797" s="22" t="s">
        <v>427</v>
      </c>
      <c r="B797" s="4" t="s">
        <v>18</v>
      </c>
      <c r="C797" s="3" t="s">
        <v>1398</v>
      </c>
      <c r="D797" s="23" t="s">
        <v>1399</v>
      </c>
      <c r="E797" s="29">
        <v>45920.0</v>
      </c>
      <c r="F797" s="22">
        <v>8.0</v>
      </c>
      <c r="G797" s="22" t="s">
        <v>92</v>
      </c>
      <c r="H797" s="3" t="s">
        <v>1400</v>
      </c>
      <c r="I797" s="6"/>
      <c r="J797" s="6"/>
      <c r="K797" s="6"/>
      <c r="L797" s="6"/>
      <c r="M797" s="26"/>
      <c r="O797" s="19" t="str">
        <f t="shared" si="2"/>
        <v/>
      </c>
    </row>
    <row r="798">
      <c r="A798" s="22" t="s">
        <v>98</v>
      </c>
      <c r="B798" s="4" t="s">
        <v>31</v>
      </c>
      <c r="C798" s="3" t="s">
        <v>1401</v>
      </c>
      <c r="D798" s="23" t="s">
        <v>1298</v>
      </c>
      <c r="E798" s="29">
        <v>45920.0</v>
      </c>
      <c r="F798" s="22">
        <v>8.0</v>
      </c>
      <c r="G798" s="22" t="s">
        <v>92</v>
      </c>
      <c r="H798" s="3" t="s">
        <v>1299</v>
      </c>
      <c r="I798" s="6"/>
      <c r="J798" s="6"/>
      <c r="K798" s="6"/>
      <c r="L798" s="6"/>
      <c r="M798" s="26"/>
      <c r="O798" s="19" t="str">
        <f t="shared" si="2"/>
        <v/>
      </c>
    </row>
    <row r="799">
      <c r="A799" s="22" t="s">
        <v>98</v>
      </c>
      <c r="B799" s="4" t="s">
        <v>31</v>
      </c>
      <c r="C799" s="3">
        <v>2097.0</v>
      </c>
      <c r="D799" s="23"/>
      <c r="E799" s="29">
        <v>45920.0</v>
      </c>
      <c r="F799" s="22">
        <v>6.0</v>
      </c>
      <c r="G799" s="22" t="s">
        <v>92</v>
      </c>
      <c r="H799" s="3" t="s">
        <v>1402</v>
      </c>
      <c r="I799" s="6"/>
      <c r="J799" s="6"/>
      <c r="K799" s="6"/>
      <c r="L799" s="6"/>
      <c r="M799" s="26"/>
      <c r="O799" s="19" t="str">
        <f t="shared" si="2"/>
        <v/>
      </c>
    </row>
    <row r="800">
      <c r="A800" s="22" t="s">
        <v>1320</v>
      </c>
      <c r="B800" s="4" t="s">
        <v>45</v>
      </c>
      <c r="C800" s="3" t="s">
        <v>1403</v>
      </c>
      <c r="D800" s="23" t="s">
        <v>1404</v>
      </c>
      <c r="E800" s="29">
        <v>45920.0</v>
      </c>
      <c r="F800" s="22">
        <v>8.0</v>
      </c>
      <c r="G800" s="22" t="s">
        <v>92</v>
      </c>
      <c r="H800" s="3" t="s">
        <v>1405</v>
      </c>
      <c r="I800" s="6"/>
      <c r="J800" s="6"/>
      <c r="K800" s="6"/>
      <c r="L800" s="6"/>
      <c r="M800" s="26"/>
      <c r="O800" s="19" t="str">
        <f t="shared" si="2"/>
        <v/>
      </c>
    </row>
    <row r="801">
      <c r="A801" s="22" t="s">
        <v>242</v>
      </c>
      <c r="B801" s="4" t="s">
        <v>18</v>
      </c>
      <c r="C801" s="3"/>
      <c r="D801" s="3" t="s">
        <v>1406</v>
      </c>
      <c r="E801" s="29" t="s">
        <v>1407</v>
      </c>
      <c r="F801" s="22" t="s">
        <v>27</v>
      </c>
      <c r="G801" s="22"/>
      <c r="H801" s="6"/>
      <c r="I801" s="6"/>
      <c r="J801" s="6"/>
      <c r="K801" s="6"/>
      <c r="L801" s="6"/>
      <c r="M801" s="26"/>
      <c r="O801" s="19" t="str">
        <f t="shared" si="2"/>
        <v/>
      </c>
    </row>
    <row r="802">
      <c r="A802" s="22" t="s">
        <v>137</v>
      </c>
      <c r="B802" s="4" t="s">
        <v>18</v>
      </c>
      <c r="C802" s="3" t="s">
        <v>398</v>
      </c>
      <c r="D802" s="3" t="s">
        <v>1408</v>
      </c>
      <c r="E802" s="29">
        <v>45921.0</v>
      </c>
      <c r="F802" s="22" t="s">
        <v>27</v>
      </c>
      <c r="G802" s="22" t="s">
        <v>129</v>
      </c>
      <c r="H802" s="6"/>
      <c r="I802" s="6"/>
      <c r="J802" s="6"/>
      <c r="K802" s="6"/>
      <c r="L802" s="6"/>
      <c r="M802" s="26"/>
      <c r="O802" s="19" t="str">
        <f t="shared" si="2"/>
        <v/>
      </c>
    </row>
    <row r="803">
      <c r="A803" s="22" t="s">
        <v>155</v>
      </c>
      <c r="B803" s="4" t="s">
        <v>18</v>
      </c>
      <c r="C803" s="3" t="s">
        <v>51</v>
      </c>
      <c r="D803" s="3" t="s">
        <v>1409</v>
      </c>
      <c r="E803" s="29">
        <v>45921.0</v>
      </c>
      <c r="F803" s="22" t="s">
        <v>27</v>
      </c>
      <c r="G803" s="22" t="s">
        <v>129</v>
      </c>
      <c r="H803" s="6"/>
      <c r="I803" s="6"/>
      <c r="J803" s="6"/>
      <c r="K803" s="6"/>
      <c r="L803" s="6"/>
      <c r="M803" s="26"/>
      <c r="O803" s="19" t="str">
        <f t="shared" si="2"/>
        <v/>
      </c>
    </row>
    <row r="804">
      <c r="A804" s="22" t="s">
        <v>107</v>
      </c>
      <c r="B804" s="4" t="s">
        <v>18</v>
      </c>
      <c r="C804" s="3" t="s">
        <v>737</v>
      </c>
      <c r="D804" s="3" t="s">
        <v>1410</v>
      </c>
      <c r="E804" s="29">
        <v>45921.0</v>
      </c>
      <c r="F804" s="22" t="s">
        <v>27</v>
      </c>
      <c r="G804" s="22" t="s">
        <v>129</v>
      </c>
      <c r="H804" s="6"/>
      <c r="I804" s="6"/>
      <c r="J804" s="6"/>
      <c r="K804" s="6"/>
      <c r="L804" s="6"/>
      <c r="M804" s="26"/>
      <c r="O804" s="19" t="str">
        <f t="shared" si="2"/>
        <v/>
      </c>
    </row>
    <row r="805">
      <c r="A805" s="22" t="s">
        <v>276</v>
      </c>
      <c r="B805" s="4" t="s">
        <v>18</v>
      </c>
      <c r="C805" s="3" t="s">
        <v>1411</v>
      </c>
      <c r="D805" s="3" t="s">
        <v>1412</v>
      </c>
      <c r="E805" s="29">
        <v>45921.0</v>
      </c>
      <c r="F805" s="22" t="s">
        <v>27</v>
      </c>
      <c r="G805" s="22" t="s">
        <v>129</v>
      </c>
      <c r="H805" s="6"/>
      <c r="I805" s="6"/>
      <c r="J805" s="6"/>
      <c r="K805" s="6"/>
      <c r="L805" s="6"/>
      <c r="M805" s="26"/>
      <c r="O805" s="19" t="str">
        <f t="shared" si="2"/>
        <v/>
      </c>
    </row>
    <row r="806">
      <c r="A806" s="22" t="s">
        <v>532</v>
      </c>
      <c r="B806" s="4" t="s">
        <v>18</v>
      </c>
      <c r="C806" s="3" t="s">
        <v>1413</v>
      </c>
      <c r="D806" s="23" t="s">
        <v>1414</v>
      </c>
      <c r="E806" s="29">
        <v>45921.0</v>
      </c>
      <c r="F806" s="22">
        <v>8.0</v>
      </c>
      <c r="G806" s="22" t="s">
        <v>92</v>
      </c>
      <c r="H806" s="3" t="s">
        <v>1415</v>
      </c>
      <c r="I806" s="6"/>
      <c r="J806" s="6"/>
      <c r="K806" s="6"/>
      <c r="L806" s="6"/>
      <c r="M806" s="26"/>
      <c r="O806" s="19" t="str">
        <f t="shared" si="2"/>
        <v/>
      </c>
    </row>
    <row r="807">
      <c r="A807" s="22" t="s">
        <v>1055</v>
      </c>
      <c r="B807" s="4" t="s">
        <v>31</v>
      </c>
      <c r="C807" s="3" t="s">
        <v>1416</v>
      </c>
      <c r="D807" s="23" t="s">
        <v>1417</v>
      </c>
      <c r="E807" s="29">
        <v>45921.0</v>
      </c>
      <c r="F807" s="22">
        <v>8.0</v>
      </c>
      <c r="G807" s="22" t="s">
        <v>92</v>
      </c>
      <c r="H807" s="3" t="s">
        <v>1418</v>
      </c>
      <c r="I807" s="6"/>
      <c r="J807" s="6"/>
      <c r="K807" s="6"/>
      <c r="L807" s="6"/>
      <c r="M807" s="26"/>
      <c r="O807" s="19" t="str">
        <f t="shared" si="2"/>
        <v/>
      </c>
    </row>
    <row r="808">
      <c r="A808" s="22" t="s">
        <v>717</v>
      </c>
      <c r="B808" s="4" t="s">
        <v>36</v>
      </c>
      <c r="C808" s="3" t="s">
        <v>1419</v>
      </c>
      <c r="D808" s="23" t="s">
        <v>1420</v>
      </c>
      <c r="E808" s="29">
        <v>45921.0</v>
      </c>
      <c r="F808" s="22">
        <v>8.0</v>
      </c>
      <c r="G808" s="22" t="s">
        <v>92</v>
      </c>
      <c r="H808" s="3" t="s">
        <v>1421</v>
      </c>
      <c r="I808" s="6"/>
      <c r="J808" s="6"/>
      <c r="K808" s="6"/>
      <c r="L808" s="6"/>
      <c r="M808" s="26"/>
      <c r="O808" s="19" t="str">
        <f t="shared" si="2"/>
        <v/>
      </c>
    </row>
    <row r="809">
      <c r="A809" s="22" t="s">
        <v>285</v>
      </c>
      <c r="B809" s="4" t="s">
        <v>36</v>
      </c>
      <c r="C809" s="3" t="s">
        <v>1422</v>
      </c>
      <c r="D809" s="23" t="s">
        <v>1423</v>
      </c>
      <c r="E809" s="29">
        <v>45921.0</v>
      </c>
      <c r="F809" s="22">
        <v>6.0</v>
      </c>
      <c r="G809" s="22" t="s">
        <v>92</v>
      </c>
      <c r="H809" s="3" t="s">
        <v>1424</v>
      </c>
      <c r="I809" s="6"/>
      <c r="J809" s="6"/>
      <c r="K809" s="6"/>
      <c r="L809" s="6"/>
      <c r="M809" s="26"/>
      <c r="O809" s="19" t="str">
        <f t="shared" si="2"/>
        <v/>
      </c>
    </row>
    <row r="810">
      <c r="A810" s="22" t="s">
        <v>1098</v>
      </c>
      <c r="B810" s="4" t="s">
        <v>18</v>
      </c>
      <c r="C810" s="3" t="s">
        <v>1425</v>
      </c>
      <c r="D810" s="23" t="s">
        <v>1426</v>
      </c>
      <c r="E810" s="29">
        <v>45921.0</v>
      </c>
      <c r="F810" s="22">
        <v>6.0</v>
      </c>
      <c r="G810" s="22" t="s">
        <v>92</v>
      </c>
      <c r="H810" s="3" t="s">
        <v>1427</v>
      </c>
      <c r="I810" s="6"/>
      <c r="J810" s="6"/>
      <c r="K810" s="6"/>
      <c r="L810" s="6"/>
      <c r="M810" s="26"/>
      <c r="O810" s="19" t="str">
        <f t="shared" si="2"/>
        <v/>
      </c>
    </row>
    <row r="811">
      <c r="A811" s="22" t="s">
        <v>817</v>
      </c>
      <c r="B811" s="4" t="s">
        <v>36</v>
      </c>
      <c r="C811" s="3" t="s">
        <v>1428</v>
      </c>
      <c r="D811" s="23" t="s">
        <v>1429</v>
      </c>
      <c r="E811" s="29">
        <v>45921.0</v>
      </c>
      <c r="F811" s="22">
        <v>8.0</v>
      </c>
      <c r="G811" s="22" t="s">
        <v>92</v>
      </c>
      <c r="H811" s="3" t="s">
        <v>1430</v>
      </c>
      <c r="I811" s="6"/>
      <c r="J811" s="6"/>
      <c r="K811" s="6"/>
      <c r="L811" s="6"/>
      <c r="M811" s="26"/>
      <c r="O811" s="19" t="str">
        <f t="shared" si="2"/>
        <v/>
      </c>
    </row>
    <row r="812">
      <c r="A812" s="22" t="s">
        <v>108</v>
      </c>
      <c r="B812" s="4" t="s">
        <v>109</v>
      </c>
      <c r="C812" s="3" t="s">
        <v>1431</v>
      </c>
      <c r="D812" s="23" t="s">
        <v>1432</v>
      </c>
      <c r="E812" s="29">
        <v>45921.0</v>
      </c>
      <c r="F812" s="22" t="s">
        <v>22</v>
      </c>
      <c r="G812" s="22" t="s">
        <v>92</v>
      </c>
      <c r="H812" s="3" t="s">
        <v>1433</v>
      </c>
      <c r="I812" s="6"/>
      <c r="J812" s="6"/>
      <c r="K812" s="6"/>
      <c r="L812" s="6"/>
      <c r="M812" s="26"/>
      <c r="O812" s="19" t="str">
        <f t="shared" si="2"/>
        <v/>
      </c>
    </row>
    <row r="813">
      <c r="A813" s="22" t="s">
        <v>717</v>
      </c>
      <c r="B813" s="4" t="s">
        <v>36</v>
      </c>
      <c r="C813" s="3" t="s">
        <v>1434</v>
      </c>
      <c r="D813" s="23" t="s">
        <v>1435</v>
      </c>
      <c r="E813" s="29">
        <v>45921.0</v>
      </c>
      <c r="F813" s="22">
        <v>8.0</v>
      </c>
      <c r="G813" s="22" t="s">
        <v>92</v>
      </c>
      <c r="H813" s="3" t="s">
        <v>1436</v>
      </c>
      <c r="I813" s="6"/>
      <c r="J813" s="6"/>
      <c r="K813" s="6"/>
      <c r="L813" s="6"/>
      <c r="M813" s="26"/>
      <c r="O813" s="19" t="str">
        <f t="shared" si="2"/>
        <v/>
      </c>
    </row>
    <row r="814">
      <c r="A814" s="22" t="s">
        <v>945</v>
      </c>
      <c r="B814" s="4" t="s">
        <v>18</v>
      </c>
      <c r="C814" s="3" t="s">
        <v>1437</v>
      </c>
      <c r="D814" s="23" t="s">
        <v>1438</v>
      </c>
      <c r="E814" s="29">
        <v>45921.0</v>
      </c>
      <c r="F814" s="22">
        <v>6.0</v>
      </c>
      <c r="G814" s="22" t="s">
        <v>92</v>
      </c>
      <c r="H814" s="3" t="s">
        <v>1439</v>
      </c>
      <c r="I814" s="6"/>
      <c r="J814" s="6"/>
      <c r="K814" s="6"/>
      <c r="L814" s="6"/>
      <c r="M814" s="26"/>
      <c r="O814" s="19" t="str">
        <f t="shared" si="2"/>
        <v/>
      </c>
    </row>
    <row r="815">
      <c r="A815" s="22" t="s">
        <v>246</v>
      </c>
      <c r="B815" s="4" t="s">
        <v>36</v>
      </c>
      <c r="C815" s="3" t="s">
        <v>1440</v>
      </c>
      <c r="D815" s="23" t="s">
        <v>1441</v>
      </c>
      <c r="E815" s="29">
        <v>45921.0</v>
      </c>
      <c r="F815" s="22">
        <v>8.0</v>
      </c>
      <c r="G815" s="22" t="s">
        <v>92</v>
      </c>
      <c r="H815" s="3" t="s">
        <v>1442</v>
      </c>
      <c r="I815" s="6"/>
      <c r="J815" s="6"/>
      <c r="K815" s="6"/>
      <c r="L815" s="6"/>
      <c r="M815" s="26"/>
      <c r="O815" s="19" t="str">
        <f t="shared" si="2"/>
        <v/>
      </c>
    </row>
    <row r="816">
      <c r="A816" s="22" t="s">
        <v>98</v>
      </c>
      <c r="B816" s="4" t="s">
        <v>31</v>
      </c>
      <c r="C816" s="3" t="s">
        <v>1401</v>
      </c>
      <c r="D816" s="23" t="s">
        <v>1443</v>
      </c>
      <c r="E816" s="29">
        <v>45921.0</v>
      </c>
      <c r="F816" s="22">
        <v>8.0</v>
      </c>
      <c r="G816" s="22" t="s">
        <v>92</v>
      </c>
      <c r="H816" s="3" t="s">
        <v>1444</v>
      </c>
      <c r="I816" s="6"/>
      <c r="J816" s="6"/>
      <c r="K816" s="6"/>
      <c r="L816" s="6"/>
      <c r="M816" s="26"/>
      <c r="O816" s="19" t="str">
        <f t="shared" si="2"/>
        <v/>
      </c>
    </row>
    <row r="817">
      <c r="A817" s="22" t="s">
        <v>1320</v>
      </c>
      <c r="B817" s="4" t="s">
        <v>45</v>
      </c>
      <c r="C817" s="3" t="s">
        <v>1445</v>
      </c>
      <c r="D817" s="23" t="s">
        <v>1446</v>
      </c>
      <c r="E817" s="29">
        <v>45921.0</v>
      </c>
      <c r="F817" s="22">
        <v>8.0</v>
      </c>
      <c r="G817" s="22" t="s">
        <v>92</v>
      </c>
      <c r="H817" s="3" t="s">
        <v>1447</v>
      </c>
      <c r="I817" s="6"/>
      <c r="J817" s="6"/>
      <c r="K817" s="6"/>
      <c r="L817" s="6"/>
      <c r="M817" s="26"/>
      <c r="O817" s="19" t="str">
        <f t="shared" si="2"/>
        <v/>
      </c>
    </row>
    <row r="818">
      <c r="A818" s="22" t="s">
        <v>246</v>
      </c>
      <c r="B818" s="4" t="s">
        <v>36</v>
      </c>
      <c r="C818" s="3" t="s">
        <v>1448</v>
      </c>
      <c r="D818" s="23" t="s">
        <v>1449</v>
      </c>
      <c r="E818" s="29">
        <v>45921.0</v>
      </c>
      <c r="F818" s="22">
        <v>8.0</v>
      </c>
      <c r="G818" s="22" t="s">
        <v>92</v>
      </c>
      <c r="H818" s="3" t="s">
        <v>1450</v>
      </c>
      <c r="I818" s="6"/>
      <c r="J818" s="6"/>
      <c r="K818" s="6"/>
      <c r="L818" s="6"/>
      <c r="M818" s="26"/>
      <c r="O818" s="19" t="str">
        <f t="shared" si="2"/>
        <v/>
      </c>
    </row>
    <row r="819">
      <c r="A819" s="22" t="s">
        <v>472</v>
      </c>
      <c r="B819" s="4" t="s">
        <v>18</v>
      </c>
      <c r="C819" s="3" t="s">
        <v>400</v>
      </c>
      <c r="D819" s="3" t="s">
        <v>1451</v>
      </c>
      <c r="E819" s="30" t="s">
        <v>1452</v>
      </c>
      <c r="F819" s="22" t="s">
        <v>27</v>
      </c>
      <c r="G819" s="22" t="s">
        <v>1453</v>
      </c>
      <c r="H819" s="9" t="s">
        <v>1454</v>
      </c>
      <c r="I819" s="6"/>
      <c r="J819" s="6"/>
      <c r="K819" s="6"/>
      <c r="L819" s="6"/>
      <c r="M819" s="7"/>
      <c r="O819" s="19" t="str">
        <f t="shared" si="2"/>
        <v/>
      </c>
    </row>
    <row r="820">
      <c r="A820" s="22" t="s">
        <v>77</v>
      </c>
      <c r="B820" s="4" t="s">
        <v>18</v>
      </c>
      <c r="C820" s="3" t="s">
        <v>538</v>
      </c>
      <c r="D820" s="3" t="s">
        <v>1455</v>
      </c>
      <c r="E820" s="30" t="s">
        <v>1452</v>
      </c>
      <c r="F820" s="22" t="s">
        <v>27</v>
      </c>
      <c r="G820" s="22" t="s">
        <v>1453</v>
      </c>
      <c r="H820" s="9" t="s">
        <v>1456</v>
      </c>
      <c r="I820" s="6"/>
      <c r="J820" s="6"/>
      <c r="K820" s="6"/>
      <c r="L820" s="6"/>
      <c r="M820" s="7"/>
      <c r="O820" s="19" t="str">
        <f t="shared" si="2"/>
        <v/>
      </c>
    </row>
    <row r="821">
      <c r="A821" s="22" t="s">
        <v>234</v>
      </c>
      <c r="B821" s="4" t="s">
        <v>18</v>
      </c>
      <c r="C821" s="3" t="s">
        <v>1457</v>
      </c>
      <c r="D821" s="3" t="s">
        <v>1458</v>
      </c>
      <c r="E821" s="30" t="s">
        <v>1452</v>
      </c>
      <c r="F821" s="22" t="s">
        <v>27</v>
      </c>
      <c r="G821" s="22"/>
      <c r="H821" s="9"/>
      <c r="I821" s="6"/>
      <c r="J821" s="6"/>
      <c r="K821" s="6"/>
      <c r="L821" s="6"/>
      <c r="M821" s="7"/>
      <c r="O821" s="19" t="str">
        <f t="shared" si="2"/>
        <v/>
      </c>
    </row>
    <row r="822">
      <c r="A822" s="22" t="s">
        <v>744</v>
      </c>
      <c r="B822" s="4" t="s">
        <v>18</v>
      </c>
      <c r="C822" s="3" t="s">
        <v>1459</v>
      </c>
      <c r="D822" s="3" t="s">
        <v>1460</v>
      </c>
      <c r="E822" s="30" t="s">
        <v>1452</v>
      </c>
      <c r="F822" s="22" t="s">
        <v>27</v>
      </c>
      <c r="G822" s="22"/>
      <c r="H822" s="9"/>
      <c r="I822" s="6"/>
      <c r="J822" s="6"/>
      <c r="K822" s="6"/>
      <c r="L822" s="6"/>
      <c r="M822" s="7"/>
      <c r="O822" s="19" t="str">
        <f t="shared" si="2"/>
        <v/>
      </c>
    </row>
    <row r="823">
      <c r="A823" s="22" t="s">
        <v>744</v>
      </c>
      <c r="B823" s="4" t="s">
        <v>18</v>
      </c>
      <c r="C823" s="3" t="s">
        <v>1461</v>
      </c>
      <c r="D823" s="3" t="s">
        <v>1462</v>
      </c>
      <c r="E823" s="29">
        <v>45921.0</v>
      </c>
      <c r="F823" s="22" t="s">
        <v>27</v>
      </c>
      <c r="G823" s="22" t="s">
        <v>129</v>
      </c>
      <c r="H823" s="9"/>
      <c r="I823" s="6"/>
      <c r="J823" s="6"/>
      <c r="K823" s="6"/>
      <c r="L823" s="6"/>
      <c r="M823" s="26"/>
      <c r="O823" s="19" t="str">
        <f t="shared" si="2"/>
        <v/>
      </c>
    </row>
    <row r="824">
      <c r="A824" s="22" t="s">
        <v>158</v>
      </c>
      <c r="B824" s="4" t="s">
        <v>31</v>
      </c>
      <c r="C824" s="3" t="s">
        <v>911</v>
      </c>
      <c r="D824" s="3" t="s">
        <v>1463</v>
      </c>
      <c r="E824" s="29">
        <v>45922.0</v>
      </c>
      <c r="F824" s="22" t="s">
        <v>27</v>
      </c>
      <c r="G824" s="22" t="s">
        <v>129</v>
      </c>
      <c r="H824" s="9"/>
      <c r="I824" s="6"/>
      <c r="J824" s="6"/>
      <c r="K824" s="6"/>
      <c r="L824" s="6"/>
      <c r="M824" s="26"/>
      <c r="O824" s="19" t="str">
        <f t="shared" si="2"/>
        <v/>
      </c>
    </row>
    <row r="825">
      <c r="A825" s="22" t="s">
        <v>258</v>
      </c>
      <c r="B825" s="4" t="s">
        <v>45</v>
      </c>
      <c r="C825" s="3" t="s">
        <v>1464</v>
      </c>
      <c r="D825" s="3" t="s">
        <v>1465</v>
      </c>
      <c r="E825" s="29">
        <v>45922.0</v>
      </c>
      <c r="F825" s="22" t="s">
        <v>27</v>
      </c>
      <c r="G825" s="22" t="s">
        <v>129</v>
      </c>
      <c r="H825" s="9"/>
      <c r="I825" s="6"/>
      <c r="J825" s="6"/>
      <c r="K825" s="6"/>
      <c r="L825" s="6"/>
      <c r="M825" s="26"/>
      <c r="O825" s="19" t="str">
        <f t="shared" si="2"/>
        <v/>
      </c>
    </row>
    <row r="826">
      <c r="A826" s="22" t="s">
        <v>184</v>
      </c>
      <c r="B826" s="4" t="s">
        <v>18</v>
      </c>
      <c r="C826" s="3" t="s">
        <v>1466</v>
      </c>
      <c r="D826" s="3" t="s">
        <v>1467</v>
      </c>
      <c r="E826" s="29">
        <v>45922.0</v>
      </c>
      <c r="F826" s="22" t="s">
        <v>27</v>
      </c>
      <c r="G826" s="22" t="s">
        <v>129</v>
      </c>
      <c r="H826" s="9"/>
      <c r="I826" s="6"/>
      <c r="J826" s="6"/>
      <c r="K826" s="6"/>
      <c r="L826" s="6"/>
      <c r="M826" s="26"/>
      <c r="O826" s="19" t="str">
        <f t="shared" si="2"/>
        <v/>
      </c>
    </row>
    <row r="827">
      <c r="A827" s="22" t="s">
        <v>274</v>
      </c>
      <c r="B827" s="4" t="s">
        <v>18</v>
      </c>
      <c r="C827" s="3" t="s">
        <v>584</v>
      </c>
      <c r="D827" s="3" t="s">
        <v>1468</v>
      </c>
      <c r="E827" s="29" t="s">
        <v>1452</v>
      </c>
      <c r="F827" s="22" t="s">
        <v>27</v>
      </c>
      <c r="G827" s="22"/>
      <c r="H827" s="9"/>
      <c r="I827" s="6"/>
      <c r="J827" s="6"/>
      <c r="K827" s="6"/>
      <c r="L827" s="6"/>
      <c r="M827" s="26"/>
      <c r="O827" s="19" t="str">
        <f t="shared" si="2"/>
        <v/>
      </c>
    </row>
    <row r="828">
      <c r="A828" s="22" t="s">
        <v>291</v>
      </c>
      <c r="B828" s="4" t="s">
        <v>31</v>
      </c>
      <c r="C828" s="3" t="s">
        <v>781</v>
      </c>
      <c r="D828" s="3" t="s">
        <v>1469</v>
      </c>
      <c r="E828" s="29">
        <v>45922.0</v>
      </c>
      <c r="F828" s="22" t="s">
        <v>27</v>
      </c>
      <c r="G828" s="22" t="s">
        <v>129</v>
      </c>
      <c r="H828" s="9"/>
      <c r="I828" s="6"/>
      <c r="J828" s="6"/>
      <c r="K828" s="6"/>
      <c r="L828" s="6"/>
      <c r="M828" s="26"/>
      <c r="O828" s="19" t="str">
        <f t="shared" si="2"/>
        <v/>
      </c>
    </row>
    <row r="829">
      <c r="A829" s="22" t="s">
        <v>305</v>
      </c>
      <c r="B829" s="4" t="s">
        <v>36</v>
      </c>
      <c r="C829" s="3" t="s">
        <v>327</v>
      </c>
      <c r="D829" s="3" t="s">
        <v>1470</v>
      </c>
      <c r="E829" s="29">
        <v>45922.0</v>
      </c>
      <c r="F829" s="22" t="s">
        <v>27</v>
      </c>
      <c r="G829" s="22" t="s">
        <v>129</v>
      </c>
      <c r="H829" s="9"/>
      <c r="I829" s="6"/>
      <c r="J829" s="6"/>
      <c r="K829" s="6"/>
      <c r="L829" s="6"/>
      <c r="M829" s="26"/>
      <c r="O829" s="19" t="str">
        <f t="shared" si="2"/>
        <v/>
      </c>
    </row>
    <row r="830">
      <c r="A830" s="22" t="s">
        <v>137</v>
      </c>
      <c r="B830" s="4" t="s">
        <v>18</v>
      </c>
      <c r="C830" s="3" t="s">
        <v>398</v>
      </c>
      <c r="D830" s="3" t="s">
        <v>1471</v>
      </c>
      <c r="E830" s="29">
        <v>45922.0</v>
      </c>
      <c r="F830" s="22" t="s">
        <v>27</v>
      </c>
      <c r="G830" s="22" t="s">
        <v>129</v>
      </c>
      <c r="H830" s="9"/>
      <c r="I830" s="6"/>
      <c r="J830" s="6"/>
      <c r="K830" s="6"/>
      <c r="L830" s="6"/>
      <c r="M830" s="26"/>
      <c r="O830" s="19" t="str">
        <f t="shared" si="2"/>
        <v/>
      </c>
    </row>
    <row r="831">
      <c r="A831" s="22" t="s">
        <v>23</v>
      </c>
      <c r="B831" s="4" t="s">
        <v>18</v>
      </c>
      <c r="C831" s="3" t="s">
        <v>1472</v>
      </c>
      <c r="D831" s="23" t="s">
        <v>1473</v>
      </c>
      <c r="E831" s="29">
        <v>45922.0</v>
      </c>
      <c r="F831" s="22">
        <v>8.0</v>
      </c>
      <c r="G831" s="22" t="s">
        <v>92</v>
      </c>
      <c r="H831" s="3" t="s">
        <v>1474</v>
      </c>
      <c r="I831" s="9">
        <v>6.143487955E10</v>
      </c>
      <c r="J831" s="10" t="s">
        <v>1475</v>
      </c>
      <c r="K831" s="9">
        <v>0.0</v>
      </c>
      <c r="L831" s="6"/>
      <c r="M831" s="26"/>
      <c r="O831" s="19" t="str">
        <f t="shared" si="2"/>
        <v/>
      </c>
    </row>
    <row r="832">
      <c r="A832" s="22" t="s">
        <v>510</v>
      </c>
      <c r="B832" s="4" t="s">
        <v>18</v>
      </c>
      <c r="C832" s="3" t="s">
        <v>564</v>
      </c>
      <c r="D832" s="23" t="s">
        <v>1476</v>
      </c>
      <c r="E832" s="29">
        <v>45922.0</v>
      </c>
      <c r="F832" s="22">
        <v>10.0</v>
      </c>
      <c r="G832" s="22" t="s">
        <v>92</v>
      </c>
      <c r="H832" s="3" t="s">
        <v>1477</v>
      </c>
      <c r="I832" s="6"/>
      <c r="J832" s="6"/>
      <c r="K832" s="6"/>
      <c r="L832" s="6"/>
      <c r="M832" s="26"/>
      <c r="O832" s="19" t="str">
        <f t="shared" si="2"/>
        <v/>
      </c>
    </row>
    <row r="833">
      <c r="A833" s="22" t="s">
        <v>1359</v>
      </c>
      <c r="B833" s="4" t="s">
        <v>45</v>
      </c>
      <c r="C833" s="3" t="s">
        <v>312</v>
      </c>
      <c r="D833" s="23" t="s">
        <v>1478</v>
      </c>
      <c r="E833" s="29">
        <v>45922.0</v>
      </c>
      <c r="F833" s="22">
        <v>6.0</v>
      </c>
      <c r="G833" s="22" t="s">
        <v>92</v>
      </c>
      <c r="H833" s="3" t="s">
        <v>1479</v>
      </c>
      <c r="I833" s="6"/>
      <c r="J833" s="6"/>
      <c r="K833" s="6"/>
      <c r="L833" s="6"/>
      <c r="M833" s="26"/>
      <c r="O833" s="19" t="str">
        <f t="shared" si="2"/>
        <v/>
      </c>
    </row>
    <row r="834">
      <c r="A834" s="22" t="s">
        <v>945</v>
      </c>
      <c r="B834" s="4" t="s">
        <v>18</v>
      </c>
      <c r="C834" s="3" t="s">
        <v>1480</v>
      </c>
      <c r="D834" s="23"/>
      <c r="E834" s="29">
        <v>45922.0</v>
      </c>
      <c r="F834" s="22">
        <v>6.0</v>
      </c>
      <c r="G834" s="22" t="s">
        <v>92</v>
      </c>
      <c r="H834" s="3" t="s">
        <v>1481</v>
      </c>
      <c r="I834" s="6"/>
      <c r="J834" s="6"/>
      <c r="K834" s="6"/>
      <c r="L834" s="6"/>
      <c r="M834" s="26"/>
      <c r="O834" s="19" t="str">
        <f t="shared" si="2"/>
        <v/>
      </c>
    </row>
    <row r="835">
      <c r="A835" s="22" t="s">
        <v>1098</v>
      </c>
      <c r="B835" s="4" t="s">
        <v>18</v>
      </c>
      <c r="C835" s="3" t="s">
        <v>1482</v>
      </c>
      <c r="D835" s="23" t="s">
        <v>1483</v>
      </c>
      <c r="E835" s="29">
        <v>45922.0</v>
      </c>
      <c r="F835" s="22">
        <v>6.0</v>
      </c>
      <c r="G835" s="22" t="s">
        <v>92</v>
      </c>
      <c r="H835" s="3" t="s">
        <v>1484</v>
      </c>
      <c r="I835" s="6"/>
      <c r="J835" s="6"/>
      <c r="K835" s="6"/>
      <c r="L835" s="6"/>
      <c r="M835" s="26"/>
      <c r="O835" s="19" t="str">
        <f t="shared" si="2"/>
        <v/>
      </c>
    </row>
    <row r="836">
      <c r="A836" s="22" t="s">
        <v>44</v>
      </c>
      <c r="B836" s="4" t="s">
        <v>45</v>
      </c>
      <c r="C836" s="3" t="s">
        <v>46</v>
      </c>
      <c r="D836" s="23" t="s">
        <v>1485</v>
      </c>
      <c r="E836" s="29">
        <v>45922.0</v>
      </c>
      <c r="F836" s="22">
        <v>8.0</v>
      </c>
      <c r="G836" s="22" t="s">
        <v>92</v>
      </c>
      <c r="H836" s="3" t="s">
        <v>1486</v>
      </c>
      <c r="I836" s="6"/>
      <c r="J836" s="6"/>
      <c r="K836" s="6"/>
      <c r="L836" s="6"/>
      <c r="M836" s="26"/>
      <c r="O836" s="19" t="str">
        <f t="shared" si="2"/>
        <v/>
      </c>
    </row>
    <row r="837">
      <c r="A837" s="22" t="s">
        <v>113</v>
      </c>
      <c r="B837" s="4" t="s">
        <v>18</v>
      </c>
      <c r="C837" s="3" t="s">
        <v>772</v>
      </c>
      <c r="D837" s="23" t="s">
        <v>1487</v>
      </c>
      <c r="E837" s="29">
        <v>45922.0</v>
      </c>
      <c r="F837" s="22">
        <v>8.0</v>
      </c>
      <c r="G837" s="22" t="s">
        <v>92</v>
      </c>
      <c r="H837" s="3" t="s">
        <v>1488</v>
      </c>
      <c r="I837" s="6"/>
      <c r="J837" s="6"/>
      <c r="K837" s="6"/>
      <c r="L837" s="6"/>
      <c r="M837" s="26"/>
      <c r="O837" s="19" t="str">
        <f t="shared" si="2"/>
        <v/>
      </c>
    </row>
    <row r="838">
      <c r="A838" s="22" t="s">
        <v>69</v>
      </c>
      <c r="B838" s="4" t="s">
        <v>31</v>
      </c>
      <c r="C838" s="3" t="s">
        <v>1489</v>
      </c>
      <c r="D838" s="23" t="s">
        <v>1490</v>
      </c>
      <c r="E838" s="29">
        <v>45922.0</v>
      </c>
      <c r="F838" s="22">
        <v>8.0</v>
      </c>
      <c r="G838" s="22" t="s">
        <v>92</v>
      </c>
      <c r="H838" s="3" t="s">
        <v>1491</v>
      </c>
      <c r="I838" s="6"/>
      <c r="J838" s="6"/>
      <c r="K838" s="6"/>
      <c r="L838" s="6"/>
      <c r="M838" s="26"/>
      <c r="O838" s="19" t="str">
        <f t="shared" si="2"/>
        <v/>
      </c>
    </row>
    <row r="839">
      <c r="A839" s="22" t="s">
        <v>258</v>
      </c>
      <c r="B839" s="4" t="s">
        <v>45</v>
      </c>
      <c r="C839" s="3" t="s">
        <v>1492</v>
      </c>
      <c r="D839" s="23" t="s">
        <v>1493</v>
      </c>
      <c r="E839" s="29">
        <v>45922.0</v>
      </c>
      <c r="F839" s="22">
        <v>8.0</v>
      </c>
      <c r="G839" s="22" t="s">
        <v>92</v>
      </c>
      <c r="H839" s="3" t="s">
        <v>1494</v>
      </c>
      <c r="I839" s="6"/>
      <c r="J839" s="6"/>
      <c r="K839" s="6"/>
      <c r="L839" s="6"/>
      <c r="M839" s="26"/>
      <c r="O839" s="19" t="str">
        <f t="shared" si="2"/>
        <v/>
      </c>
    </row>
    <row r="840">
      <c r="A840" s="22" t="s">
        <v>1320</v>
      </c>
      <c r="B840" s="4" t="s">
        <v>45</v>
      </c>
      <c r="C840" s="3" t="s">
        <v>75</v>
      </c>
      <c r="D840" s="23" t="s">
        <v>1495</v>
      </c>
      <c r="E840" s="29">
        <v>45922.0</v>
      </c>
      <c r="F840" s="22">
        <v>8.0</v>
      </c>
      <c r="G840" s="22" t="s">
        <v>92</v>
      </c>
      <c r="H840" s="3" t="s">
        <v>1496</v>
      </c>
      <c r="I840" s="6"/>
      <c r="J840" s="6"/>
      <c r="K840" s="6"/>
      <c r="L840" s="6"/>
      <c r="M840" s="26"/>
      <c r="O840" s="19" t="str">
        <f t="shared" si="2"/>
        <v/>
      </c>
    </row>
    <row r="841">
      <c r="A841" s="22" t="s">
        <v>202</v>
      </c>
      <c r="B841" s="4" t="s">
        <v>36</v>
      </c>
      <c r="C841" s="3" t="s">
        <v>1497</v>
      </c>
      <c r="D841" s="23" t="s">
        <v>1498</v>
      </c>
      <c r="E841" s="29">
        <v>45922.0</v>
      </c>
      <c r="F841" s="22">
        <v>6.0</v>
      </c>
      <c r="G841" s="22" t="s">
        <v>92</v>
      </c>
      <c r="H841" s="3" t="s">
        <v>1499</v>
      </c>
      <c r="I841" s="6"/>
      <c r="J841" s="6"/>
      <c r="K841" s="6"/>
      <c r="L841" s="6"/>
      <c r="M841" s="26"/>
      <c r="O841" s="19" t="str">
        <f t="shared" si="2"/>
        <v/>
      </c>
    </row>
    <row r="842">
      <c r="A842" s="22" t="s">
        <v>1062</v>
      </c>
      <c r="B842" s="4" t="s">
        <v>18</v>
      </c>
      <c r="C842" s="3" t="s">
        <v>1214</v>
      </c>
      <c r="D842" s="23" t="s">
        <v>1500</v>
      </c>
      <c r="E842" s="29">
        <v>45922.0</v>
      </c>
      <c r="F842" s="22">
        <v>8.0</v>
      </c>
      <c r="G842" s="22" t="s">
        <v>92</v>
      </c>
      <c r="H842" s="3" t="s">
        <v>1501</v>
      </c>
      <c r="I842" s="6"/>
      <c r="J842" s="6"/>
      <c r="K842" s="6"/>
      <c r="L842" s="6"/>
      <c r="M842" s="26"/>
      <c r="O842" s="19" t="str">
        <f t="shared" si="2"/>
        <v/>
      </c>
    </row>
    <row r="843">
      <c r="A843" s="3" t="s">
        <v>265</v>
      </c>
      <c r="B843" s="4" t="s">
        <v>18</v>
      </c>
      <c r="C843" s="3" t="s">
        <v>1502</v>
      </c>
      <c r="D843" s="23" t="s">
        <v>1503</v>
      </c>
      <c r="E843" s="29">
        <v>45922.0</v>
      </c>
      <c r="F843" s="3">
        <v>5.0</v>
      </c>
      <c r="G843" s="22" t="s">
        <v>92</v>
      </c>
      <c r="H843" s="3" t="s">
        <v>1504</v>
      </c>
      <c r="I843" s="6"/>
      <c r="J843" s="6"/>
      <c r="K843" s="6"/>
      <c r="L843" s="6"/>
      <c r="M843" s="26"/>
      <c r="O843" s="19" t="str">
        <f t="shared" si="2"/>
        <v/>
      </c>
    </row>
    <row r="844">
      <c r="A844" s="3" t="s">
        <v>1505</v>
      </c>
      <c r="B844" s="4" t="s">
        <v>31</v>
      </c>
      <c r="C844" s="3" t="s">
        <v>1506</v>
      </c>
      <c r="D844" s="3" t="s">
        <v>1507</v>
      </c>
      <c r="E844" s="29">
        <v>45922.0</v>
      </c>
      <c r="F844" s="3">
        <v>6.0</v>
      </c>
      <c r="G844" s="3" t="s">
        <v>129</v>
      </c>
      <c r="H844" s="6"/>
      <c r="I844" s="6"/>
      <c r="J844" s="6"/>
      <c r="K844" s="6"/>
      <c r="L844" s="6"/>
      <c r="M844" s="26"/>
      <c r="O844" s="19" t="str">
        <f t="shared" si="2"/>
        <v/>
      </c>
    </row>
    <row r="845">
      <c r="A845" s="3" t="s">
        <v>98</v>
      </c>
      <c r="B845" s="4" t="s">
        <v>31</v>
      </c>
      <c r="C845" s="3" t="s">
        <v>558</v>
      </c>
      <c r="D845" s="3" t="s">
        <v>1508</v>
      </c>
      <c r="E845" s="29">
        <v>45923.0</v>
      </c>
      <c r="F845" s="3" t="s">
        <v>27</v>
      </c>
      <c r="G845" s="3" t="s">
        <v>129</v>
      </c>
      <c r="H845" s="6"/>
      <c r="I845" s="6"/>
      <c r="J845" s="6"/>
      <c r="K845" s="6"/>
      <c r="L845" s="6"/>
      <c r="M845" s="26"/>
      <c r="O845" s="19" t="str">
        <f t="shared" si="2"/>
        <v/>
      </c>
    </row>
    <row r="846">
      <c r="A846" s="3" t="s">
        <v>435</v>
      </c>
      <c r="B846" s="4" t="s">
        <v>18</v>
      </c>
      <c r="C846" s="3" t="s">
        <v>1509</v>
      </c>
      <c r="D846" s="3" t="s">
        <v>1510</v>
      </c>
      <c r="E846" s="29">
        <v>45923.0</v>
      </c>
      <c r="F846" s="3" t="s">
        <v>27</v>
      </c>
      <c r="G846" s="3" t="s">
        <v>129</v>
      </c>
      <c r="H846" s="6"/>
      <c r="I846" s="6"/>
      <c r="J846" s="6"/>
      <c r="K846" s="6"/>
      <c r="L846" s="6"/>
      <c r="M846" s="26"/>
      <c r="O846" s="19" t="str">
        <f t="shared" si="2"/>
        <v/>
      </c>
    </row>
    <row r="847">
      <c r="A847" s="3" t="s">
        <v>232</v>
      </c>
      <c r="B847" s="4" t="s">
        <v>18</v>
      </c>
      <c r="C847" s="3" t="s">
        <v>233</v>
      </c>
      <c r="D847" s="3" t="s">
        <v>1511</v>
      </c>
      <c r="E847" s="29">
        <v>45923.0</v>
      </c>
      <c r="F847" s="3" t="s">
        <v>27</v>
      </c>
      <c r="G847" s="3" t="s">
        <v>129</v>
      </c>
      <c r="H847" s="6"/>
      <c r="I847" s="6"/>
      <c r="J847" s="6"/>
      <c r="K847" s="6"/>
      <c r="L847" s="6"/>
      <c r="M847" s="26"/>
      <c r="O847" s="19" t="str">
        <f t="shared" si="2"/>
        <v/>
      </c>
    </row>
    <row r="848">
      <c r="A848" s="3" t="s">
        <v>276</v>
      </c>
      <c r="B848" s="4" t="s">
        <v>18</v>
      </c>
      <c r="C848" s="3" t="s">
        <v>1512</v>
      </c>
      <c r="D848" s="3" t="s">
        <v>1513</v>
      </c>
      <c r="E848" s="29">
        <v>45923.0</v>
      </c>
      <c r="F848" s="3" t="s">
        <v>27</v>
      </c>
      <c r="G848" s="3" t="s">
        <v>129</v>
      </c>
      <c r="H848" s="6"/>
      <c r="I848" s="6"/>
      <c r="J848" s="6"/>
      <c r="K848" s="6"/>
      <c r="L848" s="6"/>
      <c r="M848" s="26"/>
      <c r="O848" s="19" t="str">
        <f t="shared" si="2"/>
        <v/>
      </c>
    </row>
    <row r="849">
      <c r="A849" s="3" t="s">
        <v>258</v>
      </c>
      <c r="B849" s="4" t="s">
        <v>45</v>
      </c>
      <c r="C849" s="3" t="s">
        <v>1514</v>
      </c>
      <c r="D849" s="23" t="s">
        <v>1515</v>
      </c>
      <c r="E849" s="29">
        <v>45923.0</v>
      </c>
      <c r="F849" s="3">
        <v>6.0</v>
      </c>
      <c r="G849" s="3" t="s">
        <v>92</v>
      </c>
      <c r="H849" s="3" t="s">
        <v>1516</v>
      </c>
      <c r="I849" s="6"/>
      <c r="J849" s="6"/>
      <c r="K849" s="6"/>
      <c r="L849" s="6"/>
      <c r="M849" s="26"/>
      <c r="O849" s="19" t="str">
        <f t="shared" si="2"/>
        <v/>
      </c>
    </row>
    <row r="850">
      <c r="A850" s="3" t="s">
        <v>210</v>
      </c>
      <c r="B850" s="4" t="s">
        <v>31</v>
      </c>
      <c r="C850" s="3" t="s">
        <v>1517</v>
      </c>
      <c r="D850" s="23"/>
      <c r="E850" s="29">
        <v>45923.0</v>
      </c>
      <c r="F850" s="3">
        <v>6.0</v>
      </c>
      <c r="G850" s="3" t="s">
        <v>92</v>
      </c>
      <c r="H850" s="3" t="s">
        <v>1518</v>
      </c>
      <c r="I850" s="6"/>
      <c r="J850" s="6"/>
      <c r="K850" s="6"/>
      <c r="L850" s="6"/>
      <c r="M850" s="26"/>
      <c r="O850" s="19" t="str">
        <f t="shared" si="2"/>
        <v/>
      </c>
    </row>
    <row r="851">
      <c r="A851" s="3" t="s">
        <v>817</v>
      </c>
      <c r="B851" s="4" t="s">
        <v>36</v>
      </c>
      <c r="C851" s="3" t="s">
        <v>1519</v>
      </c>
      <c r="D851" s="23" t="s">
        <v>1520</v>
      </c>
      <c r="E851" s="29">
        <v>45923.0</v>
      </c>
      <c r="F851" s="3">
        <v>8.0</v>
      </c>
      <c r="G851" s="3" t="s">
        <v>92</v>
      </c>
      <c r="H851" s="3" t="s">
        <v>1521</v>
      </c>
      <c r="I851" s="6"/>
      <c r="J851" s="6"/>
      <c r="K851" s="6"/>
      <c r="L851" s="6"/>
      <c r="M851" s="26"/>
      <c r="O851" s="19" t="str">
        <f t="shared" si="2"/>
        <v/>
      </c>
    </row>
    <row r="852">
      <c r="A852" s="3" t="s">
        <v>202</v>
      </c>
      <c r="B852" s="4" t="s">
        <v>36</v>
      </c>
      <c r="C852" s="3" t="s">
        <v>1522</v>
      </c>
      <c r="D852" s="23" t="s">
        <v>1523</v>
      </c>
      <c r="E852" s="29">
        <v>45923.0</v>
      </c>
      <c r="F852" s="3">
        <v>8.0</v>
      </c>
      <c r="G852" s="3" t="s">
        <v>92</v>
      </c>
      <c r="H852" s="3" t="s">
        <v>1524</v>
      </c>
      <c r="I852" s="6"/>
      <c r="J852" s="6"/>
      <c r="K852" s="6"/>
      <c r="L852" s="6"/>
      <c r="M852" s="26"/>
      <c r="O852" s="19" t="str">
        <f t="shared" si="2"/>
        <v/>
      </c>
    </row>
    <row r="853">
      <c r="A853" s="3" t="s">
        <v>1359</v>
      </c>
      <c r="B853" s="4" t="s">
        <v>45</v>
      </c>
      <c r="C853" s="3" t="s">
        <v>1525</v>
      </c>
      <c r="D853" s="23" t="s">
        <v>1526</v>
      </c>
      <c r="E853" s="29">
        <v>45923.0</v>
      </c>
      <c r="F853" s="3">
        <v>6.0</v>
      </c>
      <c r="G853" s="3" t="s">
        <v>92</v>
      </c>
      <c r="H853" s="3" t="s">
        <v>1527</v>
      </c>
      <c r="I853" s="6"/>
      <c r="J853" s="6"/>
      <c r="K853" s="6"/>
      <c r="L853" s="6"/>
      <c r="M853" s="26"/>
      <c r="O853" s="19" t="str">
        <f t="shared" si="2"/>
        <v/>
      </c>
    </row>
    <row r="854">
      <c r="A854" s="3" t="s">
        <v>418</v>
      </c>
      <c r="B854" s="4" t="s">
        <v>18</v>
      </c>
      <c r="C854" s="3" t="s">
        <v>1528</v>
      </c>
      <c r="D854" s="23" t="s">
        <v>1529</v>
      </c>
      <c r="E854" s="29">
        <v>45923.0</v>
      </c>
      <c r="F854" s="3">
        <v>8.0</v>
      </c>
      <c r="G854" s="3" t="s">
        <v>92</v>
      </c>
      <c r="H854" s="3" t="s">
        <v>1530</v>
      </c>
      <c r="I854" s="6"/>
      <c r="J854" s="6"/>
      <c r="K854" s="6"/>
      <c r="L854" s="6"/>
      <c r="M854" s="26"/>
      <c r="O854" s="19" t="str">
        <f t="shared" si="2"/>
        <v/>
      </c>
    </row>
    <row r="855">
      <c r="A855" s="3" t="s">
        <v>435</v>
      </c>
      <c r="B855" s="4" t="s">
        <v>18</v>
      </c>
      <c r="C855" s="3" t="s">
        <v>1531</v>
      </c>
      <c r="D855" s="23" t="s">
        <v>1532</v>
      </c>
      <c r="E855" s="29">
        <v>45923.0</v>
      </c>
      <c r="F855" s="3">
        <v>8.0</v>
      </c>
      <c r="G855" s="3" t="s">
        <v>92</v>
      </c>
      <c r="H855" s="3" t="s">
        <v>1533</v>
      </c>
      <c r="I855" s="6"/>
      <c r="J855" s="6"/>
      <c r="K855" s="6"/>
      <c r="L855" s="6"/>
      <c r="M855" s="26"/>
      <c r="O855" s="19" t="str">
        <f t="shared" si="2"/>
        <v/>
      </c>
    </row>
    <row r="856">
      <c r="A856" s="3" t="s">
        <v>479</v>
      </c>
      <c r="B856" s="4" t="s">
        <v>18</v>
      </c>
      <c r="C856" s="3" t="s">
        <v>548</v>
      </c>
      <c r="D856" s="23" t="s">
        <v>1534</v>
      </c>
      <c r="E856" s="29">
        <v>45923.0</v>
      </c>
      <c r="F856" s="3">
        <v>8.0</v>
      </c>
      <c r="G856" s="3" t="s">
        <v>92</v>
      </c>
      <c r="H856" s="3" t="s">
        <v>1535</v>
      </c>
      <c r="I856" s="6"/>
      <c r="J856" s="6"/>
      <c r="K856" s="6"/>
      <c r="L856" s="6"/>
      <c r="M856" s="26"/>
      <c r="O856" s="19" t="str">
        <f t="shared" si="2"/>
        <v/>
      </c>
    </row>
    <row r="857">
      <c r="A857" s="3" t="s">
        <v>427</v>
      </c>
      <c r="B857" s="4" t="s">
        <v>18</v>
      </c>
      <c r="C857" s="3" t="s">
        <v>1398</v>
      </c>
      <c r="D857" s="23" t="s">
        <v>1536</v>
      </c>
      <c r="E857" s="29">
        <v>45923.0</v>
      </c>
      <c r="F857" s="3">
        <v>8.0</v>
      </c>
      <c r="G857" s="3" t="s">
        <v>92</v>
      </c>
      <c r="H857" s="3" t="s">
        <v>1537</v>
      </c>
      <c r="I857" s="6"/>
      <c r="J857" s="6"/>
      <c r="K857" s="6"/>
      <c r="L857" s="6"/>
      <c r="M857" s="26"/>
      <c r="O857" s="19" t="str">
        <f t="shared" si="2"/>
        <v/>
      </c>
    </row>
    <row r="858">
      <c r="A858" s="3" t="s">
        <v>202</v>
      </c>
      <c r="B858" s="4" t="s">
        <v>36</v>
      </c>
      <c r="C858" s="3" t="s">
        <v>1538</v>
      </c>
      <c r="D858" s="23" t="s">
        <v>1539</v>
      </c>
      <c r="E858" s="29">
        <v>45923.0</v>
      </c>
      <c r="F858" s="3">
        <v>6.0</v>
      </c>
      <c r="G858" s="3" t="s">
        <v>92</v>
      </c>
      <c r="H858" s="3" t="s">
        <v>1540</v>
      </c>
      <c r="I858" s="6"/>
      <c r="J858" s="6"/>
      <c r="K858" s="6"/>
      <c r="L858" s="6"/>
      <c r="M858" s="26"/>
      <c r="O858" s="19" t="str">
        <f t="shared" si="2"/>
        <v/>
      </c>
    </row>
    <row r="859">
      <c r="A859" s="3" t="s">
        <v>184</v>
      </c>
      <c r="B859" s="4" t="s">
        <v>18</v>
      </c>
      <c r="C859" s="3" t="s">
        <v>1541</v>
      </c>
      <c r="D859" s="23" t="s">
        <v>1542</v>
      </c>
      <c r="E859" s="29">
        <v>45923.0</v>
      </c>
      <c r="F859" s="3">
        <v>8.0</v>
      </c>
      <c r="G859" s="3" t="s">
        <v>92</v>
      </c>
      <c r="H859" s="3" t="s">
        <v>1543</v>
      </c>
      <c r="I859" s="6"/>
      <c r="J859" s="6"/>
      <c r="K859" s="6"/>
      <c r="L859" s="6"/>
      <c r="M859" s="26"/>
      <c r="O859" s="19" t="str">
        <f t="shared" si="2"/>
        <v/>
      </c>
    </row>
    <row r="860">
      <c r="A860" s="3" t="s">
        <v>510</v>
      </c>
      <c r="B860" s="4" t="s">
        <v>18</v>
      </c>
      <c r="C860" s="3" t="s">
        <v>948</v>
      </c>
      <c r="D860" s="23" t="s">
        <v>1544</v>
      </c>
      <c r="E860" s="29">
        <v>45923.0</v>
      </c>
      <c r="F860" s="3">
        <v>6.0</v>
      </c>
      <c r="G860" s="3" t="s">
        <v>92</v>
      </c>
      <c r="H860" s="3" t="s">
        <v>1545</v>
      </c>
      <c r="I860" s="6"/>
      <c r="J860" s="6"/>
      <c r="K860" s="6"/>
      <c r="L860" s="6"/>
      <c r="M860" s="26"/>
      <c r="O860" s="19" t="str">
        <f t="shared" si="2"/>
        <v/>
      </c>
    </row>
    <row r="861">
      <c r="A861" s="3" t="s">
        <v>108</v>
      </c>
      <c r="B861" s="4" t="s">
        <v>109</v>
      </c>
      <c r="C861" s="3" t="s">
        <v>249</v>
      </c>
      <c r="D861" s="23" t="s">
        <v>850</v>
      </c>
      <c r="E861" s="29">
        <v>45923.0</v>
      </c>
      <c r="F861" s="3" t="s">
        <v>22</v>
      </c>
      <c r="G861" s="3" t="s">
        <v>92</v>
      </c>
      <c r="H861" s="3" t="s">
        <v>1546</v>
      </c>
      <c r="I861" s="6"/>
      <c r="J861" s="6"/>
      <c r="K861" s="6"/>
      <c r="L861" s="6"/>
      <c r="M861" s="26"/>
      <c r="O861" s="19" t="str">
        <f t="shared" si="2"/>
        <v/>
      </c>
    </row>
    <row r="862">
      <c r="A862" s="3" t="s">
        <v>479</v>
      </c>
      <c r="B862" s="4" t="s">
        <v>18</v>
      </c>
      <c r="C862" s="3" t="s">
        <v>1547</v>
      </c>
      <c r="D862" s="23" t="s">
        <v>1548</v>
      </c>
      <c r="E862" s="29">
        <v>45923.0</v>
      </c>
      <c r="F862" s="3">
        <v>5.0</v>
      </c>
      <c r="G862" s="3" t="s">
        <v>92</v>
      </c>
      <c r="H862" s="3" t="s">
        <v>1549</v>
      </c>
      <c r="I862" s="6"/>
      <c r="J862" s="6"/>
      <c r="K862" s="6"/>
      <c r="L862" s="6"/>
      <c r="M862" s="26"/>
      <c r="O862" s="19" t="str">
        <f t="shared" si="2"/>
        <v/>
      </c>
    </row>
    <row r="863">
      <c r="A863" s="3" t="s">
        <v>285</v>
      </c>
      <c r="B863" s="4" t="s">
        <v>36</v>
      </c>
      <c r="C863" s="3" t="s">
        <v>801</v>
      </c>
      <c r="D863" s="23" t="s">
        <v>1550</v>
      </c>
      <c r="E863" s="29">
        <v>45923.0</v>
      </c>
      <c r="F863" s="3">
        <v>6.0</v>
      </c>
      <c r="G863" s="3" t="s">
        <v>92</v>
      </c>
      <c r="H863" s="3" t="s">
        <v>1551</v>
      </c>
      <c r="I863" s="6"/>
      <c r="J863" s="6"/>
      <c r="K863" s="6"/>
      <c r="L863" s="6"/>
      <c r="M863" s="26"/>
      <c r="O863" s="19" t="str">
        <f t="shared" si="2"/>
        <v/>
      </c>
    </row>
    <row r="864">
      <c r="A864" s="3" t="s">
        <v>1062</v>
      </c>
      <c r="B864" s="4" t="s">
        <v>18</v>
      </c>
      <c r="C864" s="3" t="s">
        <v>1552</v>
      </c>
      <c r="D864" s="23" t="s">
        <v>1553</v>
      </c>
      <c r="E864" s="29">
        <v>45923.0</v>
      </c>
      <c r="F864" s="3">
        <v>6.0</v>
      </c>
      <c r="G864" s="3" t="s">
        <v>92</v>
      </c>
      <c r="H864" s="3" t="s">
        <v>1554</v>
      </c>
      <c r="I864" s="6"/>
      <c r="J864" s="6"/>
      <c r="K864" s="6"/>
      <c r="L864" s="6"/>
      <c r="M864" s="26"/>
      <c r="O864" s="19" t="str">
        <f t="shared" si="2"/>
        <v/>
      </c>
    </row>
    <row r="865">
      <c r="A865" s="3" t="s">
        <v>57</v>
      </c>
      <c r="B865" s="4" t="s">
        <v>18</v>
      </c>
      <c r="C865" s="22" t="s">
        <v>1555</v>
      </c>
      <c r="D865" s="23" t="s">
        <v>1556</v>
      </c>
      <c r="E865" s="29">
        <v>45923.0</v>
      </c>
      <c r="F865" s="3">
        <v>8.0</v>
      </c>
      <c r="G865" s="3" t="s">
        <v>92</v>
      </c>
      <c r="H865" s="3" t="s">
        <v>1557</v>
      </c>
      <c r="I865" s="6"/>
      <c r="J865" s="6"/>
      <c r="K865" s="6"/>
      <c r="L865" s="6"/>
      <c r="M865" s="26"/>
      <c r="O865" s="19" t="str">
        <f t="shared" si="2"/>
        <v/>
      </c>
    </row>
    <row r="866">
      <c r="A866" s="3" t="s">
        <v>435</v>
      </c>
      <c r="B866" s="4" t="s">
        <v>18</v>
      </c>
      <c r="C866" s="3" t="s">
        <v>643</v>
      </c>
      <c r="D866" s="3" t="s">
        <v>1558</v>
      </c>
      <c r="E866" s="29">
        <v>45924.0</v>
      </c>
      <c r="F866" s="3" t="s">
        <v>27</v>
      </c>
      <c r="G866" s="3" t="s">
        <v>129</v>
      </c>
      <c r="H866" s="6"/>
      <c r="I866" s="6"/>
      <c r="J866" s="6"/>
      <c r="K866" s="6"/>
      <c r="L866" s="6"/>
      <c r="M866" s="26"/>
      <c r="O866" s="19" t="str">
        <f t="shared" si="2"/>
        <v/>
      </c>
    </row>
    <row r="867">
      <c r="A867" s="3" t="s">
        <v>155</v>
      </c>
      <c r="B867" s="4" t="s">
        <v>18</v>
      </c>
      <c r="C867" s="3" t="s">
        <v>319</v>
      </c>
      <c r="D867" s="23" t="s">
        <v>1559</v>
      </c>
      <c r="E867" s="29">
        <v>45924.0</v>
      </c>
      <c r="F867" s="3">
        <v>8.0</v>
      </c>
      <c r="G867" s="3" t="s">
        <v>92</v>
      </c>
      <c r="H867" s="3" t="s">
        <v>1560</v>
      </c>
      <c r="I867" s="6"/>
      <c r="J867" s="6"/>
      <c r="K867" s="6"/>
      <c r="L867" s="6"/>
      <c r="M867" s="26"/>
      <c r="O867" s="19" t="str">
        <f t="shared" si="2"/>
        <v/>
      </c>
    </row>
    <row r="868">
      <c r="A868" s="3" t="s">
        <v>168</v>
      </c>
      <c r="B868" s="4" t="s">
        <v>45</v>
      </c>
      <c r="C868" s="3" t="s">
        <v>1561</v>
      </c>
      <c r="D868" s="23" t="s">
        <v>1562</v>
      </c>
      <c r="E868" s="29">
        <v>45924.0</v>
      </c>
      <c r="F868" s="3">
        <v>8.0</v>
      </c>
      <c r="G868" s="3" t="s">
        <v>92</v>
      </c>
      <c r="H868" s="3" t="s">
        <v>1216</v>
      </c>
      <c r="I868" s="6"/>
      <c r="J868" s="6"/>
      <c r="K868" s="6"/>
      <c r="L868" s="6"/>
      <c r="M868" s="26"/>
      <c r="O868" s="19" t="str">
        <f t="shared" si="2"/>
        <v/>
      </c>
    </row>
    <row r="869">
      <c r="A869" s="3" t="s">
        <v>107</v>
      </c>
      <c r="B869" s="4" t="s">
        <v>18</v>
      </c>
      <c r="C869" s="3" t="s">
        <v>461</v>
      </c>
      <c r="D869" s="23" t="s">
        <v>462</v>
      </c>
      <c r="E869" s="29">
        <v>45924.0</v>
      </c>
      <c r="F869" s="3">
        <v>8.0</v>
      </c>
      <c r="G869" s="3" t="s">
        <v>92</v>
      </c>
      <c r="H869" s="3" t="s">
        <v>1563</v>
      </c>
      <c r="I869" s="6"/>
      <c r="J869" s="6"/>
      <c r="K869" s="6"/>
      <c r="L869" s="6"/>
      <c r="M869" s="26"/>
      <c r="O869" s="19" t="str">
        <f t="shared" si="2"/>
        <v/>
      </c>
    </row>
    <row r="870">
      <c r="A870" s="3" t="s">
        <v>285</v>
      </c>
      <c r="B870" s="4" t="s">
        <v>36</v>
      </c>
      <c r="C870" s="3">
        <v>3658.0</v>
      </c>
      <c r="D870" s="23"/>
      <c r="E870" s="29">
        <v>45924.0</v>
      </c>
      <c r="F870" s="3">
        <v>5.0</v>
      </c>
      <c r="G870" s="3" t="s">
        <v>92</v>
      </c>
      <c r="H870" s="3" t="s">
        <v>1564</v>
      </c>
      <c r="I870" s="6"/>
      <c r="J870" s="6"/>
      <c r="K870" s="6"/>
      <c r="L870" s="6"/>
      <c r="M870" s="26"/>
      <c r="O870" s="19" t="str">
        <f t="shared" si="2"/>
        <v/>
      </c>
    </row>
    <row r="871">
      <c r="A871" s="3" t="s">
        <v>107</v>
      </c>
      <c r="B871" s="4" t="s">
        <v>18</v>
      </c>
      <c r="C871" s="3" t="s">
        <v>1565</v>
      </c>
      <c r="D871" s="23" t="s">
        <v>1566</v>
      </c>
      <c r="E871" s="29">
        <v>45924.0</v>
      </c>
      <c r="F871" s="3">
        <v>8.0</v>
      </c>
      <c r="G871" s="3" t="s">
        <v>92</v>
      </c>
      <c r="H871" s="3" t="s">
        <v>1567</v>
      </c>
      <c r="I871" s="6"/>
      <c r="J871" s="6"/>
      <c r="K871" s="6"/>
      <c r="L871" s="6"/>
      <c r="M871" s="26"/>
      <c r="O871" s="19" t="str">
        <f t="shared" si="2"/>
        <v/>
      </c>
    </row>
    <row r="872">
      <c r="A872" s="3" t="s">
        <v>744</v>
      </c>
      <c r="B872" s="4" t="s">
        <v>18</v>
      </c>
      <c r="C872" s="3" t="s">
        <v>1568</v>
      </c>
      <c r="D872" s="23" t="s">
        <v>1569</v>
      </c>
      <c r="E872" s="29">
        <v>45924.0</v>
      </c>
      <c r="F872" s="3">
        <v>8.0</v>
      </c>
      <c r="G872" s="3" t="s">
        <v>92</v>
      </c>
      <c r="H872" s="3" t="s">
        <v>1570</v>
      </c>
      <c r="I872" s="6"/>
      <c r="J872" s="6"/>
      <c r="K872" s="6"/>
      <c r="L872" s="6"/>
      <c r="M872" s="26"/>
      <c r="O872" s="19" t="str">
        <f t="shared" si="2"/>
        <v/>
      </c>
    </row>
    <row r="873">
      <c r="A873" s="3" t="s">
        <v>112</v>
      </c>
      <c r="B873" s="4" t="s">
        <v>18</v>
      </c>
      <c r="C873" s="3" t="s">
        <v>629</v>
      </c>
      <c r="D873" s="23" t="s">
        <v>1571</v>
      </c>
      <c r="E873" s="29">
        <v>45924.0</v>
      </c>
      <c r="F873" s="3">
        <v>6.0</v>
      </c>
      <c r="G873" s="3" t="s">
        <v>92</v>
      </c>
      <c r="H873" s="3" t="s">
        <v>1572</v>
      </c>
      <c r="I873" s="6"/>
      <c r="J873" s="6"/>
      <c r="K873" s="6"/>
      <c r="L873" s="6"/>
      <c r="M873" s="26"/>
      <c r="O873" s="19" t="str">
        <f t="shared" si="2"/>
        <v/>
      </c>
    </row>
    <row r="874">
      <c r="A874" s="3" t="s">
        <v>510</v>
      </c>
      <c r="B874" s="4" t="s">
        <v>18</v>
      </c>
      <c r="C874" s="3" t="s">
        <v>841</v>
      </c>
      <c r="D874" s="23" t="s">
        <v>1573</v>
      </c>
      <c r="E874" s="29">
        <v>45924.0</v>
      </c>
      <c r="F874" s="3">
        <v>8.0</v>
      </c>
      <c r="G874" s="3" t="s">
        <v>92</v>
      </c>
      <c r="H874" s="3" t="s">
        <v>1574</v>
      </c>
      <c r="I874" s="6"/>
      <c r="J874" s="6"/>
      <c r="K874" s="6"/>
      <c r="L874" s="6"/>
      <c r="M874" s="26"/>
      <c r="O874" s="19" t="str">
        <f t="shared" si="2"/>
        <v/>
      </c>
    </row>
    <row r="875">
      <c r="A875" s="3" t="s">
        <v>116</v>
      </c>
      <c r="B875" s="4" t="s">
        <v>31</v>
      </c>
      <c r="C875" s="3" t="s">
        <v>951</v>
      </c>
      <c r="D875" s="23" t="s">
        <v>1575</v>
      </c>
      <c r="E875" s="29">
        <v>45924.0</v>
      </c>
      <c r="F875" s="3">
        <v>8.0</v>
      </c>
      <c r="G875" s="3" t="s">
        <v>92</v>
      </c>
      <c r="H875" s="3" t="s">
        <v>1576</v>
      </c>
      <c r="I875" s="6"/>
      <c r="J875" s="6"/>
      <c r="K875" s="6"/>
      <c r="L875" s="6"/>
      <c r="M875" s="26"/>
      <c r="O875" s="19" t="str">
        <f t="shared" si="2"/>
        <v/>
      </c>
    </row>
    <row r="876">
      <c r="A876" s="3" t="s">
        <v>276</v>
      </c>
      <c r="B876" s="4" t="s">
        <v>18</v>
      </c>
      <c r="C876" s="3" t="s">
        <v>583</v>
      </c>
      <c r="D876" s="23" t="s">
        <v>1577</v>
      </c>
      <c r="E876" s="29">
        <v>45924.0</v>
      </c>
      <c r="F876" s="3">
        <v>8.0</v>
      </c>
      <c r="G876" s="3" t="s">
        <v>92</v>
      </c>
      <c r="H876" s="3" t="s">
        <v>1578</v>
      </c>
      <c r="I876" s="6"/>
      <c r="J876" s="6"/>
      <c r="K876" s="6"/>
      <c r="L876" s="6"/>
      <c r="M876" s="26"/>
      <c r="O876" s="19" t="str">
        <f t="shared" si="2"/>
        <v/>
      </c>
    </row>
    <row r="877">
      <c r="A877" s="3" t="s">
        <v>265</v>
      </c>
      <c r="B877" s="4" t="s">
        <v>18</v>
      </c>
      <c r="C877" s="3" t="s">
        <v>1579</v>
      </c>
      <c r="D877" s="23" t="s">
        <v>1580</v>
      </c>
      <c r="E877" s="29">
        <v>45924.0</v>
      </c>
      <c r="F877" s="3">
        <v>10.0</v>
      </c>
      <c r="G877" s="3" t="s">
        <v>92</v>
      </c>
      <c r="H877" s="3" t="s">
        <v>1581</v>
      </c>
      <c r="I877" s="6"/>
      <c r="J877" s="6"/>
      <c r="K877" s="6"/>
      <c r="L877" s="6"/>
      <c r="M877" s="26"/>
      <c r="O877" s="19" t="str">
        <f t="shared" si="2"/>
        <v/>
      </c>
    </row>
    <row r="878">
      <c r="A878" s="3" t="s">
        <v>1582</v>
      </c>
      <c r="B878" s="4" t="s">
        <v>31</v>
      </c>
      <c r="C878" s="3" t="s">
        <v>1583</v>
      </c>
      <c r="D878" s="23" t="s">
        <v>1584</v>
      </c>
      <c r="E878" s="29">
        <v>45924.0</v>
      </c>
      <c r="F878" s="3">
        <v>8.0</v>
      </c>
      <c r="G878" s="3" t="s">
        <v>92</v>
      </c>
      <c r="H878" s="3" t="s">
        <v>1585</v>
      </c>
      <c r="I878" s="6"/>
      <c r="J878" s="6"/>
      <c r="K878" s="6"/>
      <c r="L878" s="6"/>
      <c r="M878" s="26"/>
      <c r="O878" s="19" t="str">
        <f t="shared" si="2"/>
        <v/>
      </c>
    </row>
    <row r="879">
      <c r="A879" s="3" t="s">
        <v>107</v>
      </c>
      <c r="B879" s="4" t="s">
        <v>18</v>
      </c>
      <c r="C879" s="3" t="s">
        <v>1306</v>
      </c>
      <c r="D879" s="23" t="s">
        <v>1586</v>
      </c>
      <c r="E879" s="29">
        <v>45924.0</v>
      </c>
      <c r="F879" s="3">
        <v>8.0</v>
      </c>
      <c r="G879" s="3" t="s">
        <v>92</v>
      </c>
      <c r="H879" s="3" t="s">
        <v>1587</v>
      </c>
      <c r="I879" s="6"/>
      <c r="J879" s="6"/>
      <c r="K879" s="6"/>
      <c r="L879" s="6"/>
      <c r="M879" s="26"/>
      <c r="O879" s="19" t="str">
        <f t="shared" si="2"/>
        <v/>
      </c>
    </row>
    <row r="880">
      <c r="A880" s="3" t="s">
        <v>744</v>
      </c>
      <c r="B880" s="4" t="s">
        <v>18</v>
      </c>
      <c r="C880" s="3" t="s">
        <v>1588</v>
      </c>
      <c r="D880" s="23" t="s">
        <v>1589</v>
      </c>
      <c r="E880" s="29">
        <v>45924.0</v>
      </c>
      <c r="F880" s="3">
        <v>8.0</v>
      </c>
      <c r="G880" s="3" t="s">
        <v>92</v>
      </c>
      <c r="H880" s="3" t="s">
        <v>1590</v>
      </c>
      <c r="I880" s="6"/>
      <c r="J880" s="6"/>
      <c r="K880" s="6"/>
      <c r="L880" s="6"/>
      <c r="M880" s="26"/>
      <c r="O880" s="19" t="str">
        <f t="shared" si="2"/>
        <v/>
      </c>
    </row>
    <row r="881">
      <c r="A881" s="3" t="s">
        <v>137</v>
      </c>
      <c r="B881" s="4" t="s">
        <v>18</v>
      </c>
      <c r="C881" s="3" t="s">
        <v>668</v>
      </c>
      <c r="D881" s="23" t="s">
        <v>1591</v>
      </c>
      <c r="E881" s="29">
        <v>45924.0</v>
      </c>
      <c r="F881" s="3">
        <v>8.0</v>
      </c>
      <c r="G881" s="3" t="s">
        <v>92</v>
      </c>
      <c r="H881" s="3" t="s">
        <v>1592</v>
      </c>
      <c r="I881" s="6"/>
      <c r="J881" s="6"/>
      <c r="K881" s="6"/>
      <c r="L881" s="6"/>
      <c r="M881" s="26"/>
      <c r="O881" s="19" t="str">
        <f t="shared" si="2"/>
        <v/>
      </c>
    </row>
    <row r="882">
      <c r="A882" s="3" t="s">
        <v>265</v>
      </c>
      <c r="B882" s="4" t="s">
        <v>18</v>
      </c>
      <c r="C882" s="3" t="s">
        <v>720</v>
      </c>
      <c r="D882" s="23" t="s">
        <v>1593</v>
      </c>
      <c r="E882" s="29">
        <v>45924.0</v>
      </c>
      <c r="F882" s="3">
        <v>8.0</v>
      </c>
      <c r="G882" s="3" t="s">
        <v>92</v>
      </c>
      <c r="H882" s="3" t="s">
        <v>1594</v>
      </c>
      <c r="I882" s="6"/>
      <c r="J882" s="6"/>
      <c r="K882" s="6"/>
      <c r="L882" s="6"/>
      <c r="M882" s="26"/>
      <c r="O882" s="19" t="str">
        <f t="shared" si="2"/>
        <v/>
      </c>
    </row>
    <row r="883">
      <c r="A883" s="3" t="s">
        <v>1055</v>
      </c>
      <c r="B883" s="4" t="s">
        <v>31</v>
      </c>
      <c r="C883" s="3">
        <v>2052.0</v>
      </c>
      <c r="D883" s="23"/>
      <c r="E883" s="29">
        <v>45924.0</v>
      </c>
      <c r="F883" s="3">
        <v>5.0</v>
      </c>
      <c r="G883" s="3" t="s">
        <v>92</v>
      </c>
      <c r="H883" s="3" t="s">
        <v>1595</v>
      </c>
      <c r="I883" s="6"/>
      <c r="J883" s="6"/>
      <c r="K883" s="6"/>
      <c r="L883" s="6"/>
      <c r="M883" s="26"/>
      <c r="O883" s="19" t="str">
        <f t="shared" si="2"/>
        <v/>
      </c>
    </row>
    <row r="884">
      <c r="A884" s="3" t="s">
        <v>1582</v>
      </c>
      <c r="B884" s="4" t="s">
        <v>31</v>
      </c>
      <c r="C884" s="3" t="s">
        <v>1596</v>
      </c>
      <c r="D884" s="23" t="s">
        <v>1597</v>
      </c>
      <c r="E884" s="29">
        <v>45924.0</v>
      </c>
      <c r="F884" s="3">
        <v>8.0</v>
      </c>
      <c r="G884" s="3" t="s">
        <v>92</v>
      </c>
      <c r="H884" s="3" t="s">
        <v>1598</v>
      </c>
      <c r="I884" s="6"/>
      <c r="J884" s="6"/>
      <c r="K884" s="6"/>
      <c r="L884" s="6"/>
      <c r="M884" s="26"/>
      <c r="O884" s="19" t="str">
        <f t="shared" si="2"/>
        <v/>
      </c>
    </row>
    <row r="885">
      <c r="A885" s="3" t="s">
        <v>576</v>
      </c>
      <c r="B885" s="4" t="s">
        <v>31</v>
      </c>
      <c r="C885" s="3" t="s">
        <v>924</v>
      </c>
      <c r="D885" s="23" t="s">
        <v>1599</v>
      </c>
      <c r="E885" s="29">
        <v>45924.0</v>
      </c>
      <c r="F885" s="3">
        <v>8.0</v>
      </c>
      <c r="G885" s="3" t="s">
        <v>92</v>
      </c>
      <c r="H885" s="3" t="s">
        <v>1600</v>
      </c>
      <c r="I885" s="6"/>
      <c r="J885" s="6"/>
      <c r="K885" s="6"/>
      <c r="L885" s="6"/>
      <c r="M885" s="26"/>
      <c r="O885" s="19" t="str">
        <f t="shared" si="2"/>
        <v/>
      </c>
    </row>
    <row r="886">
      <c r="A886" s="3" t="s">
        <v>570</v>
      </c>
      <c r="B886" s="4" t="s">
        <v>18</v>
      </c>
      <c r="C886" s="3" t="s">
        <v>1601</v>
      </c>
      <c r="D886" s="23" t="s">
        <v>1602</v>
      </c>
      <c r="E886" s="29">
        <v>45924.0</v>
      </c>
      <c r="F886" s="3">
        <v>6.0</v>
      </c>
      <c r="G886" s="3" t="s">
        <v>92</v>
      </c>
      <c r="H886" s="3" t="s">
        <v>1603</v>
      </c>
      <c r="I886" s="6"/>
      <c r="J886" s="6"/>
      <c r="K886" s="6"/>
      <c r="L886" s="6"/>
      <c r="M886" s="26"/>
      <c r="O886" s="19" t="str">
        <f t="shared" si="2"/>
        <v/>
      </c>
    </row>
    <row r="887">
      <c r="A887" s="3" t="s">
        <v>184</v>
      </c>
      <c r="B887" s="4" t="s">
        <v>18</v>
      </c>
      <c r="C887" s="3" t="s">
        <v>1604</v>
      </c>
      <c r="D887" s="23" t="s">
        <v>1605</v>
      </c>
      <c r="E887" s="29">
        <v>45924.0</v>
      </c>
      <c r="F887" s="3">
        <v>6.0</v>
      </c>
      <c r="G887" s="3" t="s">
        <v>92</v>
      </c>
      <c r="H887" s="3" t="s">
        <v>1606</v>
      </c>
      <c r="I887" s="6"/>
      <c r="J887" s="6"/>
      <c r="K887" s="6"/>
      <c r="L887" s="6"/>
      <c r="M887" s="26"/>
      <c r="O887" s="19" t="str">
        <f t="shared" si="2"/>
        <v/>
      </c>
    </row>
    <row r="888">
      <c r="A888" s="3" t="s">
        <v>479</v>
      </c>
      <c r="B888" s="4" t="s">
        <v>18</v>
      </c>
      <c r="C888" s="3" t="s">
        <v>1547</v>
      </c>
      <c r="D888" s="23" t="s">
        <v>1548</v>
      </c>
      <c r="E888" s="29">
        <v>45924.0</v>
      </c>
      <c r="F888" s="3">
        <v>8.0</v>
      </c>
      <c r="G888" s="3" t="s">
        <v>92</v>
      </c>
      <c r="H888" s="3" t="s">
        <v>1549</v>
      </c>
      <c r="I888" s="6"/>
      <c r="J888" s="6"/>
      <c r="K888" s="6"/>
      <c r="L888" s="6"/>
      <c r="M888" s="26"/>
      <c r="O888" s="19" t="str">
        <f t="shared" si="2"/>
        <v/>
      </c>
    </row>
    <row r="889">
      <c r="A889" s="3" t="s">
        <v>532</v>
      </c>
      <c r="B889" s="4" t="s">
        <v>18</v>
      </c>
      <c r="C889" s="3" t="s">
        <v>1607</v>
      </c>
      <c r="D889" s="23" t="s">
        <v>1608</v>
      </c>
      <c r="E889" s="29">
        <v>45924.0</v>
      </c>
      <c r="F889" s="3">
        <v>8.0</v>
      </c>
      <c r="G889" s="3" t="s">
        <v>92</v>
      </c>
      <c r="H889" s="3" t="s">
        <v>1609</v>
      </c>
      <c r="I889" s="6"/>
      <c r="J889" s="6"/>
      <c r="K889" s="6"/>
      <c r="L889" s="6"/>
      <c r="M889" s="26"/>
      <c r="O889" s="19" t="str">
        <f t="shared" si="2"/>
        <v/>
      </c>
    </row>
    <row r="890">
      <c r="A890" s="3" t="s">
        <v>1062</v>
      </c>
      <c r="B890" s="4" t="s">
        <v>18</v>
      </c>
      <c r="C890" s="3" t="s">
        <v>1063</v>
      </c>
      <c r="D890" s="23" t="s">
        <v>1610</v>
      </c>
      <c r="E890" s="29">
        <v>45924.0</v>
      </c>
      <c r="F890" s="3">
        <v>8.0</v>
      </c>
      <c r="G890" s="3" t="s">
        <v>92</v>
      </c>
      <c r="H890" s="3" t="s">
        <v>1611</v>
      </c>
      <c r="I890" s="6"/>
      <c r="J890" s="6"/>
      <c r="K890" s="6"/>
      <c r="L890" s="6"/>
      <c r="M890" s="26"/>
      <c r="O890" s="19" t="str">
        <f t="shared" si="2"/>
        <v/>
      </c>
    </row>
    <row r="891">
      <c r="A891" s="3" t="s">
        <v>184</v>
      </c>
      <c r="B891" s="4" t="s">
        <v>18</v>
      </c>
      <c r="C891" s="3" t="s">
        <v>1393</v>
      </c>
      <c r="D891" s="23" t="s">
        <v>1542</v>
      </c>
      <c r="E891" s="29">
        <v>45924.0</v>
      </c>
      <c r="F891" s="3">
        <v>8.0</v>
      </c>
      <c r="G891" s="3" t="s">
        <v>92</v>
      </c>
      <c r="H891" s="3" t="s">
        <v>1612</v>
      </c>
      <c r="I891" s="6"/>
      <c r="J891" s="6"/>
      <c r="K891" s="6"/>
      <c r="L891" s="6"/>
      <c r="M891" s="26"/>
      <c r="O891" s="19" t="str">
        <f t="shared" si="2"/>
        <v/>
      </c>
    </row>
    <row r="892">
      <c r="A892" s="3" t="s">
        <v>1613</v>
      </c>
      <c r="B892" s="4" t="s">
        <v>1614</v>
      </c>
      <c r="C892" s="3" t="s">
        <v>1615</v>
      </c>
      <c r="D892" s="3" t="s">
        <v>1616</v>
      </c>
      <c r="E892" s="29">
        <v>45924.0</v>
      </c>
      <c r="F892" s="3" t="s">
        <v>27</v>
      </c>
      <c r="G892" s="3" t="s">
        <v>129</v>
      </c>
      <c r="H892" s="6"/>
      <c r="I892" s="6"/>
      <c r="J892" s="6"/>
      <c r="K892" s="6"/>
      <c r="L892" s="6"/>
      <c r="M892" s="26"/>
      <c r="O892" s="19" t="str">
        <f t="shared" si="2"/>
        <v/>
      </c>
    </row>
    <row r="893">
      <c r="A893" s="3" t="s">
        <v>236</v>
      </c>
      <c r="B893" s="4" t="s">
        <v>18</v>
      </c>
      <c r="C893" s="3" t="s">
        <v>369</v>
      </c>
      <c r="D893" s="3" t="s">
        <v>1617</v>
      </c>
      <c r="E893" s="30" t="s">
        <v>1618</v>
      </c>
      <c r="F893" s="3" t="s">
        <v>27</v>
      </c>
      <c r="G893" s="3"/>
      <c r="H893" s="6"/>
      <c r="I893" s="6"/>
      <c r="J893" s="6"/>
      <c r="K893" s="6"/>
      <c r="L893" s="6"/>
      <c r="M893" s="7"/>
      <c r="O893" s="19" t="str">
        <f t="shared" si="2"/>
        <v/>
      </c>
    </row>
    <row r="894">
      <c r="A894" s="3" t="s">
        <v>23</v>
      </c>
      <c r="B894" s="4" t="s">
        <v>18</v>
      </c>
      <c r="C894" s="3" t="s">
        <v>1619</v>
      </c>
      <c r="D894" s="3" t="s">
        <v>1620</v>
      </c>
      <c r="E894" s="29">
        <v>45925.0</v>
      </c>
      <c r="F894" s="3" t="s">
        <v>27</v>
      </c>
      <c r="G894" s="3" t="s">
        <v>129</v>
      </c>
      <c r="H894" s="9" t="s">
        <v>1621</v>
      </c>
      <c r="I894" s="9">
        <v>6.1042158124E11</v>
      </c>
      <c r="J894" s="10" t="s">
        <v>1622</v>
      </c>
      <c r="K894" s="9">
        <v>0.0</v>
      </c>
      <c r="L894" s="6"/>
      <c r="M894" s="26"/>
      <c r="O894" s="19" t="str">
        <f t="shared" si="2"/>
        <v/>
      </c>
    </row>
    <row r="895">
      <c r="A895" s="3" t="s">
        <v>113</v>
      </c>
      <c r="B895" s="4" t="s">
        <v>18</v>
      </c>
      <c r="C895" s="3" t="s">
        <v>706</v>
      </c>
      <c r="D895" s="3" t="s">
        <v>1623</v>
      </c>
      <c r="E895" s="29">
        <v>45925.0</v>
      </c>
      <c r="F895" s="3" t="s">
        <v>27</v>
      </c>
      <c r="G895" s="3" t="s">
        <v>129</v>
      </c>
      <c r="H895" s="6"/>
      <c r="I895" s="6"/>
      <c r="J895" s="6"/>
      <c r="K895" s="6"/>
      <c r="L895" s="6"/>
      <c r="M895" s="26"/>
      <c r="O895" s="19" t="str">
        <f t="shared" si="2"/>
        <v/>
      </c>
    </row>
    <row r="896">
      <c r="A896" s="3" t="s">
        <v>285</v>
      </c>
      <c r="B896" s="4" t="s">
        <v>36</v>
      </c>
      <c r="C896" s="3" t="s">
        <v>801</v>
      </c>
      <c r="D896" s="23"/>
      <c r="E896" s="29">
        <v>45925.0</v>
      </c>
      <c r="F896" s="3">
        <v>5.0</v>
      </c>
      <c r="G896" s="3" t="s">
        <v>92</v>
      </c>
      <c r="H896" s="3" t="s">
        <v>1624</v>
      </c>
      <c r="I896" s="6"/>
      <c r="J896" s="6"/>
      <c r="K896" s="6"/>
      <c r="L896" s="6"/>
      <c r="M896" s="26"/>
      <c r="O896" s="19" t="str">
        <f t="shared" si="2"/>
        <v/>
      </c>
    </row>
    <row r="897">
      <c r="A897" s="3" t="s">
        <v>112</v>
      </c>
      <c r="B897" s="4" t="s">
        <v>18</v>
      </c>
      <c r="C897" s="3" t="s">
        <v>342</v>
      </c>
      <c r="D897" s="23" t="s">
        <v>1625</v>
      </c>
      <c r="E897" s="29">
        <v>45925.0</v>
      </c>
      <c r="F897" s="3">
        <v>6.0</v>
      </c>
      <c r="G897" s="3" t="s">
        <v>92</v>
      </c>
      <c r="H897" s="3" t="s">
        <v>1626</v>
      </c>
      <c r="I897" s="6"/>
      <c r="J897" s="6"/>
      <c r="K897" s="6"/>
      <c r="L897" s="6"/>
      <c r="M897" s="26"/>
      <c r="O897" s="19" t="str">
        <f t="shared" si="2"/>
        <v/>
      </c>
    </row>
    <row r="898">
      <c r="A898" s="3" t="s">
        <v>1582</v>
      </c>
      <c r="B898" s="4" t="s">
        <v>31</v>
      </c>
      <c r="C898" s="3" t="s">
        <v>1627</v>
      </c>
      <c r="D898" s="23"/>
      <c r="E898" s="29">
        <v>45925.0</v>
      </c>
      <c r="F898" s="3">
        <v>5.0</v>
      </c>
      <c r="G898" s="3" t="s">
        <v>92</v>
      </c>
      <c r="H898" s="3" t="s">
        <v>1628</v>
      </c>
      <c r="I898" s="6"/>
      <c r="J898" s="6"/>
      <c r="K898" s="6"/>
      <c r="L898" s="6"/>
      <c r="M898" s="26"/>
      <c r="O898" s="19" t="str">
        <f t="shared" si="2"/>
        <v/>
      </c>
    </row>
    <row r="899">
      <c r="A899" s="3" t="s">
        <v>84</v>
      </c>
      <c r="B899" s="4" t="s">
        <v>31</v>
      </c>
      <c r="C899" s="3" t="s">
        <v>1629</v>
      </c>
      <c r="D899" s="23" t="s">
        <v>1630</v>
      </c>
      <c r="E899" s="29">
        <v>45925.0</v>
      </c>
      <c r="F899" s="3">
        <v>8.0</v>
      </c>
      <c r="G899" s="3" t="s">
        <v>92</v>
      </c>
      <c r="H899" s="3" t="s">
        <v>1631</v>
      </c>
      <c r="I899" s="6"/>
      <c r="J899" s="6"/>
      <c r="K899" s="6"/>
      <c r="L899" s="6"/>
      <c r="M899" s="26"/>
      <c r="O899" s="19" t="str">
        <f t="shared" si="2"/>
        <v/>
      </c>
    </row>
    <row r="900">
      <c r="A900" s="3" t="s">
        <v>276</v>
      </c>
      <c r="B900" s="4" t="s">
        <v>18</v>
      </c>
      <c r="C900" s="3" t="s">
        <v>1632</v>
      </c>
      <c r="D900" s="23" t="s">
        <v>1633</v>
      </c>
      <c r="E900" s="29">
        <v>45925.0</v>
      </c>
      <c r="F900" s="3">
        <v>6.0</v>
      </c>
      <c r="G900" s="3" t="s">
        <v>92</v>
      </c>
      <c r="H900" s="3" t="s">
        <v>1634</v>
      </c>
      <c r="I900" s="6"/>
      <c r="J900" s="6"/>
      <c r="K900" s="6"/>
      <c r="L900" s="6"/>
      <c r="M900" s="26"/>
      <c r="O900" s="19" t="str">
        <f t="shared" si="2"/>
        <v/>
      </c>
    </row>
    <row r="901">
      <c r="A901" s="3" t="s">
        <v>44</v>
      </c>
      <c r="B901" s="4" t="s">
        <v>45</v>
      </c>
      <c r="C901" s="3" t="s">
        <v>1635</v>
      </c>
      <c r="D901" s="23" t="s">
        <v>1636</v>
      </c>
      <c r="E901" s="29">
        <v>45925.0</v>
      </c>
      <c r="F901" s="3">
        <v>8.0</v>
      </c>
      <c r="G901" s="3" t="s">
        <v>92</v>
      </c>
      <c r="H901" s="3" t="s">
        <v>1637</v>
      </c>
      <c r="I901" s="6"/>
      <c r="J901" s="6"/>
      <c r="K901" s="6"/>
      <c r="L901" s="6"/>
      <c r="M901" s="26"/>
      <c r="O901" s="19" t="str">
        <f t="shared" si="2"/>
        <v/>
      </c>
    </row>
    <row r="902">
      <c r="A902" s="3" t="s">
        <v>532</v>
      </c>
      <c r="B902" s="4" t="s">
        <v>18</v>
      </c>
      <c r="C902" s="3" t="s">
        <v>994</v>
      </c>
      <c r="D902" s="23" t="s">
        <v>1638</v>
      </c>
      <c r="E902" s="29">
        <v>45925.0</v>
      </c>
      <c r="F902" s="3">
        <v>8.0</v>
      </c>
      <c r="G902" s="3" t="s">
        <v>92</v>
      </c>
      <c r="H902" s="3" t="s">
        <v>1639</v>
      </c>
      <c r="I902" s="6"/>
      <c r="J902" s="6"/>
      <c r="K902" s="6"/>
      <c r="L902" s="6"/>
      <c r="M902" s="26"/>
      <c r="O902" s="19" t="str">
        <f t="shared" si="2"/>
        <v/>
      </c>
    </row>
    <row r="903">
      <c r="A903" s="3" t="s">
        <v>108</v>
      </c>
      <c r="B903" s="4" t="s">
        <v>109</v>
      </c>
      <c r="C903" s="3" t="s">
        <v>1640</v>
      </c>
      <c r="D903" s="23" t="s">
        <v>1641</v>
      </c>
      <c r="E903" s="29">
        <v>45925.0</v>
      </c>
      <c r="F903" s="3" t="s">
        <v>22</v>
      </c>
      <c r="G903" s="3" t="s">
        <v>92</v>
      </c>
      <c r="H903" s="3" t="s">
        <v>1642</v>
      </c>
      <c r="I903" s="6"/>
      <c r="J903" s="6"/>
      <c r="K903" s="6"/>
      <c r="L903" s="6"/>
      <c r="M903" s="26"/>
      <c r="O903" s="19" t="str">
        <f t="shared" si="2"/>
        <v/>
      </c>
    </row>
    <row r="904">
      <c r="A904" s="3" t="s">
        <v>77</v>
      </c>
      <c r="B904" s="4" t="s">
        <v>18</v>
      </c>
      <c r="C904" s="3" t="s">
        <v>1643</v>
      </c>
      <c r="D904" s="23" t="s">
        <v>1644</v>
      </c>
      <c r="E904" s="29">
        <v>45925.0</v>
      </c>
      <c r="F904" s="3">
        <v>8.0</v>
      </c>
      <c r="G904" s="3" t="s">
        <v>92</v>
      </c>
      <c r="H904" s="3" t="s">
        <v>1645</v>
      </c>
      <c r="I904" s="6"/>
      <c r="J904" s="6"/>
      <c r="K904" s="6"/>
      <c r="L904" s="6"/>
      <c r="M904" s="26"/>
      <c r="O904" s="19" t="str">
        <f t="shared" si="2"/>
        <v/>
      </c>
    </row>
    <row r="905">
      <c r="A905" s="3" t="s">
        <v>1359</v>
      </c>
      <c r="B905" s="4" t="s">
        <v>45</v>
      </c>
      <c r="C905" s="3" t="s">
        <v>1646</v>
      </c>
      <c r="D905" s="23" t="s">
        <v>1647</v>
      </c>
      <c r="E905" s="29">
        <v>45925.0</v>
      </c>
      <c r="F905" s="3">
        <v>6.0</v>
      </c>
      <c r="G905" s="3" t="s">
        <v>92</v>
      </c>
      <c r="H905" s="3" t="s">
        <v>1648</v>
      </c>
      <c r="I905" s="6"/>
      <c r="J905" s="6"/>
      <c r="K905" s="6"/>
      <c r="L905" s="6"/>
      <c r="M905" s="26"/>
      <c r="O905" s="19" t="str">
        <f t="shared" si="2"/>
        <v/>
      </c>
    </row>
    <row r="906">
      <c r="A906" s="3" t="s">
        <v>137</v>
      </c>
      <c r="B906" s="4" t="s">
        <v>18</v>
      </c>
      <c r="C906" s="3" t="s">
        <v>1649</v>
      </c>
      <c r="D906" s="23" t="s">
        <v>1650</v>
      </c>
      <c r="E906" s="29">
        <v>45925.0</v>
      </c>
      <c r="F906" s="3">
        <v>5.0</v>
      </c>
      <c r="G906" s="3" t="s">
        <v>92</v>
      </c>
      <c r="H906" s="3" t="s">
        <v>1651</v>
      </c>
      <c r="I906" s="6"/>
      <c r="J906" s="6"/>
      <c r="K906" s="6"/>
      <c r="L906" s="6"/>
      <c r="M906" s="26"/>
      <c r="O906" s="19" t="str">
        <f t="shared" si="2"/>
        <v/>
      </c>
    </row>
    <row r="907">
      <c r="A907" s="3" t="s">
        <v>155</v>
      </c>
      <c r="B907" s="4" t="s">
        <v>18</v>
      </c>
      <c r="C907" s="3" t="s">
        <v>238</v>
      </c>
      <c r="D907" s="23" t="s">
        <v>1652</v>
      </c>
      <c r="E907" s="29">
        <v>45925.0</v>
      </c>
      <c r="F907" s="3">
        <v>6.0</v>
      </c>
      <c r="G907" s="3" t="s">
        <v>92</v>
      </c>
      <c r="H907" s="3" t="s">
        <v>1653</v>
      </c>
      <c r="I907" s="6"/>
      <c r="J907" s="6"/>
      <c r="K907" s="6"/>
      <c r="L907" s="6"/>
      <c r="M907" s="26"/>
      <c r="O907" s="19" t="str">
        <f t="shared" si="2"/>
        <v/>
      </c>
    </row>
    <row r="908">
      <c r="A908" s="3" t="s">
        <v>1582</v>
      </c>
      <c r="B908" s="4" t="s">
        <v>31</v>
      </c>
      <c r="C908" s="3" t="s">
        <v>1583</v>
      </c>
      <c r="D908" s="23" t="s">
        <v>1654</v>
      </c>
      <c r="E908" s="29">
        <v>45925.0</v>
      </c>
      <c r="F908" s="3">
        <v>8.0</v>
      </c>
      <c r="G908" s="3" t="s">
        <v>92</v>
      </c>
      <c r="H908" s="3" t="s">
        <v>1655</v>
      </c>
      <c r="I908" s="6"/>
      <c r="J908" s="6"/>
      <c r="K908" s="6"/>
      <c r="L908" s="6"/>
      <c r="M908" s="26"/>
      <c r="O908" s="19" t="str">
        <f t="shared" si="2"/>
        <v/>
      </c>
    </row>
    <row r="909">
      <c r="A909" s="3" t="s">
        <v>107</v>
      </c>
      <c r="B909" s="4" t="s">
        <v>18</v>
      </c>
      <c r="C909" s="3" t="s">
        <v>477</v>
      </c>
      <c r="D909" s="23" t="s">
        <v>1656</v>
      </c>
      <c r="E909" s="29">
        <v>45925.0</v>
      </c>
      <c r="F909" s="3">
        <v>8.0</v>
      </c>
      <c r="G909" s="3" t="s">
        <v>92</v>
      </c>
      <c r="H909" s="3" t="s">
        <v>1657</v>
      </c>
      <c r="I909" s="6"/>
      <c r="J909" s="6"/>
      <c r="K909" s="6"/>
      <c r="L909" s="6"/>
      <c r="M909" s="26"/>
      <c r="O909" s="19" t="str">
        <f t="shared" si="2"/>
        <v/>
      </c>
    </row>
    <row r="910">
      <c r="A910" s="3" t="s">
        <v>945</v>
      </c>
      <c r="B910" s="4" t="s">
        <v>18</v>
      </c>
      <c r="C910" s="3" t="s">
        <v>1075</v>
      </c>
      <c r="D910" s="23" t="s">
        <v>1658</v>
      </c>
      <c r="E910" s="29">
        <v>45925.0</v>
      </c>
      <c r="F910" s="3">
        <v>8.0</v>
      </c>
      <c r="G910" s="3" t="s">
        <v>92</v>
      </c>
      <c r="H910" s="3" t="s">
        <v>1659</v>
      </c>
      <c r="I910" s="6"/>
      <c r="J910" s="6"/>
      <c r="K910" s="6"/>
      <c r="L910" s="6"/>
      <c r="M910" s="26"/>
      <c r="O910" s="19" t="str">
        <f t="shared" si="2"/>
        <v/>
      </c>
    </row>
    <row r="911">
      <c r="A911" s="3" t="s">
        <v>1660</v>
      </c>
      <c r="B911" s="4" t="s">
        <v>36</v>
      </c>
      <c r="C911" s="3" t="s">
        <v>1661</v>
      </c>
      <c r="D911" s="23" t="s">
        <v>1662</v>
      </c>
      <c r="E911" s="29">
        <v>45925.0</v>
      </c>
      <c r="F911" s="3">
        <v>10.0</v>
      </c>
      <c r="G911" s="3" t="s">
        <v>92</v>
      </c>
      <c r="H911" s="3" t="s">
        <v>1663</v>
      </c>
      <c r="I911" s="6"/>
      <c r="J911" s="6"/>
      <c r="K911" s="6"/>
      <c r="L911" s="6"/>
      <c r="M911" s="26"/>
      <c r="O911" s="19" t="str">
        <f t="shared" si="2"/>
        <v/>
      </c>
    </row>
    <row r="912">
      <c r="A912" s="3" t="s">
        <v>246</v>
      </c>
      <c r="B912" s="4" t="s">
        <v>36</v>
      </c>
      <c r="C912" s="3" t="s">
        <v>694</v>
      </c>
      <c r="D912" s="23"/>
      <c r="E912" s="29">
        <v>45925.0</v>
      </c>
      <c r="F912" s="3">
        <v>6.0</v>
      </c>
      <c r="G912" s="3" t="s">
        <v>92</v>
      </c>
      <c r="H912" s="3" t="s">
        <v>1664</v>
      </c>
      <c r="I912" s="6"/>
      <c r="J912" s="6"/>
      <c r="K912" s="6"/>
      <c r="L912" s="6"/>
      <c r="M912" s="26"/>
      <c r="O912" s="19" t="str">
        <f t="shared" si="2"/>
        <v/>
      </c>
    </row>
    <row r="913">
      <c r="A913" s="3" t="s">
        <v>532</v>
      </c>
      <c r="B913" s="4" t="s">
        <v>18</v>
      </c>
      <c r="C913" s="3" t="s">
        <v>1665</v>
      </c>
      <c r="D913" s="23"/>
      <c r="E913" s="29">
        <v>45925.0</v>
      </c>
      <c r="F913" s="3">
        <v>5.0</v>
      </c>
      <c r="G913" s="3" t="s">
        <v>92</v>
      </c>
      <c r="H913" s="3" t="s">
        <v>1666</v>
      </c>
      <c r="I913" s="6"/>
      <c r="J913" s="6"/>
      <c r="K913" s="6"/>
      <c r="L913" s="6"/>
      <c r="M913" s="26"/>
      <c r="O913" s="19" t="str">
        <f t="shared" si="2"/>
        <v/>
      </c>
    </row>
    <row r="914">
      <c r="A914" s="3" t="s">
        <v>1582</v>
      </c>
      <c r="B914" s="4" t="s">
        <v>31</v>
      </c>
      <c r="C914" s="3" t="s">
        <v>1667</v>
      </c>
      <c r="D914" s="23" t="s">
        <v>1668</v>
      </c>
      <c r="E914" s="29">
        <v>45925.0</v>
      </c>
      <c r="F914" s="3">
        <v>6.0</v>
      </c>
      <c r="G914" s="3" t="s">
        <v>92</v>
      </c>
      <c r="H914" s="3" t="s">
        <v>1669</v>
      </c>
      <c r="I914" s="6"/>
      <c r="J914" s="6"/>
      <c r="K914" s="6"/>
      <c r="L914" s="6"/>
      <c r="M914" s="26"/>
      <c r="O914" s="19" t="str">
        <f t="shared" si="2"/>
        <v/>
      </c>
    </row>
    <row r="915">
      <c r="A915" s="3" t="s">
        <v>1582</v>
      </c>
      <c r="B915" s="4" t="s">
        <v>31</v>
      </c>
      <c r="C915" s="3" t="s">
        <v>1670</v>
      </c>
      <c r="D915" s="23" t="s">
        <v>1671</v>
      </c>
      <c r="E915" s="29">
        <v>45925.0</v>
      </c>
      <c r="F915" s="3">
        <v>6.0</v>
      </c>
      <c r="G915" s="3" t="s">
        <v>92</v>
      </c>
      <c r="H915" s="3" t="s">
        <v>1672</v>
      </c>
      <c r="I915" s="6"/>
      <c r="J915" s="6"/>
      <c r="K915" s="6"/>
      <c r="L915" s="6"/>
      <c r="M915" s="26"/>
      <c r="O915" s="19" t="str">
        <f t="shared" si="2"/>
        <v/>
      </c>
    </row>
    <row r="916">
      <c r="A916" s="3" t="s">
        <v>479</v>
      </c>
      <c r="B916" s="4" t="s">
        <v>18</v>
      </c>
      <c r="C916" s="3" t="s">
        <v>1673</v>
      </c>
      <c r="D916" s="23" t="s">
        <v>1674</v>
      </c>
      <c r="E916" s="29">
        <v>45925.0</v>
      </c>
      <c r="F916" s="3">
        <v>8.0</v>
      </c>
      <c r="G916" s="3" t="s">
        <v>92</v>
      </c>
      <c r="H916" s="3" t="s">
        <v>1675</v>
      </c>
      <c r="I916" s="6"/>
      <c r="J916" s="6"/>
      <c r="K916" s="6"/>
      <c r="L916" s="6"/>
      <c r="M916" s="26"/>
      <c r="O916" s="19" t="str">
        <f t="shared" si="2"/>
        <v/>
      </c>
    </row>
    <row r="917">
      <c r="A917" s="3" t="s">
        <v>274</v>
      </c>
      <c r="B917" s="4" t="s">
        <v>18</v>
      </c>
      <c r="C917" s="3" t="s">
        <v>584</v>
      </c>
      <c r="D917" s="23" t="s">
        <v>1676</v>
      </c>
      <c r="E917" s="29">
        <v>45925.0</v>
      </c>
      <c r="F917" s="3">
        <v>8.0</v>
      </c>
      <c r="G917" s="3" t="s">
        <v>92</v>
      </c>
      <c r="H917" s="3" t="s">
        <v>1677</v>
      </c>
      <c r="I917" s="6"/>
      <c r="J917" s="6"/>
      <c r="K917" s="6"/>
      <c r="L917" s="6"/>
      <c r="M917" s="26"/>
      <c r="O917" s="19" t="str">
        <f t="shared" si="2"/>
        <v/>
      </c>
    </row>
    <row r="918">
      <c r="A918" s="3" t="s">
        <v>244</v>
      </c>
      <c r="B918" s="4" t="s">
        <v>18</v>
      </c>
      <c r="C918" s="3" t="s">
        <v>182</v>
      </c>
      <c r="D918" s="23" t="s">
        <v>1678</v>
      </c>
      <c r="E918" s="29">
        <v>45925.0</v>
      </c>
      <c r="F918" s="3">
        <v>6.0</v>
      </c>
      <c r="G918" s="3" t="s">
        <v>92</v>
      </c>
      <c r="H918" s="3" t="s">
        <v>1679</v>
      </c>
      <c r="I918" s="6"/>
      <c r="J918" s="6"/>
      <c r="K918" s="6"/>
      <c r="L918" s="6"/>
      <c r="M918" s="26"/>
      <c r="O918" s="19" t="str">
        <f t="shared" si="2"/>
        <v/>
      </c>
    </row>
    <row r="919">
      <c r="A919" s="3" t="s">
        <v>435</v>
      </c>
      <c r="B919" s="4" t="s">
        <v>18</v>
      </c>
      <c r="C919" s="3" t="s">
        <v>1680</v>
      </c>
      <c r="D919" s="23" t="s">
        <v>1681</v>
      </c>
      <c r="E919" s="29">
        <v>45925.0</v>
      </c>
      <c r="F919" s="3">
        <v>8.0</v>
      </c>
      <c r="G919" s="3" t="s">
        <v>92</v>
      </c>
      <c r="H919" s="3" t="s">
        <v>1682</v>
      </c>
      <c r="I919" s="6"/>
      <c r="J919" s="6"/>
      <c r="K919" s="6"/>
      <c r="L919" s="6"/>
      <c r="M919" s="26"/>
      <c r="O919" s="19" t="str">
        <f t="shared" si="2"/>
        <v/>
      </c>
    </row>
    <row r="920">
      <c r="A920" s="3" t="s">
        <v>113</v>
      </c>
      <c r="B920" s="4" t="s">
        <v>18</v>
      </c>
      <c r="C920" s="3">
        <v>4217.0</v>
      </c>
      <c r="D920" s="23"/>
      <c r="E920" s="29">
        <v>45925.0</v>
      </c>
      <c r="F920" s="3">
        <v>6.0</v>
      </c>
      <c r="G920" s="3" t="s">
        <v>92</v>
      </c>
      <c r="H920" s="3" t="s">
        <v>1683</v>
      </c>
      <c r="I920" s="6"/>
      <c r="J920" s="6"/>
      <c r="K920" s="6"/>
      <c r="L920" s="6"/>
      <c r="M920" s="26"/>
      <c r="O920" s="19" t="str">
        <f t="shared" si="2"/>
        <v/>
      </c>
    </row>
    <row r="921">
      <c r="A921" s="3" t="s">
        <v>1660</v>
      </c>
      <c r="B921" s="4" t="s">
        <v>36</v>
      </c>
      <c r="C921" s="3" t="s">
        <v>1684</v>
      </c>
      <c r="D921" s="23" t="s">
        <v>1685</v>
      </c>
      <c r="E921" s="29">
        <v>45925.0</v>
      </c>
      <c r="F921" s="3">
        <v>6.0</v>
      </c>
      <c r="G921" s="3" t="s">
        <v>92</v>
      </c>
      <c r="H921" s="3" t="s">
        <v>1686</v>
      </c>
      <c r="I921" s="6"/>
      <c r="J921" s="6"/>
      <c r="K921" s="6"/>
      <c r="L921" s="6"/>
      <c r="M921" s="26"/>
      <c r="O921" s="19" t="str">
        <f t="shared" si="2"/>
        <v/>
      </c>
    </row>
    <row r="922">
      <c r="A922" s="3" t="s">
        <v>418</v>
      </c>
      <c r="B922" s="4" t="s">
        <v>18</v>
      </c>
      <c r="C922" s="3" t="s">
        <v>1687</v>
      </c>
      <c r="D922" s="23" t="s">
        <v>1688</v>
      </c>
      <c r="E922" s="29">
        <v>45925.0</v>
      </c>
      <c r="F922" s="3">
        <v>8.0</v>
      </c>
      <c r="G922" s="3" t="s">
        <v>92</v>
      </c>
      <c r="H922" s="3" t="s">
        <v>1689</v>
      </c>
      <c r="I922" s="6"/>
      <c r="J922" s="6"/>
      <c r="K922" s="6"/>
      <c r="L922" s="6"/>
      <c r="M922" s="26"/>
      <c r="O922" s="19" t="str">
        <f t="shared" si="2"/>
        <v/>
      </c>
    </row>
    <row r="923">
      <c r="A923" s="3" t="s">
        <v>210</v>
      </c>
      <c r="B923" s="4" t="s">
        <v>31</v>
      </c>
      <c r="C923" s="3" t="s">
        <v>1690</v>
      </c>
      <c r="D923" s="23" t="s">
        <v>1691</v>
      </c>
      <c r="E923" s="29">
        <v>45925.0</v>
      </c>
      <c r="F923" s="3">
        <v>8.0</v>
      </c>
      <c r="G923" s="3" t="s">
        <v>92</v>
      </c>
      <c r="H923" s="3" t="s">
        <v>1692</v>
      </c>
      <c r="I923" s="6"/>
      <c r="J923" s="6"/>
      <c r="K923" s="6"/>
      <c r="L923" s="6"/>
      <c r="M923" s="26"/>
      <c r="O923" s="19" t="str">
        <f t="shared" si="2"/>
        <v/>
      </c>
    </row>
    <row r="924">
      <c r="A924" s="3" t="s">
        <v>945</v>
      </c>
      <c r="B924" s="4" t="s">
        <v>18</v>
      </c>
      <c r="C924" s="3" t="s">
        <v>1693</v>
      </c>
      <c r="D924" s="23" t="s">
        <v>1694</v>
      </c>
      <c r="E924" s="29">
        <v>45925.0</v>
      </c>
      <c r="F924" s="3">
        <v>8.0</v>
      </c>
      <c r="G924" s="3" t="s">
        <v>92</v>
      </c>
      <c r="H924" s="3" t="s">
        <v>1695</v>
      </c>
      <c r="I924" s="6"/>
      <c r="J924" s="6"/>
      <c r="K924" s="6"/>
      <c r="L924" s="6"/>
      <c r="M924" s="26"/>
      <c r="O924" s="19" t="str">
        <f t="shared" si="2"/>
        <v/>
      </c>
    </row>
    <row r="925">
      <c r="A925" s="3" t="s">
        <v>44</v>
      </c>
      <c r="B925" s="4" t="s">
        <v>45</v>
      </c>
      <c r="C925" s="3" t="s">
        <v>739</v>
      </c>
      <c r="D925" s="23" t="s">
        <v>1696</v>
      </c>
      <c r="E925" s="29">
        <v>45925.0</v>
      </c>
      <c r="F925" s="3">
        <v>6.0</v>
      </c>
      <c r="G925" s="3" t="s">
        <v>92</v>
      </c>
      <c r="H925" s="3" t="s">
        <v>1697</v>
      </c>
      <c r="I925" s="6"/>
      <c r="J925" s="6"/>
      <c r="K925" s="6"/>
      <c r="L925" s="6"/>
      <c r="M925" s="26"/>
      <c r="O925" s="19" t="str">
        <f t="shared" si="2"/>
        <v/>
      </c>
    </row>
    <row r="926">
      <c r="A926" s="3" t="s">
        <v>44</v>
      </c>
      <c r="B926" s="4" t="s">
        <v>45</v>
      </c>
      <c r="C926" s="3" t="s">
        <v>272</v>
      </c>
      <c r="D926" s="23" t="s">
        <v>1698</v>
      </c>
      <c r="E926" s="29">
        <v>45925.0</v>
      </c>
      <c r="F926" s="3">
        <v>8.0</v>
      </c>
      <c r="G926" s="3" t="s">
        <v>92</v>
      </c>
      <c r="H926" s="3" t="s">
        <v>1699</v>
      </c>
      <c r="I926" s="6"/>
      <c r="J926" s="6"/>
      <c r="K926" s="6"/>
      <c r="L926" s="6"/>
      <c r="M926" s="26"/>
      <c r="O926" s="19" t="str">
        <f t="shared" si="2"/>
        <v/>
      </c>
    </row>
    <row r="927">
      <c r="A927" s="3" t="s">
        <v>202</v>
      </c>
      <c r="B927" s="4" t="s">
        <v>36</v>
      </c>
      <c r="C927" s="3" t="s">
        <v>1700</v>
      </c>
      <c r="D927" s="23" t="s">
        <v>1701</v>
      </c>
      <c r="E927" s="29">
        <v>45925.0</v>
      </c>
      <c r="F927" s="3">
        <v>6.0</v>
      </c>
      <c r="G927" s="3" t="s">
        <v>92</v>
      </c>
      <c r="H927" s="3" t="s">
        <v>1702</v>
      </c>
      <c r="I927" s="6"/>
      <c r="J927" s="6"/>
      <c r="K927" s="6"/>
      <c r="L927" s="6"/>
      <c r="M927" s="26"/>
      <c r="O927" s="19" t="str">
        <f t="shared" si="2"/>
        <v/>
      </c>
    </row>
    <row r="928">
      <c r="A928" s="3" t="s">
        <v>120</v>
      </c>
      <c r="B928" s="4" t="s">
        <v>31</v>
      </c>
      <c r="C928" s="3" t="s">
        <v>1703</v>
      </c>
      <c r="D928" s="23" t="s">
        <v>1704</v>
      </c>
      <c r="E928" s="29">
        <v>45925.0</v>
      </c>
      <c r="F928" s="3">
        <v>6.0</v>
      </c>
      <c r="G928" s="3" t="s">
        <v>92</v>
      </c>
      <c r="H928" s="3" t="s">
        <v>1705</v>
      </c>
      <c r="I928" s="6"/>
      <c r="J928" s="6"/>
      <c r="K928" s="6"/>
      <c r="L928" s="6"/>
      <c r="M928" s="26"/>
      <c r="O928" s="19" t="str">
        <f t="shared" si="2"/>
        <v/>
      </c>
    </row>
    <row r="929">
      <c r="A929" s="3" t="s">
        <v>1320</v>
      </c>
      <c r="B929" s="4" t="s">
        <v>45</v>
      </c>
      <c r="C929" s="3" t="s">
        <v>75</v>
      </c>
      <c r="D929" s="3" t="s">
        <v>1706</v>
      </c>
      <c r="E929" s="29">
        <v>45926.0</v>
      </c>
      <c r="F929" s="3" t="s">
        <v>27</v>
      </c>
      <c r="G929" s="3" t="s">
        <v>129</v>
      </c>
      <c r="H929" s="6"/>
      <c r="I929" s="6"/>
      <c r="J929" s="6"/>
      <c r="K929" s="6"/>
      <c r="L929" s="6"/>
      <c r="M929" s="26"/>
      <c r="O929" s="19" t="str">
        <f t="shared" si="2"/>
        <v/>
      </c>
    </row>
    <row r="930">
      <c r="A930" s="3" t="s">
        <v>114</v>
      </c>
      <c r="B930" s="4" t="s">
        <v>31</v>
      </c>
      <c r="C930" s="3" t="s">
        <v>1707</v>
      </c>
      <c r="D930" s="23"/>
      <c r="E930" s="29">
        <v>45926.0</v>
      </c>
      <c r="F930" s="3" t="s">
        <v>22</v>
      </c>
      <c r="G930" s="3" t="s">
        <v>92</v>
      </c>
      <c r="H930" s="3" t="s">
        <v>1708</v>
      </c>
      <c r="I930" s="6"/>
      <c r="J930" s="6"/>
      <c r="K930" s="6"/>
      <c r="L930" s="6"/>
      <c r="M930" s="26"/>
      <c r="O930" s="19" t="str">
        <f t="shared" si="2"/>
        <v/>
      </c>
    </row>
    <row r="931">
      <c r="A931" s="3" t="s">
        <v>532</v>
      </c>
      <c r="B931" s="4" t="s">
        <v>18</v>
      </c>
      <c r="C931" s="3" t="s">
        <v>1709</v>
      </c>
      <c r="D931" s="23" t="s">
        <v>1710</v>
      </c>
      <c r="E931" s="29">
        <v>45926.0</v>
      </c>
      <c r="F931" s="3">
        <v>6.0</v>
      </c>
      <c r="G931" s="3" t="s">
        <v>92</v>
      </c>
      <c r="H931" s="3" t="s">
        <v>1711</v>
      </c>
      <c r="I931" s="6"/>
      <c r="J931" s="6"/>
      <c r="K931" s="6"/>
      <c r="L931" s="6"/>
      <c r="M931" s="26"/>
      <c r="O931" s="19" t="str">
        <f t="shared" si="2"/>
        <v/>
      </c>
    </row>
    <row r="932">
      <c r="A932" s="3" t="s">
        <v>276</v>
      </c>
      <c r="B932" s="4" t="s">
        <v>18</v>
      </c>
      <c r="C932" s="3" t="s">
        <v>288</v>
      </c>
      <c r="D932" s="23" t="s">
        <v>1712</v>
      </c>
      <c r="E932" s="29">
        <v>45926.0</v>
      </c>
      <c r="F932" s="3">
        <v>8.0</v>
      </c>
      <c r="G932" s="3" t="s">
        <v>92</v>
      </c>
      <c r="H932" s="3" t="s">
        <v>1713</v>
      </c>
      <c r="I932" s="6"/>
      <c r="J932" s="6"/>
      <c r="K932" s="6"/>
      <c r="L932" s="6"/>
      <c r="M932" s="26"/>
      <c r="O932" s="19" t="str">
        <f t="shared" si="2"/>
        <v/>
      </c>
    </row>
    <row r="933">
      <c r="A933" s="3" t="s">
        <v>1582</v>
      </c>
      <c r="B933" s="4" t="s">
        <v>31</v>
      </c>
      <c r="C933" s="3" t="s">
        <v>1627</v>
      </c>
      <c r="D933" s="23" t="s">
        <v>1714</v>
      </c>
      <c r="E933" s="29">
        <v>45926.0</v>
      </c>
      <c r="F933" s="3">
        <v>8.0</v>
      </c>
      <c r="G933" s="3" t="s">
        <v>92</v>
      </c>
      <c r="H933" s="3" t="s">
        <v>1715</v>
      </c>
      <c r="I933" s="6"/>
      <c r="J933" s="6"/>
      <c r="K933" s="6"/>
      <c r="L933" s="6"/>
      <c r="M933" s="26"/>
      <c r="O933" s="19" t="str">
        <f t="shared" si="2"/>
        <v/>
      </c>
    </row>
    <row r="934">
      <c r="A934" s="3" t="s">
        <v>202</v>
      </c>
      <c r="B934" s="4" t="s">
        <v>36</v>
      </c>
      <c r="C934" s="3" t="s">
        <v>289</v>
      </c>
      <c r="D934" s="23" t="s">
        <v>1716</v>
      </c>
      <c r="E934" s="29">
        <v>45926.0</v>
      </c>
      <c r="F934" s="3">
        <v>8.0</v>
      </c>
      <c r="G934" s="3" t="s">
        <v>92</v>
      </c>
      <c r="H934" s="3" t="s">
        <v>1717</v>
      </c>
      <c r="I934" s="6"/>
      <c r="J934" s="6"/>
      <c r="K934" s="6"/>
      <c r="L934" s="6"/>
      <c r="M934" s="26"/>
      <c r="O934" s="19" t="str">
        <f t="shared" si="2"/>
        <v/>
      </c>
    </row>
    <row r="935">
      <c r="A935" s="3" t="s">
        <v>113</v>
      </c>
      <c r="B935" s="4" t="s">
        <v>18</v>
      </c>
      <c r="C935" s="3" t="s">
        <v>398</v>
      </c>
      <c r="D935" s="23" t="s">
        <v>1323</v>
      </c>
      <c r="E935" s="29">
        <v>45926.0</v>
      </c>
      <c r="F935" s="3">
        <v>8.0</v>
      </c>
      <c r="G935" s="3" t="s">
        <v>92</v>
      </c>
      <c r="H935" s="3" t="s">
        <v>1718</v>
      </c>
      <c r="I935" s="6"/>
      <c r="J935" s="6"/>
      <c r="K935" s="6"/>
      <c r="L935" s="6"/>
      <c r="M935" s="26"/>
      <c r="O935" s="19" t="str">
        <f t="shared" si="2"/>
        <v/>
      </c>
    </row>
    <row r="936">
      <c r="A936" s="3" t="s">
        <v>276</v>
      </c>
      <c r="B936" s="4" t="s">
        <v>18</v>
      </c>
      <c r="C936" s="3" t="s">
        <v>566</v>
      </c>
      <c r="D936" s="23" t="s">
        <v>1719</v>
      </c>
      <c r="E936" s="29">
        <v>45926.0</v>
      </c>
      <c r="F936" s="3">
        <v>8.0</v>
      </c>
      <c r="G936" s="3" t="s">
        <v>92</v>
      </c>
      <c r="H936" s="3" t="s">
        <v>1720</v>
      </c>
      <c r="I936" s="6"/>
      <c r="J936" s="6"/>
      <c r="K936" s="6"/>
      <c r="L936" s="6"/>
      <c r="M936" s="26"/>
      <c r="O936" s="19" t="str">
        <f t="shared" si="2"/>
        <v/>
      </c>
    </row>
    <row r="937">
      <c r="A937" s="3" t="s">
        <v>1055</v>
      </c>
      <c r="B937" s="4" t="s">
        <v>31</v>
      </c>
      <c r="C937" s="3" t="s">
        <v>1721</v>
      </c>
      <c r="D937" s="23" t="s">
        <v>1722</v>
      </c>
      <c r="E937" s="29">
        <v>45926.0</v>
      </c>
      <c r="F937" s="3">
        <v>10.0</v>
      </c>
      <c r="G937" s="3" t="s">
        <v>92</v>
      </c>
      <c r="H937" s="3" t="s">
        <v>1723</v>
      </c>
      <c r="I937" s="6"/>
      <c r="J937" s="6"/>
      <c r="K937" s="6"/>
      <c r="L937" s="6"/>
      <c r="M937" s="26"/>
      <c r="O937" s="19" t="str">
        <f t="shared" si="2"/>
        <v/>
      </c>
    </row>
    <row r="938">
      <c r="A938" s="3" t="s">
        <v>305</v>
      </c>
      <c r="B938" s="4" t="s">
        <v>36</v>
      </c>
      <c r="C938" s="3" t="s">
        <v>828</v>
      </c>
      <c r="D938" s="23" t="s">
        <v>1724</v>
      </c>
      <c r="E938" s="29">
        <v>45926.0</v>
      </c>
      <c r="F938" s="3">
        <v>10.0</v>
      </c>
      <c r="G938" s="3" t="s">
        <v>92</v>
      </c>
      <c r="H938" s="3" t="s">
        <v>1725</v>
      </c>
      <c r="I938" s="6"/>
      <c r="J938" s="6"/>
      <c r="K938" s="6"/>
      <c r="L938" s="6"/>
      <c r="M938" s="26"/>
      <c r="O938" s="19" t="str">
        <f t="shared" si="2"/>
        <v/>
      </c>
    </row>
    <row r="939">
      <c r="A939" s="3" t="s">
        <v>510</v>
      </c>
      <c r="B939" s="4" t="s">
        <v>18</v>
      </c>
      <c r="C939" s="3" t="s">
        <v>564</v>
      </c>
      <c r="D939" s="23" t="s">
        <v>1726</v>
      </c>
      <c r="E939" s="29">
        <v>45926.0</v>
      </c>
      <c r="F939" s="3">
        <v>8.0</v>
      </c>
      <c r="G939" s="3" t="s">
        <v>92</v>
      </c>
      <c r="H939" s="3" t="s">
        <v>1727</v>
      </c>
      <c r="I939" s="6"/>
      <c r="J939" s="6"/>
      <c r="K939" s="6"/>
      <c r="L939" s="6"/>
      <c r="M939" s="26"/>
      <c r="O939" s="19" t="str">
        <f t="shared" si="2"/>
        <v/>
      </c>
    </row>
    <row r="940">
      <c r="A940" s="3" t="s">
        <v>184</v>
      </c>
      <c r="B940" s="4" t="s">
        <v>18</v>
      </c>
      <c r="C940" s="3" t="s">
        <v>512</v>
      </c>
      <c r="D940" s="23" t="s">
        <v>1728</v>
      </c>
      <c r="E940" s="29">
        <v>45926.0</v>
      </c>
      <c r="F940" s="3">
        <v>8.0</v>
      </c>
      <c r="G940" s="3" t="s">
        <v>92</v>
      </c>
      <c r="H940" s="3" t="s">
        <v>1729</v>
      </c>
      <c r="I940" s="6"/>
      <c r="J940" s="6"/>
      <c r="K940" s="6"/>
      <c r="L940" s="6"/>
      <c r="M940" s="26"/>
      <c r="O940" s="19" t="str">
        <f t="shared" si="2"/>
        <v/>
      </c>
    </row>
    <row r="941">
      <c r="A941" s="3" t="s">
        <v>1660</v>
      </c>
      <c r="B941" s="4" t="s">
        <v>36</v>
      </c>
      <c r="C941" s="3" t="s">
        <v>1730</v>
      </c>
      <c r="D941" s="23" t="s">
        <v>1731</v>
      </c>
      <c r="E941" s="29">
        <v>45926.0</v>
      </c>
      <c r="F941" s="3">
        <v>6.0</v>
      </c>
      <c r="G941" s="3" t="s">
        <v>92</v>
      </c>
      <c r="H941" s="3" t="s">
        <v>1732</v>
      </c>
      <c r="I941" s="6"/>
      <c r="J941" s="6"/>
      <c r="K941" s="6"/>
      <c r="L941" s="6"/>
      <c r="M941" s="26"/>
      <c r="O941" s="19" t="str">
        <f t="shared" si="2"/>
        <v/>
      </c>
    </row>
    <row r="942">
      <c r="A942" s="3" t="s">
        <v>113</v>
      </c>
      <c r="B942" s="4" t="s">
        <v>18</v>
      </c>
      <c r="C942" s="3" t="s">
        <v>564</v>
      </c>
      <c r="D942" s="23" t="s">
        <v>1733</v>
      </c>
      <c r="E942" s="29">
        <v>45926.0</v>
      </c>
      <c r="F942" s="3">
        <v>6.0</v>
      </c>
      <c r="G942" s="3" t="s">
        <v>92</v>
      </c>
      <c r="H942" s="3" t="s">
        <v>1734</v>
      </c>
      <c r="I942" s="6"/>
      <c r="J942" s="6"/>
      <c r="K942" s="6"/>
      <c r="L942" s="6"/>
      <c r="M942" s="26"/>
      <c r="O942" s="19" t="str">
        <f t="shared" si="2"/>
        <v/>
      </c>
    </row>
    <row r="943">
      <c r="A943" s="3" t="s">
        <v>1320</v>
      </c>
      <c r="B943" s="4" t="s">
        <v>45</v>
      </c>
      <c r="C943" s="3" t="s">
        <v>1735</v>
      </c>
      <c r="D943" s="23" t="s">
        <v>1736</v>
      </c>
      <c r="E943" s="29">
        <v>45926.0</v>
      </c>
      <c r="F943" s="3">
        <v>8.0</v>
      </c>
      <c r="G943" s="3" t="s">
        <v>92</v>
      </c>
      <c r="H943" s="3" t="s">
        <v>1737</v>
      </c>
      <c r="I943" s="6"/>
      <c r="J943" s="6"/>
      <c r="K943" s="6"/>
      <c r="L943" s="6"/>
      <c r="M943" s="26"/>
      <c r="O943" s="19" t="str">
        <f t="shared" si="2"/>
        <v/>
      </c>
    </row>
    <row r="944">
      <c r="A944" s="3" t="s">
        <v>1660</v>
      </c>
      <c r="B944" s="4" t="s">
        <v>36</v>
      </c>
      <c r="C944" s="3" t="s">
        <v>1738</v>
      </c>
      <c r="D944" s="23"/>
      <c r="E944" s="29">
        <v>45926.0</v>
      </c>
      <c r="F944" s="3">
        <v>5.0</v>
      </c>
      <c r="G944" s="3" t="s">
        <v>92</v>
      </c>
      <c r="H944" s="3" t="s">
        <v>1739</v>
      </c>
      <c r="I944" s="6"/>
      <c r="J944" s="6"/>
      <c r="K944" s="6"/>
      <c r="L944" s="6"/>
      <c r="M944" s="26"/>
      <c r="O944" s="19" t="str">
        <f t="shared" si="2"/>
        <v/>
      </c>
    </row>
    <row r="945">
      <c r="A945" s="3" t="s">
        <v>576</v>
      </c>
      <c r="B945" s="4" t="s">
        <v>31</v>
      </c>
      <c r="C945" s="3" t="s">
        <v>658</v>
      </c>
      <c r="D945" s="23" t="s">
        <v>1740</v>
      </c>
      <c r="E945" s="29">
        <v>45926.0</v>
      </c>
      <c r="F945" s="3">
        <v>6.0</v>
      </c>
      <c r="G945" s="3" t="s">
        <v>92</v>
      </c>
      <c r="H945" s="3" t="s">
        <v>1741</v>
      </c>
      <c r="I945" s="6"/>
      <c r="J945" s="6"/>
      <c r="K945" s="6"/>
      <c r="L945" s="6"/>
      <c r="M945" s="26"/>
      <c r="O945" s="19" t="str">
        <f t="shared" si="2"/>
        <v/>
      </c>
    </row>
    <row r="946">
      <c r="A946" s="3" t="s">
        <v>1055</v>
      </c>
      <c r="B946" s="4" t="s">
        <v>31</v>
      </c>
      <c r="C946" s="3" t="s">
        <v>1742</v>
      </c>
      <c r="D946" s="3" t="s">
        <v>1743</v>
      </c>
      <c r="E946" s="30" t="s">
        <v>1744</v>
      </c>
      <c r="F946" s="3" t="s">
        <v>27</v>
      </c>
      <c r="G946" s="3"/>
      <c r="H946" s="6"/>
      <c r="I946" s="6"/>
      <c r="J946" s="6"/>
      <c r="K946" s="6"/>
      <c r="L946" s="6"/>
      <c r="M946" s="7"/>
      <c r="O946" s="19" t="str">
        <f t="shared" si="2"/>
        <v/>
      </c>
    </row>
    <row r="947">
      <c r="A947" s="3" t="s">
        <v>77</v>
      </c>
      <c r="B947" s="4" t="s">
        <v>18</v>
      </c>
      <c r="C947" s="3" t="s">
        <v>197</v>
      </c>
      <c r="D947" s="3" t="s">
        <v>1745</v>
      </c>
      <c r="E947" s="29" t="s">
        <v>1744</v>
      </c>
      <c r="F947" s="3" t="s">
        <v>27</v>
      </c>
      <c r="G947" s="3" t="s">
        <v>1453</v>
      </c>
      <c r="H947" s="9" t="s">
        <v>1746</v>
      </c>
      <c r="I947" s="6"/>
      <c r="J947" s="6"/>
      <c r="K947" s="6"/>
      <c r="L947" s="6"/>
      <c r="M947" s="26"/>
      <c r="O947" s="19" t="str">
        <f t="shared" si="2"/>
        <v/>
      </c>
    </row>
    <row r="948">
      <c r="A948" s="22" t="s">
        <v>69</v>
      </c>
      <c r="B948" s="4" t="s">
        <v>31</v>
      </c>
      <c r="C948" s="3" t="s">
        <v>1747</v>
      </c>
      <c r="D948" s="23" t="s">
        <v>1748</v>
      </c>
      <c r="E948" s="29">
        <v>45928.0</v>
      </c>
      <c r="F948" s="3">
        <v>6.0</v>
      </c>
      <c r="G948" s="3" t="s">
        <v>92</v>
      </c>
      <c r="H948" s="3" t="s">
        <v>1749</v>
      </c>
      <c r="I948" s="6"/>
      <c r="J948" s="6"/>
      <c r="K948" s="6"/>
      <c r="L948" s="6"/>
      <c r="M948" s="26"/>
      <c r="O948" s="19" t="str">
        <f t="shared" si="2"/>
        <v/>
      </c>
    </row>
    <row r="949">
      <c r="A949" s="22" t="s">
        <v>479</v>
      </c>
      <c r="B949" s="4" t="s">
        <v>18</v>
      </c>
      <c r="C949" s="3" t="s">
        <v>1750</v>
      </c>
      <c r="D949" s="23" t="s">
        <v>1751</v>
      </c>
      <c r="E949" s="29">
        <v>45928.0</v>
      </c>
      <c r="F949" s="3">
        <v>8.0</v>
      </c>
      <c r="G949" s="3" t="s">
        <v>92</v>
      </c>
      <c r="H949" s="3" t="s">
        <v>1752</v>
      </c>
      <c r="I949" s="6"/>
      <c r="J949" s="6"/>
      <c r="K949" s="6"/>
      <c r="L949" s="6"/>
      <c r="M949" s="26"/>
      <c r="O949" s="19" t="str">
        <f t="shared" si="2"/>
        <v/>
      </c>
    </row>
    <row r="950">
      <c r="A950" s="22" t="s">
        <v>817</v>
      </c>
      <c r="B950" s="4" t="s">
        <v>36</v>
      </c>
      <c r="C950" s="3" t="s">
        <v>1753</v>
      </c>
      <c r="D950" s="23" t="s">
        <v>1754</v>
      </c>
      <c r="E950" s="29">
        <v>45928.0</v>
      </c>
      <c r="F950" s="3">
        <v>8.0</v>
      </c>
      <c r="G950" s="3" t="s">
        <v>92</v>
      </c>
      <c r="H950" s="3" t="s">
        <v>1755</v>
      </c>
      <c r="I950" s="6"/>
      <c r="J950" s="6"/>
      <c r="K950" s="6"/>
      <c r="L950" s="6"/>
      <c r="M950" s="26"/>
      <c r="O950" s="19" t="str">
        <f t="shared" si="2"/>
        <v/>
      </c>
    </row>
    <row r="951">
      <c r="A951" s="22" t="s">
        <v>158</v>
      </c>
      <c r="B951" s="4" t="s">
        <v>31</v>
      </c>
      <c r="C951" s="3" t="s">
        <v>1756</v>
      </c>
      <c r="D951" s="23" t="s">
        <v>1757</v>
      </c>
      <c r="E951" s="29">
        <v>45928.0</v>
      </c>
      <c r="F951" s="3">
        <v>8.0</v>
      </c>
      <c r="G951" s="3" t="s">
        <v>92</v>
      </c>
      <c r="H951" s="3" t="s">
        <v>1758</v>
      </c>
      <c r="I951" s="6"/>
      <c r="J951" s="6"/>
      <c r="K951" s="6"/>
      <c r="L951" s="6"/>
      <c r="M951" s="26"/>
      <c r="O951" s="19" t="str">
        <f t="shared" si="2"/>
        <v/>
      </c>
    </row>
    <row r="952">
      <c r="A952" s="22" t="s">
        <v>184</v>
      </c>
      <c r="B952" s="4" t="s">
        <v>18</v>
      </c>
      <c r="C952" s="3" t="s">
        <v>1759</v>
      </c>
      <c r="D952" s="23" t="s">
        <v>1760</v>
      </c>
      <c r="E952" s="29">
        <v>45928.0</v>
      </c>
      <c r="F952" s="3">
        <v>8.0</v>
      </c>
      <c r="G952" s="3" t="s">
        <v>92</v>
      </c>
      <c r="H952" s="3" t="s">
        <v>1761</v>
      </c>
      <c r="I952" s="6"/>
      <c r="J952" s="6"/>
      <c r="K952" s="6"/>
      <c r="L952" s="6"/>
      <c r="M952" s="26"/>
      <c r="O952" s="19" t="str">
        <f t="shared" si="2"/>
        <v/>
      </c>
    </row>
    <row r="953">
      <c r="A953" s="22" t="s">
        <v>532</v>
      </c>
      <c r="B953" s="4" t="s">
        <v>18</v>
      </c>
      <c r="C953" s="3" t="s">
        <v>1762</v>
      </c>
      <c r="D953" s="23"/>
      <c r="E953" s="29">
        <v>45928.0</v>
      </c>
      <c r="F953" s="3">
        <v>6.0</v>
      </c>
      <c r="G953" s="3" t="s">
        <v>92</v>
      </c>
      <c r="H953" s="3" t="s">
        <v>1763</v>
      </c>
      <c r="I953" s="6"/>
      <c r="J953" s="6"/>
      <c r="K953" s="6"/>
      <c r="L953" s="6"/>
      <c r="M953" s="26"/>
      <c r="O953" s="19" t="str">
        <f t="shared" si="2"/>
        <v/>
      </c>
    </row>
    <row r="954">
      <c r="A954" s="22" t="s">
        <v>1062</v>
      </c>
      <c r="B954" s="4" t="s">
        <v>18</v>
      </c>
      <c r="C954" s="3" t="s">
        <v>1214</v>
      </c>
      <c r="D954" s="23" t="s">
        <v>1764</v>
      </c>
      <c r="E954" s="29">
        <v>45928.0</v>
      </c>
      <c r="F954" s="3">
        <v>8.0</v>
      </c>
      <c r="G954" s="3" t="s">
        <v>92</v>
      </c>
      <c r="H954" s="3" t="s">
        <v>1765</v>
      </c>
      <c r="I954" s="6"/>
      <c r="J954" s="6"/>
      <c r="K954" s="6"/>
      <c r="L954" s="6"/>
      <c r="M954" s="26"/>
      <c r="O954" s="19" t="str">
        <f t="shared" si="2"/>
        <v/>
      </c>
    </row>
    <row r="955">
      <c r="A955" s="22" t="s">
        <v>1320</v>
      </c>
      <c r="B955" s="4" t="s">
        <v>45</v>
      </c>
      <c r="C955" s="3" t="s">
        <v>1334</v>
      </c>
      <c r="D955" s="23" t="s">
        <v>1766</v>
      </c>
      <c r="E955" s="29">
        <v>45928.0</v>
      </c>
      <c r="F955" s="3">
        <v>8.0</v>
      </c>
      <c r="G955" s="3" t="s">
        <v>92</v>
      </c>
      <c r="H955" s="3" t="s">
        <v>1767</v>
      </c>
      <c r="I955" s="6"/>
      <c r="J955" s="6"/>
      <c r="K955" s="6"/>
      <c r="L955" s="6"/>
      <c r="M955" s="26"/>
      <c r="O955" s="19" t="str">
        <f t="shared" si="2"/>
        <v/>
      </c>
    </row>
    <row r="956">
      <c r="A956" s="22" t="s">
        <v>1582</v>
      </c>
      <c r="B956" s="4" t="s">
        <v>31</v>
      </c>
      <c r="C956" s="3" t="s">
        <v>1768</v>
      </c>
      <c r="D956" s="23" t="s">
        <v>1769</v>
      </c>
      <c r="E956" s="29">
        <v>45928.0</v>
      </c>
      <c r="F956" s="3">
        <v>8.0</v>
      </c>
      <c r="G956" s="3" t="s">
        <v>92</v>
      </c>
      <c r="H956" s="3" t="s">
        <v>1770</v>
      </c>
      <c r="I956" s="6"/>
      <c r="J956" s="6"/>
      <c r="K956" s="6"/>
      <c r="L956" s="6"/>
      <c r="M956" s="26"/>
      <c r="O956" s="19" t="str">
        <f t="shared" si="2"/>
        <v/>
      </c>
    </row>
    <row r="957">
      <c r="A957" s="22" t="s">
        <v>125</v>
      </c>
      <c r="B957" s="4" t="s">
        <v>31</v>
      </c>
      <c r="C957" s="3" t="s">
        <v>866</v>
      </c>
      <c r="D957" s="23" t="s">
        <v>1771</v>
      </c>
      <c r="E957" s="29">
        <v>45928.0</v>
      </c>
      <c r="F957" s="3">
        <v>10.0</v>
      </c>
      <c r="G957" s="3" t="s">
        <v>92</v>
      </c>
      <c r="H957" s="3" t="s">
        <v>1772</v>
      </c>
      <c r="I957" s="6"/>
      <c r="J957" s="6"/>
      <c r="K957" s="6"/>
      <c r="L957" s="6"/>
      <c r="M957" s="26"/>
      <c r="O957" s="19" t="str">
        <f t="shared" si="2"/>
        <v/>
      </c>
    </row>
    <row r="958">
      <c r="A958" s="22" t="s">
        <v>198</v>
      </c>
      <c r="B958" s="4" t="s">
        <v>109</v>
      </c>
      <c r="C958" s="3" t="s">
        <v>1773</v>
      </c>
      <c r="D958" s="23" t="s">
        <v>1774</v>
      </c>
      <c r="E958" s="29">
        <v>45928.0</v>
      </c>
      <c r="F958" s="3">
        <v>8.0</v>
      </c>
      <c r="G958" s="3" t="s">
        <v>92</v>
      </c>
      <c r="H958" s="3" t="s">
        <v>1775</v>
      </c>
      <c r="I958" s="6"/>
      <c r="J958" s="6"/>
      <c r="K958" s="6"/>
      <c r="L958" s="6"/>
      <c r="M958" s="26"/>
      <c r="O958" s="19" t="str">
        <f t="shared" si="2"/>
        <v/>
      </c>
    </row>
    <row r="959">
      <c r="A959" s="22" t="s">
        <v>510</v>
      </c>
      <c r="B959" s="4" t="s">
        <v>18</v>
      </c>
      <c r="C959" s="3" t="s">
        <v>1776</v>
      </c>
      <c r="D959" s="23" t="s">
        <v>1777</v>
      </c>
      <c r="E959" s="29">
        <v>45928.0</v>
      </c>
      <c r="F959" s="3">
        <v>10.0</v>
      </c>
      <c r="G959" s="3" t="s">
        <v>92</v>
      </c>
      <c r="H959" s="3" t="s">
        <v>1778</v>
      </c>
      <c r="I959" s="6"/>
      <c r="J959" s="6"/>
      <c r="K959" s="6"/>
      <c r="L959" s="6"/>
      <c r="M959" s="26"/>
      <c r="O959" s="19" t="str">
        <f t="shared" si="2"/>
        <v/>
      </c>
    </row>
    <row r="960">
      <c r="A960" s="22" t="s">
        <v>1582</v>
      </c>
      <c r="B960" s="4" t="s">
        <v>31</v>
      </c>
      <c r="C960" s="3" t="s">
        <v>1779</v>
      </c>
      <c r="D960" s="23" t="s">
        <v>1780</v>
      </c>
      <c r="E960" s="29">
        <v>45928.0</v>
      </c>
      <c r="F960" s="3">
        <v>6.0</v>
      </c>
      <c r="G960" s="3" t="s">
        <v>92</v>
      </c>
      <c r="H960" s="3" t="s">
        <v>1781</v>
      </c>
      <c r="I960" s="6"/>
      <c r="J960" s="6"/>
      <c r="K960" s="6"/>
      <c r="L960" s="6"/>
      <c r="M960" s="26"/>
      <c r="O960" s="19" t="str">
        <f t="shared" si="2"/>
        <v/>
      </c>
    </row>
    <row r="961">
      <c r="A961" s="22" t="s">
        <v>155</v>
      </c>
      <c r="B961" s="4" t="s">
        <v>18</v>
      </c>
      <c r="C961" s="3" t="s">
        <v>414</v>
      </c>
      <c r="D961" s="23" t="s">
        <v>1782</v>
      </c>
      <c r="E961" s="29">
        <v>45928.0</v>
      </c>
      <c r="F961" s="3">
        <v>8.0</v>
      </c>
      <c r="G961" s="3" t="s">
        <v>92</v>
      </c>
      <c r="H961" s="3" t="s">
        <v>1783</v>
      </c>
      <c r="I961" s="6"/>
      <c r="J961" s="6"/>
      <c r="K961" s="6"/>
      <c r="L961" s="6"/>
      <c r="M961" s="26"/>
      <c r="O961" s="19" t="str">
        <f t="shared" si="2"/>
        <v/>
      </c>
    </row>
    <row r="962">
      <c r="A962" s="22" t="s">
        <v>570</v>
      </c>
      <c r="B962" s="4" t="s">
        <v>18</v>
      </c>
      <c r="C962" s="3" t="s">
        <v>1784</v>
      </c>
      <c r="D962" s="23" t="s">
        <v>1785</v>
      </c>
      <c r="E962" s="29">
        <v>45928.0</v>
      </c>
      <c r="F962" s="3">
        <v>8.0</v>
      </c>
      <c r="G962" s="3" t="s">
        <v>92</v>
      </c>
      <c r="H962" s="3" t="s">
        <v>1786</v>
      </c>
      <c r="I962" s="6"/>
      <c r="J962" s="6"/>
      <c r="K962" s="6"/>
      <c r="L962" s="6"/>
      <c r="M962" s="26"/>
      <c r="O962" s="19" t="str">
        <f t="shared" si="2"/>
        <v/>
      </c>
    </row>
    <row r="963">
      <c r="A963" s="22" t="s">
        <v>817</v>
      </c>
      <c r="B963" s="4" t="s">
        <v>36</v>
      </c>
      <c r="C963" s="3" t="s">
        <v>1787</v>
      </c>
      <c r="D963" s="23" t="s">
        <v>1788</v>
      </c>
      <c r="E963" s="29">
        <v>45928.0</v>
      </c>
      <c r="F963" s="3">
        <v>8.0</v>
      </c>
      <c r="G963" s="3" t="s">
        <v>92</v>
      </c>
      <c r="H963" s="3" t="s">
        <v>1789</v>
      </c>
      <c r="I963" s="6"/>
      <c r="J963" s="6"/>
      <c r="K963" s="6"/>
      <c r="L963" s="6"/>
      <c r="M963" s="26"/>
      <c r="O963" s="19" t="str">
        <f t="shared" si="2"/>
        <v/>
      </c>
    </row>
    <row r="964">
      <c r="A964" s="22" t="s">
        <v>318</v>
      </c>
      <c r="B964" s="4" t="s">
        <v>18</v>
      </c>
      <c r="C964" s="3" t="s">
        <v>1790</v>
      </c>
      <c r="D964" s="23" t="s">
        <v>320</v>
      </c>
      <c r="E964" s="29">
        <v>45928.0</v>
      </c>
      <c r="F964" s="3">
        <v>8.0</v>
      </c>
      <c r="G964" s="3" t="s">
        <v>92</v>
      </c>
      <c r="H964" s="3" t="s">
        <v>1791</v>
      </c>
      <c r="I964" s="6"/>
      <c r="J964" s="6"/>
      <c r="K964" s="6"/>
      <c r="L964" s="6"/>
      <c r="M964" s="26"/>
      <c r="O964" s="19" t="str">
        <f t="shared" si="2"/>
        <v/>
      </c>
    </row>
    <row r="965">
      <c r="A965" s="22" t="s">
        <v>168</v>
      </c>
      <c r="B965" s="4" t="s">
        <v>45</v>
      </c>
      <c r="C965" s="3" t="s">
        <v>1792</v>
      </c>
      <c r="D965" s="23" t="s">
        <v>1793</v>
      </c>
      <c r="E965" s="29">
        <v>45928.0</v>
      </c>
      <c r="F965" s="3">
        <v>8.0</v>
      </c>
      <c r="G965" s="3" t="s">
        <v>92</v>
      </c>
      <c r="H965" s="3" t="s">
        <v>1794</v>
      </c>
      <c r="I965" s="6"/>
      <c r="J965" s="6"/>
      <c r="K965" s="6"/>
      <c r="L965" s="6"/>
      <c r="M965" s="26"/>
      <c r="O965" s="19" t="str">
        <f t="shared" si="2"/>
        <v/>
      </c>
    </row>
    <row r="966">
      <c r="A966" s="22" t="s">
        <v>44</v>
      </c>
      <c r="B966" s="4" t="s">
        <v>45</v>
      </c>
      <c r="C966" s="3" t="s">
        <v>797</v>
      </c>
      <c r="D966" s="23"/>
      <c r="E966" s="29">
        <v>45928.0</v>
      </c>
      <c r="F966" s="3">
        <v>5.0</v>
      </c>
      <c r="G966" s="3" t="s">
        <v>92</v>
      </c>
      <c r="H966" s="3" t="s">
        <v>1795</v>
      </c>
      <c r="I966" s="6"/>
      <c r="J966" s="6"/>
      <c r="K966" s="6"/>
      <c r="L966" s="6"/>
      <c r="M966" s="26"/>
      <c r="O966" s="19" t="str">
        <f t="shared" si="2"/>
        <v/>
      </c>
    </row>
    <row r="967">
      <c r="A967" s="22" t="s">
        <v>1582</v>
      </c>
      <c r="B967" s="4" t="s">
        <v>31</v>
      </c>
      <c r="C967" s="3" t="s">
        <v>1796</v>
      </c>
      <c r="D967" s="23"/>
      <c r="E967" s="29">
        <v>45928.0</v>
      </c>
      <c r="F967" s="3">
        <v>6.0</v>
      </c>
      <c r="G967" s="3" t="s">
        <v>92</v>
      </c>
      <c r="H967" s="3" t="s">
        <v>1797</v>
      </c>
      <c r="I967" s="6"/>
      <c r="J967" s="6"/>
      <c r="K967" s="6"/>
      <c r="L967" s="6"/>
      <c r="M967" s="26"/>
      <c r="O967" s="19" t="str">
        <f t="shared" si="2"/>
        <v/>
      </c>
    </row>
    <row r="968">
      <c r="A968" s="22" t="s">
        <v>44</v>
      </c>
      <c r="B968" s="4" t="s">
        <v>45</v>
      </c>
      <c r="C968" s="3">
        <v>6027.0</v>
      </c>
      <c r="D968" s="23"/>
      <c r="E968" s="29">
        <v>45928.0</v>
      </c>
      <c r="F968" s="3">
        <v>6.0</v>
      </c>
      <c r="G968" s="3" t="s">
        <v>92</v>
      </c>
      <c r="H968" s="3" t="s">
        <v>1798</v>
      </c>
      <c r="I968" s="6"/>
      <c r="J968" s="6"/>
      <c r="K968" s="6"/>
      <c r="L968" s="6"/>
      <c r="M968" s="26"/>
      <c r="O968" s="19" t="str">
        <f t="shared" si="2"/>
        <v/>
      </c>
    </row>
    <row r="969">
      <c r="A969" s="22" t="s">
        <v>57</v>
      </c>
      <c r="B969" s="4" t="s">
        <v>18</v>
      </c>
      <c r="C969" s="3" t="s">
        <v>58</v>
      </c>
      <c r="D969" s="23"/>
      <c r="E969" s="29">
        <v>45928.0</v>
      </c>
      <c r="F969" s="3">
        <v>6.0</v>
      </c>
      <c r="G969" s="3" t="s">
        <v>92</v>
      </c>
      <c r="H969" s="3" t="s">
        <v>1799</v>
      </c>
      <c r="I969" s="6"/>
      <c r="J969" s="6"/>
      <c r="K969" s="6"/>
      <c r="L969" s="6"/>
      <c r="M969" s="26"/>
      <c r="O969" s="19" t="str">
        <f t="shared" si="2"/>
        <v/>
      </c>
    </row>
    <row r="970">
      <c r="A970" s="22" t="s">
        <v>532</v>
      </c>
      <c r="B970" s="4" t="s">
        <v>18</v>
      </c>
      <c r="C970" s="3" t="s">
        <v>1800</v>
      </c>
      <c r="D970" s="23" t="s">
        <v>1801</v>
      </c>
      <c r="E970" s="29">
        <v>45928.0</v>
      </c>
      <c r="F970" s="3">
        <v>6.0</v>
      </c>
      <c r="G970" s="3" t="s">
        <v>92</v>
      </c>
      <c r="H970" s="3" t="s">
        <v>1802</v>
      </c>
      <c r="I970" s="6"/>
      <c r="J970" s="6"/>
      <c r="K970" s="6"/>
      <c r="L970" s="6"/>
      <c r="M970" s="26"/>
      <c r="O970" s="19" t="str">
        <f t="shared" si="2"/>
        <v/>
      </c>
    </row>
    <row r="971">
      <c r="A971" s="22" t="s">
        <v>158</v>
      </c>
      <c r="B971" s="4" t="s">
        <v>31</v>
      </c>
      <c r="C971" s="3" t="s">
        <v>1756</v>
      </c>
      <c r="D971" s="3" t="s">
        <v>1803</v>
      </c>
      <c r="E971" s="29" t="s">
        <v>1744</v>
      </c>
      <c r="F971" s="3" t="s">
        <v>27</v>
      </c>
      <c r="G971" s="3"/>
      <c r="H971" s="6"/>
      <c r="I971" s="6"/>
      <c r="J971" s="6"/>
      <c r="K971" s="6"/>
      <c r="L971" s="6"/>
      <c r="M971" s="26"/>
      <c r="O971" s="19" t="str">
        <f t="shared" si="2"/>
        <v/>
      </c>
    </row>
    <row r="972">
      <c r="A972" s="22" t="s">
        <v>1098</v>
      </c>
      <c r="B972" s="4" t="s">
        <v>18</v>
      </c>
      <c r="C972" s="3" t="s">
        <v>1249</v>
      </c>
      <c r="D972" s="3" t="s">
        <v>1804</v>
      </c>
      <c r="E972" s="29">
        <v>45928.0</v>
      </c>
      <c r="F972" s="3" t="s">
        <v>27</v>
      </c>
      <c r="G972" s="3" t="s">
        <v>129</v>
      </c>
      <c r="H972" s="6"/>
      <c r="I972" s="6"/>
      <c r="J972" s="6"/>
      <c r="K972" s="6"/>
      <c r="L972" s="6"/>
      <c r="M972" s="26"/>
      <c r="O972" s="19" t="str">
        <f t="shared" si="2"/>
        <v/>
      </c>
    </row>
    <row r="973">
      <c r="A973" s="22" t="s">
        <v>107</v>
      </c>
      <c r="B973" s="4" t="s">
        <v>18</v>
      </c>
      <c r="C973" s="3" t="s">
        <v>461</v>
      </c>
      <c r="D973" s="3" t="s">
        <v>1805</v>
      </c>
      <c r="E973" s="29">
        <v>45928.0</v>
      </c>
      <c r="F973" s="3" t="s">
        <v>27</v>
      </c>
      <c r="G973" s="3" t="s">
        <v>129</v>
      </c>
      <c r="H973" s="6"/>
      <c r="I973" s="6"/>
      <c r="J973" s="6"/>
      <c r="K973" s="6"/>
      <c r="L973" s="6"/>
      <c r="M973" s="26"/>
      <c r="O973" s="19" t="str">
        <f t="shared" si="2"/>
        <v/>
      </c>
    </row>
    <row r="974">
      <c r="A974" s="22" t="s">
        <v>1359</v>
      </c>
      <c r="B974" s="4" t="s">
        <v>45</v>
      </c>
      <c r="C974" s="3" t="s">
        <v>1806</v>
      </c>
      <c r="D974" s="3" t="s">
        <v>1807</v>
      </c>
      <c r="E974" s="29">
        <v>45928.0</v>
      </c>
      <c r="F974" s="3" t="s">
        <v>27</v>
      </c>
      <c r="G974" s="3" t="s">
        <v>129</v>
      </c>
      <c r="H974" s="6"/>
      <c r="I974" s="6"/>
      <c r="J974" s="6"/>
      <c r="K974" s="6"/>
      <c r="L974" s="6"/>
      <c r="M974" s="26"/>
      <c r="O974" s="19" t="str">
        <f t="shared" si="2"/>
        <v/>
      </c>
    </row>
    <row r="975">
      <c r="A975" s="22" t="s">
        <v>795</v>
      </c>
      <c r="B975" s="4" t="s">
        <v>109</v>
      </c>
      <c r="C975" s="3" t="s">
        <v>199</v>
      </c>
      <c r="D975" s="3" t="s">
        <v>1808</v>
      </c>
      <c r="E975" s="29">
        <v>45928.0</v>
      </c>
      <c r="F975" s="3" t="s">
        <v>27</v>
      </c>
      <c r="G975" s="3" t="s">
        <v>129</v>
      </c>
      <c r="H975" s="6"/>
      <c r="I975" s="6"/>
      <c r="J975" s="6"/>
      <c r="K975" s="6"/>
      <c r="L975" s="6"/>
      <c r="M975" s="26"/>
      <c r="O975" s="19" t="str">
        <f t="shared" si="2"/>
        <v/>
      </c>
    </row>
    <row r="976">
      <c r="A976" s="22" t="s">
        <v>744</v>
      </c>
      <c r="B976" s="4" t="s">
        <v>18</v>
      </c>
      <c r="C976" s="3" t="s">
        <v>1809</v>
      </c>
      <c r="D976" s="3" t="s">
        <v>1810</v>
      </c>
      <c r="E976" s="29">
        <v>45928.0</v>
      </c>
      <c r="F976" s="3" t="s">
        <v>27</v>
      </c>
      <c r="G976" s="3" t="s">
        <v>129</v>
      </c>
      <c r="H976" s="6"/>
      <c r="I976" s="6"/>
      <c r="J976" s="6"/>
      <c r="K976" s="6"/>
      <c r="L976" s="6"/>
      <c r="M976" s="26"/>
      <c r="O976" s="19" t="str">
        <f t="shared" si="2"/>
        <v/>
      </c>
    </row>
    <row r="977">
      <c r="A977" s="22" t="s">
        <v>69</v>
      </c>
      <c r="B977" s="4" t="s">
        <v>31</v>
      </c>
      <c r="C977" s="3">
        <v>4217.0</v>
      </c>
      <c r="D977" s="3" t="s">
        <v>1811</v>
      </c>
      <c r="E977" s="29">
        <v>45928.0</v>
      </c>
      <c r="F977" s="3" t="s">
        <v>27</v>
      </c>
      <c r="G977" s="3" t="s">
        <v>129</v>
      </c>
      <c r="H977" s="6"/>
      <c r="I977" s="6"/>
      <c r="J977" s="6"/>
      <c r="K977" s="6"/>
      <c r="L977" s="6"/>
      <c r="M977" s="26"/>
      <c r="O977" s="19" t="str">
        <f t="shared" si="2"/>
        <v/>
      </c>
    </row>
    <row r="978">
      <c r="A978" s="22" t="s">
        <v>276</v>
      </c>
      <c r="B978" s="4" t="s">
        <v>18</v>
      </c>
      <c r="C978" s="3">
        <v>25000.0</v>
      </c>
      <c r="D978" s="3" t="s">
        <v>1812</v>
      </c>
      <c r="E978" s="29">
        <v>45928.0</v>
      </c>
      <c r="F978" s="3" t="s">
        <v>27</v>
      </c>
      <c r="G978" s="3" t="s">
        <v>129</v>
      </c>
      <c r="H978" s="6"/>
      <c r="I978" s="6"/>
      <c r="J978" s="6"/>
      <c r="K978" s="6"/>
      <c r="L978" s="6"/>
      <c r="M978" s="26"/>
      <c r="O978" s="19" t="str">
        <f t="shared" si="2"/>
        <v/>
      </c>
    </row>
    <row r="979">
      <c r="A979" s="22" t="s">
        <v>246</v>
      </c>
      <c r="B979" s="4" t="s">
        <v>36</v>
      </c>
      <c r="C979" s="3" t="s">
        <v>1813</v>
      </c>
      <c r="D979" s="3" t="s">
        <v>1814</v>
      </c>
      <c r="E979" s="29">
        <v>45929.0</v>
      </c>
      <c r="F979" s="3" t="s">
        <v>27</v>
      </c>
      <c r="G979" s="3" t="s">
        <v>129</v>
      </c>
      <c r="H979" s="6"/>
      <c r="I979" s="6"/>
      <c r="J979" s="6"/>
      <c r="K979" s="6"/>
      <c r="L979" s="6"/>
      <c r="M979" s="26"/>
      <c r="O979" s="19" t="str">
        <f t="shared" si="2"/>
        <v/>
      </c>
    </row>
    <row r="980">
      <c r="A980" s="22" t="s">
        <v>202</v>
      </c>
      <c r="B980" s="4" t="s">
        <v>36</v>
      </c>
      <c r="C980" s="3" t="s">
        <v>1815</v>
      </c>
      <c r="D980" s="23"/>
      <c r="E980" s="29">
        <v>45929.0</v>
      </c>
      <c r="F980" s="3">
        <v>6.0</v>
      </c>
      <c r="G980" s="3" t="s">
        <v>92</v>
      </c>
      <c r="H980" s="3" t="s">
        <v>1816</v>
      </c>
      <c r="I980" s="6"/>
      <c r="J980" s="6"/>
      <c r="K980" s="6"/>
      <c r="L980" s="6"/>
      <c r="M980" s="26"/>
      <c r="O980" s="19" t="str">
        <f t="shared" si="2"/>
        <v/>
      </c>
    </row>
    <row r="981">
      <c r="A981" s="22" t="s">
        <v>61</v>
      </c>
      <c r="B981" s="4" t="s">
        <v>18</v>
      </c>
      <c r="C981" s="3" t="s">
        <v>1817</v>
      </c>
      <c r="D981" s="23" t="s">
        <v>1818</v>
      </c>
      <c r="E981" s="29">
        <v>45929.0</v>
      </c>
      <c r="F981" s="3">
        <v>8.0</v>
      </c>
      <c r="G981" s="3" t="s">
        <v>92</v>
      </c>
      <c r="H981" s="3" t="s">
        <v>1819</v>
      </c>
      <c r="I981" s="6"/>
      <c r="J981" s="6"/>
      <c r="K981" s="6"/>
      <c r="L981" s="6"/>
      <c r="M981" s="26"/>
      <c r="O981" s="19" t="str">
        <f t="shared" si="2"/>
        <v/>
      </c>
    </row>
    <row r="982">
      <c r="A982" s="22" t="s">
        <v>1582</v>
      </c>
      <c r="B982" s="4" t="s">
        <v>31</v>
      </c>
      <c r="C982" s="3" t="s">
        <v>1820</v>
      </c>
      <c r="D982" s="23"/>
      <c r="E982" s="29">
        <v>45929.0</v>
      </c>
      <c r="F982" s="3">
        <v>5.0</v>
      </c>
      <c r="G982" s="3" t="s">
        <v>92</v>
      </c>
      <c r="H982" s="3" t="s">
        <v>1821</v>
      </c>
      <c r="I982" s="6"/>
      <c r="J982" s="6"/>
      <c r="K982" s="6"/>
      <c r="L982" s="6"/>
      <c r="M982" s="26"/>
      <c r="O982" s="19" t="str">
        <f t="shared" si="2"/>
        <v/>
      </c>
    </row>
    <row r="983">
      <c r="A983" s="22" t="s">
        <v>1660</v>
      </c>
      <c r="B983" s="4" t="s">
        <v>36</v>
      </c>
      <c r="C983" s="3" t="s">
        <v>1822</v>
      </c>
      <c r="D983" s="23" t="s">
        <v>1823</v>
      </c>
      <c r="E983" s="29">
        <v>45929.0</v>
      </c>
      <c r="F983" s="3">
        <v>8.0</v>
      </c>
      <c r="G983" s="3" t="s">
        <v>92</v>
      </c>
      <c r="H983" s="3" t="s">
        <v>1824</v>
      </c>
      <c r="I983" s="6"/>
      <c r="J983" s="6"/>
      <c r="K983" s="6"/>
      <c r="L983" s="6"/>
      <c r="M983" s="26"/>
      <c r="O983" s="19" t="str">
        <f t="shared" si="2"/>
        <v/>
      </c>
    </row>
    <row r="984">
      <c r="A984" s="22" t="s">
        <v>1582</v>
      </c>
      <c r="B984" s="4" t="s">
        <v>31</v>
      </c>
      <c r="C984" s="3" t="s">
        <v>1820</v>
      </c>
      <c r="D984" s="23" t="s">
        <v>1825</v>
      </c>
      <c r="E984" s="29">
        <v>45929.0</v>
      </c>
      <c r="F984" s="3">
        <v>8.0</v>
      </c>
      <c r="G984" s="3" t="s">
        <v>92</v>
      </c>
      <c r="H984" s="3" t="s">
        <v>1826</v>
      </c>
      <c r="I984" s="6"/>
      <c r="J984" s="6"/>
      <c r="K984" s="6"/>
      <c r="L984" s="6"/>
      <c r="M984" s="26"/>
      <c r="O984" s="19" t="str">
        <f t="shared" si="2"/>
        <v/>
      </c>
    </row>
    <row r="985">
      <c r="A985" s="22" t="s">
        <v>276</v>
      </c>
      <c r="B985" s="4" t="s">
        <v>18</v>
      </c>
      <c r="C985" s="3" t="s">
        <v>998</v>
      </c>
      <c r="D985" s="23" t="s">
        <v>1827</v>
      </c>
      <c r="E985" s="29">
        <v>45929.0</v>
      </c>
      <c r="F985" s="3">
        <v>8.0</v>
      </c>
      <c r="G985" s="3" t="s">
        <v>92</v>
      </c>
      <c r="H985" s="3" t="s">
        <v>1828</v>
      </c>
      <c r="I985" s="6"/>
      <c r="J985" s="6"/>
      <c r="K985" s="6"/>
      <c r="L985" s="6"/>
      <c r="M985" s="26"/>
      <c r="O985" s="19" t="str">
        <f t="shared" si="2"/>
        <v/>
      </c>
    </row>
    <row r="986">
      <c r="A986" s="22" t="s">
        <v>113</v>
      </c>
      <c r="B986" s="4" t="s">
        <v>18</v>
      </c>
      <c r="C986" s="3" t="s">
        <v>963</v>
      </c>
      <c r="D986" s="23" t="s">
        <v>1829</v>
      </c>
      <c r="E986" s="29">
        <v>45929.0</v>
      </c>
      <c r="F986" s="3">
        <v>8.0</v>
      </c>
      <c r="G986" s="3" t="s">
        <v>92</v>
      </c>
      <c r="H986" s="3" t="s">
        <v>1830</v>
      </c>
      <c r="I986" s="6"/>
      <c r="J986" s="6"/>
      <c r="K986" s="6"/>
      <c r="L986" s="6"/>
      <c r="M986" s="26"/>
      <c r="O986" s="19" t="str">
        <f t="shared" si="2"/>
        <v/>
      </c>
    </row>
    <row r="987">
      <c r="A987" s="22" t="s">
        <v>112</v>
      </c>
      <c r="B987" s="4" t="s">
        <v>18</v>
      </c>
      <c r="C987" s="3" t="s">
        <v>425</v>
      </c>
      <c r="D987" s="23" t="s">
        <v>1831</v>
      </c>
      <c r="E987" s="29">
        <v>45929.0</v>
      </c>
      <c r="F987" s="3">
        <v>10.0</v>
      </c>
      <c r="G987" s="3" t="s">
        <v>92</v>
      </c>
      <c r="H987" s="3" t="s">
        <v>1832</v>
      </c>
      <c r="I987" s="6"/>
      <c r="J987" s="6"/>
      <c r="K987" s="6"/>
      <c r="L987" s="6"/>
      <c r="M987" s="26"/>
      <c r="O987" s="19" t="str">
        <f t="shared" si="2"/>
        <v/>
      </c>
    </row>
    <row r="988">
      <c r="A988" s="22" t="s">
        <v>510</v>
      </c>
      <c r="B988" s="4" t="s">
        <v>18</v>
      </c>
      <c r="C988" s="3" t="s">
        <v>937</v>
      </c>
      <c r="D988" s="23" t="s">
        <v>1777</v>
      </c>
      <c r="E988" s="29">
        <v>45929.0</v>
      </c>
      <c r="F988" s="3">
        <v>10.0</v>
      </c>
      <c r="G988" s="3" t="s">
        <v>92</v>
      </c>
      <c r="H988" s="3" t="s">
        <v>1833</v>
      </c>
      <c r="I988" s="6"/>
      <c r="J988" s="6"/>
      <c r="K988" s="6"/>
      <c r="L988" s="6"/>
      <c r="M988" s="26"/>
      <c r="O988" s="19" t="str">
        <f t="shared" si="2"/>
        <v/>
      </c>
    </row>
    <row r="989">
      <c r="A989" s="22" t="s">
        <v>276</v>
      </c>
      <c r="B989" s="4" t="s">
        <v>18</v>
      </c>
      <c r="C989" s="3" t="s">
        <v>1834</v>
      </c>
      <c r="D989" s="23" t="s">
        <v>1835</v>
      </c>
      <c r="E989" s="29">
        <v>45929.0</v>
      </c>
      <c r="F989" s="3">
        <v>8.0</v>
      </c>
      <c r="G989" s="3" t="s">
        <v>92</v>
      </c>
      <c r="H989" s="3" t="s">
        <v>1836</v>
      </c>
      <c r="I989" s="6"/>
      <c r="J989" s="6"/>
      <c r="K989" s="6"/>
      <c r="L989" s="6"/>
      <c r="M989" s="26"/>
      <c r="O989" s="19" t="str">
        <f t="shared" si="2"/>
        <v/>
      </c>
    </row>
    <row r="990">
      <c r="A990" s="22" t="s">
        <v>1582</v>
      </c>
      <c r="B990" s="4" t="s">
        <v>31</v>
      </c>
      <c r="C990" s="3" t="s">
        <v>1583</v>
      </c>
      <c r="D990" s="23" t="s">
        <v>1837</v>
      </c>
      <c r="E990" s="29">
        <v>45929.0</v>
      </c>
      <c r="F990" s="3">
        <v>8.0</v>
      </c>
      <c r="G990" s="3" t="s">
        <v>92</v>
      </c>
      <c r="H990" s="3" t="s">
        <v>1838</v>
      </c>
      <c r="I990" s="6"/>
      <c r="J990" s="6"/>
      <c r="K990" s="6"/>
      <c r="L990" s="6"/>
      <c r="M990" s="26"/>
      <c r="O990" s="19" t="str">
        <f t="shared" si="2"/>
        <v/>
      </c>
    </row>
    <row r="991">
      <c r="A991" s="22" t="s">
        <v>1255</v>
      </c>
      <c r="B991" s="4" t="s">
        <v>18</v>
      </c>
      <c r="C991" s="3" t="s">
        <v>259</v>
      </c>
      <c r="D991" s="23" t="s">
        <v>1839</v>
      </c>
      <c r="E991" s="29">
        <v>45929.0</v>
      </c>
      <c r="F991" s="3">
        <v>8.0</v>
      </c>
      <c r="G991" s="3" t="s">
        <v>92</v>
      </c>
      <c r="H991" s="3" t="s">
        <v>1840</v>
      </c>
      <c r="I991" s="6"/>
      <c r="J991" s="6"/>
      <c r="K991" s="6"/>
      <c r="L991" s="6"/>
      <c r="M991" s="26"/>
      <c r="O991" s="19" t="str">
        <f t="shared" si="2"/>
        <v/>
      </c>
    </row>
    <row r="992">
      <c r="A992" s="22" t="s">
        <v>225</v>
      </c>
      <c r="B992" s="4" t="s">
        <v>36</v>
      </c>
      <c r="C992" s="3" t="s">
        <v>1753</v>
      </c>
      <c r="D992" s="23" t="s">
        <v>1754</v>
      </c>
      <c r="E992" s="29">
        <v>45929.0</v>
      </c>
      <c r="F992" s="3">
        <v>6.0</v>
      </c>
      <c r="G992" s="3" t="s">
        <v>92</v>
      </c>
      <c r="H992" s="3" t="s">
        <v>1755</v>
      </c>
      <c r="I992" s="6"/>
      <c r="J992" s="6"/>
      <c r="K992" s="6"/>
      <c r="L992" s="6"/>
      <c r="M992" s="26"/>
      <c r="O992" s="19" t="str">
        <f t="shared" si="2"/>
        <v/>
      </c>
    </row>
    <row r="993">
      <c r="A993" s="22" t="s">
        <v>276</v>
      </c>
      <c r="B993" s="4" t="s">
        <v>18</v>
      </c>
      <c r="C993" s="3" t="s">
        <v>998</v>
      </c>
      <c r="D993" s="23" t="s">
        <v>1841</v>
      </c>
      <c r="E993" s="29">
        <v>45929.0</v>
      </c>
      <c r="F993" s="3">
        <v>8.0</v>
      </c>
      <c r="G993" s="3" t="s">
        <v>92</v>
      </c>
      <c r="H993" s="3" t="s">
        <v>1842</v>
      </c>
      <c r="I993" s="6"/>
      <c r="J993" s="6"/>
      <c r="K993" s="6"/>
      <c r="L993" s="6"/>
      <c r="M993" s="26"/>
      <c r="O993" s="19" t="str">
        <f t="shared" si="2"/>
        <v/>
      </c>
    </row>
    <row r="994">
      <c r="A994" s="22" t="s">
        <v>158</v>
      </c>
      <c r="B994" s="4" t="s">
        <v>31</v>
      </c>
      <c r="C994" s="3" t="s">
        <v>911</v>
      </c>
      <c r="D994" s="23" t="s">
        <v>1843</v>
      </c>
      <c r="E994" s="29">
        <v>45929.0</v>
      </c>
      <c r="F994" s="3">
        <v>8.0</v>
      </c>
      <c r="G994" s="3" t="s">
        <v>92</v>
      </c>
      <c r="H994" s="3" t="s">
        <v>1844</v>
      </c>
      <c r="I994" s="6"/>
      <c r="J994" s="6"/>
      <c r="K994" s="6"/>
      <c r="L994" s="6"/>
      <c r="M994" s="26"/>
      <c r="O994" s="19" t="str">
        <f t="shared" si="2"/>
        <v/>
      </c>
    </row>
    <row r="995">
      <c r="A995" s="22" t="s">
        <v>184</v>
      </c>
      <c r="B995" s="4" t="s">
        <v>18</v>
      </c>
      <c r="C995" s="3" t="s">
        <v>1845</v>
      </c>
      <c r="D995" s="23" t="s">
        <v>1846</v>
      </c>
      <c r="E995" s="29">
        <v>45929.0</v>
      </c>
      <c r="F995" s="3">
        <v>8.0</v>
      </c>
      <c r="G995" s="3" t="s">
        <v>92</v>
      </c>
      <c r="H995" s="3" t="s">
        <v>1847</v>
      </c>
      <c r="I995" s="6"/>
      <c r="J995" s="6"/>
      <c r="K995" s="6"/>
      <c r="L995" s="6"/>
      <c r="M995" s="26"/>
      <c r="O995" s="19" t="str">
        <f t="shared" si="2"/>
        <v/>
      </c>
    </row>
    <row r="996">
      <c r="A996" s="22" t="s">
        <v>120</v>
      </c>
      <c r="B996" s="4" t="s">
        <v>31</v>
      </c>
      <c r="C996" s="3" t="s">
        <v>1848</v>
      </c>
      <c r="D996" s="23" t="s">
        <v>1849</v>
      </c>
      <c r="E996" s="29">
        <v>45929.0</v>
      </c>
      <c r="F996" s="3">
        <v>8.0</v>
      </c>
      <c r="G996" s="3" t="s">
        <v>92</v>
      </c>
      <c r="H996" s="3" t="s">
        <v>1850</v>
      </c>
      <c r="I996" s="6"/>
      <c r="J996" s="6"/>
      <c r="K996" s="6"/>
      <c r="L996" s="6"/>
      <c r="M996" s="26"/>
      <c r="O996" s="19" t="str">
        <f t="shared" si="2"/>
        <v/>
      </c>
    </row>
    <row r="997">
      <c r="A997" s="22" t="s">
        <v>125</v>
      </c>
      <c r="B997" s="4" t="s">
        <v>31</v>
      </c>
      <c r="C997" s="3" t="s">
        <v>1851</v>
      </c>
      <c r="D997" s="23" t="s">
        <v>1852</v>
      </c>
      <c r="E997" s="29">
        <v>45929.0</v>
      </c>
      <c r="F997" s="3">
        <v>6.0</v>
      </c>
      <c r="G997" s="3" t="s">
        <v>92</v>
      </c>
      <c r="H997" s="3" t="s">
        <v>1853</v>
      </c>
      <c r="I997" s="6"/>
      <c r="J997" s="6"/>
      <c r="K997" s="6"/>
      <c r="L997" s="6"/>
      <c r="M997" s="26"/>
      <c r="O997" s="19" t="str">
        <f t="shared" si="2"/>
        <v/>
      </c>
    </row>
    <row r="998">
      <c r="A998" s="22" t="s">
        <v>576</v>
      </c>
      <c r="B998" s="4" t="s">
        <v>31</v>
      </c>
      <c r="C998" s="3" t="s">
        <v>658</v>
      </c>
      <c r="D998" s="23" t="s">
        <v>1854</v>
      </c>
      <c r="E998" s="29">
        <v>45929.0</v>
      </c>
      <c r="F998" s="3">
        <v>8.0</v>
      </c>
      <c r="G998" s="3" t="s">
        <v>92</v>
      </c>
      <c r="H998" s="3" t="s">
        <v>1855</v>
      </c>
      <c r="I998" s="6"/>
      <c r="J998" s="6"/>
      <c r="K998" s="6"/>
      <c r="L998" s="6"/>
      <c r="M998" s="26"/>
      <c r="O998" s="19" t="str">
        <f t="shared" si="2"/>
        <v/>
      </c>
    </row>
    <row r="999">
      <c r="A999" s="22" t="s">
        <v>1055</v>
      </c>
      <c r="B999" s="4" t="s">
        <v>31</v>
      </c>
      <c r="C999" s="3" t="s">
        <v>1300</v>
      </c>
      <c r="D999" s="23" t="s">
        <v>1856</v>
      </c>
      <c r="E999" s="29">
        <v>45929.0</v>
      </c>
      <c r="F999" s="3">
        <v>6.0</v>
      </c>
      <c r="G999" s="3" t="s">
        <v>92</v>
      </c>
      <c r="H999" s="3" t="s">
        <v>1857</v>
      </c>
      <c r="I999" s="6"/>
      <c r="J999" s="6"/>
      <c r="K999" s="6"/>
      <c r="L999" s="6"/>
      <c r="M999" s="26"/>
      <c r="O999" s="19" t="str">
        <f t="shared" si="2"/>
        <v/>
      </c>
    </row>
    <row r="1000">
      <c r="A1000" s="22" t="s">
        <v>155</v>
      </c>
      <c r="B1000" s="4" t="s">
        <v>18</v>
      </c>
      <c r="C1000" s="3" t="s">
        <v>414</v>
      </c>
      <c r="D1000" s="23" t="s">
        <v>1858</v>
      </c>
      <c r="E1000" s="29">
        <v>45929.0</v>
      </c>
      <c r="F1000" s="3">
        <v>10.0</v>
      </c>
      <c r="G1000" s="3" t="s">
        <v>92</v>
      </c>
      <c r="H1000" s="3" t="s">
        <v>1859</v>
      </c>
      <c r="I1000" s="6"/>
      <c r="J1000" s="6"/>
      <c r="K1000" s="6"/>
      <c r="L1000" s="6"/>
      <c r="M1000" s="26"/>
      <c r="O1000" s="19" t="str">
        <f t="shared" si="2"/>
        <v/>
      </c>
    </row>
    <row r="1001">
      <c r="A1001" s="22" t="s">
        <v>184</v>
      </c>
      <c r="B1001" s="4" t="s">
        <v>18</v>
      </c>
      <c r="C1001" s="3" t="s">
        <v>1860</v>
      </c>
      <c r="D1001" s="23" t="s">
        <v>1861</v>
      </c>
      <c r="E1001" s="29">
        <v>45929.0</v>
      </c>
      <c r="F1001" s="3">
        <v>8.0</v>
      </c>
      <c r="G1001" s="3" t="s">
        <v>92</v>
      </c>
      <c r="H1001" s="3" t="s">
        <v>1862</v>
      </c>
      <c r="I1001" s="6"/>
      <c r="J1001" s="6"/>
      <c r="K1001" s="6"/>
      <c r="L1001" s="6"/>
      <c r="M1001" s="26"/>
      <c r="O1001" s="19" t="str">
        <f t="shared" si="2"/>
        <v/>
      </c>
    </row>
    <row r="1002">
      <c r="A1002" s="22" t="s">
        <v>112</v>
      </c>
      <c r="B1002" s="4" t="s">
        <v>18</v>
      </c>
      <c r="C1002" s="3" t="s">
        <v>1863</v>
      </c>
      <c r="D1002" s="23" t="s">
        <v>1864</v>
      </c>
      <c r="E1002" s="29">
        <v>45929.0</v>
      </c>
      <c r="F1002" s="3">
        <v>6.0</v>
      </c>
      <c r="G1002" s="3" t="s">
        <v>92</v>
      </c>
      <c r="H1002" s="3" t="s">
        <v>1865</v>
      </c>
      <c r="I1002" s="6"/>
      <c r="J1002" s="6"/>
      <c r="K1002" s="6"/>
      <c r="L1002" s="6"/>
      <c r="M1002" s="26"/>
      <c r="O1002" s="19" t="str">
        <f t="shared" si="2"/>
        <v/>
      </c>
    </row>
    <row r="1003">
      <c r="A1003" s="22" t="s">
        <v>246</v>
      </c>
      <c r="B1003" s="4" t="s">
        <v>36</v>
      </c>
      <c r="C1003" s="3" t="s">
        <v>1448</v>
      </c>
      <c r="D1003" s="23" t="s">
        <v>1866</v>
      </c>
      <c r="E1003" s="29">
        <v>45929.0</v>
      </c>
      <c r="F1003" s="3">
        <v>6.0</v>
      </c>
      <c r="G1003" s="3" t="s">
        <v>92</v>
      </c>
      <c r="H1003" s="3" t="s">
        <v>1867</v>
      </c>
      <c r="I1003" s="6"/>
      <c r="J1003" s="6"/>
      <c r="K1003" s="6"/>
      <c r="L1003" s="6"/>
      <c r="M1003" s="26"/>
      <c r="O1003" s="19" t="str">
        <f t="shared" si="2"/>
        <v/>
      </c>
    </row>
    <row r="1004">
      <c r="A1004" s="22" t="s">
        <v>232</v>
      </c>
      <c r="B1004" s="4" t="s">
        <v>18</v>
      </c>
      <c r="C1004" s="3" t="s">
        <v>1868</v>
      </c>
      <c r="D1004" s="23" t="s">
        <v>1869</v>
      </c>
      <c r="E1004" s="29">
        <v>45929.0</v>
      </c>
      <c r="F1004" s="3">
        <v>8.0</v>
      </c>
      <c r="G1004" s="3" t="s">
        <v>92</v>
      </c>
      <c r="H1004" s="3" t="s">
        <v>1870</v>
      </c>
      <c r="I1004" s="6"/>
      <c r="J1004" s="6"/>
      <c r="K1004" s="6"/>
      <c r="L1004" s="6"/>
      <c r="M1004" s="26"/>
      <c r="O1004" s="19" t="str">
        <f t="shared" si="2"/>
        <v/>
      </c>
    </row>
    <row r="1005">
      <c r="A1005" s="22" t="s">
        <v>244</v>
      </c>
      <c r="B1005" s="4" t="s">
        <v>18</v>
      </c>
      <c r="C1005" s="3" t="s">
        <v>1457</v>
      </c>
      <c r="D1005" s="23" t="s">
        <v>1871</v>
      </c>
      <c r="E1005" s="29">
        <v>45929.0</v>
      </c>
      <c r="F1005" s="3">
        <v>8.0</v>
      </c>
      <c r="G1005" s="3" t="s">
        <v>92</v>
      </c>
      <c r="H1005" s="3" t="s">
        <v>1872</v>
      </c>
      <c r="I1005" s="6"/>
      <c r="J1005" s="6"/>
      <c r="K1005" s="6"/>
      <c r="L1005" s="6"/>
      <c r="M1005" s="26"/>
      <c r="O1005" s="19" t="str">
        <f t="shared" si="2"/>
        <v/>
      </c>
    </row>
    <row r="1006">
      <c r="A1006" s="22" t="s">
        <v>1582</v>
      </c>
      <c r="B1006" s="4" t="s">
        <v>31</v>
      </c>
      <c r="C1006" s="3" t="s">
        <v>1670</v>
      </c>
      <c r="D1006" s="3" t="s">
        <v>1873</v>
      </c>
      <c r="E1006" s="29">
        <v>45929.0</v>
      </c>
      <c r="F1006" s="3" t="s">
        <v>27</v>
      </c>
      <c r="G1006" s="3" t="s">
        <v>129</v>
      </c>
      <c r="H1006" s="6"/>
      <c r="I1006" s="6"/>
      <c r="J1006" s="6"/>
      <c r="K1006" s="6"/>
      <c r="L1006" s="6"/>
      <c r="M1006" s="26"/>
      <c r="O1006" s="19" t="str">
        <f t="shared" si="2"/>
        <v/>
      </c>
    </row>
    <row r="1007">
      <c r="A1007" s="22" t="s">
        <v>113</v>
      </c>
      <c r="B1007" s="4" t="s">
        <v>18</v>
      </c>
      <c r="C1007" s="3" t="s">
        <v>1874</v>
      </c>
      <c r="D1007" s="3" t="s">
        <v>1875</v>
      </c>
      <c r="E1007" s="29">
        <v>45930.0</v>
      </c>
      <c r="F1007" s="3" t="s">
        <v>27</v>
      </c>
      <c r="G1007" s="3" t="s">
        <v>129</v>
      </c>
      <c r="H1007" s="6"/>
      <c r="I1007" s="6"/>
      <c r="J1007" s="6"/>
      <c r="K1007" s="6"/>
      <c r="L1007" s="6"/>
      <c r="M1007" s="26"/>
      <c r="O1007" s="19" t="str">
        <f t="shared" si="2"/>
        <v/>
      </c>
    </row>
    <row r="1008">
      <c r="A1008" s="22" t="s">
        <v>113</v>
      </c>
      <c r="B1008" s="4" t="s">
        <v>18</v>
      </c>
      <c r="C1008" s="3" t="s">
        <v>1876</v>
      </c>
      <c r="D1008" s="3" t="s">
        <v>1877</v>
      </c>
      <c r="E1008" s="29" t="s">
        <v>1878</v>
      </c>
      <c r="F1008" s="3" t="s">
        <v>27</v>
      </c>
      <c r="G1008" s="3"/>
      <c r="H1008" s="6"/>
      <c r="I1008" s="6"/>
      <c r="J1008" s="6"/>
      <c r="K1008" s="6"/>
      <c r="L1008" s="6"/>
      <c r="M1008" s="26"/>
      <c r="O1008" s="19" t="str">
        <f t="shared" si="2"/>
        <v/>
      </c>
    </row>
    <row r="1009">
      <c r="A1009" s="22" t="s">
        <v>57</v>
      </c>
      <c r="B1009" s="4" t="s">
        <v>18</v>
      </c>
      <c r="C1009" s="3" t="s">
        <v>1879</v>
      </c>
      <c r="D1009" s="3" t="s">
        <v>1880</v>
      </c>
      <c r="E1009" s="29">
        <v>45930.0</v>
      </c>
      <c r="F1009" s="3" t="s">
        <v>27</v>
      </c>
      <c r="G1009" s="3" t="s">
        <v>129</v>
      </c>
      <c r="H1009" s="6"/>
      <c r="I1009" s="6"/>
      <c r="J1009" s="6"/>
      <c r="K1009" s="6"/>
      <c r="L1009" s="6"/>
      <c r="M1009" s="26"/>
      <c r="O1009" s="19" t="str">
        <f t="shared" si="2"/>
        <v/>
      </c>
    </row>
    <row r="1010">
      <c r="A1010" s="22" t="s">
        <v>107</v>
      </c>
      <c r="B1010" s="4" t="s">
        <v>18</v>
      </c>
      <c r="C1010" s="3" t="s">
        <v>627</v>
      </c>
      <c r="D1010" s="23" t="s">
        <v>1881</v>
      </c>
      <c r="E1010" s="29">
        <v>45930.0</v>
      </c>
      <c r="F1010" s="3">
        <v>8.0</v>
      </c>
      <c r="G1010" s="3" t="s">
        <v>92</v>
      </c>
      <c r="H1010" s="3" t="s">
        <v>1882</v>
      </c>
      <c r="I1010" s="6"/>
      <c r="J1010" s="6"/>
      <c r="K1010" s="6"/>
      <c r="L1010" s="6"/>
      <c r="M1010" s="26"/>
      <c r="O1010" s="19" t="str">
        <f t="shared" si="2"/>
        <v/>
      </c>
    </row>
    <row r="1011">
      <c r="A1011" s="22" t="s">
        <v>120</v>
      </c>
      <c r="B1011" s="4" t="s">
        <v>31</v>
      </c>
      <c r="C1011" s="3" t="s">
        <v>1703</v>
      </c>
      <c r="D1011" s="23" t="s">
        <v>1883</v>
      </c>
      <c r="E1011" s="29">
        <v>45930.0</v>
      </c>
      <c r="F1011" s="3">
        <v>6.0</v>
      </c>
      <c r="G1011" s="3" t="s">
        <v>92</v>
      </c>
      <c r="H1011" s="3" t="s">
        <v>1884</v>
      </c>
      <c r="I1011" s="6"/>
      <c r="J1011" s="6"/>
      <c r="K1011" s="6"/>
      <c r="L1011" s="6"/>
      <c r="M1011" s="26"/>
      <c r="O1011" s="19" t="str">
        <f t="shared" si="2"/>
        <v/>
      </c>
    </row>
    <row r="1012">
      <c r="A1012" s="22" t="s">
        <v>244</v>
      </c>
      <c r="B1012" s="4" t="s">
        <v>18</v>
      </c>
      <c r="C1012" s="3" t="s">
        <v>344</v>
      </c>
      <c r="D1012" s="23" t="s">
        <v>1885</v>
      </c>
      <c r="E1012" s="29">
        <v>45930.0</v>
      </c>
      <c r="F1012" s="3">
        <v>6.0</v>
      </c>
      <c r="G1012" s="3" t="s">
        <v>92</v>
      </c>
      <c r="H1012" s="3" t="s">
        <v>1886</v>
      </c>
      <c r="I1012" s="6"/>
      <c r="J1012" s="6"/>
      <c r="K1012" s="6"/>
      <c r="L1012" s="6"/>
      <c r="M1012" s="26"/>
      <c r="O1012" s="19" t="str">
        <f t="shared" si="2"/>
        <v/>
      </c>
    </row>
    <row r="1013">
      <c r="A1013" s="22" t="s">
        <v>945</v>
      </c>
      <c r="B1013" s="4" t="s">
        <v>18</v>
      </c>
      <c r="C1013" s="3" t="s">
        <v>1887</v>
      </c>
      <c r="D1013" s="23" t="s">
        <v>1888</v>
      </c>
      <c r="E1013" s="29">
        <v>45930.0</v>
      </c>
      <c r="F1013" s="3">
        <v>8.0</v>
      </c>
      <c r="G1013" s="3" t="s">
        <v>92</v>
      </c>
      <c r="H1013" s="3" t="s">
        <v>1889</v>
      </c>
      <c r="I1013" s="6"/>
      <c r="J1013" s="6"/>
      <c r="K1013" s="6"/>
      <c r="L1013" s="6"/>
      <c r="M1013" s="26"/>
      <c r="O1013" s="19" t="str">
        <f t="shared" si="2"/>
        <v/>
      </c>
    </row>
    <row r="1014">
      <c r="A1014" s="22" t="s">
        <v>225</v>
      </c>
      <c r="B1014" s="4" t="s">
        <v>36</v>
      </c>
      <c r="C1014" s="3" t="s">
        <v>857</v>
      </c>
      <c r="D1014" s="23" t="s">
        <v>1890</v>
      </c>
      <c r="E1014" s="29">
        <v>45930.0</v>
      </c>
      <c r="F1014" s="3">
        <v>6.0</v>
      </c>
      <c r="G1014" s="3" t="s">
        <v>92</v>
      </c>
      <c r="H1014" s="3" t="s">
        <v>1891</v>
      </c>
      <c r="I1014" s="6"/>
      <c r="J1014" s="6"/>
      <c r="K1014" s="6"/>
      <c r="L1014" s="6"/>
      <c r="M1014" s="26"/>
      <c r="O1014" s="19" t="str">
        <f t="shared" si="2"/>
        <v/>
      </c>
    </row>
    <row r="1015">
      <c r="A1015" s="22" t="s">
        <v>1892</v>
      </c>
      <c r="B1015" s="4" t="s">
        <v>18</v>
      </c>
      <c r="C1015" s="3" t="s">
        <v>1052</v>
      </c>
      <c r="D1015" s="23" t="s">
        <v>1893</v>
      </c>
      <c r="E1015" s="29">
        <v>45930.0</v>
      </c>
      <c r="F1015" s="3">
        <v>6.0</v>
      </c>
      <c r="G1015" s="3" t="s">
        <v>92</v>
      </c>
      <c r="H1015" s="3" t="s">
        <v>1894</v>
      </c>
      <c r="I1015" s="6"/>
      <c r="J1015" s="6"/>
      <c r="K1015" s="6"/>
      <c r="L1015" s="6"/>
      <c r="M1015" s="26"/>
      <c r="O1015" s="19" t="str">
        <f t="shared" si="2"/>
        <v/>
      </c>
    </row>
    <row r="1016">
      <c r="A1016" s="22" t="s">
        <v>265</v>
      </c>
      <c r="B1016" s="4" t="s">
        <v>18</v>
      </c>
      <c r="C1016" s="3" t="s">
        <v>515</v>
      </c>
      <c r="D1016" s="23" t="s">
        <v>1895</v>
      </c>
      <c r="E1016" s="29">
        <v>45930.0</v>
      </c>
      <c r="F1016" s="3">
        <v>8.0</v>
      </c>
      <c r="G1016" s="3" t="s">
        <v>92</v>
      </c>
      <c r="H1016" s="3" t="s">
        <v>1896</v>
      </c>
      <c r="I1016" s="6"/>
      <c r="J1016" s="6"/>
      <c r="K1016" s="6"/>
      <c r="L1016" s="6"/>
      <c r="M1016" s="26"/>
      <c r="O1016" s="19" t="str">
        <f t="shared" si="2"/>
        <v/>
      </c>
    </row>
    <row r="1017">
      <c r="A1017" s="22" t="s">
        <v>1892</v>
      </c>
      <c r="B1017" s="4" t="s">
        <v>18</v>
      </c>
      <c r="C1017" s="3" t="s">
        <v>1897</v>
      </c>
      <c r="D1017" s="23" t="s">
        <v>1898</v>
      </c>
      <c r="E1017" s="29">
        <v>45930.0</v>
      </c>
      <c r="F1017" s="3">
        <v>6.0</v>
      </c>
      <c r="G1017" s="3" t="s">
        <v>92</v>
      </c>
      <c r="H1017" s="3" t="s">
        <v>1899</v>
      </c>
      <c r="I1017" s="6"/>
      <c r="J1017" s="6"/>
      <c r="K1017" s="6"/>
      <c r="L1017" s="6"/>
      <c r="M1017" s="26"/>
      <c r="O1017" s="19" t="str">
        <f t="shared" si="2"/>
        <v/>
      </c>
    </row>
    <row r="1018">
      <c r="A1018" s="22" t="s">
        <v>112</v>
      </c>
      <c r="B1018" s="4" t="s">
        <v>18</v>
      </c>
      <c r="C1018" s="3" t="s">
        <v>1900</v>
      </c>
      <c r="D1018" s="23" t="s">
        <v>1901</v>
      </c>
      <c r="E1018" s="29">
        <v>45930.0</v>
      </c>
      <c r="F1018" s="3">
        <v>6.0</v>
      </c>
      <c r="G1018" s="3" t="s">
        <v>92</v>
      </c>
      <c r="H1018" s="3" t="s">
        <v>1902</v>
      </c>
      <c r="I1018" s="6"/>
      <c r="J1018" s="6"/>
      <c r="K1018" s="6"/>
      <c r="L1018" s="6"/>
      <c r="M1018" s="26"/>
      <c r="O1018" s="19" t="str">
        <f t="shared" si="2"/>
        <v/>
      </c>
    </row>
    <row r="1019">
      <c r="A1019" s="22" t="s">
        <v>77</v>
      </c>
      <c r="B1019" s="4" t="s">
        <v>18</v>
      </c>
      <c r="C1019" s="3" t="s">
        <v>1903</v>
      </c>
      <c r="D1019" s="23"/>
      <c r="E1019" s="29">
        <v>45930.0</v>
      </c>
      <c r="F1019" s="3">
        <v>6.0</v>
      </c>
      <c r="G1019" s="3" t="s">
        <v>92</v>
      </c>
      <c r="H1019" s="3" t="s">
        <v>1904</v>
      </c>
      <c r="I1019" s="6"/>
      <c r="J1019" s="6"/>
      <c r="K1019" s="6"/>
      <c r="L1019" s="6"/>
      <c r="M1019" s="26"/>
      <c r="O1019" s="19" t="str">
        <f t="shared" si="2"/>
        <v/>
      </c>
    </row>
    <row r="1020">
      <c r="A1020" s="22" t="s">
        <v>120</v>
      </c>
      <c r="B1020" s="4" t="s">
        <v>31</v>
      </c>
      <c r="C1020" s="3" t="s">
        <v>239</v>
      </c>
      <c r="D1020" s="23" t="s">
        <v>1905</v>
      </c>
      <c r="E1020" s="29">
        <v>45930.0</v>
      </c>
      <c r="F1020" s="3">
        <v>8.0</v>
      </c>
      <c r="G1020" s="3" t="s">
        <v>92</v>
      </c>
      <c r="H1020" s="3" t="s">
        <v>1906</v>
      </c>
      <c r="I1020" s="6"/>
      <c r="J1020" s="6"/>
      <c r="K1020" s="6"/>
      <c r="L1020" s="6"/>
      <c r="M1020" s="26"/>
      <c r="O1020" s="19" t="str">
        <f t="shared" si="2"/>
        <v/>
      </c>
    </row>
    <row r="1021">
      <c r="A1021" s="22" t="s">
        <v>795</v>
      </c>
      <c r="B1021" s="4" t="s">
        <v>109</v>
      </c>
      <c r="C1021" s="3" t="s">
        <v>828</v>
      </c>
      <c r="D1021" s="3" t="s">
        <v>1907</v>
      </c>
      <c r="E1021" s="29">
        <v>45930.0</v>
      </c>
      <c r="F1021" s="3" t="s">
        <v>27</v>
      </c>
      <c r="G1021" s="3" t="s">
        <v>129</v>
      </c>
      <c r="H1021" s="6"/>
      <c r="I1021" s="6"/>
      <c r="J1021" s="6"/>
      <c r="K1021" s="6"/>
      <c r="L1021" s="6"/>
      <c r="M1021" s="26"/>
      <c r="O1021" s="19" t="str">
        <f t="shared" si="2"/>
        <v/>
      </c>
    </row>
    <row r="1022">
      <c r="A1022" s="22" t="s">
        <v>232</v>
      </c>
      <c r="B1022" s="4" t="s">
        <v>18</v>
      </c>
      <c r="C1022" s="3" t="s">
        <v>545</v>
      </c>
      <c r="D1022" s="3" t="s">
        <v>1908</v>
      </c>
      <c r="E1022" s="29" t="s">
        <v>1878</v>
      </c>
      <c r="F1022" s="3" t="s">
        <v>27</v>
      </c>
      <c r="G1022" s="3"/>
      <c r="H1022" s="6"/>
      <c r="I1022" s="6"/>
      <c r="J1022" s="6"/>
      <c r="K1022" s="6"/>
      <c r="L1022" s="6"/>
      <c r="M1022" s="26"/>
      <c r="O1022" s="19" t="str">
        <f t="shared" si="2"/>
        <v/>
      </c>
    </row>
    <row r="1023">
      <c r="A1023" s="22" t="s">
        <v>573</v>
      </c>
      <c r="B1023" s="4" t="s">
        <v>31</v>
      </c>
      <c r="C1023" s="3" t="s">
        <v>1909</v>
      </c>
      <c r="D1023" s="23" t="s">
        <v>1910</v>
      </c>
      <c r="E1023" s="29">
        <v>45931.0</v>
      </c>
      <c r="F1023" s="3">
        <v>8.0</v>
      </c>
      <c r="G1023" s="3" t="s">
        <v>92</v>
      </c>
      <c r="H1023" s="3" t="s">
        <v>1911</v>
      </c>
      <c r="I1023" s="6"/>
      <c r="J1023" s="6"/>
      <c r="K1023" s="6"/>
      <c r="L1023" s="6"/>
      <c r="M1023" s="26"/>
      <c r="O1023" s="19" t="str">
        <f t="shared" si="2"/>
        <v/>
      </c>
    </row>
    <row r="1024">
      <c r="A1024" s="22" t="s">
        <v>291</v>
      </c>
      <c r="B1024" s="4" t="s">
        <v>31</v>
      </c>
      <c r="C1024" s="3" t="s">
        <v>287</v>
      </c>
      <c r="D1024" s="23" t="s">
        <v>1912</v>
      </c>
      <c r="E1024" s="29">
        <v>45931.0</v>
      </c>
      <c r="F1024" s="3">
        <v>6.0</v>
      </c>
      <c r="G1024" s="3" t="s">
        <v>92</v>
      </c>
      <c r="H1024" s="3" t="s">
        <v>1913</v>
      </c>
      <c r="I1024" s="6"/>
      <c r="J1024" s="6"/>
      <c r="K1024" s="6"/>
      <c r="L1024" s="6"/>
      <c r="M1024" s="26"/>
      <c r="O1024" s="19" t="str">
        <f t="shared" si="2"/>
        <v/>
      </c>
    </row>
    <row r="1025">
      <c r="A1025" s="22" t="s">
        <v>532</v>
      </c>
      <c r="B1025" s="4" t="s">
        <v>18</v>
      </c>
      <c r="C1025" s="3" t="s">
        <v>1914</v>
      </c>
      <c r="D1025" s="23" t="s">
        <v>1915</v>
      </c>
      <c r="E1025" s="29">
        <v>45931.0</v>
      </c>
      <c r="F1025" s="3">
        <v>8.0</v>
      </c>
      <c r="G1025" s="3" t="s">
        <v>92</v>
      </c>
      <c r="H1025" s="3" t="s">
        <v>1916</v>
      </c>
      <c r="I1025" s="6"/>
      <c r="J1025" s="6"/>
      <c r="K1025" s="6"/>
      <c r="L1025" s="6"/>
      <c r="M1025" s="26"/>
      <c r="O1025" s="19" t="str">
        <f t="shared" si="2"/>
        <v/>
      </c>
    </row>
    <row r="1026">
      <c r="A1026" s="22" t="s">
        <v>435</v>
      </c>
      <c r="B1026" s="4" t="s">
        <v>18</v>
      </c>
      <c r="C1026" s="3" t="s">
        <v>1917</v>
      </c>
      <c r="D1026" s="23" t="s">
        <v>1918</v>
      </c>
      <c r="E1026" s="29">
        <v>45931.0</v>
      </c>
      <c r="F1026" s="3">
        <v>6.0</v>
      </c>
      <c r="G1026" s="3" t="s">
        <v>92</v>
      </c>
      <c r="H1026" s="3" t="s">
        <v>1919</v>
      </c>
      <c r="I1026" s="6"/>
      <c r="J1026" s="6"/>
      <c r="K1026" s="6"/>
      <c r="L1026" s="6"/>
      <c r="M1026" s="26"/>
      <c r="O1026" s="19" t="str">
        <f t="shared" si="2"/>
        <v/>
      </c>
    </row>
    <row r="1027">
      <c r="A1027" s="22" t="s">
        <v>945</v>
      </c>
      <c r="B1027" s="4" t="s">
        <v>18</v>
      </c>
      <c r="C1027" s="3" t="s">
        <v>1082</v>
      </c>
      <c r="D1027" s="23" t="s">
        <v>1920</v>
      </c>
      <c r="E1027" s="29">
        <v>45931.0</v>
      </c>
      <c r="F1027" s="3">
        <v>8.0</v>
      </c>
      <c r="G1027" s="3" t="s">
        <v>92</v>
      </c>
      <c r="H1027" s="3" t="s">
        <v>1921</v>
      </c>
      <c r="I1027" s="6"/>
      <c r="J1027" s="6"/>
      <c r="K1027" s="6"/>
      <c r="L1027" s="6"/>
      <c r="M1027" s="26"/>
      <c r="O1027" s="19" t="str">
        <f t="shared" si="2"/>
        <v/>
      </c>
    </row>
    <row r="1028">
      <c r="A1028" s="22" t="s">
        <v>120</v>
      </c>
      <c r="B1028" s="4" t="s">
        <v>31</v>
      </c>
      <c r="C1028" s="3" t="s">
        <v>1848</v>
      </c>
      <c r="D1028" s="23" t="s">
        <v>1922</v>
      </c>
      <c r="E1028" s="29">
        <v>45931.0</v>
      </c>
      <c r="F1028" s="3">
        <v>8.0</v>
      </c>
      <c r="G1028" s="3" t="s">
        <v>92</v>
      </c>
      <c r="H1028" s="3" t="s">
        <v>1923</v>
      </c>
      <c r="I1028" s="6"/>
      <c r="J1028" s="6"/>
      <c r="K1028" s="6"/>
      <c r="L1028" s="6"/>
      <c r="M1028" s="26"/>
      <c r="O1028" s="19" t="str">
        <f t="shared" si="2"/>
        <v/>
      </c>
    </row>
    <row r="1029">
      <c r="A1029" s="22" t="s">
        <v>112</v>
      </c>
      <c r="B1029" s="4" t="s">
        <v>18</v>
      </c>
      <c r="C1029" s="3" t="s">
        <v>1762</v>
      </c>
      <c r="D1029" s="23" t="s">
        <v>1924</v>
      </c>
      <c r="E1029" s="29">
        <v>45931.0</v>
      </c>
      <c r="F1029" s="3">
        <v>6.0</v>
      </c>
      <c r="G1029" s="3" t="s">
        <v>92</v>
      </c>
      <c r="H1029" s="3" t="s">
        <v>1925</v>
      </c>
      <c r="I1029" s="6"/>
      <c r="J1029" s="6"/>
      <c r="K1029" s="6"/>
      <c r="L1029" s="6"/>
      <c r="M1029" s="26"/>
      <c r="O1029" s="19" t="str">
        <f t="shared" si="2"/>
        <v/>
      </c>
    </row>
    <row r="1030">
      <c r="A1030" s="22" t="s">
        <v>69</v>
      </c>
      <c r="B1030" s="4" t="s">
        <v>31</v>
      </c>
      <c r="C1030" s="3" t="s">
        <v>680</v>
      </c>
      <c r="D1030" s="23" t="s">
        <v>681</v>
      </c>
      <c r="E1030" s="29">
        <v>45931.0</v>
      </c>
      <c r="F1030" s="3">
        <v>8.0</v>
      </c>
      <c r="G1030" s="3" t="s">
        <v>92</v>
      </c>
      <c r="H1030" s="3" t="s">
        <v>1926</v>
      </c>
      <c r="I1030" s="6"/>
      <c r="J1030" s="6"/>
      <c r="K1030" s="6"/>
      <c r="L1030" s="6"/>
      <c r="M1030" s="26"/>
      <c r="O1030" s="19" t="str">
        <f t="shared" si="2"/>
        <v/>
      </c>
    </row>
    <row r="1031">
      <c r="A1031" s="22" t="s">
        <v>44</v>
      </c>
      <c r="B1031" s="4" t="s">
        <v>45</v>
      </c>
      <c r="C1031" s="3" t="s">
        <v>1927</v>
      </c>
      <c r="D1031" s="23" t="s">
        <v>1928</v>
      </c>
      <c r="E1031" s="29">
        <v>45931.0</v>
      </c>
      <c r="F1031" s="3">
        <v>8.0</v>
      </c>
      <c r="G1031" s="3" t="s">
        <v>92</v>
      </c>
      <c r="H1031" s="3" t="s">
        <v>1929</v>
      </c>
      <c r="I1031" s="6"/>
      <c r="J1031" s="6"/>
      <c r="K1031" s="6"/>
      <c r="L1031" s="6"/>
      <c r="M1031" s="26"/>
      <c r="O1031" s="19" t="str">
        <f t="shared" si="2"/>
        <v/>
      </c>
    </row>
    <row r="1032">
      <c r="A1032" s="22" t="s">
        <v>1582</v>
      </c>
      <c r="B1032" s="4" t="s">
        <v>31</v>
      </c>
      <c r="C1032" s="3" t="s">
        <v>1930</v>
      </c>
      <c r="D1032" s="23" t="s">
        <v>1931</v>
      </c>
      <c r="E1032" s="29">
        <v>45931.0</v>
      </c>
      <c r="F1032" s="3">
        <v>8.0</v>
      </c>
      <c r="G1032" s="3" t="s">
        <v>92</v>
      </c>
      <c r="H1032" s="3" t="s">
        <v>1932</v>
      </c>
      <c r="I1032" s="6"/>
      <c r="J1032" s="6"/>
      <c r="K1032" s="6"/>
      <c r="L1032" s="6"/>
      <c r="M1032" s="26"/>
      <c r="O1032" s="19" t="str">
        <f t="shared" si="2"/>
        <v/>
      </c>
    </row>
    <row r="1033">
      <c r="A1033" s="22" t="s">
        <v>225</v>
      </c>
      <c r="B1033" s="4" t="s">
        <v>36</v>
      </c>
      <c r="C1033" s="3" t="s">
        <v>1933</v>
      </c>
      <c r="D1033" s="23"/>
      <c r="E1033" s="29">
        <v>45931.0</v>
      </c>
      <c r="F1033" s="3">
        <v>5.0</v>
      </c>
      <c r="G1033" s="3" t="s">
        <v>92</v>
      </c>
      <c r="H1033" s="3" t="s">
        <v>1934</v>
      </c>
      <c r="I1033" s="6"/>
      <c r="J1033" s="6"/>
      <c r="K1033" s="6"/>
      <c r="L1033" s="6"/>
      <c r="M1033" s="26"/>
      <c r="O1033" s="19" t="str">
        <f t="shared" si="2"/>
        <v/>
      </c>
    </row>
    <row r="1034">
      <c r="A1034" s="22" t="s">
        <v>112</v>
      </c>
      <c r="B1034" s="4" t="s">
        <v>18</v>
      </c>
      <c r="C1034" s="3" t="s">
        <v>1665</v>
      </c>
      <c r="D1034" s="23"/>
      <c r="E1034" s="29">
        <v>45931.0</v>
      </c>
      <c r="F1034" s="3">
        <v>6.0</v>
      </c>
      <c r="G1034" s="3" t="s">
        <v>92</v>
      </c>
      <c r="H1034" s="3" t="s">
        <v>1935</v>
      </c>
      <c r="I1034" s="6"/>
      <c r="J1034" s="6"/>
      <c r="K1034" s="6"/>
      <c r="L1034" s="6"/>
      <c r="M1034" s="26"/>
      <c r="O1034" s="19" t="str">
        <f t="shared" si="2"/>
        <v/>
      </c>
    </row>
    <row r="1035">
      <c r="A1035" s="22" t="s">
        <v>276</v>
      </c>
      <c r="B1035" s="4" t="s">
        <v>18</v>
      </c>
      <c r="C1035" s="3" t="s">
        <v>459</v>
      </c>
      <c r="D1035" s="23" t="s">
        <v>1936</v>
      </c>
      <c r="E1035" s="29">
        <v>45931.0</v>
      </c>
      <c r="F1035" s="3">
        <v>6.0</v>
      </c>
      <c r="G1035" s="3" t="s">
        <v>92</v>
      </c>
      <c r="H1035" s="3" t="s">
        <v>1937</v>
      </c>
      <c r="I1035" s="6"/>
      <c r="J1035" s="6"/>
      <c r="K1035" s="6"/>
      <c r="L1035" s="6"/>
      <c r="M1035" s="26"/>
      <c r="O1035" s="19" t="str">
        <f t="shared" si="2"/>
        <v/>
      </c>
    </row>
    <row r="1036">
      <c r="A1036" s="22" t="s">
        <v>210</v>
      </c>
      <c r="B1036" s="4" t="s">
        <v>31</v>
      </c>
      <c r="C1036" s="3" t="s">
        <v>1938</v>
      </c>
      <c r="D1036" s="3" t="s">
        <v>1939</v>
      </c>
      <c r="E1036" s="38">
        <v>45667.0</v>
      </c>
      <c r="F1036" s="3" t="s">
        <v>27</v>
      </c>
      <c r="G1036" s="3"/>
      <c r="H1036" s="6"/>
      <c r="I1036" s="6"/>
      <c r="J1036" s="6"/>
      <c r="K1036" s="6"/>
      <c r="L1036" s="6"/>
      <c r="M1036" s="14"/>
      <c r="O1036" s="19" t="str">
        <f t="shared" si="2"/>
        <v/>
      </c>
    </row>
    <row r="1037">
      <c r="A1037" s="22" t="s">
        <v>945</v>
      </c>
      <c r="B1037" s="4" t="s">
        <v>18</v>
      </c>
      <c r="C1037" s="3" t="s">
        <v>1940</v>
      </c>
      <c r="D1037" s="3" t="s">
        <v>1941</v>
      </c>
      <c r="E1037" s="29">
        <v>45931.0</v>
      </c>
      <c r="F1037" s="3" t="s">
        <v>27</v>
      </c>
      <c r="G1037" s="3" t="s">
        <v>129</v>
      </c>
      <c r="H1037" s="6"/>
      <c r="I1037" s="6"/>
      <c r="J1037" s="6"/>
      <c r="K1037" s="6"/>
      <c r="L1037" s="6"/>
      <c r="M1037" s="26"/>
      <c r="O1037" s="19" t="str">
        <f t="shared" si="2"/>
        <v/>
      </c>
    </row>
    <row r="1038">
      <c r="A1038" s="22" t="s">
        <v>44</v>
      </c>
      <c r="B1038" s="4" t="s">
        <v>45</v>
      </c>
      <c r="C1038" s="3" t="s">
        <v>1942</v>
      </c>
      <c r="D1038" s="3" t="s">
        <v>1943</v>
      </c>
      <c r="E1038" s="29">
        <v>45931.0</v>
      </c>
      <c r="F1038" s="3" t="s">
        <v>27</v>
      </c>
      <c r="G1038" s="3" t="s">
        <v>129</v>
      </c>
      <c r="H1038" s="6"/>
      <c r="I1038" s="6"/>
      <c r="J1038" s="6"/>
      <c r="K1038" s="6"/>
      <c r="L1038" s="6"/>
      <c r="M1038" s="26"/>
      <c r="O1038" s="19" t="str">
        <f t="shared" si="2"/>
        <v/>
      </c>
    </row>
    <row r="1039">
      <c r="A1039" s="22" t="s">
        <v>1944</v>
      </c>
      <c r="B1039" s="4" t="s">
        <v>18</v>
      </c>
      <c r="C1039" s="3" t="s">
        <v>1945</v>
      </c>
      <c r="D1039" s="23" t="s">
        <v>1946</v>
      </c>
      <c r="E1039" s="29">
        <v>45931.0</v>
      </c>
      <c r="F1039" s="3">
        <v>8.0</v>
      </c>
      <c r="G1039" s="3" t="s">
        <v>92</v>
      </c>
      <c r="H1039" s="3" t="s">
        <v>1947</v>
      </c>
      <c r="I1039" s="6"/>
      <c r="J1039" s="6"/>
      <c r="K1039" s="6"/>
      <c r="L1039" s="6"/>
      <c r="M1039" s="26"/>
      <c r="O1039" s="19" t="str">
        <f t="shared" si="2"/>
        <v/>
      </c>
    </row>
    <row r="1040">
      <c r="A1040" s="22" t="s">
        <v>285</v>
      </c>
      <c r="B1040" s="4" t="s">
        <v>36</v>
      </c>
      <c r="C1040" s="3" t="s">
        <v>801</v>
      </c>
      <c r="D1040" s="23" t="s">
        <v>1948</v>
      </c>
      <c r="E1040" s="29">
        <v>45931.0</v>
      </c>
      <c r="F1040" s="3">
        <v>8.0</v>
      </c>
      <c r="G1040" s="3" t="s">
        <v>92</v>
      </c>
      <c r="H1040" s="3" t="s">
        <v>1949</v>
      </c>
      <c r="I1040" s="6"/>
      <c r="J1040" s="6"/>
      <c r="K1040" s="6"/>
      <c r="L1040" s="6"/>
      <c r="M1040" s="26"/>
      <c r="O1040" s="19" t="str">
        <f t="shared" si="2"/>
        <v/>
      </c>
    </row>
    <row r="1041">
      <c r="A1041" s="22" t="s">
        <v>1892</v>
      </c>
      <c r="B1041" s="4" t="s">
        <v>18</v>
      </c>
      <c r="C1041" s="3" t="s">
        <v>1950</v>
      </c>
      <c r="D1041" s="23" t="s">
        <v>1951</v>
      </c>
      <c r="E1041" s="29">
        <v>45931.0</v>
      </c>
      <c r="F1041" s="3">
        <v>8.0</v>
      </c>
      <c r="G1041" s="3" t="s">
        <v>92</v>
      </c>
      <c r="H1041" s="3" t="s">
        <v>1952</v>
      </c>
      <c r="I1041" s="6"/>
      <c r="J1041" s="6"/>
      <c r="K1041" s="6"/>
      <c r="L1041" s="6"/>
      <c r="M1041" s="26"/>
      <c r="O1041" s="19" t="str">
        <f t="shared" si="2"/>
        <v/>
      </c>
    </row>
    <row r="1042">
      <c r="A1042" s="22" t="s">
        <v>125</v>
      </c>
      <c r="B1042" s="4" t="s">
        <v>31</v>
      </c>
      <c r="C1042" s="3" t="s">
        <v>813</v>
      </c>
      <c r="D1042" s="23" t="s">
        <v>1953</v>
      </c>
      <c r="E1042" s="29">
        <v>45931.0</v>
      </c>
      <c r="F1042" s="3">
        <v>8.0</v>
      </c>
      <c r="G1042" s="3" t="s">
        <v>92</v>
      </c>
      <c r="H1042" s="3" t="s">
        <v>1954</v>
      </c>
      <c r="I1042" s="6"/>
      <c r="J1042" s="6"/>
      <c r="K1042" s="6"/>
      <c r="L1042" s="6"/>
      <c r="M1042" s="26"/>
      <c r="O1042" s="19" t="str">
        <f t="shared" si="2"/>
        <v/>
      </c>
    </row>
    <row r="1043">
      <c r="A1043" s="22" t="s">
        <v>155</v>
      </c>
      <c r="B1043" s="4" t="s">
        <v>18</v>
      </c>
      <c r="C1043" s="3" t="s">
        <v>1955</v>
      </c>
      <c r="D1043" s="3" t="s">
        <v>1956</v>
      </c>
      <c r="E1043" s="38">
        <v>45667.0</v>
      </c>
      <c r="F1043" s="3" t="s">
        <v>27</v>
      </c>
      <c r="G1043" s="3"/>
      <c r="H1043" s="9"/>
      <c r="I1043" s="6"/>
      <c r="J1043" s="6"/>
      <c r="K1043" s="6"/>
      <c r="L1043" s="6"/>
      <c r="M1043" s="14"/>
      <c r="O1043" s="19" t="str">
        <f t="shared" si="2"/>
        <v/>
      </c>
    </row>
    <row r="1044">
      <c r="A1044" s="22" t="s">
        <v>265</v>
      </c>
      <c r="B1044" s="4" t="s">
        <v>18</v>
      </c>
      <c r="C1044" s="3" t="s">
        <v>1035</v>
      </c>
      <c r="D1044" s="23" t="s">
        <v>1957</v>
      </c>
      <c r="E1044" s="29">
        <v>45931.0</v>
      </c>
      <c r="F1044" s="3">
        <v>8.0</v>
      </c>
      <c r="G1044" s="3" t="s">
        <v>92</v>
      </c>
      <c r="H1044" s="3" t="s">
        <v>1958</v>
      </c>
      <c r="I1044" s="6"/>
      <c r="J1044" s="6"/>
      <c r="K1044" s="6"/>
      <c r="L1044" s="6"/>
      <c r="M1044" s="26"/>
      <c r="O1044" s="19" t="str">
        <f t="shared" si="2"/>
        <v/>
      </c>
    </row>
    <row r="1045">
      <c r="A1045" s="22" t="s">
        <v>1892</v>
      </c>
      <c r="B1045" s="4" t="s">
        <v>18</v>
      </c>
      <c r="C1045" s="3" t="s">
        <v>791</v>
      </c>
      <c r="D1045" s="23" t="s">
        <v>1959</v>
      </c>
      <c r="E1045" s="29">
        <v>45931.0</v>
      </c>
      <c r="F1045" s="3">
        <v>8.0</v>
      </c>
      <c r="G1045" s="3" t="s">
        <v>92</v>
      </c>
      <c r="H1045" s="3" t="s">
        <v>1960</v>
      </c>
      <c r="I1045" s="6"/>
      <c r="J1045" s="6"/>
      <c r="K1045" s="6"/>
      <c r="L1045" s="6"/>
      <c r="M1045" s="26"/>
      <c r="O1045" s="19" t="str">
        <f t="shared" si="2"/>
        <v/>
      </c>
    </row>
    <row r="1046">
      <c r="A1046" s="22" t="s">
        <v>532</v>
      </c>
      <c r="B1046" s="4" t="s">
        <v>18</v>
      </c>
      <c r="C1046" s="3" t="s">
        <v>533</v>
      </c>
      <c r="D1046" s="23" t="s">
        <v>1961</v>
      </c>
      <c r="E1046" s="29">
        <v>45931.0</v>
      </c>
      <c r="F1046" s="3">
        <v>8.0</v>
      </c>
      <c r="G1046" s="3" t="s">
        <v>92</v>
      </c>
      <c r="H1046" s="3" t="s">
        <v>1962</v>
      </c>
      <c r="I1046" s="6"/>
      <c r="J1046" s="6"/>
      <c r="K1046" s="6"/>
      <c r="L1046" s="6"/>
      <c r="M1046" s="26"/>
      <c r="O1046" s="19" t="str">
        <f t="shared" si="2"/>
        <v/>
      </c>
    </row>
    <row r="1047">
      <c r="A1047" s="22" t="s">
        <v>244</v>
      </c>
      <c r="B1047" s="4" t="s">
        <v>18</v>
      </c>
      <c r="C1047" s="3" t="s">
        <v>268</v>
      </c>
      <c r="D1047" s="23" t="s">
        <v>1963</v>
      </c>
      <c r="E1047" s="29">
        <v>45931.0</v>
      </c>
      <c r="F1047" s="3">
        <v>8.0</v>
      </c>
      <c r="G1047" s="3" t="s">
        <v>92</v>
      </c>
      <c r="H1047" s="3" t="s">
        <v>1964</v>
      </c>
      <c r="I1047" s="6"/>
      <c r="J1047" s="6"/>
      <c r="K1047" s="6"/>
      <c r="L1047" s="6"/>
      <c r="M1047" s="26"/>
      <c r="O1047" s="19" t="str">
        <f t="shared" si="2"/>
        <v/>
      </c>
    </row>
    <row r="1048">
      <c r="A1048" s="22" t="s">
        <v>570</v>
      </c>
      <c r="B1048" s="4" t="s">
        <v>18</v>
      </c>
      <c r="C1048" s="3" t="s">
        <v>1214</v>
      </c>
      <c r="D1048" s="23" t="s">
        <v>1965</v>
      </c>
      <c r="E1048" s="29">
        <v>45931.0</v>
      </c>
      <c r="F1048" s="3">
        <v>8.0</v>
      </c>
      <c r="G1048" s="3" t="s">
        <v>92</v>
      </c>
      <c r="H1048" s="3" t="s">
        <v>1966</v>
      </c>
      <c r="I1048" s="6"/>
      <c r="J1048" s="6"/>
      <c r="K1048" s="6"/>
      <c r="L1048" s="6"/>
      <c r="M1048" s="26"/>
      <c r="O1048" s="19" t="str">
        <f t="shared" si="2"/>
        <v/>
      </c>
    </row>
    <row r="1049">
      <c r="A1049" s="22" t="s">
        <v>44</v>
      </c>
      <c r="B1049" s="4" t="s">
        <v>45</v>
      </c>
      <c r="C1049" s="3" t="s">
        <v>1942</v>
      </c>
      <c r="D1049" s="23" t="s">
        <v>1967</v>
      </c>
      <c r="E1049" s="29">
        <v>45931.0</v>
      </c>
      <c r="F1049" s="3">
        <v>8.0</v>
      </c>
      <c r="G1049" s="3" t="s">
        <v>92</v>
      </c>
      <c r="H1049" s="3" t="s">
        <v>1968</v>
      </c>
      <c r="I1049" s="6"/>
      <c r="J1049" s="6"/>
      <c r="K1049" s="6"/>
      <c r="L1049" s="6"/>
      <c r="M1049" s="26"/>
      <c r="O1049" s="19" t="str">
        <f t="shared" si="2"/>
        <v/>
      </c>
    </row>
    <row r="1050">
      <c r="A1050" s="22" t="s">
        <v>232</v>
      </c>
      <c r="B1050" s="4" t="s">
        <v>18</v>
      </c>
      <c r="C1050" s="3" t="s">
        <v>630</v>
      </c>
      <c r="D1050" s="3" t="s">
        <v>1969</v>
      </c>
      <c r="E1050" s="29">
        <v>45932.0</v>
      </c>
      <c r="F1050" s="3" t="s">
        <v>27</v>
      </c>
      <c r="G1050" s="3" t="s">
        <v>129</v>
      </c>
      <c r="H1050" s="9"/>
      <c r="I1050" s="6"/>
      <c r="J1050" s="6"/>
      <c r="K1050" s="6"/>
      <c r="L1050" s="6"/>
      <c r="M1050" s="26"/>
      <c r="O1050" s="19" t="str">
        <f t="shared" si="2"/>
        <v/>
      </c>
    </row>
    <row r="1051">
      <c r="A1051" s="22" t="s">
        <v>435</v>
      </c>
      <c r="B1051" s="4" t="s">
        <v>18</v>
      </c>
      <c r="C1051" s="3" t="s">
        <v>1970</v>
      </c>
      <c r="D1051" s="3" t="s">
        <v>1971</v>
      </c>
      <c r="E1051" s="29">
        <v>45932.0</v>
      </c>
      <c r="F1051" s="3" t="s">
        <v>27</v>
      </c>
      <c r="G1051" s="3" t="s">
        <v>129</v>
      </c>
      <c r="H1051" s="9"/>
      <c r="I1051" s="6"/>
      <c r="J1051" s="6"/>
      <c r="K1051" s="6"/>
      <c r="L1051" s="6"/>
      <c r="M1051" s="26"/>
      <c r="O1051" s="19" t="str">
        <f t="shared" si="2"/>
        <v/>
      </c>
    </row>
    <row r="1052">
      <c r="A1052" s="22" t="s">
        <v>113</v>
      </c>
      <c r="B1052" s="4" t="s">
        <v>18</v>
      </c>
      <c r="C1052" s="3" t="s">
        <v>398</v>
      </c>
      <c r="D1052" s="3" t="s">
        <v>1972</v>
      </c>
      <c r="E1052" s="29">
        <v>45932.0</v>
      </c>
      <c r="F1052" s="3" t="s">
        <v>27</v>
      </c>
      <c r="G1052" s="3" t="s">
        <v>129</v>
      </c>
      <c r="H1052" s="9"/>
      <c r="I1052" s="6"/>
      <c r="J1052" s="6"/>
      <c r="K1052" s="6"/>
      <c r="L1052" s="6"/>
      <c r="M1052" s="26"/>
      <c r="O1052" s="19" t="str">
        <f t="shared" si="2"/>
        <v/>
      </c>
    </row>
    <row r="1053">
      <c r="A1053" s="22" t="s">
        <v>1973</v>
      </c>
      <c r="B1053" s="4" t="s">
        <v>31</v>
      </c>
      <c r="C1053" s="3" t="s">
        <v>1974</v>
      </c>
      <c r="D1053" s="3" t="s">
        <v>1975</v>
      </c>
      <c r="E1053" s="38">
        <v>45698.0</v>
      </c>
      <c r="F1053" s="3" t="s">
        <v>27</v>
      </c>
      <c r="G1053" s="3"/>
      <c r="H1053" s="9"/>
      <c r="I1053" s="6"/>
      <c r="J1053" s="6"/>
      <c r="K1053" s="6"/>
      <c r="L1053" s="6"/>
      <c r="M1053" s="14"/>
      <c r="O1053" s="19" t="str">
        <f t="shared" si="2"/>
        <v/>
      </c>
    </row>
    <row r="1054">
      <c r="A1054" s="22" t="s">
        <v>265</v>
      </c>
      <c r="B1054" s="4" t="s">
        <v>18</v>
      </c>
      <c r="C1054" s="3" t="s">
        <v>1035</v>
      </c>
      <c r="D1054" s="3" t="s">
        <v>1976</v>
      </c>
      <c r="E1054" s="29">
        <v>45933.0</v>
      </c>
      <c r="F1054" s="3" t="s">
        <v>27</v>
      </c>
      <c r="G1054" s="3" t="s">
        <v>129</v>
      </c>
      <c r="H1054" s="9"/>
      <c r="I1054" s="6"/>
      <c r="J1054" s="6"/>
      <c r="K1054" s="6"/>
      <c r="L1054" s="6"/>
      <c r="M1054" s="26"/>
      <c r="O1054" s="19" t="str">
        <f t="shared" si="2"/>
        <v/>
      </c>
    </row>
    <row r="1055">
      <c r="A1055" s="22" t="s">
        <v>795</v>
      </c>
      <c r="B1055" s="4" t="s">
        <v>109</v>
      </c>
      <c r="C1055" s="3" t="s">
        <v>1977</v>
      </c>
      <c r="D1055" s="3" t="s">
        <v>1978</v>
      </c>
      <c r="E1055" s="29">
        <v>45933.0</v>
      </c>
      <c r="F1055" s="3" t="s">
        <v>27</v>
      </c>
      <c r="G1055" s="3" t="s">
        <v>129</v>
      </c>
      <c r="H1055" s="9"/>
      <c r="I1055" s="6"/>
      <c r="J1055" s="6"/>
      <c r="K1055" s="6"/>
      <c r="L1055" s="6"/>
      <c r="M1055" s="26"/>
      <c r="O1055" s="19" t="str">
        <f t="shared" si="2"/>
        <v/>
      </c>
    </row>
    <row r="1056">
      <c r="A1056" s="22" t="s">
        <v>137</v>
      </c>
      <c r="B1056" s="4" t="s">
        <v>18</v>
      </c>
      <c r="C1056" s="3" t="s">
        <v>1979</v>
      </c>
      <c r="D1056" s="23" t="s">
        <v>1980</v>
      </c>
      <c r="E1056" s="29">
        <v>45933.0</v>
      </c>
      <c r="F1056" s="3">
        <v>8.0</v>
      </c>
      <c r="G1056" s="3" t="s">
        <v>92</v>
      </c>
      <c r="H1056" s="3" t="s">
        <v>1981</v>
      </c>
      <c r="I1056" s="6"/>
      <c r="J1056" s="6"/>
      <c r="K1056" s="6"/>
      <c r="L1056" s="6"/>
      <c r="M1056" s="26"/>
      <c r="O1056" s="19" t="str">
        <f t="shared" si="2"/>
        <v/>
      </c>
    </row>
    <row r="1057">
      <c r="A1057" s="22" t="s">
        <v>1973</v>
      </c>
      <c r="B1057" s="4" t="s">
        <v>31</v>
      </c>
      <c r="C1057" s="3" t="s">
        <v>1982</v>
      </c>
      <c r="D1057" s="23" t="s">
        <v>1983</v>
      </c>
      <c r="E1057" s="29">
        <v>45933.0</v>
      </c>
      <c r="F1057" s="3">
        <v>9.0</v>
      </c>
      <c r="G1057" s="3" t="s">
        <v>92</v>
      </c>
      <c r="H1057" s="3" t="s">
        <v>1984</v>
      </c>
      <c r="I1057" s="6"/>
      <c r="J1057" s="6"/>
      <c r="K1057" s="6"/>
      <c r="L1057" s="6"/>
      <c r="M1057" s="26"/>
      <c r="O1057" s="19" t="str">
        <f t="shared" si="2"/>
        <v/>
      </c>
    </row>
    <row r="1058">
      <c r="A1058" s="22" t="s">
        <v>168</v>
      </c>
      <c r="B1058" s="4" t="s">
        <v>45</v>
      </c>
      <c r="C1058" s="3" t="s">
        <v>1985</v>
      </c>
      <c r="D1058" s="23" t="s">
        <v>1986</v>
      </c>
      <c r="E1058" s="29">
        <v>45933.0</v>
      </c>
      <c r="F1058" s="3">
        <v>8.0</v>
      </c>
      <c r="G1058" s="3" t="s">
        <v>92</v>
      </c>
      <c r="H1058" s="3" t="s">
        <v>1987</v>
      </c>
      <c r="I1058" s="6"/>
      <c r="J1058" s="6"/>
      <c r="K1058" s="6"/>
      <c r="L1058" s="6"/>
      <c r="M1058" s="26"/>
      <c r="O1058" s="19" t="str">
        <f t="shared" si="2"/>
        <v/>
      </c>
    </row>
    <row r="1059">
      <c r="A1059" s="22" t="s">
        <v>107</v>
      </c>
      <c r="B1059" s="4" t="s">
        <v>18</v>
      </c>
      <c r="C1059" s="3" t="s">
        <v>477</v>
      </c>
      <c r="D1059" s="23" t="s">
        <v>1988</v>
      </c>
      <c r="E1059" s="29">
        <v>45933.0</v>
      </c>
      <c r="F1059" s="3">
        <v>8.0</v>
      </c>
      <c r="G1059" s="3" t="s">
        <v>92</v>
      </c>
      <c r="H1059" s="3" t="s">
        <v>1989</v>
      </c>
      <c r="I1059" s="6"/>
      <c r="J1059" s="6"/>
      <c r="K1059" s="6"/>
      <c r="L1059" s="6"/>
      <c r="M1059" s="26"/>
      <c r="O1059" s="19" t="str">
        <f t="shared" si="2"/>
        <v/>
      </c>
    </row>
    <row r="1060">
      <c r="A1060" s="22" t="s">
        <v>1062</v>
      </c>
      <c r="B1060" s="4" t="s">
        <v>18</v>
      </c>
      <c r="C1060" s="3" t="s">
        <v>574</v>
      </c>
      <c r="D1060" s="23" t="s">
        <v>1990</v>
      </c>
      <c r="E1060" s="29">
        <v>45933.0</v>
      </c>
      <c r="F1060" s="3">
        <v>8.0</v>
      </c>
      <c r="G1060" s="3" t="s">
        <v>92</v>
      </c>
      <c r="H1060" s="3" t="s">
        <v>1991</v>
      </c>
      <c r="I1060" s="6"/>
      <c r="J1060" s="6"/>
      <c r="K1060" s="6"/>
      <c r="L1060" s="6"/>
      <c r="M1060" s="26"/>
      <c r="O1060" s="19" t="str">
        <f t="shared" si="2"/>
        <v/>
      </c>
    </row>
    <row r="1061">
      <c r="A1061" s="22" t="s">
        <v>77</v>
      </c>
      <c r="B1061" s="4" t="s">
        <v>18</v>
      </c>
      <c r="C1061" s="3" t="s">
        <v>1992</v>
      </c>
      <c r="D1061" s="23" t="s">
        <v>1993</v>
      </c>
      <c r="E1061" s="29">
        <v>45933.0</v>
      </c>
      <c r="F1061" s="3">
        <v>8.0</v>
      </c>
      <c r="G1061" s="3" t="s">
        <v>92</v>
      </c>
      <c r="H1061" s="3" t="s">
        <v>1994</v>
      </c>
      <c r="I1061" s="6"/>
      <c r="J1061" s="6"/>
      <c r="K1061" s="6"/>
      <c r="L1061" s="6"/>
      <c r="M1061" s="26"/>
      <c r="O1061" s="19" t="str">
        <f t="shared" si="2"/>
        <v/>
      </c>
    </row>
    <row r="1062">
      <c r="A1062" s="22" t="s">
        <v>113</v>
      </c>
      <c r="B1062" s="4" t="s">
        <v>18</v>
      </c>
      <c r="C1062" s="3" t="s">
        <v>166</v>
      </c>
      <c r="D1062" s="23" t="s">
        <v>1995</v>
      </c>
      <c r="E1062" s="29">
        <v>45933.0</v>
      </c>
      <c r="F1062" s="3">
        <v>9.0</v>
      </c>
      <c r="G1062" s="3" t="s">
        <v>92</v>
      </c>
      <c r="H1062" s="3" t="s">
        <v>1996</v>
      </c>
      <c r="I1062" s="6"/>
      <c r="J1062" s="6"/>
      <c r="K1062" s="6"/>
      <c r="L1062" s="6"/>
      <c r="M1062" s="26"/>
      <c r="O1062" s="19" t="str">
        <f t="shared" si="2"/>
        <v/>
      </c>
    </row>
    <row r="1063">
      <c r="A1063" s="22" t="s">
        <v>107</v>
      </c>
      <c r="B1063" s="4" t="s">
        <v>18</v>
      </c>
      <c r="C1063" s="3" t="s">
        <v>1306</v>
      </c>
      <c r="D1063" s="23" t="s">
        <v>1997</v>
      </c>
      <c r="E1063" s="29">
        <v>45933.0</v>
      </c>
      <c r="F1063" s="3">
        <v>8.0</v>
      </c>
      <c r="G1063" s="3" t="s">
        <v>92</v>
      </c>
      <c r="H1063" s="3" t="s">
        <v>1998</v>
      </c>
      <c r="I1063" s="6"/>
      <c r="J1063" s="6"/>
      <c r="K1063" s="6"/>
      <c r="L1063" s="6"/>
      <c r="M1063" s="26"/>
      <c r="O1063" s="19" t="str">
        <f t="shared" si="2"/>
        <v/>
      </c>
    </row>
    <row r="1064">
      <c r="A1064" s="22" t="s">
        <v>1340</v>
      </c>
      <c r="B1064" s="4" t="s">
        <v>31</v>
      </c>
      <c r="C1064" s="3" t="s">
        <v>1009</v>
      </c>
      <c r="D1064" s="23" t="s">
        <v>1999</v>
      </c>
      <c r="E1064" s="29">
        <v>45933.0</v>
      </c>
      <c r="F1064" s="3">
        <v>8.0</v>
      </c>
      <c r="G1064" s="3" t="s">
        <v>92</v>
      </c>
      <c r="H1064" s="3" t="s">
        <v>2000</v>
      </c>
      <c r="I1064" s="6"/>
      <c r="J1064" s="6"/>
      <c r="K1064" s="6"/>
      <c r="L1064" s="6"/>
      <c r="M1064" s="26"/>
      <c r="O1064" s="19" t="str">
        <f t="shared" si="2"/>
        <v/>
      </c>
    </row>
    <row r="1065">
      <c r="A1065" s="22" t="s">
        <v>23</v>
      </c>
      <c r="B1065" s="4" t="s">
        <v>18</v>
      </c>
      <c r="C1065" s="3" t="s">
        <v>2001</v>
      </c>
      <c r="D1065" s="23" t="s">
        <v>2002</v>
      </c>
      <c r="E1065" s="29">
        <v>45933.0</v>
      </c>
      <c r="F1065" s="3">
        <v>6.0</v>
      </c>
      <c r="G1065" s="3" t="s">
        <v>92</v>
      </c>
      <c r="H1065" s="3" t="s">
        <v>2003</v>
      </c>
      <c r="I1065" s="9">
        <v>6.1418788291E10</v>
      </c>
      <c r="J1065" s="10" t="s">
        <v>2004</v>
      </c>
      <c r="K1065" s="9">
        <v>0.0</v>
      </c>
      <c r="L1065" s="6"/>
      <c r="M1065" s="26"/>
      <c r="O1065" s="19" t="str">
        <f t="shared" si="2"/>
        <v/>
      </c>
    </row>
    <row r="1066">
      <c r="A1066" s="22" t="s">
        <v>1340</v>
      </c>
      <c r="B1066" s="4" t="s">
        <v>31</v>
      </c>
      <c r="C1066" s="3" t="s">
        <v>2005</v>
      </c>
      <c r="D1066" s="23" t="s">
        <v>2006</v>
      </c>
      <c r="E1066" s="29">
        <v>45933.0</v>
      </c>
      <c r="F1066" s="3">
        <v>8.0</v>
      </c>
      <c r="G1066" s="3" t="s">
        <v>92</v>
      </c>
      <c r="H1066" s="3" t="s">
        <v>2007</v>
      </c>
      <c r="I1066" s="6"/>
      <c r="J1066" s="6"/>
      <c r="K1066" s="6"/>
      <c r="L1066" s="6"/>
      <c r="M1066" s="26"/>
      <c r="O1066" s="19" t="str">
        <f t="shared" si="2"/>
        <v/>
      </c>
    </row>
    <row r="1067">
      <c r="A1067" s="22" t="s">
        <v>108</v>
      </c>
      <c r="B1067" s="4" t="s">
        <v>109</v>
      </c>
      <c r="C1067" s="3" t="s">
        <v>2008</v>
      </c>
      <c r="D1067" s="23" t="s">
        <v>2009</v>
      </c>
      <c r="E1067" s="29">
        <v>45933.0</v>
      </c>
      <c r="F1067" s="3" t="s">
        <v>22</v>
      </c>
      <c r="G1067" s="3" t="s">
        <v>92</v>
      </c>
      <c r="H1067" s="3" t="s">
        <v>2010</v>
      </c>
      <c r="I1067" s="6"/>
      <c r="J1067" s="6"/>
      <c r="K1067" s="6"/>
      <c r="L1067" s="6"/>
      <c r="M1067" s="26"/>
      <c r="O1067" s="19" t="str">
        <f t="shared" si="2"/>
        <v/>
      </c>
    </row>
    <row r="1068">
      <c r="A1068" s="22" t="s">
        <v>120</v>
      </c>
      <c r="B1068" s="4" t="s">
        <v>31</v>
      </c>
      <c r="C1068" s="3" t="s">
        <v>2011</v>
      </c>
      <c r="D1068" s="23" t="s">
        <v>2012</v>
      </c>
      <c r="E1068" s="29">
        <v>45933.0</v>
      </c>
      <c r="F1068" s="3">
        <v>8.0</v>
      </c>
      <c r="G1068" s="3" t="s">
        <v>92</v>
      </c>
      <c r="H1068" s="3" t="s">
        <v>2013</v>
      </c>
      <c r="I1068" s="6"/>
      <c r="J1068" s="6"/>
      <c r="K1068" s="6"/>
      <c r="L1068" s="6"/>
      <c r="M1068" s="26"/>
      <c r="O1068" s="19" t="str">
        <f t="shared" si="2"/>
        <v/>
      </c>
    </row>
    <row r="1069">
      <c r="A1069" s="22" t="s">
        <v>195</v>
      </c>
      <c r="B1069" s="4" t="s">
        <v>18</v>
      </c>
      <c r="C1069" s="3" t="s">
        <v>408</v>
      </c>
      <c r="D1069" s="23" t="s">
        <v>2014</v>
      </c>
      <c r="E1069" s="29">
        <v>45933.0</v>
      </c>
      <c r="F1069" s="3">
        <v>8.0</v>
      </c>
      <c r="G1069" s="3" t="s">
        <v>92</v>
      </c>
      <c r="H1069" s="3" t="s">
        <v>2015</v>
      </c>
      <c r="I1069" s="6"/>
      <c r="J1069" s="6"/>
      <c r="K1069" s="6"/>
      <c r="L1069" s="6"/>
      <c r="M1069" s="26"/>
      <c r="O1069" s="19" t="str">
        <f t="shared" si="2"/>
        <v/>
      </c>
    </row>
    <row r="1070">
      <c r="A1070" s="22" t="s">
        <v>265</v>
      </c>
      <c r="B1070" s="4" t="s">
        <v>18</v>
      </c>
      <c r="C1070" s="3" t="s">
        <v>2016</v>
      </c>
      <c r="D1070" s="23" t="s">
        <v>2017</v>
      </c>
      <c r="E1070" s="29">
        <v>45933.0</v>
      </c>
      <c r="F1070" s="3">
        <v>8.0</v>
      </c>
      <c r="G1070" s="3" t="s">
        <v>92</v>
      </c>
      <c r="H1070" s="3" t="s">
        <v>2018</v>
      </c>
      <c r="I1070" s="6"/>
      <c r="J1070" s="6"/>
      <c r="K1070" s="6"/>
      <c r="L1070" s="6"/>
      <c r="M1070" s="26"/>
      <c r="O1070" s="19" t="str">
        <f t="shared" si="2"/>
        <v/>
      </c>
    </row>
    <row r="1071">
      <c r="A1071" s="22" t="s">
        <v>1582</v>
      </c>
      <c r="B1071" s="4" t="s">
        <v>31</v>
      </c>
      <c r="C1071" s="3" t="s">
        <v>1667</v>
      </c>
      <c r="D1071" s="23" t="s">
        <v>1668</v>
      </c>
      <c r="E1071" s="29">
        <v>45933.0</v>
      </c>
      <c r="F1071" s="3">
        <v>6.0</v>
      </c>
      <c r="G1071" s="3" t="s">
        <v>92</v>
      </c>
      <c r="H1071" s="3" t="s">
        <v>1669</v>
      </c>
      <c r="I1071" s="6"/>
      <c r="J1071" s="6"/>
      <c r="K1071" s="6"/>
      <c r="L1071" s="6"/>
      <c r="M1071" s="26"/>
      <c r="O1071" s="19" t="str">
        <f t="shared" si="2"/>
        <v/>
      </c>
    </row>
    <row r="1072">
      <c r="A1072" s="22" t="s">
        <v>510</v>
      </c>
      <c r="B1072" s="4" t="s">
        <v>18</v>
      </c>
      <c r="C1072" s="3" t="s">
        <v>2019</v>
      </c>
      <c r="D1072" s="23" t="s">
        <v>2020</v>
      </c>
      <c r="E1072" s="29">
        <v>45933.0</v>
      </c>
      <c r="F1072" s="3">
        <v>8.0</v>
      </c>
      <c r="G1072" s="3" t="s">
        <v>92</v>
      </c>
      <c r="H1072" s="3" t="s">
        <v>2021</v>
      </c>
      <c r="I1072" s="6"/>
      <c r="J1072" s="6"/>
      <c r="K1072" s="6"/>
      <c r="L1072" s="6"/>
      <c r="M1072" s="26"/>
      <c r="O1072" s="19" t="str">
        <f t="shared" si="2"/>
        <v/>
      </c>
    </row>
    <row r="1073">
      <c r="A1073" s="22" t="s">
        <v>479</v>
      </c>
      <c r="B1073" s="4" t="s">
        <v>18</v>
      </c>
      <c r="C1073" s="3" t="s">
        <v>480</v>
      </c>
      <c r="D1073" s="23" t="s">
        <v>2022</v>
      </c>
      <c r="E1073" s="29">
        <v>45933.0</v>
      </c>
      <c r="F1073" s="3">
        <v>8.0</v>
      </c>
      <c r="G1073" s="3" t="s">
        <v>92</v>
      </c>
      <c r="H1073" s="3" t="s">
        <v>2023</v>
      </c>
      <c r="I1073" s="6"/>
      <c r="J1073" s="6"/>
      <c r="K1073" s="6"/>
      <c r="L1073" s="6"/>
      <c r="M1073" s="26"/>
      <c r="O1073" s="19" t="str">
        <f t="shared" si="2"/>
        <v/>
      </c>
    </row>
    <row r="1074">
      <c r="A1074" s="22" t="s">
        <v>112</v>
      </c>
      <c r="B1074" s="4" t="s">
        <v>18</v>
      </c>
      <c r="C1074" s="3" t="s">
        <v>2024</v>
      </c>
      <c r="D1074" s="22" t="s">
        <v>2025</v>
      </c>
      <c r="E1074" s="29">
        <v>45933.0</v>
      </c>
      <c r="F1074" s="3" t="s">
        <v>22</v>
      </c>
      <c r="G1074" s="3" t="s">
        <v>92</v>
      </c>
      <c r="H1074" s="3" t="s">
        <v>2026</v>
      </c>
      <c r="I1074" s="6"/>
      <c r="J1074" s="6"/>
      <c r="K1074" s="6"/>
      <c r="L1074" s="6"/>
      <c r="M1074" s="26"/>
      <c r="O1074" s="19" t="str">
        <f t="shared" si="2"/>
        <v/>
      </c>
    </row>
    <row r="1075">
      <c r="A1075" s="22" t="s">
        <v>510</v>
      </c>
      <c r="B1075" s="4" t="s">
        <v>18</v>
      </c>
      <c r="C1075" s="3" t="s">
        <v>2027</v>
      </c>
      <c r="E1075" s="29">
        <v>45933.0</v>
      </c>
      <c r="F1075" s="3">
        <v>5.0</v>
      </c>
      <c r="G1075" s="3" t="s">
        <v>92</v>
      </c>
      <c r="H1075" s="3" t="s">
        <v>2028</v>
      </c>
      <c r="I1075" s="6"/>
      <c r="J1075" s="6"/>
      <c r="K1075" s="6"/>
      <c r="L1075" s="6"/>
      <c r="M1075" s="26"/>
      <c r="O1075" s="19" t="str">
        <f t="shared" si="2"/>
        <v/>
      </c>
    </row>
    <row r="1076">
      <c r="A1076" s="22" t="s">
        <v>107</v>
      </c>
      <c r="B1076" s="4" t="s">
        <v>18</v>
      </c>
      <c r="C1076" s="3" t="s">
        <v>461</v>
      </c>
      <c r="D1076" s="3" t="s">
        <v>2029</v>
      </c>
      <c r="E1076" s="29">
        <v>45933.0</v>
      </c>
      <c r="F1076" s="3" t="s">
        <v>27</v>
      </c>
      <c r="G1076" s="3" t="s">
        <v>129</v>
      </c>
      <c r="H1076" s="9"/>
      <c r="I1076" s="6"/>
      <c r="J1076" s="6"/>
      <c r="K1076" s="6"/>
      <c r="L1076" s="6"/>
      <c r="M1076" s="26"/>
      <c r="O1076" s="19" t="str">
        <f t="shared" si="2"/>
        <v/>
      </c>
    </row>
    <row r="1077">
      <c r="A1077" s="22" t="s">
        <v>1973</v>
      </c>
      <c r="B1077" s="4" t="s">
        <v>31</v>
      </c>
      <c r="C1077" s="3" t="s">
        <v>2030</v>
      </c>
      <c r="D1077" s="23" t="s">
        <v>2031</v>
      </c>
      <c r="E1077" s="29">
        <v>45933.0</v>
      </c>
      <c r="F1077" s="3">
        <v>9.0</v>
      </c>
      <c r="G1077" s="3" t="s">
        <v>92</v>
      </c>
      <c r="H1077" s="3" t="s">
        <v>2032</v>
      </c>
      <c r="I1077" s="6"/>
      <c r="J1077" s="6"/>
      <c r="K1077" s="6"/>
      <c r="L1077" s="6"/>
      <c r="M1077" s="26"/>
      <c r="O1077" s="19" t="str">
        <f t="shared" si="2"/>
        <v/>
      </c>
    </row>
    <row r="1078">
      <c r="A1078" s="22" t="s">
        <v>1320</v>
      </c>
      <c r="B1078" s="4" t="s">
        <v>45</v>
      </c>
      <c r="C1078" s="3" t="s">
        <v>1334</v>
      </c>
      <c r="D1078" s="23" t="s">
        <v>2033</v>
      </c>
      <c r="E1078" s="29">
        <v>45933.0</v>
      </c>
      <c r="F1078" s="3">
        <v>8.0</v>
      </c>
      <c r="G1078" s="3" t="s">
        <v>92</v>
      </c>
      <c r="H1078" s="3" t="s">
        <v>2034</v>
      </c>
      <c r="I1078" s="6"/>
      <c r="J1078" s="6"/>
      <c r="K1078" s="6"/>
      <c r="L1078" s="6"/>
      <c r="M1078" s="26"/>
      <c r="O1078" s="19" t="str">
        <f t="shared" si="2"/>
        <v/>
      </c>
    </row>
    <row r="1079">
      <c r="A1079" s="22" t="s">
        <v>305</v>
      </c>
      <c r="B1079" s="4" t="s">
        <v>36</v>
      </c>
      <c r="C1079" s="3" t="s">
        <v>306</v>
      </c>
      <c r="D1079" s="23" t="s">
        <v>2035</v>
      </c>
      <c r="E1079" s="29">
        <v>45933.0</v>
      </c>
      <c r="F1079" s="3">
        <v>8.0</v>
      </c>
      <c r="G1079" s="3" t="s">
        <v>92</v>
      </c>
      <c r="H1079" s="3" t="s">
        <v>2036</v>
      </c>
      <c r="I1079" s="6"/>
      <c r="J1079" s="6"/>
      <c r="K1079" s="6"/>
      <c r="L1079" s="6"/>
      <c r="M1079" s="26"/>
      <c r="O1079" s="19" t="str">
        <f t="shared" si="2"/>
        <v/>
      </c>
    </row>
    <row r="1080">
      <c r="A1080" s="22" t="s">
        <v>1582</v>
      </c>
      <c r="B1080" s="4" t="s">
        <v>31</v>
      </c>
      <c r="C1080" s="3" t="s">
        <v>2037</v>
      </c>
      <c r="D1080" s="23" t="s">
        <v>2038</v>
      </c>
      <c r="E1080" s="29">
        <v>45933.0</v>
      </c>
      <c r="F1080" s="3">
        <v>8.0</v>
      </c>
      <c r="G1080" s="3" t="s">
        <v>92</v>
      </c>
      <c r="H1080" s="3" t="s">
        <v>2039</v>
      </c>
      <c r="I1080" s="6"/>
      <c r="J1080" s="6"/>
      <c r="K1080" s="6"/>
      <c r="L1080" s="6"/>
      <c r="M1080" s="26"/>
      <c r="O1080" s="19" t="str">
        <f t="shared" si="2"/>
        <v/>
      </c>
    </row>
    <row r="1081">
      <c r="A1081" s="22" t="s">
        <v>1944</v>
      </c>
      <c r="B1081" s="4" t="s">
        <v>18</v>
      </c>
      <c r="C1081" s="3" t="s">
        <v>2040</v>
      </c>
      <c r="D1081" s="23" t="s">
        <v>2041</v>
      </c>
      <c r="E1081" s="29">
        <v>45933.0</v>
      </c>
      <c r="F1081" s="3">
        <v>6.0</v>
      </c>
      <c r="G1081" s="3" t="s">
        <v>92</v>
      </c>
      <c r="H1081" s="3" t="s">
        <v>2042</v>
      </c>
      <c r="I1081" s="6"/>
      <c r="J1081" s="6"/>
      <c r="K1081" s="6"/>
      <c r="L1081" s="6"/>
      <c r="M1081" s="26"/>
      <c r="O1081" s="19" t="str">
        <f t="shared" si="2"/>
        <v/>
      </c>
    </row>
    <row r="1082">
      <c r="A1082" s="22" t="s">
        <v>1582</v>
      </c>
      <c r="B1082" s="4" t="s">
        <v>31</v>
      </c>
      <c r="C1082" s="3" t="s">
        <v>2043</v>
      </c>
      <c r="D1082" s="23" t="s">
        <v>2044</v>
      </c>
      <c r="E1082" s="29">
        <v>45934.0</v>
      </c>
      <c r="F1082" s="3">
        <v>8.0</v>
      </c>
      <c r="G1082" s="3" t="s">
        <v>92</v>
      </c>
      <c r="H1082" s="3" t="s">
        <v>2045</v>
      </c>
      <c r="I1082" s="6"/>
      <c r="J1082" s="6"/>
      <c r="K1082" s="6"/>
      <c r="L1082" s="6"/>
      <c r="M1082" s="26"/>
      <c r="O1082" s="19" t="str">
        <f t="shared" si="2"/>
        <v/>
      </c>
    </row>
    <row r="1083">
      <c r="A1083" s="22" t="s">
        <v>1582</v>
      </c>
      <c r="B1083" s="4" t="s">
        <v>31</v>
      </c>
      <c r="C1083" s="3" t="s">
        <v>1930</v>
      </c>
      <c r="D1083" s="23" t="s">
        <v>1931</v>
      </c>
      <c r="E1083" s="29">
        <v>45934.0</v>
      </c>
      <c r="F1083" s="3">
        <v>8.0</v>
      </c>
      <c r="G1083" s="3" t="s">
        <v>92</v>
      </c>
      <c r="H1083" s="3" t="s">
        <v>1932</v>
      </c>
      <c r="I1083" s="6"/>
      <c r="J1083" s="6"/>
      <c r="K1083" s="6"/>
      <c r="L1083" s="6"/>
      <c r="M1083" s="26"/>
      <c r="O1083" s="19" t="str">
        <f t="shared" si="2"/>
        <v/>
      </c>
    </row>
    <row r="1084">
      <c r="A1084" s="22" t="s">
        <v>244</v>
      </c>
      <c r="B1084" s="4" t="s">
        <v>18</v>
      </c>
      <c r="C1084" s="3" t="s">
        <v>253</v>
      </c>
      <c r="D1084" s="23" t="s">
        <v>2046</v>
      </c>
      <c r="E1084" s="29">
        <v>45934.0</v>
      </c>
      <c r="F1084" s="3">
        <v>8.0</v>
      </c>
      <c r="G1084" s="3" t="s">
        <v>92</v>
      </c>
      <c r="H1084" s="3" t="s">
        <v>2047</v>
      </c>
      <c r="I1084" s="6"/>
      <c r="J1084" s="6"/>
      <c r="K1084" s="6"/>
      <c r="L1084" s="6"/>
      <c r="M1084" s="26"/>
      <c r="O1084" s="19" t="str">
        <f t="shared" si="2"/>
        <v/>
      </c>
    </row>
    <row r="1085">
      <c r="A1085" s="22" t="s">
        <v>184</v>
      </c>
      <c r="B1085" s="4" t="s">
        <v>18</v>
      </c>
      <c r="C1085" s="3" t="s">
        <v>2048</v>
      </c>
      <c r="D1085" s="23" t="s">
        <v>2049</v>
      </c>
      <c r="E1085" s="29">
        <v>45934.0</v>
      </c>
      <c r="F1085" s="3">
        <v>8.0</v>
      </c>
      <c r="G1085" s="3" t="s">
        <v>92</v>
      </c>
      <c r="H1085" s="3" t="s">
        <v>2050</v>
      </c>
      <c r="I1085" s="6"/>
      <c r="J1085" s="6"/>
      <c r="K1085" s="6"/>
      <c r="L1085" s="6"/>
      <c r="M1085" s="26"/>
      <c r="O1085" s="19" t="str">
        <f t="shared" si="2"/>
        <v/>
      </c>
    </row>
    <row r="1086">
      <c r="A1086" s="22" t="s">
        <v>184</v>
      </c>
      <c r="B1086" s="4" t="s">
        <v>18</v>
      </c>
      <c r="C1086" s="3" t="s">
        <v>356</v>
      </c>
      <c r="D1086" s="23" t="s">
        <v>2051</v>
      </c>
      <c r="E1086" s="29">
        <v>45934.0</v>
      </c>
      <c r="F1086" s="3">
        <v>8.0</v>
      </c>
      <c r="G1086" s="3" t="s">
        <v>92</v>
      </c>
      <c r="H1086" s="3" t="s">
        <v>2052</v>
      </c>
      <c r="I1086" s="6"/>
      <c r="J1086" s="6"/>
      <c r="K1086" s="6"/>
      <c r="L1086" s="6"/>
      <c r="M1086" s="26"/>
      <c r="O1086" s="19" t="str">
        <f t="shared" si="2"/>
        <v/>
      </c>
    </row>
    <row r="1087">
      <c r="A1087" s="22" t="s">
        <v>168</v>
      </c>
      <c r="B1087" s="4" t="s">
        <v>45</v>
      </c>
      <c r="C1087" s="3" t="s">
        <v>1985</v>
      </c>
      <c r="D1087" s="23" t="s">
        <v>2053</v>
      </c>
      <c r="E1087" s="29">
        <v>45934.0</v>
      </c>
      <c r="F1087" s="3">
        <v>8.0</v>
      </c>
      <c r="G1087" s="3" t="s">
        <v>92</v>
      </c>
      <c r="H1087" s="3" t="s">
        <v>2054</v>
      </c>
      <c r="I1087" s="6"/>
      <c r="J1087" s="6"/>
      <c r="K1087" s="6"/>
      <c r="L1087" s="6"/>
      <c r="M1087" s="26"/>
      <c r="O1087" s="19" t="str">
        <f t="shared" si="2"/>
        <v/>
      </c>
    </row>
    <row r="1088">
      <c r="A1088" s="22" t="s">
        <v>1582</v>
      </c>
      <c r="B1088" s="4" t="s">
        <v>31</v>
      </c>
      <c r="C1088" s="3" t="s">
        <v>2055</v>
      </c>
      <c r="D1088" s="23" t="s">
        <v>2056</v>
      </c>
      <c r="E1088" s="29">
        <v>45934.0</v>
      </c>
      <c r="F1088" s="3">
        <v>8.0</v>
      </c>
      <c r="G1088" s="3" t="s">
        <v>92</v>
      </c>
      <c r="H1088" s="3" t="s">
        <v>2057</v>
      </c>
      <c r="I1088" s="6"/>
      <c r="J1088" s="6"/>
      <c r="K1088" s="6"/>
      <c r="L1088" s="6"/>
      <c r="M1088" s="26"/>
      <c r="O1088" s="19" t="str">
        <f t="shared" si="2"/>
        <v/>
      </c>
    </row>
    <row r="1089">
      <c r="A1089" s="22" t="s">
        <v>285</v>
      </c>
      <c r="B1089" s="4" t="s">
        <v>36</v>
      </c>
      <c r="C1089" s="3" t="s">
        <v>801</v>
      </c>
      <c r="D1089" s="23" t="s">
        <v>2058</v>
      </c>
      <c r="E1089" s="29">
        <v>45934.0</v>
      </c>
      <c r="F1089" s="3">
        <v>8.0</v>
      </c>
      <c r="G1089" s="3" t="s">
        <v>92</v>
      </c>
      <c r="H1089" s="3" t="s">
        <v>2059</v>
      </c>
      <c r="I1089" s="6"/>
      <c r="J1089" s="6"/>
      <c r="K1089" s="6"/>
      <c r="L1089" s="6"/>
      <c r="M1089" s="26"/>
      <c r="O1089" s="19" t="str">
        <f t="shared" si="2"/>
        <v/>
      </c>
    </row>
    <row r="1090">
      <c r="A1090" s="22" t="s">
        <v>1944</v>
      </c>
      <c r="B1090" s="4" t="s">
        <v>18</v>
      </c>
      <c r="C1090" s="3" t="s">
        <v>182</v>
      </c>
      <c r="D1090" s="3" t="s">
        <v>2060</v>
      </c>
      <c r="E1090" s="29">
        <v>45787.0</v>
      </c>
      <c r="F1090" s="3" t="s">
        <v>27</v>
      </c>
      <c r="G1090" s="3" t="s">
        <v>1453</v>
      </c>
      <c r="H1090" s="9" t="s">
        <v>2061</v>
      </c>
      <c r="I1090" s="6"/>
      <c r="J1090" s="6"/>
      <c r="K1090" s="6"/>
      <c r="L1090" s="6"/>
      <c r="M1090" s="26"/>
      <c r="O1090" s="19" t="str">
        <f t="shared" si="2"/>
        <v/>
      </c>
    </row>
    <row r="1091">
      <c r="A1091" s="22" t="s">
        <v>265</v>
      </c>
      <c r="B1091" s="4" t="s">
        <v>18</v>
      </c>
      <c r="C1091" s="3" t="s">
        <v>720</v>
      </c>
      <c r="D1091" s="23" t="s">
        <v>2062</v>
      </c>
      <c r="E1091" s="29">
        <v>45934.0</v>
      </c>
      <c r="F1091" s="3">
        <v>8.0</v>
      </c>
      <c r="G1091" s="3" t="s">
        <v>92</v>
      </c>
      <c r="H1091" s="3" t="s">
        <v>2063</v>
      </c>
      <c r="I1091" s="6"/>
      <c r="J1091" s="6"/>
      <c r="K1091" s="6"/>
      <c r="L1091" s="6"/>
      <c r="M1091" s="26"/>
      <c r="O1091" s="19" t="str">
        <f t="shared" si="2"/>
        <v/>
      </c>
    </row>
    <row r="1092">
      <c r="A1092" s="22" t="s">
        <v>112</v>
      </c>
      <c r="B1092" s="4" t="s">
        <v>18</v>
      </c>
      <c r="C1092" s="3" t="s">
        <v>679</v>
      </c>
      <c r="D1092" s="23" t="s">
        <v>2064</v>
      </c>
      <c r="E1092" s="29">
        <v>45934.0</v>
      </c>
      <c r="F1092" s="3">
        <v>6.0</v>
      </c>
      <c r="G1092" s="3" t="s">
        <v>92</v>
      </c>
      <c r="H1092" s="3" t="s">
        <v>1666</v>
      </c>
      <c r="I1092" s="6"/>
      <c r="J1092" s="6"/>
      <c r="K1092" s="6"/>
      <c r="L1092" s="6"/>
      <c r="M1092" s="26"/>
      <c r="O1092" s="19" t="str">
        <f t="shared" si="2"/>
        <v/>
      </c>
    </row>
    <row r="1093">
      <c r="A1093" s="22" t="s">
        <v>1255</v>
      </c>
      <c r="B1093" s="4" t="s">
        <v>18</v>
      </c>
      <c r="C1093" s="3" t="s">
        <v>2065</v>
      </c>
      <c r="D1093" s="23" t="s">
        <v>2066</v>
      </c>
      <c r="E1093" s="29">
        <v>45934.0</v>
      </c>
      <c r="F1093" s="3">
        <v>8.0</v>
      </c>
      <c r="G1093" s="3" t="s">
        <v>92</v>
      </c>
      <c r="H1093" s="3" t="s">
        <v>2067</v>
      </c>
      <c r="I1093" s="6"/>
      <c r="J1093" s="6"/>
      <c r="K1093" s="6"/>
      <c r="L1093" s="6"/>
      <c r="M1093" s="26"/>
      <c r="O1093" s="19" t="str">
        <f t="shared" si="2"/>
        <v/>
      </c>
    </row>
    <row r="1094">
      <c r="A1094" s="22" t="s">
        <v>1340</v>
      </c>
      <c r="B1094" s="4" t="s">
        <v>31</v>
      </c>
      <c r="C1094" s="3" t="s">
        <v>2005</v>
      </c>
      <c r="D1094" s="23" t="s">
        <v>2068</v>
      </c>
      <c r="E1094" s="29">
        <v>45934.0</v>
      </c>
      <c r="F1094" s="3">
        <v>9.0</v>
      </c>
      <c r="G1094" s="3" t="s">
        <v>92</v>
      </c>
      <c r="H1094" s="3" t="s">
        <v>2069</v>
      </c>
      <c r="I1094" s="6"/>
      <c r="J1094" s="6"/>
      <c r="K1094" s="6"/>
      <c r="L1094" s="6"/>
      <c r="M1094" s="26"/>
      <c r="O1094" s="19" t="str">
        <f t="shared" si="2"/>
        <v/>
      </c>
    </row>
    <row r="1095">
      <c r="A1095" s="22" t="s">
        <v>1892</v>
      </c>
      <c r="B1095" s="4" t="s">
        <v>18</v>
      </c>
      <c r="C1095" s="3" t="s">
        <v>2070</v>
      </c>
      <c r="D1095" s="23" t="s">
        <v>2071</v>
      </c>
      <c r="E1095" s="29">
        <v>45934.0</v>
      </c>
      <c r="F1095" s="3">
        <v>8.0</v>
      </c>
      <c r="G1095" s="3" t="s">
        <v>92</v>
      </c>
      <c r="H1095" s="3" t="s">
        <v>2072</v>
      </c>
      <c r="I1095" s="6"/>
      <c r="J1095" s="6"/>
      <c r="K1095" s="6"/>
      <c r="L1095" s="6"/>
      <c r="M1095" s="26"/>
      <c r="O1095" s="19" t="str">
        <f t="shared" si="2"/>
        <v/>
      </c>
    </row>
    <row r="1096">
      <c r="A1096" s="22" t="s">
        <v>44</v>
      </c>
      <c r="B1096" s="4" t="s">
        <v>45</v>
      </c>
      <c r="C1096" s="3" t="s">
        <v>2073</v>
      </c>
      <c r="D1096" s="23" t="s">
        <v>2074</v>
      </c>
      <c r="E1096" s="29">
        <v>45934.0</v>
      </c>
      <c r="F1096" s="3">
        <v>8.0</v>
      </c>
      <c r="G1096" s="3" t="s">
        <v>92</v>
      </c>
      <c r="H1096" s="3" t="s">
        <v>2075</v>
      </c>
      <c r="I1096" s="6"/>
      <c r="J1096" s="6"/>
      <c r="K1096" s="6"/>
      <c r="L1096" s="6"/>
      <c r="M1096" s="26"/>
      <c r="O1096" s="19" t="str">
        <f t="shared" si="2"/>
        <v/>
      </c>
    </row>
    <row r="1097">
      <c r="A1097" s="22" t="s">
        <v>532</v>
      </c>
      <c r="B1097" s="4" t="s">
        <v>18</v>
      </c>
      <c r="C1097" s="3" t="s">
        <v>835</v>
      </c>
      <c r="D1097" s="23" t="s">
        <v>2076</v>
      </c>
      <c r="E1097" s="29">
        <v>45934.0</v>
      </c>
      <c r="F1097" s="3">
        <v>8.0</v>
      </c>
      <c r="G1097" s="3" t="s">
        <v>92</v>
      </c>
      <c r="H1097" s="3" t="s">
        <v>2077</v>
      </c>
      <c r="I1097" s="6"/>
      <c r="J1097" s="6"/>
      <c r="K1097" s="6"/>
      <c r="L1097" s="6"/>
      <c r="M1097" s="26"/>
      <c r="O1097" s="19" t="str">
        <f t="shared" si="2"/>
        <v/>
      </c>
    </row>
    <row r="1098">
      <c r="A1098" s="22" t="s">
        <v>479</v>
      </c>
      <c r="B1098" s="4" t="s">
        <v>18</v>
      </c>
      <c r="C1098" s="3" t="s">
        <v>2078</v>
      </c>
      <c r="D1098" s="23" t="s">
        <v>2079</v>
      </c>
      <c r="E1098" s="29">
        <v>45934.0</v>
      </c>
      <c r="F1098" s="3">
        <v>8.0</v>
      </c>
      <c r="G1098" s="3" t="s">
        <v>92</v>
      </c>
      <c r="H1098" s="3" t="s">
        <v>2080</v>
      </c>
      <c r="I1098" s="6"/>
      <c r="J1098" s="6"/>
      <c r="K1098" s="6"/>
      <c r="L1098" s="6"/>
      <c r="M1098" s="26"/>
      <c r="O1098" s="19" t="str">
        <f t="shared" si="2"/>
        <v/>
      </c>
    </row>
    <row r="1099">
      <c r="A1099" s="22" t="s">
        <v>1660</v>
      </c>
      <c r="B1099" s="4" t="s">
        <v>36</v>
      </c>
      <c r="C1099" s="3" t="s">
        <v>2081</v>
      </c>
      <c r="D1099" s="23" t="s">
        <v>2082</v>
      </c>
      <c r="E1099" s="29">
        <v>45934.0</v>
      </c>
      <c r="F1099" s="3">
        <v>6.0</v>
      </c>
      <c r="G1099" s="3" t="s">
        <v>92</v>
      </c>
      <c r="H1099" s="3" t="s">
        <v>2083</v>
      </c>
      <c r="I1099" s="6"/>
      <c r="J1099" s="6"/>
      <c r="K1099" s="6"/>
      <c r="L1099" s="6"/>
      <c r="M1099" s="26"/>
      <c r="O1099" s="19" t="str">
        <f t="shared" si="2"/>
        <v/>
      </c>
    </row>
    <row r="1100">
      <c r="A1100" s="22" t="s">
        <v>1266</v>
      </c>
      <c r="B1100" s="4" t="s">
        <v>31</v>
      </c>
      <c r="C1100" s="3" t="s">
        <v>2084</v>
      </c>
      <c r="D1100" s="23" t="s">
        <v>2085</v>
      </c>
      <c r="E1100" s="29">
        <v>45934.0</v>
      </c>
      <c r="F1100" s="3">
        <v>8.0</v>
      </c>
      <c r="G1100" s="3" t="s">
        <v>92</v>
      </c>
      <c r="H1100" s="3" t="s">
        <v>2086</v>
      </c>
      <c r="I1100" s="6"/>
      <c r="J1100" s="6"/>
      <c r="K1100" s="6"/>
      <c r="L1100" s="6"/>
      <c r="M1100" s="26"/>
      <c r="O1100" s="19" t="str">
        <f t="shared" si="2"/>
        <v/>
      </c>
    </row>
    <row r="1101">
      <c r="A1101" s="22" t="s">
        <v>61</v>
      </c>
      <c r="B1101" s="4" t="s">
        <v>18</v>
      </c>
      <c r="C1101" s="3" t="s">
        <v>2087</v>
      </c>
      <c r="D1101" s="23" t="s">
        <v>2088</v>
      </c>
      <c r="E1101" s="29">
        <v>45934.0</v>
      </c>
      <c r="F1101" s="3">
        <v>8.0</v>
      </c>
      <c r="G1101" s="3" t="s">
        <v>92</v>
      </c>
      <c r="H1101" s="3" t="s">
        <v>2089</v>
      </c>
      <c r="I1101" s="6"/>
      <c r="J1101" s="6"/>
      <c r="K1101" s="6"/>
      <c r="L1101" s="6"/>
      <c r="M1101" s="26"/>
      <c r="O1101" s="19" t="str">
        <f t="shared" si="2"/>
        <v/>
      </c>
    </row>
    <row r="1102">
      <c r="A1102" s="22" t="s">
        <v>168</v>
      </c>
      <c r="B1102" s="4" t="s">
        <v>45</v>
      </c>
      <c r="C1102" s="3" t="s">
        <v>1985</v>
      </c>
      <c r="D1102" s="23" t="s">
        <v>2090</v>
      </c>
      <c r="E1102" s="29">
        <v>45934.0</v>
      </c>
      <c r="F1102" s="3">
        <v>8.0</v>
      </c>
      <c r="G1102" s="3" t="s">
        <v>92</v>
      </c>
      <c r="H1102" s="3" t="s">
        <v>2091</v>
      </c>
      <c r="I1102" s="6"/>
      <c r="J1102" s="6"/>
      <c r="K1102" s="6"/>
      <c r="L1102" s="6"/>
      <c r="M1102" s="26"/>
      <c r="O1102" s="19" t="str">
        <f t="shared" si="2"/>
        <v/>
      </c>
    </row>
    <row r="1103">
      <c r="A1103" s="22" t="s">
        <v>532</v>
      </c>
      <c r="B1103" s="4" t="s">
        <v>18</v>
      </c>
      <c r="C1103" s="3" t="s">
        <v>1143</v>
      </c>
      <c r="D1103" s="23" t="s">
        <v>2092</v>
      </c>
      <c r="E1103" s="29">
        <v>45934.0</v>
      </c>
      <c r="F1103" s="3">
        <v>6.0</v>
      </c>
      <c r="G1103" s="3" t="s">
        <v>92</v>
      </c>
      <c r="H1103" s="3" t="s">
        <v>2093</v>
      </c>
      <c r="I1103" s="6"/>
      <c r="J1103" s="6"/>
      <c r="K1103" s="6"/>
      <c r="L1103" s="6"/>
      <c r="M1103" s="26"/>
      <c r="O1103" s="19" t="str">
        <f t="shared" si="2"/>
        <v/>
      </c>
    </row>
    <row r="1104">
      <c r="A1104" s="22" t="s">
        <v>244</v>
      </c>
      <c r="B1104" s="4" t="s">
        <v>18</v>
      </c>
      <c r="C1104" s="3" t="s">
        <v>315</v>
      </c>
      <c r="D1104" s="23" t="s">
        <v>2094</v>
      </c>
      <c r="E1104" s="29">
        <v>45934.0</v>
      </c>
      <c r="F1104" s="3">
        <v>8.0</v>
      </c>
      <c r="G1104" s="3" t="s">
        <v>92</v>
      </c>
      <c r="H1104" s="3" t="s">
        <v>2095</v>
      </c>
      <c r="I1104" s="6"/>
      <c r="J1104" s="6"/>
      <c r="K1104" s="6"/>
      <c r="L1104" s="6"/>
      <c r="M1104" s="26"/>
      <c r="O1104" s="19" t="str">
        <f t="shared" si="2"/>
        <v/>
      </c>
    </row>
    <row r="1105">
      <c r="A1105" s="22" t="s">
        <v>510</v>
      </c>
      <c r="B1105" s="4" t="s">
        <v>18</v>
      </c>
      <c r="C1105" s="3" t="s">
        <v>2096</v>
      </c>
      <c r="D1105" s="23" t="s">
        <v>2097</v>
      </c>
      <c r="E1105" s="29">
        <v>45934.0</v>
      </c>
      <c r="F1105" s="3">
        <v>5.0</v>
      </c>
      <c r="G1105" s="3" t="s">
        <v>92</v>
      </c>
      <c r="H1105" s="3" t="s">
        <v>2098</v>
      </c>
      <c r="I1105" s="6"/>
      <c r="J1105" s="6"/>
      <c r="K1105" s="6"/>
      <c r="L1105" s="6"/>
      <c r="M1105" s="26"/>
      <c r="O1105" s="19" t="str">
        <f t="shared" si="2"/>
        <v/>
      </c>
    </row>
    <row r="1106">
      <c r="A1106" s="22" t="s">
        <v>57</v>
      </c>
      <c r="B1106" s="4" t="s">
        <v>18</v>
      </c>
      <c r="C1106" s="3" t="s">
        <v>2099</v>
      </c>
      <c r="D1106" s="3" t="s">
        <v>2100</v>
      </c>
      <c r="E1106" s="38">
        <v>45787.0</v>
      </c>
      <c r="F1106" s="3" t="s">
        <v>27</v>
      </c>
      <c r="G1106" s="3"/>
      <c r="H1106" s="9"/>
      <c r="I1106" s="6"/>
      <c r="J1106" s="6"/>
      <c r="K1106" s="6"/>
      <c r="L1106" s="6"/>
      <c r="M1106" s="14"/>
      <c r="O1106" s="19" t="str">
        <f t="shared" si="2"/>
        <v/>
      </c>
    </row>
    <row r="1107">
      <c r="A1107" s="22" t="s">
        <v>291</v>
      </c>
      <c r="B1107" s="4" t="s">
        <v>31</v>
      </c>
      <c r="C1107" s="3" t="s">
        <v>2101</v>
      </c>
      <c r="D1107" s="23" t="s">
        <v>2102</v>
      </c>
      <c r="E1107" s="29">
        <v>45935.0</v>
      </c>
      <c r="F1107" s="3">
        <v>6.0</v>
      </c>
      <c r="G1107" s="3" t="s">
        <v>92</v>
      </c>
      <c r="H1107" s="3" t="s">
        <v>2103</v>
      </c>
      <c r="I1107" s="6"/>
      <c r="J1107" s="6"/>
      <c r="K1107" s="6"/>
      <c r="L1107" s="6"/>
      <c r="M1107" s="26"/>
      <c r="O1107" s="19" t="str">
        <f t="shared" si="2"/>
        <v/>
      </c>
    </row>
    <row r="1108">
      <c r="A1108" s="22" t="s">
        <v>274</v>
      </c>
      <c r="B1108" s="4" t="s">
        <v>18</v>
      </c>
      <c r="C1108" s="3">
        <v>4680.0</v>
      </c>
      <c r="D1108" s="23"/>
      <c r="E1108" s="29">
        <v>45935.0</v>
      </c>
      <c r="F1108" s="3">
        <v>5.0</v>
      </c>
      <c r="G1108" s="3" t="s">
        <v>92</v>
      </c>
      <c r="H1108" s="3" t="s">
        <v>2104</v>
      </c>
      <c r="I1108" s="6"/>
      <c r="J1108" s="6"/>
      <c r="K1108" s="6"/>
      <c r="L1108" s="6"/>
      <c r="M1108" s="26"/>
      <c r="O1108" s="19" t="str">
        <f t="shared" si="2"/>
        <v/>
      </c>
    </row>
    <row r="1109">
      <c r="A1109" s="22" t="s">
        <v>274</v>
      </c>
      <c r="B1109" s="4" t="s">
        <v>18</v>
      </c>
      <c r="C1109" s="3" t="s">
        <v>2105</v>
      </c>
      <c r="D1109" s="23" t="s">
        <v>2106</v>
      </c>
      <c r="E1109" s="29">
        <v>45935.0</v>
      </c>
      <c r="F1109" s="3">
        <v>8.0</v>
      </c>
      <c r="G1109" s="3" t="s">
        <v>92</v>
      </c>
      <c r="H1109" s="3" t="s">
        <v>2107</v>
      </c>
      <c r="I1109" s="6"/>
      <c r="J1109" s="6"/>
      <c r="K1109" s="6"/>
      <c r="L1109" s="6"/>
      <c r="M1109" s="26"/>
      <c r="O1109" s="19" t="str">
        <f t="shared" si="2"/>
        <v/>
      </c>
    </row>
    <row r="1110">
      <c r="A1110" s="22" t="s">
        <v>479</v>
      </c>
      <c r="B1110" s="4" t="s">
        <v>18</v>
      </c>
      <c r="C1110" s="3" t="s">
        <v>480</v>
      </c>
      <c r="D1110" s="23" t="s">
        <v>2108</v>
      </c>
      <c r="E1110" s="29">
        <v>45935.0</v>
      </c>
      <c r="F1110" s="3">
        <v>8.0</v>
      </c>
      <c r="G1110" s="3" t="s">
        <v>92</v>
      </c>
      <c r="H1110" s="3" t="s">
        <v>2109</v>
      </c>
      <c r="I1110" s="6"/>
      <c r="J1110" s="6"/>
      <c r="K1110" s="6"/>
      <c r="L1110" s="6"/>
      <c r="M1110" s="26"/>
      <c r="O1110" s="19" t="str">
        <f t="shared" si="2"/>
        <v/>
      </c>
    </row>
    <row r="1111">
      <c r="A1111" s="22" t="s">
        <v>184</v>
      </c>
      <c r="B1111" s="4" t="s">
        <v>18</v>
      </c>
      <c r="C1111" s="3" t="s">
        <v>2110</v>
      </c>
      <c r="D1111" s="23" t="s">
        <v>2111</v>
      </c>
      <c r="E1111" s="29">
        <v>45935.0</v>
      </c>
      <c r="F1111" s="3">
        <v>8.0</v>
      </c>
      <c r="G1111" s="3" t="s">
        <v>92</v>
      </c>
      <c r="H1111" s="3" t="s">
        <v>2112</v>
      </c>
      <c r="I1111" s="6"/>
      <c r="J1111" s="6"/>
      <c r="K1111" s="6"/>
      <c r="L1111" s="6"/>
      <c r="M1111" s="26"/>
      <c r="O1111" s="19" t="str">
        <f t="shared" si="2"/>
        <v/>
      </c>
    </row>
    <row r="1112">
      <c r="A1112" s="22" t="s">
        <v>113</v>
      </c>
      <c r="B1112" s="4" t="s">
        <v>18</v>
      </c>
      <c r="C1112" s="3">
        <v>4218.0</v>
      </c>
      <c r="D1112" s="23"/>
      <c r="E1112" s="29">
        <v>45935.0</v>
      </c>
      <c r="F1112" s="3">
        <v>5.0</v>
      </c>
      <c r="G1112" s="3" t="s">
        <v>92</v>
      </c>
      <c r="H1112" s="3" t="s">
        <v>2113</v>
      </c>
      <c r="I1112" s="6"/>
      <c r="J1112" s="6"/>
      <c r="K1112" s="6"/>
      <c r="L1112" s="6"/>
      <c r="M1112" s="26"/>
      <c r="O1112" s="19" t="str">
        <f t="shared" si="2"/>
        <v/>
      </c>
    </row>
    <row r="1113">
      <c r="A1113" s="22" t="s">
        <v>107</v>
      </c>
      <c r="B1113" s="4" t="s">
        <v>18</v>
      </c>
      <c r="C1113" s="3" t="s">
        <v>2114</v>
      </c>
      <c r="D1113" s="23" t="s">
        <v>2115</v>
      </c>
      <c r="E1113" s="29">
        <v>45935.0</v>
      </c>
      <c r="F1113" s="3">
        <v>8.0</v>
      </c>
      <c r="G1113" s="3" t="s">
        <v>92</v>
      </c>
      <c r="H1113" s="3" t="s">
        <v>2116</v>
      </c>
      <c r="I1113" s="6"/>
      <c r="J1113" s="6"/>
      <c r="K1113" s="6"/>
      <c r="L1113" s="6"/>
      <c r="M1113" s="26"/>
      <c r="O1113" s="19" t="str">
        <f t="shared" si="2"/>
        <v/>
      </c>
    </row>
    <row r="1114">
      <c r="A1114" s="22" t="s">
        <v>305</v>
      </c>
      <c r="B1114" s="4" t="s">
        <v>36</v>
      </c>
      <c r="C1114" s="3" t="s">
        <v>247</v>
      </c>
      <c r="D1114" s="23"/>
      <c r="E1114" s="29">
        <v>45935.0</v>
      </c>
      <c r="F1114" s="3">
        <v>5.0</v>
      </c>
      <c r="G1114" s="3" t="s">
        <v>92</v>
      </c>
      <c r="H1114" s="3" t="s">
        <v>2117</v>
      </c>
      <c r="I1114" s="6"/>
      <c r="J1114" s="6"/>
      <c r="K1114" s="6"/>
      <c r="L1114" s="6"/>
      <c r="M1114" s="26"/>
      <c r="O1114" s="19" t="str">
        <f t="shared" si="2"/>
        <v/>
      </c>
    </row>
    <row r="1115">
      <c r="A1115" s="22" t="s">
        <v>744</v>
      </c>
      <c r="B1115" s="4" t="s">
        <v>18</v>
      </c>
      <c r="C1115" s="3" t="s">
        <v>2118</v>
      </c>
      <c r="D1115" s="23" t="s">
        <v>2119</v>
      </c>
      <c r="E1115" s="29">
        <v>45935.0</v>
      </c>
      <c r="F1115" s="3">
        <v>8.0</v>
      </c>
      <c r="G1115" s="3" t="s">
        <v>92</v>
      </c>
      <c r="H1115" s="3" t="s">
        <v>2120</v>
      </c>
      <c r="I1115" s="6"/>
      <c r="J1115" s="6"/>
      <c r="K1115" s="6"/>
      <c r="L1115" s="6"/>
      <c r="M1115" s="26"/>
      <c r="O1115" s="19" t="str">
        <f t="shared" si="2"/>
        <v/>
      </c>
    </row>
    <row r="1116">
      <c r="A1116" s="22" t="s">
        <v>1266</v>
      </c>
      <c r="B1116" s="4" t="s">
        <v>31</v>
      </c>
      <c r="C1116" s="3" t="s">
        <v>2121</v>
      </c>
      <c r="D1116" s="23" t="s">
        <v>2122</v>
      </c>
      <c r="E1116" s="29">
        <v>45935.0</v>
      </c>
      <c r="F1116" s="3">
        <v>8.0</v>
      </c>
      <c r="G1116" s="3" t="s">
        <v>92</v>
      </c>
      <c r="H1116" s="3" t="s">
        <v>2123</v>
      </c>
      <c r="I1116" s="6"/>
      <c r="J1116" s="6"/>
      <c r="K1116" s="6"/>
      <c r="L1116" s="6"/>
      <c r="M1116" s="26"/>
      <c r="O1116" s="19" t="str">
        <f t="shared" si="2"/>
        <v/>
      </c>
    </row>
    <row r="1117">
      <c r="A1117" s="22" t="s">
        <v>198</v>
      </c>
      <c r="B1117" s="4" t="s">
        <v>109</v>
      </c>
      <c r="C1117" s="3" t="s">
        <v>2124</v>
      </c>
      <c r="D1117" s="23" t="s">
        <v>2125</v>
      </c>
      <c r="E1117" s="29">
        <v>45935.0</v>
      </c>
      <c r="F1117" s="3">
        <v>8.0</v>
      </c>
      <c r="G1117" s="3" t="s">
        <v>92</v>
      </c>
      <c r="H1117" s="3" t="s">
        <v>2126</v>
      </c>
      <c r="I1117" s="6"/>
      <c r="J1117" s="6"/>
      <c r="K1117" s="6"/>
      <c r="L1117" s="6"/>
      <c r="M1117" s="26"/>
      <c r="O1117" s="19" t="str">
        <f t="shared" si="2"/>
        <v/>
      </c>
    </row>
    <row r="1118">
      <c r="A1118" s="22" t="s">
        <v>113</v>
      </c>
      <c r="B1118" s="4" t="s">
        <v>18</v>
      </c>
      <c r="C1118" s="3" t="s">
        <v>127</v>
      </c>
      <c r="D1118" s="23" t="s">
        <v>2127</v>
      </c>
      <c r="E1118" s="29">
        <v>45935.0</v>
      </c>
      <c r="F1118" s="3">
        <v>8.0</v>
      </c>
      <c r="G1118" s="3" t="s">
        <v>92</v>
      </c>
      <c r="H1118" s="3" t="s">
        <v>2128</v>
      </c>
      <c r="I1118" s="6"/>
      <c r="J1118" s="6"/>
      <c r="K1118" s="6"/>
      <c r="L1118" s="6"/>
      <c r="M1118" s="26"/>
      <c r="O1118" s="19" t="str">
        <f t="shared" si="2"/>
        <v/>
      </c>
    </row>
    <row r="1119">
      <c r="A1119" s="22" t="s">
        <v>168</v>
      </c>
      <c r="B1119" s="4" t="s">
        <v>45</v>
      </c>
      <c r="C1119" s="3" t="s">
        <v>2129</v>
      </c>
      <c r="D1119" s="23" t="s">
        <v>2130</v>
      </c>
      <c r="E1119" s="29">
        <v>45935.0</v>
      </c>
      <c r="F1119" s="3">
        <v>8.0</v>
      </c>
      <c r="G1119" s="3" t="s">
        <v>92</v>
      </c>
      <c r="H1119" s="3" t="s">
        <v>2131</v>
      </c>
      <c r="I1119" s="6"/>
      <c r="J1119" s="6"/>
      <c r="K1119" s="6"/>
      <c r="L1119" s="6"/>
      <c r="M1119" s="26"/>
      <c r="O1119" s="19" t="str">
        <f t="shared" si="2"/>
        <v/>
      </c>
    </row>
    <row r="1120">
      <c r="A1120" s="22" t="s">
        <v>98</v>
      </c>
      <c r="B1120" s="4" t="s">
        <v>31</v>
      </c>
      <c r="C1120" s="3" t="s">
        <v>558</v>
      </c>
      <c r="D1120" s="23" t="s">
        <v>2132</v>
      </c>
      <c r="E1120" s="29">
        <v>45935.0</v>
      </c>
      <c r="F1120" s="3">
        <v>6.0</v>
      </c>
      <c r="G1120" s="3" t="s">
        <v>92</v>
      </c>
      <c r="H1120" s="3" t="s">
        <v>2133</v>
      </c>
      <c r="I1120" s="6"/>
      <c r="J1120" s="6"/>
      <c r="K1120" s="6"/>
      <c r="L1120" s="6"/>
      <c r="M1120" s="26"/>
      <c r="O1120" s="19" t="str">
        <f t="shared" si="2"/>
        <v/>
      </c>
    </row>
    <row r="1121">
      <c r="A1121" s="22" t="s">
        <v>98</v>
      </c>
      <c r="B1121" s="4" t="s">
        <v>31</v>
      </c>
      <c r="C1121" s="3" t="s">
        <v>99</v>
      </c>
      <c r="D1121" s="23" t="s">
        <v>2134</v>
      </c>
      <c r="E1121" s="29">
        <v>45935.0</v>
      </c>
      <c r="F1121" s="3">
        <v>8.0</v>
      </c>
      <c r="G1121" s="3" t="s">
        <v>92</v>
      </c>
      <c r="H1121" s="3" t="s">
        <v>2135</v>
      </c>
      <c r="I1121" s="6"/>
      <c r="J1121" s="6"/>
      <c r="K1121" s="6"/>
      <c r="L1121" s="6"/>
      <c r="M1121" s="26"/>
      <c r="O1121" s="19" t="str">
        <f t="shared" si="2"/>
        <v/>
      </c>
    </row>
    <row r="1122">
      <c r="A1122" s="22" t="s">
        <v>1320</v>
      </c>
      <c r="B1122" s="4" t="s">
        <v>45</v>
      </c>
      <c r="C1122" s="3" t="s">
        <v>1735</v>
      </c>
      <c r="D1122" s="23" t="s">
        <v>2136</v>
      </c>
      <c r="E1122" s="29">
        <v>45935.0</v>
      </c>
      <c r="F1122" s="3">
        <v>8.0</v>
      </c>
      <c r="G1122" s="3" t="s">
        <v>92</v>
      </c>
      <c r="H1122" s="3" t="s">
        <v>2137</v>
      </c>
      <c r="I1122" s="6"/>
      <c r="J1122" s="6"/>
      <c r="K1122" s="6"/>
      <c r="L1122" s="6"/>
      <c r="M1122" s="26"/>
      <c r="O1122" s="19" t="str">
        <f t="shared" si="2"/>
        <v/>
      </c>
    </row>
    <row r="1123">
      <c r="A1123" s="22" t="s">
        <v>246</v>
      </c>
      <c r="B1123" s="4" t="s">
        <v>36</v>
      </c>
      <c r="C1123" s="3" t="s">
        <v>1282</v>
      </c>
      <c r="D1123" s="23"/>
      <c r="E1123" s="29">
        <v>45935.0</v>
      </c>
      <c r="F1123" s="3">
        <v>6.0</v>
      </c>
      <c r="G1123" s="3" t="s">
        <v>92</v>
      </c>
      <c r="H1123" s="3" t="s">
        <v>2138</v>
      </c>
      <c r="I1123" s="6"/>
      <c r="J1123" s="6"/>
      <c r="K1123" s="6"/>
      <c r="L1123" s="6"/>
      <c r="M1123" s="26"/>
      <c r="O1123" s="19" t="str">
        <f t="shared" si="2"/>
        <v/>
      </c>
    </row>
    <row r="1124">
      <c r="A1124" s="22" t="s">
        <v>576</v>
      </c>
      <c r="B1124" s="4" t="s">
        <v>31</v>
      </c>
      <c r="C1124" s="3" t="s">
        <v>658</v>
      </c>
      <c r="D1124" s="23" t="s">
        <v>2139</v>
      </c>
      <c r="E1124" s="29">
        <v>45935.0</v>
      </c>
      <c r="F1124" s="3">
        <v>8.0</v>
      </c>
      <c r="G1124" s="3" t="s">
        <v>92</v>
      </c>
      <c r="H1124" s="3" t="s">
        <v>2140</v>
      </c>
      <c r="I1124" s="6"/>
      <c r="J1124" s="6"/>
      <c r="K1124" s="6"/>
      <c r="L1124" s="6"/>
      <c r="M1124" s="26"/>
      <c r="O1124" s="19" t="str">
        <f t="shared" si="2"/>
        <v/>
      </c>
    </row>
    <row r="1125">
      <c r="A1125" s="22" t="s">
        <v>137</v>
      </c>
      <c r="B1125" s="4" t="s">
        <v>18</v>
      </c>
      <c r="C1125" s="3" t="s">
        <v>2141</v>
      </c>
      <c r="D1125" s="23" t="s">
        <v>2142</v>
      </c>
      <c r="E1125" s="29">
        <v>45935.0</v>
      </c>
      <c r="F1125" s="3">
        <v>9.0</v>
      </c>
      <c r="G1125" s="3" t="s">
        <v>92</v>
      </c>
      <c r="H1125" s="3" t="s">
        <v>2143</v>
      </c>
      <c r="I1125" s="6"/>
      <c r="J1125" s="6"/>
      <c r="K1125" s="6"/>
      <c r="L1125" s="6"/>
      <c r="M1125" s="26"/>
      <c r="O1125" s="19" t="str">
        <f t="shared" si="2"/>
        <v/>
      </c>
    </row>
    <row r="1126">
      <c r="A1126" s="22" t="s">
        <v>265</v>
      </c>
      <c r="B1126" s="4" t="s">
        <v>18</v>
      </c>
      <c r="C1126" s="3" t="s">
        <v>2144</v>
      </c>
      <c r="D1126" s="23" t="s">
        <v>2145</v>
      </c>
      <c r="E1126" s="29">
        <v>45935.0</v>
      </c>
      <c r="F1126" s="3">
        <v>8.0</v>
      </c>
      <c r="G1126" s="3" t="s">
        <v>92</v>
      </c>
      <c r="H1126" s="3" t="s">
        <v>2146</v>
      </c>
      <c r="I1126" s="6"/>
      <c r="J1126" s="6"/>
      <c r="K1126" s="6"/>
      <c r="L1126" s="6"/>
      <c r="M1126" s="26"/>
      <c r="O1126" s="19" t="str">
        <f t="shared" si="2"/>
        <v/>
      </c>
    </row>
    <row r="1127">
      <c r="A1127" s="22" t="s">
        <v>276</v>
      </c>
      <c r="B1127" s="4" t="s">
        <v>18</v>
      </c>
      <c r="C1127" s="3" t="s">
        <v>2147</v>
      </c>
      <c r="D1127" s="23" t="s">
        <v>2148</v>
      </c>
      <c r="E1127" s="29">
        <v>45935.0</v>
      </c>
      <c r="F1127" s="3">
        <v>8.0</v>
      </c>
      <c r="G1127" s="3" t="s">
        <v>92</v>
      </c>
      <c r="H1127" s="3" t="s">
        <v>2149</v>
      </c>
      <c r="I1127" s="6"/>
      <c r="J1127" s="6"/>
      <c r="K1127" s="6"/>
      <c r="L1127" s="6"/>
      <c r="M1127" s="26"/>
      <c r="O1127" s="19" t="str">
        <f t="shared" si="2"/>
        <v/>
      </c>
    </row>
    <row r="1128">
      <c r="A1128" s="22" t="s">
        <v>113</v>
      </c>
      <c r="B1128" s="4" t="s">
        <v>18</v>
      </c>
      <c r="C1128" s="3" t="s">
        <v>2027</v>
      </c>
      <c r="D1128" s="3" t="s">
        <v>2150</v>
      </c>
      <c r="E1128" s="29">
        <v>45935.0</v>
      </c>
      <c r="F1128" s="3" t="s">
        <v>27</v>
      </c>
      <c r="G1128" s="3" t="s">
        <v>129</v>
      </c>
      <c r="H1128" s="9"/>
      <c r="I1128" s="6"/>
      <c r="J1128" s="6"/>
      <c r="K1128" s="6"/>
      <c r="L1128" s="6"/>
      <c r="M1128" s="26"/>
      <c r="O1128" s="19" t="str">
        <f t="shared" si="2"/>
        <v/>
      </c>
    </row>
    <row r="1129">
      <c r="A1129" s="22" t="s">
        <v>112</v>
      </c>
      <c r="B1129" s="4" t="s">
        <v>18</v>
      </c>
      <c r="C1129" s="3" t="s">
        <v>530</v>
      </c>
      <c r="D1129" s="3" t="s">
        <v>2151</v>
      </c>
      <c r="E1129" s="29">
        <v>45935.0</v>
      </c>
      <c r="F1129" s="3" t="s">
        <v>27</v>
      </c>
      <c r="G1129" s="3" t="s">
        <v>129</v>
      </c>
      <c r="H1129" s="9"/>
      <c r="I1129" s="6"/>
      <c r="J1129" s="6"/>
      <c r="K1129" s="6"/>
      <c r="L1129" s="6"/>
      <c r="M1129" s="26"/>
      <c r="O1129" s="19" t="str">
        <f t="shared" si="2"/>
        <v/>
      </c>
    </row>
    <row r="1130">
      <c r="A1130" s="22" t="s">
        <v>276</v>
      </c>
      <c r="B1130" s="4" t="s">
        <v>18</v>
      </c>
      <c r="C1130" s="3" t="s">
        <v>430</v>
      </c>
      <c r="D1130" s="3" t="s">
        <v>2152</v>
      </c>
      <c r="E1130" s="29">
        <v>45935.0</v>
      </c>
      <c r="F1130" s="3" t="s">
        <v>27</v>
      </c>
      <c r="G1130" s="3" t="s">
        <v>129</v>
      </c>
      <c r="H1130" s="9"/>
      <c r="I1130" s="6"/>
      <c r="J1130" s="6"/>
      <c r="K1130" s="6"/>
      <c r="L1130" s="6"/>
      <c r="M1130" s="26"/>
      <c r="O1130" s="19" t="str">
        <f t="shared" si="2"/>
        <v/>
      </c>
    </row>
    <row r="1131">
      <c r="A1131" s="22" t="s">
        <v>427</v>
      </c>
      <c r="B1131" s="4" t="s">
        <v>18</v>
      </c>
      <c r="C1131" s="3" t="s">
        <v>1398</v>
      </c>
      <c r="D1131" s="3" t="s">
        <v>2153</v>
      </c>
      <c r="E1131" s="29">
        <v>45935.0</v>
      </c>
      <c r="F1131" s="3" t="s">
        <v>27</v>
      </c>
      <c r="G1131" s="3" t="s">
        <v>129</v>
      </c>
      <c r="H1131" s="9"/>
      <c r="I1131" s="6"/>
      <c r="J1131" s="6"/>
      <c r="K1131" s="6"/>
      <c r="L1131" s="6"/>
      <c r="M1131" s="26"/>
      <c r="O1131" s="19" t="str">
        <f t="shared" si="2"/>
        <v/>
      </c>
    </row>
    <row r="1132">
      <c r="A1132" s="22" t="s">
        <v>435</v>
      </c>
      <c r="B1132" s="4" t="s">
        <v>18</v>
      </c>
      <c r="C1132" s="3" t="s">
        <v>2154</v>
      </c>
      <c r="D1132" s="23" t="s">
        <v>2155</v>
      </c>
      <c r="E1132" s="29">
        <v>45936.0</v>
      </c>
      <c r="F1132" s="3">
        <v>8.0</v>
      </c>
      <c r="G1132" s="3" t="s">
        <v>92</v>
      </c>
      <c r="H1132" s="3" t="s">
        <v>2156</v>
      </c>
      <c r="I1132" s="6"/>
      <c r="J1132" s="6"/>
      <c r="K1132" s="6"/>
      <c r="L1132" s="6"/>
      <c r="M1132" s="26"/>
      <c r="O1132" s="19" t="str">
        <f t="shared" si="2"/>
        <v/>
      </c>
    </row>
    <row r="1133">
      <c r="A1133" s="22" t="s">
        <v>23</v>
      </c>
      <c r="B1133" s="4" t="s">
        <v>18</v>
      </c>
      <c r="C1133" s="3" t="s">
        <v>53</v>
      </c>
      <c r="D1133" s="23" t="s">
        <v>2157</v>
      </c>
      <c r="E1133" s="29">
        <v>45936.0</v>
      </c>
      <c r="F1133" s="3">
        <v>8.0</v>
      </c>
      <c r="G1133" s="3" t="s">
        <v>92</v>
      </c>
      <c r="H1133" s="9" t="s">
        <v>2158</v>
      </c>
      <c r="I1133" s="9">
        <v>6.1481198164E10</v>
      </c>
      <c r="J1133" s="10" t="s">
        <v>2159</v>
      </c>
      <c r="K1133" s="9">
        <v>0.0</v>
      </c>
      <c r="L1133" s="6"/>
      <c r="M1133" s="26"/>
      <c r="O1133" s="19" t="str">
        <f t="shared" si="2"/>
        <v/>
      </c>
    </row>
    <row r="1134">
      <c r="A1134" s="22" t="s">
        <v>276</v>
      </c>
      <c r="B1134" s="4" t="s">
        <v>18</v>
      </c>
      <c r="C1134" s="3" t="s">
        <v>2160</v>
      </c>
      <c r="D1134" s="23" t="s">
        <v>2161</v>
      </c>
      <c r="E1134" s="29">
        <v>45936.0</v>
      </c>
      <c r="F1134" s="3">
        <v>8.0</v>
      </c>
      <c r="G1134" s="3" t="s">
        <v>92</v>
      </c>
      <c r="H1134" s="3" t="s">
        <v>2162</v>
      </c>
      <c r="I1134" s="6"/>
      <c r="J1134" s="6"/>
      <c r="K1134" s="6"/>
      <c r="L1134" s="6"/>
      <c r="M1134" s="26"/>
      <c r="O1134" s="19" t="str">
        <f t="shared" si="2"/>
        <v/>
      </c>
    </row>
    <row r="1135">
      <c r="A1135" s="22" t="s">
        <v>113</v>
      </c>
      <c r="B1135" s="4" t="s">
        <v>18</v>
      </c>
      <c r="C1135" s="3" t="s">
        <v>446</v>
      </c>
      <c r="D1135" s="23" t="s">
        <v>2163</v>
      </c>
      <c r="E1135" s="29">
        <v>45936.0</v>
      </c>
      <c r="F1135" s="3">
        <v>8.0</v>
      </c>
      <c r="G1135" s="3" t="s">
        <v>92</v>
      </c>
      <c r="H1135" s="3" t="s">
        <v>2164</v>
      </c>
      <c r="I1135" s="6"/>
      <c r="J1135" s="6"/>
      <c r="K1135" s="6"/>
      <c r="L1135" s="6"/>
      <c r="M1135" s="26"/>
      <c r="O1135" s="19" t="str">
        <f t="shared" si="2"/>
        <v/>
      </c>
    </row>
    <row r="1136">
      <c r="A1136" s="22" t="s">
        <v>305</v>
      </c>
      <c r="B1136" s="4" t="s">
        <v>36</v>
      </c>
      <c r="C1136" s="3" t="s">
        <v>306</v>
      </c>
      <c r="D1136" s="23" t="s">
        <v>2165</v>
      </c>
      <c r="E1136" s="29">
        <v>45936.0</v>
      </c>
      <c r="F1136" s="3">
        <v>8.0</v>
      </c>
      <c r="G1136" s="3" t="s">
        <v>92</v>
      </c>
      <c r="H1136" s="3" t="s">
        <v>2166</v>
      </c>
      <c r="I1136" s="6"/>
      <c r="J1136" s="6"/>
      <c r="K1136" s="6"/>
      <c r="L1136" s="6"/>
      <c r="M1136" s="26"/>
      <c r="O1136" s="19" t="str">
        <f t="shared" si="2"/>
        <v/>
      </c>
    </row>
    <row r="1137">
      <c r="A1137" s="22" t="s">
        <v>1062</v>
      </c>
      <c r="B1137" s="4" t="s">
        <v>18</v>
      </c>
      <c r="C1137" s="3" t="s">
        <v>2167</v>
      </c>
      <c r="D1137" s="23" t="s">
        <v>2168</v>
      </c>
      <c r="E1137" s="29">
        <v>45936.0</v>
      </c>
      <c r="F1137" s="3">
        <v>8.0</v>
      </c>
      <c r="G1137" s="3" t="s">
        <v>92</v>
      </c>
      <c r="H1137" s="3" t="s">
        <v>2169</v>
      </c>
      <c r="I1137" s="6"/>
      <c r="J1137" s="6"/>
      <c r="K1137" s="6"/>
      <c r="L1137" s="6"/>
      <c r="M1137" s="26"/>
      <c r="O1137" s="19" t="str">
        <f t="shared" si="2"/>
        <v/>
      </c>
    </row>
    <row r="1138">
      <c r="A1138" s="22" t="s">
        <v>291</v>
      </c>
      <c r="B1138" s="4" t="s">
        <v>31</v>
      </c>
      <c r="C1138" s="3" t="s">
        <v>781</v>
      </c>
      <c r="D1138" s="23" t="s">
        <v>2170</v>
      </c>
      <c r="E1138" s="29">
        <v>45936.0</v>
      </c>
      <c r="F1138" s="3">
        <v>8.0</v>
      </c>
      <c r="G1138" s="3" t="s">
        <v>92</v>
      </c>
      <c r="H1138" s="3" t="s">
        <v>2171</v>
      </c>
      <c r="I1138" s="6"/>
      <c r="J1138" s="6"/>
      <c r="K1138" s="6"/>
      <c r="L1138" s="6"/>
      <c r="M1138" s="26"/>
      <c r="O1138" s="19" t="str">
        <f t="shared" si="2"/>
        <v/>
      </c>
    </row>
    <row r="1139">
      <c r="A1139" s="22" t="s">
        <v>744</v>
      </c>
      <c r="B1139" s="4" t="s">
        <v>18</v>
      </c>
      <c r="C1139" s="3" t="s">
        <v>853</v>
      </c>
      <c r="D1139" s="23" t="s">
        <v>2172</v>
      </c>
      <c r="E1139" s="29">
        <v>45936.0</v>
      </c>
      <c r="F1139" s="3">
        <v>8.0</v>
      </c>
      <c r="G1139" s="3" t="s">
        <v>92</v>
      </c>
      <c r="H1139" s="3" t="s">
        <v>2173</v>
      </c>
      <c r="I1139" s="6"/>
      <c r="J1139" s="6"/>
      <c r="K1139" s="6"/>
      <c r="L1139" s="6"/>
      <c r="M1139" s="26"/>
      <c r="O1139" s="19" t="str">
        <f t="shared" si="2"/>
        <v/>
      </c>
    </row>
    <row r="1140">
      <c r="A1140" s="22" t="s">
        <v>479</v>
      </c>
      <c r="B1140" s="4" t="s">
        <v>18</v>
      </c>
      <c r="C1140" s="3" t="s">
        <v>2174</v>
      </c>
      <c r="D1140" s="3" t="s">
        <v>2175</v>
      </c>
      <c r="E1140" s="29">
        <v>45936.0</v>
      </c>
      <c r="F1140" s="3" t="s">
        <v>27</v>
      </c>
      <c r="G1140" s="3" t="s">
        <v>129</v>
      </c>
      <c r="H1140" s="9"/>
      <c r="I1140" s="6"/>
      <c r="J1140" s="6"/>
      <c r="K1140" s="6"/>
      <c r="L1140" s="6"/>
      <c r="M1140" s="26"/>
      <c r="O1140" s="19" t="str">
        <f t="shared" si="2"/>
        <v/>
      </c>
    </row>
    <row r="1141">
      <c r="A1141" s="22" t="s">
        <v>113</v>
      </c>
      <c r="B1141" s="4" t="s">
        <v>18</v>
      </c>
      <c r="C1141" s="3" t="s">
        <v>2176</v>
      </c>
      <c r="D1141" s="3" t="s">
        <v>2177</v>
      </c>
      <c r="E1141" s="29">
        <v>45936.0</v>
      </c>
      <c r="F1141" s="3" t="s">
        <v>27</v>
      </c>
      <c r="G1141" s="3" t="s">
        <v>129</v>
      </c>
      <c r="H1141" s="9"/>
      <c r="I1141" s="6"/>
      <c r="J1141" s="6"/>
      <c r="K1141" s="6"/>
      <c r="L1141" s="6"/>
      <c r="M1141" s="26"/>
      <c r="O1141" s="19" t="str">
        <f t="shared" si="2"/>
        <v/>
      </c>
    </row>
    <row r="1142">
      <c r="A1142" s="22" t="s">
        <v>69</v>
      </c>
      <c r="B1142" s="4" t="s">
        <v>31</v>
      </c>
      <c r="C1142" s="3" t="s">
        <v>1030</v>
      </c>
      <c r="D1142" s="23" t="s">
        <v>2178</v>
      </c>
      <c r="E1142" s="29">
        <v>45936.0</v>
      </c>
      <c r="F1142" s="3">
        <v>8.0</v>
      </c>
      <c r="G1142" s="3" t="s">
        <v>92</v>
      </c>
      <c r="H1142" s="3" t="s">
        <v>2179</v>
      </c>
      <c r="I1142" s="6"/>
      <c r="J1142" s="6"/>
      <c r="K1142" s="6"/>
      <c r="L1142" s="6"/>
      <c r="M1142" s="26"/>
      <c r="O1142" s="19" t="str">
        <f t="shared" si="2"/>
        <v/>
      </c>
    </row>
    <row r="1143">
      <c r="A1143" s="22" t="s">
        <v>274</v>
      </c>
      <c r="B1143" s="4" t="s">
        <v>18</v>
      </c>
      <c r="C1143" s="3" t="s">
        <v>2180</v>
      </c>
      <c r="D1143" s="23" t="s">
        <v>2181</v>
      </c>
      <c r="E1143" s="29">
        <v>45936.0</v>
      </c>
      <c r="F1143" s="3">
        <v>8.0</v>
      </c>
      <c r="G1143" s="3" t="s">
        <v>92</v>
      </c>
      <c r="H1143" s="3" t="s">
        <v>2182</v>
      </c>
      <c r="I1143" s="6"/>
      <c r="J1143" s="6"/>
      <c r="K1143" s="6"/>
      <c r="L1143" s="6"/>
      <c r="M1143" s="26"/>
      <c r="O1143" s="19" t="str">
        <f t="shared" si="2"/>
        <v/>
      </c>
    </row>
    <row r="1144">
      <c r="A1144" s="22" t="s">
        <v>1266</v>
      </c>
      <c r="B1144" s="4" t="s">
        <v>31</v>
      </c>
      <c r="C1144" s="3" t="s">
        <v>2183</v>
      </c>
      <c r="D1144" s="23" t="s">
        <v>2184</v>
      </c>
      <c r="E1144" s="29">
        <v>45936.0</v>
      </c>
      <c r="F1144" s="3">
        <v>6.0</v>
      </c>
      <c r="G1144" s="3" t="s">
        <v>92</v>
      </c>
      <c r="H1144" s="3" t="s">
        <v>2185</v>
      </c>
      <c r="I1144" s="6"/>
      <c r="J1144" s="6"/>
      <c r="K1144" s="6"/>
      <c r="L1144" s="6"/>
      <c r="M1144" s="26"/>
      <c r="O1144" s="19" t="str">
        <f t="shared" si="2"/>
        <v/>
      </c>
    </row>
    <row r="1145">
      <c r="A1145" s="22" t="s">
        <v>510</v>
      </c>
      <c r="B1145" s="4" t="s">
        <v>18</v>
      </c>
      <c r="C1145" s="3" t="s">
        <v>2186</v>
      </c>
      <c r="D1145" s="23"/>
      <c r="E1145" s="29">
        <v>45936.0</v>
      </c>
      <c r="F1145" s="3">
        <v>6.0</v>
      </c>
      <c r="G1145" s="3" t="s">
        <v>92</v>
      </c>
      <c r="H1145" s="3" t="s">
        <v>2187</v>
      </c>
      <c r="I1145" s="6"/>
      <c r="J1145" s="6"/>
      <c r="K1145" s="6"/>
      <c r="L1145" s="6"/>
      <c r="M1145" s="26"/>
      <c r="O1145" s="19" t="str">
        <f t="shared" si="2"/>
        <v/>
      </c>
    </row>
    <row r="1146">
      <c r="A1146" s="22" t="s">
        <v>532</v>
      </c>
      <c r="B1146" s="4" t="s">
        <v>18</v>
      </c>
      <c r="C1146" s="3">
        <v>4034.0</v>
      </c>
      <c r="D1146" s="23"/>
      <c r="E1146" s="29">
        <v>45936.0</v>
      </c>
      <c r="F1146" s="3">
        <v>5.0</v>
      </c>
      <c r="G1146" s="3" t="s">
        <v>92</v>
      </c>
      <c r="H1146" s="3" t="s">
        <v>2188</v>
      </c>
      <c r="I1146" s="6"/>
      <c r="J1146" s="6"/>
      <c r="K1146" s="6"/>
      <c r="L1146" s="6"/>
      <c r="M1146" s="26"/>
      <c r="O1146" s="19" t="str">
        <f t="shared" si="2"/>
        <v/>
      </c>
    </row>
    <row r="1147">
      <c r="A1147" s="22" t="s">
        <v>125</v>
      </c>
      <c r="B1147" s="4" t="s">
        <v>31</v>
      </c>
      <c r="C1147" s="3" t="s">
        <v>811</v>
      </c>
      <c r="D1147" s="3" t="s">
        <v>2189</v>
      </c>
      <c r="E1147" s="38">
        <v>45848.0</v>
      </c>
      <c r="F1147" s="3" t="s">
        <v>27</v>
      </c>
      <c r="G1147" s="3" t="s">
        <v>1453</v>
      </c>
      <c r="H1147" s="9" t="s">
        <v>2190</v>
      </c>
      <c r="I1147" s="6"/>
      <c r="J1147" s="6"/>
      <c r="K1147" s="6"/>
      <c r="L1147" s="6"/>
      <c r="M1147" s="14"/>
      <c r="O1147" s="19" t="str">
        <f t="shared" si="2"/>
        <v/>
      </c>
    </row>
    <row r="1148">
      <c r="A1148" s="22" t="s">
        <v>1892</v>
      </c>
      <c r="B1148" s="4" t="s">
        <v>18</v>
      </c>
      <c r="C1148" s="3" t="s">
        <v>2191</v>
      </c>
      <c r="D1148" s="3" t="s">
        <v>2192</v>
      </c>
      <c r="E1148" s="38">
        <v>45848.0</v>
      </c>
      <c r="F1148" s="3" t="s">
        <v>27</v>
      </c>
      <c r="G1148" s="3"/>
      <c r="H1148" s="9"/>
      <c r="I1148" s="6"/>
      <c r="J1148" s="6"/>
      <c r="K1148" s="6"/>
      <c r="L1148" s="6"/>
      <c r="M1148" s="14"/>
      <c r="O1148" s="19" t="str">
        <f t="shared" si="2"/>
        <v/>
      </c>
    </row>
    <row r="1149">
      <c r="A1149" s="22" t="s">
        <v>1944</v>
      </c>
      <c r="B1149" s="4" t="s">
        <v>18</v>
      </c>
      <c r="C1149" s="3" t="s">
        <v>2193</v>
      </c>
      <c r="D1149" s="3" t="s">
        <v>2194</v>
      </c>
      <c r="E1149" s="38">
        <v>45848.0</v>
      </c>
      <c r="F1149" s="3" t="s">
        <v>27</v>
      </c>
      <c r="G1149" s="3"/>
      <c r="H1149" s="9"/>
      <c r="I1149" s="6"/>
      <c r="J1149" s="6"/>
      <c r="K1149" s="6"/>
      <c r="L1149" s="6"/>
      <c r="M1149" s="14"/>
      <c r="O1149" s="19" t="str">
        <f t="shared" si="2"/>
        <v/>
      </c>
    </row>
    <row r="1150">
      <c r="A1150" s="22" t="s">
        <v>1944</v>
      </c>
      <c r="B1150" s="4" t="s">
        <v>18</v>
      </c>
      <c r="C1150" s="3">
        <v>4551.0</v>
      </c>
      <c r="D1150" s="3" t="s">
        <v>2195</v>
      </c>
      <c r="E1150" s="29">
        <v>45937.0</v>
      </c>
      <c r="F1150" s="3" t="s">
        <v>27</v>
      </c>
      <c r="G1150" s="3" t="s">
        <v>129</v>
      </c>
      <c r="H1150" s="9"/>
      <c r="I1150" s="6"/>
      <c r="J1150" s="6"/>
      <c r="K1150" s="6"/>
      <c r="L1150" s="6"/>
      <c r="M1150" s="26"/>
      <c r="O1150" s="19" t="str">
        <f t="shared" si="2"/>
        <v/>
      </c>
    </row>
    <row r="1151">
      <c r="A1151" s="22" t="s">
        <v>1892</v>
      </c>
      <c r="B1151" s="4" t="s">
        <v>18</v>
      </c>
      <c r="C1151" s="3" t="s">
        <v>2196</v>
      </c>
      <c r="D1151" s="3" t="s">
        <v>2197</v>
      </c>
      <c r="E1151" s="29">
        <v>45937.0</v>
      </c>
      <c r="F1151" s="3" t="s">
        <v>27</v>
      </c>
      <c r="G1151" s="3" t="s">
        <v>129</v>
      </c>
      <c r="H1151" s="9"/>
      <c r="I1151" s="6"/>
      <c r="J1151" s="6"/>
      <c r="K1151" s="6"/>
      <c r="L1151" s="6"/>
      <c r="M1151" s="26"/>
      <c r="O1151" s="19" t="str">
        <f t="shared" si="2"/>
        <v/>
      </c>
    </row>
    <row r="1152">
      <c r="A1152" s="22" t="s">
        <v>570</v>
      </c>
      <c r="B1152" s="4" t="s">
        <v>18</v>
      </c>
      <c r="C1152" s="3" t="s">
        <v>2198</v>
      </c>
      <c r="D1152" s="23" t="s">
        <v>2199</v>
      </c>
      <c r="E1152" s="29">
        <v>45937.0</v>
      </c>
      <c r="F1152" s="3">
        <v>6.0</v>
      </c>
      <c r="G1152" s="3" t="s">
        <v>92</v>
      </c>
      <c r="H1152" s="3" t="s">
        <v>2200</v>
      </c>
      <c r="I1152" s="6"/>
      <c r="J1152" s="6"/>
      <c r="K1152" s="6"/>
      <c r="L1152" s="6"/>
      <c r="M1152" s="26"/>
      <c r="O1152" s="19" t="str">
        <f t="shared" si="2"/>
        <v/>
      </c>
    </row>
    <row r="1153">
      <c r="A1153" s="22" t="s">
        <v>305</v>
      </c>
      <c r="B1153" s="4" t="s">
        <v>36</v>
      </c>
      <c r="C1153" s="3" t="s">
        <v>1111</v>
      </c>
      <c r="D1153" s="23" t="s">
        <v>2201</v>
      </c>
      <c r="E1153" s="29">
        <v>45937.0</v>
      </c>
      <c r="F1153" s="3">
        <v>6.0</v>
      </c>
      <c r="G1153" s="3" t="s">
        <v>92</v>
      </c>
      <c r="H1153" s="3" t="s">
        <v>2202</v>
      </c>
      <c r="I1153" s="6"/>
      <c r="J1153" s="6"/>
      <c r="K1153" s="6"/>
      <c r="L1153" s="6"/>
      <c r="M1153" s="26"/>
      <c r="O1153" s="19" t="str">
        <f t="shared" si="2"/>
        <v/>
      </c>
    </row>
    <row r="1154">
      <c r="A1154" s="22" t="s">
        <v>210</v>
      </c>
      <c r="B1154" s="4" t="s">
        <v>31</v>
      </c>
      <c r="C1154" s="3" t="s">
        <v>770</v>
      </c>
      <c r="D1154" s="23" t="s">
        <v>2203</v>
      </c>
      <c r="E1154" s="29">
        <v>45937.0</v>
      </c>
      <c r="F1154" s="3">
        <v>8.0</v>
      </c>
      <c r="G1154" s="3" t="s">
        <v>92</v>
      </c>
      <c r="H1154" s="3" t="s">
        <v>2204</v>
      </c>
      <c r="I1154" s="6"/>
      <c r="J1154" s="6"/>
      <c r="K1154" s="6"/>
      <c r="L1154" s="6"/>
      <c r="M1154" s="26"/>
      <c r="O1154" s="19" t="str">
        <f t="shared" si="2"/>
        <v/>
      </c>
    </row>
    <row r="1155">
      <c r="A1155" s="22" t="s">
        <v>125</v>
      </c>
      <c r="B1155" s="4" t="s">
        <v>31</v>
      </c>
      <c r="C1155" s="3" t="s">
        <v>219</v>
      </c>
      <c r="D1155" s="23" t="s">
        <v>2205</v>
      </c>
      <c r="E1155" s="29">
        <v>45937.0</v>
      </c>
      <c r="F1155" s="3">
        <v>8.0</v>
      </c>
      <c r="G1155" s="3" t="s">
        <v>92</v>
      </c>
      <c r="H1155" s="3" t="s">
        <v>2206</v>
      </c>
      <c r="I1155" s="6"/>
      <c r="J1155" s="6"/>
      <c r="K1155" s="6"/>
      <c r="L1155" s="6"/>
      <c r="M1155" s="26"/>
      <c r="O1155" s="19" t="str">
        <f t="shared" si="2"/>
        <v/>
      </c>
    </row>
    <row r="1156">
      <c r="A1156" s="22" t="s">
        <v>1582</v>
      </c>
      <c r="B1156" s="4" t="s">
        <v>31</v>
      </c>
      <c r="C1156" s="3" t="s">
        <v>1930</v>
      </c>
      <c r="D1156" s="23" t="s">
        <v>2207</v>
      </c>
      <c r="E1156" s="29">
        <v>45937.0</v>
      </c>
      <c r="F1156" s="3">
        <v>8.0</v>
      </c>
      <c r="G1156" s="3" t="s">
        <v>92</v>
      </c>
      <c r="H1156" s="3" t="s">
        <v>2208</v>
      </c>
      <c r="I1156" s="6"/>
      <c r="J1156" s="6"/>
      <c r="K1156" s="6"/>
      <c r="L1156" s="6"/>
      <c r="M1156" s="26"/>
      <c r="O1156" s="19" t="str">
        <f t="shared" si="2"/>
        <v/>
      </c>
    </row>
    <row r="1157">
      <c r="A1157" s="22" t="s">
        <v>202</v>
      </c>
      <c r="B1157" s="4" t="s">
        <v>36</v>
      </c>
      <c r="C1157" s="3" t="s">
        <v>2209</v>
      </c>
      <c r="D1157" s="23" t="s">
        <v>2210</v>
      </c>
      <c r="E1157" s="29">
        <v>45937.0</v>
      </c>
      <c r="F1157" s="3">
        <v>8.0</v>
      </c>
      <c r="G1157" s="3" t="s">
        <v>92</v>
      </c>
      <c r="H1157" s="3" t="s">
        <v>2211</v>
      </c>
      <c r="I1157" s="6"/>
      <c r="J1157" s="6"/>
      <c r="K1157" s="6"/>
      <c r="L1157" s="6"/>
      <c r="M1157" s="26"/>
      <c r="O1157" s="19" t="str">
        <f t="shared" si="2"/>
        <v/>
      </c>
    </row>
    <row r="1158">
      <c r="A1158" s="22" t="s">
        <v>112</v>
      </c>
      <c r="B1158" s="4" t="s">
        <v>18</v>
      </c>
      <c r="C1158" s="3" t="s">
        <v>342</v>
      </c>
      <c r="D1158" s="23" t="s">
        <v>2212</v>
      </c>
      <c r="E1158" s="29">
        <v>45937.0</v>
      </c>
      <c r="F1158" s="3">
        <v>8.0</v>
      </c>
      <c r="G1158" s="3" t="s">
        <v>92</v>
      </c>
      <c r="H1158" s="3" t="s">
        <v>2213</v>
      </c>
      <c r="I1158" s="6"/>
      <c r="J1158" s="6"/>
      <c r="K1158" s="6"/>
      <c r="L1158" s="6"/>
      <c r="M1158" s="26"/>
      <c r="O1158" s="19" t="str">
        <f t="shared" si="2"/>
        <v/>
      </c>
    </row>
    <row r="1159">
      <c r="A1159" s="22" t="s">
        <v>570</v>
      </c>
      <c r="B1159" s="4" t="s">
        <v>18</v>
      </c>
      <c r="C1159" s="3" t="s">
        <v>2214</v>
      </c>
      <c r="D1159" s="23" t="s">
        <v>2215</v>
      </c>
      <c r="E1159" s="29">
        <v>45937.0</v>
      </c>
      <c r="F1159" s="3">
        <v>6.0</v>
      </c>
      <c r="G1159" s="3" t="s">
        <v>92</v>
      </c>
      <c r="H1159" s="3" t="s">
        <v>2216</v>
      </c>
      <c r="I1159" s="6"/>
      <c r="J1159" s="6"/>
      <c r="K1159" s="6"/>
      <c r="L1159" s="6"/>
      <c r="M1159" s="26"/>
      <c r="O1159" s="19" t="str">
        <f t="shared" si="2"/>
        <v/>
      </c>
    </row>
    <row r="1160">
      <c r="A1160" s="22" t="s">
        <v>112</v>
      </c>
      <c r="B1160" s="4" t="s">
        <v>18</v>
      </c>
      <c r="C1160" s="3" t="s">
        <v>1900</v>
      </c>
      <c r="D1160" s="23" t="s">
        <v>2217</v>
      </c>
      <c r="E1160" s="29">
        <v>45937.0</v>
      </c>
      <c r="F1160" s="3">
        <v>8.0</v>
      </c>
      <c r="G1160" s="3" t="s">
        <v>92</v>
      </c>
      <c r="H1160" s="3" t="s">
        <v>2218</v>
      </c>
      <c r="I1160" s="6"/>
      <c r="J1160" s="6"/>
      <c r="K1160" s="6"/>
      <c r="L1160" s="6"/>
      <c r="M1160" s="26"/>
      <c r="O1160" s="19" t="str">
        <f t="shared" si="2"/>
        <v/>
      </c>
    </row>
    <row r="1161">
      <c r="A1161" s="22" t="s">
        <v>291</v>
      </c>
      <c r="B1161" s="4" t="s">
        <v>31</v>
      </c>
      <c r="C1161" s="3" t="s">
        <v>820</v>
      </c>
      <c r="D1161" s="23" t="s">
        <v>2219</v>
      </c>
      <c r="E1161" s="29">
        <v>45937.0</v>
      </c>
      <c r="F1161" s="3">
        <v>8.0</v>
      </c>
      <c r="G1161" s="3" t="s">
        <v>92</v>
      </c>
      <c r="H1161" s="3" t="s">
        <v>2220</v>
      </c>
      <c r="I1161" s="6"/>
      <c r="J1161" s="6"/>
      <c r="K1161" s="6"/>
      <c r="L1161" s="6"/>
      <c r="M1161" s="26"/>
      <c r="O1161" s="19" t="str">
        <f t="shared" si="2"/>
        <v/>
      </c>
    </row>
    <row r="1162">
      <c r="A1162" s="22" t="s">
        <v>155</v>
      </c>
      <c r="B1162" s="4" t="s">
        <v>18</v>
      </c>
      <c r="C1162" s="3" t="s">
        <v>238</v>
      </c>
      <c r="D1162" s="3" t="s">
        <v>2221</v>
      </c>
      <c r="E1162" s="38">
        <v>45848.0</v>
      </c>
      <c r="F1162" s="3" t="s">
        <v>27</v>
      </c>
      <c r="G1162" s="3" t="s">
        <v>1453</v>
      </c>
      <c r="H1162" s="9" t="s">
        <v>1653</v>
      </c>
      <c r="I1162" s="6"/>
      <c r="J1162" s="6"/>
      <c r="K1162" s="6"/>
      <c r="L1162" s="6"/>
      <c r="M1162" s="14"/>
      <c r="O1162" s="19" t="str">
        <f t="shared" si="2"/>
        <v/>
      </c>
    </row>
    <row r="1163">
      <c r="A1163" s="22" t="s">
        <v>155</v>
      </c>
      <c r="B1163" s="4" t="s">
        <v>18</v>
      </c>
      <c r="C1163" s="3" t="s">
        <v>238</v>
      </c>
      <c r="D1163" s="3" t="s">
        <v>2222</v>
      </c>
      <c r="E1163" s="38">
        <v>45848.0</v>
      </c>
      <c r="F1163" s="3" t="s">
        <v>27</v>
      </c>
      <c r="G1163" s="3"/>
      <c r="H1163" s="9"/>
      <c r="I1163" s="6"/>
      <c r="J1163" s="6"/>
      <c r="K1163" s="6"/>
      <c r="L1163" s="6"/>
      <c r="M1163" s="14"/>
      <c r="O1163" s="19" t="str">
        <f t="shared" si="2"/>
        <v/>
      </c>
    </row>
    <row r="1164">
      <c r="A1164" s="22" t="s">
        <v>44</v>
      </c>
      <c r="B1164" s="4" t="s">
        <v>45</v>
      </c>
      <c r="C1164" s="3" t="s">
        <v>148</v>
      </c>
      <c r="D1164" s="3" t="s">
        <v>2223</v>
      </c>
      <c r="E1164" s="38">
        <v>45848.0</v>
      </c>
      <c r="F1164" s="3" t="s">
        <v>27</v>
      </c>
      <c r="G1164" s="3" t="s">
        <v>1453</v>
      </c>
      <c r="H1164" s="9" t="s">
        <v>2224</v>
      </c>
      <c r="I1164" s="6"/>
      <c r="J1164" s="6"/>
      <c r="K1164" s="6"/>
      <c r="L1164" s="6"/>
      <c r="M1164" s="14"/>
      <c r="O1164" s="19" t="str">
        <f t="shared" si="2"/>
        <v/>
      </c>
    </row>
    <row r="1165">
      <c r="A1165" s="22" t="s">
        <v>817</v>
      </c>
      <c r="B1165" s="4" t="s">
        <v>36</v>
      </c>
      <c r="C1165" s="3" t="s">
        <v>857</v>
      </c>
      <c r="D1165" s="3" t="s">
        <v>2225</v>
      </c>
      <c r="E1165" s="38">
        <v>45879.0</v>
      </c>
      <c r="F1165" s="3" t="s">
        <v>27</v>
      </c>
      <c r="G1165" s="3"/>
      <c r="H1165" s="9"/>
      <c r="I1165" s="6"/>
      <c r="J1165" s="6"/>
      <c r="K1165" s="6"/>
      <c r="L1165" s="6"/>
      <c r="M1165" s="14"/>
      <c r="O1165" s="19" t="str">
        <f t="shared" si="2"/>
        <v/>
      </c>
    </row>
    <row r="1166">
      <c r="A1166" s="22" t="s">
        <v>225</v>
      </c>
      <c r="B1166" s="4" t="s">
        <v>36</v>
      </c>
      <c r="C1166" s="3" t="s">
        <v>818</v>
      </c>
      <c r="D1166" s="23" t="s">
        <v>2226</v>
      </c>
      <c r="E1166" s="29">
        <v>45937.0</v>
      </c>
      <c r="F1166" s="3">
        <v>8.0</v>
      </c>
      <c r="G1166" s="3" t="s">
        <v>92</v>
      </c>
      <c r="H1166" s="3" t="s">
        <v>2227</v>
      </c>
      <c r="I1166" s="6"/>
      <c r="J1166" s="6"/>
      <c r="K1166" s="6"/>
      <c r="L1166" s="6"/>
      <c r="M1166" s="26"/>
      <c r="O1166" s="19" t="str">
        <f t="shared" si="2"/>
        <v/>
      </c>
    </row>
    <row r="1167">
      <c r="A1167" s="22" t="s">
        <v>44</v>
      </c>
      <c r="B1167" s="4" t="s">
        <v>45</v>
      </c>
      <c r="C1167" s="3" t="s">
        <v>72</v>
      </c>
      <c r="D1167" s="23" t="s">
        <v>2228</v>
      </c>
      <c r="E1167" s="29">
        <v>45937.0</v>
      </c>
      <c r="F1167" s="3">
        <v>8.0</v>
      </c>
      <c r="G1167" s="3" t="s">
        <v>92</v>
      </c>
      <c r="H1167" s="3" t="s">
        <v>2229</v>
      </c>
      <c r="I1167" s="6"/>
      <c r="J1167" s="6"/>
      <c r="K1167" s="6"/>
      <c r="L1167" s="6"/>
      <c r="M1167" s="26"/>
      <c r="O1167" s="19" t="str">
        <f t="shared" si="2"/>
        <v/>
      </c>
    </row>
    <row r="1168">
      <c r="A1168" s="22" t="s">
        <v>77</v>
      </c>
      <c r="B1168" s="4" t="s">
        <v>18</v>
      </c>
      <c r="C1168" s="3" t="s">
        <v>664</v>
      </c>
      <c r="D1168" s="23" t="s">
        <v>2230</v>
      </c>
      <c r="E1168" s="29">
        <v>45937.0</v>
      </c>
      <c r="F1168" s="3">
        <v>8.0</v>
      </c>
      <c r="G1168" s="3" t="s">
        <v>92</v>
      </c>
      <c r="H1168" s="3" t="s">
        <v>2231</v>
      </c>
      <c r="I1168" s="6"/>
      <c r="J1168" s="6"/>
      <c r="K1168" s="6"/>
      <c r="L1168" s="6"/>
      <c r="M1168" s="26"/>
      <c r="O1168" s="19" t="str">
        <f t="shared" si="2"/>
        <v/>
      </c>
    </row>
    <row r="1169">
      <c r="A1169" s="22" t="s">
        <v>1062</v>
      </c>
      <c r="B1169" s="4" t="s">
        <v>18</v>
      </c>
      <c r="C1169" s="3" t="s">
        <v>574</v>
      </c>
      <c r="D1169" s="23" t="s">
        <v>2168</v>
      </c>
      <c r="E1169" s="29">
        <v>45937.0</v>
      </c>
      <c r="F1169" s="3">
        <v>8.0</v>
      </c>
      <c r="G1169" s="3" t="s">
        <v>92</v>
      </c>
      <c r="H1169" s="3" t="s">
        <v>2169</v>
      </c>
      <c r="I1169" s="6"/>
      <c r="J1169" s="6"/>
      <c r="K1169" s="6"/>
      <c r="L1169" s="6"/>
      <c r="M1169" s="26"/>
      <c r="O1169" s="19" t="str">
        <f t="shared" si="2"/>
        <v/>
      </c>
    </row>
    <row r="1170">
      <c r="A1170" s="22" t="s">
        <v>44</v>
      </c>
      <c r="B1170" s="4" t="s">
        <v>45</v>
      </c>
      <c r="C1170" s="3" t="s">
        <v>2232</v>
      </c>
      <c r="D1170" s="23" t="s">
        <v>2233</v>
      </c>
      <c r="E1170" s="29">
        <v>45937.0</v>
      </c>
      <c r="F1170" s="3">
        <v>8.0</v>
      </c>
      <c r="G1170" s="3" t="s">
        <v>92</v>
      </c>
      <c r="H1170" s="3" t="s">
        <v>2234</v>
      </c>
      <c r="I1170" s="6"/>
      <c r="J1170" s="6"/>
      <c r="K1170" s="6"/>
      <c r="L1170" s="6"/>
      <c r="M1170" s="26"/>
      <c r="O1170" s="19" t="str">
        <f t="shared" si="2"/>
        <v/>
      </c>
    </row>
    <row r="1171">
      <c r="A1171" s="22" t="s">
        <v>77</v>
      </c>
      <c r="B1171" s="4" t="s">
        <v>18</v>
      </c>
      <c r="C1171" s="3" t="s">
        <v>455</v>
      </c>
      <c r="D1171" s="23" t="s">
        <v>456</v>
      </c>
      <c r="E1171" s="29">
        <v>45937.0</v>
      </c>
      <c r="F1171" s="3">
        <v>8.0</v>
      </c>
      <c r="G1171" s="3" t="s">
        <v>92</v>
      </c>
      <c r="H1171" s="3" t="s">
        <v>2235</v>
      </c>
      <c r="I1171" s="6"/>
      <c r="J1171" s="6"/>
      <c r="K1171" s="6"/>
      <c r="L1171" s="6"/>
      <c r="M1171" s="26"/>
      <c r="O1171" s="19" t="str">
        <f t="shared" si="2"/>
        <v/>
      </c>
    </row>
    <row r="1172">
      <c r="A1172" s="22" t="s">
        <v>232</v>
      </c>
      <c r="B1172" s="4" t="s">
        <v>18</v>
      </c>
      <c r="C1172" s="3" t="s">
        <v>2236</v>
      </c>
      <c r="D1172" s="23" t="s">
        <v>2237</v>
      </c>
      <c r="E1172" s="29">
        <v>45937.0</v>
      </c>
      <c r="F1172" s="3">
        <v>8.0</v>
      </c>
      <c r="G1172" s="3" t="s">
        <v>92</v>
      </c>
      <c r="H1172" s="3" t="s">
        <v>2238</v>
      </c>
      <c r="I1172" s="6"/>
      <c r="J1172" s="6"/>
      <c r="K1172" s="6"/>
      <c r="L1172" s="6"/>
      <c r="M1172" s="26"/>
      <c r="O1172" s="19" t="str">
        <f t="shared" si="2"/>
        <v/>
      </c>
    </row>
    <row r="1173">
      <c r="A1173" s="22" t="s">
        <v>1973</v>
      </c>
      <c r="B1173" s="4" t="s">
        <v>31</v>
      </c>
      <c r="C1173" s="3">
        <v>2450.0</v>
      </c>
      <c r="D1173" s="23"/>
      <c r="E1173" s="29">
        <v>45937.0</v>
      </c>
      <c r="F1173" s="3">
        <v>5.0</v>
      </c>
      <c r="G1173" s="3" t="s">
        <v>92</v>
      </c>
      <c r="H1173" s="3" t="s">
        <v>2239</v>
      </c>
      <c r="I1173" s="6"/>
      <c r="J1173" s="6"/>
      <c r="K1173" s="6"/>
      <c r="L1173" s="6"/>
      <c r="M1173" s="26"/>
      <c r="O1173" s="19" t="str">
        <f t="shared" si="2"/>
        <v/>
      </c>
    </row>
    <row r="1174">
      <c r="A1174" s="22" t="s">
        <v>112</v>
      </c>
      <c r="B1174" s="4" t="s">
        <v>18</v>
      </c>
      <c r="C1174" s="3" t="s">
        <v>2240</v>
      </c>
      <c r="D1174" s="23"/>
      <c r="E1174" s="29">
        <v>45937.0</v>
      </c>
      <c r="F1174" s="3">
        <v>5.0</v>
      </c>
      <c r="G1174" s="3" t="s">
        <v>92</v>
      </c>
      <c r="H1174" s="3" t="s">
        <v>2241</v>
      </c>
      <c r="I1174" s="6"/>
      <c r="J1174" s="6"/>
      <c r="K1174" s="6"/>
      <c r="L1174" s="6"/>
      <c r="M1174" s="26"/>
      <c r="O1174" s="19" t="str">
        <f t="shared" si="2"/>
        <v/>
      </c>
    </row>
    <row r="1175">
      <c r="A1175" s="22" t="s">
        <v>108</v>
      </c>
      <c r="B1175" s="4" t="s">
        <v>109</v>
      </c>
      <c r="C1175" s="3" t="s">
        <v>2242</v>
      </c>
      <c r="D1175" s="23"/>
      <c r="E1175" s="29">
        <v>45937.0</v>
      </c>
      <c r="F1175" s="3" t="s">
        <v>22</v>
      </c>
      <c r="G1175" s="3" t="s">
        <v>92</v>
      </c>
      <c r="H1175" s="3" t="s">
        <v>2243</v>
      </c>
      <c r="I1175" s="6"/>
      <c r="J1175" s="6"/>
      <c r="K1175" s="6"/>
      <c r="L1175" s="6"/>
      <c r="M1175" s="26"/>
      <c r="O1175" s="19" t="str">
        <f t="shared" si="2"/>
        <v/>
      </c>
    </row>
    <row r="1176">
      <c r="A1176" s="22" t="s">
        <v>744</v>
      </c>
      <c r="B1176" s="4" t="s">
        <v>18</v>
      </c>
      <c r="C1176" s="3" t="s">
        <v>829</v>
      </c>
      <c r="D1176" s="23"/>
      <c r="E1176" s="29">
        <v>45937.0</v>
      </c>
      <c r="F1176" s="3">
        <v>5.0</v>
      </c>
      <c r="G1176" s="3" t="s">
        <v>92</v>
      </c>
      <c r="H1176" s="3" t="s">
        <v>2244</v>
      </c>
      <c r="I1176" s="6"/>
      <c r="J1176" s="6"/>
      <c r="K1176" s="6"/>
      <c r="L1176" s="6"/>
      <c r="M1176" s="26"/>
      <c r="O1176" s="19" t="str">
        <f t="shared" si="2"/>
        <v/>
      </c>
    </row>
    <row r="1177">
      <c r="A1177" s="22" t="s">
        <v>116</v>
      </c>
      <c r="B1177" s="4" t="s">
        <v>31</v>
      </c>
      <c r="C1177" s="3" t="s">
        <v>2245</v>
      </c>
      <c r="D1177" s="23"/>
      <c r="E1177" s="29">
        <v>45937.0</v>
      </c>
      <c r="F1177" s="3">
        <v>5.0</v>
      </c>
      <c r="G1177" s="3" t="s">
        <v>92</v>
      </c>
      <c r="H1177" s="3" t="s">
        <v>2246</v>
      </c>
      <c r="I1177" s="6"/>
      <c r="J1177" s="6"/>
      <c r="K1177" s="6"/>
      <c r="L1177" s="6"/>
      <c r="M1177" s="26"/>
      <c r="O1177" s="19" t="str">
        <f t="shared" si="2"/>
        <v/>
      </c>
    </row>
    <row r="1178">
      <c r="A1178" s="22" t="s">
        <v>225</v>
      </c>
      <c r="B1178" s="4" t="s">
        <v>36</v>
      </c>
      <c r="C1178" s="3" t="s">
        <v>2247</v>
      </c>
      <c r="D1178" s="23"/>
      <c r="E1178" s="29">
        <v>45937.0</v>
      </c>
      <c r="F1178" s="3">
        <v>5.0</v>
      </c>
      <c r="G1178" s="3" t="s">
        <v>92</v>
      </c>
      <c r="H1178" s="3" t="s">
        <v>2248</v>
      </c>
      <c r="I1178" s="6"/>
      <c r="J1178" s="6"/>
      <c r="K1178" s="6"/>
      <c r="L1178" s="6"/>
      <c r="M1178" s="26"/>
      <c r="O1178" s="19" t="str">
        <f t="shared" si="2"/>
        <v/>
      </c>
    </row>
    <row r="1179">
      <c r="A1179" s="22" t="s">
        <v>1055</v>
      </c>
      <c r="B1179" s="4" t="s">
        <v>31</v>
      </c>
      <c r="C1179" s="3" t="s">
        <v>2249</v>
      </c>
      <c r="D1179" s="23"/>
      <c r="E1179" s="29">
        <v>45937.0</v>
      </c>
      <c r="F1179" s="3">
        <v>5.0</v>
      </c>
      <c r="G1179" s="3" t="s">
        <v>92</v>
      </c>
      <c r="H1179" s="3" t="s">
        <v>2250</v>
      </c>
      <c r="I1179" s="6"/>
      <c r="J1179" s="6"/>
      <c r="K1179" s="6"/>
      <c r="L1179" s="6"/>
      <c r="M1179" s="26"/>
      <c r="O1179" s="19" t="str">
        <f t="shared" si="2"/>
        <v/>
      </c>
    </row>
    <row r="1180">
      <c r="A1180" s="22" t="s">
        <v>107</v>
      </c>
      <c r="B1180" s="4" t="s">
        <v>18</v>
      </c>
      <c r="C1180" s="3" t="s">
        <v>1306</v>
      </c>
      <c r="D1180" s="23"/>
      <c r="E1180" s="29">
        <v>45937.0</v>
      </c>
      <c r="F1180" s="3">
        <v>6.0</v>
      </c>
      <c r="G1180" s="3" t="s">
        <v>92</v>
      </c>
      <c r="H1180" s="3" t="s">
        <v>2251</v>
      </c>
      <c r="I1180" s="6"/>
      <c r="J1180" s="6"/>
      <c r="K1180" s="6"/>
      <c r="L1180" s="6"/>
      <c r="M1180" s="26"/>
      <c r="O1180" s="19" t="str">
        <f t="shared" si="2"/>
        <v/>
      </c>
    </row>
    <row r="1181">
      <c r="A1181" s="22" t="s">
        <v>265</v>
      </c>
      <c r="B1181" s="4" t="s">
        <v>18</v>
      </c>
      <c r="C1181" s="3" t="s">
        <v>2252</v>
      </c>
      <c r="D1181" s="23"/>
      <c r="E1181" s="29">
        <v>45937.0</v>
      </c>
      <c r="F1181" s="3">
        <v>5.0</v>
      </c>
      <c r="G1181" s="3" t="s">
        <v>92</v>
      </c>
      <c r="H1181" s="3" t="s">
        <v>2253</v>
      </c>
      <c r="I1181" s="6"/>
      <c r="J1181" s="6"/>
      <c r="K1181" s="6"/>
      <c r="L1181" s="6"/>
      <c r="M1181" s="26"/>
      <c r="O1181" s="19" t="str">
        <f t="shared" si="2"/>
        <v/>
      </c>
    </row>
    <row r="1182">
      <c r="A1182" s="22" t="s">
        <v>112</v>
      </c>
      <c r="B1182" s="4" t="s">
        <v>18</v>
      </c>
      <c r="C1182" s="3" t="s">
        <v>542</v>
      </c>
      <c r="D1182" s="3" t="s">
        <v>2254</v>
      </c>
      <c r="E1182" s="29">
        <v>45938.0</v>
      </c>
      <c r="F1182" s="3" t="s">
        <v>27</v>
      </c>
      <c r="G1182" s="3" t="s">
        <v>129</v>
      </c>
      <c r="H1182" s="9"/>
      <c r="I1182" s="6"/>
      <c r="J1182" s="6"/>
      <c r="K1182" s="6"/>
      <c r="L1182" s="6"/>
      <c r="M1182" s="26"/>
      <c r="O1182" s="19" t="str">
        <f t="shared" si="2"/>
        <v/>
      </c>
    </row>
    <row r="1183">
      <c r="A1183" s="22" t="s">
        <v>113</v>
      </c>
      <c r="B1183" s="4" t="s">
        <v>18</v>
      </c>
      <c r="C1183" s="3" t="s">
        <v>2255</v>
      </c>
      <c r="D1183" s="3" t="s">
        <v>2256</v>
      </c>
      <c r="E1183" s="29">
        <v>45938.0</v>
      </c>
      <c r="F1183" s="3" t="s">
        <v>27</v>
      </c>
      <c r="G1183" s="3" t="s">
        <v>129</v>
      </c>
      <c r="H1183" s="9"/>
      <c r="I1183" s="6"/>
      <c r="J1183" s="6"/>
      <c r="K1183" s="6"/>
      <c r="L1183" s="6"/>
      <c r="M1183" s="26"/>
      <c r="O1183" s="19" t="str">
        <f t="shared" si="2"/>
        <v/>
      </c>
    </row>
    <row r="1184">
      <c r="A1184" s="22" t="s">
        <v>69</v>
      </c>
      <c r="B1184" s="4" t="s">
        <v>31</v>
      </c>
      <c r="C1184" s="3" t="s">
        <v>1030</v>
      </c>
      <c r="D1184" s="3" t="s">
        <v>2257</v>
      </c>
      <c r="E1184" s="29">
        <v>45938.0</v>
      </c>
      <c r="F1184" s="3" t="s">
        <v>27</v>
      </c>
      <c r="G1184" s="3" t="s">
        <v>129</v>
      </c>
      <c r="H1184" s="9"/>
      <c r="I1184" s="6"/>
      <c r="J1184" s="6"/>
      <c r="K1184" s="6"/>
      <c r="L1184" s="6"/>
      <c r="M1184" s="26"/>
      <c r="O1184" s="19" t="str">
        <f t="shared" si="2"/>
        <v/>
      </c>
    </row>
    <row r="1185">
      <c r="A1185" s="22" t="s">
        <v>155</v>
      </c>
      <c r="B1185" s="4" t="s">
        <v>18</v>
      </c>
      <c r="C1185" s="3" t="s">
        <v>2258</v>
      </c>
      <c r="D1185" s="3" t="s">
        <v>2259</v>
      </c>
      <c r="E1185" s="29">
        <v>45938.0</v>
      </c>
      <c r="F1185" s="3" t="s">
        <v>27</v>
      </c>
      <c r="G1185" s="3" t="s">
        <v>129</v>
      </c>
      <c r="H1185" s="9"/>
      <c r="I1185" s="6"/>
      <c r="J1185" s="6"/>
      <c r="K1185" s="6"/>
      <c r="L1185" s="6"/>
      <c r="M1185" s="26"/>
      <c r="O1185" s="19" t="str">
        <f t="shared" si="2"/>
        <v/>
      </c>
    </row>
    <row r="1186">
      <c r="A1186" s="22" t="s">
        <v>472</v>
      </c>
      <c r="B1186" s="4" t="s">
        <v>18</v>
      </c>
      <c r="C1186" s="3" t="s">
        <v>2260</v>
      </c>
      <c r="D1186" s="3" t="s">
        <v>2261</v>
      </c>
      <c r="E1186" s="29">
        <v>45938.0</v>
      </c>
      <c r="F1186" s="3" t="s">
        <v>27</v>
      </c>
      <c r="G1186" s="3" t="s">
        <v>129</v>
      </c>
      <c r="H1186" s="9"/>
      <c r="I1186" s="6"/>
      <c r="J1186" s="6"/>
      <c r="K1186" s="6"/>
      <c r="L1186" s="6"/>
      <c r="M1186" s="26"/>
      <c r="O1186" s="19" t="str">
        <f t="shared" si="2"/>
        <v/>
      </c>
    </row>
    <row r="1187">
      <c r="A1187" s="22" t="s">
        <v>2262</v>
      </c>
      <c r="B1187" s="4" t="s">
        <v>18</v>
      </c>
      <c r="C1187" s="3" t="s">
        <v>605</v>
      </c>
      <c r="D1187" s="23"/>
      <c r="E1187" s="29">
        <v>45938.0</v>
      </c>
      <c r="F1187" s="3">
        <v>5.0</v>
      </c>
      <c r="G1187" s="3" t="s">
        <v>92</v>
      </c>
      <c r="H1187" s="9"/>
      <c r="I1187" s="6"/>
      <c r="J1187" s="6"/>
      <c r="K1187" s="6"/>
      <c r="L1187" s="6"/>
      <c r="M1187" s="26"/>
      <c r="O1187" s="19" t="str">
        <f t="shared" si="2"/>
        <v/>
      </c>
    </row>
    <row r="1188">
      <c r="A1188" s="22" t="s">
        <v>1359</v>
      </c>
      <c r="B1188" s="4" t="s">
        <v>45</v>
      </c>
      <c r="C1188" s="3" t="s">
        <v>2263</v>
      </c>
      <c r="D1188" s="23" t="s">
        <v>2264</v>
      </c>
      <c r="E1188" s="29">
        <v>45938.0</v>
      </c>
      <c r="F1188" s="3">
        <v>8.0</v>
      </c>
      <c r="G1188" s="3" t="s">
        <v>92</v>
      </c>
      <c r="H1188" s="9"/>
      <c r="I1188" s="6"/>
      <c r="J1188" s="6"/>
      <c r="K1188" s="6"/>
      <c r="L1188" s="6"/>
      <c r="M1188" s="26"/>
      <c r="O1188" s="19" t="str">
        <f t="shared" si="2"/>
        <v/>
      </c>
    </row>
    <row r="1189">
      <c r="A1189" s="22" t="s">
        <v>1055</v>
      </c>
      <c r="B1189" s="4" t="s">
        <v>31</v>
      </c>
      <c r="C1189" s="3" t="s">
        <v>1300</v>
      </c>
      <c r="D1189" s="23" t="s">
        <v>2265</v>
      </c>
      <c r="E1189" s="29">
        <v>45938.0</v>
      </c>
      <c r="F1189" s="3">
        <v>6.0</v>
      </c>
      <c r="G1189" s="3" t="s">
        <v>92</v>
      </c>
      <c r="H1189" s="9"/>
      <c r="I1189" s="6"/>
      <c r="J1189" s="6"/>
      <c r="K1189" s="6"/>
      <c r="L1189" s="6"/>
      <c r="M1189" s="26"/>
      <c r="O1189" s="19" t="str">
        <f t="shared" si="2"/>
        <v/>
      </c>
    </row>
    <row r="1190">
      <c r="A1190" s="22" t="s">
        <v>2266</v>
      </c>
      <c r="B1190" s="4" t="s">
        <v>18</v>
      </c>
      <c r="C1190" s="3" t="s">
        <v>2267</v>
      </c>
      <c r="D1190" s="23" t="s">
        <v>2268</v>
      </c>
      <c r="E1190" s="29">
        <v>45938.0</v>
      </c>
      <c r="F1190" s="3">
        <v>8.0</v>
      </c>
      <c r="G1190" s="3" t="s">
        <v>92</v>
      </c>
      <c r="H1190" s="9"/>
      <c r="I1190" s="6"/>
      <c r="J1190" s="6"/>
      <c r="K1190" s="6"/>
      <c r="L1190" s="6"/>
      <c r="M1190" s="26"/>
      <c r="O1190" s="19" t="str">
        <f t="shared" si="2"/>
        <v/>
      </c>
    </row>
    <row r="1191">
      <c r="A1191" s="22" t="s">
        <v>69</v>
      </c>
      <c r="B1191" s="4" t="s">
        <v>31</v>
      </c>
      <c r="C1191" s="3" t="s">
        <v>825</v>
      </c>
      <c r="D1191" s="23" t="s">
        <v>2269</v>
      </c>
      <c r="E1191" s="29">
        <v>45938.0</v>
      </c>
      <c r="F1191" s="3">
        <v>6.0</v>
      </c>
      <c r="G1191" s="3" t="s">
        <v>92</v>
      </c>
      <c r="H1191" s="9"/>
      <c r="I1191" s="6"/>
      <c r="J1191" s="6"/>
      <c r="K1191" s="6"/>
      <c r="L1191" s="6"/>
      <c r="M1191" s="26"/>
      <c r="O1191" s="19" t="str">
        <f t="shared" si="2"/>
        <v/>
      </c>
    </row>
    <row r="1192">
      <c r="A1192" s="22" t="s">
        <v>418</v>
      </c>
      <c r="B1192" s="4" t="s">
        <v>18</v>
      </c>
      <c r="C1192" s="3" t="s">
        <v>2270</v>
      </c>
      <c r="D1192" s="23" t="s">
        <v>2271</v>
      </c>
      <c r="E1192" s="29">
        <v>45938.0</v>
      </c>
      <c r="F1192" s="3">
        <v>6.0</v>
      </c>
      <c r="G1192" s="3" t="s">
        <v>92</v>
      </c>
      <c r="H1192" s="9"/>
      <c r="I1192" s="6"/>
      <c r="J1192" s="6"/>
      <c r="K1192" s="6"/>
      <c r="L1192" s="6"/>
      <c r="M1192" s="26"/>
      <c r="O1192" s="19" t="str">
        <f t="shared" si="2"/>
        <v/>
      </c>
    </row>
    <row r="1193">
      <c r="A1193" s="22" t="s">
        <v>717</v>
      </c>
      <c r="B1193" s="4" t="s">
        <v>36</v>
      </c>
      <c r="C1193" s="3" t="s">
        <v>929</v>
      </c>
      <c r="D1193" s="23" t="s">
        <v>2272</v>
      </c>
      <c r="E1193" s="29">
        <v>45938.0</v>
      </c>
      <c r="F1193" s="3">
        <v>8.0</v>
      </c>
      <c r="G1193" s="3" t="s">
        <v>92</v>
      </c>
      <c r="H1193" s="9"/>
      <c r="I1193" s="6"/>
      <c r="J1193" s="6"/>
      <c r="K1193" s="6"/>
      <c r="L1193" s="6"/>
      <c r="M1193" s="26"/>
      <c r="O1193" s="19" t="str">
        <f t="shared" si="2"/>
        <v/>
      </c>
    </row>
    <row r="1194">
      <c r="A1194" s="22" t="s">
        <v>1582</v>
      </c>
      <c r="B1194" s="4" t="s">
        <v>31</v>
      </c>
      <c r="C1194" s="3" t="s">
        <v>1583</v>
      </c>
      <c r="D1194" s="23" t="s">
        <v>2273</v>
      </c>
      <c r="E1194" s="29">
        <v>45938.0</v>
      </c>
      <c r="F1194" s="3">
        <v>8.0</v>
      </c>
      <c r="G1194" s="3" t="s">
        <v>92</v>
      </c>
      <c r="H1194" s="9"/>
      <c r="I1194" s="6"/>
      <c r="J1194" s="6"/>
      <c r="K1194" s="6"/>
      <c r="L1194" s="6"/>
      <c r="M1194" s="26"/>
      <c r="O1194" s="19" t="str">
        <f t="shared" si="2"/>
        <v/>
      </c>
    </row>
    <row r="1195">
      <c r="A1195" s="22" t="s">
        <v>168</v>
      </c>
      <c r="B1195" s="4" t="s">
        <v>45</v>
      </c>
      <c r="C1195" s="3" t="s">
        <v>2274</v>
      </c>
      <c r="D1195" s="23" t="s">
        <v>2275</v>
      </c>
      <c r="E1195" s="29">
        <v>45938.0</v>
      </c>
      <c r="F1195" s="3">
        <v>8.0</v>
      </c>
      <c r="G1195" s="3" t="s">
        <v>92</v>
      </c>
      <c r="H1195" s="9"/>
      <c r="I1195" s="6"/>
      <c r="J1195" s="6"/>
      <c r="K1195" s="6"/>
      <c r="L1195" s="6"/>
      <c r="M1195" s="26"/>
      <c r="O1195" s="19" t="str">
        <f t="shared" si="2"/>
        <v/>
      </c>
    </row>
    <row r="1196">
      <c r="A1196" s="22" t="s">
        <v>265</v>
      </c>
      <c r="B1196" s="4" t="s">
        <v>18</v>
      </c>
      <c r="C1196" s="3" t="s">
        <v>2276</v>
      </c>
      <c r="D1196" s="23" t="s">
        <v>2277</v>
      </c>
      <c r="E1196" s="29">
        <v>45938.0</v>
      </c>
      <c r="F1196" s="3">
        <v>8.0</v>
      </c>
      <c r="G1196" s="3" t="s">
        <v>92</v>
      </c>
      <c r="H1196" s="9"/>
      <c r="I1196" s="6"/>
      <c r="J1196" s="6"/>
      <c r="K1196" s="6"/>
      <c r="L1196" s="6"/>
      <c r="M1196" s="26"/>
      <c r="O1196" s="19" t="str">
        <f t="shared" si="2"/>
        <v/>
      </c>
    </row>
    <row r="1197">
      <c r="A1197" s="22" t="s">
        <v>69</v>
      </c>
      <c r="B1197" s="4" t="s">
        <v>31</v>
      </c>
      <c r="C1197" s="3" t="s">
        <v>2278</v>
      </c>
      <c r="D1197" s="23" t="s">
        <v>2279</v>
      </c>
      <c r="E1197" s="29">
        <v>45938.0</v>
      </c>
      <c r="F1197" s="3">
        <v>8.0</v>
      </c>
      <c r="G1197" s="3" t="s">
        <v>92</v>
      </c>
      <c r="H1197" s="9"/>
      <c r="I1197" s="6"/>
      <c r="J1197" s="6"/>
      <c r="K1197" s="6"/>
      <c r="L1197" s="6"/>
      <c r="M1197" s="26"/>
      <c r="O1197" s="19" t="str">
        <f t="shared" si="2"/>
        <v/>
      </c>
    </row>
    <row r="1198">
      <c r="A1198" s="22" t="s">
        <v>2280</v>
      </c>
      <c r="B1198" s="4" t="s">
        <v>18</v>
      </c>
      <c r="C1198" s="3" t="s">
        <v>2281</v>
      </c>
      <c r="D1198" s="3" t="s">
        <v>2282</v>
      </c>
      <c r="E1198" s="29">
        <v>45939.0</v>
      </c>
      <c r="F1198" s="3" t="s">
        <v>27</v>
      </c>
      <c r="G1198" s="3" t="s">
        <v>129</v>
      </c>
      <c r="H1198" s="9"/>
      <c r="I1198" s="6"/>
      <c r="J1198" s="6"/>
      <c r="K1198" s="6"/>
      <c r="L1198" s="6"/>
      <c r="M1198" s="26"/>
      <c r="O1198" s="19" t="str">
        <f t="shared" si="2"/>
        <v/>
      </c>
    </row>
    <row r="1199">
      <c r="A1199" s="22" t="s">
        <v>120</v>
      </c>
      <c r="B1199" s="4" t="s">
        <v>31</v>
      </c>
      <c r="C1199" s="3" t="s">
        <v>230</v>
      </c>
      <c r="D1199" s="3" t="s">
        <v>2283</v>
      </c>
      <c r="E1199" s="38">
        <v>45910.0</v>
      </c>
      <c r="F1199" s="3" t="s">
        <v>27</v>
      </c>
      <c r="G1199" s="3" t="s">
        <v>1453</v>
      </c>
      <c r="H1199" s="9" t="s">
        <v>2284</v>
      </c>
      <c r="I1199" s="6"/>
      <c r="J1199" s="6"/>
      <c r="K1199" s="6"/>
      <c r="L1199" s="6"/>
      <c r="M1199" s="14"/>
      <c r="O1199" s="19" t="str">
        <f t="shared" si="2"/>
        <v/>
      </c>
    </row>
    <row r="1200">
      <c r="A1200" s="22" t="s">
        <v>1062</v>
      </c>
      <c r="B1200" s="4" t="s">
        <v>18</v>
      </c>
      <c r="C1200" s="3" t="s">
        <v>1214</v>
      </c>
      <c r="D1200" s="3" t="s">
        <v>2285</v>
      </c>
      <c r="E1200" s="29">
        <v>45939.0</v>
      </c>
      <c r="F1200" s="3" t="s">
        <v>27</v>
      </c>
      <c r="G1200" s="3" t="s">
        <v>129</v>
      </c>
      <c r="H1200" s="9"/>
      <c r="I1200" s="6"/>
      <c r="J1200" s="6"/>
      <c r="K1200" s="6"/>
      <c r="L1200" s="6"/>
      <c r="M1200" s="26"/>
      <c r="O1200" s="19" t="str">
        <f t="shared" si="2"/>
        <v/>
      </c>
    </row>
    <row r="1201">
      <c r="A1201" s="22" t="s">
        <v>202</v>
      </c>
      <c r="B1201" s="4" t="s">
        <v>36</v>
      </c>
      <c r="C1201" s="3" t="s">
        <v>289</v>
      </c>
      <c r="D1201" s="3" t="s">
        <v>2286</v>
      </c>
      <c r="E1201" s="29">
        <v>45940.0</v>
      </c>
      <c r="F1201" s="3" t="s">
        <v>27</v>
      </c>
      <c r="G1201" s="3"/>
      <c r="H1201" s="9"/>
      <c r="I1201" s="6"/>
      <c r="J1201" s="6"/>
      <c r="K1201" s="6"/>
      <c r="L1201" s="6"/>
      <c r="M1201" s="26"/>
      <c r="O1201" s="19" t="str">
        <f t="shared" si="2"/>
        <v/>
      </c>
    </row>
    <row r="1202">
      <c r="A1202" s="22" t="s">
        <v>1582</v>
      </c>
      <c r="B1202" s="4" t="s">
        <v>31</v>
      </c>
      <c r="C1202" s="3" t="s">
        <v>2287</v>
      </c>
      <c r="D1202" s="3" t="s">
        <v>2288</v>
      </c>
      <c r="E1202" s="29">
        <v>45939.0</v>
      </c>
      <c r="F1202" s="3" t="s">
        <v>27</v>
      </c>
      <c r="G1202" s="3" t="s">
        <v>129</v>
      </c>
      <c r="H1202" s="9"/>
      <c r="I1202" s="6"/>
      <c r="J1202" s="6"/>
      <c r="K1202" s="6"/>
      <c r="L1202" s="6"/>
      <c r="M1202" s="26"/>
      <c r="O1202" s="19" t="str">
        <f t="shared" si="2"/>
        <v/>
      </c>
    </row>
    <row r="1203">
      <c r="A1203" s="22" t="s">
        <v>276</v>
      </c>
      <c r="B1203" s="4" t="s">
        <v>18</v>
      </c>
      <c r="C1203" s="3" t="s">
        <v>356</v>
      </c>
      <c r="D1203" s="3" t="s">
        <v>2289</v>
      </c>
      <c r="E1203" s="29">
        <v>45939.0</v>
      </c>
      <c r="F1203" s="3" t="s">
        <v>27</v>
      </c>
      <c r="G1203" s="3" t="s">
        <v>129</v>
      </c>
      <c r="H1203" s="9"/>
      <c r="I1203" s="6"/>
      <c r="J1203" s="6"/>
      <c r="K1203" s="6"/>
      <c r="L1203" s="6"/>
      <c r="M1203" s="26"/>
      <c r="O1203" s="19" t="str">
        <f t="shared" si="2"/>
        <v/>
      </c>
    </row>
    <row r="1204">
      <c r="A1204" s="22" t="s">
        <v>265</v>
      </c>
      <c r="B1204" s="4" t="s">
        <v>18</v>
      </c>
      <c r="C1204" s="3">
        <v>4120.0</v>
      </c>
      <c r="D1204" s="23"/>
      <c r="E1204" s="29">
        <v>45939.0</v>
      </c>
      <c r="F1204" s="3">
        <v>5.0</v>
      </c>
      <c r="G1204" s="3" t="s">
        <v>92</v>
      </c>
      <c r="H1204" s="9"/>
      <c r="I1204" s="6"/>
      <c r="J1204" s="6"/>
      <c r="K1204" s="6"/>
      <c r="L1204" s="6"/>
      <c r="M1204" s="26"/>
      <c r="O1204" s="19" t="str">
        <f t="shared" si="2"/>
        <v/>
      </c>
    </row>
    <row r="1205">
      <c r="A1205" s="22" t="s">
        <v>1973</v>
      </c>
      <c r="B1205" s="4" t="s">
        <v>31</v>
      </c>
      <c r="C1205" s="3" t="s">
        <v>2030</v>
      </c>
      <c r="D1205" s="23" t="s">
        <v>2290</v>
      </c>
      <c r="E1205" s="29">
        <v>45939.0</v>
      </c>
      <c r="F1205" s="3">
        <v>6.0</v>
      </c>
      <c r="G1205" s="3" t="s">
        <v>92</v>
      </c>
      <c r="H1205" s="9"/>
      <c r="I1205" s="6"/>
      <c r="J1205" s="6"/>
      <c r="K1205" s="6"/>
      <c r="L1205" s="6"/>
      <c r="M1205" s="26"/>
      <c r="O1205" s="19" t="str">
        <f t="shared" si="2"/>
        <v/>
      </c>
    </row>
    <row r="1206">
      <c r="A1206" s="22" t="s">
        <v>1973</v>
      </c>
      <c r="B1206" s="4" t="s">
        <v>31</v>
      </c>
      <c r="C1206" s="3" t="s">
        <v>2030</v>
      </c>
      <c r="D1206" s="23" t="s">
        <v>2291</v>
      </c>
      <c r="E1206" s="29">
        <v>45939.0</v>
      </c>
      <c r="F1206" s="3">
        <v>8.0</v>
      </c>
      <c r="G1206" s="3" t="s">
        <v>92</v>
      </c>
      <c r="H1206" s="9"/>
      <c r="I1206" s="6"/>
      <c r="J1206" s="6"/>
      <c r="K1206" s="6"/>
      <c r="L1206" s="6"/>
      <c r="M1206" s="26"/>
      <c r="O1206" s="19" t="str">
        <f t="shared" si="2"/>
        <v/>
      </c>
    </row>
    <row r="1207">
      <c r="A1207" s="22" t="s">
        <v>276</v>
      </c>
      <c r="B1207" s="4" t="s">
        <v>18</v>
      </c>
      <c r="C1207" s="3" t="s">
        <v>296</v>
      </c>
      <c r="D1207" s="23" t="s">
        <v>2292</v>
      </c>
      <c r="E1207" s="29">
        <v>45939.0</v>
      </c>
      <c r="F1207" s="3">
        <v>8.0</v>
      </c>
      <c r="G1207" s="3" t="s">
        <v>92</v>
      </c>
      <c r="H1207" s="9"/>
      <c r="I1207" s="6"/>
      <c r="J1207" s="6"/>
      <c r="K1207" s="6"/>
      <c r="L1207" s="6"/>
      <c r="M1207" s="26"/>
      <c r="O1207" s="19" t="str">
        <f t="shared" si="2"/>
        <v/>
      </c>
    </row>
    <row r="1208">
      <c r="A1208" s="22" t="s">
        <v>744</v>
      </c>
      <c r="B1208" s="4" t="s">
        <v>18</v>
      </c>
      <c r="C1208" s="3" t="s">
        <v>2293</v>
      </c>
      <c r="D1208" s="23" t="s">
        <v>2294</v>
      </c>
      <c r="E1208" s="29">
        <v>45939.0</v>
      </c>
      <c r="F1208" s="3">
        <v>8.0</v>
      </c>
      <c r="G1208" s="3" t="s">
        <v>92</v>
      </c>
      <c r="H1208" s="9"/>
      <c r="I1208" s="6"/>
      <c r="J1208" s="6"/>
      <c r="K1208" s="6"/>
      <c r="L1208" s="6"/>
      <c r="M1208" s="26"/>
      <c r="O1208" s="19" t="str">
        <f t="shared" si="2"/>
        <v/>
      </c>
    </row>
    <row r="1209">
      <c r="A1209" s="22" t="s">
        <v>244</v>
      </c>
      <c r="B1209" s="4" t="s">
        <v>18</v>
      </c>
      <c r="C1209" s="3" t="s">
        <v>315</v>
      </c>
      <c r="D1209" s="23" t="s">
        <v>648</v>
      </c>
      <c r="E1209" s="29">
        <v>45939.0</v>
      </c>
      <c r="F1209" s="3">
        <v>9.0</v>
      </c>
      <c r="G1209" s="3" t="s">
        <v>92</v>
      </c>
      <c r="H1209" s="9"/>
      <c r="I1209" s="6"/>
      <c r="J1209" s="6"/>
      <c r="K1209" s="6"/>
      <c r="L1209" s="6"/>
      <c r="M1209" s="26"/>
      <c r="O1209" s="19" t="str">
        <f t="shared" si="2"/>
        <v/>
      </c>
    </row>
    <row r="1210">
      <c r="A1210" s="22" t="s">
        <v>1973</v>
      </c>
      <c r="B1210" s="4" t="s">
        <v>31</v>
      </c>
      <c r="C1210" s="3">
        <v>2450.0</v>
      </c>
      <c r="D1210" s="23"/>
      <c r="E1210" s="29">
        <v>45939.0</v>
      </c>
      <c r="F1210" s="3">
        <v>5.0</v>
      </c>
      <c r="G1210" s="3" t="s">
        <v>92</v>
      </c>
      <c r="H1210" s="9"/>
      <c r="I1210" s="6"/>
      <c r="J1210" s="6"/>
      <c r="K1210" s="6"/>
      <c r="L1210" s="6"/>
      <c r="M1210" s="26"/>
      <c r="O1210" s="19" t="str">
        <f t="shared" si="2"/>
        <v/>
      </c>
    </row>
    <row r="1211">
      <c r="A1211" s="22" t="s">
        <v>116</v>
      </c>
      <c r="B1211" s="4" t="s">
        <v>31</v>
      </c>
      <c r="C1211" s="3" t="s">
        <v>774</v>
      </c>
      <c r="D1211" s="23" t="s">
        <v>2295</v>
      </c>
      <c r="E1211" s="29">
        <v>45939.0</v>
      </c>
      <c r="F1211" s="3">
        <v>8.0</v>
      </c>
      <c r="G1211" s="3" t="s">
        <v>92</v>
      </c>
      <c r="H1211" s="9"/>
      <c r="I1211" s="6"/>
      <c r="J1211" s="6"/>
      <c r="K1211" s="6"/>
      <c r="L1211" s="6"/>
      <c r="M1211" s="26"/>
      <c r="O1211" s="19" t="str">
        <f t="shared" si="2"/>
        <v/>
      </c>
    </row>
    <row r="1212">
      <c r="A1212" s="22" t="s">
        <v>113</v>
      </c>
      <c r="B1212" s="4" t="s">
        <v>18</v>
      </c>
      <c r="C1212" s="3" t="s">
        <v>1876</v>
      </c>
      <c r="D1212" s="23" t="s">
        <v>2296</v>
      </c>
      <c r="E1212" s="29">
        <v>45939.0</v>
      </c>
      <c r="F1212" s="3">
        <v>8.0</v>
      </c>
      <c r="G1212" s="3" t="s">
        <v>92</v>
      </c>
      <c r="H1212" s="9"/>
      <c r="I1212" s="6"/>
      <c r="J1212" s="6"/>
      <c r="K1212" s="6"/>
      <c r="L1212" s="6"/>
      <c r="M1212" s="26"/>
      <c r="O1212" s="19" t="str">
        <f t="shared" si="2"/>
        <v/>
      </c>
    </row>
    <row r="1213">
      <c r="A1213" s="22" t="s">
        <v>137</v>
      </c>
      <c r="B1213" s="4" t="s">
        <v>18</v>
      </c>
      <c r="C1213" s="3" t="s">
        <v>398</v>
      </c>
      <c r="D1213" s="23" t="s">
        <v>2297</v>
      </c>
      <c r="E1213" s="29">
        <v>45939.0</v>
      </c>
      <c r="F1213" s="3">
        <v>8.0</v>
      </c>
      <c r="G1213" s="3" t="s">
        <v>92</v>
      </c>
      <c r="H1213" s="9"/>
      <c r="I1213" s="6"/>
      <c r="J1213" s="6"/>
      <c r="K1213" s="6"/>
      <c r="L1213" s="6"/>
      <c r="M1213" s="26"/>
      <c r="O1213" s="19" t="str">
        <f t="shared" si="2"/>
        <v/>
      </c>
    </row>
    <row r="1214">
      <c r="A1214" s="22" t="s">
        <v>120</v>
      </c>
      <c r="B1214" s="4" t="s">
        <v>31</v>
      </c>
      <c r="C1214" s="3" t="s">
        <v>2298</v>
      </c>
      <c r="D1214" s="23" t="s">
        <v>2299</v>
      </c>
      <c r="E1214" s="29">
        <v>45939.0</v>
      </c>
      <c r="F1214" s="3">
        <v>8.0</v>
      </c>
      <c r="G1214" s="3" t="s">
        <v>92</v>
      </c>
      <c r="H1214" s="9"/>
      <c r="I1214" s="6"/>
      <c r="J1214" s="6"/>
      <c r="K1214" s="6"/>
      <c r="L1214" s="6"/>
      <c r="M1214" s="26"/>
      <c r="O1214" s="19" t="str">
        <f t="shared" si="2"/>
        <v/>
      </c>
    </row>
    <row r="1215">
      <c r="A1215" s="22" t="s">
        <v>435</v>
      </c>
      <c r="B1215" s="4" t="s">
        <v>18</v>
      </c>
      <c r="C1215" s="3" t="s">
        <v>2300</v>
      </c>
      <c r="D1215" s="23" t="s">
        <v>2301</v>
      </c>
      <c r="E1215" s="29">
        <v>45939.0</v>
      </c>
      <c r="F1215" s="3">
        <v>8.0</v>
      </c>
      <c r="G1215" s="3" t="s">
        <v>92</v>
      </c>
      <c r="H1215" s="9"/>
      <c r="I1215" s="6"/>
      <c r="J1215" s="6"/>
      <c r="K1215" s="6"/>
      <c r="L1215" s="6"/>
      <c r="M1215" s="26"/>
      <c r="O1215" s="19" t="str">
        <f t="shared" si="2"/>
        <v/>
      </c>
    </row>
    <row r="1216">
      <c r="A1216" s="22" t="s">
        <v>744</v>
      </c>
      <c r="B1216" s="4" t="s">
        <v>18</v>
      </c>
      <c r="C1216" s="3" t="s">
        <v>904</v>
      </c>
      <c r="D1216" s="23" t="s">
        <v>2302</v>
      </c>
      <c r="E1216" s="29">
        <v>45939.0</v>
      </c>
      <c r="F1216" s="3">
        <v>6.0</v>
      </c>
      <c r="G1216" s="3" t="s">
        <v>92</v>
      </c>
      <c r="H1216" s="9"/>
      <c r="I1216" s="6"/>
      <c r="J1216" s="6"/>
      <c r="K1216" s="6"/>
      <c r="L1216" s="6"/>
      <c r="M1216" s="26"/>
      <c r="O1216" s="19" t="str">
        <f t="shared" si="2"/>
        <v/>
      </c>
    </row>
    <row r="1217">
      <c r="A1217" s="22" t="s">
        <v>77</v>
      </c>
      <c r="B1217" s="4" t="s">
        <v>18</v>
      </c>
      <c r="C1217" s="3" t="s">
        <v>924</v>
      </c>
      <c r="D1217" s="23" t="s">
        <v>2303</v>
      </c>
      <c r="E1217" s="29">
        <v>45939.0</v>
      </c>
      <c r="F1217" s="3">
        <v>8.0</v>
      </c>
      <c r="G1217" s="3" t="s">
        <v>92</v>
      </c>
      <c r="H1217" s="9"/>
      <c r="I1217" s="6"/>
      <c r="J1217" s="6"/>
      <c r="K1217" s="6"/>
      <c r="L1217" s="6"/>
      <c r="M1217" s="26"/>
      <c r="O1217" s="19" t="str">
        <f t="shared" si="2"/>
        <v/>
      </c>
    </row>
    <row r="1218">
      <c r="A1218" s="22" t="s">
        <v>2266</v>
      </c>
      <c r="B1218" s="4" t="s">
        <v>18</v>
      </c>
      <c r="C1218" s="3" t="s">
        <v>2193</v>
      </c>
      <c r="D1218" s="23" t="s">
        <v>2304</v>
      </c>
      <c r="E1218" s="29">
        <v>45939.0</v>
      </c>
      <c r="F1218" s="3">
        <v>8.0</v>
      </c>
      <c r="G1218" s="3" t="s">
        <v>92</v>
      </c>
      <c r="H1218" s="9"/>
      <c r="I1218" s="6"/>
      <c r="J1218" s="6"/>
      <c r="K1218" s="6"/>
      <c r="L1218" s="6"/>
      <c r="M1218" s="26"/>
      <c r="O1218" s="19" t="str">
        <f t="shared" si="2"/>
        <v/>
      </c>
    </row>
    <row r="1219">
      <c r="A1219" s="22" t="s">
        <v>1255</v>
      </c>
      <c r="B1219" s="4" t="s">
        <v>18</v>
      </c>
      <c r="C1219" s="3" t="s">
        <v>2065</v>
      </c>
      <c r="D1219" s="23" t="s">
        <v>2305</v>
      </c>
      <c r="E1219" s="29">
        <v>45939.0</v>
      </c>
      <c r="F1219" s="3">
        <v>6.0</v>
      </c>
      <c r="G1219" s="3" t="s">
        <v>92</v>
      </c>
      <c r="H1219" s="9"/>
      <c r="I1219" s="6"/>
      <c r="J1219" s="6"/>
      <c r="K1219" s="6"/>
      <c r="L1219" s="6"/>
      <c r="M1219" s="26"/>
      <c r="O1219" s="19" t="str">
        <f t="shared" si="2"/>
        <v/>
      </c>
    </row>
    <row r="1220">
      <c r="A1220" s="22" t="s">
        <v>945</v>
      </c>
      <c r="B1220" s="4" t="s">
        <v>18</v>
      </c>
      <c r="C1220" s="3" t="s">
        <v>2306</v>
      </c>
      <c r="D1220" s="23" t="s">
        <v>2307</v>
      </c>
      <c r="E1220" s="29">
        <v>45939.0</v>
      </c>
      <c r="F1220" s="3">
        <v>6.0</v>
      </c>
      <c r="G1220" s="3" t="s">
        <v>92</v>
      </c>
      <c r="H1220" s="9"/>
      <c r="I1220" s="6"/>
      <c r="J1220" s="6"/>
      <c r="K1220" s="6"/>
      <c r="L1220" s="6"/>
      <c r="M1220" s="26"/>
      <c r="O1220" s="19" t="str">
        <f t="shared" si="2"/>
        <v/>
      </c>
    </row>
    <row r="1221">
      <c r="A1221" s="22" t="s">
        <v>30</v>
      </c>
      <c r="B1221" s="4" t="s">
        <v>31</v>
      </c>
      <c r="C1221" s="3" t="s">
        <v>2308</v>
      </c>
      <c r="D1221" s="3" t="s">
        <v>2309</v>
      </c>
      <c r="E1221" s="29">
        <v>45939.0</v>
      </c>
      <c r="F1221" s="3" t="s">
        <v>22</v>
      </c>
      <c r="G1221" s="3" t="s">
        <v>92</v>
      </c>
      <c r="H1221" s="9"/>
      <c r="I1221" s="6"/>
      <c r="J1221" s="6"/>
      <c r="K1221" s="6"/>
      <c r="L1221" s="6"/>
      <c r="M1221" s="26"/>
      <c r="O1221" s="19" t="str">
        <f t="shared" si="2"/>
        <v/>
      </c>
    </row>
    <row r="1222">
      <c r="A1222" s="22" t="s">
        <v>244</v>
      </c>
      <c r="B1222" s="4" t="s">
        <v>18</v>
      </c>
      <c r="C1222" s="3" t="s">
        <v>2310</v>
      </c>
      <c r="D1222" s="3" t="s">
        <v>2311</v>
      </c>
      <c r="E1222" s="29">
        <v>45940.0</v>
      </c>
      <c r="F1222" s="3" t="s">
        <v>27</v>
      </c>
      <c r="G1222" s="3" t="s">
        <v>129</v>
      </c>
      <c r="H1222" s="9"/>
      <c r="I1222" s="6"/>
      <c r="J1222" s="6"/>
      <c r="K1222" s="6"/>
      <c r="L1222" s="6"/>
      <c r="M1222" s="26"/>
      <c r="O1222" s="19" t="str">
        <f t="shared" si="2"/>
        <v/>
      </c>
    </row>
    <row r="1223">
      <c r="A1223" s="22" t="s">
        <v>168</v>
      </c>
      <c r="B1223" s="4" t="s">
        <v>45</v>
      </c>
      <c r="C1223" s="3" t="s">
        <v>2312</v>
      </c>
      <c r="D1223" s="39" t="s">
        <v>2313</v>
      </c>
      <c r="E1223" s="29">
        <v>45940.0</v>
      </c>
      <c r="F1223" s="3">
        <v>8.0</v>
      </c>
      <c r="G1223" s="3" t="s">
        <v>92</v>
      </c>
      <c r="H1223" s="9"/>
      <c r="I1223" s="6"/>
      <c r="J1223" s="6"/>
      <c r="K1223" s="6"/>
      <c r="L1223" s="6"/>
      <c r="M1223" s="26"/>
      <c r="O1223" s="19" t="str">
        <f t="shared" si="2"/>
        <v/>
      </c>
    </row>
    <row r="1224">
      <c r="A1224" s="22" t="s">
        <v>1266</v>
      </c>
      <c r="B1224" s="4" t="s">
        <v>31</v>
      </c>
      <c r="C1224" s="3" t="s">
        <v>2314</v>
      </c>
      <c r="D1224" s="39" t="s">
        <v>2315</v>
      </c>
      <c r="E1224" s="29">
        <v>45940.0</v>
      </c>
      <c r="F1224" s="3">
        <v>10.0</v>
      </c>
      <c r="G1224" s="3" t="s">
        <v>92</v>
      </c>
      <c r="H1224" s="9"/>
      <c r="I1224" s="6"/>
      <c r="J1224" s="6"/>
      <c r="K1224" s="6"/>
      <c r="L1224" s="6"/>
      <c r="M1224" s="26"/>
      <c r="O1224" s="19" t="str">
        <f t="shared" si="2"/>
        <v/>
      </c>
    </row>
    <row r="1225">
      <c r="A1225" s="22" t="s">
        <v>232</v>
      </c>
      <c r="B1225" s="4" t="s">
        <v>18</v>
      </c>
      <c r="C1225" s="3" t="s">
        <v>2316</v>
      </c>
      <c r="D1225" s="39" t="s">
        <v>2317</v>
      </c>
      <c r="E1225" s="29">
        <v>45940.0</v>
      </c>
      <c r="F1225" s="3">
        <v>6.0</v>
      </c>
      <c r="G1225" s="3" t="s">
        <v>92</v>
      </c>
      <c r="H1225" s="9"/>
      <c r="I1225" s="6"/>
      <c r="J1225" s="6"/>
      <c r="K1225" s="6"/>
      <c r="L1225" s="6"/>
      <c r="M1225" s="26"/>
      <c r="O1225" s="19" t="str">
        <f t="shared" si="2"/>
        <v/>
      </c>
    </row>
    <row r="1226">
      <c r="A1226" s="22" t="s">
        <v>2262</v>
      </c>
      <c r="B1226" s="4" t="s">
        <v>18</v>
      </c>
      <c r="C1226" s="3" t="s">
        <v>583</v>
      </c>
      <c r="D1226" s="39" t="s">
        <v>2318</v>
      </c>
      <c r="E1226" s="29">
        <v>45941.0</v>
      </c>
      <c r="F1226" s="3">
        <v>8.0</v>
      </c>
      <c r="G1226" s="3" t="s">
        <v>92</v>
      </c>
      <c r="H1226" s="9"/>
      <c r="I1226" s="6"/>
      <c r="J1226" s="6"/>
      <c r="K1226" s="6"/>
      <c r="L1226" s="6"/>
      <c r="M1226" s="26"/>
      <c r="O1226" s="19" t="str">
        <f t="shared" si="2"/>
        <v/>
      </c>
    </row>
    <row r="1227">
      <c r="A1227" s="22" t="s">
        <v>276</v>
      </c>
      <c r="B1227" s="4" t="s">
        <v>18</v>
      </c>
      <c r="C1227" s="3" t="s">
        <v>2319</v>
      </c>
      <c r="D1227" s="39" t="s">
        <v>2320</v>
      </c>
      <c r="E1227" s="29">
        <v>45941.0</v>
      </c>
      <c r="F1227" s="3">
        <v>8.0</v>
      </c>
      <c r="G1227" s="3" t="s">
        <v>92</v>
      </c>
      <c r="H1227" s="9"/>
      <c r="I1227" s="6"/>
      <c r="J1227" s="6"/>
      <c r="K1227" s="6"/>
      <c r="L1227" s="6"/>
      <c r="M1227" s="26"/>
      <c r="O1227" s="19" t="str">
        <f t="shared" si="2"/>
        <v/>
      </c>
    </row>
    <row r="1228">
      <c r="A1228" s="22" t="s">
        <v>318</v>
      </c>
      <c r="B1228" s="4" t="s">
        <v>18</v>
      </c>
      <c r="C1228" s="3" t="s">
        <v>2321</v>
      </c>
      <c r="D1228" s="39" t="s">
        <v>2322</v>
      </c>
      <c r="E1228" s="29">
        <v>45941.0</v>
      </c>
      <c r="F1228" s="3">
        <v>8.0</v>
      </c>
      <c r="G1228" s="3" t="s">
        <v>92</v>
      </c>
      <c r="H1228" s="9"/>
      <c r="I1228" s="6"/>
      <c r="J1228" s="6"/>
      <c r="K1228" s="6"/>
      <c r="L1228" s="6"/>
      <c r="M1228" s="26"/>
      <c r="O1228" s="19" t="str">
        <f t="shared" si="2"/>
        <v/>
      </c>
    </row>
    <row r="1229">
      <c r="A1229" s="22" t="s">
        <v>155</v>
      </c>
      <c r="B1229" s="4" t="s">
        <v>18</v>
      </c>
      <c r="C1229" s="3" t="s">
        <v>2323</v>
      </c>
      <c r="D1229" s="39" t="s">
        <v>2324</v>
      </c>
      <c r="E1229" s="29">
        <v>45941.0</v>
      </c>
      <c r="F1229" s="3">
        <v>8.0</v>
      </c>
      <c r="G1229" s="3" t="s">
        <v>92</v>
      </c>
      <c r="H1229" s="9"/>
      <c r="I1229" s="6"/>
      <c r="J1229" s="6"/>
      <c r="K1229" s="6"/>
      <c r="L1229" s="6"/>
      <c r="M1229" s="26"/>
      <c r="O1229" s="19" t="str">
        <f t="shared" si="2"/>
        <v/>
      </c>
    </row>
    <row r="1230">
      <c r="A1230" s="22" t="s">
        <v>1359</v>
      </c>
      <c r="B1230" s="4" t="s">
        <v>45</v>
      </c>
      <c r="C1230" s="3" t="s">
        <v>1806</v>
      </c>
      <c r="D1230" s="39" t="s">
        <v>2325</v>
      </c>
      <c r="E1230" s="29">
        <v>45941.0</v>
      </c>
      <c r="F1230" s="3">
        <v>8.0</v>
      </c>
      <c r="G1230" s="3" t="s">
        <v>92</v>
      </c>
      <c r="H1230" s="9"/>
      <c r="I1230" s="6"/>
      <c r="J1230" s="6"/>
      <c r="K1230" s="6"/>
      <c r="L1230" s="6"/>
      <c r="M1230" s="26"/>
      <c r="O1230" s="19" t="str">
        <f t="shared" si="2"/>
        <v/>
      </c>
    </row>
    <row r="1231">
      <c r="A1231" s="22" t="s">
        <v>2262</v>
      </c>
      <c r="B1231" s="4" t="s">
        <v>18</v>
      </c>
      <c r="C1231" s="3" t="s">
        <v>419</v>
      </c>
      <c r="D1231" s="39" t="s">
        <v>2326</v>
      </c>
      <c r="E1231" s="29">
        <v>45941.0</v>
      </c>
      <c r="F1231" s="3">
        <v>8.0</v>
      </c>
      <c r="G1231" s="3" t="s">
        <v>92</v>
      </c>
      <c r="H1231" s="9"/>
      <c r="I1231" s="6"/>
      <c r="J1231" s="6"/>
      <c r="K1231" s="6"/>
      <c r="L1231" s="6"/>
      <c r="M1231" s="26"/>
      <c r="O1231" s="19" t="str">
        <f t="shared" si="2"/>
        <v/>
      </c>
    </row>
    <row r="1232">
      <c r="A1232" s="22" t="s">
        <v>137</v>
      </c>
      <c r="B1232" s="4" t="s">
        <v>18</v>
      </c>
      <c r="C1232" s="3" t="s">
        <v>591</v>
      </c>
      <c r="D1232" s="39" t="s">
        <v>2327</v>
      </c>
      <c r="E1232" s="29">
        <v>45941.0</v>
      </c>
      <c r="F1232" s="3">
        <v>8.0</v>
      </c>
      <c r="G1232" s="3" t="s">
        <v>92</v>
      </c>
      <c r="H1232" s="9"/>
      <c r="I1232" s="6"/>
      <c r="J1232" s="6"/>
      <c r="K1232" s="6"/>
      <c r="L1232" s="6"/>
      <c r="M1232" s="26"/>
      <c r="O1232" s="19" t="str">
        <f t="shared" si="2"/>
        <v/>
      </c>
    </row>
    <row r="1233">
      <c r="A1233" s="22" t="s">
        <v>274</v>
      </c>
      <c r="B1233" s="4" t="s">
        <v>18</v>
      </c>
      <c r="C1233" s="3" t="s">
        <v>2328</v>
      </c>
      <c r="D1233" s="39" t="s">
        <v>2329</v>
      </c>
      <c r="E1233" s="29">
        <v>45941.0</v>
      </c>
      <c r="F1233" s="3">
        <v>6.0</v>
      </c>
      <c r="G1233" s="3" t="s">
        <v>92</v>
      </c>
      <c r="H1233" s="9"/>
      <c r="I1233" s="6"/>
      <c r="J1233" s="6"/>
      <c r="K1233" s="6"/>
      <c r="L1233" s="6"/>
      <c r="M1233" s="26"/>
      <c r="O1233" s="19" t="str">
        <f t="shared" si="2"/>
        <v/>
      </c>
    </row>
    <row r="1234">
      <c r="A1234" s="22" t="s">
        <v>318</v>
      </c>
      <c r="B1234" s="4" t="s">
        <v>18</v>
      </c>
      <c r="C1234" s="3" t="s">
        <v>371</v>
      </c>
      <c r="D1234" s="39" t="s">
        <v>2330</v>
      </c>
      <c r="E1234" s="29">
        <v>45941.0</v>
      </c>
      <c r="F1234" s="3">
        <v>8.0</v>
      </c>
      <c r="G1234" s="3" t="s">
        <v>92</v>
      </c>
      <c r="H1234" s="9"/>
      <c r="I1234" s="6"/>
      <c r="J1234" s="6"/>
      <c r="K1234" s="6"/>
      <c r="L1234" s="6"/>
      <c r="M1234" s="26"/>
      <c r="O1234" s="19" t="str">
        <f t="shared" si="2"/>
        <v/>
      </c>
    </row>
    <row r="1235">
      <c r="A1235" s="22" t="s">
        <v>2266</v>
      </c>
      <c r="B1235" s="4" t="s">
        <v>18</v>
      </c>
      <c r="C1235" s="3" t="s">
        <v>2331</v>
      </c>
      <c r="D1235" s="3" t="s">
        <v>2332</v>
      </c>
      <c r="E1235" s="29">
        <v>46001.0</v>
      </c>
      <c r="F1235" s="3" t="s">
        <v>27</v>
      </c>
      <c r="G1235" s="3"/>
      <c r="H1235" s="9"/>
      <c r="I1235" s="6"/>
      <c r="J1235" s="6"/>
      <c r="K1235" s="6"/>
      <c r="L1235" s="6"/>
      <c r="M1235" s="26"/>
      <c r="O1235" s="19" t="str">
        <f t="shared" si="2"/>
        <v/>
      </c>
    </row>
    <row r="1236">
      <c r="A1236" s="22" t="s">
        <v>2266</v>
      </c>
      <c r="B1236" s="4" t="s">
        <v>18</v>
      </c>
      <c r="C1236" s="3" t="s">
        <v>2193</v>
      </c>
      <c r="D1236" s="3" t="s">
        <v>2333</v>
      </c>
      <c r="E1236" s="29">
        <v>46001.0</v>
      </c>
      <c r="F1236" s="3" t="s">
        <v>27</v>
      </c>
      <c r="G1236" s="3"/>
      <c r="H1236" s="9"/>
      <c r="I1236" s="6"/>
      <c r="J1236" s="6"/>
      <c r="K1236" s="6"/>
      <c r="L1236" s="6"/>
      <c r="M1236" s="26"/>
      <c r="O1236" s="19" t="str">
        <f t="shared" si="2"/>
        <v/>
      </c>
    </row>
    <row r="1237">
      <c r="A1237" s="22" t="s">
        <v>305</v>
      </c>
      <c r="B1237" s="4" t="s">
        <v>36</v>
      </c>
      <c r="C1237" s="3" t="s">
        <v>331</v>
      </c>
      <c r="D1237" s="23"/>
      <c r="E1237" s="29">
        <v>45943.0</v>
      </c>
      <c r="F1237" s="3">
        <v>6.0</v>
      </c>
      <c r="G1237" s="3" t="s">
        <v>92</v>
      </c>
      <c r="H1237" s="9"/>
      <c r="I1237" s="6"/>
      <c r="J1237" s="6"/>
      <c r="K1237" s="6"/>
      <c r="L1237" s="6"/>
      <c r="M1237" s="26"/>
      <c r="O1237" s="19" t="str">
        <f t="shared" si="2"/>
        <v/>
      </c>
    </row>
    <row r="1238">
      <c r="A1238" s="22" t="s">
        <v>198</v>
      </c>
      <c r="B1238" s="4" t="s">
        <v>109</v>
      </c>
      <c r="C1238" s="3">
        <v>5046.0</v>
      </c>
      <c r="D1238" s="23"/>
      <c r="E1238" s="29">
        <v>45943.0</v>
      </c>
      <c r="F1238" s="3">
        <v>5.0</v>
      </c>
      <c r="G1238" s="3" t="s">
        <v>92</v>
      </c>
      <c r="H1238" s="9"/>
      <c r="I1238" s="6"/>
      <c r="J1238" s="6"/>
      <c r="K1238" s="6"/>
      <c r="L1238" s="6"/>
      <c r="M1238" s="26"/>
      <c r="O1238" s="19" t="str">
        <f t="shared" si="2"/>
        <v/>
      </c>
    </row>
    <row r="1239">
      <c r="A1239" s="22" t="s">
        <v>276</v>
      </c>
      <c r="B1239" s="4" t="s">
        <v>18</v>
      </c>
      <c r="C1239" s="3" t="s">
        <v>2334</v>
      </c>
      <c r="D1239" s="23" t="s">
        <v>2335</v>
      </c>
      <c r="E1239" s="29">
        <v>45943.0</v>
      </c>
      <c r="F1239" s="3">
        <v>6.0</v>
      </c>
      <c r="G1239" s="3" t="s">
        <v>92</v>
      </c>
      <c r="H1239" s="9"/>
      <c r="I1239" s="6"/>
      <c r="J1239" s="6"/>
      <c r="K1239" s="6"/>
      <c r="L1239" s="6"/>
      <c r="M1239" s="26"/>
      <c r="O1239" s="19" t="str">
        <f t="shared" si="2"/>
        <v/>
      </c>
    </row>
    <row r="1240">
      <c r="A1240" s="22" t="s">
        <v>418</v>
      </c>
      <c r="B1240" s="4" t="s">
        <v>18</v>
      </c>
      <c r="C1240" s="3" t="s">
        <v>2070</v>
      </c>
      <c r="D1240" s="23" t="s">
        <v>2336</v>
      </c>
      <c r="E1240" s="29">
        <v>45943.0</v>
      </c>
      <c r="F1240" s="3">
        <v>6.0</v>
      </c>
      <c r="G1240" s="3" t="s">
        <v>92</v>
      </c>
      <c r="H1240" s="9"/>
      <c r="I1240" s="6"/>
      <c r="J1240" s="6"/>
      <c r="K1240" s="6"/>
      <c r="L1240" s="6"/>
      <c r="M1240" s="26"/>
      <c r="O1240" s="19" t="str">
        <f t="shared" si="2"/>
        <v/>
      </c>
    </row>
    <row r="1241">
      <c r="A1241" s="22" t="s">
        <v>1062</v>
      </c>
      <c r="B1241" s="4" t="s">
        <v>18</v>
      </c>
      <c r="C1241" s="3" t="s">
        <v>1214</v>
      </c>
      <c r="D1241" s="23" t="s">
        <v>2337</v>
      </c>
      <c r="E1241" s="29">
        <v>45943.0</v>
      </c>
      <c r="F1241" s="3">
        <v>8.0</v>
      </c>
      <c r="G1241" s="3" t="s">
        <v>92</v>
      </c>
      <c r="H1241" s="9"/>
      <c r="I1241" s="6"/>
      <c r="J1241" s="6"/>
      <c r="K1241" s="6"/>
      <c r="L1241" s="6"/>
      <c r="M1241" s="26"/>
      <c r="O1241" s="19" t="str">
        <f t="shared" si="2"/>
        <v/>
      </c>
    </row>
    <row r="1242">
      <c r="A1242" s="22" t="s">
        <v>1320</v>
      </c>
      <c r="B1242" s="4" t="s">
        <v>45</v>
      </c>
      <c r="C1242" s="3" t="s">
        <v>75</v>
      </c>
      <c r="D1242" s="23" t="s">
        <v>1321</v>
      </c>
      <c r="E1242" s="29">
        <v>45943.0</v>
      </c>
      <c r="F1242" s="3">
        <v>10.0</v>
      </c>
      <c r="G1242" s="3" t="s">
        <v>92</v>
      </c>
      <c r="H1242" s="9"/>
      <c r="I1242" s="6"/>
      <c r="J1242" s="6"/>
      <c r="K1242" s="6"/>
      <c r="L1242" s="6"/>
      <c r="M1242" s="26"/>
      <c r="O1242" s="19" t="str">
        <f t="shared" si="2"/>
        <v/>
      </c>
    </row>
    <row r="1243">
      <c r="A1243" s="22" t="s">
        <v>1320</v>
      </c>
      <c r="B1243" s="4" t="s">
        <v>45</v>
      </c>
      <c r="C1243" s="3" t="s">
        <v>82</v>
      </c>
      <c r="D1243" s="23" t="s">
        <v>2338</v>
      </c>
      <c r="E1243" s="29">
        <v>45943.0</v>
      </c>
      <c r="F1243" s="3">
        <v>8.0</v>
      </c>
      <c r="G1243" s="3" t="s">
        <v>92</v>
      </c>
      <c r="H1243" s="9"/>
      <c r="I1243" s="6"/>
      <c r="J1243" s="6"/>
      <c r="K1243" s="6"/>
      <c r="L1243" s="6"/>
      <c r="M1243" s="26"/>
      <c r="O1243" s="19" t="str">
        <f t="shared" si="2"/>
        <v/>
      </c>
    </row>
    <row r="1244">
      <c r="A1244" s="22" t="s">
        <v>1359</v>
      </c>
      <c r="B1244" s="4" t="s">
        <v>45</v>
      </c>
      <c r="C1244" s="3" t="s">
        <v>2339</v>
      </c>
      <c r="D1244" s="23" t="s">
        <v>2340</v>
      </c>
      <c r="E1244" s="29">
        <v>45943.0</v>
      </c>
      <c r="F1244" s="3">
        <v>8.0</v>
      </c>
      <c r="G1244" s="3" t="s">
        <v>92</v>
      </c>
      <c r="H1244" s="9"/>
      <c r="I1244" s="6"/>
      <c r="J1244" s="6"/>
      <c r="K1244" s="6"/>
      <c r="L1244" s="6"/>
      <c r="M1244" s="26"/>
      <c r="O1244" s="19" t="str">
        <f t="shared" si="2"/>
        <v/>
      </c>
    </row>
    <row r="1245">
      <c r="A1245" s="22" t="s">
        <v>1195</v>
      </c>
      <c r="B1245" s="4" t="s">
        <v>1196</v>
      </c>
      <c r="C1245" s="3" t="s">
        <v>2341</v>
      </c>
      <c r="D1245" s="23" t="s">
        <v>2342</v>
      </c>
      <c r="E1245" s="29">
        <v>45943.0</v>
      </c>
      <c r="F1245" s="3">
        <v>8.0</v>
      </c>
      <c r="G1245" s="3" t="s">
        <v>92</v>
      </c>
      <c r="H1245" s="9"/>
      <c r="I1245" s="6"/>
      <c r="J1245" s="6"/>
      <c r="K1245" s="6"/>
      <c r="L1245" s="6"/>
      <c r="M1245" s="26"/>
      <c r="O1245" s="19" t="str">
        <f t="shared" si="2"/>
        <v/>
      </c>
    </row>
    <row r="1246">
      <c r="A1246" s="22" t="s">
        <v>305</v>
      </c>
      <c r="B1246" s="4" t="s">
        <v>36</v>
      </c>
      <c r="C1246" s="3" t="s">
        <v>327</v>
      </c>
      <c r="D1246" s="23"/>
      <c r="E1246" s="29">
        <v>45943.0</v>
      </c>
      <c r="F1246" s="3">
        <v>6.0</v>
      </c>
      <c r="G1246" s="3" t="s">
        <v>92</v>
      </c>
      <c r="H1246" s="9"/>
      <c r="I1246" s="6"/>
      <c r="J1246" s="6"/>
      <c r="K1246" s="6"/>
      <c r="L1246" s="6"/>
      <c r="M1246" s="26"/>
      <c r="O1246" s="19" t="str">
        <f t="shared" si="2"/>
        <v/>
      </c>
    </row>
    <row r="1247">
      <c r="A1247" s="22" t="s">
        <v>137</v>
      </c>
      <c r="B1247" s="4" t="s">
        <v>18</v>
      </c>
      <c r="C1247" s="3" t="s">
        <v>127</v>
      </c>
      <c r="D1247" s="23" t="s">
        <v>2343</v>
      </c>
      <c r="E1247" s="29">
        <v>45943.0</v>
      </c>
      <c r="F1247" s="3">
        <v>8.0</v>
      </c>
      <c r="G1247" s="3" t="s">
        <v>92</v>
      </c>
      <c r="H1247" s="9"/>
      <c r="I1247" s="6"/>
      <c r="J1247" s="6"/>
      <c r="K1247" s="6"/>
      <c r="L1247" s="6"/>
      <c r="M1247" s="26"/>
      <c r="O1247" s="19" t="str">
        <f t="shared" si="2"/>
        <v/>
      </c>
    </row>
    <row r="1248">
      <c r="A1248" s="22" t="s">
        <v>570</v>
      </c>
      <c r="B1248" s="4" t="s">
        <v>18</v>
      </c>
      <c r="C1248" s="3" t="s">
        <v>766</v>
      </c>
      <c r="D1248" s="23" t="s">
        <v>2344</v>
      </c>
      <c r="E1248" s="29">
        <v>45943.0</v>
      </c>
      <c r="F1248" s="3">
        <v>8.0</v>
      </c>
      <c r="G1248" s="3" t="s">
        <v>92</v>
      </c>
      <c r="H1248" s="9"/>
      <c r="I1248" s="6"/>
      <c r="J1248" s="6"/>
      <c r="K1248" s="6"/>
      <c r="L1248" s="6"/>
      <c r="M1248" s="26"/>
      <c r="O1248" s="19" t="str">
        <f t="shared" si="2"/>
        <v/>
      </c>
    </row>
    <row r="1249">
      <c r="A1249" s="22" t="s">
        <v>125</v>
      </c>
      <c r="B1249" s="4" t="s">
        <v>31</v>
      </c>
      <c r="C1249" s="3" t="s">
        <v>811</v>
      </c>
      <c r="D1249" s="23" t="s">
        <v>2345</v>
      </c>
      <c r="E1249" s="29">
        <v>45943.0</v>
      </c>
      <c r="F1249" s="3">
        <v>8.0</v>
      </c>
      <c r="G1249" s="3" t="s">
        <v>92</v>
      </c>
      <c r="H1249" s="9"/>
      <c r="I1249" s="6"/>
      <c r="J1249" s="6"/>
      <c r="K1249" s="6"/>
      <c r="L1249" s="6"/>
      <c r="M1249" s="26"/>
      <c r="O1249" s="19" t="str">
        <f t="shared" si="2"/>
        <v/>
      </c>
    </row>
    <row r="1250">
      <c r="A1250" s="22" t="s">
        <v>305</v>
      </c>
      <c r="B1250" s="4" t="s">
        <v>36</v>
      </c>
      <c r="C1250" s="3" t="s">
        <v>331</v>
      </c>
      <c r="D1250" s="23" t="s">
        <v>2346</v>
      </c>
      <c r="E1250" s="29">
        <v>45943.0</v>
      </c>
      <c r="F1250" s="3">
        <v>9.0</v>
      </c>
      <c r="G1250" s="3" t="s">
        <v>92</v>
      </c>
      <c r="H1250" s="9"/>
      <c r="I1250" s="6"/>
      <c r="J1250" s="6"/>
      <c r="K1250" s="6"/>
      <c r="L1250" s="6"/>
      <c r="M1250" s="26"/>
      <c r="O1250" s="19" t="str">
        <f t="shared" si="2"/>
        <v/>
      </c>
    </row>
    <row r="1251">
      <c r="A1251" s="22" t="s">
        <v>291</v>
      </c>
      <c r="B1251" s="4" t="s">
        <v>31</v>
      </c>
      <c r="C1251" s="3" t="s">
        <v>1041</v>
      </c>
      <c r="D1251" s="23" t="s">
        <v>2347</v>
      </c>
      <c r="E1251" s="29">
        <v>45943.0</v>
      </c>
      <c r="F1251" s="3">
        <v>5.0</v>
      </c>
      <c r="G1251" s="3" t="s">
        <v>92</v>
      </c>
      <c r="H1251" s="9"/>
      <c r="I1251" s="6"/>
      <c r="J1251" s="6"/>
      <c r="K1251" s="6"/>
      <c r="L1251" s="6"/>
      <c r="M1251" s="26"/>
      <c r="O1251" s="19" t="str">
        <f t="shared" si="2"/>
        <v/>
      </c>
    </row>
    <row r="1252">
      <c r="A1252" s="22" t="s">
        <v>246</v>
      </c>
      <c r="B1252" s="4" t="s">
        <v>36</v>
      </c>
      <c r="C1252" s="3" t="s">
        <v>2348</v>
      </c>
      <c r="D1252" s="23" t="s">
        <v>2349</v>
      </c>
      <c r="E1252" s="29">
        <v>45943.0</v>
      </c>
      <c r="F1252" s="3">
        <v>8.0</v>
      </c>
      <c r="G1252" s="3" t="s">
        <v>92</v>
      </c>
      <c r="H1252" s="9"/>
      <c r="I1252" s="6"/>
      <c r="J1252" s="6"/>
      <c r="K1252" s="6"/>
      <c r="L1252" s="6"/>
      <c r="M1252" s="26"/>
      <c r="O1252" s="19" t="str">
        <f t="shared" si="2"/>
        <v/>
      </c>
    </row>
    <row r="1253">
      <c r="A1253" s="22" t="s">
        <v>112</v>
      </c>
      <c r="B1253" s="4" t="s">
        <v>18</v>
      </c>
      <c r="C1253" s="3" t="s">
        <v>645</v>
      </c>
      <c r="D1253" s="23" t="s">
        <v>2350</v>
      </c>
      <c r="E1253" s="29">
        <v>45943.0</v>
      </c>
      <c r="F1253" s="3">
        <v>9.0</v>
      </c>
      <c r="G1253" s="3" t="s">
        <v>92</v>
      </c>
      <c r="H1253" s="9"/>
      <c r="I1253" s="6"/>
      <c r="J1253" s="6"/>
      <c r="K1253" s="6"/>
      <c r="L1253" s="6"/>
      <c r="M1253" s="26"/>
      <c r="O1253" s="19" t="str">
        <f t="shared" si="2"/>
        <v/>
      </c>
    </row>
    <row r="1254">
      <c r="A1254" s="22" t="s">
        <v>1359</v>
      </c>
      <c r="B1254" s="4" t="s">
        <v>45</v>
      </c>
      <c r="C1254" s="3" t="s">
        <v>2351</v>
      </c>
      <c r="D1254" s="23" t="s">
        <v>2352</v>
      </c>
      <c r="E1254" s="29">
        <v>45943.0</v>
      </c>
      <c r="F1254" s="3">
        <v>6.0</v>
      </c>
      <c r="G1254" s="3" t="s">
        <v>92</v>
      </c>
      <c r="H1254" s="9"/>
      <c r="I1254" s="6"/>
      <c r="J1254" s="6"/>
      <c r="K1254" s="6"/>
      <c r="L1254" s="6"/>
      <c r="M1254" s="26"/>
      <c r="O1254" s="19" t="str">
        <f t="shared" si="2"/>
        <v/>
      </c>
    </row>
    <row r="1255">
      <c r="A1255" s="22" t="s">
        <v>305</v>
      </c>
      <c r="B1255" s="4" t="s">
        <v>36</v>
      </c>
      <c r="C1255" s="3" t="s">
        <v>1111</v>
      </c>
      <c r="D1255" s="23" t="s">
        <v>2353</v>
      </c>
      <c r="E1255" s="29">
        <v>45943.0</v>
      </c>
      <c r="F1255" s="3">
        <v>8.0</v>
      </c>
      <c r="G1255" s="3" t="s">
        <v>92</v>
      </c>
      <c r="H1255" s="9"/>
      <c r="I1255" s="6"/>
      <c r="J1255" s="6"/>
      <c r="K1255" s="6"/>
      <c r="L1255" s="6"/>
      <c r="M1255" s="26"/>
      <c r="O1255" s="19" t="str">
        <f t="shared" si="2"/>
        <v/>
      </c>
    </row>
    <row r="1256">
      <c r="A1256" s="22" t="s">
        <v>276</v>
      </c>
      <c r="B1256" s="4" t="s">
        <v>18</v>
      </c>
      <c r="C1256" s="3" t="s">
        <v>2354</v>
      </c>
      <c r="D1256" s="23" t="s">
        <v>2355</v>
      </c>
      <c r="E1256" s="29">
        <v>45943.0</v>
      </c>
      <c r="F1256" s="3">
        <v>8.0</v>
      </c>
      <c r="G1256" s="3" t="s">
        <v>92</v>
      </c>
      <c r="H1256" s="9"/>
      <c r="I1256" s="6"/>
      <c r="J1256" s="6"/>
      <c r="K1256" s="6"/>
      <c r="L1256" s="6"/>
      <c r="M1256" s="26"/>
      <c r="O1256" s="19" t="str">
        <f t="shared" si="2"/>
        <v/>
      </c>
    </row>
    <row r="1257">
      <c r="A1257" s="22" t="s">
        <v>155</v>
      </c>
      <c r="B1257" s="4" t="s">
        <v>18</v>
      </c>
      <c r="C1257" s="3" t="s">
        <v>51</v>
      </c>
      <c r="D1257" s="23" t="s">
        <v>2356</v>
      </c>
      <c r="E1257" s="29">
        <v>45943.0</v>
      </c>
      <c r="F1257" s="3">
        <v>8.0</v>
      </c>
      <c r="G1257" s="3" t="s">
        <v>92</v>
      </c>
      <c r="H1257" s="9"/>
      <c r="I1257" s="6"/>
      <c r="J1257" s="6"/>
      <c r="K1257" s="6"/>
      <c r="L1257" s="6"/>
      <c r="M1257" s="26"/>
      <c r="O1257" s="19" t="str">
        <f t="shared" si="2"/>
        <v/>
      </c>
    </row>
    <row r="1258">
      <c r="A1258" s="22" t="s">
        <v>795</v>
      </c>
      <c r="B1258" s="4" t="s">
        <v>109</v>
      </c>
      <c r="C1258" s="3" t="s">
        <v>2357</v>
      </c>
      <c r="D1258" s="3" t="s">
        <v>2358</v>
      </c>
      <c r="E1258" s="29">
        <v>45943.0</v>
      </c>
      <c r="F1258" s="3" t="s">
        <v>27</v>
      </c>
      <c r="G1258" s="3" t="s">
        <v>129</v>
      </c>
      <c r="H1258" s="9"/>
      <c r="I1258" s="6"/>
      <c r="J1258" s="6"/>
      <c r="K1258" s="6"/>
      <c r="L1258" s="6"/>
      <c r="M1258" s="26"/>
      <c r="O1258" s="19" t="str">
        <f t="shared" si="2"/>
        <v/>
      </c>
    </row>
    <row r="1259">
      <c r="A1259" s="22" t="s">
        <v>1266</v>
      </c>
      <c r="B1259" s="4" t="s">
        <v>31</v>
      </c>
      <c r="C1259" s="3" t="s">
        <v>2359</v>
      </c>
      <c r="D1259" s="3" t="s">
        <v>2360</v>
      </c>
      <c r="E1259" s="29">
        <v>45943.0</v>
      </c>
      <c r="F1259" s="3" t="s">
        <v>27</v>
      </c>
      <c r="G1259" s="3" t="s">
        <v>129</v>
      </c>
      <c r="H1259" s="9"/>
      <c r="I1259" s="6"/>
      <c r="J1259" s="6"/>
      <c r="K1259" s="6"/>
      <c r="L1259" s="6"/>
      <c r="M1259" s="26"/>
      <c r="O1259" s="19" t="str">
        <f t="shared" si="2"/>
        <v/>
      </c>
    </row>
    <row r="1260">
      <c r="A1260" s="22" t="s">
        <v>184</v>
      </c>
      <c r="B1260" s="4" t="s">
        <v>18</v>
      </c>
      <c r="C1260" s="3" t="s">
        <v>512</v>
      </c>
      <c r="D1260" s="3" t="s">
        <v>2361</v>
      </c>
      <c r="E1260" s="29">
        <v>45943.0</v>
      </c>
      <c r="F1260" s="3" t="s">
        <v>27</v>
      </c>
      <c r="G1260" s="3" t="s">
        <v>129</v>
      </c>
      <c r="H1260" s="9"/>
      <c r="I1260" s="6"/>
      <c r="J1260" s="6"/>
      <c r="K1260" s="6"/>
      <c r="L1260" s="6"/>
      <c r="M1260" s="26"/>
      <c r="O1260" s="19" t="str">
        <f t="shared" si="2"/>
        <v/>
      </c>
    </row>
    <row r="1261">
      <c r="A1261" s="22" t="s">
        <v>98</v>
      </c>
      <c r="B1261" s="4" t="s">
        <v>31</v>
      </c>
      <c r="C1261" s="3" t="s">
        <v>2362</v>
      </c>
      <c r="D1261" s="3" t="s">
        <v>2363</v>
      </c>
      <c r="E1261" s="29" t="s">
        <v>2364</v>
      </c>
      <c r="F1261" s="3" t="s">
        <v>27</v>
      </c>
      <c r="G1261" s="3"/>
      <c r="H1261" s="9"/>
      <c r="I1261" s="6"/>
      <c r="J1261" s="6"/>
      <c r="K1261" s="6"/>
      <c r="L1261" s="6"/>
      <c r="M1261" s="26"/>
      <c r="O1261" s="19" t="str">
        <f t="shared" si="2"/>
        <v/>
      </c>
    </row>
    <row r="1262">
      <c r="A1262" s="22" t="s">
        <v>98</v>
      </c>
      <c r="B1262" s="4" t="s">
        <v>31</v>
      </c>
      <c r="C1262" s="3" t="s">
        <v>2362</v>
      </c>
      <c r="D1262" s="3" t="s">
        <v>2363</v>
      </c>
      <c r="E1262" s="29">
        <v>45943.0</v>
      </c>
      <c r="F1262" s="3" t="s">
        <v>27</v>
      </c>
      <c r="G1262" s="3" t="s">
        <v>129</v>
      </c>
      <c r="H1262" s="9"/>
      <c r="I1262" s="6"/>
      <c r="J1262" s="6"/>
      <c r="K1262" s="6"/>
      <c r="L1262" s="6"/>
      <c r="M1262" s="26"/>
      <c r="O1262" s="19" t="str">
        <f t="shared" si="2"/>
        <v/>
      </c>
    </row>
    <row r="1263">
      <c r="A1263" s="22" t="s">
        <v>276</v>
      </c>
      <c r="B1263" s="4" t="s">
        <v>18</v>
      </c>
      <c r="C1263" s="3" t="s">
        <v>1863</v>
      </c>
      <c r="D1263" s="23" t="s">
        <v>2365</v>
      </c>
      <c r="E1263" s="29">
        <v>45943.0</v>
      </c>
      <c r="F1263" s="3">
        <v>8.0</v>
      </c>
      <c r="G1263" s="3" t="s">
        <v>92</v>
      </c>
      <c r="H1263" s="9"/>
      <c r="I1263" s="6"/>
      <c r="J1263" s="6"/>
      <c r="K1263" s="6"/>
      <c r="L1263" s="6"/>
      <c r="M1263" s="26"/>
      <c r="O1263" s="19" t="str">
        <f t="shared" si="2"/>
        <v/>
      </c>
    </row>
    <row r="1264">
      <c r="A1264" s="22" t="s">
        <v>717</v>
      </c>
      <c r="B1264" s="4" t="s">
        <v>36</v>
      </c>
      <c r="C1264" s="3" t="s">
        <v>929</v>
      </c>
      <c r="D1264" s="23" t="s">
        <v>2366</v>
      </c>
      <c r="E1264" s="29">
        <v>45943.0</v>
      </c>
      <c r="F1264" s="3">
        <v>8.0</v>
      </c>
      <c r="G1264" s="3" t="s">
        <v>92</v>
      </c>
      <c r="H1264" s="9"/>
      <c r="I1264" s="6"/>
      <c r="J1264" s="6"/>
      <c r="K1264" s="6"/>
      <c r="L1264" s="6"/>
      <c r="M1264" s="26"/>
      <c r="O1264" s="19" t="str">
        <f t="shared" si="2"/>
        <v/>
      </c>
    </row>
    <row r="1265">
      <c r="A1265" s="22" t="s">
        <v>113</v>
      </c>
      <c r="B1265" s="4" t="s">
        <v>18</v>
      </c>
      <c r="C1265" s="3" t="s">
        <v>371</v>
      </c>
      <c r="D1265" s="23" t="s">
        <v>2330</v>
      </c>
      <c r="E1265" s="29">
        <v>45943.0</v>
      </c>
      <c r="F1265" s="3">
        <v>9.0</v>
      </c>
      <c r="G1265" s="3" t="s">
        <v>92</v>
      </c>
      <c r="H1265" s="9"/>
      <c r="I1265" s="6"/>
      <c r="J1265" s="6"/>
      <c r="K1265" s="6"/>
      <c r="L1265" s="6"/>
      <c r="M1265" s="26"/>
      <c r="O1265" s="19" t="str">
        <f t="shared" si="2"/>
        <v/>
      </c>
    </row>
    <row r="1266">
      <c r="A1266" s="22" t="s">
        <v>113</v>
      </c>
      <c r="B1266" s="4" t="s">
        <v>18</v>
      </c>
      <c r="C1266" s="3" t="s">
        <v>2367</v>
      </c>
      <c r="D1266" s="23" t="s">
        <v>2368</v>
      </c>
      <c r="E1266" s="29">
        <v>45943.0</v>
      </c>
      <c r="F1266" s="3">
        <v>9.0</v>
      </c>
      <c r="G1266" s="3" t="s">
        <v>92</v>
      </c>
      <c r="H1266" s="9"/>
      <c r="I1266" s="6"/>
      <c r="J1266" s="6"/>
      <c r="K1266" s="6"/>
      <c r="L1266" s="6"/>
      <c r="M1266" s="26"/>
      <c r="O1266" s="19" t="str">
        <f t="shared" si="2"/>
        <v/>
      </c>
    </row>
    <row r="1267">
      <c r="A1267" s="22" t="s">
        <v>817</v>
      </c>
      <c r="B1267" s="4" t="s">
        <v>36</v>
      </c>
      <c r="C1267" s="3" t="s">
        <v>2369</v>
      </c>
      <c r="D1267" s="3" t="s">
        <v>2370</v>
      </c>
      <c r="E1267" s="29" t="s">
        <v>2371</v>
      </c>
      <c r="F1267" s="3" t="s">
        <v>27</v>
      </c>
      <c r="G1267" s="3"/>
      <c r="H1267" s="9"/>
      <c r="I1267" s="6"/>
      <c r="J1267" s="6"/>
      <c r="K1267" s="6"/>
      <c r="L1267" s="6"/>
      <c r="M1267" s="26"/>
      <c r="O1267" s="19" t="str">
        <f t="shared" si="2"/>
        <v/>
      </c>
    </row>
    <row r="1268">
      <c r="A1268" s="22" t="s">
        <v>817</v>
      </c>
      <c r="B1268" s="4" t="s">
        <v>36</v>
      </c>
      <c r="C1268" s="3" t="s">
        <v>2372</v>
      </c>
      <c r="D1268" s="3" t="s">
        <v>2373</v>
      </c>
      <c r="E1268" s="29">
        <v>45943.0</v>
      </c>
      <c r="F1268" s="3" t="s">
        <v>27</v>
      </c>
      <c r="G1268" s="3" t="s">
        <v>129</v>
      </c>
      <c r="H1268" s="9"/>
      <c r="I1268" s="6"/>
      <c r="J1268" s="6"/>
      <c r="K1268" s="6"/>
      <c r="L1268" s="6"/>
      <c r="M1268" s="26"/>
      <c r="O1268" s="19" t="str">
        <f t="shared" si="2"/>
        <v/>
      </c>
    </row>
    <row r="1269">
      <c r="A1269" s="22" t="s">
        <v>225</v>
      </c>
      <c r="B1269" s="4" t="s">
        <v>36</v>
      </c>
      <c r="C1269" s="3" t="s">
        <v>2374</v>
      </c>
      <c r="D1269" s="23" t="s">
        <v>2375</v>
      </c>
      <c r="E1269" s="29">
        <v>45943.0</v>
      </c>
      <c r="F1269" s="3">
        <v>6.0</v>
      </c>
      <c r="G1269" s="3" t="s">
        <v>92</v>
      </c>
      <c r="H1269" s="9"/>
      <c r="I1269" s="6"/>
      <c r="J1269" s="6"/>
      <c r="K1269" s="6"/>
      <c r="L1269" s="6"/>
      <c r="M1269" s="26"/>
      <c r="O1269" s="19" t="str">
        <f t="shared" si="2"/>
        <v/>
      </c>
    </row>
    <row r="1270">
      <c r="A1270" s="22" t="s">
        <v>1266</v>
      </c>
      <c r="B1270" s="4" t="s">
        <v>31</v>
      </c>
      <c r="C1270" s="3" t="s">
        <v>2376</v>
      </c>
      <c r="D1270" s="23" t="s">
        <v>2377</v>
      </c>
      <c r="E1270" s="29">
        <v>45943.0</v>
      </c>
      <c r="F1270" s="3">
        <v>8.0</v>
      </c>
      <c r="G1270" s="3" t="s">
        <v>92</v>
      </c>
      <c r="H1270" s="9"/>
      <c r="I1270" s="6"/>
      <c r="J1270" s="6"/>
      <c r="K1270" s="6"/>
      <c r="L1270" s="6"/>
      <c r="M1270" s="26"/>
      <c r="O1270" s="19" t="str">
        <f t="shared" si="2"/>
        <v/>
      </c>
    </row>
    <row r="1271">
      <c r="A1271" s="22" t="s">
        <v>1062</v>
      </c>
      <c r="B1271" s="4" t="s">
        <v>18</v>
      </c>
      <c r="C1271" s="3" t="s">
        <v>574</v>
      </c>
      <c r="D1271" s="23" t="s">
        <v>2378</v>
      </c>
      <c r="E1271" s="29">
        <v>45943.0</v>
      </c>
      <c r="F1271" s="3">
        <v>6.0</v>
      </c>
      <c r="G1271" s="3" t="s">
        <v>92</v>
      </c>
      <c r="H1271" s="9"/>
      <c r="I1271" s="6"/>
      <c r="J1271" s="6"/>
      <c r="K1271" s="6"/>
      <c r="L1271" s="6"/>
      <c r="M1271" s="26"/>
      <c r="O1271" s="19" t="str">
        <f t="shared" si="2"/>
        <v/>
      </c>
    </row>
    <row r="1272">
      <c r="A1272" s="22" t="s">
        <v>472</v>
      </c>
      <c r="B1272" s="4" t="s">
        <v>18</v>
      </c>
      <c r="C1272" s="3" t="s">
        <v>2379</v>
      </c>
      <c r="D1272" s="23" t="s">
        <v>2380</v>
      </c>
      <c r="E1272" s="29">
        <v>45943.0</v>
      </c>
      <c r="F1272" s="3">
        <v>8.0</v>
      </c>
      <c r="G1272" s="3" t="s">
        <v>92</v>
      </c>
      <c r="H1272" s="9"/>
      <c r="I1272" s="6"/>
      <c r="J1272" s="6"/>
      <c r="K1272" s="6"/>
      <c r="L1272" s="6"/>
      <c r="M1272" s="26"/>
      <c r="O1272" s="19" t="str">
        <f t="shared" si="2"/>
        <v/>
      </c>
    </row>
    <row r="1273">
      <c r="A1273" s="22" t="s">
        <v>305</v>
      </c>
      <c r="B1273" s="4" t="s">
        <v>36</v>
      </c>
      <c r="C1273" s="3" t="s">
        <v>331</v>
      </c>
      <c r="D1273" s="23" t="s">
        <v>2381</v>
      </c>
      <c r="E1273" s="29">
        <v>45943.0</v>
      </c>
      <c r="F1273" s="3">
        <v>8.0</v>
      </c>
      <c r="G1273" s="3" t="s">
        <v>92</v>
      </c>
      <c r="H1273" s="9"/>
      <c r="I1273" s="6"/>
      <c r="J1273" s="6"/>
      <c r="K1273" s="6"/>
      <c r="L1273" s="6"/>
      <c r="M1273" s="26"/>
      <c r="O1273" s="19" t="str">
        <f t="shared" si="2"/>
        <v/>
      </c>
    </row>
    <row r="1274">
      <c r="A1274" s="22" t="s">
        <v>265</v>
      </c>
      <c r="B1274" s="4" t="s">
        <v>18</v>
      </c>
      <c r="C1274" s="3" t="s">
        <v>2382</v>
      </c>
      <c r="D1274" s="23" t="s">
        <v>2383</v>
      </c>
      <c r="E1274" s="29">
        <v>45943.0</v>
      </c>
      <c r="F1274" s="3">
        <v>8.0</v>
      </c>
      <c r="G1274" s="3" t="s">
        <v>92</v>
      </c>
      <c r="H1274" s="9"/>
      <c r="I1274" s="6"/>
      <c r="J1274" s="6"/>
      <c r="K1274" s="6"/>
      <c r="L1274" s="6"/>
      <c r="M1274" s="26"/>
      <c r="O1274" s="19" t="str">
        <f t="shared" si="2"/>
        <v/>
      </c>
    </row>
    <row r="1275">
      <c r="A1275" s="22" t="s">
        <v>155</v>
      </c>
      <c r="B1275" s="4" t="s">
        <v>18</v>
      </c>
      <c r="C1275" s="3" t="s">
        <v>238</v>
      </c>
      <c r="D1275" s="23" t="s">
        <v>2384</v>
      </c>
      <c r="E1275" s="29">
        <v>45943.0</v>
      </c>
      <c r="F1275" s="3">
        <v>8.0</v>
      </c>
      <c r="G1275" s="3" t="s">
        <v>92</v>
      </c>
      <c r="H1275" s="9"/>
      <c r="I1275" s="6"/>
      <c r="J1275" s="6"/>
      <c r="K1275" s="6"/>
      <c r="L1275" s="6"/>
      <c r="M1275" s="26"/>
      <c r="O1275" s="19" t="str">
        <f t="shared" si="2"/>
        <v/>
      </c>
    </row>
    <row r="1276">
      <c r="A1276" s="22" t="s">
        <v>44</v>
      </c>
      <c r="B1276" s="4" t="s">
        <v>45</v>
      </c>
      <c r="C1276" s="3" t="s">
        <v>879</v>
      </c>
      <c r="D1276" s="3" t="s">
        <v>2385</v>
      </c>
      <c r="E1276" s="29">
        <v>45944.0</v>
      </c>
      <c r="F1276" s="3" t="s">
        <v>27</v>
      </c>
      <c r="G1276" s="3" t="s">
        <v>129</v>
      </c>
      <c r="H1276" s="9"/>
      <c r="I1276" s="6"/>
      <c r="J1276" s="6"/>
      <c r="K1276" s="6"/>
      <c r="L1276" s="6"/>
      <c r="M1276" s="26"/>
      <c r="O1276" s="19" t="str">
        <f t="shared" si="2"/>
        <v/>
      </c>
    </row>
    <row r="1277">
      <c r="A1277" s="22" t="s">
        <v>276</v>
      </c>
      <c r="B1277" s="4" t="s">
        <v>18</v>
      </c>
      <c r="C1277" s="3" t="s">
        <v>2386</v>
      </c>
      <c r="D1277" s="3" t="s">
        <v>2387</v>
      </c>
      <c r="E1277" s="29">
        <v>45944.0</v>
      </c>
      <c r="F1277" s="3" t="s">
        <v>27</v>
      </c>
      <c r="G1277" s="3" t="s">
        <v>129</v>
      </c>
      <c r="H1277" s="9"/>
      <c r="I1277" s="6"/>
      <c r="J1277" s="6"/>
      <c r="K1277" s="6"/>
      <c r="L1277" s="6"/>
      <c r="M1277" s="26"/>
      <c r="O1277" s="19" t="str">
        <f t="shared" si="2"/>
        <v/>
      </c>
    </row>
    <row r="1278">
      <c r="A1278" s="22" t="s">
        <v>1892</v>
      </c>
      <c r="B1278" s="4" t="s">
        <v>18</v>
      </c>
      <c r="C1278" s="3" t="s">
        <v>448</v>
      </c>
      <c r="D1278" s="3" t="s">
        <v>2388</v>
      </c>
      <c r="E1278" s="29">
        <v>45944.0</v>
      </c>
      <c r="F1278" s="3" t="s">
        <v>27</v>
      </c>
      <c r="G1278" s="3" t="s">
        <v>129</v>
      </c>
      <c r="H1278" s="9"/>
      <c r="I1278" s="6"/>
      <c r="J1278" s="6"/>
      <c r="K1278" s="6"/>
      <c r="L1278" s="6"/>
      <c r="M1278" s="26"/>
      <c r="O1278" s="19" t="str">
        <f t="shared" si="2"/>
        <v/>
      </c>
    </row>
    <row r="1279">
      <c r="A1279" s="22" t="s">
        <v>1320</v>
      </c>
      <c r="B1279" s="4" t="s">
        <v>45</v>
      </c>
      <c r="C1279" s="3" t="s">
        <v>2389</v>
      </c>
      <c r="D1279" s="3" t="s">
        <v>2390</v>
      </c>
      <c r="E1279" s="29">
        <v>45944.0</v>
      </c>
      <c r="F1279" s="3" t="s">
        <v>27</v>
      </c>
      <c r="G1279" s="3" t="s">
        <v>129</v>
      </c>
      <c r="H1279" s="9"/>
      <c r="I1279" s="6"/>
      <c r="J1279" s="6"/>
      <c r="K1279" s="6"/>
      <c r="L1279" s="6"/>
      <c r="M1279" s="26"/>
      <c r="O1279" s="19" t="str">
        <f t="shared" si="2"/>
        <v/>
      </c>
    </row>
    <row r="1280">
      <c r="A1280" s="22" t="s">
        <v>1320</v>
      </c>
      <c r="B1280" s="4" t="s">
        <v>45</v>
      </c>
      <c r="C1280" s="3" t="s">
        <v>2391</v>
      </c>
      <c r="D1280" s="3" t="s">
        <v>2392</v>
      </c>
      <c r="E1280" s="29">
        <v>45944.0</v>
      </c>
      <c r="F1280" s="3" t="s">
        <v>27</v>
      </c>
      <c r="G1280" s="3" t="s">
        <v>129</v>
      </c>
      <c r="H1280" s="9"/>
      <c r="I1280" s="6"/>
      <c r="J1280" s="6"/>
      <c r="K1280" s="6"/>
      <c r="L1280" s="6"/>
      <c r="M1280" s="26"/>
      <c r="O1280" s="19" t="str">
        <f t="shared" si="2"/>
        <v/>
      </c>
    </row>
    <row r="1281">
      <c r="A1281" s="22" t="s">
        <v>113</v>
      </c>
      <c r="B1281" s="4" t="s">
        <v>18</v>
      </c>
      <c r="C1281" s="3" t="s">
        <v>2141</v>
      </c>
      <c r="D1281" s="3" t="s">
        <v>2393</v>
      </c>
      <c r="E1281" s="29">
        <v>45944.0</v>
      </c>
      <c r="F1281" s="3" t="s">
        <v>27</v>
      </c>
      <c r="G1281" s="3" t="s">
        <v>129</v>
      </c>
      <c r="H1281" s="9"/>
      <c r="I1281" s="6"/>
      <c r="J1281" s="6"/>
      <c r="K1281" s="6"/>
      <c r="L1281" s="6"/>
      <c r="M1281" s="26"/>
      <c r="O1281" s="19" t="str">
        <f t="shared" si="2"/>
        <v/>
      </c>
    </row>
    <row r="1282">
      <c r="A1282" s="22" t="s">
        <v>232</v>
      </c>
      <c r="B1282" s="4" t="s">
        <v>18</v>
      </c>
      <c r="C1282" s="3" t="s">
        <v>141</v>
      </c>
      <c r="D1282" s="3" t="s">
        <v>2394</v>
      </c>
      <c r="E1282" s="29">
        <v>45944.0</v>
      </c>
      <c r="F1282" s="3" t="s">
        <v>27</v>
      </c>
      <c r="G1282" s="3" t="s">
        <v>129</v>
      </c>
      <c r="H1282" s="9"/>
      <c r="I1282" s="6"/>
      <c r="J1282" s="6"/>
      <c r="K1282" s="6"/>
      <c r="L1282" s="6"/>
      <c r="M1282" s="26"/>
      <c r="O1282" s="19" t="str">
        <f t="shared" si="2"/>
        <v/>
      </c>
    </row>
    <row r="1283">
      <c r="A1283" s="22" t="s">
        <v>472</v>
      </c>
      <c r="B1283" s="4" t="s">
        <v>18</v>
      </c>
      <c r="C1283" s="3" t="s">
        <v>556</v>
      </c>
      <c r="D1283" s="3" t="s">
        <v>2395</v>
      </c>
      <c r="E1283" s="29" t="s">
        <v>2396</v>
      </c>
      <c r="F1283" s="3" t="s">
        <v>27</v>
      </c>
      <c r="G1283" s="3" t="s">
        <v>1453</v>
      </c>
      <c r="H1283" s="9" t="s">
        <v>2397</v>
      </c>
      <c r="I1283" s="6"/>
      <c r="J1283" s="6"/>
      <c r="K1283" s="6"/>
      <c r="L1283" s="6"/>
      <c r="M1283" s="26"/>
      <c r="O1283" s="19" t="str">
        <f t="shared" si="2"/>
        <v/>
      </c>
    </row>
    <row r="1284">
      <c r="A1284" s="22" t="s">
        <v>1340</v>
      </c>
      <c r="B1284" s="4" t="s">
        <v>31</v>
      </c>
      <c r="C1284" s="3" t="s">
        <v>2398</v>
      </c>
      <c r="D1284" s="3" t="s">
        <v>2399</v>
      </c>
      <c r="E1284" s="29" t="s">
        <v>2396</v>
      </c>
      <c r="F1284" s="3" t="s">
        <v>27</v>
      </c>
      <c r="G1284" s="3" t="s">
        <v>1453</v>
      </c>
      <c r="H1284" s="9" t="s">
        <v>2400</v>
      </c>
      <c r="I1284" s="6"/>
      <c r="J1284" s="6"/>
      <c r="K1284" s="6"/>
      <c r="L1284" s="6"/>
      <c r="M1284" s="26"/>
      <c r="O1284" s="19" t="str">
        <f t="shared" si="2"/>
        <v/>
      </c>
    </row>
    <row r="1285">
      <c r="A1285" s="22" t="s">
        <v>1340</v>
      </c>
      <c r="B1285" s="4" t="s">
        <v>31</v>
      </c>
      <c r="C1285" s="3" t="s">
        <v>2398</v>
      </c>
      <c r="D1285" s="3" t="s">
        <v>2401</v>
      </c>
      <c r="E1285" s="29" t="s">
        <v>2396</v>
      </c>
      <c r="F1285" s="3" t="s">
        <v>27</v>
      </c>
      <c r="G1285" s="3"/>
      <c r="H1285" s="9"/>
      <c r="I1285" s="6"/>
      <c r="J1285" s="6"/>
      <c r="K1285" s="6"/>
      <c r="L1285" s="6"/>
      <c r="M1285" s="26"/>
      <c r="O1285" s="19" t="str">
        <f t="shared" si="2"/>
        <v/>
      </c>
    </row>
    <row r="1286">
      <c r="A1286" s="22" t="s">
        <v>472</v>
      </c>
      <c r="B1286" s="4" t="s">
        <v>18</v>
      </c>
      <c r="C1286" s="3" t="s">
        <v>556</v>
      </c>
      <c r="D1286" s="3" t="s">
        <v>2402</v>
      </c>
      <c r="E1286" s="29" t="s">
        <v>2396</v>
      </c>
      <c r="F1286" s="3" t="s">
        <v>27</v>
      </c>
      <c r="G1286" s="3"/>
      <c r="H1286" s="9"/>
      <c r="I1286" s="6"/>
      <c r="J1286" s="6"/>
      <c r="K1286" s="6"/>
      <c r="L1286" s="6"/>
      <c r="M1286" s="26"/>
      <c r="O1286" s="19" t="str">
        <f t="shared" si="2"/>
        <v/>
      </c>
    </row>
    <row r="1287">
      <c r="A1287" s="22" t="s">
        <v>44</v>
      </c>
      <c r="B1287" s="4" t="s">
        <v>45</v>
      </c>
      <c r="C1287" s="3" t="s">
        <v>148</v>
      </c>
      <c r="D1287" s="3" t="s">
        <v>2403</v>
      </c>
      <c r="E1287" s="29" t="s">
        <v>2396</v>
      </c>
      <c r="F1287" s="3" t="s">
        <v>27</v>
      </c>
      <c r="G1287" s="3"/>
      <c r="H1287" s="9"/>
      <c r="I1287" s="6"/>
      <c r="J1287" s="6"/>
      <c r="K1287" s="6"/>
      <c r="L1287" s="6"/>
      <c r="M1287" s="26"/>
      <c r="O1287" s="19" t="str">
        <f t="shared" si="2"/>
        <v/>
      </c>
    </row>
    <row r="1288">
      <c r="A1288" s="22" t="s">
        <v>1660</v>
      </c>
      <c r="B1288" s="4" t="s">
        <v>36</v>
      </c>
      <c r="C1288" s="3" t="s">
        <v>718</v>
      </c>
      <c r="D1288" s="23" t="s">
        <v>2404</v>
      </c>
      <c r="E1288" s="29">
        <v>45945.0</v>
      </c>
      <c r="F1288" s="3">
        <v>6.0</v>
      </c>
      <c r="G1288" s="3" t="s">
        <v>92</v>
      </c>
      <c r="H1288" s="3" t="s">
        <v>2405</v>
      </c>
      <c r="I1288" s="6"/>
      <c r="J1288" s="6"/>
      <c r="K1288" s="6"/>
      <c r="L1288" s="6"/>
      <c r="M1288" s="26"/>
      <c r="O1288" s="19" t="str">
        <f t="shared" si="2"/>
        <v/>
      </c>
    </row>
    <row r="1289">
      <c r="A1289" s="22" t="s">
        <v>2406</v>
      </c>
      <c r="B1289" s="4" t="s">
        <v>31</v>
      </c>
      <c r="C1289" s="3" t="s">
        <v>1220</v>
      </c>
      <c r="D1289" s="23" t="s">
        <v>2407</v>
      </c>
      <c r="E1289" s="29">
        <v>45945.0</v>
      </c>
      <c r="F1289" s="3">
        <v>6.0</v>
      </c>
      <c r="G1289" s="3" t="s">
        <v>92</v>
      </c>
      <c r="H1289" s="3" t="s">
        <v>2408</v>
      </c>
      <c r="I1289" s="6"/>
      <c r="J1289" s="6"/>
      <c r="K1289" s="6"/>
      <c r="L1289" s="6"/>
      <c r="M1289" s="26"/>
      <c r="O1289" s="19" t="str">
        <f t="shared" si="2"/>
        <v/>
      </c>
    </row>
    <row r="1290">
      <c r="A1290" s="22" t="s">
        <v>44</v>
      </c>
      <c r="B1290" s="4" t="s">
        <v>45</v>
      </c>
      <c r="C1290" s="3" t="s">
        <v>2409</v>
      </c>
      <c r="D1290" s="23" t="s">
        <v>2410</v>
      </c>
      <c r="E1290" s="29">
        <v>45945.0</v>
      </c>
      <c r="F1290" s="3">
        <v>8.0</v>
      </c>
      <c r="G1290" s="3" t="s">
        <v>92</v>
      </c>
      <c r="H1290" s="3" t="s">
        <v>2411</v>
      </c>
      <c r="I1290" s="6"/>
      <c r="J1290" s="6"/>
      <c r="K1290" s="6"/>
      <c r="L1290" s="6"/>
      <c r="M1290" s="26"/>
      <c r="O1290" s="19" t="str">
        <f t="shared" si="2"/>
        <v/>
      </c>
    </row>
    <row r="1291">
      <c r="A1291" s="22" t="s">
        <v>69</v>
      </c>
      <c r="B1291" s="4" t="s">
        <v>31</v>
      </c>
      <c r="C1291" s="3" t="s">
        <v>297</v>
      </c>
      <c r="D1291" s="23" t="s">
        <v>2412</v>
      </c>
      <c r="E1291" s="29">
        <v>45945.0</v>
      </c>
      <c r="F1291" s="3">
        <v>8.0</v>
      </c>
      <c r="G1291" s="3" t="s">
        <v>92</v>
      </c>
      <c r="H1291" s="3" t="s">
        <v>2413</v>
      </c>
      <c r="I1291" s="6"/>
      <c r="J1291" s="6"/>
      <c r="K1291" s="6"/>
      <c r="L1291" s="6"/>
      <c r="M1291" s="26"/>
      <c r="O1291" s="19" t="str">
        <f t="shared" si="2"/>
        <v/>
      </c>
    </row>
    <row r="1292">
      <c r="A1292" s="22" t="s">
        <v>202</v>
      </c>
      <c r="B1292" s="4" t="s">
        <v>36</v>
      </c>
      <c r="C1292" s="3" t="s">
        <v>2414</v>
      </c>
      <c r="D1292" s="23" t="s">
        <v>2415</v>
      </c>
      <c r="E1292" s="29">
        <v>45945.0</v>
      </c>
      <c r="F1292" s="3">
        <v>6.0</v>
      </c>
      <c r="G1292" s="3" t="s">
        <v>92</v>
      </c>
      <c r="H1292" s="3" t="s">
        <v>2416</v>
      </c>
      <c r="I1292" s="6"/>
      <c r="J1292" s="6"/>
      <c r="K1292" s="6"/>
      <c r="L1292" s="6"/>
      <c r="M1292" s="26"/>
      <c r="O1292" s="19" t="str">
        <f t="shared" si="2"/>
        <v/>
      </c>
    </row>
    <row r="1293">
      <c r="A1293" s="22" t="s">
        <v>107</v>
      </c>
      <c r="B1293" s="4" t="s">
        <v>18</v>
      </c>
      <c r="C1293" s="3" t="s">
        <v>1950</v>
      </c>
      <c r="D1293" s="23" t="s">
        <v>2417</v>
      </c>
      <c r="E1293" s="29">
        <v>45945.0</v>
      </c>
      <c r="F1293" s="3">
        <v>8.0</v>
      </c>
      <c r="G1293" s="3" t="s">
        <v>92</v>
      </c>
      <c r="H1293" s="3" t="s">
        <v>2418</v>
      </c>
      <c r="I1293" s="6"/>
      <c r="J1293" s="6"/>
      <c r="K1293" s="6"/>
      <c r="L1293" s="6"/>
      <c r="M1293" s="26"/>
      <c r="O1293" s="19" t="str">
        <f t="shared" si="2"/>
        <v/>
      </c>
    </row>
    <row r="1294">
      <c r="A1294" s="22" t="s">
        <v>1062</v>
      </c>
      <c r="B1294" s="4" t="s">
        <v>18</v>
      </c>
      <c r="C1294" s="3" t="s">
        <v>749</v>
      </c>
      <c r="D1294" s="23" t="s">
        <v>2419</v>
      </c>
      <c r="E1294" s="29">
        <v>45945.0</v>
      </c>
      <c r="F1294" s="3">
        <v>8.0</v>
      </c>
      <c r="G1294" s="3" t="s">
        <v>92</v>
      </c>
      <c r="H1294" s="3" t="s">
        <v>2420</v>
      </c>
      <c r="I1294" s="6"/>
      <c r="J1294" s="6"/>
      <c r="K1294" s="6"/>
      <c r="L1294" s="6"/>
      <c r="M1294" s="26"/>
      <c r="O1294" s="19" t="str">
        <f t="shared" si="2"/>
        <v/>
      </c>
    </row>
    <row r="1295">
      <c r="A1295" s="22" t="s">
        <v>1892</v>
      </c>
      <c r="B1295" s="4" t="s">
        <v>18</v>
      </c>
      <c r="C1295" s="3" t="s">
        <v>2421</v>
      </c>
      <c r="D1295" s="23" t="s">
        <v>2422</v>
      </c>
      <c r="E1295" s="29">
        <v>45945.0</v>
      </c>
      <c r="F1295" s="3">
        <v>8.0</v>
      </c>
      <c r="G1295" s="3" t="s">
        <v>92</v>
      </c>
      <c r="H1295" s="3" t="s">
        <v>2423</v>
      </c>
      <c r="I1295" s="6"/>
      <c r="J1295" s="6"/>
      <c r="K1295" s="6"/>
      <c r="L1295" s="6"/>
      <c r="M1295" s="26"/>
      <c r="O1295" s="19" t="str">
        <f t="shared" si="2"/>
        <v/>
      </c>
    </row>
    <row r="1296">
      <c r="A1296" s="22" t="s">
        <v>1892</v>
      </c>
      <c r="B1296" s="4" t="s">
        <v>18</v>
      </c>
      <c r="C1296" s="39" t="s">
        <v>627</v>
      </c>
      <c r="D1296" s="23" t="s">
        <v>2424</v>
      </c>
      <c r="E1296" s="29">
        <v>45945.0</v>
      </c>
      <c r="F1296" s="3">
        <v>6.0</v>
      </c>
      <c r="G1296" s="3" t="s">
        <v>92</v>
      </c>
      <c r="H1296" s="3" t="s">
        <v>2425</v>
      </c>
      <c r="I1296" s="6"/>
      <c r="J1296" s="6"/>
      <c r="K1296" s="6"/>
      <c r="L1296" s="6"/>
      <c r="M1296" s="26"/>
      <c r="O1296" s="19" t="str">
        <f t="shared" si="2"/>
        <v/>
      </c>
    </row>
    <row r="1297">
      <c r="A1297" s="22" t="s">
        <v>1892</v>
      </c>
      <c r="B1297" s="4" t="s">
        <v>18</v>
      </c>
      <c r="C1297" s="39" t="s">
        <v>2426</v>
      </c>
      <c r="D1297" s="23" t="s">
        <v>2427</v>
      </c>
      <c r="E1297" s="29">
        <v>45945.0</v>
      </c>
      <c r="F1297" s="3">
        <v>6.0</v>
      </c>
      <c r="G1297" s="3" t="s">
        <v>92</v>
      </c>
      <c r="H1297" s="3" t="s">
        <v>2428</v>
      </c>
      <c r="I1297" s="6"/>
      <c r="J1297" s="6"/>
      <c r="K1297" s="6"/>
      <c r="L1297" s="6"/>
      <c r="M1297" s="26"/>
      <c r="O1297" s="19" t="str">
        <f t="shared" si="2"/>
        <v/>
      </c>
    </row>
    <row r="1298">
      <c r="A1298" s="22" t="s">
        <v>1892</v>
      </c>
      <c r="B1298" s="4" t="s">
        <v>18</v>
      </c>
      <c r="C1298" s="39" t="s">
        <v>2429</v>
      </c>
      <c r="D1298" s="23" t="s">
        <v>2430</v>
      </c>
      <c r="E1298" s="29">
        <v>45945.0</v>
      </c>
      <c r="F1298" s="3">
        <v>6.0</v>
      </c>
      <c r="G1298" s="3" t="s">
        <v>92</v>
      </c>
      <c r="H1298" s="3" t="s">
        <v>2431</v>
      </c>
      <c r="I1298" s="6"/>
      <c r="J1298" s="6"/>
      <c r="K1298" s="6"/>
      <c r="L1298" s="6"/>
      <c r="M1298" s="26"/>
      <c r="O1298" s="19" t="str">
        <f t="shared" si="2"/>
        <v/>
      </c>
    </row>
    <row r="1299">
      <c r="A1299" s="22" t="s">
        <v>1062</v>
      </c>
      <c r="B1299" s="4" t="s">
        <v>18</v>
      </c>
      <c r="C1299" s="3" t="s">
        <v>574</v>
      </c>
      <c r="D1299" s="22" t="s">
        <v>2432</v>
      </c>
      <c r="E1299" s="29" t="s">
        <v>2396</v>
      </c>
      <c r="F1299" s="3" t="s">
        <v>27</v>
      </c>
      <c r="G1299" s="3"/>
      <c r="H1299" s="9"/>
      <c r="I1299" s="6"/>
      <c r="J1299" s="6"/>
      <c r="K1299" s="6"/>
      <c r="L1299" s="6"/>
      <c r="M1299" s="26"/>
      <c r="O1299" s="19" t="str">
        <f t="shared" si="2"/>
        <v/>
      </c>
    </row>
    <row r="1300">
      <c r="A1300" s="22" t="s">
        <v>1062</v>
      </c>
      <c r="B1300" s="4" t="s">
        <v>18</v>
      </c>
      <c r="C1300" s="3" t="s">
        <v>574</v>
      </c>
      <c r="D1300" s="22" t="s">
        <v>2432</v>
      </c>
      <c r="E1300" s="29" t="s">
        <v>2396</v>
      </c>
      <c r="F1300" s="3" t="s">
        <v>27</v>
      </c>
      <c r="G1300" s="3"/>
      <c r="H1300" s="9"/>
      <c r="I1300" s="6"/>
      <c r="J1300" s="6"/>
      <c r="K1300" s="6"/>
      <c r="L1300" s="6"/>
      <c r="M1300" s="26"/>
      <c r="O1300" s="19" t="str">
        <f t="shared" si="2"/>
        <v/>
      </c>
    </row>
    <row r="1301">
      <c r="A1301" s="22" t="s">
        <v>1062</v>
      </c>
      <c r="B1301" s="4" t="s">
        <v>18</v>
      </c>
      <c r="C1301" s="3" t="s">
        <v>2433</v>
      </c>
      <c r="D1301" s="22" t="s">
        <v>2434</v>
      </c>
      <c r="E1301" s="29">
        <v>45945.0</v>
      </c>
      <c r="F1301" s="3" t="s">
        <v>27</v>
      </c>
      <c r="G1301" s="3" t="s">
        <v>129</v>
      </c>
      <c r="H1301" s="9"/>
      <c r="I1301" s="6"/>
      <c r="J1301" s="6"/>
      <c r="K1301" s="6"/>
      <c r="L1301" s="6"/>
      <c r="M1301" s="26"/>
      <c r="O1301" s="19" t="str">
        <f t="shared" si="2"/>
        <v/>
      </c>
    </row>
    <row r="1302">
      <c r="A1302" s="22" t="s">
        <v>57</v>
      </c>
      <c r="B1302" s="4" t="s">
        <v>18</v>
      </c>
      <c r="C1302" s="3" t="s">
        <v>2435</v>
      </c>
      <c r="D1302" s="22" t="s">
        <v>2436</v>
      </c>
      <c r="E1302" s="29">
        <v>45945.0</v>
      </c>
      <c r="F1302" s="3" t="s">
        <v>27</v>
      </c>
      <c r="G1302" s="3" t="s">
        <v>129</v>
      </c>
      <c r="H1302" s="9"/>
      <c r="I1302" s="6"/>
      <c r="J1302" s="6"/>
      <c r="K1302" s="6"/>
      <c r="L1302" s="6"/>
      <c r="M1302" s="26"/>
      <c r="O1302" s="19" t="str">
        <f t="shared" si="2"/>
        <v/>
      </c>
    </row>
    <row r="1303">
      <c r="A1303" s="22" t="s">
        <v>435</v>
      </c>
      <c r="B1303" s="4" t="s">
        <v>18</v>
      </c>
      <c r="C1303" s="3" t="s">
        <v>2437</v>
      </c>
      <c r="D1303" s="22" t="s">
        <v>2438</v>
      </c>
      <c r="E1303" s="29">
        <v>45945.0</v>
      </c>
      <c r="F1303" s="3" t="s">
        <v>27</v>
      </c>
      <c r="G1303" s="3" t="s">
        <v>129</v>
      </c>
      <c r="H1303" s="9"/>
      <c r="I1303" s="6"/>
      <c r="J1303" s="6"/>
      <c r="K1303" s="6"/>
      <c r="L1303" s="6"/>
      <c r="M1303" s="26"/>
      <c r="O1303" s="19" t="str">
        <f t="shared" si="2"/>
        <v/>
      </c>
    </row>
    <row r="1304">
      <c r="A1304" s="22" t="s">
        <v>2406</v>
      </c>
      <c r="B1304" s="4" t="s">
        <v>31</v>
      </c>
      <c r="C1304" s="3" t="s">
        <v>2439</v>
      </c>
      <c r="D1304" s="22" t="s">
        <v>2440</v>
      </c>
      <c r="E1304" s="29">
        <v>45945.0</v>
      </c>
      <c r="F1304" s="3" t="s">
        <v>27</v>
      </c>
      <c r="G1304" s="3" t="s">
        <v>129</v>
      </c>
      <c r="H1304" s="9"/>
      <c r="I1304" s="6"/>
      <c r="J1304" s="6"/>
      <c r="K1304" s="6"/>
      <c r="L1304" s="6"/>
      <c r="M1304" s="26"/>
      <c r="O1304" s="19" t="str">
        <f t="shared" si="2"/>
        <v/>
      </c>
    </row>
    <row r="1305">
      <c r="A1305" s="22" t="s">
        <v>77</v>
      </c>
      <c r="B1305" s="4" t="s">
        <v>18</v>
      </c>
      <c r="C1305" s="3" t="s">
        <v>2441</v>
      </c>
      <c r="D1305" s="22" t="s">
        <v>2442</v>
      </c>
      <c r="E1305" s="29">
        <v>45945.0</v>
      </c>
      <c r="F1305" s="3" t="s">
        <v>27</v>
      </c>
      <c r="G1305" s="3" t="s">
        <v>129</v>
      </c>
      <c r="H1305" s="9"/>
      <c r="I1305" s="6"/>
      <c r="J1305" s="6"/>
      <c r="K1305" s="6"/>
      <c r="L1305" s="6"/>
      <c r="M1305" s="26"/>
      <c r="O1305" s="19" t="str">
        <f t="shared" si="2"/>
        <v/>
      </c>
    </row>
    <row r="1306">
      <c r="A1306" s="22" t="s">
        <v>181</v>
      </c>
      <c r="B1306" s="4" t="s">
        <v>18</v>
      </c>
      <c r="C1306" s="3" t="s">
        <v>2443</v>
      </c>
      <c r="D1306" s="22" t="s">
        <v>2444</v>
      </c>
      <c r="E1306" s="29">
        <v>45945.0</v>
      </c>
      <c r="F1306" s="3" t="s">
        <v>27</v>
      </c>
      <c r="G1306" s="3" t="s">
        <v>129</v>
      </c>
      <c r="H1306" s="9"/>
      <c r="I1306" s="6"/>
      <c r="J1306" s="6"/>
      <c r="K1306" s="6"/>
      <c r="L1306" s="6"/>
      <c r="M1306" s="26"/>
      <c r="O1306" s="19" t="str">
        <f t="shared" si="2"/>
        <v/>
      </c>
    </row>
    <row r="1307">
      <c r="A1307" s="22" t="s">
        <v>2262</v>
      </c>
      <c r="B1307" s="4" t="s">
        <v>18</v>
      </c>
      <c r="C1307" s="3" t="s">
        <v>2445</v>
      </c>
      <c r="D1307" s="22" t="s">
        <v>2446</v>
      </c>
      <c r="E1307" s="29">
        <v>45945.0</v>
      </c>
      <c r="F1307" s="3" t="s">
        <v>27</v>
      </c>
      <c r="G1307" s="3" t="s">
        <v>129</v>
      </c>
      <c r="H1307" s="9"/>
      <c r="I1307" s="6"/>
      <c r="J1307" s="6"/>
      <c r="K1307" s="6"/>
      <c r="L1307" s="6"/>
      <c r="M1307" s="26"/>
      <c r="O1307" s="19" t="str">
        <f t="shared" si="2"/>
        <v/>
      </c>
    </row>
    <row r="1308">
      <c r="A1308" s="22" t="s">
        <v>305</v>
      </c>
      <c r="B1308" s="4" t="s">
        <v>36</v>
      </c>
      <c r="C1308" s="3" t="s">
        <v>306</v>
      </c>
      <c r="D1308" s="22" t="s">
        <v>2447</v>
      </c>
      <c r="E1308" s="29" t="s">
        <v>2448</v>
      </c>
      <c r="F1308" s="3" t="s">
        <v>27</v>
      </c>
      <c r="G1308" s="3"/>
      <c r="H1308" s="9"/>
      <c r="I1308" s="6"/>
      <c r="J1308" s="6"/>
      <c r="K1308" s="6"/>
      <c r="L1308" s="6"/>
      <c r="M1308" s="26"/>
      <c r="O1308" s="19" t="str">
        <f t="shared" si="2"/>
        <v/>
      </c>
    </row>
    <row r="1309">
      <c r="A1309" s="22" t="s">
        <v>23</v>
      </c>
      <c r="B1309" s="4" t="s">
        <v>18</v>
      </c>
      <c r="C1309" s="22" t="s">
        <v>293</v>
      </c>
      <c r="D1309" s="23" t="s">
        <v>2449</v>
      </c>
      <c r="E1309" s="29">
        <v>45945.0</v>
      </c>
      <c r="F1309" s="3">
        <v>8.0</v>
      </c>
      <c r="G1309" s="3" t="s">
        <v>92</v>
      </c>
      <c r="H1309" s="9" t="s">
        <v>2450</v>
      </c>
      <c r="I1309" s="9">
        <v>6.1408409406E10</v>
      </c>
      <c r="J1309" s="10" t="s">
        <v>2451</v>
      </c>
      <c r="K1309" s="9">
        <v>0.0</v>
      </c>
      <c r="L1309" s="6"/>
      <c r="M1309" s="26"/>
      <c r="O1309" s="19" t="str">
        <f t="shared" si="2"/>
        <v/>
      </c>
    </row>
    <row r="1310">
      <c r="A1310" s="22" t="s">
        <v>107</v>
      </c>
      <c r="B1310" s="4" t="s">
        <v>18</v>
      </c>
      <c r="C1310" s="22" t="s">
        <v>2452</v>
      </c>
      <c r="D1310" s="23" t="s">
        <v>2453</v>
      </c>
      <c r="E1310" s="29">
        <v>45945.0</v>
      </c>
      <c r="F1310" s="3">
        <v>8.0</v>
      </c>
      <c r="G1310" s="3" t="s">
        <v>92</v>
      </c>
      <c r="H1310" s="9"/>
      <c r="I1310" s="6"/>
      <c r="J1310" s="6"/>
      <c r="K1310" s="6"/>
      <c r="L1310" s="6"/>
      <c r="M1310" s="26"/>
      <c r="O1310" s="19" t="str">
        <f t="shared" si="2"/>
        <v/>
      </c>
    </row>
    <row r="1311">
      <c r="A1311" s="22" t="s">
        <v>44</v>
      </c>
      <c r="B1311" s="4" t="s">
        <v>45</v>
      </c>
      <c r="C1311" s="22" t="s">
        <v>2454</v>
      </c>
      <c r="D1311" s="23" t="s">
        <v>2455</v>
      </c>
      <c r="E1311" s="29">
        <v>45945.0</v>
      </c>
      <c r="F1311" s="3">
        <v>8.0</v>
      </c>
      <c r="G1311" s="3" t="s">
        <v>92</v>
      </c>
      <c r="H1311" s="9"/>
      <c r="I1311" s="6"/>
      <c r="J1311" s="6"/>
      <c r="K1311" s="6"/>
      <c r="L1311" s="6"/>
      <c r="M1311" s="26"/>
      <c r="O1311" s="19" t="str">
        <f t="shared" si="2"/>
        <v/>
      </c>
    </row>
    <row r="1312">
      <c r="A1312" s="22" t="s">
        <v>202</v>
      </c>
      <c r="B1312" s="4" t="s">
        <v>36</v>
      </c>
      <c r="C1312" s="22" t="s">
        <v>2456</v>
      </c>
      <c r="D1312" s="23" t="s">
        <v>2457</v>
      </c>
      <c r="E1312" s="29">
        <v>45945.0</v>
      </c>
      <c r="F1312" s="3">
        <v>8.0</v>
      </c>
      <c r="G1312" s="3" t="s">
        <v>92</v>
      </c>
      <c r="H1312" s="9"/>
      <c r="I1312" s="6"/>
      <c r="J1312" s="6"/>
      <c r="K1312" s="6"/>
      <c r="L1312" s="6"/>
      <c r="M1312" s="26"/>
      <c r="O1312" s="19" t="str">
        <f t="shared" si="2"/>
        <v/>
      </c>
    </row>
    <row r="1313">
      <c r="A1313" s="22" t="s">
        <v>305</v>
      </c>
      <c r="B1313" s="4" t="s">
        <v>36</v>
      </c>
      <c r="C1313" s="22" t="s">
        <v>331</v>
      </c>
      <c r="D1313" s="23" t="s">
        <v>2458</v>
      </c>
      <c r="E1313" s="29">
        <v>45945.0</v>
      </c>
      <c r="F1313" s="3">
        <v>8.0</v>
      </c>
      <c r="G1313" s="3" t="s">
        <v>92</v>
      </c>
      <c r="H1313" s="9"/>
      <c r="I1313" s="6"/>
      <c r="J1313" s="6"/>
      <c r="K1313" s="6"/>
      <c r="L1313" s="6"/>
      <c r="M1313" s="26"/>
      <c r="O1313" s="19" t="str">
        <f t="shared" si="2"/>
        <v/>
      </c>
    </row>
    <row r="1314">
      <c r="A1314" s="22" t="s">
        <v>1582</v>
      </c>
      <c r="B1314" s="4" t="s">
        <v>31</v>
      </c>
      <c r="C1314" s="22" t="s">
        <v>1583</v>
      </c>
      <c r="D1314" s="23" t="s">
        <v>2459</v>
      </c>
      <c r="E1314" s="29">
        <v>45945.0</v>
      </c>
      <c r="F1314" s="3">
        <v>8.0</v>
      </c>
      <c r="G1314" s="3" t="s">
        <v>92</v>
      </c>
      <c r="H1314" s="9"/>
      <c r="I1314" s="6"/>
      <c r="J1314" s="6"/>
      <c r="K1314" s="6"/>
      <c r="L1314" s="6"/>
      <c r="M1314" s="26"/>
      <c r="O1314" s="19" t="str">
        <f t="shared" si="2"/>
        <v/>
      </c>
    </row>
    <row r="1315">
      <c r="A1315" s="22" t="s">
        <v>570</v>
      </c>
      <c r="B1315" s="4" t="s">
        <v>18</v>
      </c>
      <c r="C1315" s="22" t="s">
        <v>2214</v>
      </c>
      <c r="D1315" s="23" t="s">
        <v>2460</v>
      </c>
      <c r="E1315" s="29">
        <v>45945.0</v>
      </c>
      <c r="F1315" s="3">
        <v>8.0</v>
      </c>
      <c r="G1315" s="3" t="s">
        <v>92</v>
      </c>
      <c r="H1315" s="9"/>
      <c r="I1315" s="6"/>
      <c r="J1315" s="6"/>
      <c r="K1315" s="6"/>
      <c r="L1315" s="6"/>
      <c r="M1315" s="26"/>
      <c r="O1315" s="19" t="str">
        <f t="shared" si="2"/>
        <v/>
      </c>
    </row>
    <row r="1316">
      <c r="A1316" s="22" t="s">
        <v>77</v>
      </c>
      <c r="B1316" s="4" t="s">
        <v>18</v>
      </c>
      <c r="C1316" s="22" t="s">
        <v>197</v>
      </c>
      <c r="D1316" s="23" t="s">
        <v>2461</v>
      </c>
      <c r="E1316" s="29">
        <v>45945.0</v>
      </c>
      <c r="F1316" s="3">
        <v>8.0</v>
      </c>
      <c r="G1316" s="3" t="s">
        <v>92</v>
      </c>
      <c r="H1316" s="9"/>
      <c r="I1316" s="6"/>
      <c r="J1316" s="6"/>
      <c r="K1316" s="6"/>
      <c r="L1316" s="6"/>
      <c r="M1316" s="26"/>
      <c r="O1316" s="19" t="str">
        <f t="shared" si="2"/>
        <v/>
      </c>
    </row>
    <row r="1317">
      <c r="A1317" s="22" t="s">
        <v>2406</v>
      </c>
      <c r="B1317" s="4" t="s">
        <v>31</v>
      </c>
      <c r="C1317" s="22" t="s">
        <v>2462</v>
      </c>
      <c r="D1317" s="23" t="s">
        <v>2463</v>
      </c>
      <c r="E1317" s="29">
        <v>45945.0</v>
      </c>
      <c r="F1317" s="3">
        <v>8.0</v>
      </c>
      <c r="G1317" s="3" t="s">
        <v>92</v>
      </c>
      <c r="H1317" s="9"/>
      <c r="I1317" s="6"/>
      <c r="J1317" s="6"/>
      <c r="K1317" s="6"/>
      <c r="L1317" s="6"/>
      <c r="M1317" s="26"/>
      <c r="O1317" s="19" t="str">
        <f t="shared" si="2"/>
        <v/>
      </c>
    </row>
    <row r="1318">
      <c r="A1318" s="22" t="s">
        <v>1266</v>
      </c>
      <c r="B1318" s="4" t="s">
        <v>31</v>
      </c>
      <c r="C1318" s="22" t="s">
        <v>2464</v>
      </c>
      <c r="D1318" s="23" t="s">
        <v>2465</v>
      </c>
      <c r="E1318" s="29">
        <v>45945.0</v>
      </c>
      <c r="F1318" s="3">
        <v>8.0</v>
      </c>
      <c r="G1318" s="3" t="s">
        <v>92</v>
      </c>
      <c r="H1318" s="9"/>
      <c r="I1318" s="6"/>
      <c r="J1318" s="6"/>
      <c r="K1318" s="6"/>
      <c r="L1318" s="6"/>
      <c r="M1318" s="26"/>
      <c r="O1318" s="19" t="str">
        <f t="shared" si="2"/>
        <v/>
      </c>
    </row>
    <row r="1319">
      <c r="A1319" s="22" t="s">
        <v>1892</v>
      </c>
      <c r="B1319" s="4" t="s">
        <v>18</v>
      </c>
      <c r="C1319" s="22" t="s">
        <v>953</v>
      </c>
      <c r="D1319" s="23" t="s">
        <v>2466</v>
      </c>
      <c r="E1319" s="29">
        <v>45945.0</v>
      </c>
      <c r="F1319" s="3">
        <v>8.0</v>
      </c>
      <c r="G1319" s="3" t="s">
        <v>92</v>
      </c>
      <c r="H1319" s="9"/>
      <c r="I1319" s="6"/>
      <c r="J1319" s="6"/>
      <c r="K1319" s="6"/>
      <c r="L1319" s="6"/>
      <c r="M1319" s="26"/>
      <c r="O1319" s="19" t="str">
        <f t="shared" si="2"/>
        <v/>
      </c>
    </row>
    <row r="1320">
      <c r="A1320" s="22" t="s">
        <v>168</v>
      </c>
      <c r="B1320" s="4" t="s">
        <v>45</v>
      </c>
      <c r="C1320" s="22" t="s">
        <v>2467</v>
      </c>
      <c r="D1320" s="23" t="s">
        <v>2468</v>
      </c>
      <c r="E1320" s="29">
        <v>45945.0</v>
      </c>
      <c r="F1320" s="3">
        <v>8.0</v>
      </c>
      <c r="G1320" s="3" t="s">
        <v>92</v>
      </c>
      <c r="H1320" s="9"/>
      <c r="I1320" s="6"/>
      <c r="J1320" s="6"/>
      <c r="K1320" s="6"/>
      <c r="L1320" s="6"/>
      <c r="M1320" s="26"/>
      <c r="O1320" s="19" t="str">
        <f t="shared" si="2"/>
        <v/>
      </c>
    </row>
    <row r="1321">
      <c r="A1321" s="22" t="s">
        <v>244</v>
      </c>
      <c r="B1321" s="4" t="s">
        <v>18</v>
      </c>
      <c r="C1321" s="22" t="s">
        <v>2310</v>
      </c>
      <c r="D1321" s="23" t="s">
        <v>2469</v>
      </c>
      <c r="E1321" s="29">
        <v>45945.0</v>
      </c>
      <c r="F1321" s="3">
        <v>8.0</v>
      </c>
      <c r="G1321" s="3" t="s">
        <v>92</v>
      </c>
      <c r="H1321" s="9"/>
      <c r="I1321" s="6"/>
      <c r="J1321" s="6"/>
      <c r="K1321" s="6"/>
      <c r="L1321" s="6"/>
      <c r="M1321" s="26"/>
      <c r="O1321" s="19" t="str">
        <f t="shared" si="2"/>
        <v/>
      </c>
    </row>
    <row r="1322">
      <c r="A1322" s="22" t="s">
        <v>125</v>
      </c>
      <c r="B1322" s="4" t="s">
        <v>31</v>
      </c>
      <c r="C1322" s="22" t="s">
        <v>2470</v>
      </c>
      <c r="D1322" s="23" t="s">
        <v>2471</v>
      </c>
      <c r="E1322" s="29">
        <v>45945.0</v>
      </c>
      <c r="F1322" s="3">
        <v>9.0</v>
      </c>
      <c r="G1322" s="3" t="s">
        <v>92</v>
      </c>
      <c r="H1322" s="9"/>
      <c r="I1322" s="6"/>
      <c r="J1322" s="6"/>
      <c r="K1322" s="6"/>
      <c r="L1322" s="6"/>
      <c r="M1322" s="26"/>
      <c r="O1322" s="19" t="str">
        <f t="shared" si="2"/>
        <v/>
      </c>
    </row>
    <row r="1323">
      <c r="A1323" s="22" t="s">
        <v>435</v>
      </c>
      <c r="B1323" s="4" t="s">
        <v>18</v>
      </c>
      <c r="C1323" s="22" t="s">
        <v>1970</v>
      </c>
      <c r="D1323" s="23" t="s">
        <v>1681</v>
      </c>
      <c r="E1323" s="29">
        <v>45945.0</v>
      </c>
      <c r="F1323" s="3">
        <v>8.0</v>
      </c>
      <c r="G1323" s="3" t="s">
        <v>92</v>
      </c>
      <c r="H1323" s="9"/>
      <c r="I1323" s="6"/>
      <c r="J1323" s="6"/>
      <c r="K1323" s="6"/>
      <c r="L1323" s="6"/>
      <c r="M1323" s="26"/>
      <c r="O1323" s="19" t="str">
        <f t="shared" si="2"/>
        <v/>
      </c>
    </row>
    <row r="1324">
      <c r="A1324" s="22" t="s">
        <v>717</v>
      </c>
      <c r="B1324" s="4" t="s">
        <v>36</v>
      </c>
      <c r="C1324" s="22" t="s">
        <v>916</v>
      </c>
      <c r="D1324" s="23"/>
      <c r="E1324" s="29">
        <v>45945.0</v>
      </c>
      <c r="F1324" s="3">
        <v>5.0</v>
      </c>
      <c r="G1324" s="3" t="s">
        <v>92</v>
      </c>
      <c r="H1324" s="9"/>
      <c r="I1324" s="6"/>
      <c r="J1324" s="6"/>
      <c r="K1324" s="6"/>
      <c r="L1324" s="6"/>
      <c r="M1324" s="26"/>
      <c r="O1324" s="19" t="str">
        <f t="shared" si="2"/>
        <v/>
      </c>
    </row>
    <row r="1325">
      <c r="A1325" s="22" t="s">
        <v>184</v>
      </c>
      <c r="B1325" s="4" t="s">
        <v>18</v>
      </c>
      <c r="C1325" s="22" t="s">
        <v>2472</v>
      </c>
      <c r="D1325" s="23" t="s">
        <v>2473</v>
      </c>
      <c r="E1325" s="29">
        <v>45945.0</v>
      </c>
      <c r="F1325" s="3">
        <v>6.0</v>
      </c>
      <c r="G1325" s="3" t="s">
        <v>92</v>
      </c>
      <c r="H1325" s="9"/>
      <c r="I1325" s="6"/>
      <c r="J1325" s="6"/>
      <c r="K1325" s="6"/>
      <c r="L1325" s="6"/>
      <c r="M1325" s="26"/>
      <c r="O1325" s="19" t="str">
        <f t="shared" si="2"/>
        <v/>
      </c>
    </row>
    <row r="1326">
      <c r="A1326" s="22" t="s">
        <v>1582</v>
      </c>
      <c r="B1326" s="4" t="s">
        <v>31</v>
      </c>
      <c r="C1326" s="22" t="s">
        <v>2474</v>
      </c>
      <c r="D1326" s="23"/>
      <c r="E1326" s="29">
        <v>45945.0</v>
      </c>
      <c r="F1326" s="3">
        <v>6.0</v>
      </c>
      <c r="G1326" s="3" t="s">
        <v>92</v>
      </c>
      <c r="H1326" s="9"/>
      <c r="I1326" s="6"/>
      <c r="J1326" s="6"/>
      <c r="K1326" s="6"/>
      <c r="L1326" s="6"/>
      <c r="M1326" s="26"/>
      <c r="O1326" s="19" t="str">
        <f t="shared" si="2"/>
        <v/>
      </c>
    </row>
    <row r="1327">
      <c r="A1327" s="22" t="s">
        <v>168</v>
      </c>
      <c r="B1327" s="4" t="s">
        <v>45</v>
      </c>
      <c r="C1327" s="3" t="s">
        <v>2475</v>
      </c>
      <c r="D1327" s="22" t="s">
        <v>2476</v>
      </c>
      <c r="E1327" s="29">
        <v>45946.0</v>
      </c>
      <c r="F1327" s="3" t="s">
        <v>27</v>
      </c>
      <c r="G1327" s="3" t="s">
        <v>129</v>
      </c>
      <c r="H1327" s="9"/>
      <c r="I1327" s="6"/>
      <c r="J1327" s="6"/>
      <c r="K1327" s="6"/>
      <c r="L1327" s="6"/>
      <c r="M1327" s="26"/>
      <c r="O1327" s="19" t="str">
        <f t="shared" si="2"/>
        <v/>
      </c>
    </row>
    <row r="1328">
      <c r="A1328" s="22" t="s">
        <v>1266</v>
      </c>
      <c r="B1328" s="4" t="s">
        <v>31</v>
      </c>
      <c r="C1328" s="3" t="s">
        <v>2477</v>
      </c>
      <c r="D1328" s="22" t="s">
        <v>2478</v>
      </c>
      <c r="E1328" s="29">
        <v>45946.0</v>
      </c>
      <c r="F1328" s="3" t="s">
        <v>27</v>
      </c>
      <c r="G1328" s="3" t="s">
        <v>129</v>
      </c>
      <c r="H1328" s="9"/>
      <c r="I1328" s="6"/>
      <c r="J1328" s="6"/>
      <c r="K1328" s="6"/>
      <c r="L1328" s="6"/>
      <c r="M1328" s="26"/>
      <c r="O1328" s="19" t="str">
        <f t="shared" si="2"/>
        <v/>
      </c>
    </row>
    <row r="1329">
      <c r="A1329" s="22" t="s">
        <v>168</v>
      </c>
      <c r="B1329" s="4" t="s">
        <v>45</v>
      </c>
      <c r="C1329" s="3" t="s">
        <v>1009</v>
      </c>
      <c r="D1329" s="22" t="s">
        <v>2479</v>
      </c>
      <c r="E1329" s="29">
        <v>45946.0</v>
      </c>
      <c r="F1329" s="3" t="s">
        <v>27</v>
      </c>
      <c r="G1329" s="3" t="s">
        <v>129</v>
      </c>
      <c r="H1329" s="9"/>
      <c r="I1329" s="6"/>
      <c r="J1329" s="6"/>
      <c r="K1329" s="6"/>
      <c r="L1329" s="6"/>
      <c r="M1329" s="26"/>
      <c r="O1329" s="19" t="str">
        <f t="shared" si="2"/>
        <v/>
      </c>
    </row>
    <row r="1330">
      <c r="A1330" s="22" t="s">
        <v>472</v>
      </c>
      <c r="B1330" s="4" t="s">
        <v>18</v>
      </c>
      <c r="C1330" s="3" t="s">
        <v>400</v>
      </c>
      <c r="D1330" s="22" t="s">
        <v>1451</v>
      </c>
      <c r="E1330" s="29" t="s">
        <v>2480</v>
      </c>
      <c r="F1330" s="3" t="s">
        <v>27</v>
      </c>
      <c r="G1330" s="3" t="s">
        <v>1453</v>
      </c>
      <c r="H1330" s="9" t="s">
        <v>1454</v>
      </c>
      <c r="I1330" s="6"/>
      <c r="J1330" s="6"/>
      <c r="K1330" s="6"/>
      <c r="L1330" s="6"/>
      <c r="M1330" s="26"/>
      <c r="O1330" s="19" t="str">
        <f t="shared" si="2"/>
        <v/>
      </c>
    </row>
    <row r="1331">
      <c r="A1331" s="22" t="s">
        <v>168</v>
      </c>
      <c r="B1331" s="4" t="s">
        <v>45</v>
      </c>
      <c r="C1331" s="3" t="s">
        <v>2481</v>
      </c>
      <c r="D1331" s="22" t="s">
        <v>2482</v>
      </c>
      <c r="E1331" s="29">
        <v>45946.0</v>
      </c>
      <c r="F1331" s="3" t="s">
        <v>27</v>
      </c>
      <c r="G1331" s="3" t="s">
        <v>129</v>
      </c>
      <c r="H1331" s="9"/>
      <c r="I1331" s="6"/>
      <c r="J1331" s="6"/>
      <c r="K1331" s="6"/>
      <c r="L1331" s="6"/>
      <c r="M1331" s="26"/>
      <c r="O1331" s="19" t="str">
        <f t="shared" si="2"/>
        <v/>
      </c>
    </row>
    <row r="1332">
      <c r="A1332" s="22" t="s">
        <v>744</v>
      </c>
      <c r="B1332" s="4" t="s">
        <v>18</v>
      </c>
      <c r="C1332" s="3" t="s">
        <v>2483</v>
      </c>
      <c r="D1332" s="22" t="s">
        <v>2484</v>
      </c>
      <c r="E1332" s="29">
        <v>45946.0</v>
      </c>
      <c r="F1332" s="3" t="s">
        <v>27</v>
      </c>
      <c r="G1332" s="3" t="s">
        <v>129</v>
      </c>
      <c r="H1332" s="9"/>
      <c r="I1332" s="6"/>
      <c r="J1332" s="6"/>
      <c r="K1332" s="6"/>
      <c r="L1332" s="6"/>
      <c r="M1332" s="26"/>
      <c r="O1332" s="19" t="str">
        <f t="shared" si="2"/>
        <v/>
      </c>
    </row>
    <row r="1333">
      <c r="A1333" s="22" t="s">
        <v>2406</v>
      </c>
      <c r="B1333" s="4" t="s">
        <v>31</v>
      </c>
      <c r="C1333" s="22" t="s">
        <v>2485</v>
      </c>
      <c r="D1333" s="23" t="s">
        <v>2486</v>
      </c>
      <c r="E1333" s="29">
        <v>45946.0</v>
      </c>
      <c r="F1333" s="3">
        <v>8.0</v>
      </c>
      <c r="G1333" s="3" t="s">
        <v>92</v>
      </c>
      <c r="H1333" s="9"/>
      <c r="I1333" s="6"/>
      <c r="J1333" s="6"/>
      <c r="K1333" s="6"/>
      <c r="L1333" s="6"/>
      <c r="M1333" s="26"/>
      <c r="O1333" s="19" t="str">
        <f t="shared" si="2"/>
        <v/>
      </c>
    </row>
    <row r="1334">
      <c r="A1334" s="22" t="s">
        <v>717</v>
      </c>
      <c r="B1334" s="4" t="s">
        <v>36</v>
      </c>
      <c r="C1334" s="22" t="s">
        <v>809</v>
      </c>
      <c r="D1334" s="23" t="s">
        <v>2487</v>
      </c>
      <c r="E1334" s="29">
        <v>45946.0</v>
      </c>
      <c r="F1334" s="3">
        <v>8.0</v>
      </c>
      <c r="G1334" s="3" t="s">
        <v>92</v>
      </c>
      <c r="H1334" s="9"/>
      <c r="I1334" s="6"/>
      <c r="J1334" s="6"/>
      <c r="K1334" s="6"/>
      <c r="L1334" s="6"/>
      <c r="M1334" s="26"/>
      <c r="O1334" s="19" t="str">
        <f t="shared" si="2"/>
        <v/>
      </c>
    </row>
    <row r="1335">
      <c r="A1335" s="22" t="s">
        <v>69</v>
      </c>
      <c r="B1335" s="4" t="s">
        <v>31</v>
      </c>
      <c r="C1335" s="22" t="s">
        <v>70</v>
      </c>
      <c r="D1335" s="23" t="s">
        <v>2488</v>
      </c>
      <c r="E1335" s="29">
        <v>45946.0</v>
      </c>
      <c r="F1335" s="3">
        <v>8.0</v>
      </c>
      <c r="G1335" s="3" t="s">
        <v>92</v>
      </c>
      <c r="H1335" s="9"/>
      <c r="I1335" s="6"/>
      <c r="J1335" s="6"/>
      <c r="K1335" s="6"/>
      <c r="L1335" s="6"/>
      <c r="M1335" s="26"/>
      <c r="O1335" s="19" t="str">
        <f t="shared" si="2"/>
        <v/>
      </c>
    </row>
    <row r="1336">
      <c r="A1336" s="22" t="s">
        <v>510</v>
      </c>
      <c r="B1336" s="4" t="s">
        <v>18</v>
      </c>
      <c r="C1336" s="22" t="s">
        <v>2489</v>
      </c>
      <c r="D1336" s="23" t="s">
        <v>2490</v>
      </c>
      <c r="E1336" s="29">
        <v>45946.0</v>
      </c>
      <c r="F1336" s="3">
        <v>8.0</v>
      </c>
      <c r="G1336" s="3" t="s">
        <v>92</v>
      </c>
      <c r="H1336" s="9"/>
      <c r="I1336" s="6"/>
      <c r="J1336" s="6"/>
      <c r="K1336" s="6"/>
      <c r="L1336" s="6"/>
      <c r="M1336" s="26"/>
      <c r="O1336" s="19" t="str">
        <f t="shared" si="2"/>
        <v/>
      </c>
    </row>
    <row r="1337">
      <c r="A1337" s="22" t="s">
        <v>1320</v>
      </c>
      <c r="B1337" s="4" t="s">
        <v>45</v>
      </c>
      <c r="C1337" s="22" t="s">
        <v>75</v>
      </c>
      <c r="D1337" s="23" t="s">
        <v>2491</v>
      </c>
      <c r="E1337" s="29">
        <v>45946.0</v>
      </c>
      <c r="F1337" s="3">
        <v>9.0</v>
      </c>
      <c r="G1337" s="3" t="s">
        <v>92</v>
      </c>
      <c r="H1337" s="9"/>
      <c r="I1337" s="6"/>
      <c r="J1337" s="6"/>
      <c r="K1337" s="6"/>
      <c r="L1337" s="6"/>
      <c r="M1337" s="26"/>
      <c r="O1337" s="19" t="str">
        <f t="shared" si="2"/>
        <v/>
      </c>
    </row>
    <row r="1338">
      <c r="A1338" s="22" t="s">
        <v>435</v>
      </c>
      <c r="B1338" s="4" t="s">
        <v>18</v>
      </c>
      <c r="C1338" s="22" t="s">
        <v>2492</v>
      </c>
      <c r="D1338" s="23" t="s">
        <v>2493</v>
      </c>
      <c r="E1338" s="29">
        <v>45946.0</v>
      </c>
      <c r="F1338" s="3">
        <v>6.0</v>
      </c>
      <c r="G1338" s="3" t="s">
        <v>92</v>
      </c>
      <c r="H1338" s="9"/>
      <c r="I1338" s="6"/>
      <c r="J1338" s="6"/>
      <c r="K1338" s="6"/>
      <c r="L1338" s="6"/>
      <c r="M1338" s="26"/>
      <c r="O1338" s="19" t="str">
        <f t="shared" si="2"/>
        <v/>
      </c>
    </row>
    <row r="1339">
      <c r="A1339" s="22" t="s">
        <v>2494</v>
      </c>
      <c r="B1339" s="4" t="s">
        <v>18</v>
      </c>
      <c r="C1339" s="22" t="s">
        <v>533</v>
      </c>
      <c r="D1339" s="23" t="s">
        <v>2495</v>
      </c>
      <c r="E1339" s="29">
        <v>45946.0</v>
      </c>
      <c r="F1339" s="3">
        <v>8.0</v>
      </c>
      <c r="G1339" s="3" t="s">
        <v>92</v>
      </c>
      <c r="H1339" s="9"/>
      <c r="I1339" s="6"/>
      <c r="J1339" s="6"/>
      <c r="K1339" s="6"/>
      <c r="L1339" s="6"/>
      <c r="M1339" s="26"/>
      <c r="O1339" s="19" t="str">
        <f t="shared" si="2"/>
        <v/>
      </c>
    </row>
    <row r="1340">
      <c r="A1340" s="22" t="s">
        <v>1266</v>
      </c>
      <c r="B1340" s="4" t="s">
        <v>31</v>
      </c>
      <c r="C1340" s="22" t="s">
        <v>2496</v>
      </c>
      <c r="D1340" s="23" t="s">
        <v>2497</v>
      </c>
      <c r="E1340" s="29">
        <v>45946.0</v>
      </c>
      <c r="F1340" s="3">
        <v>8.0</v>
      </c>
      <c r="G1340" s="3" t="s">
        <v>92</v>
      </c>
      <c r="H1340" s="9"/>
      <c r="I1340" s="6"/>
      <c r="J1340" s="6"/>
      <c r="K1340" s="6"/>
      <c r="L1340" s="6"/>
      <c r="M1340" s="26"/>
      <c r="O1340" s="19" t="str">
        <f t="shared" si="2"/>
        <v/>
      </c>
    </row>
    <row r="1341">
      <c r="A1341" s="22" t="s">
        <v>155</v>
      </c>
      <c r="B1341" s="4" t="s">
        <v>18</v>
      </c>
      <c r="C1341" s="22" t="s">
        <v>414</v>
      </c>
      <c r="D1341" s="23" t="s">
        <v>1858</v>
      </c>
      <c r="E1341" s="29">
        <v>45946.0</v>
      </c>
      <c r="F1341" s="3">
        <v>8.0</v>
      </c>
      <c r="G1341" s="3" t="s">
        <v>92</v>
      </c>
      <c r="H1341" s="9"/>
      <c r="I1341" s="6"/>
      <c r="J1341" s="6"/>
      <c r="K1341" s="6"/>
      <c r="L1341" s="6"/>
      <c r="M1341" s="26"/>
      <c r="O1341" s="19" t="str">
        <f t="shared" si="2"/>
        <v/>
      </c>
    </row>
    <row r="1342">
      <c r="A1342" s="22" t="s">
        <v>77</v>
      </c>
      <c r="B1342" s="4" t="s">
        <v>18</v>
      </c>
      <c r="C1342" s="22" t="s">
        <v>1903</v>
      </c>
      <c r="D1342" s="23" t="s">
        <v>2498</v>
      </c>
      <c r="E1342" s="29">
        <v>45946.0</v>
      </c>
      <c r="F1342" s="3">
        <v>8.0</v>
      </c>
      <c r="G1342" s="3" t="s">
        <v>92</v>
      </c>
      <c r="H1342" s="9"/>
      <c r="I1342" s="6"/>
      <c r="J1342" s="6"/>
      <c r="K1342" s="6"/>
      <c r="L1342" s="6"/>
      <c r="M1342" s="26"/>
      <c r="O1342" s="19" t="str">
        <f t="shared" si="2"/>
        <v/>
      </c>
    </row>
    <row r="1343">
      <c r="A1343" s="22" t="s">
        <v>2406</v>
      </c>
      <c r="B1343" s="4" t="s">
        <v>31</v>
      </c>
      <c r="C1343" s="22" t="s">
        <v>2499</v>
      </c>
      <c r="D1343" s="23" t="s">
        <v>2500</v>
      </c>
      <c r="E1343" s="29">
        <v>45946.0</v>
      </c>
      <c r="F1343" s="3">
        <v>8.0</v>
      </c>
      <c r="G1343" s="3" t="s">
        <v>92</v>
      </c>
      <c r="H1343" s="9"/>
      <c r="I1343" s="6"/>
      <c r="J1343" s="6"/>
      <c r="K1343" s="6"/>
      <c r="L1343" s="6"/>
      <c r="M1343" s="26"/>
      <c r="O1343" s="19" t="str">
        <f t="shared" si="2"/>
        <v/>
      </c>
    </row>
    <row r="1344">
      <c r="A1344" s="22" t="s">
        <v>510</v>
      </c>
      <c r="B1344" s="4" t="s">
        <v>18</v>
      </c>
      <c r="C1344" s="22" t="s">
        <v>2501</v>
      </c>
      <c r="D1344" s="23" t="s">
        <v>2502</v>
      </c>
      <c r="E1344" s="29">
        <v>45946.0</v>
      </c>
      <c r="F1344" s="3">
        <v>8.0</v>
      </c>
      <c r="G1344" s="3" t="s">
        <v>92</v>
      </c>
      <c r="H1344" s="9"/>
      <c r="I1344" s="6"/>
      <c r="J1344" s="6"/>
      <c r="K1344" s="6"/>
      <c r="L1344" s="6"/>
      <c r="M1344" s="26"/>
      <c r="O1344" s="19" t="str">
        <f t="shared" si="2"/>
        <v/>
      </c>
    </row>
    <row r="1345">
      <c r="A1345" s="22" t="s">
        <v>2503</v>
      </c>
      <c r="B1345" s="4" t="s">
        <v>18</v>
      </c>
      <c r="C1345" s="3" t="s">
        <v>371</v>
      </c>
      <c r="D1345" s="22" t="s">
        <v>2504</v>
      </c>
      <c r="E1345" s="29">
        <v>45947.0</v>
      </c>
      <c r="F1345" s="3" t="s">
        <v>27</v>
      </c>
      <c r="G1345" s="3" t="s">
        <v>129</v>
      </c>
      <c r="H1345" s="9"/>
      <c r="I1345" s="6"/>
      <c r="J1345" s="6"/>
      <c r="K1345" s="6"/>
      <c r="L1345" s="6"/>
      <c r="M1345" s="26"/>
      <c r="O1345" s="19" t="str">
        <f t="shared" si="2"/>
        <v/>
      </c>
    </row>
    <row r="1346">
      <c r="A1346" s="22" t="s">
        <v>2503</v>
      </c>
      <c r="B1346" s="4" t="s">
        <v>18</v>
      </c>
      <c r="C1346" s="22" t="s">
        <v>263</v>
      </c>
      <c r="D1346" s="23" t="s">
        <v>2505</v>
      </c>
      <c r="E1346" s="29">
        <v>45947.0</v>
      </c>
      <c r="F1346" s="3">
        <v>8.0</v>
      </c>
      <c r="G1346" s="3" t="s">
        <v>92</v>
      </c>
      <c r="H1346" s="9"/>
      <c r="I1346" s="6"/>
      <c r="J1346" s="6"/>
      <c r="K1346" s="6"/>
      <c r="L1346" s="6"/>
      <c r="M1346" s="26"/>
      <c r="O1346" s="19" t="str">
        <f t="shared" si="2"/>
        <v/>
      </c>
    </row>
    <row r="1347">
      <c r="A1347" s="22" t="s">
        <v>2503</v>
      </c>
      <c r="B1347" s="4" t="s">
        <v>18</v>
      </c>
      <c r="C1347" s="22" t="s">
        <v>2506</v>
      </c>
      <c r="D1347" s="23" t="s">
        <v>2507</v>
      </c>
      <c r="E1347" s="29">
        <v>45947.0</v>
      </c>
      <c r="F1347" s="3">
        <v>8.0</v>
      </c>
      <c r="G1347" s="3" t="s">
        <v>92</v>
      </c>
      <c r="H1347" s="9"/>
      <c r="I1347" s="6"/>
      <c r="J1347" s="6"/>
      <c r="K1347" s="6"/>
      <c r="L1347" s="6"/>
      <c r="M1347" s="26"/>
      <c r="O1347" s="19" t="str">
        <f t="shared" si="2"/>
        <v/>
      </c>
    </row>
    <row r="1348">
      <c r="A1348" s="22" t="s">
        <v>2494</v>
      </c>
      <c r="B1348" s="4" t="s">
        <v>18</v>
      </c>
      <c r="C1348" s="3" t="s">
        <v>455</v>
      </c>
      <c r="D1348" s="22" t="s">
        <v>2508</v>
      </c>
      <c r="E1348" s="29" t="s">
        <v>2480</v>
      </c>
      <c r="F1348" s="3" t="s">
        <v>27</v>
      </c>
      <c r="G1348" s="3"/>
      <c r="H1348" s="9"/>
      <c r="I1348" s="6"/>
      <c r="J1348" s="6"/>
      <c r="K1348" s="6"/>
      <c r="L1348" s="6"/>
      <c r="M1348" s="26"/>
      <c r="O1348" s="19" t="str">
        <f t="shared" si="2"/>
        <v/>
      </c>
    </row>
    <row r="1349">
      <c r="A1349" s="22" t="s">
        <v>2494</v>
      </c>
      <c r="B1349" s="4" t="s">
        <v>18</v>
      </c>
      <c r="C1349" s="3" t="s">
        <v>455</v>
      </c>
      <c r="D1349" s="22" t="s">
        <v>2508</v>
      </c>
      <c r="E1349" s="29" t="s">
        <v>2480</v>
      </c>
      <c r="F1349" s="3" t="s">
        <v>27</v>
      </c>
      <c r="G1349" s="3"/>
      <c r="H1349" s="9"/>
      <c r="I1349" s="6"/>
      <c r="J1349" s="6"/>
      <c r="K1349" s="6"/>
      <c r="L1349" s="6"/>
      <c r="M1349" s="26"/>
      <c r="O1349" s="19" t="str">
        <f t="shared" si="2"/>
        <v/>
      </c>
    </row>
    <row r="1350">
      <c r="A1350" s="22" t="s">
        <v>1660</v>
      </c>
      <c r="B1350" s="4" t="s">
        <v>36</v>
      </c>
      <c r="C1350" s="22" t="s">
        <v>1661</v>
      </c>
      <c r="D1350" s="23" t="s">
        <v>2509</v>
      </c>
      <c r="E1350" s="29">
        <v>45947.0</v>
      </c>
      <c r="F1350" s="3">
        <v>8.0</v>
      </c>
      <c r="G1350" s="3" t="s">
        <v>92</v>
      </c>
      <c r="H1350" s="9"/>
      <c r="I1350" s="6"/>
      <c r="J1350" s="6"/>
      <c r="K1350" s="6"/>
      <c r="L1350" s="6"/>
      <c r="M1350" s="26"/>
      <c r="O1350" s="19" t="str">
        <f t="shared" si="2"/>
        <v/>
      </c>
    </row>
    <row r="1351">
      <c r="A1351" s="22" t="s">
        <v>265</v>
      </c>
      <c r="B1351" s="4" t="s">
        <v>18</v>
      </c>
      <c r="C1351" s="22" t="s">
        <v>2510</v>
      </c>
      <c r="D1351" s="23" t="s">
        <v>2511</v>
      </c>
      <c r="E1351" s="29">
        <v>45947.0</v>
      </c>
      <c r="F1351" s="3">
        <v>8.0</v>
      </c>
      <c r="G1351" s="3" t="s">
        <v>92</v>
      </c>
      <c r="H1351" s="9"/>
      <c r="I1351" s="6"/>
      <c r="J1351" s="6"/>
      <c r="K1351" s="6"/>
      <c r="L1351" s="6"/>
      <c r="M1351" s="26"/>
      <c r="O1351" s="19" t="str">
        <f t="shared" si="2"/>
        <v/>
      </c>
    </row>
    <row r="1352">
      <c r="A1352" s="22" t="s">
        <v>202</v>
      </c>
      <c r="B1352" s="4" t="s">
        <v>36</v>
      </c>
      <c r="C1352" s="22" t="s">
        <v>151</v>
      </c>
      <c r="D1352" s="23" t="s">
        <v>1205</v>
      </c>
      <c r="E1352" s="29">
        <v>45947.0</v>
      </c>
      <c r="F1352" s="3">
        <v>8.0</v>
      </c>
      <c r="G1352" s="3" t="s">
        <v>92</v>
      </c>
      <c r="H1352" s="9"/>
      <c r="I1352" s="6"/>
      <c r="J1352" s="6"/>
      <c r="K1352" s="6"/>
      <c r="L1352" s="6"/>
      <c r="M1352" s="26"/>
      <c r="O1352" s="19" t="str">
        <f t="shared" si="2"/>
        <v/>
      </c>
    </row>
    <row r="1353">
      <c r="A1353" s="22" t="s">
        <v>158</v>
      </c>
      <c r="B1353" s="4" t="s">
        <v>31</v>
      </c>
      <c r="C1353" s="22" t="s">
        <v>961</v>
      </c>
      <c r="D1353" s="23" t="s">
        <v>2512</v>
      </c>
      <c r="E1353" s="29">
        <v>45947.0</v>
      </c>
      <c r="F1353" s="3">
        <v>8.0</v>
      </c>
      <c r="G1353" s="3" t="s">
        <v>92</v>
      </c>
      <c r="H1353" s="9"/>
      <c r="I1353" s="6"/>
      <c r="J1353" s="6"/>
      <c r="K1353" s="6"/>
      <c r="L1353" s="6"/>
      <c r="M1353" s="26"/>
      <c r="O1353" s="19" t="str">
        <f t="shared" si="2"/>
        <v/>
      </c>
    </row>
    <row r="1354">
      <c r="A1354" s="22" t="s">
        <v>265</v>
      </c>
      <c r="B1354" s="4" t="s">
        <v>18</v>
      </c>
      <c r="C1354" s="22" t="s">
        <v>132</v>
      </c>
      <c r="D1354" s="23" t="s">
        <v>2513</v>
      </c>
      <c r="E1354" s="29">
        <v>45947.0</v>
      </c>
      <c r="F1354" s="3">
        <v>8.0</v>
      </c>
      <c r="G1354" s="3" t="s">
        <v>92</v>
      </c>
      <c r="H1354" s="9"/>
      <c r="I1354" s="6"/>
      <c r="J1354" s="6"/>
      <c r="K1354" s="6"/>
      <c r="L1354" s="6"/>
      <c r="M1354" s="26"/>
      <c r="O1354" s="19" t="str">
        <f t="shared" si="2"/>
        <v/>
      </c>
    </row>
    <row r="1355">
      <c r="A1355" s="22" t="s">
        <v>1320</v>
      </c>
      <c r="B1355" s="4" t="s">
        <v>45</v>
      </c>
      <c r="C1355" s="22" t="s">
        <v>2514</v>
      </c>
      <c r="D1355" s="23" t="s">
        <v>2515</v>
      </c>
      <c r="E1355" s="29">
        <v>45947.0</v>
      </c>
      <c r="F1355" s="3">
        <v>8.0</v>
      </c>
      <c r="G1355" s="3" t="s">
        <v>92</v>
      </c>
      <c r="H1355" s="9"/>
      <c r="I1355" s="6"/>
      <c r="J1355" s="6"/>
      <c r="K1355" s="6"/>
      <c r="L1355" s="6"/>
      <c r="M1355" s="26"/>
      <c r="O1355" s="19" t="str">
        <f t="shared" si="2"/>
        <v/>
      </c>
    </row>
    <row r="1356">
      <c r="A1356" s="22" t="s">
        <v>1266</v>
      </c>
      <c r="B1356" s="4" t="s">
        <v>31</v>
      </c>
      <c r="C1356" s="22" t="s">
        <v>2516</v>
      </c>
      <c r="D1356" s="23" t="s">
        <v>2517</v>
      </c>
      <c r="E1356" s="29">
        <v>45947.0</v>
      </c>
      <c r="F1356" s="3">
        <v>8.0</v>
      </c>
      <c r="G1356" s="3" t="s">
        <v>92</v>
      </c>
      <c r="H1356" s="9"/>
      <c r="I1356" s="6"/>
      <c r="J1356" s="6"/>
      <c r="K1356" s="6"/>
      <c r="L1356" s="6"/>
      <c r="M1356" s="26"/>
      <c r="O1356" s="19" t="str">
        <f t="shared" si="2"/>
        <v/>
      </c>
    </row>
    <row r="1357">
      <c r="A1357" s="22" t="s">
        <v>69</v>
      </c>
      <c r="B1357" s="4" t="s">
        <v>31</v>
      </c>
      <c r="C1357" s="22" t="s">
        <v>70</v>
      </c>
      <c r="D1357" s="22" t="s">
        <v>2518</v>
      </c>
      <c r="E1357" s="29">
        <v>45947.0</v>
      </c>
      <c r="F1357" s="3">
        <v>6.0</v>
      </c>
      <c r="G1357" s="3" t="s">
        <v>92</v>
      </c>
      <c r="H1357" s="9"/>
      <c r="I1357" s="6"/>
      <c r="J1357" s="6"/>
      <c r="K1357" s="6"/>
      <c r="L1357" s="6"/>
      <c r="M1357" s="26"/>
      <c r="O1357" s="19" t="str">
        <f t="shared" si="2"/>
        <v/>
      </c>
    </row>
    <row r="1358">
      <c r="A1358" s="22" t="s">
        <v>69</v>
      </c>
      <c r="B1358" s="4" t="s">
        <v>31</v>
      </c>
      <c r="C1358" s="22" t="s">
        <v>70</v>
      </c>
      <c r="D1358" s="22" t="s">
        <v>2519</v>
      </c>
      <c r="E1358" s="29">
        <v>45947.0</v>
      </c>
      <c r="F1358" s="3">
        <v>6.0</v>
      </c>
      <c r="G1358" s="3" t="s">
        <v>92</v>
      </c>
      <c r="H1358" s="9"/>
      <c r="I1358" s="6"/>
      <c r="J1358" s="6"/>
      <c r="K1358" s="6"/>
      <c r="L1358" s="6"/>
      <c r="M1358" s="26"/>
      <c r="O1358" s="19" t="str">
        <f t="shared" si="2"/>
        <v/>
      </c>
    </row>
    <row r="1359">
      <c r="A1359" s="22" t="s">
        <v>125</v>
      </c>
      <c r="B1359" s="4" t="s">
        <v>31</v>
      </c>
      <c r="C1359" s="22" t="s">
        <v>192</v>
      </c>
      <c r="D1359" s="23" t="s">
        <v>2520</v>
      </c>
      <c r="E1359" s="29">
        <v>45947.0</v>
      </c>
      <c r="F1359" s="3">
        <v>8.0</v>
      </c>
      <c r="G1359" s="3" t="s">
        <v>92</v>
      </c>
      <c r="H1359" s="9"/>
      <c r="I1359" s="6"/>
      <c r="J1359" s="6"/>
      <c r="K1359" s="6"/>
      <c r="L1359" s="6"/>
      <c r="M1359" s="26"/>
      <c r="O1359" s="19" t="str">
        <f t="shared" si="2"/>
        <v/>
      </c>
    </row>
    <row r="1360">
      <c r="A1360" s="22" t="s">
        <v>23</v>
      </c>
      <c r="B1360" s="4" t="s">
        <v>18</v>
      </c>
      <c r="C1360" s="22" t="s">
        <v>2521</v>
      </c>
      <c r="D1360" s="23" t="s">
        <v>2522</v>
      </c>
      <c r="E1360" s="29">
        <v>45947.0</v>
      </c>
      <c r="F1360" s="3">
        <v>8.0</v>
      </c>
      <c r="G1360" s="3" t="s">
        <v>92</v>
      </c>
      <c r="H1360" s="9" t="s">
        <v>2523</v>
      </c>
      <c r="I1360" s="9">
        <v>6.1428619412E10</v>
      </c>
      <c r="J1360" s="40" t="s">
        <v>2524</v>
      </c>
      <c r="K1360" s="9">
        <v>0.0</v>
      </c>
      <c r="L1360" s="6"/>
      <c r="M1360" s="26"/>
      <c r="O1360" s="19" t="str">
        <f t="shared" si="2"/>
        <v/>
      </c>
    </row>
    <row r="1361">
      <c r="A1361" s="22" t="s">
        <v>291</v>
      </c>
      <c r="B1361" s="4" t="s">
        <v>31</v>
      </c>
      <c r="C1361" s="22" t="s">
        <v>292</v>
      </c>
      <c r="D1361" s="23" t="s">
        <v>2525</v>
      </c>
      <c r="E1361" s="29">
        <v>45947.0</v>
      </c>
      <c r="F1361" s="3">
        <v>6.0</v>
      </c>
      <c r="G1361" s="3" t="s">
        <v>92</v>
      </c>
      <c r="H1361" s="9"/>
      <c r="I1361" s="6"/>
      <c r="J1361" s="6"/>
      <c r="K1361" s="6"/>
      <c r="L1361" s="6"/>
      <c r="M1361" s="26"/>
      <c r="O1361" s="19" t="str">
        <f t="shared" si="2"/>
        <v/>
      </c>
    </row>
    <row r="1362">
      <c r="A1362" s="22" t="s">
        <v>435</v>
      </c>
      <c r="B1362" s="4" t="s">
        <v>18</v>
      </c>
      <c r="C1362" s="3" t="s">
        <v>1970</v>
      </c>
      <c r="D1362" s="22" t="s">
        <v>1971</v>
      </c>
      <c r="E1362" s="29">
        <v>45947.0</v>
      </c>
      <c r="F1362" s="3" t="s">
        <v>27</v>
      </c>
      <c r="G1362" s="3" t="s">
        <v>129</v>
      </c>
      <c r="H1362" s="9"/>
      <c r="I1362" s="6"/>
      <c r="J1362" s="6"/>
      <c r="K1362" s="6"/>
      <c r="L1362" s="6"/>
      <c r="M1362" s="26"/>
      <c r="O1362" s="19" t="str">
        <f t="shared" si="2"/>
        <v/>
      </c>
    </row>
    <row r="1363">
      <c r="A1363" s="22" t="s">
        <v>291</v>
      </c>
      <c r="B1363" s="4" t="s">
        <v>31</v>
      </c>
      <c r="C1363" s="3" t="s">
        <v>781</v>
      </c>
      <c r="D1363" s="22" t="s">
        <v>2526</v>
      </c>
      <c r="E1363" s="29" t="s">
        <v>2527</v>
      </c>
      <c r="F1363" s="3" t="s">
        <v>27</v>
      </c>
      <c r="G1363" s="3"/>
      <c r="H1363" s="9"/>
      <c r="I1363" s="6"/>
      <c r="J1363" s="6"/>
      <c r="K1363" s="6"/>
      <c r="L1363" s="6"/>
      <c r="M1363" s="26"/>
      <c r="O1363" s="19" t="str">
        <f t="shared" si="2"/>
        <v/>
      </c>
    </row>
    <row r="1364">
      <c r="A1364" s="22" t="s">
        <v>265</v>
      </c>
      <c r="B1364" s="4" t="s">
        <v>18</v>
      </c>
      <c r="C1364" s="22" t="s">
        <v>727</v>
      </c>
      <c r="D1364" s="23" t="s">
        <v>2528</v>
      </c>
      <c r="E1364" s="29">
        <v>45948.0</v>
      </c>
      <c r="F1364" s="3">
        <v>6.0</v>
      </c>
      <c r="G1364" s="3" t="s">
        <v>92</v>
      </c>
      <c r="H1364" s="9"/>
      <c r="I1364" s="6"/>
      <c r="J1364" s="6"/>
      <c r="K1364" s="6"/>
      <c r="L1364" s="6"/>
      <c r="M1364" s="26"/>
      <c r="O1364" s="19" t="str">
        <f t="shared" si="2"/>
        <v/>
      </c>
    </row>
    <row r="1365">
      <c r="A1365" s="22" t="s">
        <v>265</v>
      </c>
      <c r="B1365" s="4" t="s">
        <v>18</v>
      </c>
      <c r="C1365" s="22" t="s">
        <v>2529</v>
      </c>
      <c r="D1365" s="23" t="s">
        <v>2530</v>
      </c>
      <c r="E1365" s="29">
        <v>45948.0</v>
      </c>
      <c r="F1365" s="3">
        <v>8.0</v>
      </c>
      <c r="G1365" s="3" t="s">
        <v>92</v>
      </c>
      <c r="H1365" s="9"/>
      <c r="I1365" s="6"/>
      <c r="J1365" s="6"/>
      <c r="K1365" s="6"/>
      <c r="L1365" s="6"/>
      <c r="M1365" s="26"/>
      <c r="O1365" s="19" t="str">
        <f t="shared" si="2"/>
        <v/>
      </c>
    </row>
    <row r="1366">
      <c r="A1366" s="22" t="s">
        <v>1660</v>
      </c>
      <c r="B1366" s="4" t="s">
        <v>36</v>
      </c>
      <c r="C1366" s="22" t="s">
        <v>2531</v>
      </c>
      <c r="D1366" s="23" t="s">
        <v>2532</v>
      </c>
      <c r="E1366" s="29">
        <v>45948.0</v>
      </c>
      <c r="F1366" s="3">
        <v>6.0</v>
      </c>
      <c r="G1366" s="3" t="s">
        <v>92</v>
      </c>
      <c r="H1366" s="9"/>
      <c r="I1366" s="6"/>
      <c r="J1366" s="6"/>
      <c r="K1366" s="6"/>
      <c r="L1366" s="6"/>
      <c r="M1366" s="26"/>
      <c r="O1366" s="19" t="str">
        <f t="shared" si="2"/>
        <v/>
      </c>
    </row>
    <row r="1367">
      <c r="A1367" s="22" t="s">
        <v>1320</v>
      </c>
      <c r="B1367" s="4" t="s">
        <v>45</v>
      </c>
      <c r="C1367" s="22" t="s">
        <v>2533</v>
      </c>
      <c r="D1367" s="23" t="s">
        <v>2534</v>
      </c>
      <c r="E1367" s="29">
        <v>45948.0</v>
      </c>
      <c r="F1367" s="3">
        <v>6.0</v>
      </c>
      <c r="G1367" s="3" t="s">
        <v>92</v>
      </c>
      <c r="H1367" s="9"/>
      <c r="I1367" s="6"/>
      <c r="J1367" s="6"/>
      <c r="K1367" s="6"/>
      <c r="L1367" s="6"/>
      <c r="M1367" s="26"/>
      <c r="O1367" s="19" t="str">
        <f t="shared" si="2"/>
        <v/>
      </c>
    </row>
    <row r="1368">
      <c r="A1368" s="22" t="s">
        <v>265</v>
      </c>
      <c r="B1368" s="4" t="s">
        <v>18</v>
      </c>
      <c r="C1368" s="22" t="s">
        <v>1184</v>
      </c>
      <c r="D1368" s="23" t="s">
        <v>2535</v>
      </c>
      <c r="E1368" s="29">
        <v>45948.0</v>
      </c>
      <c r="F1368" s="3">
        <v>8.0</v>
      </c>
      <c r="G1368" s="3" t="s">
        <v>92</v>
      </c>
      <c r="H1368" s="9"/>
      <c r="I1368" s="6"/>
      <c r="J1368" s="6"/>
      <c r="K1368" s="6"/>
      <c r="L1368" s="6"/>
      <c r="M1368" s="26"/>
      <c r="O1368" s="19" t="str">
        <f t="shared" si="2"/>
        <v/>
      </c>
    </row>
    <row r="1369">
      <c r="A1369" s="22" t="s">
        <v>274</v>
      </c>
      <c r="B1369" s="4" t="s">
        <v>18</v>
      </c>
      <c r="C1369" s="22" t="s">
        <v>2536</v>
      </c>
      <c r="D1369" s="23" t="s">
        <v>2537</v>
      </c>
      <c r="E1369" s="29">
        <v>45948.0</v>
      </c>
      <c r="F1369" s="3">
        <v>6.0</v>
      </c>
      <c r="G1369" s="3" t="s">
        <v>92</v>
      </c>
      <c r="H1369" s="9"/>
      <c r="I1369" s="6"/>
      <c r="J1369" s="6"/>
      <c r="K1369" s="6"/>
      <c r="L1369" s="6"/>
      <c r="M1369" s="26"/>
      <c r="O1369" s="19" t="str">
        <f t="shared" si="2"/>
        <v/>
      </c>
    </row>
    <row r="1370">
      <c r="A1370" s="22" t="s">
        <v>1062</v>
      </c>
      <c r="B1370" s="4" t="s">
        <v>18</v>
      </c>
      <c r="C1370" s="22" t="s">
        <v>1214</v>
      </c>
      <c r="D1370" s="23" t="s">
        <v>2538</v>
      </c>
      <c r="E1370" s="29">
        <v>45948.0</v>
      </c>
      <c r="F1370" s="3">
        <v>8.0</v>
      </c>
      <c r="G1370" s="3" t="s">
        <v>92</v>
      </c>
      <c r="H1370" s="9"/>
      <c r="I1370" s="6"/>
      <c r="J1370" s="6"/>
      <c r="K1370" s="6"/>
      <c r="L1370" s="6"/>
      <c r="M1370" s="26"/>
      <c r="O1370" s="19" t="str">
        <f t="shared" si="2"/>
        <v/>
      </c>
    </row>
    <row r="1371">
      <c r="A1371" s="22" t="s">
        <v>435</v>
      </c>
      <c r="B1371" s="4" t="s">
        <v>18</v>
      </c>
      <c r="C1371" s="22" t="s">
        <v>2539</v>
      </c>
      <c r="D1371" s="23"/>
      <c r="E1371" s="29">
        <v>45948.0</v>
      </c>
      <c r="F1371" s="3">
        <v>5.0</v>
      </c>
      <c r="G1371" s="3" t="s">
        <v>92</v>
      </c>
      <c r="H1371" s="9"/>
      <c r="I1371" s="6"/>
      <c r="J1371" s="6"/>
      <c r="K1371" s="6"/>
      <c r="L1371" s="6"/>
      <c r="M1371" s="26"/>
      <c r="O1371" s="19" t="str">
        <f t="shared" si="2"/>
        <v/>
      </c>
    </row>
    <row r="1372">
      <c r="A1372" s="22" t="s">
        <v>120</v>
      </c>
      <c r="B1372" s="4" t="s">
        <v>31</v>
      </c>
      <c r="C1372" s="3" t="s">
        <v>2540</v>
      </c>
      <c r="D1372" s="22" t="s">
        <v>2541</v>
      </c>
      <c r="E1372" s="29">
        <v>45948.0</v>
      </c>
      <c r="F1372" s="3" t="s">
        <v>27</v>
      </c>
      <c r="G1372" s="3" t="s">
        <v>129</v>
      </c>
      <c r="H1372" s="9"/>
      <c r="I1372" s="6"/>
      <c r="J1372" s="6"/>
      <c r="K1372" s="6"/>
      <c r="L1372" s="6"/>
      <c r="M1372" s="26"/>
      <c r="O1372" s="19" t="str">
        <f t="shared" si="2"/>
        <v/>
      </c>
    </row>
    <row r="1373">
      <c r="A1373" s="22" t="s">
        <v>1320</v>
      </c>
      <c r="B1373" s="4" t="s">
        <v>45</v>
      </c>
      <c r="C1373" s="3" t="s">
        <v>2542</v>
      </c>
      <c r="D1373" s="22" t="s">
        <v>2543</v>
      </c>
      <c r="E1373" s="29">
        <v>45948.0</v>
      </c>
      <c r="F1373" s="3" t="s">
        <v>27</v>
      </c>
      <c r="G1373" s="3" t="s">
        <v>129</v>
      </c>
      <c r="H1373" s="9"/>
      <c r="I1373" s="6"/>
      <c r="J1373" s="6"/>
      <c r="K1373" s="6"/>
      <c r="L1373" s="6"/>
      <c r="M1373" s="26"/>
      <c r="O1373" s="19" t="str">
        <f t="shared" si="2"/>
        <v/>
      </c>
    </row>
    <row r="1374">
      <c r="A1374" s="22" t="s">
        <v>795</v>
      </c>
      <c r="B1374" s="4" t="s">
        <v>109</v>
      </c>
      <c r="C1374" s="3" t="s">
        <v>2544</v>
      </c>
      <c r="D1374" s="22" t="s">
        <v>2545</v>
      </c>
      <c r="E1374" s="29">
        <v>45948.0</v>
      </c>
      <c r="F1374" s="3" t="s">
        <v>27</v>
      </c>
      <c r="G1374" s="3" t="s">
        <v>129</v>
      </c>
      <c r="H1374" s="9"/>
      <c r="I1374" s="6"/>
      <c r="J1374" s="6"/>
      <c r="K1374" s="6"/>
      <c r="L1374" s="6"/>
      <c r="M1374" s="26"/>
      <c r="O1374" s="19" t="str">
        <f t="shared" si="2"/>
        <v/>
      </c>
    </row>
    <row r="1375">
      <c r="A1375" s="22" t="s">
        <v>418</v>
      </c>
      <c r="B1375" s="4" t="s">
        <v>18</v>
      </c>
      <c r="C1375" s="3" t="s">
        <v>1687</v>
      </c>
      <c r="D1375" s="22" t="s">
        <v>2546</v>
      </c>
      <c r="E1375" s="29">
        <v>45948.0</v>
      </c>
      <c r="F1375" s="3" t="s">
        <v>27</v>
      </c>
      <c r="G1375" s="3" t="s">
        <v>129</v>
      </c>
      <c r="H1375" s="9"/>
      <c r="I1375" s="6"/>
      <c r="J1375" s="6"/>
      <c r="K1375" s="6"/>
      <c r="L1375" s="6"/>
      <c r="M1375" s="26"/>
      <c r="O1375" s="19" t="str">
        <f t="shared" si="2"/>
        <v/>
      </c>
    </row>
    <row r="1376">
      <c r="A1376" s="22" t="s">
        <v>1892</v>
      </c>
      <c r="B1376" s="4" t="s">
        <v>18</v>
      </c>
      <c r="C1376" s="22" t="s">
        <v>953</v>
      </c>
      <c r="D1376" s="23" t="s">
        <v>2547</v>
      </c>
      <c r="E1376" s="29">
        <v>45949.0</v>
      </c>
      <c r="F1376" s="3">
        <v>6.0</v>
      </c>
      <c r="G1376" s="3" t="s">
        <v>92</v>
      </c>
      <c r="H1376" s="9"/>
      <c r="I1376" s="6"/>
      <c r="J1376" s="6"/>
      <c r="K1376" s="6"/>
      <c r="L1376" s="6"/>
      <c r="M1376" s="26"/>
      <c r="O1376" s="19" t="str">
        <f t="shared" si="2"/>
        <v/>
      </c>
    </row>
    <row r="1377">
      <c r="A1377" s="22" t="s">
        <v>198</v>
      </c>
      <c r="B1377" s="4" t="s">
        <v>109</v>
      </c>
      <c r="C1377" s="22" t="s">
        <v>2548</v>
      </c>
      <c r="D1377" s="23" t="s">
        <v>2549</v>
      </c>
      <c r="E1377" s="29">
        <v>45949.0</v>
      </c>
      <c r="F1377" s="3">
        <v>8.0</v>
      </c>
      <c r="G1377" s="3" t="s">
        <v>92</v>
      </c>
      <c r="H1377" s="9"/>
      <c r="I1377" s="6"/>
      <c r="J1377" s="6"/>
      <c r="K1377" s="6"/>
      <c r="L1377" s="6"/>
      <c r="M1377" s="26"/>
      <c r="O1377" s="19" t="str">
        <f t="shared" si="2"/>
        <v/>
      </c>
    </row>
    <row r="1378">
      <c r="A1378" s="22" t="s">
        <v>246</v>
      </c>
      <c r="B1378" s="4" t="s">
        <v>36</v>
      </c>
      <c r="C1378" s="22" t="s">
        <v>2550</v>
      </c>
      <c r="D1378" s="23" t="s">
        <v>2551</v>
      </c>
      <c r="E1378" s="29">
        <v>45949.0</v>
      </c>
      <c r="F1378" s="3">
        <v>8.0</v>
      </c>
      <c r="G1378" s="3" t="s">
        <v>92</v>
      </c>
      <c r="H1378" s="9"/>
      <c r="I1378" s="6"/>
      <c r="J1378" s="6"/>
      <c r="K1378" s="6"/>
      <c r="L1378" s="6"/>
      <c r="M1378" s="26"/>
      <c r="O1378" s="19" t="str">
        <f t="shared" si="2"/>
        <v/>
      </c>
    </row>
    <row r="1379">
      <c r="A1379" s="22" t="s">
        <v>418</v>
      </c>
      <c r="B1379" s="4" t="s">
        <v>18</v>
      </c>
      <c r="C1379" s="22" t="s">
        <v>2552</v>
      </c>
      <c r="D1379" s="23" t="s">
        <v>2553</v>
      </c>
      <c r="E1379" s="29">
        <v>45949.0</v>
      </c>
      <c r="F1379" s="3">
        <v>8.0</v>
      </c>
      <c r="G1379" s="3" t="s">
        <v>92</v>
      </c>
      <c r="H1379" s="9"/>
      <c r="I1379" s="6"/>
      <c r="J1379" s="6"/>
      <c r="K1379" s="6"/>
      <c r="L1379" s="6"/>
      <c r="M1379" s="26"/>
      <c r="O1379" s="19" t="str">
        <f t="shared" si="2"/>
        <v/>
      </c>
    </row>
    <row r="1380">
      <c r="A1380" s="22" t="s">
        <v>108</v>
      </c>
      <c r="B1380" s="4" t="s">
        <v>109</v>
      </c>
      <c r="C1380" s="22" t="s">
        <v>2554</v>
      </c>
      <c r="D1380" s="23" t="s">
        <v>2555</v>
      </c>
      <c r="E1380" s="29">
        <v>45949.0</v>
      </c>
      <c r="F1380" s="3" t="s">
        <v>22</v>
      </c>
      <c r="G1380" s="3" t="s">
        <v>92</v>
      </c>
      <c r="H1380" s="9"/>
      <c r="I1380" s="6"/>
      <c r="J1380" s="6"/>
      <c r="K1380" s="6"/>
      <c r="L1380" s="6"/>
      <c r="M1380" s="26"/>
      <c r="O1380" s="19" t="str">
        <f t="shared" si="2"/>
        <v/>
      </c>
    </row>
    <row r="1381">
      <c r="A1381" s="22" t="s">
        <v>2406</v>
      </c>
      <c r="B1381" s="4" t="s">
        <v>31</v>
      </c>
      <c r="C1381" s="22" t="s">
        <v>2005</v>
      </c>
      <c r="D1381" s="23" t="s">
        <v>2556</v>
      </c>
      <c r="E1381" s="29">
        <v>45949.0</v>
      </c>
      <c r="F1381" s="3">
        <v>8.0</v>
      </c>
      <c r="G1381" s="3" t="s">
        <v>92</v>
      </c>
      <c r="H1381" s="9"/>
      <c r="I1381" s="6"/>
      <c r="J1381" s="6"/>
      <c r="K1381" s="6"/>
      <c r="L1381" s="6"/>
      <c r="M1381" s="26"/>
      <c r="O1381" s="19" t="str">
        <f t="shared" si="2"/>
        <v/>
      </c>
    </row>
    <row r="1382">
      <c r="A1382" s="22" t="s">
        <v>184</v>
      </c>
      <c r="B1382" s="4" t="s">
        <v>18</v>
      </c>
      <c r="C1382" s="22" t="s">
        <v>608</v>
      </c>
      <c r="D1382" s="23" t="s">
        <v>609</v>
      </c>
      <c r="E1382" s="29">
        <v>45949.0</v>
      </c>
      <c r="F1382" s="3">
        <v>8.0</v>
      </c>
      <c r="G1382" s="3" t="s">
        <v>92</v>
      </c>
      <c r="H1382" s="9"/>
      <c r="I1382" s="6"/>
      <c r="J1382" s="6"/>
      <c r="K1382" s="6"/>
      <c r="L1382" s="6"/>
      <c r="M1382" s="26"/>
      <c r="O1382" s="19" t="str">
        <f t="shared" si="2"/>
        <v/>
      </c>
    </row>
    <row r="1383">
      <c r="A1383" s="22" t="s">
        <v>125</v>
      </c>
      <c r="B1383" s="4" t="s">
        <v>31</v>
      </c>
      <c r="C1383" s="22">
        <v>2099.0</v>
      </c>
      <c r="D1383" s="23"/>
      <c r="E1383" s="29">
        <v>45949.0</v>
      </c>
      <c r="F1383" s="3">
        <v>6.0</v>
      </c>
      <c r="G1383" s="3" t="s">
        <v>92</v>
      </c>
      <c r="H1383" s="9"/>
      <c r="I1383" s="6"/>
      <c r="J1383" s="6"/>
      <c r="K1383" s="6"/>
      <c r="L1383" s="6"/>
      <c r="M1383" s="26"/>
      <c r="O1383" s="19" t="str">
        <f t="shared" si="2"/>
        <v/>
      </c>
    </row>
    <row r="1384">
      <c r="A1384" s="22" t="s">
        <v>2266</v>
      </c>
      <c r="B1384" s="4" t="s">
        <v>18</v>
      </c>
      <c r="C1384" s="22" t="s">
        <v>964</v>
      </c>
      <c r="D1384" s="23" t="s">
        <v>2557</v>
      </c>
      <c r="E1384" s="29">
        <v>45949.0</v>
      </c>
      <c r="F1384" s="3">
        <v>8.0</v>
      </c>
      <c r="G1384" s="3" t="s">
        <v>92</v>
      </c>
      <c r="H1384" s="9"/>
      <c r="I1384" s="6"/>
      <c r="J1384" s="6"/>
      <c r="K1384" s="6"/>
      <c r="L1384" s="6"/>
      <c r="M1384" s="26"/>
      <c r="O1384" s="19" t="str">
        <f t="shared" si="2"/>
        <v/>
      </c>
    </row>
    <row r="1385">
      <c r="A1385" s="22" t="s">
        <v>1660</v>
      </c>
      <c r="B1385" s="4" t="s">
        <v>36</v>
      </c>
      <c r="C1385" s="22" t="s">
        <v>2558</v>
      </c>
      <c r="D1385" s="23" t="s">
        <v>2559</v>
      </c>
      <c r="E1385" s="29">
        <v>45949.0</v>
      </c>
      <c r="F1385" s="3">
        <v>8.0</v>
      </c>
      <c r="G1385" s="3" t="s">
        <v>92</v>
      </c>
      <c r="H1385" s="9"/>
      <c r="I1385" s="6"/>
      <c r="J1385" s="6"/>
      <c r="K1385" s="6"/>
      <c r="L1385" s="6"/>
      <c r="M1385" s="26"/>
      <c r="O1385" s="19" t="str">
        <f t="shared" si="2"/>
        <v/>
      </c>
    </row>
    <row r="1386">
      <c r="A1386" s="22" t="s">
        <v>1255</v>
      </c>
      <c r="B1386" s="4" t="s">
        <v>18</v>
      </c>
      <c r="C1386" s="22" t="s">
        <v>2560</v>
      </c>
      <c r="D1386" s="23" t="s">
        <v>2561</v>
      </c>
      <c r="E1386" s="29">
        <v>45949.0</v>
      </c>
      <c r="F1386" s="3">
        <v>6.0</v>
      </c>
      <c r="G1386" s="3" t="s">
        <v>92</v>
      </c>
      <c r="H1386" s="9"/>
      <c r="I1386" s="6"/>
      <c r="J1386" s="6"/>
      <c r="K1386" s="6"/>
      <c r="L1386" s="6"/>
      <c r="M1386" s="26"/>
      <c r="O1386" s="19" t="str">
        <f t="shared" si="2"/>
        <v/>
      </c>
    </row>
    <row r="1387">
      <c r="A1387" s="22" t="s">
        <v>510</v>
      </c>
      <c r="B1387" s="4" t="s">
        <v>18</v>
      </c>
      <c r="C1387" s="22" t="s">
        <v>213</v>
      </c>
      <c r="D1387" s="23" t="s">
        <v>2562</v>
      </c>
      <c r="E1387" s="29">
        <v>45949.0</v>
      </c>
      <c r="F1387" s="3">
        <v>6.0</v>
      </c>
      <c r="G1387" s="3" t="s">
        <v>92</v>
      </c>
      <c r="H1387" s="9"/>
      <c r="I1387" s="6"/>
      <c r="J1387" s="6"/>
      <c r="K1387" s="6"/>
      <c r="L1387" s="6"/>
      <c r="M1387" s="26"/>
      <c r="O1387" s="19" t="str">
        <f t="shared" si="2"/>
        <v/>
      </c>
    </row>
    <row r="1388">
      <c r="A1388" s="22" t="s">
        <v>232</v>
      </c>
      <c r="B1388" s="4" t="s">
        <v>18</v>
      </c>
      <c r="C1388" s="22" t="s">
        <v>699</v>
      </c>
      <c r="D1388" s="23" t="s">
        <v>2563</v>
      </c>
      <c r="E1388" s="29">
        <v>45949.0</v>
      </c>
      <c r="F1388" s="3">
        <v>8.0</v>
      </c>
      <c r="G1388" s="3" t="s">
        <v>92</v>
      </c>
      <c r="H1388" s="9"/>
      <c r="I1388" s="6"/>
      <c r="J1388" s="6"/>
      <c r="K1388" s="6"/>
      <c r="L1388" s="6"/>
      <c r="M1388" s="26"/>
      <c r="O1388" s="19" t="str">
        <f t="shared" si="2"/>
        <v/>
      </c>
    </row>
    <row r="1389">
      <c r="A1389" s="22" t="s">
        <v>274</v>
      </c>
      <c r="B1389" s="4" t="s">
        <v>18</v>
      </c>
      <c r="C1389" s="22" t="s">
        <v>489</v>
      </c>
      <c r="D1389" s="23" t="s">
        <v>666</v>
      </c>
      <c r="E1389" s="29">
        <v>45949.0</v>
      </c>
      <c r="F1389" s="3">
        <v>8.0</v>
      </c>
      <c r="G1389" s="3" t="s">
        <v>92</v>
      </c>
      <c r="H1389" s="9"/>
      <c r="I1389" s="6"/>
      <c r="J1389" s="6"/>
      <c r="K1389" s="6"/>
      <c r="L1389" s="6"/>
      <c r="M1389" s="26"/>
      <c r="O1389" s="19" t="str">
        <f t="shared" si="2"/>
        <v/>
      </c>
    </row>
    <row r="1390">
      <c r="A1390" s="22" t="s">
        <v>1062</v>
      </c>
      <c r="B1390" s="4" t="s">
        <v>18</v>
      </c>
      <c r="C1390" s="3" t="s">
        <v>1063</v>
      </c>
      <c r="D1390" s="22" t="s">
        <v>2564</v>
      </c>
      <c r="E1390" s="29" t="s">
        <v>2565</v>
      </c>
      <c r="F1390" s="3" t="s">
        <v>27</v>
      </c>
      <c r="G1390" s="3" t="s">
        <v>1453</v>
      </c>
      <c r="H1390" s="9" t="s">
        <v>2566</v>
      </c>
      <c r="I1390" s="6"/>
      <c r="J1390" s="6"/>
      <c r="K1390" s="6"/>
      <c r="L1390" s="6"/>
      <c r="M1390" s="26"/>
      <c r="O1390" s="19" t="str">
        <f t="shared" si="2"/>
        <v/>
      </c>
    </row>
    <row r="1391">
      <c r="A1391" s="22" t="s">
        <v>817</v>
      </c>
      <c r="B1391" s="4" t="s">
        <v>36</v>
      </c>
      <c r="C1391" s="3" t="s">
        <v>857</v>
      </c>
      <c r="D1391" s="22" t="s">
        <v>2567</v>
      </c>
      <c r="E1391" s="29" t="s">
        <v>2568</v>
      </c>
      <c r="F1391" s="3" t="s">
        <v>27</v>
      </c>
      <c r="G1391" s="3"/>
      <c r="H1391" s="9"/>
      <c r="I1391" s="6"/>
      <c r="J1391" s="6"/>
      <c r="K1391" s="6"/>
      <c r="L1391" s="6"/>
      <c r="M1391" s="26"/>
      <c r="O1391" s="19" t="str">
        <f t="shared" si="2"/>
        <v/>
      </c>
    </row>
    <row r="1392">
      <c r="A1392" s="22" t="s">
        <v>274</v>
      </c>
      <c r="B1392" s="4" t="s">
        <v>18</v>
      </c>
      <c r="C1392" s="3" t="s">
        <v>584</v>
      </c>
      <c r="D1392" s="22" t="s">
        <v>2569</v>
      </c>
      <c r="E1392" s="29" t="s">
        <v>2568</v>
      </c>
      <c r="F1392" s="3" t="s">
        <v>27</v>
      </c>
      <c r="G1392" s="3"/>
      <c r="H1392" s="9"/>
      <c r="I1392" s="6"/>
      <c r="J1392" s="6"/>
      <c r="K1392" s="6"/>
      <c r="L1392" s="6"/>
      <c r="M1392" s="26"/>
      <c r="O1392" s="19" t="str">
        <f t="shared" si="2"/>
        <v/>
      </c>
    </row>
    <row r="1393">
      <c r="A1393" s="22" t="s">
        <v>305</v>
      </c>
      <c r="B1393" s="4" t="s">
        <v>36</v>
      </c>
      <c r="C1393" s="3" t="s">
        <v>331</v>
      </c>
      <c r="D1393" s="22" t="s">
        <v>2570</v>
      </c>
      <c r="E1393" s="29" t="s">
        <v>2568</v>
      </c>
      <c r="F1393" s="3" t="s">
        <v>27</v>
      </c>
      <c r="G1393" s="3"/>
      <c r="H1393" s="9"/>
      <c r="I1393" s="6"/>
      <c r="J1393" s="6"/>
      <c r="K1393" s="6"/>
      <c r="L1393" s="6"/>
      <c r="M1393" s="26"/>
      <c r="O1393" s="19" t="str">
        <f t="shared" si="2"/>
        <v/>
      </c>
    </row>
    <row r="1394">
      <c r="A1394" s="22" t="s">
        <v>98</v>
      </c>
      <c r="B1394" s="4" t="s">
        <v>31</v>
      </c>
      <c r="C1394" s="3" t="s">
        <v>977</v>
      </c>
      <c r="D1394" s="22" t="s">
        <v>2571</v>
      </c>
      <c r="E1394" s="29">
        <v>45950.0</v>
      </c>
      <c r="F1394" s="3" t="s">
        <v>27</v>
      </c>
      <c r="G1394" s="3" t="s">
        <v>129</v>
      </c>
      <c r="H1394" s="9"/>
      <c r="I1394" s="6"/>
      <c r="J1394" s="6"/>
      <c r="K1394" s="6"/>
      <c r="L1394" s="6"/>
      <c r="M1394" s="26"/>
      <c r="O1394" s="19" t="str">
        <f t="shared" si="2"/>
        <v/>
      </c>
    </row>
    <row r="1395">
      <c r="A1395" s="22" t="s">
        <v>77</v>
      </c>
      <c r="B1395" s="4" t="s">
        <v>18</v>
      </c>
      <c r="C1395" s="3" t="s">
        <v>78</v>
      </c>
      <c r="D1395" s="22" t="s">
        <v>2572</v>
      </c>
      <c r="E1395" s="29" t="s">
        <v>2568</v>
      </c>
      <c r="F1395" s="3" t="s">
        <v>103</v>
      </c>
      <c r="G1395" s="3"/>
      <c r="H1395" s="9"/>
      <c r="I1395" s="6"/>
      <c r="J1395" s="6"/>
      <c r="K1395" s="6"/>
      <c r="L1395" s="6"/>
      <c r="M1395" s="26"/>
      <c r="O1395" s="19" t="str">
        <f t="shared" si="2"/>
        <v/>
      </c>
    </row>
    <row r="1396">
      <c r="A1396" s="22" t="s">
        <v>168</v>
      </c>
      <c r="B1396" s="4" t="s">
        <v>45</v>
      </c>
      <c r="C1396" s="22" t="s">
        <v>2573</v>
      </c>
      <c r="D1396" s="23" t="s">
        <v>2574</v>
      </c>
      <c r="E1396" s="29">
        <v>45950.0</v>
      </c>
      <c r="F1396" s="3">
        <v>8.0</v>
      </c>
      <c r="G1396" s="3" t="s">
        <v>92</v>
      </c>
      <c r="H1396" s="9"/>
      <c r="I1396" s="6"/>
      <c r="J1396" s="6"/>
      <c r="K1396" s="6"/>
      <c r="L1396" s="6"/>
      <c r="M1396" s="26"/>
      <c r="O1396" s="19" t="str">
        <f t="shared" si="2"/>
        <v/>
      </c>
    </row>
    <row r="1397">
      <c r="A1397" s="22" t="s">
        <v>1055</v>
      </c>
      <c r="B1397" s="4" t="s">
        <v>31</v>
      </c>
      <c r="C1397" s="22" t="s">
        <v>2575</v>
      </c>
      <c r="D1397" s="23" t="s">
        <v>2576</v>
      </c>
      <c r="E1397" s="29">
        <v>45950.0</v>
      </c>
      <c r="F1397" s="3">
        <v>8.0</v>
      </c>
      <c r="G1397" s="3" t="s">
        <v>92</v>
      </c>
      <c r="H1397" s="9"/>
      <c r="I1397" s="6"/>
      <c r="J1397" s="6"/>
      <c r="K1397" s="6"/>
      <c r="L1397" s="6"/>
      <c r="M1397" s="26"/>
      <c r="O1397" s="19" t="str">
        <f t="shared" si="2"/>
        <v/>
      </c>
    </row>
    <row r="1398">
      <c r="A1398" s="22" t="s">
        <v>168</v>
      </c>
      <c r="B1398" s="4" t="s">
        <v>45</v>
      </c>
      <c r="C1398" s="22" t="s">
        <v>169</v>
      </c>
      <c r="D1398" s="23"/>
      <c r="E1398" s="29">
        <v>45950.0</v>
      </c>
      <c r="F1398" s="3">
        <v>5.0</v>
      </c>
      <c r="G1398" s="3" t="s">
        <v>92</v>
      </c>
      <c r="H1398" s="9"/>
      <c r="I1398" s="6"/>
      <c r="J1398" s="6"/>
      <c r="K1398" s="6"/>
      <c r="L1398" s="6"/>
      <c r="M1398" s="26"/>
      <c r="O1398" s="19" t="str">
        <f t="shared" si="2"/>
        <v/>
      </c>
    </row>
    <row r="1399">
      <c r="A1399" s="22" t="s">
        <v>1055</v>
      </c>
      <c r="B1399" s="4" t="s">
        <v>31</v>
      </c>
      <c r="C1399" s="22" t="s">
        <v>2577</v>
      </c>
      <c r="D1399" s="23" t="s">
        <v>2578</v>
      </c>
      <c r="E1399" s="29">
        <v>45950.0</v>
      </c>
      <c r="F1399" s="3">
        <v>6.0</v>
      </c>
      <c r="G1399" s="3" t="s">
        <v>92</v>
      </c>
      <c r="H1399" s="9"/>
      <c r="I1399" s="6"/>
      <c r="J1399" s="6"/>
      <c r="K1399" s="6"/>
      <c r="L1399" s="6"/>
      <c r="M1399" s="26"/>
      <c r="O1399" s="19" t="str">
        <f t="shared" si="2"/>
        <v/>
      </c>
    </row>
    <row r="1400">
      <c r="A1400" s="22" t="s">
        <v>291</v>
      </c>
      <c r="B1400" s="4" t="s">
        <v>31</v>
      </c>
      <c r="C1400" s="22" t="s">
        <v>820</v>
      </c>
      <c r="D1400" s="23" t="s">
        <v>2579</v>
      </c>
      <c r="E1400" s="29">
        <v>45950.0</v>
      </c>
      <c r="F1400" s="3">
        <v>8.0</v>
      </c>
      <c r="G1400" s="3" t="s">
        <v>92</v>
      </c>
      <c r="H1400" s="9"/>
      <c r="I1400" s="6"/>
      <c r="J1400" s="6"/>
      <c r="K1400" s="6"/>
      <c r="L1400" s="6"/>
      <c r="M1400" s="26"/>
      <c r="O1400" s="19" t="str">
        <f t="shared" si="2"/>
        <v/>
      </c>
    </row>
    <row r="1401">
      <c r="A1401" s="22" t="s">
        <v>155</v>
      </c>
      <c r="B1401" s="4" t="s">
        <v>18</v>
      </c>
      <c r="C1401" s="22" t="s">
        <v>51</v>
      </c>
      <c r="D1401" s="23" t="s">
        <v>2580</v>
      </c>
      <c r="E1401" s="29">
        <v>45950.0</v>
      </c>
      <c r="F1401" s="3">
        <v>8.0</v>
      </c>
      <c r="G1401" s="3" t="s">
        <v>92</v>
      </c>
      <c r="H1401" s="9"/>
      <c r="I1401" s="6"/>
      <c r="J1401" s="6"/>
      <c r="K1401" s="6"/>
      <c r="L1401" s="6"/>
      <c r="M1401" s="26"/>
      <c r="O1401" s="19" t="str">
        <f t="shared" si="2"/>
        <v/>
      </c>
    </row>
    <row r="1402">
      <c r="A1402" s="22" t="s">
        <v>244</v>
      </c>
      <c r="B1402" s="4" t="s">
        <v>18</v>
      </c>
      <c r="C1402" s="22" t="s">
        <v>253</v>
      </c>
      <c r="D1402" s="23" t="s">
        <v>2581</v>
      </c>
      <c r="E1402" s="29">
        <v>45950.0</v>
      </c>
      <c r="F1402" s="3">
        <v>8.0</v>
      </c>
      <c r="G1402" s="3" t="s">
        <v>92</v>
      </c>
      <c r="H1402" s="9"/>
      <c r="I1402" s="6"/>
      <c r="J1402" s="6"/>
      <c r="K1402" s="6"/>
      <c r="L1402" s="6"/>
      <c r="M1402" s="26"/>
      <c r="O1402" s="19" t="str">
        <f t="shared" si="2"/>
        <v/>
      </c>
    </row>
    <row r="1403">
      <c r="A1403" s="22" t="s">
        <v>1266</v>
      </c>
      <c r="B1403" s="4" t="s">
        <v>31</v>
      </c>
      <c r="C1403" s="22" t="s">
        <v>2582</v>
      </c>
      <c r="D1403" s="23" t="s">
        <v>2583</v>
      </c>
      <c r="E1403" s="29">
        <v>45950.0</v>
      </c>
      <c r="F1403" s="3">
        <v>8.0</v>
      </c>
      <c r="G1403" s="3" t="s">
        <v>92</v>
      </c>
      <c r="H1403" s="9"/>
      <c r="I1403" s="6"/>
      <c r="J1403" s="6"/>
      <c r="K1403" s="6"/>
      <c r="L1403" s="6"/>
      <c r="M1403" s="26"/>
      <c r="O1403" s="19" t="str">
        <f t="shared" si="2"/>
        <v/>
      </c>
    </row>
    <row r="1404">
      <c r="A1404" s="22" t="s">
        <v>108</v>
      </c>
      <c r="B1404" s="4" t="s">
        <v>109</v>
      </c>
      <c r="C1404" s="22" t="s">
        <v>2584</v>
      </c>
      <c r="D1404" s="23" t="s">
        <v>2585</v>
      </c>
      <c r="E1404" s="29">
        <v>45950.0</v>
      </c>
      <c r="F1404" s="3" t="s">
        <v>22</v>
      </c>
      <c r="G1404" s="3" t="s">
        <v>92</v>
      </c>
      <c r="H1404" s="9"/>
      <c r="I1404" s="6"/>
      <c r="J1404" s="6"/>
      <c r="K1404" s="6"/>
      <c r="L1404" s="6"/>
      <c r="M1404" s="26"/>
      <c r="O1404" s="19" t="str">
        <f t="shared" si="2"/>
        <v/>
      </c>
    </row>
    <row r="1405">
      <c r="A1405" s="22" t="s">
        <v>717</v>
      </c>
      <c r="B1405" s="4" t="s">
        <v>36</v>
      </c>
      <c r="C1405" s="22" t="s">
        <v>929</v>
      </c>
      <c r="D1405" s="23" t="s">
        <v>2586</v>
      </c>
      <c r="E1405" s="29">
        <v>45950.0</v>
      </c>
      <c r="F1405" s="3">
        <v>8.0</v>
      </c>
      <c r="G1405" s="3" t="s">
        <v>92</v>
      </c>
      <c r="H1405" s="9"/>
      <c r="I1405" s="6"/>
      <c r="J1405" s="6"/>
      <c r="K1405" s="6"/>
      <c r="L1405" s="6"/>
      <c r="M1405" s="26"/>
      <c r="O1405" s="19" t="str">
        <f t="shared" si="2"/>
        <v/>
      </c>
    </row>
    <row r="1406">
      <c r="A1406" s="22" t="s">
        <v>107</v>
      </c>
      <c r="B1406" s="4" t="s">
        <v>18</v>
      </c>
      <c r="C1406" s="22">
        <v>4510.0</v>
      </c>
      <c r="D1406" s="23"/>
      <c r="E1406" s="29">
        <v>45950.0</v>
      </c>
      <c r="F1406" s="3">
        <v>5.0</v>
      </c>
      <c r="G1406" s="3" t="s">
        <v>92</v>
      </c>
      <c r="H1406" s="9"/>
      <c r="I1406" s="6"/>
      <c r="J1406" s="6"/>
      <c r="K1406" s="6"/>
      <c r="L1406" s="6"/>
      <c r="M1406" s="26"/>
      <c r="O1406" s="19" t="str">
        <f t="shared" si="2"/>
        <v/>
      </c>
    </row>
    <row r="1407">
      <c r="A1407" s="22" t="s">
        <v>69</v>
      </c>
      <c r="B1407" s="4" t="s">
        <v>31</v>
      </c>
      <c r="C1407" s="22">
        <v>2500.0</v>
      </c>
      <c r="D1407" s="23"/>
      <c r="E1407" s="29">
        <v>45950.0</v>
      </c>
      <c r="F1407" s="3">
        <v>5.0</v>
      </c>
      <c r="G1407" s="3" t="s">
        <v>92</v>
      </c>
      <c r="H1407" s="9"/>
      <c r="I1407" s="6"/>
      <c r="J1407" s="6"/>
      <c r="K1407" s="6"/>
      <c r="L1407" s="6"/>
      <c r="M1407" s="26"/>
      <c r="O1407" s="19" t="str">
        <f t="shared" si="2"/>
        <v/>
      </c>
    </row>
    <row r="1408">
      <c r="A1408" s="22" t="s">
        <v>717</v>
      </c>
      <c r="B1408" s="4" t="s">
        <v>36</v>
      </c>
      <c r="C1408" s="22">
        <v>3977.0</v>
      </c>
      <c r="D1408" s="23"/>
      <c r="E1408" s="29">
        <v>45950.0</v>
      </c>
      <c r="F1408" s="3">
        <v>5.0</v>
      </c>
      <c r="G1408" s="3" t="s">
        <v>92</v>
      </c>
      <c r="H1408" s="9"/>
      <c r="I1408" s="6"/>
      <c r="J1408" s="6"/>
      <c r="K1408" s="6"/>
      <c r="L1408" s="6"/>
      <c r="M1408" s="26"/>
      <c r="O1408" s="19" t="str">
        <f t="shared" si="2"/>
        <v/>
      </c>
    </row>
    <row r="1409">
      <c r="A1409" s="22" t="s">
        <v>1582</v>
      </c>
      <c r="B1409" s="4" t="s">
        <v>31</v>
      </c>
      <c r="C1409" s="22" t="s">
        <v>1820</v>
      </c>
      <c r="D1409" s="23"/>
      <c r="E1409" s="29">
        <v>45950.0</v>
      </c>
      <c r="F1409" s="3">
        <v>5.0</v>
      </c>
      <c r="G1409" s="3" t="s">
        <v>92</v>
      </c>
      <c r="H1409" s="9"/>
      <c r="I1409" s="6"/>
      <c r="J1409" s="6"/>
      <c r="K1409" s="6"/>
      <c r="L1409" s="6"/>
      <c r="M1409" s="26"/>
      <c r="O1409" s="19" t="str">
        <f t="shared" si="2"/>
        <v/>
      </c>
    </row>
    <row r="1410">
      <c r="A1410" s="22" t="s">
        <v>744</v>
      </c>
      <c r="B1410" s="4" t="s">
        <v>18</v>
      </c>
      <c r="C1410" s="3" t="s">
        <v>1459</v>
      </c>
      <c r="D1410" s="22" t="s">
        <v>2587</v>
      </c>
      <c r="E1410" s="29">
        <v>45950.0</v>
      </c>
      <c r="F1410" s="3" t="s">
        <v>27</v>
      </c>
      <c r="G1410" s="3" t="s">
        <v>129</v>
      </c>
      <c r="H1410" s="9"/>
      <c r="I1410" s="6"/>
      <c r="J1410" s="6"/>
      <c r="K1410" s="6"/>
      <c r="L1410" s="6"/>
      <c r="M1410" s="26"/>
      <c r="O1410" s="19" t="str">
        <f t="shared" si="2"/>
        <v/>
      </c>
    </row>
    <row r="1411">
      <c r="A1411" s="22" t="s">
        <v>155</v>
      </c>
      <c r="B1411" s="4" t="s">
        <v>18</v>
      </c>
      <c r="C1411" s="3" t="s">
        <v>2588</v>
      </c>
      <c r="D1411" s="22" t="s">
        <v>2259</v>
      </c>
      <c r="E1411" s="29">
        <v>45950.0</v>
      </c>
      <c r="F1411" s="3" t="s">
        <v>27</v>
      </c>
      <c r="G1411" s="3" t="s">
        <v>129</v>
      </c>
      <c r="H1411" s="9"/>
      <c r="I1411" s="6"/>
      <c r="J1411" s="6"/>
      <c r="K1411" s="6"/>
      <c r="L1411" s="6"/>
      <c r="M1411" s="26"/>
      <c r="O1411" s="19" t="str">
        <f t="shared" si="2"/>
        <v/>
      </c>
    </row>
    <row r="1412">
      <c r="A1412" s="22" t="s">
        <v>2406</v>
      </c>
      <c r="B1412" s="4" t="s">
        <v>31</v>
      </c>
      <c r="C1412" s="3" t="s">
        <v>2589</v>
      </c>
      <c r="D1412" s="22" t="s">
        <v>2590</v>
      </c>
      <c r="E1412" s="29">
        <v>45950.0</v>
      </c>
      <c r="F1412" s="3" t="s">
        <v>27</v>
      </c>
      <c r="G1412" s="3" t="s">
        <v>129</v>
      </c>
      <c r="H1412" s="9"/>
      <c r="I1412" s="6"/>
      <c r="J1412" s="6"/>
      <c r="K1412" s="6"/>
      <c r="L1412" s="6"/>
      <c r="M1412" s="26"/>
      <c r="O1412" s="19" t="str">
        <f t="shared" si="2"/>
        <v/>
      </c>
    </row>
    <row r="1413">
      <c r="A1413" s="22" t="s">
        <v>210</v>
      </c>
      <c r="B1413" s="4" t="s">
        <v>31</v>
      </c>
      <c r="C1413" s="3" t="s">
        <v>1128</v>
      </c>
      <c r="D1413" s="22" t="s">
        <v>2591</v>
      </c>
      <c r="E1413" s="29">
        <v>45950.0</v>
      </c>
      <c r="F1413" s="3" t="s">
        <v>27</v>
      </c>
      <c r="G1413" s="3" t="s">
        <v>129</v>
      </c>
      <c r="H1413" s="9"/>
      <c r="I1413" s="6"/>
      <c r="J1413" s="6"/>
      <c r="K1413" s="6"/>
      <c r="L1413" s="6"/>
      <c r="M1413" s="26"/>
      <c r="O1413" s="19" t="str">
        <f t="shared" si="2"/>
        <v/>
      </c>
    </row>
    <row r="1414">
      <c r="A1414" s="22" t="s">
        <v>210</v>
      </c>
      <c r="B1414" s="4" t="s">
        <v>31</v>
      </c>
      <c r="C1414" s="3" t="s">
        <v>2592</v>
      </c>
      <c r="D1414" s="22" t="s">
        <v>2593</v>
      </c>
      <c r="E1414" s="29">
        <v>45950.0</v>
      </c>
      <c r="F1414" s="3" t="s">
        <v>27</v>
      </c>
      <c r="G1414" s="3" t="s">
        <v>129</v>
      </c>
      <c r="H1414" s="9"/>
      <c r="I1414" s="6"/>
      <c r="J1414" s="6"/>
      <c r="K1414" s="6"/>
      <c r="L1414" s="6"/>
      <c r="M1414" s="26"/>
      <c r="O1414" s="19" t="str">
        <f t="shared" si="2"/>
        <v/>
      </c>
    </row>
    <row r="1415">
      <c r="A1415" s="22" t="s">
        <v>945</v>
      </c>
      <c r="B1415" s="4" t="s">
        <v>18</v>
      </c>
      <c r="C1415" s="3" t="s">
        <v>2594</v>
      </c>
      <c r="D1415" s="22" t="s">
        <v>2595</v>
      </c>
      <c r="E1415" s="29">
        <v>45950.0</v>
      </c>
      <c r="F1415" s="3" t="s">
        <v>27</v>
      </c>
      <c r="G1415" s="3" t="s">
        <v>129</v>
      </c>
      <c r="H1415" s="9"/>
      <c r="I1415" s="6"/>
      <c r="J1415" s="6"/>
      <c r="K1415" s="6"/>
      <c r="L1415" s="6"/>
      <c r="M1415" s="26"/>
      <c r="O1415" s="19" t="str">
        <f t="shared" si="2"/>
        <v/>
      </c>
    </row>
    <row r="1416">
      <c r="A1416" s="22" t="s">
        <v>1320</v>
      </c>
      <c r="B1416" s="4" t="s">
        <v>45</v>
      </c>
      <c r="C1416" s="3" t="s">
        <v>1403</v>
      </c>
      <c r="D1416" s="22" t="s">
        <v>2596</v>
      </c>
      <c r="E1416" s="29">
        <v>45950.0</v>
      </c>
      <c r="F1416" s="3" t="s">
        <v>27</v>
      </c>
      <c r="G1416" s="3" t="s">
        <v>129</v>
      </c>
      <c r="H1416" s="9"/>
      <c r="I1416" s="6"/>
      <c r="J1416" s="6"/>
      <c r="K1416" s="6"/>
      <c r="L1416" s="6"/>
      <c r="M1416" s="26"/>
      <c r="O1416" s="19" t="str">
        <f t="shared" si="2"/>
        <v/>
      </c>
    </row>
    <row r="1417">
      <c r="A1417" s="22" t="s">
        <v>61</v>
      </c>
      <c r="B1417" s="4" t="s">
        <v>18</v>
      </c>
      <c r="C1417" s="3" t="s">
        <v>2597</v>
      </c>
      <c r="D1417" s="22" t="s">
        <v>2598</v>
      </c>
      <c r="E1417" s="29">
        <v>45950.0</v>
      </c>
      <c r="F1417" s="3" t="s">
        <v>27</v>
      </c>
      <c r="G1417" s="3" t="s">
        <v>129</v>
      </c>
      <c r="H1417" s="9"/>
      <c r="I1417" s="6"/>
      <c r="J1417" s="6"/>
      <c r="K1417" s="6"/>
      <c r="L1417" s="6"/>
      <c r="M1417" s="26"/>
      <c r="O1417" s="19" t="str">
        <f t="shared" si="2"/>
        <v/>
      </c>
    </row>
    <row r="1418">
      <c r="A1418" s="22" t="s">
        <v>120</v>
      </c>
      <c r="B1418" s="4" t="s">
        <v>31</v>
      </c>
      <c r="C1418" s="3" t="s">
        <v>2599</v>
      </c>
      <c r="D1418" s="22" t="s">
        <v>2600</v>
      </c>
      <c r="E1418" s="29">
        <v>45950.0</v>
      </c>
      <c r="F1418" s="3" t="s">
        <v>27</v>
      </c>
      <c r="G1418" s="3" t="s">
        <v>129</v>
      </c>
      <c r="H1418" s="9"/>
      <c r="I1418" s="6"/>
      <c r="J1418" s="6"/>
      <c r="K1418" s="6"/>
      <c r="L1418" s="6"/>
      <c r="M1418" s="26"/>
      <c r="O1418" s="19" t="str">
        <f t="shared" si="2"/>
        <v/>
      </c>
    </row>
    <row r="1419">
      <c r="A1419" s="22" t="s">
        <v>418</v>
      </c>
      <c r="B1419" s="4" t="s">
        <v>18</v>
      </c>
      <c r="C1419" s="3" t="s">
        <v>2601</v>
      </c>
      <c r="D1419" s="22" t="s">
        <v>2602</v>
      </c>
      <c r="E1419" s="29">
        <v>45950.0</v>
      </c>
      <c r="F1419" s="3" t="s">
        <v>27</v>
      </c>
      <c r="G1419" s="3" t="s">
        <v>129</v>
      </c>
      <c r="H1419" s="9"/>
      <c r="I1419" s="6"/>
      <c r="J1419" s="6"/>
      <c r="K1419" s="6"/>
      <c r="L1419" s="6"/>
      <c r="M1419" s="26"/>
      <c r="O1419" s="19" t="str">
        <f t="shared" si="2"/>
        <v/>
      </c>
    </row>
    <row r="1420">
      <c r="A1420" s="22" t="s">
        <v>1266</v>
      </c>
      <c r="B1420" s="4" t="s">
        <v>31</v>
      </c>
      <c r="C1420" s="3" t="s">
        <v>2603</v>
      </c>
      <c r="D1420" s="22" t="s">
        <v>2604</v>
      </c>
      <c r="E1420" s="29">
        <v>45950.0</v>
      </c>
      <c r="F1420" s="3" t="s">
        <v>27</v>
      </c>
      <c r="G1420" s="3" t="s">
        <v>129</v>
      </c>
      <c r="H1420" s="9"/>
      <c r="I1420" s="6"/>
      <c r="J1420" s="6"/>
      <c r="K1420" s="6"/>
      <c r="L1420" s="6"/>
      <c r="M1420" s="26"/>
      <c r="O1420" s="19" t="str">
        <f t="shared" si="2"/>
        <v/>
      </c>
    </row>
    <row r="1421">
      <c r="A1421" s="22" t="s">
        <v>202</v>
      </c>
      <c r="B1421" s="4" t="s">
        <v>36</v>
      </c>
      <c r="C1421" s="3" t="s">
        <v>2605</v>
      </c>
      <c r="D1421" s="22" t="s">
        <v>2606</v>
      </c>
      <c r="E1421" s="29">
        <v>45950.0</v>
      </c>
      <c r="F1421" s="3" t="s">
        <v>27</v>
      </c>
      <c r="G1421" s="3" t="s">
        <v>129</v>
      </c>
      <c r="H1421" s="9"/>
      <c r="I1421" s="6"/>
      <c r="J1421" s="6"/>
      <c r="K1421" s="6"/>
      <c r="L1421" s="6"/>
      <c r="M1421" s="26"/>
      <c r="O1421" s="19" t="str">
        <f t="shared" si="2"/>
        <v/>
      </c>
    </row>
    <row r="1422">
      <c r="A1422" s="22" t="s">
        <v>108</v>
      </c>
      <c r="B1422" s="4" t="s">
        <v>109</v>
      </c>
      <c r="C1422" s="3" t="s">
        <v>2607</v>
      </c>
      <c r="D1422" s="22" t="s">
        <v>2608</v>
      </c>
      <c r="E1422" s="29">
        <v>45950.0</v>
      </c>
      <c r="F1422" s="3" t="s">
        <v>103</v>
      </c>
      <c r="G1422" s="3" t="s">
        <v>129</v>
      </c>
      <c r="H1422" s="9"/>
      <c r="I1422" s="6"/>
      <c r="J1422" s="6"/>
      <c r="K1422" s="6"/>
      <c r="L1422" s="6"/>
      <c r="M1422" s="26"/>
      <c r="O1422" s="19" t="str">
        <f t="shared" si="2"/>
        <v/>
      </c>
    </row>
    <row r="1423">
      <c r="A1423" s="22" t="s">
        <v>108</v>
      </c>
      <c r="B1423" s="4" t="s">
        <v>109</v>
      </c>
      <c r="C1423" s="3" t="s">
        <v>2607</v>
      </c>
      <c r="D1423" s="22" t="s">
        <v>2608</v>
      </c>
      <c r="E1423" s="29">
        <v>45950.0</v>
      </c>
      <c r="F1423" s="3" t="s">
        <v>103</v>
      </c>
      <c r="G1423" s="3" t="s">
        <v>129</v>
      </c>
      <c r="H1423" s="9"/>
      <c r="I1423" s="6"/>
      <c r="J1423" s="6"/>
      <c r="K1423" s="6"/>
      <c r="L1423" s="6"/>
      <c r="M1423" s="26"/>
      <c r="O1423" s="19" t="str">
        <f t="shared" si="2"/>
        <v/>
      </c>
    </row>
    <row r="1424">
      <c r="A1424" s="22" t="s">
        <v>77</v>
      </c>
      <c r="B1424" s="4" t="s">
        <v>18</v>
      </c>
      <c r="C1424" s="3" t="s">
        <v>197</v>
      </c>
      <c r="D1424" s="22" t="s">
        <v>2609</v>
      </c>
      <c r="E1424" s="29" t="s">
        <v>2568</v>
      </c>
      <c r="F1424" s="3" t="s">
        <v>27</v>
      </c>
      <c r="G1424" s="3" t="s">
        <v>1453</v>
      </c>
      <c r="H1424" s="9" t="s">
        <v>2610</v>
      </c>
      <c r="I1424" s="6"/>
      <c r="J1424" s="6"/>
      <c r="K1424" s="6"/>
      <c r="L1424" s="6"/>
      <c r="M1424" s="26"/>
      <c r="O1424" s="19" t="str">
        <f t="shared" si="2"/>
        <v/>
      </c>
    </row>
    <row r="1425">
      <c r="A1425" s="22" t="s">
        <v>69</v>
      </c>
      <c r="B1425" s="4" t="s">
        <v>31</v>
      </c>
      <c r="C1425" s="22" t="s">
        <v>984</v>
      </c>
      <c r="D1425" s="23" t="s">
        <v>2611</v>
      </c>
      <c r="E1425" s="29">
        <v>45951.0</v>
      </c>
      <c r="F1425" s="3">
        <v>8.0</v>
      </c>
      <c r="G1425" s="3" t="s">
        <v>92</v>
      </c>
      <c r="H1425" s="9"/>
      <c r="I1425" s="6"/>
      <c r="J1425" s="6"/>
      <c r="K1425" s="6"/>
      <c r="L1425" s="6"/>
      <c r="M1425" s="26"/>
      <c r="O1425" s="19" t="str">
        <f t="shared" si="2"/>
        <v/>
      </c>
    </row>
    <row r="1426">
      <c r="A1426" s="22" t="s">
        <v>61</v>
      </c>
      <c r="B1426" s="4" t="s">
        <v>18</v>
      </c>
      <c r="C1426" s="22" t="s">
        <v>2612</v>
      </c>
      <c r="D1426" s="23" t="s">
        <v>2613</v>
      </c>
      <c r="E1426" s="29">
        <v>45951.0</v>
      </c>
      <c r="F1426" s="3">
        <v>8.0</v>
      </c>
      <c r="G1426" s="3" t="s">
        <v>92</v>
      </c>
      <c r="H1426" s="9"/>
      <c r="I1426" s="6"/>
      <c r="J1426" s="6"/>
      <c r="K1426" s="6"/>
      <c r="L1426" s="6"/>
      <c r="M1426" s="26"/>
      <c r="O1426" s="19" t="str">
        <f t="shared" si="2"/>
        <v/>
      </c>
    </row>
    <row r="1427">
      <c r="A1427" s="22" t="s">
        <v>44</v>
      </c>
      <c r="B1427" s="4" t="s">
        <v>45</v>
      </c>
      <c r="C1427" s="22" t="s">
        <v>2614</v>
      </c>
      <c r="D1427" s="23" t="s">
        <v>2615</v>
      </c>
      <c r="E1427" s="29">
        <v>45951.0</v>
      </c>
      <c r="F1427" s="3">
        <v>8.0</v>
      </c>
      <c r="G1427" s="3" t="s">
        <v>92</v>
      </c>
      <c r="H1427" s="9"/>
      <c r="I1427" s="6"/>
      <c r="J1427" s="6"/>
      <c r="K1427" s="6"/>
      <c r="L1427" s="6"/>
      <c r="M1427" s="26"/>
      <c r="O1427" s="19" t="str">
        <f t="shared" si="2"/>
        <v/>
      </c>
    </row>
    <row r="1428">
      <c r="A1428" s="22" t="s">
        <v>744</v>
      </c>
      <c r="B1428" s="4" t="s">
        <v>18</v>
      </c>
      <c r="C1428" s="22" t="s">
        <v>2616</v>
      </c>
      <c r="D1428" s="23" t="s">
        <v>2617</v>
      </c>
      <c r="E1428" s="29">
        <v>45951.0</v>
      </c>
      <c r="F1428" s="3">
        <v>8.0</v>
      </c>
      <c r="G1428" s="3" t="s">
        <v>92</v>
      </c>
      <c r="H1428" s="9"/>
      <c r="I1428" s="6"/>
      <c r="J1428" s="6"/>
      <c r="K1428" s="6"/>
      <c r="L1428" s="6"/>
      <c r="M1428" s="26"/>
      <c r="O1428" s="19" t="str">
        <f t="shared" si="2"/>
        <v/>
      </c>
    </row>
    <row r="1429">
      <c r="A1429" s="22" t="s">
        <v>1266</v>
      </c>
      <c r="B1429" s="4" t="s">
        <v>31</v>
      </c>
      <c r="C1429" s="22" t="s">
        <v>2464</v>
      </c>
      <c r="D1429" s="23" t="s">
        <v>2618</v>
      </c>
      <c r="E1429" s="29">
        <v>45951.0</v>
      </c>
      <c r="F1429" s="3">
        <v>8.0</v>
      </c>
      <c r="G1429" s="3" t="s">
        <v>92</v>
      </c>
      <c r="H1429" s="9"/>
      <c r="I1429" s="6"/>
      <c r="J1429" s="6"/>
      <c r="K1429" s="6"/>
      <c r="L1429" s="6"/>
      <c r="M1429" s="26"/>
      <c r="O1429" s="19" t="str">
        <f t="shared" si="2"/>
        <v/>
      </c>
    </row>
    <row r="1430">
      <c r="A1430" s="22" t="s">
        <v>77</v>
      </c>
      <c r="B1430" s="4" t="s">
        <v>18</v>
      </c>
      <c r="C1430" s="22" t="s">
        <v>924</v>
      </c>
      <c r="D1430" s="23" t="s">
        <v>2619</v>
      </c>
      <c r="E1430" s="29">
        <v>45951.0</v>
      </c>
      <c r="F1430" s="3">
        <v>8.0</v>
      </c>
      <c r="G1430" s="3" t="s">
        <v>92</v>
      </c>
      <c r="H1430" s="9"/>
      <c r="I1430" s="6"/>
      <c r="J1430" s="6"/>
      <c r="K1430" s="6"/>
      <c r="L1430" s="6"/>
      <c r="M1430" s="26"/>
      <c r="O1430" s="19" t="str">
        <f t="shared" si="2"/>
        <v/>
      </c>
    </row>
    <row r="1431">
      <c r="A1431" s="22" t="s">
        <v>2620</v>
      </c>
      <c r="B1431" s="4" t="s">
        <v>18</v>
      </c>
      <c r="C1431" s="22" t="s">
        <v>2621</v>
      </c>
      <c r="D1431" s="23" t="s">
        <v>2622</v>
      </c>
      <c r="E1431" s="29">
        <v>45951.0</v>
      </c>
      <c r="F1431" s="3">
        <v>8.0</v>
      </c>
      <c r="G1431" s="3" t="s">
        <v>92</v>
      </c>
      <c r="H1431" s="9"/>
      <c r="I1431" s="6"/>
      <c r="J1431" s="6"/>
      <c r="K1431" s="6"/>
      <c r="L1431" s="6"/>
      <c r="M1431" s="26"/>
      <c r="O1431" s="19" t="str">
        <f t="shared" si="2"/>
        <v/>
      </c>
    </row>
    <row r="1432">
      <c r="A1432" s="22" t="s">
        <v>744</v>
      </c>
      <c r="B1432" s="4" t="s">
        <v>18</v>
      </c>
      <c r="C1432" s="22" t="s">
        <v>2623</v>
      </c>
      <c r="D1432" s="23" t="s">
        <v>2624</v>
      </c>
      <c r="E1432" s="29">
        <v>45951.0</v>
      </c>
      <c r="F1432" s="3">
        <v>8.0</v>
      </c>
      <c r="G1432" s="3" t="s">
        <v>92</v>
      </c>
      <c r="H1432" s="9"/>
      <c r="I1432" s="6"/>
      <c r="J1432" s="6"/>
      <c r="K1432" s="6"/>
      <c r="L1432" s="6"/>
      <c r="M1432" s="26"/>
      <c r="O1432" s="19" t="str">
        <f t="shared" si="2"/>
        <v/>
      </c>
    </row>
    <row r="1433">
      <c r="A1433" s="22" t="s">
        <v>184</v>
      </c>
      <c r="B1433" s="4" t="s">
        <v>18</v>
      </c>
      <c r="C1433" s="22" t="s">
        <v>356</v>
      </c>
      <c r="D1433" s="23" t="s">
        <v>2625</v>
      </c>
      <c r="E1433" s="29">
        <v>45951.0</v>
      </c>
      <c r="F1433" s="3">
        <v>8.0</v>
      </c>
      <c r="G1433" s="3" t="s">
        <v>92</v>
      </c>
      <c r="H1433" s="9"/>
      <c r="I1433" s="6"/>
      <c r="J1433" s="6"/>
      <c r="K1433" s="6"/>
      <c r="L1433" s="6"/>
      <c r="M1433" s="26"/>
      <c r="O1433" s="19" t="str">
        <f t="shared" si="2"/>
        <v/>
      </c>
    </row>
    <row r="1434">
      <c r="A1434" s="22" t="s">
        <v>744</v>
      </c>
      <c r="B1434" s="4" t="s">
        <v>18</v>
      </c>
      <c r="C1434" s="22" t="s">
        <v>2626</v>
      </c>
      <c r="D1434" s="23" t="s">
        <v>2627</v>
      </c>
      <c r="E1434" s="29">
        <v>45951.0</v>
      </c>
      <c r="F1434" s="3">
        <v>8.0</v>
      </c>
      <c r="G1434" s="3" t="s">
        <v>92</v>
      </c>
      <c r="H1434" s="9"/>
      <c r="I1434" s="6"/>
      <c r="J1434" s="6"/>
      <c r="K1434" s="6"/>
      <c r="L1434" s="6"/>
      <c r="M1434" s="26"/>
      <c r="O1434" s="19" t="str">
        <f t="shared" si="2"/>
        <v/>
      </c>
    </row>
    <row r="1435">
      <c r="A1435" s="22" t="s">
        <v>236</v>
      </c>
      <c r="B1435" s="4" t="s">
        <v>18</v>
      </c>
      <c r="C1435" s="3" t="s">
        <v>2628</v>
      </c>
      <c r="D1435" s="22" t="s">
        <v>2629</v>
      </c>
      <c r="E1435" s="29">
        <v>45951.0</v>
      </c>
      <c r="F1435" s="3" t="s">
        <v>27</v>
      </c>
      <c r="G1435" s="3" t="s">
        <v>129</v>
      </c>
      <c r="H1435" s="9"/>
      <c r="I1435" s="6"/>
      <c r="J1435" s="6"/>
      <c r="K1435" s="6"/>
      <c r="L1435" s="6"/>
      <c r="M1435" s="26"/>
      <c r="O1435" s="19" t="str">
        <f t="shared" si="2"/>
        <v/>
      </c>
    </row>
    <row r="1436">
      <c r="A1436" s="22" t="s">
        <v>291</v>
      </c>
      <c r="B1436" s="4" t="s">
        <v>31</v>
      </c>
      <c r="C1436" s="3" t="s">
        <v>1489</v>
      </c>
      <c r="D1436" s="22" t="s">
        <v>2630</v>
      </c>
      <c r="E1436" s="29">
        <v>45951.0</v>
      </c>
      <c r="F1436" s="3" t="s">
        <v>27</v>
      </c>
      <c r="G1436" s="3" t="s">
        <v>129</v>
      </c>
      <c r="H1436" s="9"/>
      <c r="I1436" s="6"/>
      <c r="J1436" s="6"/>
      <c r="K1436" s="6"/>
      <c r="L1436" s="6"/>
      <c r="M1436" s="26"/>
      <c r="O1436" s="19" t="str">
        <f t="shared" si="2"/>
        <v/>
      </c>
    </row>
    <row r="1437">
      <c r="A1437" s="22" t="s">
        <v>61</v>
      </c>
      <c r="B1437" s="4" t="s">
        <v>18</v>
      </c>
      <c r="C1437" s="3" t="s">
        <v>2612</v>
      </c>
      <c r="D1437" s="22" t="s">
        <v>2631</v>
      </c>
      <c r="E1437" s="29">
        <v>45951.0</v>
      </c>
      <c r="F1437" s="3" t="s">
        <v>27</v>
      </c>
      <c r="G1437" s="3" t="s">
        <v>129</v>
      </c>
      <c r="H1437" s="9"/>
      <c r="I1437" s="6"/>
      <c r="J1437" s="6"/>
      <c r="K1437" s="6"/>
      <c r="L1437" s="6"/>
      <c r="M1437" s="26"/>
      <c r="O1437" s="19" t="str">
        <f t="shared" si="2"/>
        <v/>
      </c>
    </row>
    <row r="1438">
      <c r="A1438" s="22" t="s">
        <v>435</v>
      </c>
      <c r="B1438" s="4" t="s">
        <v>18</v>
      </c>
      <c r="C1438" s="3" t="s">
        <v>2632</v>
      </c>
      <c r="D1438" s="22" t="s">
        <v>2633</v>
      </c>
      <c r="E1438" s="29">
        <v>45951.0</v>
      </c>
      <c r="F1438" s="3" t="s">
        <v>27</v>
      </c>
      <c r="G1438" s="3" t="s">
        <v>129</v>
      </c>
      <c r="H1438" s="9"/>
      <c r="I1438" s="6"/>
      <c r="J1438" s="6"/>
      <c r="K1438" s="6"/>
      <c r="L1438" s="6"/>
      <c r="M1438" s="26"/>
      <c r="O1438" s="19" t="str">
        <f t="shared" si="2"/>
        <v/>
      </c>
    </row>
    <row r="1439">
      <c r="A1439" s="22" t="s">
        <v>44</v>
      </c>
      <c r="B1439" s="4" t="s">
        <v>45</v>
      </c>
      <c r="C1439" s="3" t="s">
        <v>2634</v>
      </c>
      <c r="D1439" s="22" t="s">
        <v>2635</v>
      </c>
      <c r="E1439" s="29">
        <v>45951.0</v>
      </c>
      <c r="F1439" s="3" t="s">
        <v>27</v>
      </c>
      <c r="G1439" s="3" t="s">
        <v>129</v>
      </c>
      <c r="H1439" s="9"/>
      <c r="I1439" s="6"/>
      <c r="J1439" s="6"/>
      <c r="K1439" s="6"/>
      <c r="L1439" s="6"/>
      <c r="M1439" s="26"/>
      <c r="O1439" s="19" t="str">
        <f t="shared" si="2"/>
        <v/>
      </c>
    </row>
    <row r="1440">
      <c r="A1440" s="22" t="s">
        <v>61</v>
      </c>
      <c r="B1440" s="4" t="s">
        <v>18</v>
      </c>
      <c r="C1440" s="3" t="s">
        <v>62</v>
      </c>
      <c r="D1440" s="22" t="s">
        <v>2636</v>
      </c>
      <c r="E1440" s="29" t="s">
        <v>2637</v>
      </c>
      <c r="F1440" s="3" t="s">
        <v>27</v>
      </c>
      <c r="G1440" s="3"/>
      <c r="H1440" s="9"/>
      <c r="I1440" s="6"/>
      <c r="J1440" s="6"/>
      <c r="K1440" s="6"/>
      <c r="L1440" s="6"/>
      <c r="M1440" s="26"/>
      <c r="O1440" s="19" t="str">
        <f t="shared" si="2"/>
        <v/>
      </c>
    </row>
    <row r="1441">
      <c r="A1441" s="22" t="s">
        <v>61</v>
      </c>
      <c r="B1441" s="4" t="s">
        <v>18</v>
      </c>
      <c r="C1441" s="3" t="s">
        <v>405</v>
      </c>
      <c r="D1441" s="22" t="s">
        <v>2638</v>
      </c>
      <c r="E1441" s="29" t="s">
        <v>2637</v>
      </c>
      <c r="F1441" s="3" t="s">
        <v>27</v>
      </c>
      <c r="G1441" s="3"/>
      <c r="H1441" s="9"/>
      <c r="I1441" s="6"/>
      <c r="J1441" s="6"/>
      <c r="K1441" s="6"/>
      <c r="L1441" s="6"/>
      <c r="M1441" s="26"/>
      <c r="O1441" s="19" t="str">
        <f t="shared" si="2"/>
        <v/>
      </c>
    </row>
    <row r="1442">
      <c r="A1442" s="22" t="s">
        <v>1055</v>
      </c>
      <c r="B1442" s="4" t="s">
        <v>31</v>
      </c>
      <c r="C1442" s="3" t="s">
        <v>1721</v>
      </c>
      <c r="D1442" s="22" t="s">
        <v>2639</v>
      </c>
      <c r="E1442" s="29" t="s">
        <v>2640</v>
      </c>
      <c r="F1442" s="3" t="s">
        <v>27</v>
      </c>
      <c r="G1442" s="3"/>
      <c r="H1442" s="9"/>
      <c r="I1442" s="6"/>
      <c r="J1442" s="6"/>
      <c r="K1442" s="6"/>
      <c r="L1442" s="6"/>
      <c r="M1442" s="26"/>
      <c r="O1442" s="19" t="str">
        <f t="shared" si="2"/>
        <v/>
      </c>
    </row>
    <row r="1443">
      <c r="A1443" s="22" t="s">
        <v>2641</v>
      </c>
      <c r="B1443" s="4" t="s">
        <v>18</v>
      </c>
      <c r="C1443" s="3" t="s">
        <v>749</v>
      </c>
      <c r="D1443" s="22" t="s">
        <v>2642</v>
      </c>
      <c r="E1443" s="29" t="s">
        <v>2640</v>
      </c>
      <c r="F1443" s="3" t="s">
        <v>27</v>
      </c>
      <c r="G1443" s="3"/>
      <c r="H1443" s="9"/>
      <c r="I1443" s="6"/>
      <c r="J1443" s="6"/>
      <c r="K1443" s="6"/>
      <c r="L1443" s="6"/>
      <c r="M1443" s="26"/>
      <c r="O1443" s="19" t="str">
        <f t="shared" si="2"/>
        <v/>
      </c>
    </row>
    <row r="1444">
      <c r="A1444" s="22" t="s">
        <v>265</v>
      </c>
      <c r="B1444" s="4" t="s">
        <v>18</v>
      </c>
      <c r="C1444" s="22" t="s">
        <v>720</v>
      </c>
      <c r="D1444" s="23" t="s">
        <v>2643</v>
      </c>
      <c r="E1444" s="29">
        <v>45952.0</v>
      </c>
      <c r="F1444" s="3">
        <v>8.0</v>
      </c>
      <c r="G1444" s="3" t="s">
        <v>92</v>
      </c>
      <c r="H1444" s="9"/>
      <c r="I1444" s="6"/>
      <c r="J1444" s="6"/>
      <c r="K1444" s="6"/>
      <c r="L1444" s="6"/>
      <c r="M1444" s="26"/>
      <c r="O1444" s="19" t="str">
        <f t="shared" si="2"/>
        <v/>
      </c>
    </row>
    <row r="1445">
      <c r="A1445" s="22" t="s">
        <v>120</v>
      </c>
      <c r="B1445" s="4" t="s">
        <v>31</v>
      </c>
      <c r="C1445" s="22" t="s">
        <v>2644</v>
      </c>
      <c r="D1445" s="23" t="s">
        <v>2645</v>
      </c>
      <c r="E1445" s="29">
        <v>45952.0</v>
      </c>
      <c r="F1445" s="3">
        <v>8.0</v>
      </c>
      <c r="G1445" s="3" t="s">
        <v>92</v>
      </c>
      <c r="H1445" s="9"/>
      <c r="I1445" s="6"/>
      <c r="J1445" s="6"/>
      <c r="K1445" s="6"/>
      <c r="L1445" s="6"/>
      <c r="M1445" s="26"/>
      <c r="O1445" s="19" t="str">
        <f t="shared" si="2"/>
        <v/>
      </c>
    </row>
    <row r="1446">
      <c r="A1446" s="22" t="s">
        <v>717</v>
      </c>
      <c r="B1446" s="4" t="s">
        <v>36</v>
      </c>
      <c r="C1446" s="22" t="s">
        <v>1419</v>
      </c>
      <c r="D1446" s="23" t="s">
        <v>2646</v>
      </c>
      <c r="E1446" s="29">
        <v>45952.0</v>
      </c>
      <c r="F1446" s="3">
        <v>8.0</v>
      </c>
      <c r="G1446" s="3" t="s">
        <v>92</v>
      </c>
      <c r="H1446" s="9"/>
      <c r="I1446" s="6"/>
      <c r="J1446" s="6"/>
      <c r="K1446" s="6"/>
      <c r="L1446" s="6"/>
      <c r="M1446" s="26"/>
      <c r="O1446" s="19" t="str">
        <f t="shared" si="2"/>
        <v/>
      </c>
    </row>
    <row r="1447">
      <c r="A1447" s="22" t="s">
        <v>168</v>
      </c>
      <c r="B1447" s="4" t="s">
        <v>45</v>
      </c>
      <c r="C1447" s="22" t="s">
        <v>2647</v>
      </c>
      <c r="D1447" s="23" t="s">
        <v>2648</v>
      </c>
      <c r="E1447" s="29">
        <v>45952.0</v>
      </c>
      <c r="F1447" s="3">
        <v>8.0</v>
      </c>
      <c r="G1447" s="3" t="s">
        <v>92</v>
      </c>
      <c r="H1447" s="9"/>
      <c r="I1447" s="6"/>
      <c r="J1447" s="6"/>
      <c r="K1447" s="6"/>
      <c r="L1447" s="6"/>
      <c r="M1447" s="26"/>
      <c r="O1447" s="19" t="str">
        <f t="shared" si="2"/>
        <v/>
      </c>
    </row>
    <row r="1448">
      <c r="A1448" s="22" t="s">
        <v>184</v>
      </c>
      <c r="B1448" s="4" t="s">
        <v>18</v>
      </c>
      <c r="C1448" s="22" t="s">
        <v>2649</v>
      </c>
      <c r="D1448" s="23" t="s">
        <v>2650</v>
      </c>
      <c r="E1448" s="29">
        <v>45952.0</v>
      </c>
      <c r="F1448" s="3">
        <v>8.0</v>
      </c>
      <c r="G1448" s="3" t="s">
        <v>92</v>
      </c>
      <c r="H1448" s="9"/>
      <c r="I1448" s="6"/>
      <c r="J1448" s="6"/>
      <c r="K1448" s="6"/>
      <c r="L1448" s="6"/>
      <c r="M1448" s="26"/>
      <c r="O1448" s="19" t="str">
        <f t="shared" si="2"/>
        <v/>
      </c>
    </row>
    <row r="1449">
      <c r="A1449" s="22" t="s">
        <v>57</v>
      </c>
      <c r="B1449" s="4" t="s">
        <v>18</v>
      </c>
      <c r="C1449" s="22" t="s">
        <v>2651</v>
      </c>
      <c r="D1449" s="23" t="s">
        <v>2652</v>
      </c>
      <c r="E1449" s="29">
        <v>45952.0</v>
      </c>
      <c r="F1449" s="3">
        <v>8.0</v>
      </c>
      <c r="G1449" s="3" t="s">
        <v>92</v>
      </c>
      <c r="H1449" s="9"/>
      <c r="I1449" s="6"/>
      <c r="J1449" s="6"/>
      <c r="K1449" s="6"/>
      <c r="L1449" s="6"/>
      <c r="M1449" s="26"/>
      <c r="O1449" s="19" t="str">
        <f t="shared" si="2"/>
        <v/>
      </c>
    </row>
    <row r="1450">
      <c r="A1450" s="22" t="s">
        <v>168</v>
      </c>
      <c r="B1450" s="4" t="s">
        <v>45</v>
      </c>
      <c r="C1450" s="22" t="s">
        <v>2653</v>
      </c>
      <c r="D1450" s="23" t="s">
        <v>2654</v>
      </c>
      <c r="E1450" s="29">
        <v>45952.0</v>
      </c>
      <c r="F1450" s="3">
        <v>8.0</v>
      </c>
      <c r="G1450" s="3" t="s">
        <v>92</v>
      </c>
      <c r="H1450" s="9"/>
      <c r="I1450" s="6"/>
      <c r="J1450" s="6"/>
      <c r="K1450" s="6"/>
      <c r="L1450" s="6"/>
      <c r="M1450" s="26"/>
      <c r="O1450" s="19" t="str">
        <f t="shared" si="2"/>
        <v/>
      </c>
    </row>
    <row r="1451">
      <c r="A1451" s="22" t="s">
        <v>23</v>
      </c>
      <c r="B1451" s="4" t="s">
        <v>18</v>
      </c>
      <c r="C1451" s="22" t="s">
        <v>253</v>
      </c>
      <c r="D1451" s="23" t="s">
        <v>2655</v>
      </c>
      <c r="E1451" s="29">
        <v>45952.0</v>
      </c>
      <c r="F1451" s="3">
        <v>8.0</v>
      </c>
      <c r="G1451" s="3" t="s">
        <v>92</v>
      </c>
      <c r="H1451" s="9" t="s">
        <v>2656</v>
      </c>
      <c r="I1451" s="9">
        <v>6.1421002E10</v>
      </c>
      <c r="J1451" s="10" t="s">
        <v>2657</v>
      </c>
      <c r="K1451" s="9">
        <v>0.0</v>
      </c>
      <c r="L1451" s="6"/>
      <c r="M1451" s="26"/>
      <c r="O1451" s="19" t="str">
        <f t="shared" si="2"/>
        <v/>
      </c>
    </row>
    <row r="1452">
      <c r="A1452" s="22" t="s">
        <v>1359</v>
      </c>
      <c r="B1452" s="4" t="s">
        <v>45</v>
      </c>
      <c r="C1452" s="22" t="s">
        <v>2658</v>
      </c>
      <c r="D1452" s="23" t="s">
        <v>2659</v>
      </c>
      <c r="E1452" s="29">
        <v>45952.0</v>
      </c>
      <c r="F1452" s="3">
        <v>8.0</v>
      </c>
      <c r="G1452" s="3" t="s">
        <v>92</v>
      </c>
      <c r="H1452" s="9"/>
      <c r="I1452" s="6"/>
      <c r="J1452" s="6"/>
      <c r="K1452" s="6"/>
      <c r="L1452" s="6"/>
      <c r="M1452" s="26"/>
      <c r="O1452" s="19" t="str">
        <f t="shared" si="2"/>
        <v/>
      </c>
    </row>
    <row r="1453">
      <c r="A1453" s="22" t="s">
        <v>276</v>
      </c>
      <c r="B1453" s="4" t="s">
        <v>18</v>
      </c>
      <c r="C1453" s="22" t="s">
        <v>2660</v>
      </c>
      <c r="D1453" s="23" t="s">
        <v>2661</v>
      </c>
      <c r="E1453" s="29">
        <v>45952.0</v>
      </c>
      <c r="F1453" s="3">
        <v>8.0</v>
      </c>
      <c r="G1453" s="3" t="s">
        <v>92</v>
      </c>
      <c r="H1453" s="9"/>
      <c r="I1453" s="6"/>
      <c r="J1453" s="6"/>
      <c r="K1453" s="6"/>
      <c r="L1453" s="6"/>
      <c r="M1453" s="26"/>
      <c r="O1453" s="19" t="str">
        <f t="shared" si="2"/>
        <v/>
      </c>
    </row>
    <row r="1454">
      <c r="A1454" s="22" t="s">
        <v>418</v>
      </c>
      <c r="B1454" s="4" t="s">
        <v>18</v>
      </c>
      <c r="C1454" s="22" t="s">
        <v>2552</v>
      </c>
      <c r="D1454" s="23" t="s">
        <v>2662</v>
      </c>
      <c r="E1454" s="29">
        <v>45952.0</v>
      </c>
      <c r="F1454" s="3">
        <v>8.0</v>
      </c>
      <c r="G1454" s="3" t="s">
        <v>92</v>
      </c>
      <c r="H1454" s="9"/>
      <c r="I1454" s="6"/>
      <c r="J1454" s="6"/>
      <c r="K1454" s="6"/>
      <c r="L1454" s="6"/>
      <c r="M1454" s="26"/>
      <c r="O1454" s="19" t="str">
        <f t="shared" si="2"/>
        <v/>
      </c>
    </row>
    <row r="1455">
      <c r="A1455" s="22" t="s">
        <v>98</v>
      </c>
      <c r="B1455" s="4" t="s">
        <v>31</v>
      </c>
      <c r="C1455" s="22" t="s">
        <v>558</v>
      </c>
      <c r="D1455" s="23" t="s">
        <v>2663</v>
      </c>
      <c r="E1455" s="29">
        <v>45952.0</v>
      </c>
      <c r="F1455" s="3">
        <v>8.0</v>
      </c>
      <c r="G1455" s="3" t="s">
        <v>92</v>
      </c>
      <c r="H1455" s="9"/>
      <c r="I1455" s="6"/>
      <c r="J1455" s="6"/>
      <c r="K1455" s="6"/>
      <c r="L1455" s="6"/>
      <c r="M1455" s="26"/>
      <c r="O1455" s="19" t="str">
        <f t="shared" si="2"/>
        <v/>
      </c>
    </row>
    <row r="1456">
      <c r="A1456" s="22" t="s">
        <v>418</v>
      </c>
      <c r="B1456" s="4" t="s">
        <v>18</v>
      </c>
      <c r="C1456" s="22" t="s">
        <v>2664</v>
      </c>
      <c r="D1456" s="23"/>
      <c r="E1456" s="29">
        <v>45952.0</v>
      </c>
      <c r="F1456" s="3">
        <v>5.0</v>
      </c>
      <c r="G1456" s="3" t="s">
        <v>92</v>
      </c>
      <c r="H1456" s="9"/>
      <c r="I1456" s="6"/>
      <c r="J1456" s="6"/>
      <c r="K1456" s="6"/>
      <c r="L1456" s="6"/>
      <c r="M1456" s="26"/>
      <c r="O1456" s="19" t="str">
        <f t="shared" si="2"/>
        <v/>
      </c>
    </row>
    <row r="1457">
      <c r="A1457" s="22" t="s">
        <v>276</v>
      </c>
      <c r="B1457" s="4" t="s">
        <v>18</v>
      </c>
      <c r="C1457" s="22" t="s">
        <v>338</v>
      </c>
      <c r="D1457" s="23"/>
      <c r="E1457" s="29">
        <v>45952.0</v>
      </c>
      <c r="F1457" s="3">
        <v>5.0</v>
      </c>
      <c r="G1457" s="3" t="s">
        <v>92</v>
      </c>
      <c r="H1457" s="9"/>
      <c r="I1457" s="6"/>
      <c r="J1457" s="6"/>
      <c r="K1457" s="6"/>
      <c r="L1457" s="6"/>
      <c r="M1457" s="26"/>
      <c r="O1457" s="19" t="str">
        <f t="shared" si="2"/>
        <v/>
      </c>
    </row>
    <row r="1458">
      <c r="A1458" s="22" t="s">
        <v>2262</v>
      </c>
      <c r="B1458" s="4" t="s">
        <v>18</v>
      </c>
      <c r="C1458" s="22" t="s">
        <v>583</v>
      </c>
      <c r="D1458" s="23"/>
      <c r="E1458" s="29">
        <v>45952.0</v>
      </c>
      <c r="F1458" s="3">
        <v>5.0</v>
      </c>
      <c r="G1458" s="3" t="s">
        <v>92</v>
      </c>
      <c r="H1458" s="9"/>
      <c r="I1458" s="6"/>
      <c r="J1458" s="6"/>
      <c r="K1458" s="6"/>
      <c r="L1458" s="6"/>
      <c r="M1458" s="26"/>
      <c r="O1458" s="19" t="str">
        <f t="shared" si="2"/>
        <v/>
      </c>
    </row>
    <row r="1459">
      <c r="A1459" s="22" t="s">
        <v>1359</v>
      </c>
      <c r="B1459" s="4" t="s">
        <v>45</v>
      </c>
      <c r="C1459" s="22" t="s">
        <v>1369</v>
      </c>
      <c r="D1459" s="23"/>
      <c r="E1459" s="29">
        <v>45952.0</v>
      </c>
      <c r="F1459" s="3">
        <v>5.0</v>
      </c>
      <c r="G1459" s="3" t="s">
        <v>92</v>
      </c>
      <c r="H1459" s="9"/>
      <c r="I1459" s="6"/>
      <c r="J1459" s="6"/>
      <c r="K1459" s="6"/>
      <c r="L1459" s="6"/>
      <c r="M1459" s="26"/>
      <c r="O1459" s="19" t="str">
        <f t="shared" si="2"/>
        <v/>
      </c>
    </row>
    <row r="1460">
      <c r="A1460" s="22" t="s">
        <v>2620</v>
      </c>
      <c r="B1460" s="4" t="s">
        <v>18</v>
      </c>
      <c r="C1460" s="22" t="s">
        <v>2665</v>
      </c>
      <c r="D1460" s="23" t="s">
        <v>2666</v>
      </c>
      <c r="E1460" s="29">
        <v>45952.0</v>
      </c>
      <c r="F1460" s="3">
        <v>6.0</v>
      </c>
      <c r="G1460" s="3" t="s">
        <v>92</v>
      </c>
      <c r="H1460" s="9"/>
      <c r="I1460" s="6"/>
      <c r="J1460" s="6"/>
      <c r="K1460" s="6"/>
      <c r="L1460" s="6"/>
      <c r="M1460" s="26"/>
      <c r="O1460" s="19" t="str">
        <f t="shared" si="2"/>
        <v/>
      </c>
    </row>
    <row r="1461">
      <c r="A1461" s="22" t="s">
        <v>244</v>
      </c>
      <c r="B1461" s="4" t="s">
        <v>18</v>
      </c>
      <c r="C1461" s="3" t="s">
        <v>253</v>
      </c>
      <c r="D1461" s="22" t="s">
        <v>2667</v>
      </c>
      <c r="E1461" s="29" t="s">
        <v>2640</v>
      </c>
      <c r="F1461" s="3" t="s">
        <v>27</v>
      </c>
      <c r="G1461" s="3" t="s">
        <v>1453</v>
      </c>
      <c r="H1461" s="9" t="s">
        <v>2668</v>
      </c>
      <c r="I1461" s="6"/>
      <c r="J1461" s="6"/>
      <c r="K1461" s="6"/>
      <c r="L1461" s="6"/>
      <c r="M1461" s="26"/>
      <c r="O1461" s="19" t="str">
        <f t="shared" si="2"/>
        <v/>
      </c>
    </row>
    <row r="1462">
      <c r="A1462" s="22" t="s">
        <v>244</v>
      </c>
      <c r="B1462" s="4" t="s">
        <v>18</v>
      </c>
      <c r="C1462" s="3" t="s">
        <v>253</v>
      </c>
      <c r="D1462" s="22" t="s">
        <v>2669</v>
      </c>
      <c r="E1462" s="29">
        <v>45952.0</v>
      </c>
      <c r="F1462" s="3" t="s">
        <v>27</v>
      </c>
      <c r="G1462" s="3" t="s">
        <v>129</v>
      </c>
      <c r="H1462" s="9"/>
      <c r="I1462" s="6"/>
      <c r="J1462" s="6"/>
      <c r="K1462" s="6"/>
      <c r="L1462" s="6"/>
      <c r="M1462" s="26"/>
      <c r="O1462" s="19" t="str">
        <f t="shared" si="2"/>
        <v/>
      </c>
    </row>
    <row r="1463">
      <c r="A1463" s="22" t="s">
        <v>271</v>
      </c>
      <c r="B1463" s="4" t="s">
        <v>45</v>
      </c>
      <c r="C1463" s="3" t="s">
        <v>898</v>
      </c>
      <c r="D1463" s="22" t="s">
        <v>2670</v>
      </c>
      <c r="E1463" s="29" t="s">
        <v>2640</v>
      </c>
      <c r="F1463" s="3" t="s">
        <v>27</v>
      </c>
      <c r="G1463" s="3" t="s">
        <v>1453</v>
      </c>
      <c r="H1463" s="9" t="s">
        <v>2671</v>
      </c>
      <c r="I1463" s="6"/>
      <c r="J1463" s="6"/>
      <c r="K1463" s="6"/>
      <c r="L1463" s="6"/>
      <c r="M1463" s="26"/>
      <c r="O1463" s="19" t="str">
        <f t="shared" si="2"/>
        <v/>
      </c>
    </row>
    <row r="1464">
      <c r="A1464" s="22" t="s">
        <v>44</v>
      </c>
      <c r="B1464" s="4" t="s">
        <v>45</v>
      </c>
      <c r="C1464" s="3" t="s">
        <v>148</v>
      </c>
      <c r="D1464" s="22" t="s">
        <v>2672</v>
      </c>
      <c r="E1464" s="29" t="s">
        <v>2640</v>
      </c>
      <c r="F1464" s="3" t="s">
        <v>27</v>
      </c>
      <c r="G1464" s="3" t="s">
        <v>1453</v>
      </c>
      <c r="H1464" s="9" t="s">
        <v>2673</v>
      </c>
      <c r="I1464" s="6"/>
      <c r="J1464" s="6"/>
      <c r="K1464" s="6"/>
      <c r="L1464" s="6"/>
      <c r="M1464" s="26"/>
      <c r="O1464" s="19" t="str">
        <f t="shared" si="2"/>
        <v/>
      </c>
    </row>
    <row r="1465">
      <c r="A1465" s="22" t="s">
        <v>276</v>
      </c>
      <c r="B1465" s="4" t="s">
        <v>18</v>
      </c>
      <c r="C1465" s="22" t="s">
        <v>2674</v>
      </c>
      <c r="D1465" s="23" t="s">
        <v>1296</v>
      </c>
      <c r="E1465" s="29">
        <v>45952.0</v>
      </c>
      <c r="F1465" s="3">
        <v>10.0</v>
      </c>
      <c r="G1465" s="3" t="s">
        <v>92</v>
      </c>
      <c r="H1465" s="9"/>
      <c r="I1465" s="6"/>
      <c r="J1465" s="6"/>
      <c r="K1465" s="6"/>
      <c r="L1465" s="6"/>
      <c r="M1465" s="26"/>
      <c r="O1465" s="19" t="str">
        <f t="shared" si="2"/>
        <v/>
      </c>
    </row>
    <row r="1466">
      <c r="A1466" s="22" t="s">
        <v>472</v>
      </c>
      <c r="B1466" s="4" t="s">
        <v>18</v>
      </c>
      <c r="C1466" s="22" t="s">
        <v>2675</v>
      </c>
      <c r="D1466" s="23" t="s">
        <v>2676</v>
      </c>
      <c r="E1466" s="29">
        <v>45952.0</v>
      </c>
      <c r="F1466" s="3">
        <v>6.0</v>
      </c>
      <c r="G1466" s="3" t="s">
        <v>92</v>
      </c>
      <c r="H1466" s="9"/>
      <c r="I1466" s="6"/>
      <c r="J1466" s="6"/>
      <c r="K1466" s="6"/>
      <c r="L1466" s="6"/>
      <c r="M1466" s="26"/>
      <c r="O1466" s="19" t="str">
        <f t="shared" si="2"/>
        <v/>
      </c>
    </row>
    <row r="1467">
      <c r="A1467" s="22" t="s">
        <v>2620</v>
      </c>
      <c r="B1467" s="4" t="s">
        <v>18</v>
      </c>
      <c r="C1467" s="3" t="s">
        <v>2677</v>
      </c>
      <c r="D1467" s="22" t="s">
        <v>2678</v>
      </c>
      <c r="E1467" s="29" t="s">
        <v>2679</v>
      </c>
      <c r="F1467" s="3" t="s">
        <v>27</v>
      </c>
      <c r="G1467" s="3"/>
      <c r="H1467" s="9"/>
      <c r="I1467" s="6"/>
      <c r="J1467" s="6"/>
      <c r="K1467" s="6"/>
      <c r="L1467" s="6"/>
      <c r="M1467" s="26"/>
      <c r="O1467" s="19" t="str">
        <f t="shared" si="2"/>
        <v/>
      </c>
    </row>
    <row r="1468">
      <c r="A1468" s="22" t="s">
        <v>2620</v>
      </c>
      <c r="B1468" s="4" t="s">
        <v>18</v>
      </c>
      <c r="C1468" s="3" t="s">
        <v>2677</v>
      </c>
      <c r="D1468" s="22" t="s">
        <v>2678</v>
      </c>
      <c r="E1468" s="29" t="s">
        <v>2679</v>
      </c>
      <c r="F1468" s="3" t="s">
        <v>27</v>
      </c>
      <c r="G1468" s="3"/>
      <c r="H1468" s="9"/>
      <c r="I1468" s="6"/>
      <c r="J1468" s="6"/>
      <c r="K1468" s="6"/>
      <c r="L1468" s="6"/>
      <c r="M1468" s="26"/>
      <c r="O1468" s="19" t="str">
        <f t="shared" si="2"/>
        <v/>
      </c>
    </row>
    <row r="1469">
      <c r="A1469" s="22" t="s">
        <v>2406</v>
      </c>
      <c r="B1469" s="4" t="s">
        <v>31</v>
      </c>
      <c r="C1469" s="22" t="s">
        <v>2680</v>
      </c>
      <c r="D1469" s="23" t="s">
        <v>2681</v>
      </c>
      <c r="E1469" s="29">
        <v>45953.0</v>
      </c>
      <c r="F1469" s="3">
        <v>8.0</v>
      </c>
      <c r="G1469" s="3" t="s">
        <v>92</v>
      </c>
      <c r="H1469" s="9"/>
      <c r="I1469" s="6"/>
      <c r="J1469" s="6"/>
      <c r="K1469" s="6"/>
      <c r="L1469" s="6"/>
      <c r="M1469" s="26"/>
      <c r="O1469" s="19" t="str">
        <f t="shared" si="2"/>
        <v/>
      </c>
    </row>
    <row r="1470">
      <c r="A1470" s="22" t="s">
        <v>23</v>
      </c>
      <c r="B1470" s="4" t="s">
        <v>18</v>
      </c>
      <c r="C1470" s="22" t="s">
        <v>253</v>
      </c>
      <c r="D1470" s="23"/>
      <c r="E1470" s="29">
        <v>45953.0</v>
      </c>
      <c r="F1470" s="3">
        <v>5.0</v>
      </c>
      <c r="G1470" s="3" t="s">
        <v>92</v>
      </c>
      <c r="H1470" s="9" t="s">
        <v>2682</v>
      </c>
      <c r="I1470" s="9">
        <v>6.1418797007E10</v>
      </c>
      <c r="J1470" s="40" t="s">
        <v>2683</v>
      </c>
      <c r="K1470" s="9">
        <v>0.0</v>
      </c>
      <c r="L1470" s="6"/>
      <c r="M1470" s="26"/>
      <c r="O1470" s="19" t="str">
        <f t="shared" si="2"/>
        <v/>
      </c>
    </row>
    <row r="1471">
      <c r="A1471" s="22" t="s">
        <v>108</v>
      </c>
      <c r="B1471" s="4" t="s">
        <v>109</v>
      </c>
      <c r="C1471" s="22" t="s">
        <v>2684</v>
      </c>
      <c r="D1471" s="23" t="s">
        <v>2685</v>
      </c>
      <c r="E1471" s="29">
        <v>45953.0</v>
      </c>
      <c r="F1471" s="3" t="s">
        <v>22</v>
      </c>
      <c r="G1471" s="3" t="s">
        <v>92</v>
      </c>
      <c r="H1471" s="9"/>
      <c r="I1471" s="6"/>
      <c r="J1471" s="6"/>
      <c r="K1471" s="6"/>
      <c r="L1471" s="6"/>
      <c r="M1471" s="26"/>
      <c r="O1471" s="19" t="str">
        <f t="shared" si="2"/>
        <v/>
      </c>
    </row>
    <row r="1472">
      <c r="A1472" s="22" t="s">
        <v>116</v>
      </c>
      <c r="B1472" s="4" t="s">
        <v>31</v>
      </c>
      <c r="C1472" s="22" t="s">
        <v>2245</v>
      </c>
      <c r="D1472" s="23" t="s">
        <v>2686</v>
      </c>
      <c r="E1472" s="29">
        <v>45953.0</v>
      </c>
      <c r="F1472" s="3">
        <v>8.0</v>
      </c>
      <c r="G1472" s="3" t="s">
        <v>92</v>
      </c>
      <c r="H1472" s="9"/>
      <c r="I1472" s="6"/>
      <c r="J1472" s="6"/>
      <c r="K1472" s="6"/>
      <c r="L1472" s="6"/>
      <c r="M1472" s="26"/>
      <c r="O1472" s="19" t="str">
        <f t="shared" si="2"/>
        <v/>
      </c>
    </row>
    <row r="1473">
      <c r="A1473" s="22" t="s">
        <v>265</v>
      </c>
      <c r="B1473" s="4" t="s">
        <v>18</v>
      </c>
      <c r="C1473" s="22" t="s">
        <v>2687</v>
      </c>
      <c r="D1473" s="23" t="s">
        <v>2688</v>
      </c>
      <c r="E1473" s="29">
        <v>45953.0</v>
      </c>
      <c r="F1473" s="3">
        <v>8.0</v>
      </c>
      <c r="G1473" s="3" t="s">
        <v>92</v>
      </c>
      <c r="H1473" s="9"/>
      <c r="I1473" s="6"/>
      <c r="J1473" s="6"/>
      <c r="K1473" s="6"/>
      <c r="L1473" s="6"/>
      <c r="M1473" s="26"/>
      <c r="O1473" s="19" t="str">
        <f t="shared" si="2"/>
        <v/>
      </c>
    </row>
    <row r="1474">
      <c r="A1474" s="22" t="s">
        <v>2620</v>
      </c>
      <c r="B1474" s="4" t="s">
        <v>18</v>
      </c>
      <c r="C1474" s="22" t="s">
        <v>2689</v>
      </c>
      <c r="D1474" s="23" t="s">
        <v>2690</v>
      </c>
      <c r="E1474" s="29">
        <v>45953.0</v>
      </c>
      <c r="F1474" s="3">
        <v>8.0</v>
      </c>
      <c r="G1474" s="3" t="s">
        <v>92</v>
      </c>
      <c r="H1474" s="9"/>
      <c r="I1474" s="6"/>
      <c r="J1474" s="6"/>
      <c r="K1474" s="6"/>
      <c r="L1474" s="6"/>
      <c r="M1474" s="26"/>
      <c r="O1474" s="19" t="str">
        <f t="shared" si="2"/>
        <v/>
      </c>
    </row>
    <row r="1475">
      <c r="A1475" s="22" t="s">
        <v>265</v>
      </c>
      <c r="B1475" s="4" t="s">
        <v>18</v>
      </c>
      <c r="C1475" s="22" t="s">
        <v>720</v>
      </c>
      <c r="D1475" s="23" t="s">
        <v>2643</v>
      </c>
      <c r="E1475" s="29">
        <v>45953.0</v>
      </c>
      <c r="F1475" s="3">
        <v>8.0</v>
      </c>
      <c r="G1475" s="3" t="s">
        <v>92</v>
      </c>
      <c r="H1475" s="9"/>
      <c r="I1475" s="6"/>
      <c r="J1475" s="6"/>
      <c r="K1475" s="6"/>
      <c r="L1475" s="6"/>
      <c r="M1475" s="26"/>
      <c r="O1475" s="19" t="str">
        <f t="shared" si="2"/>
        <v/>
      </c>
    </row>
    <row r="1476">
      <c r="A1476" s="22" t="s">
        <v>1359</v>
      </c>
      <c r="B1476" s="4" t="s">
        <v>45</v>
      </c>
      <c r="C1476" s="3" t="s">
        <v>2691</v>
      </c>
      <c r="D1476" s="22" t="s">
        <v>2692</v>
      </c>
      <c r="E1476" s="29">
        <v>45953.0</v>
      </c>
      <c r="F1476" s="3" t="s">
        <v>27</v>
      </c>
      <c r="G1476" s="3" t="s">
        <v>129</v>
      </c>
      <c r="H1476" s="9"/>
      <c r="I1476" s="6"/>
      <c r="J1476" s="6"/>
      <c r="K1476" s="6"/>
      <c r="L1476" s="6"/>
      <c r="M1476" s="26"/>
      <c r="O1476" s="19" t="str">
        <f t="shared" si="2"/>
        <v/>
      </c>
    </row>
    <row r="1477">
      <c r="A1477" s="22" t="s">
        <v>744</v>
      </c>
      <c r="B1477" s="4" t="s">
        <v>18</v>
      </c>
      <c r="C1477" s="3" t="s">
        <v>2483</v>
      </c>
      <c r="D1477" s="22" t="s">
        <v>2693</v>
      </c>
      <c r="E1477" s="29" t="s">
        <v>2679</v>
      </c>
      <c r="F1477" s="3" t="s">
        <v>27</v>
      </c>
      <c r="G1477" s="3" t="s">
        <v>1453</v>
      </c>
      <c r="H1477" s="9" t="s">
        <v>2694</v>
      </c>
      <c r="I1477" s="6"/>
      <c r="J1477" s="6"/>
      <c r="K1477" s="6"/>
      <c r="L1477" s="6"/>
      <c r="M1477" s="26"/>
      <c r="O1477" s="19" t="str">
        <f t="shared" si="2"/>
        <v/>
      </c>
    </row>
    <row r="1478">
      <c r="A1478" s="22" t="s">
        <v>2503</v>
      </c>
      <c r="B1478" s="4" t="s">
        <v>18</v>
      </c>
      <c r="C1478" s="3" t="s">
        <v>166</v>
      </c>
      <c r="D1478" s="22" t="s">
        <v>2695</v>
      </c>
      <c r="E1478" s="29">
        <v>45953.0</v>
      </c>
      <c r="F1478" s="3" t="s">
        <v>27</v>
      </c>
      <c r="G1478" s="3" t="s">
        <v>129</v>
      </c>
      <c r="H1478" s="9"/>
      <c r="I1478" s="6"/>
      <c r="J1478" s="6"/>
      <c r="K1478" s="6"/>
      <c r="L1478" s="6"/>
      <c r="M1478" s="26"/>
      <c r="O1478" s="19" t="str">
        <f t="shared" si="2"/>
        <v/>
      </c>
    </row>
    <row r="1479">
      <c r="A1479" s="22" t="s">
        <v>274</v>
      </c>
      <c r="B1479" s="4" t="s">
        <v>18</v>
      </c>
      <c r="C1479" s="3" t="s">
        <v>489</v>
      </c>
      <c r="D1479" s="22" t="s">
        <v>2696</v>
      </c>
      <c r="E1479" s="29">
        <v>45953.0</v>
      </c>
      <c r="F1479" s="3" t="s">
        <v>27</v>
      </c>
      <c r="G1479" s="3" t="s">
        <v>129</v>
      </c>
      <c r="H1479" s="9"/>
      <c r="I1479" s="6"/>
      <c r="J1479" s="6"/>
      <c r="K1479" s="6"/>
      <c r="L1479" s="6"/>
      <c r="M1479" s="26"/>
      <c r="O1479" s="19" t="str">
        <f t="shared" si="2"/>
        <v/>
      </c>
    </row>
    <row r="1480">
      <c r="A1480" s="22" t="s">
        <v>744</v>
      </c>
      <c r="B1480" s="4" t="s">
        <v>18</v>
      </c>
      <c r="C1480" s="3" t="s">
        <v>2697</v>
      </c>
      <c r="D1480" s="22" t="s">
        <v>2698</v>
      </c>
      <c r="E1480" s="29">
        <v>45953.0</v>
      </c>
      <c r="F1480" s="3" t="s">
        <v>27</v>
      </c>
      <c r="G1480" s="3" t="s">
        <v>129</v>
      </c>
      <c r="H1480" s="9"/>
      <c r="I1480" s="6"/>
      <c r="J1480" s="6"/>
      <c r="K1480" s="6"/>
      <c r="L1480" s="6"/>
      <c r="M1480" s="26"/>
      <c r="O1480" s="19" t="str">
        <f t="shared" si="2"/>
        <v/>
      </c>
    </row>
    <row r="1481">
      <c r="A1481" s="22" t="s">
        <v>84</v>
      </c>
      <c r="B1481" s="4" t="s">
        <v>31</v>
      </c>
      <c r="C1481" s="3" t="s">
        <v>2699</v>
      </c>
      <c r="D1481" s="22" t="s">
        <v>2700</v>
      </c>
      <c r="E1481" s="29">
        <v>45953.0</v>
      </c>
      <c r="F1481" s="3" t="s">
        <v>27</v>
      </c>
      <c r="G1481" s="3" t="s">
        <v>129</v>
      </c>
      <c r="H1481" s="9"/>
      <c r="I1481" s="6"/>
      <c r="J1481" s="6"/>
      <c r="K1481" s="6"/>
      <c r="L1481" s="6"/>
      <c r="M1481" s="26"/>
      <c r="O1481" s="19" t="str">
        <f t="shared" si="2"/>
        <v/>
      </c>
    </row>
    <row r="1482">
      <c r="A1482" s="22" t="s">
        <v>1266</v>
      </c>
      <c r="B1482" s="4" t="s">
        <v>31</v>
      </c>
      <c r="C1482" s="3" t="s">
        <v>2359</v>
      </c>
      <c r="D1482" s="22" t="s">
        <v>2701</v>
      </c>
      <c r="E1482" s="29" t="s">
        <v>2679</v>
      </c>
      <c r="F1482" s="3" t="s">
        <v>27</v>
      </c>
      <c r="G1482" s="3" t="s">
        <v>1453</v>
      </c>
      <c r="H1482" s="9" t="s">
        <v>2702</v>
      </c>
      <c r="I1482" s="6"/>
      <c r="J1482" s="6"/>
      <c r="K1482" s="6"/>
      <c r="L1482" s="6"/>
      <c r="M1482" s="26"/>
      <c r="O1482" s="19" t="str">
        <f t="shared" si="2"/>
        <v/>
      </c>
    </row>
    <row r="1483">
      <c r="A1483" s="22" t="s">
        <v>112</v>
      </c>
      <c r="B1483" s="4" t="s">
        <v>18</v>
      </c>
      <c r="C1483" s="22" t="s">
        <v>356</v>
      </c>
      <c r="D1483" s="3" t="s">
        <v>2703</v>
      </c>
      <c r="E1483" s="29">
        <v>45953.0</v>
      </c>
      <c r="F1483" s="3">
        <v>8.0</v>
      </c>
      <c r="G1483" s="3" t="s">
        <v>92</v>
      </c>
      <c r="H1483" s="9"/>
      <c r="I1483" s="6"/>
      <c r="J1483" s="6"/>
      <c r="K1483" s="6"/>
      <c r="L1483" s="6"/>
      <c r="M1483" s="26"/>
      <c r="O1483" s="19" t="str">
        <f t="shared" si="2"/>
        <v/>
      </c>
    </row>
    <row r="1484">
      <c r="A1484" s="22" t="s">
        <v>236</v>
      </c>
      <c r="B1484" s="4" t="s">
        <v>18</v>
      </c>
      <c r="C1484" s="3" t="s">
        <v>369</v>
      </c>
      <c r="D1484" s="22" t="s">
        <v>2704</v>
      </c>
      <c r="E1484" s="29" t="s">
        <v>2679</v>
      </c>
      <c r="F1484" s="3" t="s">
        <v>27</v>
      </c>
      <c r="G1484" s="3" t="s">
        <v>1453</v>
      </c>
      <c r="H1484" s="9" t="s">
        <v>2705</v>
      </c>
      <c r="I1484" s="6"/>
      <c r="J1484" s="6"/>
      <c r="K1484" s="6"/>
      <c r="L1484" s="6"/>
      <c r="M1484" s="26"/>
      <c r="O1484" s="19" t="str">
        <f t="shared" si="2"/>
        <v/>
      </c>
    </row>
    <row r="1485">
      <c r="A1485" s="22" t="s">
        <v>435</v>
      </c>
      <c r="B1485" s="4" t="s">
        <v>18</v>
      </c>
      <c r="C1485" s="3" t="s">
        <v>2706</v>
      </c>
      <c r="D1485" s="22" t="s">
        <v>2707</v>
      </c>
      <c r="E1485" s="29">
        <v>45953.0</v>
      </c>
      <c r="F1485" s="3" t="s">
        <v>27</v>
      </c>
      <c r="G1485" s="3" t="s">
        <v>129</v>
      </c>
      <c r="H1485" s="9"/>
      <c r="I1485" s="6"/>
      <c r="J1485" s="6"/>
      <c r="K1485" s="6"/>
      <c r="L1485" s="6"/>
      <c r="M1485" s="26"/>
      <c r="O1485" s="19" t="str">
        <f t="shared" si="2"/>
        <v/>
      </c>
    </row>
    <row r="1486">
      <c r="A1486" s="22" t="s">
        <v>1320</v>
      </c>
      <c r="B1486" s="4" t="s">
        <v>45</v>
      </c>
      <c r="C1486" s="3" t="s">
        <v>1369</v>
      </c>
      <c r="D1486" s="22" t="s">
        <v>2708</v>
      </c>
      <c r="E1486" s="29">
        <v>45953.0</v>
      </c>
      <c r="F1486" s="3" t="s">
        <v>27</v>
      </c>
      <c r="G1486" s="3" t="s">
        <v>129</v>
      </c>
      <c r="H1486" s="9"/>
      <c r="I1486" s="6"/>
      <c r="J1486" s="6"/>
      <c r="K1486" s="6"/>
      <c r="L1486" s="6"/>
      <c r="M1486" s="26"/>
      <c r="O1486" s="19" t="str">
        <f t="shared" si="2"/>
        <v/>
      </c>
    </row>
    <row r="1487">
      <c r="A1487" s="22" t="s">
        <v>1582</v>
      </c>
      <c r="B1487" s="4" t="s">
        <v>31</v>
      </c>
      <c r="C1487" s="3" t="s">
        <v>1820</v>
      </c>
      <c r="D1487" s="22" t="s">
        <v>2709</v>
      </c>
      <c r="E1487" s="29" t="s">
        <v>2710</v>
      </c>
      <c r="F1487" s="3" t="s">
        <v>27</v>
      </c>
      <c r="G1487" s="3" t="s">
        <v>1453</v>
      </c>
      <c r="H1487" s="9" t="s">
        <v>2711</v>
      </c>
      <c r="I1487" s="6"/>
      <c r="J1487" s="6"/>
      <c r="K1487" s="6"/>
      <c r="L1487" s="6"/>
      <c r="M1487" s="26"/>
      <c r="O1487" s="19" t="str">
        <f t="shared" si="2"/>
        <v/>
      </c>
    </row>
    <row r="1488">
      <c r="A1488" s="22" t="s">
        <v>2620</v>
      </c>
      <c r="B1488" s="4" t="s">
        <v>18</v>
      </c>
      <c r="C1488" s="3" t="s">
        <v>2712</v>
      </c>
      <c r="D1488" s="22" t="s">
        <v>2713</v>
      </c>
      <c r="E1488" s="29" t="s">
        <v>2710</v>
      </c>
      <c r="F1488" s="3" t="s">
        <v>27</v>
      </c>
      <c r="G1488" s="3" t="s">
        <v>1453</v>
      </c>
      <c r="H1488" s="9" t="s">
        <v>2714</v>
      </c>
      <c r="I1488" s="6"/>
      <c r="J1488" s="6"/>
      <c r="K1488" s="6"/>
      <c r="L1488" s="6"/>
      <c r="M1488" s="26"/>
      <c r="O1488" s="19" t="str">
        <f t="shared" si="2"/>
        <v/>
      </c>
    </row>
    <row r="1489">
      <c r="A1489" s="22" t="s">
        <v>276</v>
      </c>
      <c r="B1489" s="4" t="s">
        <v>18</v>
      </c>
      <c r="C1489" s="3" t="s">
        <v>288</v>
      </c>
      <c r="D1489" s="22" t="s">
        <v>2715</v>
      </c>
      <c r="E1489" s="29" t="s">
        <v>2710</v>
      </c>
      <c r="F1489" s="3" t="s">
        <v>27</v>
      </c>
      <c r="G1489" s="3" t="s">
        <v>1453</v>
      </c>
      <c r="H1489" s="9" t="s">
        <v>2716</v>
      </c>
      <c r="I1489" s="6"/>
      <c r="J1489" s="6"/>
      <c r="K1489" s="6"/>
      <c r="L1489" s="6"/>
      <c r="M1489" s="26"/>
      <c r="O1489" s="19" t="str">
        <f t="shared" si="2"/>
        <v/>
      </c>
    </row>
    <row r="1490">
      <c r="A1490" s="22" t="s">
        <v>1973</v>
      </c>
      <c r="B1490" s="4" t="s">
        <v>31</v>
      </c>
      <c r="C1490" s="3" t="s">
        <v>2717</v>
      </c>
      <c r="D1490" s="22" t="s">
        <v>2718</v>
      </c>
      <c r="E1490" s="29">
        <v>45953.0</v>
      </c>
      <c r="F1490" s="3" t="s">
        <v>27</v>
      </c>
      <c r="G1490" s="3" t="s">
        <v>129</v>
      </c>
      <c r="H1490" s="9"/>
      <c r="I1490" s="6"/>
      <c r="J1490" s="6"/>
      <c r="K1490" s="6"/>
      <c r="L1490" s="6"/>
      <c r="M1490" s="26"/>
      <c r="O1490" s="19" t="str">
        <f t="shared" si="2"/>
        <v/>
      </c>
    </row>
    <row r="1491">
      <c r="A1491" s="22" t="s">
        <v>120</v>
      </c>
      <c r="B1491" s="4" t="s">
        <v>31</v>
      </c>
      <c r="C1491" s="3" t="s">
        <v>2298</v>
      </c>
      <c r="D1491" s="22" t="s">
        <v>2719</v>
      </c>
      <c r="E1491" s="29">
        <v>45953.0</v>
      </c>
      <c r="F1491" s="3" t="s">
        <v>27</v>
      </c>
      <c r="G1491" s="3" t="s">
        <v>129</v>
      </c>
      <c r="H1491" s="9"/>
      <c r="I1491" s="6"/>
      <c r="J1491" s="6"/>
      <c r="K1491" s="6"/>
      <c r="L1491" s="6"/>
      <c r="M1491" s="26"/>
      <c r="O1491" s="19" t="str">
        <f t="shared" si="2"/>
        <v/>
      </c>
    </row>
    <row r="1492">
      <c r="A1492" s="22" t="s">
        <v>1266</v>
      </c>
      <c r="B1492" s="4" t="s">
        <v>31</v>
      </c>
      <c r="C1492" s="22" t="s">
        <v>2720</v>
      </c>
      <c r="D1492" s="23" t="s">
        <v>2721</v>
      </c>
      <c r="E1492" s="29">
        <v>45953.0</v>
      </c>
      <c r="F1492" s="3">
        <v>8.0</v>
      </c>
      <c r="G1492" s="3" t="s">
        <v>92</v>
      </c>
      <c r="H1492" s="9"/>
      <c r="I1492" s="6"/>
      <c r="J1492" s="6"/>
      <c r="K1492" s="6"/>
      <c r="L1492" s="6"/>
      <c r="M1492" s="26"/>
      <c r="O1492" s="19" t="str">
        <f t="shared" si="2"/>
        <v/>
      </c>
    </row>
    <row r="1493">
      <c r="A1493" s="22" t="s">
        <v>69</v>
      </c>
      <c r="B1493" s="4" t="s">
        <v>31</v>
      </c>
      <c r="C1493" s="22" t="s">
        <v>70</v>
      </c>
      <c r="D1493" s="23" t="s">
        <v>2722</v>
      </c>
      <c r="E1493" s="29">
        <v>45953.0</v>
      </c>
      <c r="F1493" s="3">
        <v>8.0</v>
      </c>
      <c r="G1493" s="3" t="s">
        <v>92</v>
      </c>
      <c r="H1493" s="9"/>
      <c r="I1493" s="6"/>
      <c r="J1493" s="6"/>
      <c r="K1493" s="6"/>
      <c r="L1493" s="6"/>
      <c r="M1493" s="26"/>
      <c r="O1493" s="19" t="str">
        <f t="shared" si="2"/>
        <v/>
      </c>
    </row>
    <row r="1494">
      <c r="A1494" s="22" t="s">
        <v>1892</v>
      </c>
      <c r="B1494" s="4" t="s">
        <v>18</v>
      </c>
      <c r="C1494" s="22" t="s">
        <v>807</v>
      </c>
      <c r="D1494" s="23" t="s">
        <v>2723</v>
      </c>
      <c r="E1494" s="29">
        <v>45953.0</v>
      </c>
      <c r="F1494" s="3">
        <v>8.0</v>
      </c>
      <c r="G1494" s="3" t="s">
        <v>92</v>
      </c>
      <c r="H1494" s="9"/>
      <c r="I1494" s="6"/>
      <c r="J1494" s="6"/>
      <c r="K1494" s="6"/>
      <c r="L1494" s="6"/>
      <c r="M1494" s="26"/>
      <c r="O1494" s="19" t="str">
        <f t="shared" si="2"/>
        <v/>
      </c>
    </row>
    <row r="1495">
      <c r="A1495" s="22" t="s">
        <v>817</v>
      </c>
      <c r="B1495" s="4" t="s">
        <v>36</v>
      </c>
      <c r="C1495" s="22" t="s">
        <v>857</v>
      </c>
      <c r="D1495" s="23" t="s">
        <v>2724</v>
      </c>
      <c r="E1495" s="29">
        <v>45953.0</v>
      </c>
      <c r="F1495" s="3">
        <v>8.0</v>
      </c>
      <c r="G1495" s="3" t="s">
        <v>92</v>
      </c>
      <c r="H1495" s="9"/>
      <c r="I1495" s="6"/>
      <c r="J1495" s="6"/>
      <c r="K1495" s="6"/>
      <c r="L1495" s="6"/>
      <c r="M1495" s="26"/>
      <c r="O1495" s="19" t="str">
        <f t="shared" si="2"/>
        <v/>
      </c>
    </row>
    <row r="1496">
      <c r="A1496" s="22" t="s">
        <v>2503</v>
      </c>
      <c r="B1496" s="4" t="s">
        <v>18</v>
      </c>
      <c r="C1496" s="3" t="s">
        <v>2725</v>
      </c>
      <c r="D1496" s="22" t="s">
        <v>2726</v>
      </c>
      <c r="E1496" s="29">
        <v>45953.0</v>
      </c>
      <c r="F1496" s="3" t="s">
        <v>27</v>
      </c>
      <c r="G1496" s="3" t="s">
        <v>129</v>
      </c>
      <c r="H1496" s="9"/>
      <c r="I1496" s="6"/>
      <c r="J1496" s="6"/>
      <c r="K1496" s="6"/>
      <c r="L1496" s="6"/>
      <c r="M1496" s="26"/>
      <c r="O1496" s="19" t="str">
        <f t="shared" si="2"/>
        <v/>
      </c>
    </row>
    <row r="1497">
      <c r="A1497" s="22" t="s">
        <v>1062</v>
      </c>
      <c r="B1497" s="4" t="s">
        <v>18</v>
      </c>
      <c r="C1497" s="3" t="s">
        <v>1063</v>
      </c>
      <c r="D1497" s="22" t="s">
        <v>2727</v>
      </c>
      <c r="E1497" s="29" t="s">
        <v>2710</v>
      </c>
      <c r="F1497" s="3" t="s">
        <v>27</v>
      </c>
      <c r="G1497" s="3" t="s">
        <v>1453</v>
      </c>
      <c r="H1497" s="9" t="s">
        <v>2728</v>
      </c>
      <c r="I1497" s="6"/>
      <c r="J1497" s="6"/>
      <c r="K1497" s="6"/>
      <c r="L1497" s="6"/>
      <c r="M1497" s="26"/>
      <c r="O1497" s="19" t="str">
        <f t="shared" si="2"/>
        <v/>
      </c>
    </row>
    <row r="1498">
      <c r="A1498" s="22" t="s">
        <v>77</v>
      </c>
      <c r="B1498" s="4" t="s">
        <v>18</v>
      </c>
      <c r="C1498" s="3" t="s">
        <v>78</v>
      </c>
      <c r="D1498" s="22" t="s">
        <v>2729</v>
      </c>
      <c r="E1498" s="29" t="s">
        <v>2710</v>
      </c>
      <c r="F1498" s="3" t="s">
        <v>27</v>
      </c>
      <c r="G1498" s="3" t="s">
        <v>1453</v>
      </c>
      <c r="H1498" s="9" t="s">
        <v>2730</v>
      </c>
      <c r="I1498" s="6"/>
      <c r="J1498" s="6"/>
      <c r="K1498" s="6"/>
      <c r="L1498" s="6"/>
      <c r="M1498" s="26"/>
      <c r="O1498" s="19" t="str">
        <f t="shared" si="2"/>
        <v/>
      </c>
    </row>
    <row r="1499">
      <c r="A1499" s="22" t="s">
        <v>1359</v>
      </c>
      <c r="B1499" s="4" t="s">
        <v>45</v>
      </c>
      <c r="C1499" s="3" t="s">
        <v>1806</v>
      </c>
      <c r="D1499" s="22" t="s">
        <v>2731</v>
      </c>
      <c r="E1499" s="29">
        <v>45954.0</v>
      </c>
      <c r="F1499" s="3" t="s">
        <v>27</v>
      </c>
      <c r="G1499" s="3" t="s">
        <v>129</v>
      </c>
      <c r="H1499" s="9"/>
      <c r="I1499" s="6"/>
      <c r="J1499" s="6"/>
      <c r="K1499" s="6"/>
      <c r="L1499" s="6"/>
      <c r="M1499" s="26"/>
      <c r="O1499" s="19" t="str">
        <f t="shared" si="2"/>
        <v/>
      </c>
    </row>
    <row r="1500">
      <c r="A1500" s="22" t="s">
        <v>1973</v>
      </c>
      <c r="B1500" s="4" t="s">
        <v>31</v>
      </c>
      <c r="C1500" s="22" t="s">
        <v>2732</v>
      </c>
      <c r="D1500" s="23" t="s">
        <v>2733</v>
      </c>
      <c r="E1500" s="29">
        <v>45954.0</v>
      </c>
      <c r="F1500" s="3">
        <v>6.0</v>
      </c>
      <c r="G1500" s="3" t="s">
        <v>92</v>
      </c>
      <c r="H1500" s="9"/>
      <c r="I1500" s="6"/>
      <c r="J1500" s="6"/>
      <c r="K1500" s="6"/>
      <c r="L1500" s="6"/>
      <c r="M1500" s="26"/>
      <c r="O1500" s="19" t="str">
        <f t="shared" si="2"/>
        <v/>
      </c>
    </row>
    <row r="1501">
      <c r="A1501" s="22" t="s">
        <v>305</v>
      </c>
      <c r="B1501" s="4" t="s">
        <v>36</v>
      </c>
      <c r="C1501" s="22" t="s">
        <v>327</v>
      </c>
      <c r="D1501" s="23" t="s">
        <v>2734</v>
      </c>
      <c r="E1501" s="29">
        <v>45954.0</v>
      </c>
      <c r="F1501" s="3">
        <v>8.0</v>
      </c>
      <c r="G1501" s="3" t="s">
        <v>92</v>
      </c>
      <c r="H1501" s="9"/>
      <c r="I1501" s="6"/>
      <c r="J1501" s="6"/>
      <c r="K1501" s="6"/>
      <c r="L1501" s="6"/>
      <c r="M1501" s="26"/>
      <c r="O1501" s="19" t="str">
        <f t="shared" si="2"/>
        <v/>
      </c>
    </row>
    <row r="1502">
      <c r="A1502" s="22" t="s">
        <v>2641</v>
      </c>
      <c r="B1502" s="4" t="s">
        <v>18</v>
      </c>
      <c r="C1502" s="22" t="s">
        <v>749</v>
      </c>
      <c r="D1502" s="23" t="s">
        <v>2735</v>
      </c>
      <c r="E1502" s="29">
        <v>45954.0</v>
      </c>
      <c r="F1502" s="3">
        <v>8.0</v>
      </c>
      <c r="G1502" s="3" t="s">
        <v>92</v>
      </c>
      <c r="H1502" s="9"/>
      <c r="I1502" s="6"/>
      <c r="J1502" s="6"/>
      <c r="K1502" s="6"/>
      <c r="L1502" s="6"/>
      <c r="M1502" s="26"/>
      <c r="O1502" s="19" t="str">
        <f t="shared" si="2"/>
        <v/>
      </c>
    </row>
    <row r="1503">
      <c r="A1503" s="22" t="s">
        <v>1255</v>
      </c>
      <c r="B1503" s="4" t="s">
        <v>18</v>
      </c>
      <c r="C1503" s="22" t="s">
        <v>2736</v>
      </c>
      <c r="D1503" s="23" t="s">
        <v>2737</v>
      </c>
      <c r="E1503" s="29">
        <v>45954.0</v>
      </c>
      <c r="F1503" s="3">
        <v>6.0</v>
      </c>
      <c r="G1503" s="3" t="s">
        <v>92</v>
      </c>
      <c r="H1503" s="9"/>
      <c r="I1503" s="6"/>
      <c r="J1503" s="6"/>
      <c r="K1503" s="6"/>
      <c r="L1503" s="6"/>
      <c r="M1503" s="26"/>
      <c r="O1503" s="19" t="str">
        <f t="shared" si="2"/>
        <v/>
      </c>
    </row>
    <row r="1504">
      <c r="A1504" s="22" t="s">
        <v>246</v>
      </c>
      <c r="B1504" s="4" t="s">
        <v>36</v>
      </c>
      <c r="C1504" s="22" t="s">
        <v>694</v>
      </c>
      <c r="D1504" s="23"/>
      <c r="E1504" s="29">
        <v>45954.0</v>
      </c>
      <c r="F1504" s="3">
        <v>5.0</v>
      </c>
      <c r="G1504" s="3" t="s">
        <v>92</v>
      </c>
      <c r="H1504" s="9"/>
      <c r="I1504" s="6"/>
      <c r="J1504" s="6"/>
      <c r="K1504" s="6"/>
      <c r="L1504" s="6"/>
      <c r="M1504" s="26"/>
      <c r="O1504" s="19" t="str">
        <f t="shared" si="2"/>
        <v/>
      </c>
    </row>
    <row r="1505">
      <c r="A1505" s="22" t="s">
        <v>2406</v>
      </c>
      <c r="B1505" s="4" t="s">
        <v>31</v>
      </c>
      <c r="C1505" s="22" t="s">
        <v>2738</v>
      </c>
      <c r="D1505" s="23" t="s">
        <v>2739</v>
      </c>
      <c r="E1505" s="29">
        <v>45954.0</v>
      </c>
      <c r="F1505" s="3">
        <v>6.0</v>
      </c>
      <c r="G1505" s="3" t="s">
        <v>92</v>
      </c>
      <c r="H1505" s="9"/>
      <c r="I1505" s="6"/>
      <c r="J1505" s="6"/>
      <c r="K1505" s="6"/>
      <c r="L1505" s="6"/>
      <c r="M1505" s="26"/>
      <c r="O1505" s="19" t="str">
        <f t="shared" si="2"/>
        <v/>
      </c>
    </row>
    <row r="1506">
      <c r="A1506" s="22" t="s">
        <v>2262</v>
      </c>
      <c r="B1506" s="4" t="s">
        <v>18</v>
      </c>
      <c r="C1506" s="3" t="s">
        <v>2740</v>
      </c>
      <c r="D1506" s="22" t="s">
        <v>2741</v>
      </c>
      <c r="E1506" s="29" t="s">
        <v>2742</v>
      </c>
      <c r="F1506" s="3" t="s">
        <v>27</v>
      </c>
      <c r="G1506" s="3" t="s">
        <v>1453</v>
      </c>
      <c r="H1506" s="9" t="s">
        <v>2743</v>
      </c>
      <c r="I1506" s="6"/>
      <c r="J1506" s="6"/>
      <c r="K1506" s="6"/>
      <c r="L1506" s="6"/>
      <c r="M1506" s="26"/>
      <c r="O1506" s="19" t="str">
        <f t="shared" si="2"/>
        <v/>
      </c>
    </row>
    <row r="1507">
      <c r="A1507" s="22" t="s">
        <v>244</v>
      </c>
      <c r="B1507" s="4" t="s">
        <v>18</v>
      </c>
      <c r="C1507" s="3" t="s">
        <v>315</v>
      </c>
      <c r="D1507" s="22" t="s">
        <v>2744</v>
      </c>
      <c r="E1507" s="29" t="s">
        <v>2742</v>
      </c>
      <c r="F1507" s="3" t="s">
        <v>27</v>
      </c>
      <c r="G1507" s="3" t="s">
        <v>1453</v>
      </c>
      <c r="H1507" s="9" t="s">
        <v>2095</v>
      </c>
      <c r="I1507" s="6"/>
      <c r="J1507" s="6"/>
      <c r="K1507" s="6"/>
      <c r="L1507" s="6"/>
      <c r="M1507" s="26"/>
      <c r="O1507" s="19" t="str">
        <f t="shared" si="2"/>
        <v/>
      </c>
    </row>
    <row r="1508">
      <c r="A1508" s="22" t="s">
        <v>244</v>
      </c>
      <c r="B1508" s="4" t="s">
        <v>18</v>
      </c>
      <c r="C1508" s="3" t="s">
        <v>315</v>
      </c>
      <c r="D1508" s="22" t="s">
        <v>2745</v>
      </c>
      <c r="E1508" s="29" t="s">
        <v>2742</v>
      </c>
      <c r="F1508" s="3" t="s">
        <v>27</v>
      </c>
      <c r="G1508" s="3" t="s">
        <v>1453</v>
      </c>
      <c r="H1508" s="9" t="s">
        <v>2095</v>
      </c>
      <c r="I1508" s="6"/>
      <c r="J1508" s="6"/>
      <c r="K1508" s="6"/>
      <c r="L1508" s="6"/>
      <c r="M1508" s="26"/>
      <c r="O1508" s="19" t="str">
        <f t="shared" si="2"/>
        <v/>
      </c>
    </row>
    <row r="1509">
      <c r="A1509" s="22" t="s">
        <v>2266</v>
      </c>
      <c r="B1509" s="4" t="s">
        <v>18</v>
      </c>
      <c r="C1509" s="3" t="s">
        <v>2193</v>
      </c>
      <c r="D1509" s="22" t="s">
        <v>2746</v>
      </c>
      <c r="E1509" s="29" t="s">
        <v>2742</v>
      </c>
      <c r="F1509" s="3" t="s">
        <v>27</v>
      </c>
      <c r="G1509" s="3" t="s">
        <v>1453</v>
      </c>
      <c r="H1509" s="9" t="s">
        <v>2747</v>
      </c>
      <c r="I1509" s="6"/>
      <c r="J1509" s="6"/>
      <c r="K1509" s="6"/>
      <c r="L1509" s="6"/>
      <c r="M1509" s="26"/>
      <c r="O1509" s="19" t="str">
        <f t="shared" si="2"/>
        <v/>
      </c>
    </row>
    <row r="1510">
      <c r="A1510" s="22" t="s">
        <v>510</v>
      </c>
      <c r="B1510" s="4" t="s">
        <v>18</v>
      </c>
      <c r="C1510" s="22" t="s">
        <v>564</v>
      </c>
      <c r="D1510" s="23" t="s">
        <v>2502</v>
      </c>
      <c r="E1510" s="29">
        <v>45955.0</v>
      </c>
      <c r="F1510" s="3">
        <v>8.0</v>
      </c>
      <c r="G1510" s="3" t="s">
        <v>92</v>
      </c>
      <c r="H1510" s="9"/>
      <c r="I1510" s="6"/>
      <c r="J1510" s="6"/>
      <c r="K1510" s="6"/>
      <c r="L1510" s="6"/>
      <c r="M1510" s="26"/>
      <c r="O1510" s="19" t="str">
        <f t="shared" si="2"/>
        <v/>
      </c>
    </row>
    <row r="1511">
      <c r="A1511" s="22" t="s">
        <v>158</v>
      </c>
      <c r="B1511" s="4" t="s">
        <v>31</v>
      </c>
      <c r="C1511" s="22" t="s">
        <v>159</v>
      </c>
      <c r="D1511" s="23" t="s">
        <v>2748</v>
      </c>
      <c r="E1511" s="29">
        <v>45955.0</v>
      </c>
      <c r="F1511" s="3">
        <v>8.0</v>
      </c>
      <c r="G1511" s="3" t="s">
        <v>92</v>
      </c>
      <c r="H1511" s="9"/>
      <c r="I1511" s="6"/>
      <c r="J1511" s="6"/>
      <c r="K1511" s="6"/>
      <c r="L1511" s="6"/>
      <c r="M1511" s="26"/>
      <c r="O1511" s="19" t="str">
        <f t="shared" si="2"/>
        <v/>
      </c>
    </row>
    <row r="1512">
      <c r="A1512" s="22" t="s">
        <v>2406</v>
      </c>
      <c r="B1512" s="4" t="s">
        <v>31</v>
      </c>
      <c r="C1512" s="22" t="s">
        <v>2749</v>
      </c>
      <c r="D1512" s="23" t="s">
        <v>2750</v>
      </c>
      <c r="E1512" s="29">
        <v>45955.0</v>
      </c>
      <c r="F1512" s="3">
        <v>8.0</v>
      </c>
      <c r="G1512" s="3" t="s">
        <v>92</v>
      </c>
      <c r="H1512" s="9"/>
      <c r="I1512" s="6"/>
      <c r="J1512" s="6"/>
      <c r="K1512" s="6"/>
      <c r="L1512" s="6"/>
      <c r="M1512" s="26"/>
      <c r="O1512" s="19" t="str">
        <f t="shared" si="2"/>
        <v/>
      </c>
    </row>
    <row r="1513">
      <c r="A1513" s="22" t="s">
        <v>1062</v>
      </c>
      <c r="B1513" s="4" t="s">
        <v>18</v>
      </c>
      <c r="C1513" s="22" t="s">
        <v>574</v>
      </c>
      <c r="D1513" s="23" t="s">
        <v>2751</v>
      </c>
      <c r="E1513" s="29">
        <v>45955.0</v>
      </c>
      <c r="F1513" s="3">
        <v>8.0</v>
      </c>
      <c r="G1513" s="3" t="s">
        <v>92</v>
      </c>
      <c r="H1513" s="9"/>
      <c r="I1513" s="6"/>
      <c r="J1513" s="6"/>
      <c r="K1513" s="6"/>
      <c r="L1513" s="6"/>
      <c r="M1513" s="26"/>
      <c r="O1513" s="19" t="str">
        <f t="shared" si="2"/>
        <v/>
      </c>
    </row>
    <row r="1514">
      <c r="A1514" s="22" t="s">
        <v>2620</v>
      </c>
      <c r="B1514" s="4" t="s">
        <v>18</v>
      </c>
      <c r="C1514" s="22" t="s">
        <v>2752</v>
      </c>
      <c r="D1514" s="23" t="s">
        <v>2753</v>
      </c>
      <c r="E1514" s="29">
        <v>45955.0</v>
      </c>
      <c r="F1514" s="3">
        <v>9.0</v>
      </c>
      <c r="G1514" s="3" t="s">
        <v>92</v>
      </c>
      <c r="H1514" s="9"/>
      <c r="I1514" s="6"/>
      <c r="J1514" s="6"/>
      <c r="K1514" s="6"/>
      <c r="L1514" s="6"/>
      <c r="M1514" s="26"/>
      <c r="O1514" s="19" t="str">
        <f t="shared" si="2"/>
        <v/>
      </c>
    </row>
    <row r="1515">
      <c r="A1515" s="22" t="s">
        <v>1973</v>
      </c>
      <c r="B1515" s="4" t="s">
        <v>31</v>
      </c>
      <c r="C1515" s="22" t="s">
        <v>2754</v>
      </c>
      <c r="D1515" s="23" t="s">
        <v>2755</v>
      </c>
      <c r="E1515" s="29">
        <v>45955.0</v>
      </c>
      <c r="F1515" s="3">
        <v>8.0</v>
      </c>
      <c r="G1515" s="3" t="s">
        <v>92</v>
      </c>
      <c r="H1515" s="9"/>
      <c r="I1515" s="6"/>
      <c r="J1515" s="6"/>
      <c r="K1515" s="6"/>
      <c r="L1515" s="6"/>
      <c r="M1515" s="26"/>
      <c r="O1515" s="19" t="str">
        <f t="shared" si="2"/>
        <v/>
      </c>
    </row>
    <row r="1516">
      <c r="A1516" s="22" t="s">
        <v>1582</v>
      </c>
      <c r="B1516" s="4" t="s">
        <v>31</v>
      </c>
      <c r="C1516" s="22" t="s">
        <v>2756</v>
      </c>
      <c r="D1516" s="23" t="s">
        <v>2757</v>
      </c>
      <c r="E1516" s="29">
        <v>45955.0</v>
      </c>
      <c r="F1516" s="3">
        <v>10.0</v>
      </c>
      <c r="G1516" s="3" t="s">
        <v>92</v>
      </c>
      <c r="H1516" s="9"/>
      <c r="I1516" s="6"/>
      <c r="J1516" s="6"/>
      <c r="K1516" s="6"/>
      <c r="L1516" s="6"/>
      <c r="M1516" s="26"/>
      <c r="O1516" s="19" t="str">
        <f t="shared" si="2"/>
        <v/>
      </c>
    </row>
    <row r="1517">
      <c r="A1517" s="22" t="s">
        <v>744</v>
      </c>
      <c r="B1517" s="4" t="s">
        <v>18</v>
      </c>
      <c r="C1517" s="22" t="s">
        <v>2758</v>
      </c>
      <c r="D1517" s="23" t="s">
        <v>2759</v>
      </c>
      <c r="E1517" s="29">
        <v>45955.0</v>
      </c>
      <c r="F1517" s="3">
        <v>8.0</v>
      </c>
      <c r="G1517" s="3" t="s">
        <v>92</v>
      </c>
      <c r="H1517" s="9"/>
      <c r="I1517" s="6"/>
      <c r="J1517" s="6"/>
      <c r="K1517" s="6"/>
      <c r="L1517" s="6"/>
      <c r="M1517" s="26"/>
      <c r="O1517" s="19" t="str">
        <f t="shared" si="2"/>
        <v/>
      </c>
    </row>
    <row r="1518">
      <c r="A1518" s="22" t="s">
        <v>744</v>
      </c>
      <c r="B1518" s="4" t="s">
        <v>18</v>
      </c>
      <c r="C1518" s="22" t="s">
        <v>2760</v>
      </c>
      <c r="D1518" s="23" t="s">
        <v>2761</v>
      </c>
      <c r="E1518" s="29">
        <v>45955.0</v>
      </c>
      <c r="F1518" s="3">
        <v>9.0</v>
      </c>
      <c r="G1518" s="3" t="s">
        <v>92</v>
      </c>
      <c r="H1518" s="9"/>
      <c r="I1518" s="6"/>
      <c r="J1518" s="6"/>
      <c r="K1518" s="6"/>
      <c r="L1518" s="6"/>
      <c r="M1518" s="26"/>
      <c r="O1518" s="19" t="str">
        <f t="shared" si="2"/>
        <v/>
      </c>
    </row>
    <row r="1519">
      <c r="A1519" s="22" t="s">
        <v>276</v>
      </c>
      <c r="B1519" s="4" t="s">
        <v>18</v>
      </c>
      <c r="C1519" s="22" t="s">
        <v>2319</v>
      </c>
      <c r="D1519" s="23" t="s">
        <v>2320</v>
      </c>
      <c r="E1519" s="29">
        <v>45955.0</v>
      </c>
      <c r="F1519" s="3">
        <v>8.0</v>
      </c>
      <c r="G1519" s="3" t="s">
        <v>92</v>
      </c>
      <c r="H1519" s="9"/>
      <c r="I1519" s="6"/>
      <c r="J1519" s="6"/>
      <c r="K1519" s="6"/>
      <c r="L1519" s="6"/>
      <c r="M1519" s="26"/>
      <c r="O1519" s="19" t="str">
        <f t="shared" si="2"/>
        <v/>
      </c>
    </row>
    <row r="1520">
      <c r="A1520" s="22" t="s">
        <v>184</v>
      </c>
      <c r="B1520" s="4" t="s">
        <v>18</v>
      </c>
      <c r="C1520" s="22" t="s">
        <v>2762</v>
      </c>
      <c r="D1520" s="23" t="s">
        <v>2763</v>
      </c>
      <c r="E1520" s="29">
        <v>45955.0</v>
      </c>
      <c r="F1520" s="3">
        <v>8.0</v>
      </c>
      <c r="G1520" s="3" t="s">
        <v>92</v>
      </c>
      <c r="H1520" s="9"/>
      <c r="I1520" s="6"/>
      <c r="J1520" s="6"/>
      <c r="K1520" s="6"/>
      <c r="L1520" s="6"/>
      <c r="M1520" s="26"/>
      <c r="O1520" s="19" t="str">
        <f t="shared" si="2"/>
        <v/>
      </c>
    </row>
    <row r="1521">
      <c r="A1521" s="22" t="s">
        <v>2620</v>
      </c>
      <c r="B1521" s="4" t="s">
        <v>18</v>
      </c>
      <c r="C1521" s="22" t="s">
        <v>2764</v>
      </c>
      <c r="D1521" s="23" t="s">
        <v>2765</v>
      </c>
      <c r="E1521" s="29">
        <v>45955.0</v>
      </c>
      <c r="F1521" s="3">
        <v>8.0</v>
      </c>
      <c r="G1521" s="3" t="s">
        <v>92</v>
      </c>
      <c r="H1521" s="9"/>
      <c r="I1521" s="6"/>
      <c r="J1521" s="6"/>
      <c r="K1521" s="6"/>
      <c r="L1521" s="6"/>
      <c r="M1521" s="26"/>
      <c r="O1521" s="19" t="str">
        <f t="shared" si="2"/>
        <v/>
      </c>
    </row>
    <row r="1522">
      <c r="A1522" s="22" t="s">
        <v>479</v>
      </c>
      <c r="B1522" s="4" t="s">
        <v>18</v>
      </c>
      <c r="C1522" s="22" t="s">
        <v>480</v>
      </c>
      <c r="D1522" s="23" t="s">
        <v>2766</v>
      </c>
      <c r="E1522" s="29">
        <v>45955.0</v>
      </c>
      <c r="F1522" s="3">
        <v>8.0</v>
      </c>
      <c r="G1522" s="3" t="s">
        <v>92</v>
      </c>
      <c r="H1522" s="9"/>
      <c r="I1522" s="6"/>
      <c r="J1522" s="6"/>
      <c r="K1522" s="6"/>
      <c r="L1522" s="6"/>
      <c r="M1522" s="26"/>
      <c r="O1522" s="19" t="str">
        <f t="shared" si="2"/>
        <v/>
      </c>
    </row>
    <row r="1523">
      <c r="A1523" s="22" t="s">
        <v>210</v>
      </c>
      <c r="B1523" s="4" t="s">
        <v>31</v>
      </c>
      <c r="C1523" s="3" t="s">
        <v>2767</v>
      </c>
      <c r="D1523" s="22" t="s">
        <v>2768</v>
      </c>
      <c r="E1523" s="29" t="s">
        <v>2742</v>
      </c>
      <c r="F1523" s="3" t="s">
        <v>27</v>
      </c>
      <c r="G1523" s="3"/>
      <c r="H1523" s="9"/>
      <c r="I1523" s="6"/>
      <c r="J1523" s="6"/>
      <c r="K1523" s="6"/>
      <c r="L1523" s="6"/>
      <c r="M1523" s="26"/>
      <c r="O1523" s="19" t="str">
        <f t="shared" si="2"/>
        <v/>
      </c>
    </row>
    <row r="1524">
      <c r="A1524" s="22" t="s">
        <v>210</v>
      </c>
      <c r="B1524" s="4" t="s">
        <v>31</v>
      </c>
      <c r="C1524" s="3" t="s">
        <v>2767</v>
      </c>
      <c r="D1524" s="22" t="s">
        <v>2769</v>
      </c>
      <c r="E1524" s="29" t="s">
        <v>2770</v>
      </c>
      <c r="F1524" s="3" t="s">
        <v>27</v>
      </c>
      <c r="G1524" s="3" t="s">
        <v>1453</v>
      </c>
      <c r="H1524" s="9" t="s">
        <v>2771</v>
      </c>
      <c r="I1524" s="6"/>
      <c r="J1524" s="6"/>
      <c r="K1524" s="6"/>
      <c r="L1524" s="6"/>
      <c r="M1524" s="26"/>
      <c r="O1524" s="19" t="str">
        <f t="shared" si="2"/>
        <v/>
      </c>
    </row>
    <row r="1525">
      <c r="A1525" s="22" t="s">
        <v>30</v>
      </c>
      <c r="B1525" s="4" t="s">
        <v>31</v>
      </c>
      <c r="C1525" s="3" t="s">
        <v>2772</v>
      </c>
      <c r="D1525" s="22" t="s">
        <v>2773</v>
      </c>
      <c r="E1525" s="29">
        <v>45955.0</v>
      </c>
      <c r="F1525" s="3" t="s">
        <v>103</v>
      </c>
      <c r="G1525" s="3" t="s">
        <v>129</v>
      </c>
      <c r="H1525" s="9"/>
      <c r="I1525" s="6"/>
      <c r="J1525" s="6"/>
      <c r="K1525" s="6"/>
      <c r="L1525" s="6"/>
      <c r="M1525" s="26"/>
      <c r="O1525" s="19" t="str">
        <f t="shared" si="2"/>
        <v/>
      </c>
    </row>
    <row r="1526">
      <c r="A1526" s="22" t="s">
        <v>184</v>
      </c>
      <c r="B1526" s="4" t="s">
        <v>18</v>
      </c>
      <c r="C1526" s="3" t="s">
        <v>356</v>
      </c>
      <c r="D1526" s="22" t="s">
        <v>2774</v>
      </c>
      <c r="E1526" s="29">
        <v>45955.0</v>
      </c>
      <c r="F1526" s="3" t="s">
        <v>27</v>
      </c>
      <c r="G1526" s="3" t="s">
        <v>129</v>
      </c>
      <c r="H1526" s="9"/>
      <c r="I1526" s="6"/>
      <c r="J1526" s="6"/>
      <c r="K1526" s="6"/>
      <c r="L1526" s="6"/>
      <c r="M1526" s="26"/>
      <c r="O1526" s="19" t="str">
        <f t="shared" si="2"/>
        <v/>
      </c>
    </row>
    <row r="1527">
      <c r="A1527" s="22" t="s">
        <v>1266</v>
      </c>
      <c r="B1527" s="4" t="s">
        <v>31</v>
      </c>
      <c r="C1527" s="3" t="s">
        <v>2775</v>
      </c>
      <c r="D1527" s="22" t="s">
        <v>2776</v>
      </c>
      <c r="E1527" s="29">
        <v>45955.0</v>
      </c>
      <c r="F1527" s="3" t="s">
        <v>27</v>
      </c>
      <c r="G1527" s="3" t="s">
        <v>129</v>
      </c>
      <c r="H1527" s="9"/>
      <c r="I1527" s="6"/>
      <c r="J1527" s="6"/>
      <c r="K1527" s="6"/>
      <c r="L1527" s="6"/>
      <c r="M1527" s="26"/>
      <c r="O1527" s="19" t="str">
        <f t="shared" si="2"/>
        <v/>
      </c>
    </row>
    <row r="1528">
      <c r="A1528" s="22" t="s">
        <v>2406</v>
      </c>
      <c r="B1528" s="4" t="s">
        <v>31</v>
      </c>
      <c r="C1528" s="3" t="s">
        <v>2777</v>
      </c>
      <c r="D1528" s="22" t="s">
        <v>2778</v>
      </c>
      <c r="E1528" s="29">
        <v>45955.0</v>
      </c>
      <c r="F1528" s="3" t="s">
        <v>27</v>
      </c>
      <c r="G1528" s="3" t="s">
        <v>129</v>
      </c>
      <c r="H1528" s="9"/>
      <c r="I1528" s="6"/>
      <c r="J1528" s="6"/>
      <c r="K1528" s="6"/>
      <c r="L1528" s="6"/>
      <c r="M1528" s="26"/>
      <c r="O1528" s="19" t="str">
        <f t="shared" si="2"/>
        <v/>
      </c>
    </row>
    <row r="1529">
      <c r="A1529" s="22" t="s">
        <v>1320</v>
      </c>
      <c r="B1529" s="4" t="s">
        <v>45</v>
      </c>
      <c r="C1529" s="3" t="s">
        <v>1369</v>
      </c>
      <c r="D1529" s="22" t="s">
        <v>2779</v>
      </c>
      <c r="E1529" s="29">
        <v>45955.0</v>
      </c>
      <c r="F1529" s="3" t="s">
        <v>27</v>
      </c>
      <c r="G1529" s="3" t="s">
        <v>129</v>
      </c>
      <c r="H1529" s="9"/>
      <c r="I1529" s="6"/>
      <c r="J1529" s="6"/>
      <c r="K1529" s="6"/>
      <c r="L1529" s="6"/>
      <c r="M1529" s="26"/>
      <c r="O1529" s="19" t="str">
        <f t="shared" si="2"/>
        <v/>
      </c>
    </row>
    <row r="1530">
      <c r="A1530" s="22" t="s">
        <v>1320</v>
      </c>
      <c r="B1530" s="4" t="s">
        <v>45</v>
      </c>
      <c r="C1530" s="3" t="s">
        <v>1369</v>
      </c>
      <c r="D1530" s="22" t="s">
        <v>2780</v>
      </c>
      <c r="E1530" s="29">
        <v>45955.0</v>
      </c>
      <c r="F1530" s="3" t="s">
        <v>27</v>
      </c>
      <c r="G1530" s="3" t="s">
        <v>129</v>
      </c>
      <c r="H1530" s="9"/>
      <c r="I1530" s="6"/>
      <c r="J1530" s="6"/>
      <c r="K1530" s="6"/>
      <c r="L1530" s="6"/>
      <c r="M1530" s="26"/>
      <c r="O1530" s="19" t="str">
        <f t="shared" si="2"/>
        <v/>
      </c>
    </row>
    <row r="1531">
      <c r="A1531" s="22" t="s">
        <v>61</v>
      </c>
      <c r="B1531" s="4" t="s">
        <v>18</v>
      </c>
      <c r="C1531" s="3" t="s">
        <v>2612</v>
      </c>
      <c r="D1531" s="22" t="s">
        <v>2781</v>
      </c>
      <c r="E1531" s="29">
        <v>45955.0</v>
      </c>
      <c r="F1531" s="3" t="s">
        <v>27</v>
      </c>
      <c r="G1531" s="3" t="s">
        <v>129</v>
      </c>
      <c r="H1531" s="9"/>
      <c r="I1531" s="6"/>
      <c r="J1531" s="6"/>
      <c r="K1531" s="6"/>
      <c r="L1531" s="6"/>
      <c r="M1531" s="26"/>
      <c r="O1531" s="19" t="str">
        <f t="shared" si="2"/>
        <v/>
      </c>
    </row>
    <row r="1532">
      <c r="A1532" s="22" t="s">
        <v>77</v>
      </c>
      <c r="B1532" s="4" t="s">
        <v>18</v>
      </c>
      <c r="C1532" s="3" t="s">
        <v>924</v>
      </c>
      <c r="D1532" s="22" t="s">
        <v>2782</v>
      </c>
      <c r="E1532" s="29">
        <v>45955.0</v>
      </c>
      <c r="F1532" s="3" t="s">
        <v>27</v>
      </c>
      <c r="G1532" s="3" t="s">
        <v>129</v>
      </c>
      <c r="H1532" s="9"/>
      <c r="I1532" s="6"/>
      <c r="J1532" s="6"/>
      <c r="K1532" s="6"/>
      <c r="L1532" s="6"/>
      <c r="M1532" s="26"/>
      <c r="O1532" s="19" t="str">
        <f t="shared" si="2"/>
        <v/>
      </c>
    </row>
    <row r="1533">
      <c r="A1533" s="22" t="s">
        <v>744</v>
      </c>
      <c r="B1533" s="4" t="s">
        <v>18</v>
      </c>
      <c r="C1533" s="3" t="s">
        <v>853</v>
      </c>
      <c r="D1533" s="22" t="s">
        <v>2783</v>
      </c>
      <c r="E1533" s="29">
        <v>45955.0</v>
      </c>
      <c r="F1533" s="3" t="s">
        <v>27</v>
      </c>
      <c r="G1533" s="3" t="s">
        <v>129</v>
      </c>
      <c r="H1533" s="9"/>
      <c r="I1533" s="6"/>
      <c r="J1533" s="6"/>
      <c r="K1533" s="6"/>
      <c r="L1533" s="6"/>
      <c r="M1533" s="26"/>
      <c r="O1533" s="19" t="str">
        <f t="shared" si="2"/>
        <v/>
      </c>
    </row>
    <row r="1534">
      <c r="A1534" s="22" t="s">
        <v>418</v>
      </c>
      <c r="B1534" s="4" t="s">
        <v>18</v>
      </c>
      <c r="C1534" s="3" t="s">
        <v>1687</v>
      </c>
      <c r="D1534" s="22" t="s">
        <v>2784</v>
      </c>
      <c r="E1534" s="29">
        <v>45955.0</v>
      </c>
      <c r="F1534" s="3" t="s">
        <v>27</v>
      </c>
      <c r="G1534" s="3" t="s">
        <v>129</v>
      </c>
      <c r="H1534" s="9"/>
      <c r="I1534" s="6"/>
      <c r="J1534" s="6"/>
      <c r="K1534" s="6"/>
      <c r="L1534" s="6"/>
      <c r="M1534" s="26"/>
      <c r="O1534" s="19" t="str">
        <f t="shared" si="2"/>
        <v/>
      </c>
    </row>
    <row r="1535">
      <c r="A1535" s="22" t="s">
        <v>69</v>
      </c>
      <c r="B1535" s="4" t="s">
        <v>31</v>
      </c>
      <c r="C1535" s="3" t="s">
        <v>2785</v>
      </c>
      <c r="D1535" s="22" t="s">
        <v>2786</v>
      </c>
      <c r="E1535" s="29" t="s">
        <v>2770</v>
      </c>
      <c r="F1535" s="3" t="s">
        <v>27</v>
      </c>
      <c r="G1535" s="3" t="s">
        <v>1453</v>
      </c>
      <c r="H1535" s="9" t="s">
        <v>2787</v>
      </c>
      <c r="I1535" s="6"/>
      <c r="J1535" s="6"/>
      <c r="K1535" s="6"/>
      <c r="L1535" s="6"/>
      <c r="M1535" s="26"/>
      <c r="O1535" s="19" t="str">
        <f t="shared" si="2"/>
        <v/>
      </c>
    </row>
    <row r="1536">
      <c r="A1536" s="22" t="s">
        <v>61</v>
      </c>
      <c r="B1536" s="4" t="s">
        <v>18</v>
      </c>
      <c r="C1536" s="22" t="s">
        <v>2612</v>
      </c>
      <c r="D1536" s="23" t="s">
        <v>2788</v>
      </c>
      <c r="E1536" s="29">
        <v>45955.0</v>
      </c>
      <c r="F1536" s="3">
        <v>9.0</v>
      </c>
      <c r="G1536" s="3" t="s">
        <v>92</v>
      </c>
      <c r="H1536" s="9"/>
      <c r="I1536" s="6"/>
      <c r="J1536" s="6"/>
      <c r="K1536" s="6"/>
      <c r="L1536" s="6"/>
      <c r="M1536" s="26"/>
      <c r="O1536" s="19" t="str">
        <f t="shared" si="2"/>
        <v/>
      </c>
    </row>
    <row r="1537">
      <c r="A1537" s="22" t="s">
        <v>744</v>
      </c>
      <c r="B1537" s="4" t="s">
        <v>18</v>
      </c>
      <c r="C1537" s="22" t="s">
        <v>2758</v>
      </c>
      <c r="D1537" s="23" t="s">
        <v>2759</v>
      </c>
      <c r="E1537" s="29">
        <v>45955.0</v>
      </c>
      <c r="F1537" s="3">
        <v>9.0</v>
      </c>
      <c r="G1537" s="3" t="s">
        <v>92</v>
      </c>
      <c r="H1537" s="9"/>
      <c r="I1537" s="6"/>
      <c r="J1537" s="6"/>
      <c r="K1537" s="6"/>
      <c r="L1537" s="6"/>
      <c r="M1537" s="26"/>
      <c r="O1537" s="19" t="str">
        <f t="shared" si="2"/>
        <v/>
      </c>
    </row>
    <row r="1538">
      <c r="A1538" s="22" t="s">
        <v>184</v>
      </c>
      <c r="B1538" s="4" t="s">
        <v>18</v>
      </c>
      <c r="C1538" s="22" t="s">
        <v>2789</v>
      </c>
      <c r="D1538" s="23" t="s">
        <v>2790</v>
      </c>
      <c r="E1538" s="29">
        <v>45955.0</v>
      </c>
      <c r="F1538" s="3">
        <v>8.0</v>
      </c>
      <c r="G1538" s="3" t="s">
        <v>92</v>
      </c>
      <c r="H1538" s="9"/>
      <c r="I1538" s="6"/>
      <c r="J1538" s="6"/>
      <c r="K1538" s="6"/>
      <c r="L1538" s="6"/>
      <c r="M1538" s="26"/>
      <c r="O1538" s="19" t="str">
        <f t="shared" si="2"/>
        <v/>
      </c>
    </row>
    <row r="1539">
      <c r="A1539" s="22" t="s">
        <v>1660</v>
      </c>
      <c r="B1539" s="4" t="s">
        <v>36</v>
      </c>
      <c r="C1539" s="22" t="s">
        <v>2791</v>
      </c>
      <c r="D1539" s="23"/>
      <c r="E1539" s="29">
        <v>45955.0</v>
      </c>
      <c r="F1539" s="3">
        <v>5.0</v>
      </c>
      <c r="G1539" s="3" t="s">
        <v>92</v>
      </c>
      <c r="H1539" s="9"/>
      <c r="I1539" s="6"/>
      <c r="J1539" s="9" t="s">
        <v>2792</v>
      </c>
      <c r="K1539" s="6"/>
      <c r="L1539" s="6"/>
      <c r="M1539" s="26"/>
      <c r="O1539" s="19" t="str">
        <f t="shared" si="2"/>
        <v/>
      </c>
    </row>
    <row r="1540">
      <c r="A1540" s="22" t="s">
        <v>472</v>
      </c>
      <c r="B1540" s="4" t="s">
        <v>18</v>
      </c>
      <c r="C1540" s="22" t="s">
        <v>2675</v>
      </c>
      <c r="D1540" s="23" t="s">
        <v>2793</v>
      </c>
      <c r="E1540" s="29">
        <v>45955.0</v>
      </c>
      <c r="F1540" s="3">
        <v>8.0</v>
      </c>
      <c r="G1540" s="3" t="s">
        <v>92</v>
      </c>
      <c r="H1540" s="9"/>
      <c r="I1540" s="6"/>
      <c r="J1540" s="6"/>
      <c r="K1540" s="6"/>
      <c r="L1540" s="6"/>
      <c r="M1540" s="26"/>
      <c r="O1540" s="19" t="str">
        <f t="shared" si="2"/>
        <v/>
      </c>
    </row>
    <row r="1541">
      <c r="A1541" s="22" t="s">
        <v>1973</v>
      </c>
      <c r="B1541" s="4" t="s">
        <v>31</v>
      </c>
      <c r="C1541" s="22">
        <v>2542.0</v>
      </c>
      <c r="D1541" s="23" t="s">
        <v>2794</v>
      </c>
      <c r="E1541" s="29">
        <v>45955.0</v>
      </c>
      <c r="F1541" s="3">
        <v>6.0</v>
      </c>
      <c r="G1541" s="3" t="s">
        <v>92</v>
      </c>
      <c r="H1541" s="9"/>
      <c r="I1541" s="6"/>
      <c r="J1541" s="6"/>
      <c r="K1541" s="6"/>
      <c r="L1541" s="6"/>
      <c r="M1541" s="26"/>
      <c r="O1541" s="19" t="str">
        <f t="shared" si="2"/>
        <v/>
      </c>
    </row>
    <row r="1542">
      <c r="A1542" s="22" t="s">
        <v>2503</v>
      </c>
      <c r="B1542" s="4" t="s">
        <v>18</v>
      </c>
      <c r="C1542" s="22" t="s">
        <v>959</v>
      </c>
      <c r="D1542" s="23" t="s">
        <v>2795</v>
      </c>
      <c r="E1542" s="29">
        <v>45955.0</v>
      </c>
      <c r="F1542" s="3">
        <v>8.0</v>
      </c>
      <c r="G1542" s="3" t="s">
        <v>92</v>
      </c>
      <c r="H1542" s="9"/>
      <c r="I1542" s="6"/>
      <c r="J1542" s="6"/>
      <c r="K1542" s="6"/>
      <c r="L1542" s="6"/>
      <c r="M1542" s="26"/>
      <c r="O1542" s="19" t="str">
        <f t="shared" si="2"/>
        <v/>
      </c>
    </row>
    <row r="1543">
      <c r="A1543" s="22" t="s">
        <v>1266</v>
      </c>
      <c r="B1543" s="4" t="s">
        <v>31</v>
      </c>
      <c r="C1543" s="22">
        <v>4350.0</v>
      </c>
      <c r="D1543" s="23" t="s">
        <v>2796</v>
      </c>
      <c r="E1543" s="29">
        <v>45955.0</v>
      </c>
      <c r="F1543" s="3">
        <v>8.0</v>
      </c>
      <c r="G1543" s="3" t="s">
        <v>92</v>
      </c>
      <c r="H1543" s="9"/>
      <c r="I1543" s="6"/>
      <c r="J1543" s="6"/>
      <c r="K1543" s="6"/>
      <c r="L1543" s="6"/>
      <c r="M1543" s="26"/>
      <c r="O1543" s="19" t="str">
        <f t="shared" si="2"/>
        <v/>
      </c>
    </row>
    <row r="1544">
      <c r="A1544" s="22" t="s">
        <v>1582</v>
      </c>
      <c r="B1544" s="4" t="s">
        <v>31</v>
      </c>
      <c r="C1544" s="3" t="s">
        <v>1820</v>
      </c>
      <c r="D1544" s="22" t="s">
        <v>2797</v>
      </c>
      <c r="E1544" s="29" t="s">
        <v>2770</v>
      </c>
      <c r="F1544" s="3" t="s">
        <v>27</v>
      </c>
      <c r="G1544" s="3" t="s">
        <v>1453</v>
      </c>
      <c r="H1544" s="9" t="s">
        <v>2798</v>
      </c>
      <c r="I1544" s="6"/>
      <c r="J1544" s="6"/>
      <c r="K1544" s="6"/>
      <c r="L1544" s="6"/>
      <c r="M1544" s="26"/>
      <c r="O1544" s="19" t="str">
        <f t="shared" si="2"/>
        <v/>
      </c>
    </row>
    <row r="1545">
      <c r="A1545" s="22" t="s">
        <v>2406</v>
      </c>
      <c r="B1545" s="4" t="s">
        <v>31</v>
      </c>
      <c r="C1545" s="22" t="s">
        <v>2799</v>
      </c>
      <c r="D1545" s="23" t="s">
        <v>2800</v>
      </c>
      <c r="E1545" s="29">
        <v>45956.0</v>
      </c>
      <c r="F1545" s="3">
        <v>8.0</v>
      </c>
      <c r="G1545" s="3" t="s">
        <v>92</v>
      </c>
      <c r="H1545" s="9"/>
      <c r="I1545" s="6"/>
      <c r="J1545" s="6"/>
      <c r="K1545" s="6"/>
      <c r="L1545" s="6"/>
      <c r="M1545" s="26"/>
      <c r="O1545" s="19" t="str">
        <f t="shared" si="2"/>
        <v/>
      </c>
    </row>
    <row r="1546">
      <c r="A1546" s="22" t="s">
        <v>44</v>
      </c>
      <c r="B1546" s="4" t="s">
        <v>45</v>
      </c>
      <c r="C1546" s="22" t="s">
        <v>72</v>
      </c>
      <c r="D1546" s="23" t="s">
        <v>2801</v>
      </c>
      <c r="E1546" s="29">
        <v>45956.0</v>
      </c>
      <c r="F1546" s="3">
        <v>8.0</v>
      </c>
      <c r="G1546" s="3" t="s">
        <v>92</v>
      </c>
      <c r="H1546" s="9"/>
      <c r="I1546" s="6"/>
      <c r="J1546" s="6"/>
      <c r="K1546" s="6"/>
      <c r="L1546" s="6"/>
      <c r="M1546" s="26"/>
      <c r="O1546" s="19" t="str">
        <f t="shared" si="2"/>
        <v/>
      </c>
    </row>
    <row r="1547">
      <c r="A1547" s="22" t="s">
        <v>276</v>
      </c>
      <c r="B1547" s="4" t="s">
        <v>18</v>
      </c>
      <c r="C1547" s="22" t="s">
        <v>2802</v>
      </c>
      <c r="D1547" s="23" t="s">
        <v>2803</v>
      </c>
      <c r="E1547" s="29">
        <v>45956.0</v>
      </c>
      <c r="F1547" s="3">
        <v>8.0</v>
      </c>
      <c r="G1547" s="3" t="s">
        <v>92</v>
      </c>
      <c r="H1547" s="9"/>
      <c r="I1547" s="6"/>
      <c r="J1547" s="6"/>
      <c r="K1547" s="6"/>
      <c r="L1547" s="6"/>
      <c r="M1547" s="26"/>
      <c r="O1547" s="19" t="str">
        <f t="shared" si="2"/>
        <v/>
      </c>
    </row>
    <row r="1548">
      <c r="A1548" s="22" t="s">
        <v>744</v>
      </c>
      <c r="B1548" s="4" t="s">
        <v>18</v>
      </c>
      <c r="C1548" s="22">
        <v>4869.0</v>
      </c>
      <c r="D1548" s="23" t="s">
        <v>2804</v>
      </c>
      <c r="E1548" s="29">
        <v>45956.0</v>
      </c>
      <c r="F1548" s="3">
        <v>9.0</v>
      </c>
      <c r="G1548" s="3" t="s">
        <v>92</v>
      </c>
      <c r="H1548" s="9"/>
      <c r="I1548" s="6"/>
      <c r="J1548" s="6"/>
      <c r="K1548" s="6"/>
      <c r="L1548" s="6"/>
      <c r="M1548" s="26"/>
      <c r="O1548" s="19" t="str">
        <f t="shared" si="2"/>
        <v/>
      </c>
    </row>
    <row r="1549">
      <c r="A1549" s="22" t="s">
        <v>1320</v>
      </c>
      <c r="B1549" s="4" t="s">
        <v>45</v>
      </c>
      <c r="C1549" s="22" t="s">
        <v>1343</v>
      </c>
      <c r="D1549" s="23" t="s">
        <v>2805</v>
      </c>
      <c r="E1549" s="29">
        <v>45956.0</v>
      </c>
      <c r="F1549" s="3">
        <v>6.0</v>
      </c>
      <c r="G1549" s="3" t="s">
        <v>92</v>
      </c>
      <c r="H1549" s="9"/>
      <c r="I1549" s="6"/>
      <c r="J1549" s="6"/>
      <c r="K1549" s="6"/>
      <c r="L1549" s="6"/>
      <c r="M1549" s="26"/>
      <c r="O1549" s="19" t="str">
        <f t="shared" si="2"/>
        <v/>
      </c>
    </row>
    <row r="1550">
      <c r="A1550" s="22" t="s">
        <v>168</v>
      </c>
      <c r="B1550" s="4" t="s">
        <v>45</v>
      </c>
      <c r="C1550" s="3" t="s">
        <v>2806</v>
      </c>
      <c r="D1550" s="22" t="s">
        <v>2807</v>
      </c>
      <c r="E1550" s="29">
        <v>45956.0</v>
      </c>
      <c r="F1550" s="3" t="s">
        <v>27</v>
      </c>
      <c r="G1550" s="3" t="s">
        <v>129</v>
      </c>
      <c r="H1550" s="9"/>
      <c r="I1550" s="6"/>
      <c r="J1550" s="6"/>
      <c r="K1550" s="6"/>
      <c r="L1550" s="6"/>
      <c r="M1550" s="26"/>
      <c r="O1550" s="19" t="str">
        <f t="shared" si="2"/>
        <v/>
      </c>
    </row>
    <row r="1551">
      <c r="A1551" s="22" t="s">
        <v>1266</v>
      </c>
      <c r="B1551" s="4" t="s">
        <v>31</v>
      </c>
      <c r="C1551" s="3" t="s">
        <v>2376</v>
      </c>
      <c r="D1551" s="22" t="s">
        <v>2808</v>
      </c>
      <c r="E1551" s="29">
        <v>45956.0</v>
      </c>
      <c r="F1551" s="3" t="s">
        <v>27</v>
      </c>
      <c r="G1551" s="3" t="s">
        <v>129</v>
      </c>
      <c r="H1551" s="9"/>
      <c r="I1551" s="6"/>
      <c r="J1551" s="6"/>
      <c r="K1551" s="6"/>
      <c r="L1551" s="6"/>
      <c r="M1551" s="26"/>
      <c r="O1551" s="19" t="str">
        <f t="shared" si="2"/>
        <v/>
      </c>
    </row>
    <row r="1552">
      <c r="A1552" s="22" t="s">
        <v>2406</v>
      </c>
      <c r="B1552" s="4" t="s">
        <v>31</v>
      </c>
      <c r="C1552" s="3" t="s">
        <v>2809</v>
      </c>
      <c r="D1552" s="22" t="s">
        <v>2810</v>
      </c>
      <c r="E1552" s="29">
        <v>45956.0</v>
      </c>
      <c r="F1552" s="3" t="s">
        <v>27</v>
      </c>
      <c r="G1552" s="3" t="s">
        <v>129</v>
      </c>
      <c r="H1552" s="9"/>
      <c r="I1552" s="6"/>
      <c r="J1552" s="6"/>
      <c r="K1552" s="6"/>
      <c r="L1552" s="6"/>
      <c r="M1552" s="26"/>
      <c r="O1552" s="19" t="str">
        <f t="shared" si="2"/>
        <v/>
      </c>
    </row>
    <row r="1553">
      <c r="A1553" s="22" t="s">
        <v>1660</v>
      </c>
      <c r="B1553" s="4" t="s">
        <v>36</v>
      </c>
      <c r="C1553" s="3" t="s">
        <v>1730</v>
      </c>
      <c r="D1553" s="22" t="s">
        <v>2811</v>
      </c>
      <c r="E1553" s="29">
        <v>45956.0</v>
      </c>
      <c r="F1553" s="3" t="s">
        <v>27</v>
      </c>
      <c r="G1553" s="3" t="s">
        <v>129</v>
      </c>
      <c r="H1553" s="9"/>
      <c r="I1553" s="6"/>
      <c r="J1553" s="6"/>
      <c r="K1553" s="6"/>
      <c r="L1553" s="6"/>
      <c r="M1553" s="26"/>
      <c r="O1553" s="19" t="str">
        <f t="shared" si="2"/>
        <v/>
      </c>
    </row>
    <row r="1554">
      <c r="A1554" s="22" t="s">
        <v>232</v>
      </c>
      <c r="B1554" s="4" t="s">
        <v>18</v>
      </c>
      <c r="C1554" s="3" t="s">
        <v>508</v>
      </c>
      <c r="D1554" s="22" t="s">
        <v>2812</v>
      </c>
      <c r="E1554" s="29">
        <v>45956.0</v>
      </c>
      <c r="F1554" s="3" t="s">
        <v>27</v>
      </c>
      <c r="G1554" s="3" t="s">
        <v>129</v>
      </c>
      <c r="H1554" s="9"/>
      <c r="I1554" s="6"/>
      <c r="J1554" s="6"/>
      <c r="K1554" s="6"/>
      <c r="L1554" s="6"/>
      <c r="M1554" s="26"/>
      <c r="O1554" s="19" t="str">
        <f t="shared" si="2"/>
        <v/>
      </c>
    </row>
    <row r="1555">
      <c r="A1555" s="22" t="s">
        <v>244</v>
      </c>
      <c r="B1555" s="4" t="s">
        <v>18</v>
      </c>
      <c r="C1555" s="3" t="s">
        <v>293</v>
      </c>
      <c r="D1555" s="22" t="s">
        <v>2813</v>
      </c>
      <c r="E1555" s="29">
        <v>45956.0</v>
      </c>
      <c r="F1555" s="3" t="s">
        <v>27</v>
      </c>
      <c r="G1555" s="3" t="s">
        <v>129</v>
      </c>
      <c r="H1555" s="9"/>
      <c r="I1555" s="6"/>
      <c r="J1555" s="6"/>
      <c r="K1555" s="6"/>
      <c r="L1555" s="6"/>
      <c r="M1555" s="26"/>
      <c r="O1555" s="19" t="str">
        <f t="shared" si="2"/>
        <v/>
      </c>
    </row>
    <row r="1556">
      <c r="A1556" s="22" t="s">
        <v>274</v>
      </c>
      <c r="B1556" s="4" t="s">
        <v>18</v>
      </c>
      <c r="C1556" s="3" t="s">
        <v>410</v>
      </c>
      <c r="D1556" s="22" t="s">
        <v>2814</v>
      </c>
      <c r="E1556" s="29">
        <v>45956.0</v>
      </c>
      <c r="F1556" s="3" t="s">
        <v>27</v>
      </c>
      <c r="G1556" s="3" t="s">
        <v>129</v>
      </c>
      <c r="H1556" s="9"/>
      <c r="I1556" s="6"/>
      <c r="J1556" s="6"/>
      <c r="K1556" s="6"/>
      <c r="L1556" s="6"/>
      <c r="M1556" s="26"/>
      <c r="O1556" s="19" t="str">
        <f t="shared" si="2"/>
        <v/>
      </c>
    </row>
    <row r="1557">
      <c r="A1557" s="22" t="s">
        <v>168</v>
      </c>
      <c r="B1557" s="4" t="s">
        <v>45</v>
      </c>
      <c r="C1557" s="3" t="s">
        <v>2653</v>
      </c>
      <c r="D1557" s="22" t="s">
        <v>2815</v>
      </c>
      <c r="E1557" s="29" t="s">
        <v>2770</v>
      </c>
      <c r="F1557" s="3" t="s">
        <v>27</v>
      </c>
      <c r="G1557" s="3" t="s">
        <v>1453</v>
      </c>
      <c r="H1557" s="9" t="s">
        <v>2816</v>
      </c>
      <c r="I1557" s="6"/>
      <c r="J1557" s="6"/>
      <c r="K1557" s="6"/>
      <c r="L1557" s="6"/>
      <c r="M1557" s="26"/>
      <c r="O1557" s="19" t="str">
        <f t="shared" si="2"/>
        <v/>
      </c>
    </row>
    <row r="1558">
      <c r="A1558" s="22" t="s">
        <v>44</v>
      </c>
      <c r="B1558" s="4" t="s">
        <v>45</v>
      </c>
      <c r="C1558" s="3" t="s">
        <v>2817</v>
      </c>
      <c r="D1558" s="22" t="s">
        <v>2818</v>
      </c>
      <c r="E1558" s="29" t="s">
        <v>2819</v>
      </c>
      <c r="F1558" s="3" t="s">
        <v>27</v>
      </c>
      <c r="G1558" s="3" t="s">
        <v>1453</v>
      </c>
      <c r="H1558" s="9" t="s">
        <v>2820</v>
      </c>
      <c r="I1558" s="6"/>
      <c r="J1558" s="6"/>
      <c r="K1558" s="6"/>
      <c r="L1558" s="6"/>
      <c r="M1558" s="26"/>
      <c r="O1558" s="19" t="str">
        <f t="shared" si="2"/>
        <v/>
      </c>
    </row>
    <row r="1559">
      <c r="A1559" s="22" t="s">
        <v>274</v>
      </c>
      <c r="B1559" s="4" t="s">
        <v>18</v>
      </c>
      <c r="C1559" s="3" t="s">
        <v>839</v>
      </c>
      <c r="D1559" s="22" t="s">
        <v>2821</v>
      </c>
      <c r="E1559" s="29" t="s">
        <v>2819</v>
      </c>
      <c r="F1559" s="3" t="s">
        <v>27</v>
      </c>
      <c r="G1559" s="3" t="s">
        <v>1453</v>
      </c>
      <c r="H1559" s="9" t="s">
        <v>2822</v>
      </c>
      <c r="I1559" s="6"/>
      <c r="J1559" s="6"/>
      <c r="K1559" s="6"/>
      <c r="L1559" s="6"/>
      <c r="M1559" s="26"/>
      <c r="O1559" s="19" t="str">
        <f t="shared" si="2"/>
        <v/>
      </c>
    </row>
    <row r="1560">
      <c r="A1560" s="22" t="s">
        <v>30</v>
      </c>
      <c r="B1560" s="4" t="s">
        <v>31</v>
      </c>
      <c r="C1560" s="3" t="s">
        <v>32</v>
      </c>
      <c r="D1560" s="22" t="s">
        <v>2823</v>
      </c>
      <c r="E1560" s="29" t="s">
        <v>2819</v>
      </c>
      <c r="F1560" s="3" t="s">
        <v>22</v>
      </c>
      <c r="G1560" s="3" t="s">
        <v>1453</v>
      </c>
      <c r="H1560" s="9" t="s">
        <v>2824</v>
      </c>
      <c r="I1560" s="6"/>
      <c r="J1560" s="6"/>
      <c r="K1560" s="6"/>
      <c r="L1560" s="6"/>
      <c r="M1560" s="26"/>
      <c r="O1560" s="19" t="str">
        <f t="shared" si="2"/>
        <v/>
      </c>
    </row>
    <row r="1561">
      <c r="A1561" s="22" t="s">
        <v>1660</v>
      </c>
      <c r="B1561" s="4" t="s">
        <v>36</v>
      </c>
      <c r="C1561" s="22" t="s">
        <v>1661</v>
      </c>
      <c r="D1561" s="23"/>
      <c r="E1561" s="29">
        <v>45956.0</v>
      </c>
      <c r="F1561" s="3">
        <v>5.0</v>
      </c>
      <c r="G1561" s="3" t="s">
        <v>92</v>
      </c>
      <c r="H1561" s="9"/>
      <c r="I1561" s="6"/>
      <c r="J1561" s="6"/>
      <c r="K1561" s="6"/>
      <c r="L1561" s="6"/>
      <c r="M1561" s="26"/>
      <c r="O1561" s="19" t="str">
        <f t="shared" si="2"/>
        <v/>
      </c>
    </row>
    <row r="1562">
      <c r="A1562" s="22" t="s">
        <v>1973</v>
      </c>
      <c r="B1562" s="4" t="s">
        <v>31</v>
      </c>
      <c r="C1562" s="22">
        <v>2452.0</v>
      </c>
      <c r="D1562" s="23"/>
      <c r="E1562" s="29">
        <v>45956.0</v>
      </c>
      <c r="F1562" s="3">
        <v>5.0</v>
      </c>
      <c r="G1562" s="3" t="s">
        <v>92</v>
      </c>
      <c r="H1562" s="9"/>
      <c r="I1562" s="6"/>
      <c r="J1562" s="6"/>
      <c r="K1562" s="6"/>
      <c r="L1562" s="6"/>
      <c r="M1562" s="26"/>
      <c r="O1562" s="19" t="str">
        <f t="shared" si="2"/>
        <v/>
      </c>
    </row>
    <row r="1563">
      <c r="A1563" s="22" t="s">
        <v>1062</v>
      </c>
      <c r="B1563" s="4" t="s">
        <v>18</v>
      </c>
      <c r="C1563" s="22" t="s">
        <v>574</v>
      </c>
      <c r="D1563" s="23" t="s">
        <v>2825</v>
      </c>
      <c r="E1563" s="29">
        <v>45956.0</v>
      </c>
      <c r="F1563" s="3">
        <v>6.0</v>
      </c>
      <c r="G1563" s="3" t="s">
        <v>92</v>
      </c>
      <c r="H1563" s="9"/>
      <c r="I1563" s="6"/>
      <c r="J1563" s="6"/>
      <c r="K1563" s="6"/>
      <c r="L1563" s="6"/>
      <c r="M1563" s="26"/>
      <c r="O1563" s="19" t="str">
        <f t="shared" si="2"/>
        <v/>
      </c>
    </row>
    <row r="1564">
      <c r="A1564" s="22" t="s">
        <v>77</v>
      </c>
      <c r="B1564" s="4" t="s">
        <v>18</v>
      </c>
      <c r="C1564" s="22" t="s">
        <v>1903</v>
      </c>
      <c r="D1564" s="23"/>
      <c r="E1564" s="29">
        <v>45956.0</v>
      </c>
      <c r="F1564" s="3">
        <v>5.0</v>
      </c>
      <c r="G1564" s="3" t="s">
        <v>92</v>
      </c>
      <c r="H1564" s="9"/>
      <c r="I1564" s="6"/>
      <c r="J1564" s="6"/>
      <c r="K1564" s="6"/>
      <c r="L1564" s="6"/>
      <c r="M1564" s="26"/>
      <c r="O1564" s="19" t="str">
        <f t="shared" si="2"/>
        <v/>
      </c>
    </row>
    <row r="1565">
      <c r="A1565" s="22" t="s">
        <v>305</v>
      </c>
      <c r="B1565" s="4" t="s">
        <v>36</v>
      </c>
      <c r="C1565" s="22">
        <v>3199.0</v>
      </c>
      <c r="D1565" s="23"/>
      <c r="E1565" s="29">
        <v>45956.0</v>
      </c>
      <c r="F1565" s="3">
        <v>5.0</v>
      </c>
      <c r="G1565" s="3" t="s">
        <v>92</v>
      </c>
      <c r="H1565" s="9"/>
      <c r="I1565" s="6"/>
      <c r="J1565" s="6"/>
      <c r="K1565" s="6"/>
      <c r="L1565" s="6"/>
      <c r="M1565" s="26"/>
      <c r="O1565" s="19" t="str">
        <f t="shared" si="2"/>
        <v/>
      </c>
    </row>
    <row r="1566">
      <c r="A1566" s="22" t="s">
        <v>168</v>
      </c>
      <c r="B1566" s="4" t="s">
        <v>45</v>
      </c>
      <c r="C1566" s="22" t="s">
        <v>216</v>
      </c>
      <c r="D1566" s="23" t="s">
        <v>2826</v>
      </c>
      <c r="E1566" s="29">
        <v>45956.0</v>
      </c>
      <c r="F1566" s="3">
        <v>8.0</v>
      </c>
      <c r="G1566" s="3" t="s">
        <v>92</v>
      </c>
      <c r="H1566" s="9"/>
      <c r="I1566" s="6"/>
      <c r="J1566" s="6"/>
      <c r="K1566" s="6"/>
      <c r="L1566" s="6"/>
      <c r="M1566" s="26"/>
      <c r="O1566" s="19" t="str">
        <f t="shared" si="2"/>
        <v/>
      </c>
    </row>
    <row r="1567">
      <c r="A1567" s="22" t="s">
        <v>669</v>
      </c>
      <c r="B1567" s="4" t="s">
        <v>31</v>
      </c>
      <c r="C1567" s="22" t="s">
        <v>776</v>
      </c>
      <c r="D1567" s="23" t="s">
        <v>2827</v>
      </c>
      <c r="E1567" s="29">
        <v>45956.0</v>
      </c>
      <c r="F1567" s="3">
        <v>8.0</v>
      </c>
      <c r="G1567" s="3" t="s">
        <v>92</v>
      </c>
      <c r="H1567" s="9"/>
      <c r="I1567" s="6"/>
      <c r="J1567" s="6"/>
      <c r="K1567" s="6"/>
      <c r="L1567" s="6"/>
      <c r="M1567" s="26"/>
      <c r="O1567" s="19" t="str">
        <f t="shared" si="2"/>
        <v/>
      </c>
    </row>
    <row r="1568">
      <c r="A1568" s="22" t="s">
        <v>2266</v>
      </c>
      <c r="B1568" s="4" t="s">
        <v>18</v>
      </c>
      <c r="C1568" s="22" t="s">
        <v>2828</v>
      </c>
      <c r="D1568" s="23" t="s">
        <v>2829</v>
      </c>
      <c r="E1568" s="29">
        <v>45956.0</v>
      </c>
      <c r="F1568" s="3">
        <v>8.0</v>
      </c>
      <c r="G1568" s="3" t="s">
        <v>92</v>
      </c>
      <c r="H1568" s="9"/>
      <c r="I1568" s="6"/>
      <c r="J1568" s="6"/>
      <c r="K1568" s="6"/>
      <c r="L1568" s="6"/>
      <c r="M1568" s="26"/>
      <c r="O1568" s="19" t="str">
        <f t="shared" si="2"/>
        <v/>
      </c>
    </row>
    <row r="1569">
      <c r="A1569" s="22" t="s">
        <v>246</v>
      </c>
      <c r="B1569" s="4" t="s">
        <v>36</v>
      </c>
      <c r="C1569" s="22" t="s">
        <v>2830</v>
      </c>
      <c r="D1569" s="23" t="s">
        <v>2831</v>
      </c>
      <c r="E1569" s="29">
        <v>45956.0</v>
      </c>
      <c r="F1569" s="3">
        <v>8.0</v>
      </c>
      <c r="G1569" s="3" t="s">
        <v>92</v>
      </c>
      <c r="H1569" s="9"/>
      <c r="I1569" s="6"/>
      <c r="J1569" s="6"/>
      <c r="K1569" s="6"/>
      <c r="L1569" s="6"/>
      <c r="M1569" s="26"/>
      <c r="O1569" s="19" t="str">
        <f t="shared" si="2"/>
        <v/>
      </c>
    </row>
    <row r="1570">
      <c r="A1570" s="22" t="s">
        <v>114</v>
      </c>
      <c r="B1570" s="4" t="s">
        <v>31</v>
      </c>
      <c r="C1570" s="22" t="s">
        <v>2832</v>
      </c>
      <c r="D1570" s="23" t="s">
        <v>2833</v>
      </c>
      <c r="E1570" s="29">
        <v>45956.0</v>
      </c>
      <c r="F1570" s="3" t="s">
        <v>22</v>
      </c>
      <c r="G1570" s="3" t="s">
        <v>92</v>
      </c>
      <c r="H1570" s="9"/>
      <c r="I1570" s="6"/>
      <c r="J1570" s="6"/>
      <c r="K1570" s="6"/>
      <c r="L1570" s="6"/>
      <c r="M1570" s="26"/>
      <c r="O1570" s="19" t="str">
        <f t="shared" si="2"/>
        <v/>
      </c>
    </row>
    <row r="1571">
      <c r="A1571" s="22" t="s">
        <v>61</v>
      </c>
      <c r="B1571" s="4" t="s">
        <v>18</v>
      </c>
      <c r="C1571" s="3" t="s">
        <v>62</v>
      </c>
      <c r="D1571" s="22" t="s">
        <v>2834</v>
      </c>
      <c r="E1571" s="29" t="s">
        <v>2819</v>
      </c>
      <c r="F1571" s="3" t="s">
        <v>27</v>
      </c>
      <c r="G1571" s="3" t="s">
        <v>1453</v>
      </c>
      <c r="H1571" s="9" t="s">
        <v>2835</v>
      </c>
      <c r="I1571" s="6"/>
      <c r="J1571" s="6"/>
      <c r="K1571" s="6"/>
      <c r="L1571" s="6"/>
      <c r="M1571" s="26"/>
      <c r="O1571" s="19" t="str">
        <f t="shared" si="2"/>
        <v/>
      </c>
    </row>
    <row r="1572">
      <c r="A1572" s="22" t="s">
        <v>2620</v>
      </c>
      <c r="B1572" s="4" t="s">
        <v>18</v>
      </c>
      <c r="C1572" s="3" t="s">
        <v>2689</v>
      </c>
      <c r="D1572" s="22" t="s">
        <v>2836</v>
      </c>
      <c r="E1572" s="29" t="s">
        <v>2819</v>
      </c>
      <c r="F1572" s="3" t="s">
        <v>27</v>
      </c>
      <c r="G1572" s="3" t="s">
        <v>1453</v>
      </c>
      <c r="H1572" s="9" t="s">
        <v>2837</v>
      </c>
      <c r="I1572" s="6"/>
      <c r="J1572" s="6"/>
      <c r="K1572" s="6"/>
      <c r="L1572" s="6"/>
      <c r="M1572" s="26"/>
      <c r="O1572" s="19" t="str">
        <f t="shared" si="2"/>
        <v/>
      </c>
    </row>
    <row r="1573">
      <c r="A1573" s="22" t="s">
        <v>1055</v>
      </c>
      <c r="B1573" s="4" t="s">
        <v>31</v>
      </c>
      <c r="C1573" s="3" t="s">
        <v>2838</v>
      </c>
      <c r="D1573" s="22" t="s">
        <v>2839</v>
      </c>
      <c r="E1573" s="29">
        <v>45957.0</v>
      </c>
      <c r="F1573" s="3" t="s">
        <v>27</v>
      </c>
      <c r="G1573" s="3" t="s">
        <v>129</v>
      </c>
      <c r="H1573" s="9"/>
      <c r="I1573" s="6"/>
      <c r="J1573" s="6"/>
      <c r="K1573" s="6"/>
      <c r="L1573" s="6"/>
      <c r="M1573" s="26"/>
      <c r="O1573" s="19" t="str">
        <f t="shared" si="2"/>
        <v/>
      </c>
    </row>
    <row r="1574">
      <c r="A1574" s="22" t="s">
        <v>120</v>
      </c>
      <c r="B1574" s="4" t="s">
        <v>31</v>
      </c>
      <c r="C1574" s="3" t="s">
        <v>1172</v>
      </c>
      <c r="D1574" s="22" t="s">
        <v>2840</v>
      </c>
      <c r="E1574" s="29">
        <v>45957.0</v>
      </c>
      <c r="F1574" s="3" t="s">
        <v>27</v>
      </c>
      <c r="G1574" s="3" t="s">
        <v>129</v>
      </c>
      <c r="H1574" s="9"/>
      <c r="I1574" s="6"/>
      <c r="J1574" s="6"/>
      <c r="K1574" s="6"/>
      <c r="L1574" s="6"/>
      <c r="M1574" s="26"/>
      <c r="O1574" s="19" t="str">
        <f t="shared" si="2"/>
        <v/>
      </c>
    </row>
    <row r="1575">
      <c r="A1575" s="22" t="s">
        <v>116</v>
      </c>
      <c r="B1575" s="4" t="s">
        <v>31</v>
      </c>
      <c r="C1575" s="3" t="s">
        <v>1851</v>
      </c>
      <c r="D1575" s="22" t="s">
        <v>2841</v>
      </c>
      <c r="E1575" s="29">
        <v>45957.0</v>
      </c>
      <c r="F1575" s="3" t="s">
        <v>27</v>
      </c>
      <c r="G1575" s="3" t="s">
        <v>129</v>
      </c>
      <c r="H1575" s="9"/>
      <c r="I1575" s="6"/>
      <c r="J1575" s="6"/>
      <c r="K1575" s="6"/>
      <c r="L1575" s="6"/>
      <c r="M1575" s="26"/>
      <c r="O1575" s="19" t="str">
        <f t="shared" si="2"/>
        <v/>
      </c>
    </row>
    <row r="1576">
      <c r="A1576" s="22" t="s">
        <v>510</v>
      </c>
      <c r="B1576" s="4" t="s">
        <v>18</v>
      </c>
      <c r="C1576" s="3" t="s">
        <v>564</v>
      </c>
      <c r="D1576" s="22" t="s">
        <v>2842</v>
      </c>
      <c r="E1576" s="29" t="s">
        <v>2819</v>
      </c>
      <c r="F1576" s="3" t="s">
        <v>27</v>
      </c>
      <c r="G1576" s="3" t="s">
        <v>1453</v>
      </c>
      <c r="H1576" s="9" t="s">
        <v>2843</v>
      </c>
      <c r="I1576" s="6"/>
      <c r="J1576" s="6"/>
      <c r="K1576" s="6"/>
      <c r="L1576" s="6"/>
      <c r="M1576" s="26"/>
      <c r="O1576" s="19" t="str">
        <f t="shared" si="2"/>
        <v/>
      </c>
    </row>
    <row r="1577">
      <c r="A1577" s="22" t="s">
        <v>2503</v>
      </c>
      <c r="B1577" s="4" t="s">
        <v>18</v>
      </c>
      <c r="C1577" s="3" t="s">
        <v>127</v>
      </c>
      <c r="D1577" s="22" t="s">
        <v>2844</v>
      </c>
      <c r="E1577" s="29" t="s">
        <v>2819</v>
      </c>
      <c r="F1577" s="3" t="s">
        <v>27</v>
      </c>
      <c r="G1577" s="3" t="s">
        <v>1453</v>
      </c>
      <c r="H1577" s="9" t="s">
        <v>2845</v>
      </c>
      <c r="I1577" s="6"/>
      <c r="J1577" s="6"/>
      <c r="K1577" s="6"/>
      <c r="L1577" s="6"/>
      <c r="M1577" s="26"/>
      <c r="O1577" s="19" t="str">
        <f t="shared" si="2"/>
        <v/>
      </c>
    </row>
    <row r="1578">
      <c r="A1578" s="22" t="s">
        <v>23</v>
      </c>
      <c r="B1578" s="4" t="s">
        <v>18</v>
      </c>
      <c r="C1578" s="22" t="s">
        <v>2846</v>
      </c>
      <c r="D1578" s="23"/>
      <c r="E1578" s="29">
        <v>45957.0</v>
      </c>
      <c r="F1578" s="3">
        <v>5.0</v>
      </c>
      <c r="G1578" s="3" t="s">
        <v>92</v>
      </c>
      <c r="H1578" s="9" t="s">
        <v>2847</v>
      </c>
      <c r="I1578" s="9">
        <v>6.1467712E10</v>
      </c>
      <c r="J1578" s="10" t="s">
        <v>2848</v>
      </c>
      <c r="K1578" s="9">
        <v>0.0</v>
      </c>
      <c r="L1578" s="6"/>
      <c r="M1578" s="26"/>
      <c r="O1578" s="19" t="str">
        <f t="shared" si="2"/>
        <v/>
      </c>
    </row>
    <row r="1579">
      <c r="A1579" s="22" t="s">
        <v>210</v>
      </c>
      <c r="B1579" s="4" t="s">
        <v>31</v>
      </c>
      <c r="C1579" s="22" t="s">
        <v>1128</v>
      </c>
      <c r="D1579" s="23" t="s">
        <v>2849</v>
      </c>
      <c r="E1579" s="29">
        <v>45957.0</v>
      </c>
      <c r="F1579" s="3">
        <v>9.0</v>
      </c>
      <c r="G1579" s="3" t="s">
        <v>92</v>
      </c>
      <c r="H1579" s="9"/>
      <c r="I1579" s="6"/>
      <c r="J1579" s="6"/>
      <c r="K1579" s="6"/>
      <c r="L1579" s="6"/>
      <c r="M1579" s="26"/>
      <c r="O1579" s="19" t="str">
        <f t="shared" si="2"/>
        <v/>
      </c>
    </row>
    <row r="1580">
      <c r="A1580" s="22" t="s">
        <v>184</v>
      </c>
      <c r="B1580" s="4" t="s">
        <v>18</v>
      </c>
      <c r="C1580" s="22" t="s">
        <v>561</v>
      </c>
      <c r="D1580" s="23" t="s">
        <v>2850</v>
      </c>
      <c r="E1580" s="29">
        <v>45957.0</v>
      </c>
      <c r="F1580" s="3">
        <v>9.0</v>
      </c>
      <c r="G1580" s="3" t="s">
        <v>92</v>
      </c>
      <c r="H1580" s="9"/>
      <c r="I1580" s="6"/>
      <c r="J1580" s="6"/>
      <c r="K1580" s="6"/>
      <c r="L1580" s="6"/>
      <c r="M1580" s="26"/>
      <c r="O1580" s="19" t="str">
        <f t="shared" si="2"/>
        <v/>
      </c>
    </row>
    <row r="1581">
      <c r="A1581" s="22" t="s">
        <v>744</v>
      </c>
      <c r="B1581" s="4" t="s">
        <v>18</v>
      </c>
      <c r="C1581" s="22" t="s">
        <v>2851</v>
      </c>
      <c r="D1581" s="23" t="s">
        <v>2852</v>
      </c>
      <c r="E1581" s="29">
        <v>45957.0</v>
      </c>
      <c r="F1581" s="3">
        <v>8.0</v>
      </c>
      <c r="G1581" s="3" t="s">
        <v>92</v>
      </c>
      <c r="H1581" s="9"/>
      <c r="I1581" s="6"/>
      <c r="J1581" s="6"/>
      <c r="K1581" s="6"/>
      <c r="L1581" s="6"/>
      <c r="M1581" s="26"/>
      <c r="O1581" s="19" t="str">
        <f t="shared" si="2"/>
        <v/>
      </c>
    </row>
    <row r="1582">
      <c r="A1582" s="22" t="s">
        <v>1266</v>
      </c>
      <c r="B1582" s="4" t="s">
        <v>31</v>
      </c>
      <c r="C1582" s="22" t="s">
        <v>2853</v>
      </c>
      <c r="D1582" s="23" t="s">
        <v>2854</v>
      </c>
      <c r="E1582" s="29">
        <v>45957.0</v>
      </c>
      <c r="F1582" s="3">
        <v>6.0</v>
      </c>
      <c r="G1582" s="3" t="s">
        <v>92</v>
      </c>
      <c r="H1582" s="9"/>
      <c r="I1582" s="6"/>
      <c r="J1582" s="6"/>
      <c r="K1582" s="6"/>
      <c r="L1582" s="6"/>
      <c r="M1582" s="26"/>
      <c r="O1582" s="19" t="str">
        <f t="shared" si="2"/>
        <v/>
      </c>
    </row>
    <row r="1583">
      <c r="A1583" s="22" t="s">
        <v>244</v>
      </c>
      <c r="B1583" s="4" t="s">
        <v>18</v>
      </c>
      <c r="C1583" s="3" t="s">
        <v>2855</v>
      </c>
      <c r="D1583" s="22" t="s">
        <v>2856</v>
      </c>
      <c r="E1583" s="29" t="s">
        <v>2819</v>
      </c>
      <c r="F1583" s="3" t="s">
        <v>27</v>
      </c>
      <c r="G1583" s="3" t="s">
        <v>1453</v>
      </c>
      <c r="H1583" s="9" t="s">
        <v>2857</v>
      </c>
      <c r="I1583" s="6"/>
      <c r="J1583" s="6"/>
      <c r="K1583" s="6"/>
      <c r="L1583" s="6"/>
      <c r="M1583" s="26"/>
      <c r="O1583" s="19" t="str">
        <f t="shared" si="2"/>
        <v/>
      </c>
    </row>
    <row r="1584">
      <c r="A1584" s="22" t="s">
        <v>57</v>
      </c>
      <c r="B1584" s="4" t="s">
        <v>18</v>
      </c>
      <c r="C1584" s="3" t="s">
        <v>2858</v>
      </c>
      <c r="D1584" s="22" t="s">
        <v>1555</v>
      </c>
      <c r="E1584" s="29" t="s">
        <v>2859</v>
      </c>
      <c r="F1584" s="3" t="s">
        <v>27</v>
      </c>
      <c r="G1584" s="3" t="s">
        <v>1453</v>
      </c>
      <c r="H1584" s="9" t="s">
        <v>2860</v>
      </c>
      <c r="I1584" s="6"/>
      <c r="J1584" s="6"/>
      <c r="K1584" s="6"/>
      <c r="L1584" s="6"/>
      <c r="M1584" s="26"/>
      <c r="O1584" s="19" t="str">
        <f t="shared" si="2"/>
        <v/>
      </c>
    </row>
    <row r="1585">
      <c r="A1585" s="22" t="s">
        <v>274</v>
      </c>
      <c r="B1585" s="4" t="s">
        <v>18</v>
      </c>
      <c r="C1585" s="3" t="s">
        <v>2861</v>
      </c>
      <c r="D1585" s="22" t="s">
        <v>2862</v>
      </c>
      <c r="E1585" s="29" t="s">
        <v>2859</v>
      </c>
      <c r="F1585" s="3" t="s">
        <v>27</v>
      </c>
      <c r="G1585" s="3" t="s">
        <v>1453</v>
      </c>
      <c r="H1585" s="9" t="s">
        <v>2863</v>
      </c>
      <c r="I1585" s="6"/>
      <c r="J1585" s="6"/>
      <c r="K1585" s="6"/>
      <c r="L1585" s="6"/>
      <c r="M1585" s="26"/>
      <c r="O1585" s="19" t="str">
        <f t="shared" si="2"/>
        <v/>
      </c>
    </row>
    <row r="1586">
      <c r="A1586" s="22" t="s">
        <v>23</v>
      </c>
      <c r="B1586" s="4" t="s">
        <v>18</v>
      </c>
      <c r="C1586" s="3" t="s">
        <v>24</v>
      </c>
      <c r="D1586" s="22" t="s">
        <v>2864</v>
      </c>
      <c r="E1586" s="29" t="s">
        <v>2859</v>
      </c>
      <c r="F1586" s="3" t="s">
        <v>27</v>
      </c>
      <c r="G1586" s="3" t="s">
        <v>1453</v>
      </c>
      <c r="H1586" s="9" t="s">
        <v>2865</v>
      </c>
      <c r="I1586" s="9">
        <v>6.1417738225E10</v>
      </c>
      <c r="J1586" s="10" t="s">
        <v>2866</v>
      </c>
      <c r="K1586" s="9">
        <v>500.0</v>
      </c>
      <c r="L1586" s="6"/>
      <c r="M1586" s="26"/>
      <c r="O1586" s="19" t="str">
        <f t="shared" si="2"/>
        <v/>
      </c>
    </row>
    <row r="1587">
      <c r="A1587" s="22" t="s">
        <v>210</v>
      </c>
      <c r="B1587" s="4" t="s">
        <v>31</v>
      </c>
      <c r="C1587" s="3" t="s">
        <v>770</v>
      </c>
      <c r="D1587" s="22" t="s">
        <v>2867</v>
      </c>
      <c r="E1587" s="29">
        <v>45957.0</v>
      </c>
      <c r="F1587" s="3" t="s">
        <v>27</v>
      </c>
      <c r="G1587" s="3" t="s">
        <v>129</v>
      </c>
      <c r="H1587" s="9"/>
      <c r="I1587" s="6"/>
      <c r="J1587" s="6"/>
      <c r="K1587" s="6"/>
      <c r="L1587" s="6"/>
      <c r="M1587" s="26"/>
      <c r="O1587" s="19" t="str">
        <f t="shared" si="2"/>
        <v/>
      </c>
    </row>
    <row r="1588">
      <c r="A1588" s="22" t="s">
        <v>236</v>
      </c>
      <c r="B1588" s="4" t="s">
        <v>18</v>
      </c>
      <c r="C1588" s="22" t="s">
        <v>2868</v>
      </c>
      <c r="D1588" s="23" t="s">
        <v>2869</v>
      </c>
      <c r="E1588" s="29">
        <v>45958.0</v>
      </c>
      <c r="F1588" s="3">
        <v>6.0</v>
      </c>
      <c r="G1588" s="3" t="s">
        <v>92</v>
      </c>
      <c r="H1588" s="9"/>
      <c r="I1588" s="6"/>
      <c r="J1588" s="6"/>
      <c r="K1588" s="6"/>
      <c r="L1588" s="6"/>
      <c r="M1588" s="26"/>
      <c r="O1588" s="19" t="str">
        <f t="shared" si="2"/>
        <v/>
      </c>
    </row>
    <row r="1589">
      <c r="A1589" s="22" t="s">
        <v>1973</v>
      </c>
      <c r="B1589" s="4" t="s">
        <v>31</v>
      </c>
      <c r="C1589" s="22" t="s">
        <v>2030</v>
      </c>
      <c r="D1589" s="23"/>
      <c r="E1589" s="29">
        <v>45958.0</v>
      </c>
      <c r="F1589" s="3">
        <v>5.0</v>
      </c>
      <c r="G1589" s="3" t="s">
        <v>92</v>
      </c>
      <c r="H1589" s="9"/>
      <c r="I1589" s="6"/>
      <c r="J1589" s="6"/>
      <c r="K1589" s="6"/>
      <c r="L1589" s="6"/>
      <c r="M1589" s="26"/>
      <c r="O1589" s="19" t="str">
        <f t="shared" si="2"/>
        <v/>
      </c>
    </row>
    <row r="1590">
      <c r="A1590" s="22" t="s">
        <v>1062</v>
      </c>
      <c r="B1590" s="4" t="s">
        <v>18</v>
      </c>
      <c r="C1590" s="22" t="s">
        <v>1214</v>
      </c>
      <c r="D1590" s="23"/>
      <c r="E1590" s="29">
        <v>45958.0</v>
      </c>
      <c r="F1590" s="3">
        <v>5.0</v>
      </c>
      <c r="G1590" s="3" t="s">
        <v>92</v>
      </c>
      <c r="H1590" s="9"/>
      <c r="I1590" s="6"/>
      <c r="J1590" s="6"/>
      <c r="K1590" s="6"/>
      <c r="L1590" s="6"/>
      <c r="M1590" s="26"/>
      <c r="O1590" s="19" t="str">
        <f t="shared" si="2"/>
        <v/>
      </c>
    </row>
    <row r="1591">
      <c r="A1591" s="22" t="s">
        <v>168</v>
      </c>
      <c r="B1591" s="4" t="s">
        <v>45</v>
      </c>
      <c r="C1591" s="22" t="s">
        <v>1561</v>
      </c>
      <c r="D1591" s="23"/>
      <c r="E1591" s="29">
        <v>45958.0</v>
      </c>
      <c r="F1591" s="3">
        <v>5.0</v>
      </c>
      <c r="G1591" s="3" t="s">
        <v>92</v>
      </c>
      <c r="H1591" s="9"/>
      <c r="I1591" s="6"/>
      <c r="J1591" s="6"/>
      <c r="K1591" s="6"/>
      <c r="L1591" s="6"/>
      <c r="M1591" s="26"/>
      <c r="O1591" s="19" t="str">
        <f t="shared" si="2"/>
        <v/>
      </c>
    </row>
    <row r="1592">
      <c r="A1592" s="22" t="s">
        <v>265</v>
      </c>
      <c r="B1592" s="4" t="s">
        <v>18</v>
      </c>
      <c r="C1592" s="22" t="s">
        <v>1184</v>
      </c>
      <c r="D1592" s="23" t="s">
        <v>2870</v>
      </c>
      <c r="E1592" s="29">
        <v>45958.0</v>
      </c>
      <c r="F1592" s="3">
        <v>8.0</v>
      </c>
      <c r="G1592" s="3" t="s">
        <v>92</v>
      </c>
      <c r="H1592" s="9" t="s">
        <v>2871</v>
      </c>
      <c r="I1592" s="6"/>
      <c r="J1592" s="6"/>
      <c r="K1592" s="6"/>
      <c r="L1592" s="6"/>
      <c r="M1592" s="26"/>
      <c r="O1592" s="19" t="str">
        <f t="shared" si="2"/>
        <v/>
      </c>
    </row>
    <row r="1593">
      <c r="A1593" s="22" t="s">
        <v>77</v>
      </c>
      <c r="B1593" s="4" t="s">
        <v>18</v>
      </c>
      <c r="C1593" s="22" t="s">
        <v>924</v>
      </c>
      <c r="D1593" s="23" t="s">
        <v>2872</v>
      </c>
      <c r="E1593" s="29">
        <v>45958.0</v>
      </c>
      <c r="F1593" s="3">
        <v>8.0</v>
      </c>
      <c r="G1593" s="3" t="s">
        <v>92</v>
      </c>
      <c r="H1593" s="9"/>
      <c r="I1593" s="6"/>
      <c r="J1593" s="6"/>
      <c r="K1593" s="6"/>
      <c r="L1593" s="6"/>
      <c r="M1593" s="26"/>
      <c r="O1593" s="19" t="str">
        <f t="shared" si="2"/>
        <v/>
      </c>
    </row>
    <row r="1594">
      <c r="A1594" s="22" t="s">
        <v>98</v>
      </c>
      <c r="B1594" s="4" t="s">
        <v>31</v>
      </c>
      <c r="C1594" s="22" t="s">
        <v>2873</v>
      </c>
      <c r="D1594" s="23" t="s">
        <v>2874</v>
      </c>
      <c r="E1594" s="29">
        <v>45958.0</v>
      </c>
      <c r="F1594" s="3">
        <v>8.0</v>
      </c>
      <c r="G1594" s="3" t="s">
        <v>92</v>
      </c>
      <c r="H1594" s="9"/>
      <c r="I1594" s="6"/>
      <c r="J1594" s="6"/>
      <c r="K1594" s="6"/>
      <c r="L1594" s="6"/>
      <c r="M1594" s="26"/>
      <c r="O1594" s="19" t="str">
        <f t="shared" si="2"/>
        <v/>
      </c>
    </row>
    <row r="1595">
      <c r="A1595" s="22" t="s">
        <v>244</v>
      </c>
      <c r="B1595" s="4" t="s">
        <v>18</v>
      </c>
      <c r="C1595" s="3" t="s">
        <v>624</v>
      </c>
      <c r="D1595" s="22" t="s">
        <v>2875</v>
      </c>
      <c r="E1595" s="29">
        <v>45958.0</v>
      </c>
      <c r="F1595" s="3" t="s">
        <v>27</v>
      </c>
      <c r="G1595" s="3" t="s">
        <v>129</v>
      </c>
      <c r="H1595" s="9"/>
      <c r="I1595" s="6"/>
      <c r="J1595" s="6"/>
      <c r="K1595" s="6"/>
      <c r="L1595" s="6"/>
      <c r="M1595" s="26"/>
      <c r="O1595" s="19" t="str">
        <f t="shared" si="2"/>
        <v/>
      </c>
    </row>
    <row r="1596">
      <c r="A1596" s="22" t="s">
        <v>1973</v>
      </c>
      <c r="B1596" s="4" t="s">
        <v>31</v>
      </c>
      <c r="C1596" s="3" t="s">
        <v>2876</v>
      </c>
      <c r="D1596" s="22" t="s">
        <v>2877</v>
      </c>
      <c r="E1596" s="29">
        <v>45958.0</v>
      </c>
      <c r="F1596" s="3" t="s">
        <v>27</v>
      </c>
      <c r="G1596" s="3" t="s">
        <v>129</v>
      </c>
      <c r="H1596" s="9"/>
      <c r="I1596" s="6"/>
      <c r="J1596" s="6"/>
      <c r="K1596" s="6"/>
      <c r="L1596" s="6"/>
      <c r="M1596" s="26"/>
      <c r="O1596" s="19" t="str">
        <f t="shared" si="2"/>
        <v/>
      </c>
    </row>
    <row r="1597">
      <c r="A1597" s="22" t="s">
        <v>246</v>
      </c>
      <c r="B1597" s="4" t="s">
        <v>36</v>
      </c>
      <c r="C1597" s="3" t="s">
        <v>2878</v>
      </c>
      <c r="D1597" s="22" t="s">
        <v>2879</v>
      </c>
      <c r="E1597" s="29">
        <v>45958.0</v>
      </c>
      <c r="F1597" s="3" t="s">
        <v>27</v>
      </c>
      <c r="G1597" s="3" t="s">
        <v>129</v>
      </c>
      <c r="H1597" s="9"/>
      <c r="I1597" s="6"/>
      <c r="J1597" s="6"/>
      <c r="K1597" s="6"/>
      <c r="L1597" s="6"/>
      <c r="M1597" s="26"/>
      <c r="O1597" s="19" t="str">
        <f t="shared" si="2"/>
        <v/>
      </c>
    </row>
    <row r="1598">
      <c r="A1598" s="22" t="s">
        <v>168</v>
      </c>
      <c r="B1598" s="4" t="s">
        <v>45</v>
      </c>
      <c r="C1598" s="3" t="s">
        <v>2880</v>
      </c>
      <c r="D1598" s="22" t="s">
        <v>2881</v>
      </c>
      <c r="E1598" s="29">
        <v>45958.0</v>
      </c>
      <c r="F1598" s="3" t="s">
        <v>27</v>
      </c>
      <c r="G1598" s="3" t="s">
        <v>129</v>
      </c>
      <c r="H1598" s="9"/>
      <c r="I1598" s="6"/>
      <c r="J1598" s="6"/>
      <c r="K1598" s="6"/>
      <c r="L1598" s="6"/>
      <c r="M1598" s="26"/>
      <c r="O1598" s="19" t="str">
        <f t="shared" si="2"/>
        <v/>
      </c>
    </row>
    <row r="1599">
      <c r="A1599" s="22" t="s">
        <v>84</v>
      </c>
      <c r="B1599" s="4" t="s">
        <v>31</v>
      </c>
      <c r="C1599" s="3" t="s">
        <v>2882</v>
      </c>
      <c r="D1599" s="22" t="s">
        <v>2883</v>
      </c>
      <c r="E1599" s="29">
        <v>45958.0</v>
      </c>
      <c r="F1599" s="3" t="s">
        <v>27</v>
      </c>
      <c r="G1599" s="3" t="s">
        <v>129</v>
      </c>
      <c r="H1599" s="9"/>
      <c r="I1599" s="6"/>
      <c r="J1599" s="6"/>
      <c r="K1599" s="6"/>
      <c r="L1599" s="6"/>
      <c r="M1599" s="26"/>
      <c r="O1599" s="19" t="str">
        <f t="shared" si="2"/>
        <v/>
      </c>
    </row>
    <row r="1600">
      <c r="A1600" s="22" t="s">
        <v>2406</v>
      </c>
      <c r="B1600" s="4" t="s">
        <v>31</v>
      </c>
      <c r="C1600" s="3" t="s">
        <v>2884</v>
      </c>
      <c r="D1600" s="22" t="s">
        <v>2885</v>
      </c>
      <c r="E1600" s="29">
        <v>45958.0</v>
      </c>
      <c r="F1600" s="3" t="s">
        <v>27</v>
      </c>
      <c r="G1600" s="3" t="s">
        <v>129</v>
      </c>
      <c r="H1600" s="9"/>
      <c r="I1600" s="6"/>
      <c r="J1600" s="6"/>
      <c r="K1600" s="6"/>
      <c r="L1600" s="6"/>
      <c r="M1600" s="26"/>
      <c r="O1600" s="19" t="str">
        <f t="shared" si="2"/>
        <v/>
      </c>
    </row>
    <row r="1601">
      <c r="A1601" s="22" t="s">
        <v>232</v>
      </c>
      <c r="B1601" s="4" t="s">
        <v>18</v>
      </c>
      <c r="C1601" s="3" t="s">
        <v>2886</v>
      </c>
      <c r="D1601" s="22" t="s">
        <v>2887</v>
      </c>
      <c r="E1601" s="29">
        <v>45958.0</v>
      </c>
      <c r="F1601" s="3" t="s">
        <v>27</v>
      </c>
      <c r="G1601" s="3" t="s">
        <v>129</v>
      </c>
      <c r="H1601" s="9"/>
      <c r="I1601" s="6"/>
      <c r="J1601" s="6"/>
      <c r="K1601" s="6"/>
      <c r="L1601" s="6"/>
      <c r="M1601" s="26"/>
      <c r="O1601" s="19" t="str">
        <f t="shared" si="2"/>
        <v/>
      </c>
    </row>
    <row r="1602">
      <c r="A1602" s="22" t="s">
        <v>1062</v>
      </c>
      <c r="B1602" s="4" t="s">
        <v>18</v>
      </c>
      <c r="C1602" s="3" t="s">
        <v>2888</v>
      </c>
      <c r="D1602" s="22" t="s">
        <v>2889</v>
      </c>
      <c r="E1602" s="29">
        <v>45958.0</v>
      </c>
      <c r="F1602" s="3" t="s">
        <v>27</v>
      </c>
      <c r="G1602" s="3" t="s">
        <v>129</v>
      </c>
      <c r="H1602" s="9"/>
      <c r="I1602" s="6"/>
      <c r="J1602" s="6"/>
      <c r="K1602" s="6"/>
      <c r="L1602" s="6"/>
      <c r="M1602" s="26"/>
      <c r="O1602" s="19" t="str">
        <f t="shared" si="2"/>
        <v/>
      </c>
    </row>
    <row r="1603">
      <c r="A1603" s="22" t="s">
        <v>265</v>
      </c>
      <c r="B1603" s="4" t="s">
        <v>18</v>
      </c>
      <c r="C1603" s="22" t="s">
        <v>421</v>
      </c>
      <c r="D1603" s="23" t="s">
        <v>2890</v>
      </c>
      <c r="E1603" s="29">
        <v>45958.0</v>
      </c>
      <c r="F1603" s="3">
        <v>8.0</v>
      </c>
      <c r="G1603" s="3" t="s">
        <v>92</v>
      </c>
      <c r="H1603" s="9" t="s">
        <v>2871</v>
      </c>
      <c r="I1603" s="6"/>
      <c r="J1603" s="6"/>
      <c r="K1603" s="6"/>
      <c r="L1603" s="6"/>
      <c r="M1603" s="26"/>
      <c r="O1603" s="19" t="str">
        <f t="shared" si="2"/>
        <v/>
      </c>
    </row>
    <row r="1604">
      <c r="A1604" s="22" t="s">
        <v>246</v>
      </c>
      <c r="B1604" s="4" t="s">
        <v>36</v>
      </c>
      <c r="C1604" s="22" t="s">
        <v>300</v>
      </c>
      <c r="D1604" s="23" t="s">
        <v>2891</v>
      </c>
      <c r="E1604" s="29">
        <v>45958.0</v>
      </c>
      <c r="F1604" s="3">
        <v>8.0</v>
      </c>
      <c r="G1604" s="3" t="s">
        <v>92</v>
      </c>
      <c r="H1604" s="9"/>
      <c r="I1604" s="6"/>
      <c r="J1604" s="6"/>
      <c r="K1604" s="6"/>
      <c r="L1604" s="6"/>
      <c r="M1604" s="26"/>
      <c r="O1604" s="19" t="str">
        <f t="shared" si="2"/>
        <v/>
      </c>
    </row>
    <row r="1605">
      <c r="A1605" s="22" t="s">
        <v>1255</v>
      </c>
      <c r="B1605" s="4" t="s">
        <v>18</v>
      </c>
      <c r="C1605" s="3" t="s">
        <v>259</v>
      </c>
      <c r="D1605" s="22" t="s">
        <v>2892</v>
      </c>
      <c r="E1605" s="29" t="s">
        <v>2859</v>
      </c>
      <c r="F1605" s="3" t="s">
        <v>27</v>
      </c>
      <c r="G1605" s="3" t="s">
        <v>1453</v>
      </c>
      <c r="H1605" s="9" t="s">
        <v>2893</v>
      </c>
      <c r="I1605" s="6"/>
      <c r="J1605" s="6"/>
      <c r="K1605" s="6"/>
      <c r="L1605" s="6"/>
      <c r="M1605" s="26"/>
      <c r="O1605" s="19" t="str">
        <f t="shared" si="2"/>
        <v/>
      </c>
    </row>
    <row r="1606">
      <c r="A1606" s="22" t="s">
        <v>61</v>
      </c>
      <c r="B1606" s="4" t="s">
        <v>18</v>
      </c>
      <c r="C1606" s="3" t="s">
        <v>2894</v>
      </c>
      <c r="D1606" s="22"/>
      <c r="E1606" s="29" t="s">
        <v>2859</v>
      </c>
      <c r="F1606" s="3" t="s">
        <v>27</v>
      </c>
      <c r="G1606" s="3" t="s">
        <v>1453</v>
      </c>
      <c r="H1606" s="6"/>
      <c r="I1606" s="9" t="s">
        <v>2895</v>
      </c>
      <c r="J1606" s="6"/>
      <c r="K1606" s="6"/>
      <c r="L1606" s="6"/>
      <c r="M1606" s="26"/>
      <c r="O1606" s="19" t="str">
        <f t="shared" si="2"/>
        <v/>
      </c>
    </row>
    <row r="1607">
      <c r="A1607" s="22" t="s">
        <v>291</v>
      </c>
      <c r="B1607" s="4" t="s">
        <v>31</v>
      </c>
      <c r="C1607" s="3" t="s">
        <v>2896</v>
      </c>
      <c r="D1607" s="22" t="s">
        <v>2897</v>
      </c>
      <c r="E1607" s="29" t="s">
        <v>2859</v>
      </c>
      <c r="F1607" s="3" t="s">
        <v>27</v>
      </c>
      <c r="G1607" s="3" t="s">
        <v>1453</v>
      </c>
      <c r="H1607" s="9" t="s">
        <v>2898</v>
      </c>
      <c r="I1607" s="6"/>
      <c r="J1607" s="6"/>
      <c r="K1607" s="6"/>
      <c r="L1607" s="6"/>
      <c r="M1607" s="26"/>
      <c r="O1607" s="19" t="str">
        <f t="shared" si="2"/>
        <v/>
      </c>
    </row>
    <row r="1608">
      <c r="A1608" s="22" t="s">
        <v>158</v>
      </c>
      <c r="B1608" s="4" t="s">
        <v>31</v>
      </c>
      <c r="C1608" s="22" t="s">
        <v>159</v>
      </c>
      <c r="D1608" s="23" t="s">
        <v>2748</v>
      </c>
      <c r="E1608" s="29">
        <v>45958.0</v>
      </c>
      <c r="F1608" s="3">
        <v>8.0</v>
      </c>
      <c r="G1608" s="3" t="s">
        <v>92</v>
      </c>
      <c r="H1608" s="9"/>
      <c r="I1608" s="6"/>
      <c r="J1608" s="6"/>
      <c r="K1608" s="6"/>
      <c r="L1608" s="6"/>
      <c r="M1608" s="26"/>
      <c r="O1608" s="19" t="str">
        <f t="shared" si="2"/>
        <v/>
      </c>
    </row>
    <row r="1609">
      <c r="A1609" s="22" t="s">
        <v>168</v>
      </c>
      <c r="B1609" s="4" t="s">
        <v>45</v>
      </c>
      <c r="C1609" s="22" t="s">
        <v>1561</v>
      </c>
      <c r="D1609" s="23" t="s">
        <v>2899</v>
      </c>
      <c r="E1609" s="29">
        <v>45958.0</v>
      </c>
      <c r="F1609" s="3">
        <v>8.0</v>
      </c>
      <c r="G1609" s="3" t="s">
        <v>92</v>
      </c>
      <c r="H1609" s="9"/>
      <c r="I1609" s="6"/>
      <c r="J1609" s="6"/>
      <c r="K1609" s="6"/>
      <c r="L1609" s="6"/>
      <c r="M1609" s="26"/>
      <c r="O1609" s="19" t="str">
        <f t="shared" si="2"/>
        <v/>
      </c>
    </row>
    <row r="1610">
      <c r="A1610" s="22" t="s">
        <v>2620</v>
      </c>
      <c r="B1610" s="4" t="s">
        <v>18</v>
      </c>
      <c r="C1610" s="22" t="s">
        <v>2900</v>
      </c>
      <c r="D1610" s="23" t="s">
        <v>2901</v>
      </c>
      <c r="E1610" s="29">
        <v>45958.0</v>
      </c>
      <c r="F1610" s="3">
        <v>8.0</v>
      </c>
      <c r="G1610" s="3" t="s">
        <v>92</v>
      </c>
      <c r="H1610" s="9"/>
      <c r="I1610" s="6"/>
      <c r="J1610" s="6"/>
      <c r="K1610" s="6"/>
      <c r="L1610" s="6"/>
      <c r="M1610" s="26"/>
      <c r="O1610" s="19" t="str">
        <f t="shared" si="2"/>
        <v/>
      </c>
    </row>
    <row r="1611">
      <c r="A1611" s="22" t="s">
        <v>98</v>
      </c>
      <c r="B1611" s="4" t="s">
        <v>31</v>
      </c>
      <c r="C1611" s="22" t="s">
        <v>558</v>
      </c>
      <c r="D1611" s="23" t="s">
        <v>2902</v>
      </c>
      <c r="E1611" s="29">
        <v>45958.0</v>
      </c>
      <c r="F1611" s="3">
        <v>8.0</v>
      </c>
      <c r="G1611" s="3" t="s">
        <v>92</v>
      </c>
      <c r="H1611" s="9"/>
      <c r="I1611" s="6"/>
      <c r="J1611" s="6"/>
      <c r="K1611" s="6"/>
      <c r="L1611" s="6"/>
      <c r="M1611" s="26"/>
      <c r="O1611" s="19" t="str">
        <f t="shared" si="2"/>
        <v/>
      </c>
    </row>
    <row r="1612">
      <c r="A1612" s="22" t="s">
        <v>113</v>
      </c>
      <c r="B1612" s="4" t="s">
        <v>18</v>
      </c>
      <c r="C1612" s="22" t="s">
        <v>446</v>
      </c>
      <c r="D1612" s="23" t="s">
        <v>1650</v>
      </c>
      <c r="E1612" s="29">
        <v>45958.0</v>
      </c>
      <c r="F1612" s="3">
        <v>8.0</v>
      </c>
      <c r="G1612" s="3" t="s">
        <v>92</v>
      </c>
      <c r="H1612" s="9"/>
      <c r="I1612" s="6"/>
      <c r="J1612" s="6"/>
      <c r="K1612" s="6"/>
      <c r="L1612" s="6"/>
      <c r="M1612" s="26"/>
      <c r="O1612" s="19" t="str">
        <f t="shared" si="2"/>
        <v/>
      </c>
    </row>
    <row r="1613">
      <c r="A1613" s="22" t="s">
        <v>2620</v>
      </c>
      <c r="B1613" s="4" t="s">
        <v>18</v>
      </c>
      <c r="C1613" s="22" t="s">
        <v>2903</v>
      </c>
      <c r="D1613" s="23" t="s">
        <v>2904</v>
      </c>
      <c r="E1613" s="29">
        <v>45958.0</v>
      </c>
      <c r="F1613" s="3">
        <v>6.0</v>
      </c>
      <c r="G1613" s="3" t="s">
        <v>92</v>
      </c>
      <c r="H1613" s="9"/>
      <c r="I1613" s="6"/>
      <c r="J1613" s="6"/>
      <c r="K1613" s="6"/>
      <c r="L1613" s="6"/>
      <c r="M1613" s="26"/>
      <c r="O1613" s="19" t="str">
        <f t="shared" si="2"/>
        <v/>
      </c>
    </row>
    <row r="1614">
      <c r="A1614" s="22" t="s">
        <v>570</v>
      </c>
      <c r="B1614" s="4" t="s">
        <v>18</v>
      </c>
      <c r="C1614" s="3" t="s">
        <v>2214</v>
      </c>
      <c r="D1614" s="22" t="s">
        <v>2905</v>
      </c>
      <c r="E1614" s="29" t="s">
        <v>2906</v>
      </c>
      <c r="F1614" s="3" t="s">
        <v>27</v>
      </c>
      <c r="G1614" s="3" t="s">
        <v>1453</v>
      </c>
      <c r="H1614" s="9" t="s">
        <v>2907</v>
      </c>
      <c r="I1614" s="6"/>
      <c r="J1614" s="6"/>
      <c r="K1614" s="6"/>
      <c r="L1614" s="6"/>
      <c r="M1614" s="26"/>
      <c r="O1614" s="19" t="str">
        <f t="shared" si="2"/>
        <v/>
      </c>
    </row>
    <row r="1615">
      <c r="A1615" s="22" t="s">
        <v>744</v>
      </c>
      <c r="B1615" s="4" t="s">
        <v>18</v>
      </c>
      <c r="C1615" s="3" t="s">
        <v>2908</v>
      </c>
      <c r="D1615" s="22" t="s">
        <v>2909</v>
      </c>
      <c r="E1615" s="29" t="s">
        <v>2906</v>
      </c>
      <c r="F1615" s="3" t="s">
        <v>27</v>
      </c>
      <c r="G1615" s="3" t="s">
        <v>1453</v>
      </c>
      <c r="H1615" s="9" t="s">
        <v>2910</v>
      </c>
      <c r="I1615" s="6"/>
      <c r="J1615" s="6"/>
      <c r="K1615" s="6"/>
      <c r="L1615" s="6"/>
      <c r="M1615" s="26"/>
      <c r="O1615" s="19" t="str">
        <f t="shared" si="2"/>
        <v/>
      </c>
    </row>
    <row r="1616">
      <c r="A1616" s="22" t="s">
        <v>210</v>
      </c>
      <c r="B1616" s="4" t="s">
        <v>31</v>
      </c>
      <c r="C1616" s="3" t="s">
        <v>1690</v>
      </c>
      <c r="D1616" s="22" t="s">
        <v>2911</v>
      </c>
      <c r="E1616" s="29">
        <v>45959.0</v>
      </c>
      <c r="F1616" s="3" t="s">
        <v>27</v>
      </c>
      <c r="G1616" s="3" t="s">
        <v>129</v>
      </c>
      <c r="H1616" s="9"/>
      <c r="I1616" s="6"/>
      <c r="J1616" s="6"/>
      <c r="K1616" s="6"/>
      <c r="L1616" s="6"/>
      <c r="M1616" s="26"/>
      <c r="O1616" s="19" t="str">
        <f t="shared" si="2"/>
        <v/>
      </c>
    </row>
    <row r="1617">
      <c r="A1617" s="22" t="s">
        <v>291</v>
      </c>
      <c r="B1617" s="4" t="s">
        <v>31</v>
      </c>
      <c r="C1617" s="3" t="s">
        <v>2912</v>
      </c>
      <c r="D1617" s="22" t="s">
        <v>2913</v>
      </c>
      <c r="E1617" s="29">
        <v>45959.0</v>
      </c>
      <c r="F1617" s="3" t="s">
        <v>27</v>
      </c>
      <c r="G1617" s="3" t="s">
        <v>129</v>
      </c>
      <c r="H1617" s="9"/>
      <c r="I1617" s="6"/>
      <c r="J1617" s="6"/>
      <c r="K1617" s="6"/>
      <c r="L1617" s="6"/>
      <c r="M1617" s="26"/>
      <c r="O1617" s="19" t="str">
        <f t="shared" si="2"/>
        <v/>
      </c>
    </row>
    <row r="1618">
      <c r="A1618" s="22" t="s">
        <v>274</v>
      </c>
      <c r="B1618" s="4" t="s">
        <v>18</v>
      </c>
      <c r="C1618" s="3" t="s">
        <v>410</v>
      </c>
      <c r="D1618" s="22" t="s">
        <v>2914</v>
      </c>
      <c r="E1618" s="29">
        <v>45959.0</v>
      </c>
      <c r="F1618" s="3" t="s">
        <v>27</v>
      </c>
      <c r="G1618" s="3" t="s">
        <v>129</v>
      </c>
      <c r="H1618" s="9"/>
      <c r="I1618" s="6"/>
      <c r="J1618" s="6"/>
      <c r="K1618" s="6"/>
      <c r="L1618" s="6"/>
      <c r="M1618" s="26"/>
      <c r="O1618" s="19" t="str">
        <f t="shared" si="2"/>
        <v/>
      </c>
    </row>
    <row r="1619">
      <c r="A1619" s="22" t="s">
        <v>225</v>
      </c>
      <c r="B1619" s="4" t="s">
        <v>36</v>
      </c>
      <c r="C1619" s="3" t="s">
        <v>801</v>
      </c>
      <c r="D1619" s="22" t="s">
        <v>2915</v>
      </c>
      <c r="E1619" s="29">
        <v>45959.0</v>
      </c>
      <c r="F1619" s="3" t="s">
        <v>27</v>
      </c>
      <c r="G1619" s="3" t="s">
        <v>129</v>
      </c>
      <c r="H1619" s="9"/>
      <c r="I1619" s="6"/>
      <c r="J1619" s="6"/>
      <c r="K1619" s="6"/>
      <c r="L1619" s="6"/>
      <c r="M1619" s="26"/>
      <c r="O1619" s="19" t="str">
        <f t="shared" si="2"/>
        <v/>
      </c>
    </row>
    <row r="1620">
      <c r="A1620" s="22" t="s">
        <v>1892</v>
      </c>
      <c r="B1620" s="4" t="s">
        <v>18</v>
      </c>
      <c r="C1620" s="3" t="s">
        <v>2191</v>
      </c>
      <c r="D1620" s="22" t="s">
        <v>2916</v>
      </c>
      <c r="E1620" s="29" t="s">
        <v>2906</v>
      </c>
      <c r="F1620" s="3" t="s">
        <v>27</v>
      </c>
      <c r="G1620" s="3" t="s">
        <v>1453</v>
      </c>
      <c r="H1620" s="9" t="s">
        <v>2917</v>
      </c>
      <c r="I1620" s="6"/>
      <c r="J1620" s="6"/>
      <c r="K1620" s="6"/>
      <c r="L1620" s="6"/>
      <c r="M1620" s="26"/>
      <c r="O1620" s="19" t="str">
        <f t="shared" si="2"/>
        <v/>
      </c>
    </row>
    <row r="1621">
      <c r="A1621" s="22" t="s">
        <v>137</v>
      </c>
      <c r="B1621" s="4" t="s">
        <v>18</v>
      </c>
      <c r="C1621" s="3" t="s">
        <v>245</v>
      </c>
      <c r="D1621" s="22" t="s">
        <v>2918</v>
      </c>
      <c r="E1621" s="29" t="s">
        <v>2906</v>
      </c>
      <c r="F1621" s="3" t="s">
        <v>27</v>
      </c>
      <c r="G1621" s="3" t="s">
        <v>1453</v>
      </c>
      <c r="H1621" s="9" t="s">
        <v>2919</v>
      </c>
      <c r="I1621" s="6"/>
      <c r="J1621" s="6"/>
      <c r="K1621" s="11">
        <v>1000.0</v>
      </c>
      <c r="L1621" s="6"/>
      <c r="M1621" s="26"/>
      <c r="O1621" s="19" t="str">
        <f t="shared" si="2"/>
        <v/>
      </c>
    </row>
    <row r="1622">
      <c r="A1622" s="22" t="s">
        <v>1062</v>
      </c>
      <c r="B1622" s="4" t="s">
        <v>18</v>
      </c>
      <c r="C1622" s="3" t="s">
        <v>574</v>
      </c>
      <c r="D1622" s="22" t="s">
        <v>2920</v>
      </c>
      <c r="E1622" s="29" t="s">
        <v>2906</v>
      </c>
      <c r="F1622" s="3" t="s">
        <v>27</v>
      </c>
      <c r="G1622" s="3" t="s">
        <v>1453</v>
      </c>
      <c r="H1622" s="9" t="s">
        <v>2921</v>
      </c>
      <c r="I1622" s="6"/>
      <c r="J1622" s="6"/>
      <c r="K1622" s="6"/>
      <c r="L1622" s="6"/>
      <c r="M1622" s="26"/>
      <c r="O1622" s="19" t="str">
        <f t="shared" si="2"/>
        <v/>
      </c>
    </row>
    <row r="1623">
      <c r="A1623" s="22" t="s">
        <v>2406</v>
      </c>
      <c r="B1623" s="4" t="s">
        <v>31</v>
      </c>
      <c r="C1623" s="22" t="s">
        <v>2922</v>
      </c>
      <c r="D1623" s="23" t="s">
        <v>2923</v>
      </c>
      <c r="E1623" s="29">
        <v>45959.0</v>
      </c>
      <c r="F1623" s="3">
        <v>8.0</v>
      </c>
      <c r="G1623" s="3" t="s">
        <v>92</v>
      </c>
      <c r="H1623" s="9"/>
      <c r="I1623" s="6"/>
      <c r="J1623" s="6"/>
      <c r="K1623" s="6"/>
      <c r="L1623" s="6"/>
      <c r="M1623" s="26"/>
      <c r="O1623" s="19" t="str">
        <f t="shared" si="2"/>
        <v/>
      </c>
    </row>
    <row r="1624">
      <c r="A1624" s="22" t="s">
        <v>244</v>
      </c>
      <c r="B1624" s="4" t="s">
        <v>18</v>
      </c>
      <c r="C1624" s="22" t="s">
        <v>253</v>
      </c>
      <c r="D1624" s="23" t="s">
        <v>2924</v>
      </c>
      <c r="E1624" s="29">
        <v>45959.0</v>
      </c>
      <c r="F1624" s="3">
        <v>8.0</v>
      </c>
      <c r="G1624" s="3" t="s">
        <v>92</v>
      </c>
      <c r="H1624" s="9"/>
      <c r="I1624" s="6"/>
      <c r="J1624" s="6"/>
      <c r="K1624" s="6"/>
      <c r="L1624" s="6"/>
      <c r="M1624" s="26"/>
      <c r="O1624" s="19" t="str">
        <f t="shared" si="2"/>
        <v/>
      </c>
    </row>
    <row r="1625">
      <c r="A1625" s="22" t="s">
        <v>1973</v>
      </c>
      <c r="B1625" s="4" t="s">
        <v>31</v>
      </c>
      <c r="C1625" s="22" t="s">
        <v>2030</v>
      </c>
      <c r="D1625" s="23" t="s">
        <v>2925</v>
      </c>
      <c r="E1625" s="29">
        <v>45959.0</v>
      </c>
      <c r="F1625" s="3">
        <v>8.0</v>
      </c>
      <c r="G1625" s="3" t="s">
        <v>92</v>
      </c>
      <c r="H1625" s="9"/>
      <c r="I1625" s="6"/>
      <c r="J1625" s="6"/>
      <c r="K1625" s="6"/>
      <c r="L1625" s="6"/>
      <c r="M1625" s="26"/>
      <c r="O1625" s="19" t="str">
        <f t="shared" si="2"/>
        <v/>
      </c>
    </row>
    <row r="1626">
      <c r="A1626" s="22" t="s">
        <v>479</v>
      </c>
      <c r="B1626" s="4" t="s">
        <v>18</v>
      </c>
      <c r="C1626" s="22" t="s">
        <v>2078</v>
      </c>
      <c r="D1626" s="23" t="s">
        <v>2926</v>
      </c>
      <c r="E1626" s="29">
        <v>45959.0</v>
      </c>
      <c r="F1626" s="3">
        <v>8.0</v>
      </c>
      <c r="G1626" s="3" t="s">
        <v>92</v>
      </c>
      <c r="H1626" s="9"/>
      <c r="I1626" s="6"/>
      <c r="J1626" s="6"/>
      <c r="K1626" s="6"/>
      <c r="L1626" s="6"/>
      <c r="M1626" s="26"/>
      <c r="O1626" s="19" t="str">
        <f t="shared" si="2"/>
        <v/>
      </c>
    </row>
    <row r="1627">
      <c r="A1627" s="22" t="s">
        <v>1055</v>
      </c>
      <c r="B1627" s="4" t="s">
        <v>31</v>
      </c>
      <c r="C1627" s="22" t="s">
        <v>1721</v>
      </c>
      <c r="D1627" s="23" t="s">
        <v>2927</v>
      </c>
      <c r="E1627" s="29">
        <v>45959.0</v>
      </c>
      <c r="F1627" s="3">
        <v>8.0</v>
      </c>
      <c r="G1627" s="3" t="s">
        <v>92</v>
      </c>
      <c r="H1627" s="9"/>
      <c r="I1627" s="6"/>
      <c r="J1627" s="6"/>
      <c r="K1627" s="6"/>
      <c r="L1627" s="6"/>
      <c r="M1627" s="26"/>
      <c r="O1627" s="19" t="str">
        <f t="shared" si="2"/>
        <v/>
      </c>
    </row>
    <row r="1628">
      <c r="A1628" s="22" t="s">
        <v>265</v>
      </c>
      <c r="B1628" s="4" t="s">
        <v>18</v>
      </c>
      <c r="C1628" s="22" t="s">
        <v>2928</v>
      </c>
      <c r="D1628" s="23" t="s">
        <v>2929</v>
      </c>
      <c r="E1628" s="29">
        <v>45959.0</v>
      </c>
      <c r="F1628" s="3">
        <v>8.0</v>
      </c>
      <c r="G1628" s="3" t="s">
        <v>92</v>
      </c>
      <c r="H1628" s="9"/>
      <c r="I1628" s="6"/>
      <c r="J1628" s="6"/>
      <c r="K1628" s="6"/>
      <c r="L1628" s="6"/>
      <c r="M1628" s="26"/>
      <c r="O1628" s="19" t="str">
        <f t="shared" si="2"/>
        <v/>
      </c>
    </row>
    <row r="1629">
      <c r="A1629" s="22" t="s">
        <v>1320</v>
      </c>
      <c r="B1629" s="4" t="s">
        <v>45</v>
      </c>
      <c r="C1629" s="3" t="s">
        <v>75</v>
      </c>
      <c r="D1629" s="22" t="s">
        <v>2930</v>
      </c>
      <c r="E1629" s="29">
        <v>45960.0</v>
      </c>
      <c r="F1629" s="3" t="s">
        <v>27</v>
      </c>
      <c r="G1629" s="3" t="s">
        <v>129</v>
      </c>
      <c r="H1629" s="9"/>
      <c r="I1629" s="6"/>
      <c r="J1629" s="6"/>
      <c r="K1629" s="6"/>
      <c r="L1629" s="6"/>
      <c r="M1629" s="26"/>
      <c r="O1629" s="19" t="str">
        <f t="shared" si="2"/>
        <v/>
      </c>
    </row>
    <row r="1630">
      <c r="A1630" s="22" t="s">
        <v>113</v>
      </c>
      <c r="B1630" s="4" t="s">
        <v>18</v>
      </c>
      <c r="C1630" s="3" t="s">
        <v>772</v>
      </c>
      <c r="D1630" s="22" t="s">
        <v>2931</v>
      </c>
      <c r="E1630" s="29">
        <v>45960.0</v>
      </c>
      <c r="F1630" s="3" t="s">
        <v>27</v>
      </c>
      <c r="G1630" s="3" t="s">
        <v>129</v>
      </c>
      <c r="H1630" s="9"/>
      <c r="I1630" s="6"/>
      <c r="J1630" s="6"/>
      <c r="K1630" s="6"/>
      <c r="L1630" s="6"/>
      <c r="M1630" s="26"/>
      <c r="O1630" s="19" t="str">
        <f t="shared" si="2"/>
        <v/>
      </c>
    </row>
    <row r="1631">
      <c r="A1631" s="22" t="s">
        <v>744</v>
      </c>
      <c r="B1631" s="4" t="s">
        <v>18</v>
      </c>
      <c r="C1631" s="3" t="s">
        <v>847</v>
      </c>
      <c r="D1631" s="22" t="s">
        <v>2932</v>
      </c>
      <c r="E1631" s="29">
        <v>45960.0</v>
      </c>
      <c r="F1631" s="3" t="s">
        <v>27</v>
      </c>
      <c r="G1631" s="3" t="s">
        <v>129</v>
      </c>
      <c r="H1631" s="9"/>
      <c r="I1631" s="6"/>
      <c r="J1631" s="6"/>
      <c r="K1631" s="6"/>
      <c r="L1631" s="6"/>
      <c r="M1631" s="26"/>
      <c r="O1631" s="19" t="str">
        <f t="shared" si="2"/>
        <v/>
      </c>
    </row>
    <row r="1632">
      <c r="A1632" s="22" t="s">
        <v>168</v>
      </c>
      <c r="B1632" s="4" t="s">
        <v>45</v>
      </c>
      <c r="C1632" s="3" t="s">
        <v>2933</v>
      </c>
      <c r="D1632" s="22" t="s">
        <v>2934</v>
      </c>
      <c r="E1632" s="29">
        <v>45960.0</v>
      </c>
      <c r="F1632" s="3" t="s">
        <v>27</v>
      </c>
      <c r="G1632" s="3" t="s">
        <v>129</v>
      </c>
      <c r="H1632" s="9"/>
      <c r="I1632" s="6"/>
      <c r="J1632" s="6"/>
      <c r="K1632" s="6"/>
      <c r="L1632" s="6"/>
      <c r="M1632" s="26"/>
      <c r="O1632" s="19" t="str">
        <f t="shared" si="2"/>
        <v/>
      </c>
    </row>
    <row r="1633">
      <c r="A1633" s="22" t="s">
        <v>744</v>
      </c>
      <c r="B1633" s="4" t="s">
        <v>18</v>
      </c>
      <c r="C1633" s="3" t="s">
        <v>2616</v>
      </c>
      <c r="D1633" s="22" t="s">
        <v>2935</v>
      </c>
      <c r="E1633" s="29">
        <v>45960.0</v>
      </c>
      <c r="F1633" s="3" t="s">
        <v>27</v>
      </c>
      <c r="G1633" s="3" t="s">
        <v>129</v>
      </c>
      <c r="H1633" s="9"/>
      <c r="I1633" s="6"/>
      <c r="J1633" s="6"/>
      <c r="K1633" s="6"/>
      <c r="L1633" s="6"/>
      <c r="M1633" s="26"/>
      <c r="O1633" s="19" t="str">
        <f t="shared" si="2"/>
        <v/>
      </c>
    </row>
    <row r="1634">
      <c r="A1634" s="22" t="s">
        <v>158</v>
      </c>
      <c r="B1634" s="4" t="s">
        <v>31</v>
      </c>
      <c r="C1634" s="22" t="s">
        <v>1756</v>
      </c>
      <c r="D1634" s="23"/>
      <c r="E1634" s="29">
        <v>45960.0</v>
      </c>
      <c r="F1634" s="3">
        <v>5.0</v>
      </c>
      <c r="G1634" s="3" t="s">
        <v>92</v>
      </c>
      <c r="H1634" s="9"/>
      <c r="I1634" s="6"/>
      <c r="J1634" s="6"/>
      <c r="K1634" s="6"/>
      <c r="L1634" s="6"/>
      <c r="M1634" s="26"/>
      <c r="O1634" s="19" t="str">
        <f t="shared" si="2"/>
        <v/>
      </c>
    </row>
    <row r="1635">
      <c r="A1635" s="22" t="s">
        <v>1359</v>
      </c>
      <c r="B1635" s="4" t="s">
        <v>45</v>
      </c>
      <c r="C1635" s="22" t="s">
        <v>2936</v>
      </c>
      <c r="D1635" s="23" t="s">
        <v>2937</v>
      </c>
      <c r="E1635" s="29">
        <v>45960.0</v>
      </c>
      <c r="F1635" s="3">
        <v>5.0</v>
      </c>
      <c r="G1635" s="3" t="s">
        <v>92</v>
      </c>
      <c r="H1635" s="9"/>
      <c r="I1635" s="6"/>
      <c r="J1635" s="6"/>
      <c r="K1635" s="6"/>
      <c r="L1635" s="6"/>
      <c r="M1635" s="26"/>
      <c r="O1635" s="19" t="str">
        <f t="shared" si="2"/>
        <v/>
      </c>
    </row>
    <row r="1636">
      <c r="A1636" s="22" t="s">
        <v>1973</v>
      </c>
      <c r="B1636" s="4" t="s">
        <v>31</v>
      </c>
      <c r="C1636" s="22" t="s">
        <v>2030</v>
      </c>
      <c r="D1636" s="23" t="s">
        <v>2938</v>
      </c>
      <c r="E1636" s="29">
        <v>45960.0</v>
      </c>
      <c r="F1636" s="3">
        <v>8.0</v>
      </c>
      <c r="G1636" s="3" t="s">
        <v>92</v>
      </c>
      <c r="H1636" s="9"/>
      <c r="I1636" s="6"/>
      <c r="J1636" s="6"/>
      <c r="K1636" s="6"/>
      <c r="L1636" s="6"/>
      <c r="M1636" s="26"/>
      <c r="O1636" s="19" t="str">
        <f t="shared" si="2"/>
        <v/>
      </c>
    </row>
    <row r="1637">
      <c r="A1637" s="22" t="s">
        <v>120</v>
      </c>
      <c r="B1637" s="4" t="s">
        <v>31</v>
      </c>
      <c r="C1637" s="22" t="s">
        <v>230</v>
      </c>
      <c r="D1637" s="23"/>
      <c r="E1637" s="29">
        <v>45960.0</v>
      </c>
      <c r="F1637" s="3">
        <v>5.0</v>
      </c>
      <c r="G1637" s="3" t="s">
        <v>92</v>
      </c>
      <c r="H1637" s="9"/>
      <c r="I1637" s="6"/>
      <c r="J1637" s="6"/>
      <c r="K1637" s="6"/>
      <c r="L1637" s="6"/>
      <c r="M1637" s="26"/>
      <c r="O1637" s="19" t="str">
        <f t="shared" si="2"/>
        <v/>
      </c>
    </row>
    <row r="1638">
      <c r="A1638" s="22" t="s">
        <v>84</v>
      </c>
      <c r="B1638" s="4" t="s">
        <v>31</v>
      </c>
      <c r="C1638" s="22" t="s">
        <v>2939</v>
      </c>
      <c r="D1638" s="23" t="s">
        <v>2940</v>
      </c>
      <c r="E1638" s="29">
        <v>45960.0</v>
      </c>
      <c r="F1638" s="3">
        <v>8.0</v>
      </c>
      <c r="G1638" s="3" t="s">
        <v>92</v>
      </c>
      <c r="H1638" s="9"/>
      <c r="I1638" s="6"/>
      <c r="J1638" s="6"/>
      <c r="K1638" s="6"/>
      <c r="L1638" s="6"/>
      <c r="M1638" s="26"/>
      <c r="O1638" s="19" t="str">
        <f t="shared" si="2"/>
        <v/>
      </c>
    </row>
    <row r="1639">
      <c r="A1639" s="22" t="s">
        <v>113</v>
      </c>
      <c r="B1639" s="4" t="s">
        <v>18</v>
      </c>
      <c r="C1639" s="22" t="s">
        <v>1876</v>
      </c>
      <c r="D1639" s="23" t="s">
        <v>2941</v>
      </c>
      <c r="E1639" s="29">
        <v>45960.0</v>
      </c>
      <c r="F1639" s="3">
        <v>8.0</v>
      </c>
      <c r="G1639" s="3" t="s">
        <v>92</v>
      </c>
      <c r="H1639" s="9"/>
      <c r="I1639" s="6"/>
      <c r="J1639" s="6"/>
      <c r="K1639" s="6"/>
      <c r="L1639" s="6"/>
      <c r="M1639" s="26"/>
      <c r="O1639" s="19" t="str">
        <f t="shared" si="2"/>
        <v/>
      </c>
    </row>
    <row r="1640">
      <c r="A1640" s="22" t="s">
        <v>276</v>
      </c>
      <c r="B1640" s="4" t="s">
        <v>18</v>
      </c>
      <c r="C1640" s="22" t="s">
        <v>2942</v>
      </c>
      <c r="D1640" s="23" t="s">
        <v>2943</v>
      </c>
      <c r="E1640" s="29">
        <v>45960.0</v>
      </c>
      <c r="F1640" s="3">
        <v>6.0</v>
      </c>
      <c r="G1640" s="3" t="s">
        <v>92</v>
      </c>
      <c r="H1640" s="9"/>
      <c r="I1640" s="6"/>
      <c r="J1640" s="6"/>
      <c r="K1640" s="6"/>
      <c r="L1640" s="6"/>
      <c r="M1640" s="26"/>
      <c r="O1640" s="19" t="str">
        <f t="shared" si="2"/>
        <v/>
      </c>
    </row>
    <row r="1641">
      <c r="A1641" s="22" t="s">
        <v>2494</v>
      </c>
      <c r="B1641" s="4" t="s">
        <v>18</v>
      </c>
      <c r="C1641" s="22" t="s">
        <v>455</v>
      </c>
      <c r="D1641" s="23" t="s">
        <v>2944</v>
      </c>
      <c r="E1641" s="29">
        <v>45960.0</v>
      </c>
      <c r="F1641" s="3">
        <v>6.0</v>
      </c>
      <c r="G1641" s="3" t="s">
        <v>92</v>
      </c>
      <c r="H1641" s="9"/>
      <c r="I1641" s="6"/>
      <c r="J1641" s="6"/>
      <c r="K1641" s="6"/>
      <c r="L1641" s="6"/>
      <c r="M1641" s="26"/>
      <c r="O1641" s="19" t="str">
        <f t="shared" si="2"/>
        <v/>
      </c>
    </row>
    <row r="1642">
      <c r="A1642" s="22" t="s">
        <v>2620</v>
      </c>
      <c r="B1642" s="4" t="s">
        <v>18</v>
      </c>
      <c r="C1642" s="22" t="s">
        <v>2945</v>
      </c>
      <c r="D1642" s="23" t="s">
        <v>2946</v>
      </c>
      <c r="E1642" s="29">
        <v>45960.0</v>
      </c>
      <c r="F1642" s="3">
        <v>8.0</v>
      </c>
      <c r="G1642" s="3" t="s">
        <v>92</v>
      </c>
      <c r="H1642" s="9"/>
      <c r="I1642" s="6"/>
      <c r="J1642" s="6"/>
      <c r="K1642" s="6"/>
      <c r="L1642" s="6"/>
      <c r="M1642" s="26"/>
      <c r="O1642" s="19" t="str">
        <f t="shared" si="2"/>
        <v/>
      </c>
    </row>
    <row r="1643">
      <c r="A1643" s="22" t="s">
        <v>1973</v>
      </c>
      <c r="B1643" s="4" t="s">
        <v>31</v>
      </c>
      <c r="C1643" s="22" t="s">
        <v>2030</v>
      </c>
      <c r="D1643" s="23" t="s">
        <v>2947</v>
      </c>
      <c r="E1643" s="29">
        <v>45960.0</v>
      </c>
      <c r="F1643" s="3">
        <v>8.0</v>
      </c>
      <c r="G1643" s="3" t="s">
        <v>92</v>
      </c>
      <c r="H1643" s="9"/>
      <c r="I1643" s="6"/>
      <c r="J1643" s="6"/>
      <c r="K1643" s="6"/>
      <c r="L1643" s="6"/>
      <c r="M1643" s="26"/>
      <c r="O1643" s="19" t="str">
        <f t="shared" si="2"/>
        <v/>
      </c>
    </row>
    <row r="1644">
      <c r="A1644" s="22" t="s">
        <v>155</v>
      </c>
      <c r="B1644" s="4" t="s">
        <v>18</v>
      </c>
      <c r="C1644" s="22" t="s">
        <v>1955</v>
      </c>
      <c r="D1644" s="23" t="s">
        <v>2948</v>
      </c>
      <c r="E1644" s="29">
        <v>45960.0</v>
      </c>
      <c r="F1644" s="3">
        <v>8.0</v>
      </c>
      <c r="G1644" s="3" t="s">
        <v>92</v>
      </c>
      <c r="H1644" s="9"/>
      <c r="I1644" s="6"/>
      <c r="J1644" s="6"/>
      <c r="K1644" s="6"/>
      <c r="L1644" s="6"/>
      <c r="M1644" s="26"/>
      <c r="O1644" s="19" t="str">
        <f t="shared" si="2"/>
        <v/>
      </c>
    </row>
    <row r="1645">
      <c r="A1645" s="22" t="s">
        <v>1973</v>
      </c>
      <c r="B1645" s="4" t="s">
        <v>31</v>
      </c>
      <c r="C1645" s="22" t="s">
        <v>2030</v>
      </c>
      <c r="D1645" s="23" t="s">
        <v>2949</v>
      </c>
      <c r="E1645" s="29">
        <v>45960.0</v>
      </c>
      <c r="F1645" s="3">
        <v>9.0</v>
      </c>
      <c r="G1645" s="3" t="s">
        <v>92</v>
      </c>
      <c r="H1645" s="9"/>
      <c r="I1645" s="6"/>
      <c r="J1645" s="6"/>
      <c r="K1645" s="6"/>
      <c r="L1645" s="6"/>
      <c r="M1645" s="26"/>
      <c r="O1645" s="19" t="str">
        <f t="shared" si="2"/>
        <v/>
      </c>
    </row>
    <row r="1646">
      <c r="A1646" s="22" t="s">
        <v>2494</v>
      </c>
      <c r="B1646" s="4" t="s">
        <v>18</v>
      </c>
      <c r="C1646" s="3" t="s">
        <v>455</v>
      </c>
      <c r="D1646" s="22" t="s">
        <v>2950</v>
      </c>
      <c r="E1646" s="29" t="s">
        <v>2951</v>
      </c>
      <c r="F1646" s="3" t="s">
        <v>27</v>
      </c>
      <c r="G1646" s="3" t="s">
        <v>1453</v>
      </c>
      <c r="H1646" s="9" t="s">
        <v>2952</v>
      </c>
      <c r="I1646" s="6"/>
      <c r="J1646" s="6"/>
      <c r="K1646" s="6"/>
      <c r="L1646" s="6"/>
      <c r="M1646" s="26"/>
      <c r="O1646" s="19" t="str">
        <f t="shared" si="2"/>
        <v/>
      </c>
    </row>
    <row r="1647">
      <c r="A1647" s="22" t="s">
        <v>44</v>
      </c>
      <c r="B1647" s="4" t="s">
        <v>45</v>
      </c>
      <c r="C1647" s="3" t="s">
        <v>148</v>
      </c>
      <c r="D1647" s="22" t="s">
        <v>2953</v>
      </c>
      <c r="E1647" s="29" t="s">
        <v>2951</v>
      </c>
      <c r="F1647" s="3" t="s">
        <v>27</v>
      </c>
      <c r="G1647" s="3" t="s">
        <v>1453</v>
      </c>
      <c r="H1647" s="9" t="s">
        <v>2954</v>
      </c>
      <c r="I1647" s="6"/>
      <c r="J1647" s="6"/>
      <c r="K1647" s="6"/>
      <c r="L1647" s="6"/>
      <c r="M1647" s="26"/>
      <c r="O1647" s="19" t="str">
        <f t="shared" si="2"/>
        <v/>
      </c>
    </row>
    <row r="1648">
      <c r="A1648" s="22" t="s">
        <v>168</v>
      </c>
      <c r="B1648" s="4" t="s">
        <v>45</v>
      </c>
      <c r="C1648" s="3" t="s">
        <v>2647</v>
      </c>
      <c r="D1648" s="22" t="s">
        <v>2955</v>
      </c>
      <c r="E1648" s="29">
        <v>45961.0</v>
      </c>
      <c r="F1648" s="3" t="s">
        <v>27</v>
      </c>
      <c r="G1648" s="3" t="s">
        <v>129</v>
      </c>
      <c r="H1648" s="9"/>
      <c r="I1648" s="6"/>
      <c r="J1648" s="6"/>
      <c r="K1648" s="6"/>
      <c r="L1648" s="6"/>
      <c r="M1648" s="26"/>
      <c r="O1648" s="19" t="str">
        <f t="shared" si="2"/>
        <v/>
      </c>
    </row>
    <row r="1649">
      <c r="A1649" s="22" t="s">
        <v>77</v>
      </c>
      <c r="B1649" s="4" t="s">
        <v>18</v>
      </c>
      <c r="C1649" s="22" t="s">
        <v>2956</v>
      </c>
      <c r="D1649" s="23" t="s">
        <v>2957</v>
      </c>
      <c r="E1649" s="29">
        <v>45961.0</v>
      </c>
      <c r="F1649" s="3">
        <v>8.0</v>
      </c>
      <c r="G1649" s="3" t="s">
        <v>92</v>
      </c>
      <c r="H1649" s="9"/>
      <c r="I1649" s="6"/>
      <c r="J1649" s="6"/>
      <c r="K1649" s="6"/>
      <c r="L1649" s="6"/>
      <c r="M1649" s="26"/>
      <c r="O1649" s="19" t="str">
        <f t="shared" si="2"/>
        <v/>
      </c>
    </row>
    <row r="1650">
      <c r="A1650" s="22" t="s">
        <v>2494</v>
      </c>
      <c r="B1650" s="4" t="s">
        <v>18</v>
      </c>
      <c r="C1650" s="22" t="s">
        <v>641</v>
      </c>
      <c r="D1650" s="23" t="s">
        <v>2958</v>
      </c>
      <c r="E1650" s="29">
        <v>45961.0</v>
      </c>
      <c r="F1650" s="3">
        <v>8.0</v>
      </c>
      <c r="G1650" s="3" t="s">
        <v>92</v>
      </c>
      <c r="H1650" s="9"/>
      <c r="I1650" s="6"/>
      <c r="J1650" s="6"/>
      <c r="K1650" s="6"/>
      <c r="L1650" s="6"/>
      <c r="M1650" s="26"/>
      <c r="O1650" s="19" t="str">
        <f t="shared" si="2"/>
        <v/>
      </c>
    </row>
    <row r="1651">
      <c r="A1651" s="22" t="s">
        <v>1266</v>
      </c>
      <c r="B1651" s="4" t="s">
        <v>31</v>
      </c>
      <c r="C1651" s="22" t="s">
        <v>2084</v>
      </c>
      <c r="D1651" s="23"/>
      <c r="E1651" s="29">
        <v>45961.0</v>
      </c>
      <c r="F1651" s="3">
        <v>5.0</v>
      </c>
      <c r="G1651" s="3" t="s">
        <v>92</v>
      </c>
      <c r="H1651" s="9"/>
      <c r="I1651" s="6"/>
      <c r="J1651" s="6"/>
      <c r="K1651" s="6"/>
      <c r="L1651" s="6"/>
      <c r="M1651" s="26"/>
      <c r="O1651" s="19" t="str">
        <f t="shared" si="2"/>
        <v/>
      </c>
    </row>
    <row r="1652">
      <c r="A1652" s="22" t="s">
        <v>1255</v>
      </c>
      <c r="B1652" s="4" t="s">
        <v>18</v>
      </c>
      <c r="C1652" s="22" t="s">
        <v>259</v>
      </c>
      <c r="D1652" s="23" t="s">
        <v>2959</v>
      </c>
      <c r="E1652" s="29">
        <v>45961.0</v>
      </c>
      <c r="F1652" s="3">
        <v>8.0</v>
      </c>
      <c r="G1652" s="3" t="s">
        <v>92</v>
      </c>
      <c r="H1652" s="9"/>
      <c r="I1652" s="6"/>
      <c r="J1652" s="6"/>
      <c r="K1652" s="6"/>
      <c r="L1652" s="6"/>
      <c r="M1652" s="26"/>
      <c r="O1652" s="19" t="str">
        <f t="shared" si="2"/>
        <v/>
      </c>
    </row>
    <row r="1653">
      <c r="A1653" s="22" t="s">
        <v>2960</v>
      </c>
      <c r="B1653" s="4" t="s">
        <v>18</v>
      </c>
      <c r="C1653" s="3" t="s">
        <v>2193</v>
      </c>
      <c r="D1653" s="39" t="s">
        <v>2961</v>
      </c>
      <c r="E1653" s="29">
        <v>45961.0</v>
      </c>
      <c r="F1653" s="3">
        <v>8.0</v>
      </c>
      <c r="G1653" s="3" t="s">
        <v>92</v>
      </c>
      <c r="H1653" s="3" t="s">
        <v>2962</v>
      </c>
      <c r="I1653" s="9">
        <v>6.1418775747E10</v>
      </c>
      <c r="J1653" s="9" t="s">
        <v>2963</v>
      </c>
      <c r="K1653" s="9">
        <v>0.0</v>
      </c>
      <c r="L1653" s="6"/>
      <c r="M1653" s="26"/>
      <c r="O1653" s="19" t="str">
        <f t="shared" si="2"/>
        <v/>
      </c>
    </row>
    <row r="1654">
      <c r="A1654" s="22" t="s">
        <v>435</v>
      </c>
      <c r="B1654" s="4" t="s">
        <v>18</v>
      </c>
      <c r="C1654" s="22" t="s">
        <v>755</v>
      </c>
      <c r="D1654" s="23" t="s">
        <v>2317</v>
      </c>
      <c r="E1654" s="29">
        <v>45961.0</v>
      </c>
      <c r="F1654" s="3">
        <v>8.0</v>
      </c>
      <c r="G1654" s="3" t="s">
        <v>92</v>
      </c>
      <c r="H1654" s="9"/>
      <c r="I1654" s="6"/>
      <c r="J1654" s="6"/>
      <c r="K1654" s="6"/>
      <c r="L1654" s="6"/>
      <c r="M1654" s="26"/>
      <c r="O1654" s="19" t="str">
        <f t="shared" si="2"/>
        <v/>
      </c>
    </row>
    <row r="1655">
      <c r="A1655" s="22" t="s">
        <v>44</v>
      </c>
      <c r="B1655" s="4" t="s">
        <v>45</v>
      </c>
      <c r="C1655" s="22" t="s">
        <v>2817</v>
      </c>
      <c r="D1655" s="23" t="s">
        <v>2964</v>
      </c>
      <c r="E1655" s="29">
        <v>45961.0</v>
      </c>
      <c r="F1655" s="3">
        <v>8.0</v>
      </c>
      <c r="G1655" s="3" t="s">
        <v>92</v>
      </c>
      <c r="H1655" s="9"/>
      <c r="I1655" s="6"/>
      <c r="J1655" s="6"/>
      <c r="K1655" s="6"/>
      <c r="L1655" s="6"/>
      <c r="M1655" s="26"/>
      <c r="O1655" s="19" t="str">
        <f t="shared" si="2"/>
        <v/>
      </c>
    </row>
    <row r="1656">
      <c r="A1656" s="22" t="s">
        <v>1582</v>
      </c>
      <c r="B1656" s="4" t="s">
        <v>31</v>
      </c>
      <c r="C1656" s="3" t="s">
        <v>1845</v>
      </c>
      <c r="D1656" s="22" t="s">
        <v>2965</v>
      </c>
      <c r="E1656" s="29" t="s">
        <v>2966</v>
      </c>
      <c r="F1656" s="3" t="s">
        <v>27</v>
      </c>
      <c r="G1656" s="3" t="s">
        <v>1453</v>
      </c>
      <c r="H1656" s="9" t="s">
        <v>2967</v>
      </c>
      <c r="I1656" s="6"/>
      <c r="J1656" s="6"/>
      <c r="K1656" s="6"/>
      <c r="L1656" s="6"/>
      <c r="M1656" s="26"/>
      <c r="O1656" s="19" t="str">
        <f t="shared" si="2"/>
        <v/>
      </c>
    </row>
    <row r="1657">
      <c r="A1657" s="22" t="s">
        <v>2620</v>
      </c>
      <c r="B1657" s="4" t="s">
        <v>18</v>
      </c>
      <c r="C1657" s="3" t="s">
        <v>2968</v>
      </c>
      <c r="D1657" s="22" t="s">
        <v>2969</v>
      </c>
      <c r="E1657" s="29" t="s">
        <v>2966</v>
      </c>
      <c r="F1657" s="3" t="s">
        <v>27</v>
      </c>
      <c r="G1657" s="3" t="s">
        <v>1453</v>
      </c>
      <c r="H1657" s="9" t="s">
        <v>2970</v>
      </c>
      <c r="I1657" s="6"/>
      <c r="J1657" s="6"/>
      <c r="K1657" s="6"/>
      <c r="L1657" s="6"/>
      <c r="M1657" s="26"/>
      <c r="O1657" s="19" t="str">
        <f t="shared" si="2"/>
        <v/>
      </c>
    </row>
    <row r="1658">
      <c r="A1658" s="22" t="s">
        <v>1660</v>
      </c>
      <c r="B1658" s="4" t="s">
        <v>36</v>
      </c>
      <c r="C1658" s="22" t="s">
        <v>2791</v>
      </c>
      <c r="D1658" s="23" t="s">
        <v>2971</v>
      </c>
      <c r="E1658" s="29">
        <v>45961.0</v>
      </c>
      <c r="F1658" s="3">
        <v>6.0</v>
      </c>
      <c r="G1658" s="3" t="s">
        <v>92</v>
      </c>
      <c r="H1658" s="9"/>
      <c r="I1658" s="6"/>
      <c r="J1658" s="6"/>
      <c r="K1658" s="6"/>
      <c r="L1658" s="6"/>
      <c r="M1658" s="26"/>
      <c r="O1658" s="19" t="str">
        <f t="shared" si="2"/>
        <v/>
      </c>
    </row>
    <row r="1659">
      <c r="A1659" s="22" t="s">
        <v>479</v>
      </c>
      <c r="B1659" s="4" t="s">
        <v>18</v>
      </c>
      <c r="C1659" s="22" t="s">
        <v>2972</v>
      </c>
      <c r="D1659" s="23" t="s">
        <v>2973</v>
      </c>
      <c r="E1659" s="29">
        <v>45961.0</v>
      </c>
      <c r="F1659" s="3">
        <v>6.0</v>
      </c>
      <c r="G1659" s="3" t="s">
        <v>92</v>
      </c>
      <c r="H1659" s="9"/>
      <c r="I1659" s="6"/>
      <c r="J1659" s="6"/>
      <c r="K1659" s="6"/>
      <c r="L1659" s="6"/>
      <c r="M1659" s="26"/>
      <c r="O1659" s="19" t="str">
        <f t="shared" si="2"/>
        <v/>
      </c>
    </row>
    <row r="1660">
      <c r="A1660" s="22" t="s">
        <v>305</v>
      </c>
      <c r="B1660" s="4" t="s">
        <v>36</v>
      </c>
      <c r="C1660" s="22" t="s">
        <v>306</v>
      </c>
      <c r="D1660" s="23" t="s">
        <v>2974</v>
      </c>
      <c r="E1660" s="29">
        <v>45961.0</v>
      </c>
      <c r="F1660" s="3">
        <v>8.0</v>
      </c>
      <c r="G1660" s="3" t="s">
        <v>92</v>
      </c>
      <c r="H1660" s="9"/>
      <c r="I1660" s="6"/>
      <c r="J1660" s="6"/>
      <c r="K1660" s="6"/>
      <c r="L1660" s="6"/>
      <c r="M1660" s="26"/>
      <c r="O1660" s="19" t="str">
        <f t="shared" si="2"/>
        <v/>
      </c>
    </row>
    <row r="1661">
      <c r="A1661" s="22" t="s">
        <v>113</v>
      </c>
      <c r="B1661" s="4" t="s">
        <v>18</v>
      </c>
      <c r="C1661" s="22" t="s">
        <v>2975</v>
      </c>
      <c r="D1661" s="23" t="s">
        <v>2976</v>
      </c>
      <c r="E1661" s="29">
        <v>45961.0</v>
      </c>
      <c r="F1661" s="3">
        <v>8.0</v>
      </c>
      <c r="G1661" s="3" t="s">
        <v>92</v>
      </c>
      <c r="H1661" s="9"/>
      <c r="I1661" s="6"/>
      <c r="J1661" s="6"/>
      <c r="K1661" s="6"/>
      <c r="L1661" s="6"/>
      <c r="M1661" s="26"/>
      <c r="O1661" s="19" t="str">
        <f t="shared" si="2"/>
        <v/>
      </c>
    </row>
    <row r="1662">
      <c r="A1662" s="22" t="s">
        <v>44</v>
      </c>
      <c r="B1662" s="4" t="s">
        <v>45</v>
      </c>
      <c r="C1662" s="22" t="s">
        <v>46</v>
      </c>
      <c r="D1662" s="23" t="s">
        <v>2977</v>
      </c>
      <c r="E1662" s="29">
        <v>45961.0</v>
      </c>
      <c r="F1662" s="3">
        <v>6.0</v>
      </c>
      <c r="G1662" s="3" t="s">
        <v>92</v>
      </c>
      <c r="H1662" s="9"/>
      <c r="I1662" s="6"/>
      <c r="J1662" s="6"/>
      <c r="K1662" s="6"/>
      <c r="L1662" s="6"/>
      <c r="M1662" s="26"/>
      <c r="O1662" s="19" t="str">
        <f t="shared" si="2"/>
        <v/>
      </c>
    </row>
    <row r="1663">
      <c r="A1663" s="22" t="s">
        <v>61</v>
      </c>
      <c r="B1663" s="4" t="s">
        <v>18</v>
      </c>
      <c r="C1663" s="3" t="s">
        <v>2894</v>
      </c>
      <c r="D1663" s="22" t="s">
        <v>2978</v>
      </c>
      <c r="E1663" s="29" t="s">
        <v>2966</v>
      </c>
      <c r="F1663" s="3" t="s">
        <v>27</v>
      </c>
      <c r="G1663" s="3" t="s">
        <v>1453</v>
      </c>
      <c r="H1663" s="9" t="s">
        <v>2979</v>
      </c>
      <c r="I1663" s="6"/>
      <c r="J1663" s="6"/>
      <c r="K1663" s="6"/>
      <c r="L1663" s="6"/>
      <c r="M1663" s="26"/>
      <c r="O1663" s="19" t="str">
        <f t="shared" si="2"/>
        <v/>
      </c>
    </row>
    <row r="1664">
      <c r="A1664" s="22" t="s">
        <v>2641</v>
      </c>
      <c r="B1664" s="4" t="s">
        <v>18</v>
      </c>
      <c r="C1664" s="3" t="s">
        <v>749</v>
      </c>
      <c r="D1664" s="22" t="s">
        <v>2980</v>
      </c>
      <c r="E1664" s="38">
        <v>45668.0</v>
      </c>
      <c r="F1664" s="3" t="s">
        <v>27</v>
      </c>
      <c r="G1664" s="3" t="s">
        <v>1453</v>
      </c>
      <c r="H1664" s="9" t="s">
        <v>2981</v>
      </c>
      <c r="I1664" s="6"/>
      <c r="J1664" s="6"/>
      <c r="K1664" s="6"/>
      <c r="L1664" s="6"/>
      <c r="M1664" s="14"/>
      <c r="O1664" s="19" t="str">
        <f t="shared" si="2"/>
        <v/>
      </c>
    </row>
    <row r="1665">
      <c r="A1665" s="22" t="s">
        <v>2266</v>
      </c>
      <c r="B1665" s="4" t="s">
        <v>18</v>
      </c>
      <c r="C1665" s="3" t="s">
        <v>964</v>
      </c>
      <c r="D1665" s="22" t="s">
        <v>2982</v>
      </c>
      <c r="E1665" s="38">
        <v>45668.0</v>
      </c>
      <c r="F1665" s="3" t="s">
        <v>27</v>
      </c>
      <c r="G1665" s="3" t="s">
        <v>1453</v>
      </c>
      <c r="H1665" s="9" t="s">
        <v>2983</v>
      </c>
      <c r="I1665" s="6"/>
      <c r="J1665" s="6"/>
      <c r="K1665" s="6"/>
      <c r="L1665" s="6"/>
      <c r="M1665" s="14"/>
      <c r="O1665" s="19" t="str">
        <f t="shared" si="2"/>
        <v/>
      </c>
    </row>
    <row r="1666">
      <c r="A1666" s="22" t="s">
        <v>510</v>
      </c>
      <c r="B1666" s="4" t="s">
        <v>18</v>
      </c>
      <c r="C1666" s="3" t="s">
        <v>564</v>
      </c>
      <c r="D1666" s="22" t="s">
        <v>2984</v>
      </c>
      <c r="E1666" s="38">
        <v>45668.0</v>
      </c>
      <c r="F1666" s="3" t="s">
        <v>27</v>
      </c>
      <c r="G1666" s="3"/>
      <c r="H1666" s="9"/>
      <c r="I1666" s="6"/>
      <c r="J1666" s="6"/>
      <c r="K1666" s="6"/>
      <c r="L1666" s="6"/>
      <c r="M1666" s="14"/>
      <c r="O1666" s="19" t="str">
        <f t="shared" si="2"/>
        <v/>
      </c>
    </row>
    <row r="1667">
      <c r="A1667" s="22" t="s">
        <v>225</v>
      </c>
      <c r="B1667" s="4" t="s">
        <v>36</v>
      </c>
      <c r="C1667" s="3" t="s">
        <v>2985</v>
      </c>
      <c r="D1667" s="22" t="s">
        <v>2986</v>
      </c>
      <c r="E1667" s="38">
        <v>45668.0</v>
      </c>
      <c r="F1667" s="3" t="s">
        <v>27</v>
      </c>
      <c r="G1667" s="3"/>
      <c r="H1667" s="9"/>
      <c r="I1667" s="6"/>
      <c r="J1667" s="6"/>
      <c r="K1667" s="6"/>
      <c r="L1667" s="6"/>
      <c r="M1667" s="14"/>
      <c r="O1667" s="19" t="str">
        <f t="shared" si="2"/>
        <v/>
      </c>
    </row>
    <row r="1668">
      <c r="A1668" s="22" t="s">
        <v>232</v>
      </c>
      <c r="B1668" s="4" t="s">
        <v>18</v>
      </c>
      <c r="C1668" s="3" t="s">
        <v>2987</v>
      </c>
      <c r="D1668" s="22" t="s">
        <v>2988</v>
      </c>
      <c r="E1668" s="29">
        <v>45962.0</v>
      </c>
      <c r="F1668" s="3" t="s">
        <v>27</v>
      </c>
      <c r="G1668" s="3" t="s">
        <v>129</v>
      </c>
      <c r="H1668" s="9"/>
      <c r="I1668" s="6"/>
      <c r="J1668" s="6"/>
      <c r="K1668" s="6"/>
      <c r="L1668" s="6"/>
      <c r="M1668" s="26"/>
      <c r="O1668" s="19" t="str">
        <f t="shared" si="2"/>
        <v/>
      </c>
    </row>
    <row r="1669">
      <c r="A1669" s="22" t="s">
        <v>1359</v>
      </c>
      <c r="B1669" s="4" t="s">
        <v>45</v>
      </c>
      <c r="C1669" s="3" t="s">
        <v>2989</v>
      </c>
      <c r="D1669" s="22" t="s">
        <v>2990</v>
      </c>
      <c r="E1669" s="29">
        <v>45962.0</v>
      </c>
      <c r="F1669" s="3" t="s">
        <v>27</v>
      </c>
      <c r="G1669" s="3" t="s">
        <v>129</v>
      </c>
      <c r="H1669" s="9"/>
      <c r="I1669" s="6"/>
      <c r="J1669" s="6"/>
      <c r="K1669" s="6"/>
      <c r="L1669" s="6"/>
      <c r="M1669" s="26"/>
      <c r="O1669" s="19" t="str">
        <f t="shared" si="2"/>
        <v/>
      </c>
    </row>
    <row r="1670">
      <c r="A1670" s="22" t="s">
        <v>168</v>
      </c>
      <c r="B1670" s="4" t="s">
        <v>45</v>
      </c>
      <c r="C1670" s="3" t="s">
        <v>2991</v>
      </c>
      <c r="D1670" s="22" t="s">
        <v>2992</v>
      </c>
      <c r="E1670" s="29">
        <v>45962.0</v>
      </c>
      <c r="F1670" s="3" t="s">
        <v>27</v>
      </c>
      <c r="G1670" s="3" t="s">
        <v>129</v>
      </c>
      <c r="H1670" s="9"/>
      <c r="I1670" s="6"/>
      <c r="J1670" s="6"/>
      <c r="K1670" s="6"/>
      <c r="L1670" s="6"/>
      <c r="M1670" s="26"/>
      <c r="O1670" s="19" t="str">
        <f t="shared" si="2"/>
        <v/>
      </c>
    </row>
    <row r="1671">
      <c r="A1671" s="22" t="s">
        <v>2406</v>
      </c>
      <c r="B1671" s="4" t="s">
        <v>31</v>
      </c>
      <c r="C1671" s="3" t="s">
        <v>2809</v>
      </c>
      <c r="D1671" s="22" t="s">
        <v>2993</v>
      </c>
      <c r="E1671" s="29">
        <v>45962.0</v>
      </c>
      <c r="F1671" s="3" t="s">
        <v>27</v>
      </c>
      <c r="G1671" s="3" t="s">
        <v>129</v>
      </c>
      <c r="H1671" s="9"/>
      <c r="I1671" s="6"/>
      <c r="J1671" s="6"/>
      <c r="K1671" s="6"/>
      <c r="L1671" s="6"/>
      <c r="M1671" s="26"/>
      <c r="O1671" s="19" t="str">
        <f t="shared" si="2"/>
        <v/>
      </c>
    </row>
    <row r="1672">
      <c r="A1672" s="22" t="s">
        <v>168</v>
      </c>
      <c r="B1672" s="4" t="s">
        <v>45</v>
      </c>
      <c r="C1672" s="3" t="s">
        <v>2312</v>
      </c>
      <c r="D1672" s="22" t="s">
        <v>2994</v>
      </c>
      <c r="E1672" s="29">
        <v>45962.0</v>
      </c>
      <c r="F1672" s="3" t="s">
        <v>27</v>
      </c>
      <c r="G1672" s="3" t="s">
        <v>129</v>
      </c>
      <c r="H1672" s="9"/>
      <c r="I1672" s="6"/>
      <c r="J1672" s="6"/>
      <c r="K1672" s="6"/>
      <c r="L1672" s="6"/>
      <c r="M1672" s="26"/>
      <c r="O1672" s="19" t="str">
        <f t="shared" si="2"/>
        <v/>
      </c>
    </row>
    <row r="1673">
      <c r="A1673" s="22" t="s">
        <v>184</v>
      </c>
      <c r="B1673" s="4" t="s">
        <v>18</v>
      </c>
      <c r="C1673" s="3" t="s">
        <v>2995</v>
      </c>
      <c r="D1673" s="22" t="s">
        <v>2996</v>
      </c>
      <c r="E1673" s="29">
        <v>45962.0</v>
      </c>
      <c r="F1673" s="3" t="s">
        <v>27</v>
      </c>
      <c r="G1673" s="3" t="s">
        <v>129</v>
      </c>
      <c r="H1673" s="9"/>
      <c r="I1673" s="6"/>
      <c r="J1673" s="6"/>
      <c r="K1673" s="6"/>
      <c r="L1673" s="6"/>
      <c r="M1673" s="26"/>
      <c r="O1673" s="19" t="str">
        <f t="shared" si="2"/>
        <v/>
      </c>
    </row>
    <row r="1674">
      <c r="A1674" s="22" t="s">
        <v>2262</v>
      </c>
      <c r="B1674" s="4" t="s">
        <v>18</v>
      </c>
      <c r="C1674" s="3" t="s">
        <v>540</v>
      </c>
      <c r="D1674" s="22" t="s">
        <v>2997</v>
      </c>
      <c r="E1674" s="29">
        <v>45962.0</v>
      </c>
      <c r="F1674" s="3" t="s">
        <v>27</v>
      </c>
      <c r="G1674" s="3" t="s">
        <v>129</v>
      </c>
      <c r="H1674" s="9"/>
      <c r="I1674" s="6"/>
      <c r="J1674" s="6"/>
      <c r="K1674" s="6"/>
      <c r="L1674" s="6"/>
      <c r="M1674" s="26"/>
      <c r="O1674" s="19" t="str">
        <f t="shared" si="2"/>
        <v/>
      </c>
    </row>
    <row r="1675">
      <c r="A1675" s="22" t="s">
        <v>744</v>
      </c>
      <c r="B1675" s="4" t="s">
        <v>18</v>
      </c>
      <c r="C1675" s="3" t="s">
        <v>2998</v>
      </c>
      <c r="D1675" s="22" t="s">
        <v>2999</v>
      </c>
      <c r="E1675" s="29">
        <v>45962.0</v>
      </c>
      <c r="F1675" s="3" t="s">
        <v>27</v>
      </c>
      <c r="G1675" s="3" t="s">
        <v>129</v>
      </c>
      <c r="H1675" s="9"/>
      <c r="I1675" s="6"/>
      <c r="J1675" s="6"/>
      <c r="K1675" s="6"/>
      <c r="L1675" s="6"/>
      <c r="M1675" s="26"/>
      <c r="O1675" s="19" t="str">
        <f t="shared" si="2"/>
        <v/>
      </c>
    </row>
    <row r="1676">
      <c r="A1676" s="22" t="s">
        <v>305</v>
      </c>
      <c r="B1676" s="4" t="s">
        <v>36</v>
      </c>
      <c r="C1676" s="3" t="s">
        <v>327</v>
      </c>
      <c r="D1676" s="22"/>
      <c r="E1676" s="29">
        <v>45962.0</v>
      </c>
      <c r="F1676" s="3" t="s">
        <v>27</v>
      </c>
      <c r="G1676" s="3" t="s">
        <v>129</v>
      </c>
      <c r="H1676" s="9"/>
      <c r="I1676" s="6"/>
      <c r="J1676" s="6"/>
      <c r="K1676" s="6"/>
      <c r="L1676" s="6"/>
      <c r="M1676" s="26"/>
      <c r="O1676" s="19" t="str">
        <f t="shared" si="2"/>
        <v/>
      </c>
    </row>
    <row r="1677">
      <c r="A1677" s="22" t="s">
        <v>184</v>
      </c>
      <c r="B1677" s="4" t="s">
        <v>18</v>
      </c>
      <c r="C1677" s="3" t="s">
        <v>608</v>
      </c>
      <c r="D1677" s="22" t="s">
        <v>3000</v>
      </c>
      <c r="E1677" s="38">
        <v>45668.0</v>
      </c>
      <c r="F1677" s="3" t="s">
        <v>27</v>
      </c>
      <c r="G1677" s="3" t="s">
        <v>1453</v>
      </c>
      <c r="H1677" s="9" t="s">
        <v>3001</v>
      </c>
      <c r="I1677" s="6"/>
      <c r="J1677" s="6"/>
      <c r="K1677" s="6"/>
      <c r="L1677" s="6"/>
      <c r="M1677" s="14"/>
      <c r="O1677" s="19" t="str">
        <f t="shared" si="2"/>
        <v/>
      </c>
    </row>
    <row r="1678">
      <c r="A1678" s="22" t="s">
        <v>291</v>
      </c>
      <c r="B1678" s="4" t="s">
        <v>31</v>
      </c>
      <c r="C1678" s="22" t="s">
        <v>820</v>
      </c>
      <c r="D1678" s="39" t="s">
        <v>3002</v>
      </c>
      <c r="E1678" s="29">
        <v>45962.0</v>
      </c>
      <c r="F1678" s="3">
        <v>6.0</v>
      </c>
      <c r="G1678" s="3" t="s">
        <v>92</v>
      </c>
      <c r="H1678" s="9"/>
      <c r="I1678" s="6"/>
      <c r="J1678" s="6"/>
      <c r="K1678" s="6"/>
      <c r="L1678" s="6"/>
      <c r="M1678" s="26"/>
      <c r="O1678" s="19" t="str">
        <f t="shared" si="2"/>
        <v/>
      </c>
    </row>
    <row r="1679">
      <c r="A1679" s="22" t="s">
        <v>120</v>
      </c>
      <c r="B1679" s="4" t="s">
        <v>31</v>
      </c>
      <c r="C1679" s="22" t="s">
        <v>3003</v>
      </c>
      <c r="D1679" s="23" t="s">
        <v>3004</v>
      </c>
      <c r="E1679" s="29">
        <v>45962.0</v>
      </c>
      <c r="F1679" s="3">
        <v>8.0</v>
      </c>
      <c r="G1679" s="3" t="s">
        <v>92</v>
      </c>
      <c r="H1679" s="9"/>
      <c r="I1679" s="6"/>
      <c r="J1679" s="6"/>
      <c r="K1679" s="6"/>
      <c r="L1679" s="6"/>
      <c r="M1679" s="26"/>
      <c r="O1679" s="19" t="str">
        <f t="shared" si="2"/>
        <v/>
      </c>
    </row>
    <row r="1680">
      <c r="A1680" s="22" t="s">
        <v>2266</v>
      </c>
      <c r="B1680" s="4" t="s">
        <v>18</v>
      </c>
      <c r="C1680" s="22" t="s">
        <v>3005</v>
      </c>
      <c r="D1680" s="23" t="s">
        <v>3006</v>
      </c>
      <c r="E1680" s="29">
        <v>45962.0</v>
      </c>
      <c r="F1680" s="3">
        <v>8.0</v>
      </c>
      <c r="G1680" s="3" t="s">
        <v>92</v>
      </c>
      <c r="H1680" s="9"/>
      <c r="I1680" s="6"/>
      <c r="J1680" s="6"/>
      <c r="K1680" s="6"/>
      <c r="L1680" s="6"/>
      <c r="M1680" s="26"/>
      <c r="O1680" s="19" t="str">
        <f t="shared" si="2"/>
        <v/>
      </c>
    </row>
    <row r="1681">
      <c r="A1681" s="22" t="s">
        <v>120</v>
      </c>
      <c r="B1681" s="4" t="s">
        <v>31</v>
      </c>
      <c r="C1681" s="22" t="s">
        <v>2011</v>
      </c>
      <c r="D1681" s="23" t="s">
        <v>3007</v>
      </c>
      <c r="E1681" s="29">
        <v>45962.0</v>
      </c>
      <c r="F1681" s="3">
        <v>8.0</v>
      </c>
      <c r="G1681" s="3" t="s">
        <v>92</v>
      </c>
      <c r="H1681" s="9"/>
      <c r="I1681" s="6"/>
      <c r="J1681" s="6"/>
      <c r="K1681" s="6"/>
      <c r="L1681" s="6"/>
      <c r="M1681" s="26"/>
      <c r="O1681" s="19" t="str">
        <f t="shared" si="2"/>
        <v/>
      </c>
    </row>
    <row r="1682">
      <c r="A1682" s="22" t="s">
        <v>945</v>
      </c>
      <c r="B1682" s="4" t="s">
        <v>18</v>
      </c>
      <c r="C1682" s="22" t="s">
        <v>1940</v>
      </c>
      <c r="D1682" s="23" t="s">
        <v>3008</v>
      </c>
      <c r="E1682" s="29">
        <v>45962.0</v>
      </c>
      <c r="F1682" s="3">
        <v>8.0</v>
      </c>
      <c r="G1682" s="3" t="s">
        <v>92</v>
      </c>
      <c r="H1682" s="9"/>
      <c r="I1682" s="6"/>
      <c r="J1682" s="6"/>
      <c r="K1682" s="6"/>
      <c r="L1682" s="6"/>
      <c r="M1682" s="26"/>
      <c r="O1682" s="19" t="str">
        <f t="shared" si="2"/>
        <v/>
      </c>
    </row>
    <row r="1683">
      <c r="A1683" s="22" t="s">
        <v>1892</v>
      </c>
      <c r="B1683" s="4" t="s">
        <v>18</v>
      </c>
      <c r="C1683" s="22" t="s">
        <v>2191</v>
      </c>
      <c r="D1683" s="23" t="s">
        <v>3009</v>
      </c>
      <c r="E1683" s="29">
        <v>45962.0</v>
      </c>
      <c r="F1683" s="3">
        <v>8.0</v>
      </c>
      <c r="G1683" s="3" t="s">
        <v>92</v>
      </c>
      <c r="H1683" s="9"/>
      <c r="I1683" s="6"/>
      <c r="J1683" s="6"/>
      <c r="K1683" s="6"/>
      <c r="L1683" s="6"/>
      <c r="M1683" s="26"/>
      <c r="O1683" s="19" t="str">
        <f t="shared" si="2"/>
        <v/>
      </c>
    </row>
    <row r="1684">
      <c r="A1684" s="22" t="s">
        <v>23</v>
      </c>
      <c r="B1684" s="4" t="s">
        <v>18</v>
      </c>
      <c r="C1684" s="22" t="s">
        <v>385</v>
      </c>
      <c r="D1684" s="23" t="s">
        <v>3010</v>
      </c>
      <c r="E1684" s="29">
        <v>45962.0</v>
      </c>
      <c r="F1684" s="3">
        <v>8.0</v>
      </c>
      <c r="G1684" s="3" t="s">
        <v>92</v>
      </c>
      <c r="H1684" s="9" t="s">
        <v>3011</v>
      </c>
      <c r="I1684" s="9">
        <v>6.1405767975E10</v>
      </c>
      <c r="J1684" s="10" t="s">
        <v>3012</v>
      </c>
      <c r="K1684" s="9">
        <v>0.0</v>
      </c>
      <c r="L1684" s="6"/>
      <c r="M1684" s="26"/>
      <c r="O1684" s="19" t="str">
        <f t="shared" si="2"/>
        <v/>
      </c>
    </row>
    <row r="1685">
      <c r="A1685" s="22" t="s">
        <v>168</v>
      </c>
      <c r="B1685" s="4" t="s">
        <v>45</v>
      </c>
      <c r="C1685" s="22" t="s">
        <v>169</v>
      </c>
      <c r="D1685" s="23" t="s">
        <v>3013</v>
      </c>
      <c r="E1685" s="29">
        <v>45962.0</v>
      </c>
      <c r="F1685" s="3">
        <v>8.0</v>
      </c>
      <c r="G1685" s="3" t="s">
        <v>92</v>
      </c>
      <c r="H1685" s="9"/>
      <c r="I1685" s="6"/>
      <c r="J1685" s="6"/>
      <c r="K1685" s="6"/>
      <c r="L1685" s="6"/>
      <c r="M1685" s="26"/>
      <c r="O1685" s="19" t="str">
        <f t="shared" si="2"/>
        <v/>
      </c>
    </row>
    <row r="1686">
      <c r="A1686" s="22" t="s">
        <v>244</v>
      </c>
      <c r="B1686" s="4" t="s">
        <v>18</v>
      </c>
      <c r="C1686" s="22" t="s">
        <v>2310</v>
      </c>
      <c r="D1686" s="23" t="s">
        <v>3014</v>
      </c>
      <c r="E1686" s="29">
        <v>45962.0</v>
      </c>
      <c r="F1686" s="3">
        <v>8.0</v>
      </c>
      <c r="G1686" s="3" t="s">
        <v>92</v>
      </c>
      <c r="H1686" s="9"/>
      <c r="I1686" s="6"/>
      <c r="J1686" s="6"/>
      <c r="K1686" s="6"/>
      <c r="L1686" s="6"/>
      <c r="M1686" s="26"/>
      <c r="O1686" s="19" t="str">
        <f t="shared" si="2"/>
        <v/>
      </c>
    </row>
    <row r="1687">
      <c r="A1687" s="22" t="s">
        <v>817</v>
      </c>
      <c r="B1687" s="4" t="s">
        <v>36</v>
      </c>
      <c r="C1687" s="22" t="s">
        <v>3015</v>
      </c>
      <c r="D1687" s="23" t="s">
        <v>3016</v>
      </c>
      <c r="E1687" s="29">
        <v>45962.0</v>
      </c>
      <c r="F1687" s="3">
        <v>6.0</v>
      </c>
      <c r="G1687" s="3" t="s">
        <v>92</v>
      </c>
      <c r="H1687" s="9"/>
      <c r="I1687" s="6"/>
      <c r="J1687" s="6"/>
      <c r="K1687" s="6"/>
      <c r="L1687" s="6"/>
      <c r="M1687" s="26"/>
      <c r="O1687" s="19" t="str">
        <f t="shared" si="2"/>
        <v/>
      </c>
    </row>
    <row r="1688">
      <c r="A1688" s="22" t="s">
        <v>744</v>
      </c>
      <c r="B1688" s="4" t="s">
        <v>18</v>
      </c>
      <c r="C1688" s="3" t="s">
        <v>904</v>
      </c>
      <c r="D1688" s="22" t="s">
        <v>3017</v>
      </c>
      <c r="E1688" s="38">
        <v>45668.0</v>
      </c>
      <c r="F1688" s="3" t="s">
        <v>27</v>
      </c>
      <c r="G1688" s="3" t="s">
        <v>1453</v>
      </c>
      <c r="H1688" s="9" t="s">
        <v>3018</v>
      </c>
      <c r="I1688" s="6"/>
      <c r="J1688" s="6"/>
      <c r="K1688" s="6"/>
      <c r="L1688" s="6"/>
      <c r="M1688" s="14"/>
      <c r="O1688" s="19" t="str">
        <f t="shared" si="2"/>
        <v/>
      </c>
    </row>
    <row r="1689">
      <c r="A1689" s="22" t="s">
        <v>234</v>
      </c>
      <c r="B1689" s="4" t="s">
        <v>18</v>
      </c>
      <c r="C1689" s="3" t="s">
        <v>1457</v>
      </c>
      <c r="D1689" s="22" t="s">
        <v>3019</v>
      </c>
      <c r="E1689" s="38">
        <v>45699.0</v>
      </c>
      <c r="F1689" s="3" t="s">
        <v>27</v>
      </c>
      <c r="G1689" s="3" t="s">
        <v>1453</v>
      </c>
      <c r="H1689" s="9" t="s">
        <v>3020</v>
      </c>
      <c r="I1689" s="6"/>
      <c r="J1689" s="6"/>
      <c r="K1689" s="6"/>
      <c r="L1689" s="6"/>
      <c r="M1689" s="14"/>
      <c r="O1689" s="19" t="str">
        <f t="shared" si="2"/>
        <v/>
      </c>
    </row>
    <row r="1690">
      <c r="A1690" s="22" t="s">
        <v>472</v>
      </c>
      <c r="B1690" s="4" t="s">
        <v>18</v>
      </c>
      <c r="C1690" s="3" t="s">
        <v>3021</v>
      </c>
      <c r="D1690" s="22" t="s">
        <v>3022</v>
      </c>
      <c r="E1690" s="38">
        <v>45699.0</v>
      </c>
      <c r="F1690" s="3" t="s">
        <v>27</v>
      </c>
      <c r="G1690" s="3" t="s">
        <v>1453</v>
      </c>
      <c r="H1690" s="9" t="s">
        <v>3023</v>
      </c>
      <c r="I1690" s="6"/>
      <c r="J1690" s="6"/>
      <c r="K1690" s="6"/>
      <c r="L1690" s="6"/>
      <c r="M1690" s="14"/>
      <c r="O1690" s="19" t="str">
        <f t="shared" si="2"/>
        <v/>
      </c>
    </row>
    <row r="1691">
      <c r="A1691" s="22" t="s">
        <v>472</v>
      </c>
      <c r="B1691" s="4" t="s">
        <v>18</v>
      </c>
      <c r="C1691" s="3" t="s">
        <v>3021</v>
      </c>
      <c r="D1691" s="22" t="s">
        <v>3024</v>
      </c>
      <c r="E1691" s="38">
        <v>45699.0</v>
      </c>
      <c r="F1691" s="3" t="s">
        <v>27</v>
      </c>
      <c r="G1691" s="3" t="s">
        <v>1453</v>
      </c>
      <c r="H1691" s="9" t="s">
        <v>3023</v>
      </c>
      <c r="I1691" s="6"/>
      <c r="J1691" s="6"/>
      <c r="K1691" s="6"/>
      <c r="L1691" s="6"/>
      <c r="M1691" s="14"/>
      <c r="O1691" s="19" t="str">
        <f t="shared" si="2"/>
        <v/>
      </c>
    </row>
    <row r="1692">
      <c r="A1692" s="22" t="s">
        <v>44</v>
      </c>
      <c r="B1692" s="4" t="s">
        <v>45</v>
      </c>
      <c r="C1692" s="22" t="s">
        <v>3025</v>
      </c>
      <c r="D1692" s="39" t="s">
        <v>3026</v>
      </c>
      <c r="E1692" s="29">
        <v>45963.0</v>
      </c>
      <c r="F1692" s="3">
        <v>8.0</v>
      </c>
      <c r="G1692" s="3" t="s">
        <v>92</v>
      </c>
      <c r="H1692" s="9"/>
      <c r="I1692" s="6"/>
      <c r="J1692" s="6"/>
      <c r="K1692" s="6"/>
      <c r="L1692" s="6"/>
      <c r="M1692" s="26"/>
      <c r="O1692" s="19" t="str">
        <f t="shared" si="2"/>
        <v/>
      </c>
    </row>
    <row r="1693">
      <c r="A1693" s="22" t="s">
        <v>1582</v>
      </c>
      <c r="B1693" s="4" t="s">
        <v>31</v>
      </c>
      <c r="C1693" s="22" t="s">
        <v>2756</v>
      </c>
      <c r="D1693" s="23" t="s">
        <v>3027</v>
      </c>
      <c r="E1693" s="29">
        <v>45963.0</v>
      </c>
      <c r="F1693" s="3">
        <v>8.0</v>
      </c>
      <c r="G1693" s="3" t="s">
        <v>92</v>
      </c>
      <c r="H1693" s="9"/>
      <c r="I1693" s="6"/>
      <c r="J1693" s="6"/>
      <c r="K1693" s="6"/>
      <c r="L1693" s="6"/>
      <c r="M1693" s="26"/>
      <c r="O1693" s="19" t="str">
        <f t="shared" si="2"/>
        <v/>
      </c>
    </row>
    <row r="1694">
      <c r="A1694" s="22" t="s">
        <v>276</v>
      </c>
      <c r="B1694" s="4" t="s">
        <v>18</v>
      </c>
      <c r="C1694" s="22" t="s">
        <v>3028</v>
      </c>
      <c r="D1694" s="23" t="s">
        <v>3029</v>
      </c>
      <c r="E1694" s="29">
        <v>45963.0</v>
      </c>
      <c r="F1694" s="3">
        <v>8.0</v>
      </c>
      <c r="G1694" s="3" t="s">
        <v>92</v>
      </c>
      <c r="H1694" s="9"/>
      <c r="I1694" s="6"/>
      <c r="J1694" s="6"/>
      <c r="K1694" s="6"/>
      <c r="L1694" s="6"/>
      <c r="M1694" s="26"/>
      <c r="O1694" s="19" t="str">
        <f t="shared" si="2"/>
        <v/>
      </c>
    </row>
    <row r="1695">
      <c r="A1695" s="22" t="s">
        <v>945</v>
      </c>
      <c r="B1695" s="4" t="s">
        <v>18</v>
      </c>
      <c r="C1695" s="22" t="s">
        <v>3030</v>
      </c>
      <c r="D1695" s="23" t="s">
        <v>3031</v>
      </c>
      <c r="E1695" s="29">
        <v>45963.0</v>
      </c>
      <c r="F1695" s="3">
        <v>8.0</v>
      </c>
      <c r="G1695" s="3" t="s">
        <v>92</v>
      </c>
      <c r="H1695" s="9"/>
      <c r="I1695" s="6"/>
      <c r="J1695" s="6"/>
      <c r="K1695" s="6"/>
      <c r="L1695" s="6"/>
      <c r="M1695" s="26"/>
      <c r="O1695" s="19" t="str">
        <f t="shared" si="2"/>
        <v/>
      </c>
    </row>
    <row r="1696">
      <c r="A1696" s="22" t="s">
        <v>274</v>
      </c>
      <c r="B1696" s="4" t="s">
        <v>18</v>
      </c>
      <c r="C1696" s="22" t="s">
        <v>3032</v>
      </c>
      <c r="D1696" s="23" t="s">
        <v>3033</v>
      </c>
      <c r="E1696" s="29">
        <v>45963.0</v>
      </c>
      <c r="F1696" s="3">
        <v>8.0</v>
      </c>
      <c r="G1696" s="3" t="s">
        <v>92</v>
      </c>
      <c r="H1696" s="9"/>
      <c r="I1696" s="6"/>
      <c r="J1696" s="6"/>
      <c r="K1696" s="6"/>
      <c r="L1696" s="6"/>
      <c r="M1696" s="26"/>
      <c r="O1696" s="19" t="str">
        <f t="shared" si="2"/>
        <v/>
      </c>
    </row>
    <row r="1697">
      <c r="A1697" s="22" t="s">
        <v>23</v>
      </c>
      <c r="B1697" s="4" t="s">
        <v>18</v>
      </c>
      <c r="C1697" s="22" t="s">
        <v>496</v>
      </c>
      <c r="D1697" s="23" t="s">
        <v>3034</v>
      </c>
      <c r="E1697" s="29">
        <v>45963.0</v>
      </c>
      <c r="F1697" s="3">
        <v>8.0</v>
      </c>
      <c r="G1697" s="3" t="s">
        <v>92</v>
      </c>
      <c r="H1697" s="9" t="s">
        <v>3035</v>
      </c>
      <c r="I1697" s="9">
        <v>6.1415587616E10</v>
      </c>
      <c r="J1697" s="10" t="s">
        <v>3036</v>
      </c>
      <c r="K1697" s="9">
        <v>0.0</v>
      </c>
      <c r="L1697" s="6"/>
      <c r="M1697" s="26"/>
      <c r="O1697" s="19" t="str">
        <f t="shared" si="2"/>
        <v/>
      </c>
    </row>
    <row r="1698">
      <c r="A1698" s="22" t="s">
        <v>1266</v>
      </c>
      <c r="B1698" s="4" t="s">
        <v>31</v>
      </c>
      <c r="C1698" s="22" t="s">
        <v>2359</v>
      </c>
      <c r="D1698" s="23" t="s">
        <v>3037</v>
      </c>
      <c r="E1698" s="29">
        <v>45963.0</v>
      </c>
      <c r="F1698" s="3">
        <v>6.0</v>
      </c>
      <c r="G1698" s="3" t="s">
        <v>92</v>
      </c>
      <c r="H1698" s="9"/>
      <c r="I1698" s="6"/>
      <c r="J1698" s="6"/>
      <c r="K1698" s="6"/>
      <c r="L1698" s="6"/>
      <c r="M1698" s="26"/>
      <c r="O1698" s="19" t="str">
        <f t="shared" si="2"/>
        <v/>
      </c>
    </row>
    <row r="1699">
      <c r="A1699" s="22" t="s">
        <v>2620</v>
      </c>
      <c r="B1699" s="4" t="s">
        <v>18</v>
      </c>
      <c r="C1699" s="3" t="s">
        <v>3038</v>
      </c>
      <c r="D1699" s="22" t="s">
        <v>3039</v>
      </c>
      <c r="E1699" s="38">
        <v>45727.0</v>
      </c>
      <c r="F1699" s="3" t="s">
        <v>27</v>
      </c>
      <c r="G1699" s="3" t="s">
        <v>1453</v>
      </c>
      <c r="H1699" s="9" t="s">
        <v>3040</v>
      </c>
      <c r="I1699" s="6"/>
      <c r="J1699" s="6"/>
      <c r="K1699" s="6"/>
      <c r="L1699" s="6"/>
      <c r="M1699" s="14"/>
      <c r="O1699" s="19" t="str">
        <f t="shared" si="2"/>
        <v/>
      </c>
    </row>
    <row r="1700">
      <c r="A1700" s="22" t="s">
        <v>210</v>
      </c>
      <c r="B1700" s="4" t="s">
        <v>31</v>
      </c>
      <c r="C1700" s="3" t="s">
        <v>1938</v>
      </c>
      <c r="D1700" s="22" t="s">
        <v>3041</v>
      </c>
      <c r="E1700" s="38">
        <v>45727.0</v>
      </c>
      <c r="F1700" s="3" t="s">
        <v>27</v>
      </c>
      <c r="G1700" s="3" t="s">
        <v>1453</v>
      </c>
      <c r="H1700" s="9" t="s">
        <v>3042</v>
      </c>
      <c r="I1700" s="6"/>
      <c r="J1700" s="6"/>
      <c r="K1700" s="6"/>
      <c r="L1700" s="6"/>
      <c r="M1700" s="14"/>
      <c r="O1700" s="19" t="str">
        <f t="shared" si="2"/>
        <v/>
      </c>
    </row>
    <row r="1701">
      <c r="A1701" s="22" t="s">
        <v>168</v>
      </c>
      <c r="B1701" s="4" t="s">
        <v>45</v>
      </c>
      <c r="C1701" s="3" t="s">
        <v>2653</v>
      </c>
      <c r="D1701" s="22" t="s">
        <v>3043</v>
      </c>
      <c r="E1701" s="38">
        <v>45727.0</v>
      </c>
      <c r="F1701" s="3" t="s">
        <v>27</v>
      </c>
      <c r="G1701" s="3" t="s">
        <v>1453</v>
      </c>
      <c r="H1701" s="9" t="s">
        <v>3044</v>
      </c>
      <c r="I1701" s="6"/>
      <c r="J1701" s="6"/>
      <c r="K1701" s="6"/>
      <c r="L1701" s="6"/>
      <c r="M1701" s="14"/>
      <c r="O1701" s="19" t="str">
        <f t="shared" si="2"/>
        <v/>
      </c>
    </row>
    <row r="1702">
      <c r="A1702" s="22" t="s">
        <v>113</v>
      </c>
      <c r="B1702" s="4" t="s">
        <v>18</v>
      </c>
      <c r="C1702" s="3" t="s">
        <v>175</v>
      </c>
      <c r="D1702" s="22" t="s">
        <v>3045</v>
      </c>
      <c r="E1702" s="38">
        <v>45727.0</v>
      </c>
      <c r="F1702" s="3" t="s">
        <v>27</v>
      </c>
      <c r="G1702" s="3" t="s">
        <v>1453</v>
      </c>
      <c r="H1702" s="9" t="s">
        <v>3046</v>
      </c>
      <c r="I1702" s="6"/>
      <c r="J1702" s="6"/>
      <c r="K1702" s="6"/>
      <c r="L1702" s="6"/>
      <c r="M1702" s="14"/>
      <c r="O1702" s="19" t="str">
        <f t="shared" si="2"/>
        <v/>
      </c>
    </row>
    <row r="1703">
      <c r="A1703" s="22" t="s">
        <v>1359</v>
      </c>
      <c r="B1703" s="4" t="s">
        <v>45</v>
      </c>
      <c r="C1703" s="3" t="s">
        <v>3047</v>
      </c>
      <c r="D1703" s="22" t="s">
        <v>3048</v>
      </c>
      <c r="E1703" s="38">
        <v>45727.0</v>
      </c>
      <c r="F1703" s="3" t="s">
        <v>27</v>
      </c>
      <c r="G1703" s="3" t="s">
        <v>1453</v>
      </c>
      <c r="H1703" s="9"/>
      <c r="I1703" s="6"/>
      <c r="J1703" s="6"/>
      <c r="K1703" s="6"/>
      <c r="L1703" s="6"/>
      <c r="M1703" s="14"/>
      <c r="O1703" s="19" t="str">
        <f t="shared" si="2"/>
        <v/>
      </c>
    </row>
    <row r="1704">
      <c r="A1704" s="22" t="s">
        <v>23</v>
      </c>
      <c r="B1704" s="4" t="s">
        <v>18</v>
      </c>
      <c r="C1704" s="22" t="s">
        <v>3049</v>
      </c>
      <c r="D1704" s="23" t="s">
        <v>3050</v>
      </c>
      <c r="E1704" s="29">
        <v>45964.0</v>
      </c>
      <c r="F1704" s="3">
        <v>6.0</v>
      </c>
      <c r="G1704" s="3" t="s">
        <v>92</v>
      </c>
      <c r="H1704" s="9" t="s">
        <v>3051</v>
      </c>
      <c r="I1704" s="9">
        <v>6.1400235481E10</v>
      </c>
      <c r="J1704" s="10" t="s">
        <v>3052</v>
      </c>
      <c r="K1704" s="9">
        <v>0.0</v>
      </c>
      <c r="L1704" s="6"/>
      <c r="M1704" s="26"/>
      <c r="O1704" s="19" t="str">
        <f t="shared" si="2"/>
        <v/>
      </c>
    </row>
    <row r="1705">
      <c r="A1705" s="22" t="s">
        <v>184</v>
      </c>
      <c r="B1705" s="4" t="s">
        <v>18</v>
      </c>
      <c r="C1705" s="22" t="s">
        <v>649</v>
      </c>
      <c r="D1705" s="23" t="s">
        <v>3053</v>
      </c>
      <c r="E1705" s="29">
        <v>45964.0</v>
      </c>
      <c r="F1705" s="3">
        <v>8.0</v>
      </c>
      <c r="G1705" s="3" t="s">
        <v>92</v>
      </c>
      <c r="H1705" s="9"/>
      <c r="I1705" s="6"/>
      <c r="J1705" s="6"/>
      <c r="K1705" s="6"/>
      <c r="L1705" s="6"/>
      <c r="M1705" s="26"/>
      <c r="O1705" s="19" t="str">
        <f t="shared" si="2"/>
        <v/>
      </c>
    </row>
    <row r="1706">
      <c r="A1706" s="22" t="s">
        <v>1660</v>
      </c>
      <c r="B1706" s="4" t="s">
        <v>36</v>
      </c>
      <c r="C1706" s="22" t="s">
        <v>3054</v>
      </c>
      <c r="D1706" s="23"/>
      <c r="E1706" s="29">
        <v>45964.0</v>
      </c>
      <c r="F1706" s="3">
        <v>5.0</v>
      </c>
      <c r="G1706" s="3" t="s">
        <v>92</v>
      </c>
      <c r="H1706" s="9"/>
      <c r="I1706" s="6"/>
      <c r="J1706" s="6"/>
      <c r="K1706" s="6"/>
      <c r="L1706" s="6"/>
      <c r="M1706" s="26"/>
      <c r="O1706" s="19" t="str">
        <f t="shared" si="2"/>
        <v/>
      </c>
    </row>
    <row r="1707">
      <c r="A1707" s="22" t="s">
        <v>244</v>
      </c>
      <c r="B1707" s="4" t="s">
        <v>18</v>
      </c>
      <c r="C1707" s="22" t="s">
        <v>2855</v>
      </c>
      <c r="D1707" s="23" t="s">
        <v>3055</v>
      </c>
      <c r="E1707" s="29">
        <v>45964.0</v>
      </c>
      <c r="F1707" s="3">
        <v>6.0</v>
      </c>
      <c r="G1707" s="3" t="s">
        <v>92</v>
      </c>
      <c r="H1707" s="9"/>
      <c r="I1707" s="6"/>
      <c r="J1707" s="6"/>
      <c r="K1707" s="6"/>
      <c r="L1707" s="6"/>
      <c r="M1707" s="26"/>
      <c r="O1707" s="19" t="str">
        <f t="shared" si="2"/>
        <v/>
      </c>
    </row>
    <row r="1708">
      <c r="A1708" s="22" t="s">
        <v>244</v>
      </c>
      <c r="B1708" s="4" t="s">
        <v>18</v>
      </c>
      <c r="C1708" s="22" t="s">
        <v>268</v>
      </c>
      <c r="D1708" s="23" t="s">
        <v>3056</v>
      </c>
      <c r="E1708" s="29">
        <v>45964.0</v>
      </c>
      <c r="F1708" s="3">
        <v>6.0</v>
      </c>
      <c r="G1708" s="3" t="s">
        <v>92</v>
      </c>
      <c r="H1708" s="9"/>
      <c r="I1708" s="6"/>
      <c r="J1708" s="6"/>
      <c r="K1708" s="6"/>
      <c r="L1708" s="6"/>
      <c r="M1708" s="26"/>
      <c r="O1708" s="19" t="str">
        <f t="shared" si="2"/>
        <v/>
      </c>
    </row>
    <row r="1709">
      <c r="A1709" s="22" t="s">
        <v>155</v>
      </c>
      <c r="B1709" s="4" t="s">
        <v>18</v>
      </c>
      <c r="C1709" s="22" t="s">
        <v>1024</v>
      </c>
      <c r="D1709" s="23" t="s">
        <v>3057</v>
      </c>
      <c r="E1709" s="29">
        <v>45964.0</v>
      </c>
      <c r="F1709" s="3">
        <v>6.0</v>
      </c>
      <c r="G1709" s="3" t="s">
        <v>92</v>
      </c>
      <c r="H1709" s="9"/>
      <c r="I1709" s="6"/>
      <c r="J1709" s="6"/>
      <c r="K1709" s="6"/>
      <c r="L1709" s="6"/>
      <c r="M1709" s="26"/>
      <c r="O1709" s="19" t="str">
        <f t="shared" si="2"/>
        <v/>
      </c>
    </row>
    <row r="1710">
      <c r="A1710" s="22" t="s">
        <v>1973</v>
      </c>
      <c r="B1710" s="4" t="s">
        <v>31</v>
      </c>
      <c r="C1710" s="22" t="s">
        <v>1974</v>
      </c>
      <c r="D1710" s="23" t="s">
        <v>3058</v>
      </c>
      <c r="E1710" s="29">
        <v>45964.0</v>
      </c>
      <c r="F1710" s="3">
        <v>8.0</v>
      </c>
      <c r="G1710" s="3" t="s">
        <v>92</v>
      </c>
      <c r="H1710" s="9"/>
      <c r="I1710" s="6"/>
      <c r="J1710" s="6"/>
      <c r="K1710" s="6"/>
      <c r="L1710" s="6"/>
      <c r="M1710" s="26"/>
      <c r="O1710" s="19" t="str">
        <f t="shared" si="2"/>
        <v/>
      </c>
    </row>
    <row r="1711">
      <c r="A1711" s="22" t="s">
        <v>744</v>
      </c>
      <c r="B1711" s="4" t="s">
        <v>18</v>
      </c>
      <c r="C1711" s="22" t="s">
        <v>3059</v>
      </c>
      <c r="D1711" s="23" t="s">
        <v>3060</v>
      </c>
      <c r="E1711" s="29">
        <v>45964.0</v>
      </c>
      <c r="F1711" s="3">
        <v>8.0</v>
      </c>
      <c r="G1711" s="3" t="s">
        <v>92</v>
      </c>
      <c r="H1711" s="9"/>
      <c r="I1711" s="6"/>
      <c r="J1711" s="6"/>
      <c r="K1711" s="6"/>
      <c r="L1711" s="6"/>
      <c r="M1711" s="26"/>
      <c r="O1711" s="19" t="str">
        <f t="shared" si="2"/>
        <v/>
      </c>
    </row>
    <row r="1712">
      <c r="A1712" s="22" t="s">
        <v>244</v>
      </c>
      <c r="B1712" s="4" t="s">
        <v>18</v>
      </c>
      <c r="C1712" s="22" t="s">
        <v>268</v>
      </c>
      <c r="D1712" s="23" t="s">
        <v>3061</v>
      </c>
      <c r="E1712" s="29">
        <v>45964.0</v>
      </c>
      <c r="F1712" s="3">
        <v>8.0</v>
      </c>
      <c r="G1712" s="3" t="s">
        <v>92</v>
      </c>
      <c r="H1712" s="9"/>
      <c r="I1712" s="6"/>
      <c r="J1712" s="6"/>
      <c r="K1712" s="6"/>
      <c r="L1712" s="6"/>
      <c r="M1712" s="26"/>
      <c r="O1712" s="19" t="str">
        <f t="shared" si="2"/>
        <v/>
      </c>
    </row>
    <row r="1713">
      <c r="A1713" s="22" t="s">
        <v>23</v>
      </c>
      <c r="B1713" s="4" t="s">
        <v>18</v>
      </c>
      <c r="C1713" s="22" t="s">
        <v>53</v>
      </c>
      <c r="D1713" s="23" t="s">
        <v>3062</v>
      </c>
      <c r="E1713" s="29">
        <v>45964.0</v>
      </c>
      <c r="F1713" s="3">
        <v>5.0</v>
      </c>
      <c r="G1713" s="3" t="s">
        <v>92</v>
      </c>
      <c r="H1713" s="9" t="s">
        <v>3063</v>
      </c>
      <c r="I1713" s="9">
        <v>6.1416780068E10</v>
      </c>
      <c r="J1713" s="10" t="s">
        <v>3064</v>
      </c>
      <c r="K1713" s="9">
        <v>0.0</v>
      </c>
      <c r="L1713" s="6"/>
      <c r="M1713" s="26"/>
      <c r="O1713" s="19" t="str">
        <f t="shared" si="2"/>
        <v/>
      </c>
    </row>
    <row r="1714">
      <c r="A1714" s="22" t="s">
        <v>2262</v>
      </c>
      <c r="B1714" s="4" t="s">
        <v>18</v>
      </c>
      <c r="C1714" s="22" t="s">
        <v>493</v>
      </c>
      <c r="D1714" s="23" t="s">
        <v>3065</v>
      </c>
      <c r="E1714" s="29">
        <v>45964.0</v>
      </c>
      <c r="F1714" s="3">
        <v>8.0</v>
      </c>
      <c r="G1714" s="3" t="s">
        <v>92</v>
      </c>
      <c r="H1714" s="9"/>
      <c r="I1714" s="6"/>
      <c r="J1714" s="6"/>
      <c r="K1714" s="6"/>
      <c r="L1714" s="6"/>
      <c r="M1714" s="26"/>
      <c r="O1714" s="19" t="str">
        <f t="shared" si="2"/>
        <v/>
      </c>
    </row>
    <row r="1715">
      <c r="A1715" s="22" t="s">
        <v>479</v>
      </c>
      <c r="B1715" s="4" t="s">
        <v>18</v>
      </c>
      <c r="C1715" s="22" t="s">
        <v>3066</v>
      </c>
      <c r="D1715" s="23" t="s">
        <v>3067</v>
      </c>
      <c r="E1715" s="29">
        <v>45964.0</v>
      </c>
      <c r="F1715" s="3">
        <v>8.0</v>
      </c>
      <c r="G1715" s="3" t="s">
        <v>92</v>
      </c>
      <c r="H1715" s="9"/>
      <c r="I1715" s="6"/>
      <c r="J1715" s="6"/>
      <c r="K1715" s="6"/>
      <c r="L1715" s="6"/>
      <c r="M1715" s="26"/>
      <c r="O1715" s="19" t="str">
        <f t="shared" si="2"/>
        <v/>
      </c>
    </row>
    <row r="1716">
      <c r="A1716" s="22" t="s">
        <v>2262</v>
      </c>
      <c r="B1716" s="4" t="s">
        <v>18</v>
      </c>
      <c r="C1716" s="22" t="s">
        <v>835</v>
      </c>
      <c r="D1716" s="23" t="s">
        <v>3068</v>
      </c>
      <c r="E1716" s="29">
        <v>45964.0</v>
      </c>
      <c r="F1716" s="3">
        <v>8.0</v>
      </c>
      <c r="G1716" s="3" t="s">
        <v>92</v>
      </c>
      <c r="H1716" s="9"/>
      <c r="I1716" s="6"/>
      <c r="J1716" s="6"/>
      <c r="K1716" s="6"/>
      <c r="L1716" s="6"/>
      <c r="M1716" s="26"/>
      <c r="O1716" s="19" t="str">
        <f t="shared" si="2"/>
        <v/>
      </c>
    </row>
    <row r="1717">
      <c r="A1717" s="22" t="s">
        <v>2406</v>
      </c>
      <c r="B1717" s="4" t="s">
        <v>31</v>
      </c>
      <c r="C1717" s="22" t="s">
        <v>3069</v>
      </c>
      <c r="D1717" s="23" t="s">
        <v>3070</v>
      </c>
      <c r="E1717" s="29">
        <v>45964.0</v>
      </c>
      <c r="F1717" s="3">
        <v>5.0</v>
      </c>
      <c r="G1717" s="3" t="s">
        <v>92</v>
      </c>
      <c r="H1717" s="3"/>
      <c r="M1717" s="26"/>
      <c r="O1717" s="19" t="str">
        <f t="shared" si="2"/>
        <v/>
      </c>
    </row>
    <row r="1718">
      <c r="A1718" s="22" t="s">
        <v>510</v>
      </c>
      <c r="B1718" s="4" t="s">
        <v>18</v>
      </c>
      <c r="C1718" s="22" t="s">
        <v>564</v>
      </c>
      <c r="D1718" s="23" t="s">
        <v>2502</v>
      </c>
      <c r="E1718" s="29">
        <v>45964.0</v>
      </c>
      <c r="F1718" s="3">
        <v>8.0</v>
      </c>
      <c r="G1718" s="3" t="s">
        <v>92</v>
      </c>
      <c r="H1718" s="3"/>
      <c r="M1718" s="26"/>
      <c r="O1718" s="19" t="str">
        <f t="shared" si="2"/>
        <v/>
      </c>
    </row>
    <row r="1719">
      <c r="A1719" s="22" t="s">
        <v>107</v>
      </c>
      <c r="B1719" s="4" t="s">
        <v>18</v>
      </c>
      <c r="C1719" s="3" t="s">
        <v>477</v>
      </c>
      <c r="D1719" s="22" t="s">
        <v>3071</v>
      </c>
      <c r="E1719" s="29">
        <v>45964.0</v>
      </c>
      <c r="F1719" s="3" t="s">
        <v>27</v>
      </c>
      <c r="G1719" s="3" t="s">
        <v>129</v>
      </c>
      <c r="H1719" s="3"/>
      <c r="M1719" s="26"/>
      <c r="O1719" s="19" t="str">
        <f t="shared" si="2"/>
        <v/>
      </c>
    </row>
    <row r="1720">
      <c r="A1720" s="22" t="s">
        <v>1359</v>
      </c>
      <c r="B1720" s="4" t="s">
        <v>45</v>
      </c>
      <c r="C1720" s="3" t="s">
        <v>3072</v>
      </c>
      <c r="D1720" s="22" t="s">
        <v>3073</v>
      </c>
      <c r="E1720" s="29">
        <v>45964.0</v>
      </c>
      <c r="F1720" s="3" t="s">
        <v>27</v>
      </c>
      <c r="G1720" s="3" t="s">
        <v>129</v>
      </c>
      <c r="H1720" s="3"/>
      <c r="M1720" s="26"/>
      <c r="O1720" s="19" t="str">
        <f t="shared" si="2"/>
        <v/>
      </c>
    </row>
    <row r="1721">
      <c r="A1721" s="22" t="s">
        <v>168</v>
      </c>
      <c r="B1721" s="4" t="s">
        <v>45</v>
      </c>
      <c r="C1721" s="3" t="s">
        <v>2933</v>
      </c>
      <c r="D1721" s="22" t="s">
        <v>3074</v>
      </c>
      <c r="E1721" s="29">
        <v>45964.0</v>
      </c>
      <c r="F1721" s="3" t="s">
        <v>27</v>
      </c>
      <c r="G1721" s="3" t="s">
        <v>129</v>
      </c>
      <c r="H1721" s="3"/>
      <c r="M1721" s="26"/>
      <c r="O1721" s="19" t="str">
        <f t="shared" si="2"/>
        <v/>
      </c>
    </row>
    <row r="1722">
      <c r="A1722" s="22" t="s">
        <v>113</v>
      </c>
      <c r="B1722" s="4" t="s">
        <v>18</v>
      </c>
      <c r="C1722" s="3" t="s">
        <v>2141</v>
      </c>
      <c r="D1722" s="22" t="s">
        <v>3075</v>
      </c>
      <c r="E1722" s="29">
        <v>45964.0</v>
      </c>
      <c r="F1722" s="3" t="s">
        <v>27</v>
      </c>
      <c r="G1722" s="3" t="s">
        <v>129</v>
      </c>
      <c r="H1722" s="3"/>
      <c r="M1722" s="26"/>
      <c r="O1722" s="19" t="str">
        <f t="shared" si="2"/>
        <v/>
      </c>
    </row>
    <row r="1723">
      <c r="A1723" s="22" t="s">
        <v>2262</v>
      </c>
      <c r="B1723" s="4" t="s">
        <v>18</v>
      </c>
      <c r="C1723" s="3" t="s">
        <v>2160</v>
      </c>
      <c r="D1723" s="22" t="s">
        <v>3076</v>
      </c>
      <c r="E1723" s="29">
        <v>45964.0</v>
      </c>
      <c r="F1723" s="3" t="s">
        <v>27</v>
      </c>
      <c r="G1723" s="3" t="s">
        <v>129</v>
      </c>
      <c r="H1723" s="3"/>
      <c r="M1723" s="26"/>
      <c r="O1723" s="19" t="str">
        <f t="shared" si="2"/>
        <v/>
      </c>
    </row>
    <row r="1724">
      <c r="A1724" s="22" t="s">
        <v>168</v>
      </c>
      <c r="B1724" s="4" t="s">
        <v>45</v>
      </c>
      <c r="C1724" s="3" t="s">
        <v>169</v>
      </c>
      <c r="D1724" s="22" t="s">
        <v>3077</v>
      </c>
      <c r="E1724" s="29">
        <v>45964.0</v>
      </c>
      <c r="F1724" s="3" t="s">
        <v>27</v>
      </c>
      <c r="G1724" s="3" t="s">
        <v>129</v>
      </c>
      <c r="H1724" s="3"/>
      <c r="M1724" s="26"/>
      <c r="O1724" s="19" t="str">
        <f t="shared" si="2"/>
        <v/>
      </c>
    </row>
    <row r="1725">
      <c r="A1725" s="22" t="s">
        <v>435</v>
      </c>
      <c r="B1725" s="4" t="s">
        <v>18</v>
      </c>
      <c r="C1725" s="3" t="s">
        <v>3078</v>
      </c>
      <c r="D1725" s="22" t="s">
        <v>3079</v>
      </c>
      <c r="E1725" s="29">
        <v>45964.0</v>
      </c>
      <c r="F1725" s="3" t="s">
        <v>27</v>
      </c>
      <c r="G1725" s="3" t="s">
        <v>129</v>
      </c>
      <c r="H1725" s="3"/>
      <c r="M1725" s="26"/>
      <c r="O1725" s="19" t="str">
        <f t="shared" si="2"/>
        <v/>
      </c>
    </row>
    <row r="1726">
      <c r="A1726" s="22" t="s">
        <v>1892</v>
      </c>
      <c r="B1726" s="4" t="s">
        <v>18</v>
      </c>
      <c r="C1726" s="3" t="s">
        <v>627</v>
      </c>
      <c r="D1726" s="22" t="s">
        <v>3080</v>
      </c>
      <c r="E1726" s="29">
        <v>45964.0</v>
      </c>
      <c r="F1726" s="3" t="s">
        <v>27</v>
      </c>
      <c r="G1726" s="3" t="s">
        <v>129</v>
      </c>
      <c r="H1726" s="3"/>
      <c r="M1726" s="26"/>
      <c r="O1726" s="19" t="str">
        <f t="shared" si="2"/>
        <v/>
      </c>
    </row>
    <row r="1727">
      <c r="A1727" s="22" t="s">
        <v>1892</v>
      </c>
      <c r="B1727" s="4" t="s">
        <v>18</v>
      </c>
      <c r="C1727" s="3" t="s">
        <v>2070</v>
      </c>
      <c r="D1727" s="22" t="s">
        <v>3081</v>
      </c>
      <c r="E1727" s="29">
        <v>45964.0</v>
      </c>
      <c r="F1727" s="3" t="s">
        <v>27</v>
      </c>
      <c r="G1727" s="3" t="s">
        <v>129</v>
      </c>
      <c r="H1727" s="3"/>
      <c r="M1727" s="26"/>
      <c r="O1727" s="19" t="str">
        <f t="shared" si="2"/>
        <v/>
      </c>
    </row>
    <row r="1728">
      <c r="A1728" s="22" t="s">
        <v>1660</v>
      </c>
      <c r="B1728" s="4" t="s">
        <v>36</v>
      </c>
      <c r="C1728" s="3" t="s">
        <v>2558</v>
      </c>
      <c r="D1728" s="22" t="s">
        <v>3082</v>
      </c>
      <c r="E1728" s="29">
        <v>45964.0</v>
      </c>
      <c r="F1728" s="3" t="s">
        <v>27</v>
      </c>
      <c r="G1728" s="3" t="s">
        <v>129</v>
      </c>
      <c r="H1728" s="3"/>
      <c r="M1728" s="26"/>
      <c r="O1728" s="19" t="str">
        <f t="shared" si="2"/>
        <v/>
      </c>
    </row>
    <row r="1729">
      <c r="A1729" s="22" t="s">
        <v>184</v>
      </c>
      <c r="B1729" s="4" t="s">
        <v>18</v>
      </c>
      <c r="C1729" s="3" t="s">
        <v>552</v>
      </c>
      <c r="D1729" s="22" t="s">
        <v>3083</v>
      </c>
      <c r="E1729" s="29">
        <v>45964.0</v>
      </c>
      <c r="F1729" s="3" t="s">
        <v>27</v>
      </c>
      <c r="G1729" s="3" t="s">
        <v>129</v>
      </c>
      <c r="H1729" s="3"/>
      <c r="M1729" s="26"/>
      <c r="O1729" s="19" t="str">
        <f t="shared" si="2"/>
        <v/>
      </c>
    </row>
    <row r="1730">
      <c r="A1730" s="22" t="s">
        <v>532</v>
      </c>
      <c r="B1730" s="4" t="s">
        <v>18</v>
      </c>
      <c r="C1730" s="3" t="s">
        <v>533</v>
      </c>
      <c r="D1730" s="22" t="s">
        <v>3084</v>
      </c>
      <c r="E1730" s="29">
        <v>45964.0</v>
      </c>
      <c r="F1730" s="3" t="s">
        <v>27</v>
      </c>
      <c r="G1730" s="3" t="s">
        <v>129</v>
      </c>
      <c r="H1730" s="3"/>
      <c r="M1730" s="26"/>
      <c r="O1730" s="19" t="str">
        <f t="shared" si="2"/>
        <v/>
      </c>
    </row>
    <row r="1731">
      <c r="A1731" s="22" t="s">
        <v>1320</v>
      </c>
      <c r="B1731" s="4" t="s">
        <v>45</v>
      </c>
      <c r="C1731" s="3" t="s">
        <v>1369</v>
      </c>
      <c r="D1731" s="22" t="s">
        <v>3085</v>
      </c>
      <c r="E1731" s="29">
        <v>45964.0</v>
      </c>
      <c r="F1731" s="3" t="s">
        <v>27</v>
      </c>
      <c r="G1731" s="3" t="s">
        <v>129</v>
      </c>
      <c r="H1731" s="3"/>
      <c r="M1731" s="26"/>
      <c r="O1731" s="19" t="str">
        <f t="shared" si="2"/>
        <v/>
      </c>
    </row>
    <row r="1732">
      <c r="A1732" s="22" t="s">
        <v>44</v>
      </c>
      <c r="B1732" s="4" t="s">
        <v>45</v>
      </c>
      <c r="C1732" s="3" t="s">
        <v>1942</v>
      </c>
      <c r="D1732" s="22" t="s">
        <v>3086</v>
      </c>
      <c r="E1732" s="29">
        <v>45964.0</v>
      </c>
      <c r="F1732" s="3" t="s">
        <v>27</v>
      </c>
      <c r="G1732" s="3" t="s">
        <v>129</v>
      </c>
      <c r="H1732" s="3"/>
      <c r="M1732" s="26"/>
      <c r="O1732" s="19" t="str">
        <f t="shared" si="2"/>
        <v/>
      </c>
    </row>
    <row r="1733">
      <c r="A1733" s="22" t="s">
        <v>795</v>
      </c>
      <c r="B1733" s="4" t="s">
        <v>109</v>
      </c>
      <c r="C1733" s="3" t="s">
        <v>849</v>
      </c>
      <c r="D1733" s="22" t="s">
        <v>3087</v>
      </c>
      <c r="E1733" s="29">
        <v>45964.0</v>
      </c>
      <c r="F1733" s="3" t="s">
        <v>27</v>
      </c>
      <c r="G1733" s="3" t="s">
        <v>129</v>
      </c>
      <c r="H1733" s="3"/>
      <c r="M1733" s="26"/>
      <c r="O1733" s="19" t="str">
        <f t="shared" si="2"/>
        <v/>
      </c>
    </row>
    <row r="1734">
      <c r="A1734" s="3" t="s">
        <v>244</v>
      </c>
      <c r="B1734" s="4" t="s">
        <v>18</v>
      </c>
      <c r="C1734" s="3" t="s">
        <v>1457</v>
      </c>
      <c r="D1734" s="3" t="s">
        <v>3088</v>
      </c>
      <c r="E1734" s="29">
        <v>45964.0</v>
      </c>
      <c r="F1734" s="3" t="s">
        <v>27</v>
      </c>
      <c r="G1734" s="3" t="s">
        <v>129</v>
      </c>
      <c r="M1734" s="26"/>
      <c r="O1734" s="19" t="str">
        <f t="shared" si="2"/>
        <v/>
      </c>
    </row>
    <row r="1735">
      <c r="A1735" s="3" t="s">
        <v>1359</v>
      </c>
      <c r="B1735" s="4" t="s">
        <v>45</v>
      </c>
      <c r="C1735" s="3" t="s">
        <v>3047</v>
      </c>
      <c r="D1735" s="3" t="s">
        <v>3089</v>
      </c>
      <c r="E1735" s="29">
        <v>45964.0</v>
      </c>
      <c r="F1735" s="3" t="s">
        <v>27</v>
      </c>
      <c r="G1735" s="9" t="s">
        <v>129</v>
      </c>
      <c r="H1735" s="9" t="s">
        <v>3090</v>
      </c>
      <c r="I1735" s="9">
        <v>6.1417911491E10</v>
      </c>
      <c r="J1735" s="9" t="s">
        <v>3091</v>
      </c>
      <c r="K1735" s="11">
        <v>1500.0</v>
      </c>
      <c r="M1735" s="26"/>
      <c r="O1735" s="19" t="str">
        <f t="shared" si="2"/>
        <v/>
      </c>
    </row>
    <row r="1736">
      <c r="A1736" s="3" t="s">
        <v>744</v>
      </c>
      <c r="B1736" s="4" t="s">
        <v>18</v>
      </c>
      <c r="C1736" s="3" t="s">
        <v>2760</v>
      </c>
      <c r="D1736" s="3" t="s">
        <v>3092</v>
      </c>
      <c r="E1736" s="29">
        <v>45965.0</v>
      </c>
      <c r="F1736" s="3" t="s">
        <v>27</v>
      </c>
      <c r="G1736" s="9" t="s">
        <v>129</v>
      </c>
      <c r="H1736" s="9" t="s">
        <v>3093</v>
      </c>
      <c r="I1736" s="9">
        <v>6.1439575441E10</v>
      </c>
      <c r="J1736" s="9" t="s">
        <v>3094</v>
      </c>
      <c r="K1736" s="11">
        <v>1500.0</v>
      </c>
      <c r="M1736" s="26"/>
      <c r="O1736" s="19" t="str">
        <f t="shared" si="2"/>
        <v/>
      </c>
    </row>
    <row r="1737">
      <c r="A1737" s="3" t="s">
        <v>1973</v>
      </c>
      <c r="B1737" s="4" t="s">
        <v>31</v>
      </c>
      <c r="C1737" s="3" t="s">
        <v>3095</v>
      </c>
      <c r="D1737" s="3"/>
      <c r="E1737" s="29">
        <v>45965.0</v>
      </c>
      <c r="F1737" s="3" t="s">
        <v>27</v>
      </c>
      <c r="G1737" s="9" t="s">
        <v>129</v>
      </c>
      <c r="H1737" s="9" t="s">
        <v>3096</v>
      </c>
      <c r="I1737" s="9">
        <v>6.1417758517E10</v>
      </c>
      <c r="J1737" s="9" t="s">
        <v>3097</v>
      </c>
      <c r="K1737" s="11">
        <v>1250.0</v>
      </c>
      <c r="M1737" s="26"/>
      <c r="O1737" s="19" t="str">
        <f t="shared" si="2"/>
        <v/>
      </c>
    </row>
    <row r="1738">
      <c r="A1738" s="3" t="s">
        <v>184</v>
      </c>
      <c r="B1738" s="4" t="s">
        <v>18</v>
      </c>
      <c r="C1738" s="3" t="s">
        <v>3098</v>
      </c>
      <c r="D1738" s="3"/>
      <c r="E1738" s="29">
        <v>45965.0</v>
      </c>
      <c r="F1738" s="3" t="s">
        <v>3099</v>
      </c>
      <c r="G1738" s="9" t="s">
        <v>129</v>
      </c>
      <c r="H1738" s="9" t="s">
        <v>3100</v>
      </c>
      <c r="I1738" s="9">
        <v>6.1429777073E10</v>
      </c>
      <c r="J1738" s="9" t="s">
        <v>3101</v>
      </c>
      <c r="K1738" s="11">
        <v>750.0</v>
      </c>
      <c r="M1738" s="26"/>
      <c r="O1738" s="19" t="str">
        <f t="shared" si="2"/>
        <v/>
      </c>
    </row>
    <row r="1739">
      <c r="A1739" s="3" t="s">
        <v>1359</v>
      </c>
      <c r="B1739" s="4" t="s">
        <v>45</v>
      </c>
      <c r="C1739" s="3" t="s">
        <v>3102</v>
      </c>
      <c r="D1739" s="3" t="s">
        <v>3103</v>
      </c>
      <c r="E1739" s="29">
        <v>45965.0</v>
      </c>
      <c r="F1739" s="3" t="s">
        <v>27</v>
      </c>
      <c r="G1739" s="9" t="s">
        <v>129</v>
      </c>
      <c r="H1739" s="9" t="s">
        <v>3104</v>
      </c>
      <c r="I1739" s="9">
        <v>6.1450408651E10</v>
      </c>
      <c r="J1739" s="9" t="s">
        <v>3105</v>
      </c>
      <c r="K1739" s="11">
        <v>1250.0</v>
      </c>
      <c r="M1739" s="26"/>
      <c r="O1739" s="19" t="str">
        <f t="shared" si="2"/>
        <v/>
      </c>
    </row>
    <row r="1740">
      <c r="A1740" s="3" t="s">
        <v>202</v>
      </c>
      <c r="B1740" s="4" t="s">
        <v>36</v>
      </c>
      <c r="C1740" s="3" t="s">
        <v>3106</v>
      </c>
      <c r="D1740" s="3" t="s">
        <v>3107</v>
      </c>
      <c r="E1740" s="29">
        <v>45965.0</v>
      </c>
      <c r="F1740" s="3" t="s">
        <v>27</v>
      </c>
      <c r="G1740" s="9" t="s">
        <v>129</v>
      </c>
      <c r="H1740" s="9" t="s">
        <v>3108</v>
      </c>
      <c r="I1740" s="9">
        <v>6.1410594285E10</v>
      </c>
      <c r="J1740" s="9" t="s">
        <v>3109</v>
      </c>
      <c r="K1740" s="11">
        <v>3500.0</v>
      </c>
      <c r="M1740" s="26"/>
      <c r="O1740" s="19" t="str">
        <f t="shared" si="2"/>
        <v/>
      </c>
    </row>
    <row r="1741">
      <c r="A1741" s="3" t="s">
        <v>1255</v>
      </c>
      <c r="B1741" s="4" t="s">
        <v>18</v>
      </c>
      <c r="C1741" s="3" t="s">
        <v>2379</v>
      </c>
      <c r="D1741" s="23" t="s">
        <v>2380</v>
      </c>
      <c r="E1741" s="29">
        <v>45965.0</v>
      </c>
      <c r="F1741" s="3">
        <v>5.0</v>
      </c>
      <c r="G1741" s="9" t="s">
        <v>92</v>
      </c>
      <c r="H1741" s="9" t="s">
        <v>3110</v>
      </c>
      <c r="I1741" s="9">
        <v>6.1417442026E10</v>
      </c>
      <c r="J1741" s="9" t="s">
        <v>3111</v>
      </c>
      <c r="K1741" s="9">
        <v>0.0</v>
      </c>
      <c r="M1741" s="26"/>
      <c r="O1741" s="19" t="str">
        <f t="shared" si="2"/>
        <v/>
      </c>
    </row>
    <row r="1742">
      <c r="A1742" s="3" t="s">
        <v>510</v>
      </c>
      <c r="B1742" s="4" t="s">
        <v>18</v>
      </c>
      <c r="C1742" s="3" t="s">
        <v>975</v>
      </c>
      <c r="D1742" s="23" t="s">
        <v>3112</v>
      </c>
      <c r="E1742" s="29">
        <v>45965.0</v>
      </c>
      <c r="F1742" s="3">
        <v>6.0</v>
      </c>
      <c r="G1742" s="9" t="s">
        <v>92</v>
      </c>
      <c r="H1742" s="9" t="s">
        <v>3113</v>
      </c>
      <c r="I1742" s="9">
        <v>6.140688084E10</v>
      </c>
      <c r="J1742" s="9" t="s">
        <v>3114</v>
      </c>
      <c r="K1742" s="9">
        <v>0.0</v>
      </c>
      <c r="M1742" s="26"/>
      <c r="O1742" s="19" t="str">
        <f t="shared" si="2"/>
        <v/>
      </c>
    </row>
    <row r="1743">
      <c r="A1743" s="3" t="s">
        <v>418</v>
      </c>
      <c r="B1743" s="4" t="s">
        <v>18</v>
      </c>
      <c r="C1743" s="3" t="s">
        <v>2070</v>
      </c>
      <c r="D1743" s="23" t="s">
        <v>3115</v>
      </c>
      <c r="E1743" s="29">
        <v>45965.0</v>
      </c>
      <c r="F1743" s="3">
        <v>9.0</v>
      </c>
      <c r="G1743" s="9" t="s">
        <v>92</v>
      </c>
      <c r="H1743" s="9" t="s">
        <v>3116</v>
      </c>
      <c r="I1743" s="9"/>
      <c r="J1743" s="9"/>
      <c r="K1743" s="9">
        <v>0.0</v>
      </c>
      <c r="M1743" s="26"/>
      <c r="O1743" s="19" t="str">
        <f t="shared" si="2"/>
        <v/>
      </c>
    </row>
    <row r="1744">
      <c r="A1744" s="3" t="s">
        <v>155</v>
      </c>
      <c r="B1744" s="4" t="s">
        <v>18</v>
      </c>
      <c r="C1744" s="3" t="s">
        <v>156</v>
      </c>
      <c r="D1744" s="23" t="s">
        <v>3117</v>
      </c>
      <c r="E1744" s="29">
        <v>45965.0</v>
      </c>
      <c r="F1744" s="3">
        <v>8.0</v>
      </c>
      <c r="G1744" s="9" t="s">
        <v>92</v>
      </c>
      <c r="H1744" s="9" t="s">
        <v>3118</v>
      </c>
      <c r="I1744" s="9">
        <v>6.1451398421E10</v>
      </c>
      <c r="J1744" s="9" t="s">
        <v>3119</v>
      </c>
      <c r="K1744" s="9">
        <v>0.0</v>
      </c>
      <c r="M1744" s="26"/>
      <c r="O1744" s="19" t="str">
        <f t="shared" si="2"/>
        <v/>
      </c>
    </row>
    <row r="1745">
      <c r="A1745" s="3" t="s">
        <v>2620</v>
      </c>
      <c r="B1745" s="4" t="s">
        <v>18</v>
      </c>
      <c r="C1745" s="3" t="s">
        <v>3120</v>
      </c>
      <c r="D1745" s="23" t="s">
        <v>3121</v>
      </c>
      <c r="E1745" s="29">
        <v>45965.0</v>
      </c>
      <c r="F1745" s="3">
        <v>8.0</v>
      </c>
      <c r="G1745" s="9" t="s">
        <v>92</v>
      </c>
      <c r="H1745" s="9" t="s">
        <v>3122</v>
      </c>
      <c r="I1745" s="9">
        <v>6.140047779E10</v>
      </c>
      <c r="J1745" s="9" t="s">
        <v>3123</v>
      </c>
      <c r="K1745" s="9">
        <v>0.0</v>
      </c>
      <c r="M1745" s="26"/>
      <c r="O1745" s="19" t="str">
        <f t="shared" si="2"/>
        <v/>
      </c>
    </row>
    <row r="1746">
      <c r="A1746" s="3" t="s">
        <v>305</v>
      </c>
      <c r="B1746" s="4" t="s">
        <v>36</v>
      </c>
      <c r="C1746" s="3" t="s">
        <v>306</v>
      </c>
      <c r="D1746" s="3" t="s">
        <v>3124</v>
      </c>
      <c r="E1746" s="38">
        <v>45758.0</v>
      </c>
      <c r="F1746" s="3" t="s">
        <v>27</v>
      </c>
      <c r="G1746" s="9" t="s">
        <v>1453</v>
      </c>
      <c r="H1746" s="9" t="s">
        <v>3125</v>
      </c>
      <c r="I1746" s="9">
        <v>6.1428832158E10</v>
      </c>
      <c r="J1746" s="9" t="s">
        <v>3126</v>
      </c>
      <c r="K1746" s="9">
        <v>0.0</v>
      </c>
      <c r="M1746" s="14"/>
      <c r="O1746" s="19" t="str">
        <f t="shared" si="2"/>
        <v/>
      </c>
    </row>
    <row r="1747">
      <c r="A1747" s="3" t="s">
        <v>479</v>
      </c>
      <c r="B1747" s="4" t="s">
        <v>18</v>
      </c>
      <c r="C1747" s="3" t="s">
        <v>3127</v>
      </c>
      <c r="D1747" s="3" t="s">
        <v>3128</v>
      </c>
      <c r="E1747" s="29">
        <v>45965.0</v>
      </c>
      <c r="F1747" s="3" t="s">
        <v>27</v>
      </c>
      <c r="G1747" s="9" t="s">
        <v>129</v>
      </c>
      <c r="H1747" s="9" t="s">
        <v>3129</v>
      </c>
      <c r="I1747" s="9">
        <v>6.141530316E10</v>
      </c>
      <c r="J1747" s="9" t="s">
        <v>3130</v>
      </c>
      <c r="K1747" s="11">
        <v>1500.0</v>
      </c>
      <c r="M1747" s="26"/>
      <c r="O1747" s="19" t="str">
        <f t="shared" si="2"/>
        <v/>
      </c>
    </row>
    <row r="1748">
      <c r="A1748" s="3" t="s">
        <v>210</v>
      </c>
      <c r="B1748" s="4" t="s">
        <v>31</v>
      </c>
      <c r="C1748" s="3" t="s">
        <v>1938</v>
      </c>
      <c r="D1748" s="3" t="s">
        <v>3131</v>
      </c>
      <c r="E1748" s="38">
        <v>45758.0</v>
      </c>
      <c r="F1748" s="3" t="s">
        <v>27</v>
      </c>
      <c r="G1748" s="9" t="s">
        <v>1453</v>
      </c>
      <c r="H1748" s="9" t="s">
        <v>3132</v>
      </c>
      <c r="I1748" s="9">
        <v>61421526176</v>
      </c>
      <c r="J1748" s="9" t="s">
        <v>3133</v>
      </c>
      <c r="K1748" s="11">
        <v>500.0</v>
      </c>
      <c r="M1748" s="14"/>
      <c r="O1748" s="19" t="str">
        <f t="shared" si="2"/>
        <v/>
      </c>
    </row>
    <row r="1749">
      <c r="A1749" s="3" t="s">
        <v>2641</v>
      </c>
      <c r="B1749" s="4" t="s">
        <v>18</v>
      </c>
      <c r="C1749" s="3" t="s">
        <v>2281</v>
      </c>
      <c r="D1749" s="3" t="s">
        <v>3134</v>
      </c>
      <c r="E1749" s="29">
        <v>45966.0</v>
      </c>
      <c r="F1749" s="3" t="s">
        <v>27</v>
      </c>
      <c r="G1749" s="9" t="s">
        <v>129</v>
      </c>
      <c r="H1749" s="9" t="s">
        <v>3135</v>
      </c>
      <c r="I1749" s="9">
        <v>6.1040762918E11</v>
      </c>
      <c r="J1749" s="9" t="s">
        <v>3136</v>
      </c>
      <c r="K1749" s="11">
        <v>1500.0</v>
      </c>
      <c r="M1749" s="26"/>
      <c r="O1749" s="19" t="str">
        <f t="shared" si="2"/>
        <v/>
      </c>
    </row>
    <row r="1750">
      <c r="A1750" s="3" t="s">
        <v>2406</v>
      </c>
      <c r="B1750" s="4" t="s">
        <v>31</v>
      </c>
      <c r="C1750" s="3" t="s">
        <v>2485</v>
      </c>
      <c r="D1750" s="3" t="s">
        <v>3137</v>
      </c>
      <c r="E1750" s="29">
        <v>45966.0</v>
      </c>
      <c r="F1750" s="3" t="s">
        <v>27</v>
      </c>
      <c r="G1750" s="9" t="s">
        <v>129</v>
      </c>
      <c r="H1750" s="9" t="s">
        <v>3138</v>
      </c>
      <c r="I1750" s="9">
        <v>6.1411296753E10</v>
      </c>
      <c r="J1750" s="9" t="s">
        <v>3139</v>
      </c>
      <c r="K1750" s="11">
        <v>750.0</v>
      </c>
      <c r="M1750" s="26"/>
      <c r="O1750" s="19" t="str">
        <f t="shared" si="2"/>
        <v/>
      </c>
    </row>
    <row r="1751">
      <c r="A1751" s="3" t="s">
        <v>168</v>
      </c>
      <c r="B1751" s="4" t="s">
        <v>45</v>
      </c>
      <c r="C1751" s="3" t="s">
        <v>1561</v>
      </c>
      <c r="D1751" s="3" t="s">
        <v>3140</v>
      </c>
      <c r="E1751" s="29">
        <v>45966.0</v>
      </c>
      <c r="F1751" s="3" t="s">
        <v>27</v>
      </c>
      <c r="G1751" s="9" t="s">
        <v>129</v>
      </c>
      <c r="H1751" s="9" t="s">
        <v>3141</v>
      </c>
      <c r="I1751" s="9">
        <v>6.1416093739E10</v>
      </c>
      <c r="J1751" s="9" t="s">
        <v>3142</v>
      </c>
      <c r="K1751" s="11">
        <v>750.0</v>
      </c>
      <c r="M1751" s="26"/>
      <c r="O1751" s="19" t="str">
        <f t="shared" si="2"/>
        <v/>
      </c>
    </row>
    <row r="1752">
      <c r="A1752" s="3" t="s">
        <v>472</v>
      </c>
      <c r="B1752" s="4" t="s">
        <v>18</v>
      </c>
      <c r="C1752" s="3" t="s">
        <v>3143</v>
      </c>
      <c r="D1752" s="23" t="s">
        <v>3144</v>
      </c>
      <c r="E1752" s="29">
        <v>45966.0</v>
      </c>
      <c r="F1752" s="3">
        <v>8.0</v>
      </c>
      <c r="G1752" s="9" t="s">
        <v>92</v>
      </c>
      <c r="H1752" s="9" t="s">
        <v>3145</v>
      </c>
      <c r="I1752" s="9">
        <v>6.1493303978E10</v>
      </c>
      <c r="J1752" s="9" t="s">
        <v>3146</v>
      </c>
      <c r="K1752" s="9">
        <v>0.0</v>
      </c>
      <c r="M1752" s="26"/>
      <c r="O1752" s="19" t="str">
        <f t="shared" si="2"/>
        <v/>
      </c>
    </row>
    <row r="1753">
      <c r="A1753" s="3" t="s">
        <v>276</v>
      </c>
      <c r="B1753" s="4" t="s">
        <v>18</v>
      </c>
      <c r="C1753" s="3" t="s">
        <v>673</v>
      </c>
      <c r="D1753" s="23" t="s">
        <v>3147</v>
      </c>
      <c r="E1753" s="29">
        <v>45966.0</v>
      </c>
      <c r="F1753" s="3">
        <v>8.0</v>
      </c>
      <c r="G1753" s="9" t="s">
        <v>92</v>
      </c>
      <c r="H1753" s="9" t="s">
        <v>3148</v>
      </c>
      <c r="I1753" s="9">
        <v>6.1408624455E10</v>
      </c>
      <c r="J1753" s="9" t="s">
        <v>3149</v>
      </c>
      <c r="K1753" s="9">
        <v>0.0</v>
      </c>
      <c r="M1753" s="26"/>
      <c r="O1753" s="19" t="str">
        <f t="shared" si="2"/>
        <v/>
      </c>
    </row>
    <row r="1754">
      <c r="A1754" s="3" t="s">
        <v>113</v>
      </c>
      <c r="B1754" s="4" t="s">
        <v>18</v>
      </c>
      <c r="C1754" s="3" t="s">
        <v>3150</v>
      </c>
      <c r="D1754" s="23" t="s">
        <v>3151</v>
      </c>
      <c r="E1754" s="29">
        <v>45966.0</v>
      </c>
      <c r="F1754" s="3">
        <v>8.0</v>
      </c>
      <c r="G1754" s="9" t="s">
        <v>92</v>
      </c>
      <c r="H1754" s="9" t="s">
        <v>3152</v>
      </c>
      <c r="I1754" s="9">
        <v>6.1409647527E10</v>
      </c>
      <c r="J1754" s="9" t="s">
        <v>3153</v>
      </c>
      <c r="K1754" s="9">
        <v>0.0</v>
      </c>
      <c r="M1754" s="26"/>
      <c r="O1754" s="19" t="str">
        <f t="shared" si="2"/>
        <v/>
      </c>
    </row>
    <row r="1755">
      <c r="A1755" s="3" t="s">
        <v>2641</v>
      </c>
      <c r="B1755" s="4" t="s">
        <v>31</v>
      </c>
      <c r="C1755" s="3" t="s">
        <v>1315</v>
      </c>
      <c r="D1755" s="23" t="s">
        <v>3154</v>
      </c>
      <c r="E1755" s="29">
        <v>45966.0</v>
      </c>
      <c r="F1755" s="3">
        <v>8.0</v>
      </c>
      <c r="G1755" s="9" t="s">
        <v>92</v>
      </c>
      <c r="H1755" s="9" t="s">
        <v>3155</v>
      </c>
      <c r="I1755" s="9">
        <v>6.1477047833E10</v>
      </c>
      <c r="J1755" s="9" t="s">
        <v>3156</v>
      </c>
      <c r="K1755" s="9">
        <v>0.0</v>
      </c>
      <c r="M1755" s="26"/>
      <c r="O1755" s="19" t="str">
        <f t="shared" si="2"/>
        <v/>
      </c>
    </row>
    <row r="1756">
      <c r="A1756" s="3" t="s">
        <v>2641</v>
      </c>
      <c r="B1756" s="4" t="s">
        <v>109</v>
      </c>
      <c r="C1756" s="3" t="s">
        <v>3157</v>
      </c>
      <c r="D1756" s="23" t="s">
        <v>3158</v>
      </c>
      <c r="E1756" s="29">
        <v>45966.0</v>
      </c>
      <c r="F1756" s="3">
        <v>8.0</v>
      </c>
      <c r="G1756" s="9" t="s">
        <v>92</v>
      </c>
      <c r="H1756" s="9" t="s">
        <v>3159</v>
      </c>
      <c r="I1756" s="9">
        <v>6.1416098121E10</v>
      </c>
      <c r="J1756" s="9" t="s">
        <v>3160</v>
      </c>
      <c r="K1756" s="9">
        <v>0.0</v>
      </c>
      <c r="M1756" s="26"/>
      <c r="O1756" s="19" t="str">
        <f t="shared" si="2"/>
        <v/>
      </c>
    </row>
    <row r="1757">
      <c r="A1757" s="3" t="s">
        <v>61</v>
      </c>
      <c r="B1757" s="4" t="s">
        <v>18</v>
      </c>
      <c r="C1757" s="3" t="s">
        <v>359</v>
      </c>
      <c r="D1757" s="23" t="s">
        <v>3161</v>
      </c>
      <c r="E1757" s="29">
        <v>45966.0</v>
      </c>
      <c r="F1757" s="3">
        <v>8.0</v>
      </c>
      <c r="G1757" s="9" t="s">
        <v>92</v>
      </c>
      <c r="H1757" s="9" t="s">
        <v>3162</v>
      </c>
      <c r="I1757" s="9">
        <v>6.141629207E10</v>
      </c>
      <c r="J1757" s="9" t="s">
        <v>3163</v>
      </c>
      <c r="K1757" s="9">
        <v>0.0</v>
      </c>
      <c r="M1757" s="26"/>
      <c r="O1757" s="19" t="str">
        <f t="shared" si="2"/>
        <v/>
      </c>
    </row>
    <row r="1758">
      <c r="A1758" s="3" t="s">
        <v>1255</v>
      </c>
      <c r="B1758" s="4" t="s">
        <v>18</v>
      </c>
      <c r="C1758" s="3" t="s">
        <v>2560</v>
      </c>
      <c r="D1758" s="23" t="s">
        <v>3164</v>
      </c>
      <c r="E1758" s="29">
        <v>45966.0</v>
      </c>
      <c r="F1758" s="3">
        <v>8.0</v>
      </c>
      <c r="G1758" s="9" t="s">
        <v>92</v>
      </c>
      <c r="H1758" s="9" t="s">
        <v>3165</v>
      </c>
      <c r="I1758" s="9">
        <v>6.1421136647E10</v>
      </c>
      <c r="J1758" s="9" t="s">
        <v>3166</v>
      </c>
      <c r="K1758" s="9">
        <v>0.0</v>
      </c>
      <c r="M1758" s="26"/>
      <c r="O1758" s="19" t="str">
        <f t="shared" si="2"/>
        <v/>
      </c>
    </row>
    <row r="1759">
      <c r="A1759" s="3" t="s">
        <v>305</v>
      </c>
      <c r="B1759" s="4" t="s">
        <v>36</v>
      </c>
      <c r="C1759" s="3">
        <v>3199.0</v>
      </c>
      <c r="E1759" s="29">
        <v>45966.0</v>
      </c>
      <c r="F1759" s="3">
        <v>5.0</v>
      </c>
      <c r="G1759" s="9" t="s">
        <v>92</v>
      </c>
      <c r="H1759" s="9" t="s">
        <v>3167</v>
      </c>
      <c r="I1759" s="9">
        <v>6.146630641E10</v>
      </c>
      <c r="J1759" s="9" t="s">
        <v>3168</v>
      </c>
      <c r="K1759" s="9">
        <v>0.0</v>
      </c>
      <c r="M1759" s="26"/>
      <c r="O1759" s="19" t="str">
        <f t="shared" si="2"/>
        <v/>
      </c>
    </row>
    <row r="1760">
      <c r="A1760" s="3" t="s">
        <v>1320</v>
      </c>
      <c r="B1760" s="4" t="s">
        <v>45</v>
      </c>
      <c r="C1760" s="3" t="s">
        <v>3169</v>
      </c>
      <c r="D1760" s="3" t="s">
        <v>3170</v>
      </c>
      <c r="E1760" s="38">
        <v>45788.0</v>
      </c>
      <c r="F1760" s="3" t="s">
        <v>27</v>
      </c>
      <c r="G1760" s="9" t="s">
        <v>1453</v>
      </c>
      <c r="H1760" s="9" t="s">
        <v>3171</v>
      </c>
      <c r="I1760" s="9">
        <v>6.1491123671E10</v>
      </c>
      <c r="J1760" s="9" t="s">
        <v>3172</v>
      </c>
      <c r="K1760" s="9"/>
      <c r="M1760" s="14"/>
      <c r="O1760" s="19" t="str">
        <f t="shared" si="2"/>
        <v/>
      </c>
    </row>
    <row r="1761">
      <c r="A1761" s="3" t="s">
        <v>795</v>
      </c>
      <c r="B1761" s="4" t="s">
        <v>109</v>
      </c>
      <c r="C1761" s="3" t="s">
        <v>1977</v>
      </c>
      <c r="D1761" s="3" t="s">
        <v>1978</v>
      </c>
      <c r="E1761" s="29">
        <v>45966.0</v>
      </c>
      <c r="F1761" s="3" t="s">
        <v>27</v>
      </c>
      <c r="G1761" s="9" t="s">
        <v>129</v>
      </c>
      <c r="H1761" s="9" t="s">
        <v>3173</v>
      </c>
      <c r="I1761" s="9">
        <v>6.140386271E10</v>
      </c>
      <c r="J1761" s="9" t="s">
        <v>3174</v>
      </c>
      <c r="K1761" s="11">
        <v>750.0</v>
      </c>
      <c r="M1761" s="26"/>
      <c r="O1761" s="19" t="str">
        <f t="shared" si="2"/>
        <v/>
      </c>
    </row>
    <row r="1762">
      <c r="A1762" s="3" t="s">
        <v>225</v>
      </c>
      <c r="B1762" s="4" t="s">
        <v>36</v>
      </c>
      <c r="C1762" s="3" t="s">
        <v>3175</v>
      </c>
      <c r="D1762" s="3" t="s">
        <v>3176</v>
      </c>
      <c r="E1762" s="29">
        <v>45966.0</v>
      </c>
      <c r="F1762" s="3" t="s">
        <v>27</v>
      </c>
      <c r="G1762" s="9" t="s">
        <v>129</v>
      </c>
      <c r="H1762" s="9" t="s">
        <v>3177</v>
      </c>
      <c r="I1762" s="9">
        <v>6.1402996799E10</v>
      </c>
      <c r="J1762" s="9" t="s">
        <v>3178</v>
      </c>
      <c r="K1762" s="11">
        <v>1250.0</v>
      </c>
      <c r="M1762" s="26"/>
      <c r="O1762" s="19" t="str">
        <f t="shared" si="2"/>
        <v/>
      </c>
    </row>
    <row r="1763">
      <c r="A1763" s="3" t="s">
        <v>1062</v>
      </c>
      <c r="B1763" s="4" t="s">
        <v>18</v>
      </c>
      <c r="C1763" s="3" t="s">
        <v>2888</v>
      </c>
      <c r="D1763" s="3" t="s">
        <v>3179</v>
      </c>
      <c r="E1763" s="38">
        <v>45819.0</v>
      </c>
      <c r="F1763" s="3" t="s">
        <v>27</v>
      </c>
      <c r="G1763" s="9" t="s">
        <v>1453</v>
      </c>
      <c r="H1763" s="9" t="s">
        <v>3180</v>
      </c>
      <c r="I1763" s="9">
        <v>6.1407171759E10</v>
      </c>
      <c r="J1763" s="9" t="s">
        <v>3181</v>
      </c>
      <c r="K1763" s="11"/>
      <c r="M1763" s="14"/>
      <c r="O1763" s="19" t="str">
        <f t="shared" si="2"/>
        <v/>
      </c>
    </row>
    <row r="1764">
      <c r="A1764" s="3" t="s">
        <v>168</v>
      </c>
      <c r="B1764" s="4" t="s">
        <v>45</v>
      </c>
      <c r="C1764" s="3" t="s">
        <v>1561</v>
      </c>
      <c r="D1764" s="3" t="s">
        <v>3182</v>
      </c>
      <c r="E1764" s="38">
        <v>45819.0</v>
      </c>
      <c r="F1764" s="3" t="s">
        <v>27</v>
      </c>
      <c r="G1764" s="9" t="s">
        <v>129</v>
      </c>
      <c r="H1764" s="9" t="s">
        <v>3183</v>
      </c>
      <c r="I1764" s="9">
        <v>6.1404396396E10</v>
      </c>
      <c r="J1764" s="9" t="s">
        <v>3184</v>
      </c>
      <c r="K1764" s="11">
        <v>1500.0</v>
      </c>
      <c r="M1764" s="14"/>
      <c r="O1764" s="19" t="str">
        <f t="shared" si="2"/>
        <v/>
      </c>
    </row>
    <row r="1765">
      <c r="A1765" s="3" t="s">
        <v>1359</v>
      </c>
      <c r="B1765" s="4" t="s">
        <v>45</v>
      </c>
      <c r="C1765" s="3" t="s">
        <v>3185</v>
      </c>
      <c r="D1765" s="3" t="s">
        <v>3186</v>
      </c>
      <c r="E1765" s="38">
        <v>45819.0</v>
      </c>
      <c r="F1765" s="3" t="s">
        <v>27</v>
      </c>
      <c r="G1765" s="9" t="s">
        <v>129</v>
      </c>
      <c r="H1765" s="9" t="s">
        <v>3187</v>
      </c>
      <c r="I1765" s="9">
        <v>6.1413029132E10</v>
      </c>
      <c r="J1765" s="9" t="s">
        <v>3188</v>
      </c>
      <c r="K1765" s="11">
        <v>750.0</v>
      </c>
      <c r="M1765" s="14"/>
      <c r="O1765" s="19" t="str">
        <f t="shared" si="2"/>
        <v/>
      </c>
    </row>
    <row r="1766">
      <c r="A1766" s="3" t="s">
        <v>3189</v>
      </c>
      <c r="B1766" s="4" t="s">
        <v>18</v>
      </c>
      <c r="C1766" s="3" t="s">
        <v>3190</v>
      </c>
      <c r="D1766" s="3" t="s">
        <v>3191</v>
      </c>
      <c r="E1766" s="38">
        <v>45819.0</v>
      </c>
      <c r="F1766" s="3" t="s">
        <v>103</v>
      </c>
      <c r="G1766" s="9" t="s">
        <v>129</v>
      </c>
      <c r="H1766" s="9" t="s">
        <v>3192</v>
      </c>
      <c r="I1766" s="9">
        <v>6.1427113346E10</v>
      </c>
      <c r="J1766" s="9" t="s">
        <v>3193</v>
      </c>
      <c r="K1766" s="9">
        <v>0.0</v>
      </c>
      <c r="M1766" s="14"/>
      <c r="O1766" s="19" t="str">
        <f t="shared" si="2"/>
        <v/>
      </c>
    </row>
    <row r="1767">
      <c r="A1767" s="3" t="s">
        <v>795</v>
      </c>
      <c r="B1767" s="4" t="s">
        <v>109</v>
      </c>
      <c r="C1767" s="3" t="s">
        <v>3194</v>
      </c>
      <c r="D1767" s="3" t="s">
        <v>3195</v>
      </c>
      <c r="E1767" s="38">
        <v>45819.0</v>
      </c>
      <c r="F1767" s="3" t="s">
        <v>27</v>
      </c>
      <c r="G1767" s="9" t="s">
        <v>129</v>
      </c>
      <c r="H1767" s="9" t="s">
        <v>3196</v>
      </c>
      <c r="I1767" s="9">
        <v>6.1428305022E10</v>
      </c>
      <c r="J1767" s="9" t="s">
        <v>3197</v>
      </c>
      <c r="K1767" s="11">
        <v>1500.0</v>
      </c>
      <c r="M1767" s="14"/>
      <c r="O1767" s="19" t="str">
        <f t="shared" si="2"/>
        <v/>
      </c>
    </row>
    <row r="1768">
      <c r="A1768" s="3" t="s">
        <v>1255</v>
      </c>
      <c r="B1768" s="4" t="s">
        <v>18</v>
      </c>
      <c r="C1768" s="3" t="s">
        <v>3198</v>
      </c>
      <c r="D1768" s="3" t="s">
        <v>3199</v>
      </c>
      <c r="E1768" s="38">
        <v>45819.0</v>
      </c>
      <c r="F1768" s="3" t="s">
        <v>27</v>
      </c>
      <c r="G1768" s="9" t="s">
        <v>129</v>
      </c>
      <c r="H1768" s="9" t="s">
        <v>3200</v>
      </c>
      <c r="I1768" s="9">
        <v>6.1487243781E10</v>
      </c>
      <c r="J1768" s="9" t="s">
        <v>3201</v>
      </c>
      <c r="K1768" s="11">
        <v>1000.0</v>
      </c>
      <c r="M1768" s="14"/>
      <c r="O1768" s="19" t="str">
        <f t="shared" si="2"/>
        <v/>
      </c>
    </row>
    <row r="1769">
      <c r="A1769" s="3" t="s">
        <v>155</v>
      </c>
      <c r="B1769" s="4" t="s">
        <v>18</v>
      </c>
      <c r="C1769" s="3" t="s">
        <v>3202</v>
      </c>
      <c r="D1769" s="3" t="s">
        <v>3203</v>
      </c>
      <c r="E1769" s="38">
        <v>45819.0</v>
      </c>
      <c r="F1769" s="3" t="s">
        <v>27</v>
      </c>
      <c r="G1769" s="9" t="s">
        <v>129</v>
      </c>
      <c r="H1769" s="9" t="s">
        <v>3204</v>
      </c>
      <c r="I1769" s="9">
        <v>6.1431618526E10</v>
      </c>
      <c r="J1769" s="9" t="s">
        <v>3205</v>
      </c>
      <c r="K1769" s="11">
        <v>1000.0</v>
      </c>
      <c r="M1769" s="14"/>
      <c r="O1769" s="19" t="str">
        <f t="shared" si="2"/>
        <v/>
      </c>
    </row>
    <row r="1770">
      <c r="A1770" s="3" t="s">
        <v>276</v>
      </c>
      <c r="B1770" s="4" t="s">
        <v>18</v>
      </c>
      <c r="C1770" s="3" t="s">
        <v>2354</v>
      </c>
      <c r="D1770" s="3" t="s">
        <v>3206</v>
      </c>
      <c r="E1770" s="38">
        <v>45819.0</v>
      </c>
      <c r="F1770" s="3" t="s">
        <v>27</v>
      </c>
      <c r="G1770" s="9" t="s">
        <v>129</v>
      </c>
      <c r="H1770" s="9" t="s">
        <v>3207</v>
      </c>
      <c r="I1770" s="9">
        <v>6.142337424E10</v>
      </c>
      <c r="J1770" s="9" t="s">
        <v>3208</v>
      </c>
      <c r="K1770" s="11">
        <v>1500.0</v>
      </c>
      <c r="M1770" s="14"/>
      <c r="O1770" s="19" t="str">
        <f t="shared" si="2"/>
        <v/>
      </c>
    </row>
    <row r="1771">
      <c r="A1771" s="3" t="s">
        <v>276</v>
      </c>
      <c r="B1771" s="4" t="s">
        <v>18</v>
      </c>
      <c r="C1771" s="3" t="s">
        <v>998</v>
      </c>
      <c r="D1771" s="3" t="s">
        <v>3209</v>
      </c>
      <c r="E1771" s="38">
        <v>45819.0</v>
      </c>
      <c r="F1771" s="3" t="s">
        <v>27</v>
      </c>
      <c r="G1771" s="9" t="s">
        <v>1453</v>
      </c>
      <c r="H1771" s="9" t="s">
        <v>1000</v>
      </c>
      <c r="I1771" s="9">
        <v>61438812607</v>
      </c>
      <c r="J1771" s="9" t="s">
        <v>3210</v>
      </c>
      <c r="K1771" s="11"/>
      <c r="M1771" s="14"/>
      <c r="O1771" s="19" t="str">
        <f t="shared" si="2"/>
        <v/>
      </c>
    </row>
    <row r="1772">
      <c r="A1772" s="3" t="s">
        <v>2494</v>
      </c>
      <c r="B1772" s="4" t="s">
        <v>18</v>
      </c>
      <c r="C1772" s="3">
        <v>4014.0</v>
      </c>
      <c r="D1772" s="23"/>
      <c r="E1772" s="29">
        <v>45966.0</v>
      </c>
      <c r="F1772" s="3">
        <v>5.0</v>
      </c>
      <c r="G1772" s="9" t="s">
        <v>92</v>
      </c>
      <c r="H1772" s="9" t="s">
        <v>3211</v>
      </c>
      <c r="I1772" s="9">
        <v>6.1415594668E10</v>
      </c>
      <c r="J1772" s="9" t="s">
        <v>3212</v>
      </c>
      <c r="K1772" s="9">
        <v>0.0</v>
      </c>
      <c r="M1772" s="26"/>
      <c r="O1772" s="19" t="str">
        <f t="shared" si="2"/>
        <v/>
      </c>
    </row>
    <row r="1773">
      <c r="A1773" s="3" t="s">
        <v>244</v>
      </c>
      <c r="B1773" s="4" t="s">
        <v>18</v>
      </c>
      <c r="C1773" s="3" t="s">
        <v>228</v>
      </c>
      <c r="D1773" s="23" t="s">
        <v>3213</v>
      </c>
      <c r="E1773" s="29">
        <v>45966.0</v>
      </c>
      <c r="F1773" s="3">
        <v>8.0</v>
      </c>
      <c r="G1773" s="9" t="s">
        <v>92</v>
      </c>
      <c r="H1773" s="9" t="s">
        <v>3214</v>
      </c>
      <c r="I1773" s="9">
        <v>6.1437082151E10</v>
      </c>
      <c r="J1773" s="9" t="s">
        <v>3215</v>
      </c>
      <c r="K1773" s="9">
        <v>0.0</v>
      </c>
      <c r="M1773" s="26"/>
      <c r="O1773" s="19" t="str">
        <f t="shared" si="2"/>
        <v/>
      </c>
    </row>
    <row r="1774">
      <c r="A1774" s="3" t="s">
        <v>479</v>
      </c>
      <c r="B1774" s="4" t="s">
        <v>18</v>
      </c>
      <c r="C1774" s="3" t="s">
        <v>3127</v>
      </c>
      <c r="D1774" s="23" t="s">
        <v>3216</v>
      </c>
      <c r="E1774" s="29">
        <v>45966.0</v>
      </c>
      <c r="F1774" s="3">
        <v>8.0</v>
      </c>
      <c r="G1774" s="9" t="s">
        <v>92</v>
      </c>
      <c r="H1774" s="9" t="s">
        <v>3217</v>
      </c>
      <c r="I1774" s="9">
        <v>6.143210238E10</v>
      </c>
      <c r="J1774" s="9" t="s">
        <v>3218</v>
      </c>
      <c r="K1774" s="9">
        <v>0.0</v>
      </c>
      <c r="M1774" s="26"/>
      <c r="O1774" s="19" t="str">
        <f t="shared" si="2"/>
        <v/>
      </c>
    </row>
    <row r="1775">
      <c r="A1775" s="3" t="s">
        <v>236</v>
      </c>
      <c r="B1775" s="4" t="s">
        <v>18</v>
      </c>
      <c r="C1775" s="3" t="s">
        <v>3219</v>
      </c>
      <c r="D1775" s="23" t="s">
        <v>3220</v>
      </c>
      <c r="E1775" s="29">
        <v>45966.0</v>
      </c>
      <c r="F1775" s="3">
        <v>6.0</v>
      </c>
      <c r="G1775" s="9" t="s">
        <v>92</v>
      </c>
      <c r="H1775" s="9" t="s">
        <v>3221</v>
      </c>
      <c r="I1775" s="9">
        <v>6.1425126151E10</v>
      </c>
      <c r="J1775" s="9" t="s">
        <v>3222</v>
      </c>
      <c r="K1775" s="9">
        <v>0.0</v>
      </c>
      <c r="M1775" s="26"/>
      <c r="O1775" s="19" t="str">
        <f t="shared" si="2"/>
        <v/>
      </c>
    </row>
    <row r="1776">
      <c r="A1776" s="3" t="s">
        <v>168</v>
      </c>
      <c r="B1776" s="4" t="s">
        <v>45</v>
      </c>
      <c r="C1776" s="3" t="s">
        <v>216</v>
      </c>
      <c r="D1776" s="23" t="s">
        <v>3223</v>
      </c>
      <c r="E1776" s="29">
        <v>45966.0</v>
      </c>
      <c r="F1776" s="3">
        <v>8.0</v>
      </c>
      <c r="G1776" s="9" t="s">
        <v>92</v>
      </c>
      <c r="H1776" s="9" t="s">
        <v>3224</v>
      </c>
      <c r="I1776" s="9">
        <v>6.1428539471E10</v>
      </c>
      <c r="J1776" s="9" t="s">
        <v>3225</v>
      </c>
      <c r="K1776" s="9">
        <v>0.0</v>
      </c>
      <c r="M1776" s="26"/>
      <c r="O1776" s="19" t="str">
        <f t="shared" si="2"/>
        <v/>
      </c>
    </row>
    <row r="1777">
      <c r="A1777" s="3" t="s">
        <v>510</v>
      </c>
      <c r="B1777" s="4" t="s">
        <v>18</v>
      </c>
      <c r="C1777" s="3" t="s">
        <v>564</v>
      </c>
      <c r="D1777" s="23" t="s">
        <v>921</v>
      </c>
      <c r="E1777" s="29">
        <v>45966.0</v>
      </c>
      <c r="F1777" s="3">
        <v>8.0</v>
      </c>
      <c r="G1777" s="9" t="s">
        <v>92</v>
      </c>
      <c r="H1777" s="9" t="s">
        <v>3226</v>
      </c>
      <c r="I1777" s="9">
        <v>6.144836848E10</v>
      </c>
      <c r="J1777" s="9" t="s">
        <v>3227</v>
      </c>
      <c r="K1777" s="9">
        <v>0.0</v>
      </c>
      <c r="M1777" s="26"/>
      <c r="O1777" s="19" t="str">
        <f t="shared" si="2"/>
        <v/>
      </c>
    </row>
    <row r="1778">
      <c r="A1778" s="3" t="s">
        <v>479</v>
      </c>
      <c r="B1778" s="4" t="s">
        <v>18</v>
      </c>
      <c r="C1778" s="3" t="s">
        <v>480</v>
      </c>
      <c r="D1778" s="23" t="s">
        <v>3228</v>
      </c>
      <c r="E1778" s="29">
        <v>45966.0</v>
      </c>
      <c r="F1778" s="3">
        <v>8.0</v>
      </c>
      <c r="G1778" s="9" t="s">
        <v>92</v>
      </c>
      <c r="H1778" s="9" t="s">
        <v>3229</v>
      </c>
      <c r="I1778" s="9">
        <v>6.1447374014E10</v>
      </c>
      <c r="J1778" s="9" t="s">
        <v>3230</v>
      </c>
      <c r="K1778" s="9">
        <v>0.0</v>
      </c>
      <c r="M1778" s="26"/>
      <c r="O1778" s="19" t="str">
        <f t="shared" si="2"/>
        <v/>
      </c>
    </row>
    <row r="1779">
      <c r="A1779" s="3" t="s">
        <v>795</v>
      </c>
      <c r="B1779" s="4" t="s">
        <v>109</v>
      </c>
      <c r="C1779" s="3" t="s">
        <v>849</v>
      </c>
      <c r="D1779" s="23" t="s">
        <v>3231</v>
      </c>
      <c r="E1779" s="29">
        <v>45966.0</v>
      </c>
      <c r="F1779" s="3">
        <v>8.0</v>
      </c>
      <c r="G1779" s="9" t="s">
        <v>92</v>
      </c>
      <c r="H1779" s="9" t="s">
        <v>3232</v>
      </c>
      <c r="I1779" s="9">
        <v>6.1435466049E10</v>
      </c>
      <c r="J1779" s="9" t="s">
        <v>3233</v>
      </c>
      <c r="K1779" s="9">
        <v>0.0</v>
      </c>
      <c r="M1779" s="26"/>
      <c r="O1779" s="19" t="str">
        <f t="shared" si="2"/>
        <v/>
      </c>
    </row>
    <row r="1780">
      <c r="A1780" s="3" t="s">
        <v>291</v>
      </c>
      <c r="B1780" s="4" t="s">
        <v>31</v>
      </c>
      <c r="C1780" s="3" t="s">
        <v>2896</v>
      </c>
      <c r="D1780" s="23" t="s">
        <v>3234</v>
      </c>
      <c r="E1780" s="29">
        <v>45966.0</v>
      </c>
      <c r="F1780" s="3">
        <v>8.0</v>
      </c>
      <c r="G1780" s="9" t="s">
        <v>92</v>
      </c>
      <c r="H1780" s="9" t="s">
        <v>3235</v>
      </c>
      <c r="I1780" s="9">
        <v>6.1404482544E10</v>
      </c>
      <c r="J1780" s="9" t="s">
        <v>3236</v>
      </c>
      <c r="K1780" s="9">
        <v>0.0</v>
      </c>
      <c r="M1780" s="26"/>
      <c r="O1780" s="19" t="str">
        <f t="shared" si="2"/>
        <v/>
      </c>
    </row>
    <row r="1781">
      <c r="A1781" s="3" t="s">
        <v>2406</v>
      </c>
      <c r="B1781" s="4" t="s">
        <v>31</v>
      </c>
      <c r="C1781" s="3" t="s">
        <v>3237</v>
      </c>
      <c r="D1781" s="23" t="s">
        <v>3238</v>
      </c>
      <c r="E1781" s="29">
        <v>45966.0</v>
      </c>
      <c r="F1781" s="3">
        <v>8.0</v>
      </c>
      <c r="G1781" s="9" t="s">
        <v>92</v>
      </c>
      <c r="H1781" s="9" t="s">
        <v>3239</v>
      </c>
      <c r="I1781" s="9">
        <v>6.1417735233E10</v>
      </c>
      <c r="J1781" s="9" t="s">
        <v>3240</v>
      </c>
      <c r="K1781" s="9">
        <v>0.0</v>
      </c>
      <c r="M1781" s="26"/>
      <c r="O1781" s="19" t="str">
        <f t="shared" si="2"/>
        <v/>
      </c>
    </row>
    <row r="1782">
      <c r="A1782" s="3" t="s">
        <v>3189</v>
      </c>
      <c r="B1782" s="4" t="s">
        <v>18</v>
      </c>
      <c r="C1782" s="3" t="s">
        <v>2516</v>
      </c>
      <c r="D1782" s="3" t="s">
        <v>3241</v>
      </c>
      <c r="E1782" s="38">
        <v>45819.0</v>
      </c>
      <c r="F1782" s="3" t="s">
        <v>22</v>
      </c>
      <c r="G1782" s="9" t="s">
        <v>1453</v>
      </c>
      <c r="H1782" s="9" t="s">
        <v>3242</v>
      </c>
      <c r="I1782" s="9">
        <v>6.142866755E10</v>
      </c>
      <c r="J1782" s="9" t="s">
        <v>3243</v>
      </c>
      <c r="K1782" s="9">
        <v>0.0</v>
      </c>
      <c r="M1782" s="14"/>
      <c r="O1782" s="19" t="str">
        <f t="shared" si="2"/>
        <v/>
      </c>
    </row>
    <row r="1783">
      <c r="A1783" s="3" t="s">
        <v>236</v>
      </c>
      <c r="B1783" s="4" t="s">
        <v>18</v>
      </c>
      <c r="C1783" s="3" t="s">
        <v>3244</v>
      </c>
      <c r="D1783" s="3" t="s">
        <v>3245</v>
      </c>
      <c r="E1783" s="38">
        <v>45819.0</v>
      </c>
      <c r="F1783" s="3" t="s">
        <v>27</v>
      </c>
      <c r="G1783" s="9" t="s">
        <v>1453</v>
      </c>
      <c r="H1783" s="9" t="s">
        <v>3246</v>
      </c>
      <c r="I1783" s="9">
        <v>61433939609</v>
      </c>
      <c r="J1783" s="9" t="s">
        <v>3247</v>
      </c>
      <c r="K1783" s="11">
        <v>500.0</v>
      </c>
      <c r="M1783" s="14"/>
      <c r="O1783" s="19" t="str">
        <f t="shared" si="2"/>
        <v/>
      </c>
    </row>
    <row r="1784">
      <c r="A1784" s="3" t="s">
        <v>1320</v>
      </c>
      <c r="B1784" s="4" t="s">
        <v>45</v>
      </c>
      <c r="C1784" s="3" t="s">
        <v>1445</v>
      </c>
      <c r="D1784" s="3" t="s">
        <v>3248</v>
      </c>
      <c r="E1784" s="38">
        <v>45819.0</v>
      </c>
      <c r="F1784" s="3" t="s">
        <v>27</v>
      </c>
      <c r="G1784" s="9" t="s">
        <v>1453</v>
      </c>
      <c r="H1784" s="9" t="s">
        <v>3249</v>
      </c>
      <c r="I1784" s="9">
        <v>6.1402521691E10</v>
      </c>
      <c r="J1784" s="9" t="s">
        <v>3250</v>
      </c>
      <c r="K1784" s="11"/>
      <c r="M1784" s="14"/>
      <c r="O1784" s="19" t="str">
        <f t="shared" si="2"/>
        <v/>
      </c>
    </row>
    <row r="1785">
      <c r="A1785" s="3" t="s">
        <v>1582</v>
      </c>
      <c r="B1785" s="4" t="s">
        <v>31</v>
      </c>
      <c r="C1785" s="3" t="s">
        <v>1930</v>
      </c>
      <c r="D1785" s="3" t="s">
        <v>3251</v>
      </c>
      <c r="E1785" s="38">
        <v>45819.0</v>
      </c>
      <c r="F1785" s="3" t="s">
        <v>27</v>
      </c>
      <c r="G1785" s="9" t="s">
        <v>1453</v>
      </c>
      <c r="H1785" s="9" t="s">
        <v>3252</v>
      </c>
      <c r="I1785" s="9">
        <v>6.1414257508E10</v>
      </c>
      <c r="J1785" s="9" t="s">
        <v>3253</v>
      </c>
      <c r="K1785" s="11"/>
      <c r="M1785" s="14"/>
      <c r="O1785" s="19" t="str">
        <f t="shared" si="2"/>
        <v/>
      </c>
    </row>
    <row r="1786">
      <c r="A1786" s="3" t="s">
        <v>2406</v>
      </c>
      <c r="B1786" s="4" t="s">
        <v>31</v>
      </c>
      <c r="C1786" s="3" t="s">
        <v>1425</v>
      </c>
      <c r="D1786" s="39" t="s">
        <v>3254</v>
      </c>
      <c r="E1786" s="29">
        <v>45967.0</v>
      </c>
      <c r="F1786" s="3">
        <v>8.0</v>
      </c>
      <c r="G1786" s="9" t="s">
        <v>92</v>
      </c>
      <c r="H1786" s="9" t="s">
        <v>3255</v>
      </c>
      <c r="I1786" s="9">
        <v>6.1404990445E10</v>
      </c>
      <c r="J1786" s="9" t="s">
        <v>3256</v>
      </c>
      <c r="K1786" s="9">
        <v>0.0</v>
      </c>
      <c r="M1786" s="26"/>
      <c r="O1786" s="19" t="str">
        <f t="shared" si="2"/>
        <v/>
      </c>
    </row>
    <row r="1787">
      <c r="A1787" s="3" t="s">
        <v>510</v>
      </c>
      <c r="B1787" s="4" t="s">
        <v>18</v>
      </c>
      <c r="C1787" s="3" t="s">
        <v>564</v>
      </c>
      <c r="D1787" s="23" t="s">
        <v>3257</v>
      </c>
      <c r="E1787" s="29">
        <v>45967.0</v>
      </c>
      <c r="F1787" s="3">
        <v>8.0</v>
      </c>
      <c r="G1787" s="9" t="s">
        <v>92</v>
      </c>
      <c r="H1787" s="9" t="s">
        <v>3258</v>
      </c>
      <c r="I1787" s="9">
        <v>6.1401667115E10</v>
      </c>
      <c r="J1787" s="9" t="s">
        <v>3259</v>
      </c>
      <c r="K1787" s="9">
        <v>0.0</v>
      </c>
      <c r="M1787" s="26"/>
      <c r="O1787" s="19" t="str">
        <f t="shared" si="2"/>
        <v/>
      </c>
    </row>
    <row r="1788">
      <c r="A1788" s="3" t="s">
        <v>2620</v>
      </c>
      <c r="B1788" s="4" t="s">
        <v>18</v>
      </c>
      <c r="C1788" s="3" t="s">
        <v>3260</v>
      </c>
      <c r="D1788" s="23" t="s">
        <v>3261</v>
      </c>
      <c r="E1788" s="29">
        <v>45967.0</v>
      </c>
      <c r="F1788" s="3">
        <v>8.0</v>
      </c>
      <c r="G1788" s="9" t="s">
        <v>92</v>
      </c>
      <c r="H1788" s="9" t="s">
        <v>3262</v>
      </c>
      <c r="I1788" s="9">
        <v>6.1433265476E10</v>
      </c>
      <c r="J1788" s="9" t="s">
        <v>3263</v>
      </c>
      <c r="K1788" s="9">
        <v>0.0</v>
      </c>
      <c r="M1788" s="26"/>
      <c r="O1788" s="19" t="str">
        <f t="shared" si="2"/>
        <v/>
      </c>
    </row>
    <row r="1789">
      <c r="A1789" s="3" t="s">
        <v>576</v>
      </c>
      <c r="B1789" s="4" t="s">
        <v>31</v>
      </c>
      <c r="C1789" s="3" t="s">
        <v>658</v>
      </c>
      <c r="D1789" s="23" t="s">
        <v>3264</v>
      </c>
      <c r="E1789" s="29">
        <v>45967.0</v>
      </c>
      <c r="F1789" s="3">
        <v>6.0</v>
      </c>
      <c r="G1789" s="9" t="s">
        <v>92</v>
      </c>
      <c r="H1789" s="9" t="s">
        <v>3265</v>
      </c>
      <c r="I1789" s="9">
        <v>6.1419759352E10</v>
      </c>
      <c r="J1789" s="9" t="s">
        <v>3266</v>
      </c>
      <c r="K1789" s="9">
        <v>0.0</v>
      </c>
      <c r="M1789" s="26"/>
      <c r="O1789" s="19" t="str">
        <f t="shared" si="2"/>
        <v/>
      </c>
    </row>
    <row r="1790">
      <c r="A1790" s="3" t="s">
        <v>305</v>
      </c>
      <c r="B1790" s="4" t="s">
        <v>36</v>
      </c>
      <c r="C1790" s="3" t="s">
        <v>306</v>
      </c>
      <c r="D1790" s="3" t="s">
        <v>3267</v>
      </c>
      <c r="E1790" s="38">
        <v>45849.0</v>
      </c>
      <c r="F1790" s="3" t="s">
        <v>27</v>
      </c>
      <c r="G1790" s="9" t="s">
        <v>1453</v>
      </c>
      <c r="H1790" s="9" t="s">
        <v>3268</v>
      </c>
      <c r="I1790" s="9">
        <v>61409570094</v>
      </c>
      <c r="J1790" s="9" t="s">
        <v>3269</v>
      </c>
      <c r="K1790" s="11">
        <v>500.0</v>
      </c>
      <c r="M1790" s="14"/>
      <c r="O1790" s="19" t="str">
        <f t="shared" si="2"/>
        <v/>
      </c>
    </row>
    <row r="1791">
      <c r="A1791" s="3" t="s">
        <v>1660</v>
      </c>
      <c r="B1791" s="4" t="s">
        <v>36</v>
      </c>
      <c r="C1791" s="3" t="s">
        <v>2791</v>
      </c>
      <c r="D1791" s="3" t="s">
        <v>3270</v>
      </c>
      <c r="E1791" s="29">
        <v>45968.0</v>
      </c>
      <c r="F1791" s="3" t="s">
        <v>27</v>
      </c>
      <c r="G1791" s="9" t="s">
        <v>129</v>
      </c>
      <c r="H1791" s="9" t="s">
        <v>3271</v>
      </c>
      <c r="I1791" s="9">
        <v>6.10411100002E11</v>
      </c>
      <c r="J1791" s="9" t="s">
        <v>2792</v>
      </c>
      <c r="K1791" s="11">
        <v>1250.0</v>
      </c>
      <c r="M1791" s="26"/>
      <c r="O1791" s="19" t="str">
        <f t="shared" si="2"/>
        <v/>
      </c>
    </row>
    <row r="1792">
      <c r="A1792" s="3" t="s">
        <v>2262</v>
      </c>
      <c r="B1792" s="4" t="s">
        <v>18</v>
      </c>
      <c r="C1792" s="3" t="s">
        <v>3272</v>
      </c>
      <c r="D1792" s="3" t="s">
        <v>3273</v>
      </c>
      <c r="E1792" s="29">
        <v>45968.0</v>
      </c>
      <c r="F1792" s="3" t="s">
        <v>27</v>
      </c>
      <c r="G1792" s="9" t="s">
        <v>129</v>
      </c>
      <c r="H1792" s="9" t="s">
        <v>3274</v>
      </c>
      <c r="I1792" s="9">
        <v>6.1414195422E10</v>
      </c>
      <c r="J1792" s="9" t="s">
        <v>3275</v>
      </c>
      <c r="K1792" s="11">
        <v>750.0</v>
      </c>
      <c r="M1792" s="26"/>
      <c r="O1792" s="19" t="str">
        <f t="shared" si="2"/>
        <v/>
      </c>
    </row>
    <row r="1793">
      <c r="A1793" s="3" t="s">
        <v>210</v>
      </c>
      <c r="B1793" s="4" t="s">
        <v>31</v>
      </c>
      <c r="C1793" s="3" t="s">
        <v>3276</v>
      </c>
      <c r="D1793" s="3" t="s">
        <v>3277</v>
      </c>
      <c r="E1793" s="29">
        <v>45968.0</v>
      </c>
      <c r="F1793" s="3" t="s">
        <v>27</v>
      </c>
      <c r="G1793" s="9" t="s">
        <v>129</v>
      </c>
      <c r="H1793" s="9" t="s">
        <v>3278</v>
      </c>
      <c r="I1793" s="9">
        <v>6.1447678494E10</v>
      </c>
      <c r="J1793" s="9" t="s">
        <v>3279</v>
      </c>
      <c r="K1793" s="11">
        <v>1250.0</v>
      </c>
      <c r="M1793" s="26"/>
      <c r="O1793" s="19" t="str">
        <f t="shared" si="2"/>
        <v/>
      </c>
    </row>
    <row r="1794">
      <c r="A1794" s="3" t="s">
        <v>2262</v>
      </c>
      <c r="B1794" s="4" t="s">
        <v>18</v>
      </c>
      <c r="C1794" s="3" t="s">
        <v>3272</v>
      </c>
      <c r="D1794" s="3" t="s">
        <v>3280</v>
      </c>
      <c r="E1794" s="38">
        <v>45849.0</v>
      </c>
      <c r="F1794" s="3" t="s">
        <v>27</v>
      </c>
      <c r="G1794" s="9" t="s">
        <v>1453</v>
      </c>
      <c r="H1794" s="9" t="s">
        <v>3274</v>
      </c>
      <c r="I1794" s="9">
        <v>6.1414195422E10</v>
      </c>
      <c r="J1794" s="9" t="s">
        <v>3281</v>
      </c>
      <c r="K1794" s="11"/>
      <c r="M1794" s="14"/>
      <c r="O1794" s="19" t="str">
        <f t="shared" si="2"/>
        <v/>
      </c>
    </row>
    <row r="1795">
      <c r="A1795" s="3" t="s">
        <v>744</v>
      </c>
      <c r="B1795" s="4" t="s">
        <v>18</v>
      </c>
      <c r="C1795" s="3" t="s">
        <v>3282</v>
      </c>
      <c r="D1795" s="3" t="s">
        <v>3283</v>
      </c>
      <c r="E1795" s="29">
        <v>45968.0</v>
      </c>
      <c r="F1795" s="3" t="s">
        <v>27</v>
      </c>
      <c r="G1795" s="9" t="s">
        <v>129</v>
      </c>
      <c r="H1795" s="9" t="s">
        <v>3284</v>
      </c>
      <c r="I1795" s="9">
        <v>6.1498267846E10</v>
      </c>
      <c r="J1795" s="9" t="s">
        <v>3285</v>
      </c>
      <c r="K1795" s="11">
        <v>750.0</v>
      </c>
      <c r="M1795" s="26"/>
      <c r="O1795" s="19" t="str">
        <f t="shared" si="2"/>
        <v/>
      </c>
    </row>
    <row r="1796">
      <c r="A1796" s="3" t="s">
        <v>479</v>
      </c>
      <c r="B1796" s="4" t="s">
        <v>18</v>
      </c>
      <c r="C1796" s="3" t="s">
        <v>2972</v>
      </c>
      <c r="D1796" s="23" t="s">
        <v>3286</v>
      </c>
      <c r="E1796" s="29">
        <v>45968.0</v>
      </c>
      <c r="F1796" s="3">
        <v>8.0</v>
      </c>
      <c r="G1796" s="9" t="s">
        <v>92</v>
      </c>
      <c r="H1796" s="9" t="s">
        <v>3287</v>
      </c>
      <c r="I1796" s="9">
        <v>6.1409050499E10</v>
      </c>
      <c r="J1796" s="9" t="s">
        <v>3288</v>
      </c>
      <c r="K1796" s="9">
        <v>0.0</v>
      </c>
      <c r="M1796" s="26"/>
      <c r="O1796" s="19" t="str">
        <f t="shared" si="2"/>
        <v/>
      </c>
    </row>
    <row r="1797">
      <c r="A1797" s="3" t="s">
        <v>112</v>
      </c>
      <c r="B1797" s="4" t="s">
        <v>18</v>
      </c>
      <c r="C1797" s="3" t="s">
        <v>425</v>
      </c>
      <c r="D1797" s="23" t="s">
        <v>3289</v>
      </c>
      <c r="E1797" s="29">
        <v>45968.0</v>
      </c>
      <c r="F1797" s="3">
        <v>8.0</v>
      </c>
      <c r="G1797" s="9" t="s">
        <v>92</v>
      </c>
      <c r="H1797" s="9" t="s">
        <v>3290</v>
      </c>
      <c r="I1797" s="9">
        <v>6.1409267258E10</v>
      </c>
      <c r="J1797" s="9" t="s">
        <v>3291</v>
      </c>
      <c r="K1797" s="9">
        <v>0.0</v>
      </c>
      <c r="M1797" s="26"/>
      <c r="O1797" s="19" t="str">
        <f t="shared" si="2"/>
        <v/>
      </c>
    </row>
    <row r="1798">
      <c r="A1798" s="3" t="s">
        <v>2406</v>
      </c>
      <c r="B1798" s="4" t="s">
        <v>31</v>
      </c>
      <c r="C1798" s="3">
        <v>2290.0</v>
      </c>
      <c r="D1798" s="23"/>
      <c r="E1798" s="29">
        <v>45968.0</v>
      </c>
      <c r="F1798" s="3">
        <v>5.0</v>
      </c>
      <c r="G1798" s="9" t="s">
        <v>92</v>
      </c>
      <c r="H1798" s="9" t="s">
        <v>3292</v>
      </c>
      <c r="I1798" s="9">
        <v>6.142298375E10</v>
      </c>
      <c r="J1798" s="9" t="s">
        <v>3293</v>
      </c>
      <c r="K1798" s="9">
        <v>0.0</v>
      </c>
      <c r="M1798" s="26"/>
      <c r="O1798" s="19" t="str">
        <f t="shared" si="2"/>
        <v/>
      </c>
    </row>
    <row r="1799">
      <c r="A1799" s="3" t="s">
        <v>472</v>
      </c>
      <c r="B1799" s="4" t="s">
        <v>18</v>
      </c>
      <c r="C1799" s="3" t="s">
        <v>3294</v>
      </c>
      <c r="D1799" s="23" t="s">
        <v>3295</v>
      </c>
      <c r="E1799" s="29">
        <v>45968.0</v>
      </c>
      <c r="F1799" s="3">
        <v>8.0</v>
      </c>
      <c r="G1799" s="9" t="s">
        <v>92</v>
      </c>
      <c r="H1799" s="9" t="s">
        <v>3296</v>
      </c>
      <c r="I1799" s="9">
        <v>6.1426264808E10</v>
      </c>
      <c r="J1799" s="9" t="s">
        <v>3297</v>
      </c>
      <c r="K1799" s="9">
        <v>0.0</v>
      </c>
      <c r="M1799" s="26"/>
      <c r="O1799" s="19" t="str">
        <f t="shared" si="2"/>
        <v/>
      </c>
    </row>
    <row r="1800">
      <c r="A1800" s="3" t="s">
        <v>274</v>
      </c>
      <c r="B1800" s="4" t="s">
        <v>18</v>
      </c>
      <c r="C1800" s="3" t="s">
        <v>524</v>
      </c>
      <c r="D1800" s="23" t="s">
        <v>525</v>
      </c>
      <c r="E1800" s="29">
        <v>45968.0</v>
      </c>
      <c r="F1800" s="3">
        <v>10.0</v>
      </c>
      <c r="G1800" s="9" t="s">
        <v>92</v>
      </c>
      <c r="H1800" s="9" t="s">
        <v>3298</v>
      </c>
      <c r="I1800" s="9">
        <v>6.1428180312E10</v>
      </c>
      <c r="J1800" s="9" t="s">
        <v>3299</v>
      </c>
      <c r="K1800" s="9">
        <v>0.0</v>
      </c>
      <c r="M1800" s="26"/>
      <c r="O1800" s="19" t="str">
        <f t="shared" si="2"/>
        <v/>
      </c>
    </row>
    <row r="1801">
      <c r="A1801" s="3" t="s">
        <v>61</v>
      </c>
      <c r="B1801" s="4" t="s">
        <v>18</v>
      </c>
      <c r="C1801" s="3" t="s">
        <v>3300</v>
      </c>
      <c r="D1801" s="23" t="s">
        <v>3301</v>
      </c>
      <c r="E1801" s="29">
        <v>45968.0</v>
      </c>
      <c r="F1801" s="3">
        <v>6.0</v>
      </c>
      <c r="G1801" s="9" t="s">
        <v>92</v>
      </c>
      <c r="H1801" s="9" t="s">
        <v>3302</v>
      </c>
      <c r="I1801" s="9">
        <v>6.1468623628E10</v>
      </c>
      <c r="J1801" s="9" t="s">
        <v>3303</v>
      </c>
      <c r="K1801" s="9">
        <v>0.0</v>
      </c>
      <c r="M1801" s="26"/>
      <c r="O1801" s="19" t="str">
        <f t="shared" si="2"/>
        <v/>
      </c>
    </row>
    <row r="1802">
      <c r="A1802" s="3" t="s">
        <v>2266</v>
      </c>
      <c r="B1802" s="4" t="s">
        <v>18</v>
      </c>
      <c r="C1802" s="3">
        <v>4551.0</v>
      </c>
      <c r="D1802" s="23"/>
      <c r="E1802" s="29">
        <v>45968.0</v>
      </c>
      <c r="F1802" s="3">
        <v>5.0</v>
      </c>
      <c r="G1802" s="9" t="s">
        <v>92</v>
      </c>
      <c r="H1802" s="9" t="s">
        <v>3304</v>
      </c>
      <c r="I1802" s="9">
        <v>6.1406923755E10</v>
      </c>
      <c r="J1802" s="9" t="s">
        <v>3305</v>
      </c>
      <c r="K1802" s="9">
        <v>0.0</v>
      </c>
      <c r="M1802" s="26"/>
      <c r="O1802" s="19" t="str">
        <f t="shared" si="2"/>
        <v/>
      </c>
    </row>
    <row r="1803">
      <c r="A1803" s="3" t="s">
        <v>717</v>
      </c>
      <c r="B1803" s="4" t="s">
        <v>36</v>
      </c>
      <c r="C1803" s="3" t="s">
        <v>1111</v>
      </c>
      <c r="D1803" s="23" t="s">
        <v>3306</v>
      </c>
      <c r="E1803" s="29">
        <v>45968.0</v>
      </c>
      <c r="F1803" s="3">
        <v>9.0</v>
      </c>
      <c r="G1803" s="9" t="s">
        <v>92</v>
      </c>
      <c r="H1803" s="9" t="s">
        <v>2117</v>
      </c>
      <c r="I1803" s="9">
        <v>6.1405590684E10</v>
      </c>
      <c r="J1803" s="9" t="s">
        <v>3307</v>
      </c>
      <c r="K1803" s="9">
        <v>0.0</v>
      </c>
      <c r="M1803" s="26"/>
      <c r="O1803" s="19" t="str">
        <f t="shared" si="2"/>
        <v/>
      </c>
    </row>
    <row r="1804">
      <c r="A1804" s="3" t="s">
        <v>158</v>
      </c>
      <c r="B1804" s="4" t="s">
        <v>31</v>
      </c>
      <c r="C1804" s="3" t="s">
        <v>3308</v>
      </c>
      <c r="E1804" s="29">
        <v>45968.0</v>
      </c>
      <c r="F1804" s="3">
        <v>5.0</v>
      </c>
      <c r="G1804" s="9" t="s">
        <v>92</v>
      </c>
      <c r="H1804" s="9" t="s">
        <v>3309</v>
      </c>
      <c r="I1804" s="9">
        <v>6.1425219784E10</v>
      </c>
      <c r="J1804" s="9" t="s">
        <v>3310</v>
      </c>
      <c r="K1804" s="9">
        <v>0.0</v>
      </c>
      <c r="M1804" s="26"/>
      <c r="O1804" s="19" t="str">
        <f t="shared" si="2"/>
        <v/>
      </c>
    </row>
    <row r="1805">
      <c r="A1805" s="3" t="s">
        <v>184</v>
      </c>
      <c r="B1805" s="4" t="s">
        <v>18</v>
      </c>
      <c r="C1805" s="3" t="s">
        <v>482</v>
      </c>
      <c r="D1805" s="3" t="s">
        <v>3311</v>
      </c>
      <c r="E1805" s="29">
        <v>45968.0</v>
      </c>
      <c r="F1805" s="3" t="s">
        <v>27</v>
      </c>
      <c r="G1805" s="9" t="s">
        <v>129</v>
      </c>
      <c r="H1805" s="9" t="s">
        <v>3312</v>
      </c>
      <c r="I1805" s="9">
        <v>6.1487827392E10</v>
      </c>
      <c r="J1805" s="9" t="s">
        <v>3313</v>
      </c>
      <c r="K1805" s="11">
        <v>750.0</v>
      </c>
      <c r="M1805" s="26"/>
      <c r="O1805" s="19" t="str">
        <f t="shared" si="2"/>
        <v/>
      </c>
    </row>
    <row r="1806">
      <c r="A1806" s="3" t="s">
        <v>168</v>
      </c>
      <c r="B1806" s="4" t="s">
        <v>45</v>
      </c>
      <c r="C1806" s="3" t="s">
        <v>169</v>
      </c>
      <c r="D1806" s="3" t="s">
        <v>3314</v>
      </c>
      <c r="E1806" s="29">
        <v>45968.0</v>
      </c>
      <c r="F1806" s="3" t="s">
        <v>27</v>
      </c>
      <c r="G1806" s="9" t="s">
        <v>129</v>
      </c>
      <c r="H1806" s="9" t="s">
        <v>3315</v>
      </c>
      <c r="I1806" s="9">
        <v>6.1406691753E10</v>
      </c>
      <c r="J1806" s="9" t="s">
        <v>3316</v>
      </c>
      <c r="K1806" s="11">
        <v>500.0</v>
      </c>
      <c r="M1806" s="26"/>
      <c r="O1806" s="19" t="str">
        <f t="shared" si="2"/>
        <v/>
      </c>
    </row>
    <row r="1807">
      <c r="A1807" s="3" t="s">
        <v>1320</v>
      </c>
      <c r="B1807" s="4" t="s">
        <v>45</v>
      </c>
      <c r="C1807" s="3" t="s">
        <v>3317</v>
      </c>
      <c r="D1807" s="3" t="s">
        <v>3318</v>
      </c>
      <c r="E1807" s="29">
        <v>45849.0</v>
      </c>
      <c r="F1807" s="3" t="s">
        <v>27</v>
      </c>
      <c r="G1807" s="9" t="s">
        <v>1453</v>
      </c>
      <c r="H1807" s="9" t="s">
        <v>3319</v>
      </c>
      <c r="I1807" s="9">
        <v>6.1417907267E10</v>
      </c>
      <c r="J1807" s="9" t="s">
        <v>3320</v>
      </c>
      <c r="K1807" s="11"/>
      <c r="M1807" s="26"/>
      <c r="O1807" s="19" t="str">
        <f t="shared" si="2"/>
        <v/>
      </c>
    </row>
    <row r="1808">
      <c r="A1808" s="3" t="s">
        <v>155</v>
      </c>
      <c r="B1808" s="4" t="s">
        <v>18</v>
      </c>
      <c r="C1808" s="3" t="s">
        <v>156</v>
      </c>
      <c r="D1808" s="3" t="s">
        <v>3321</v>
      </c>
      <c r="E1808" s="29">
        <v>45968.0</v>
      </c>
      <c r="F1808" s="3" t="s">
        <v>27</v>
      </c>
      <c r="G1808" s="9" t="s">
        <v>129</v>
      </c>
      <c r="H1808" s="9" t="s">
        <v>3322</v>
      </c>
      <c r="I1808" s="9">
        <v>6.1408209998E10</v>
      </c>
      <c r="J1808" s="9" t="s">
        <v>3323</v>
      </c>
      <c r="K1808" s="11">
        <v>1000.0</v>
      </c>
      <c r="M1808" s="26"/>
      <c r="O1808" s="19" t="str">
        <f t="shared" si="2"/>
        <v/>
      </c>
    </row>
    <row r="1809">
      <c r="A1809" s="3" t="s">
        <v>717</v>
      </c>
      <c r="B1809" s="4" t="s">
        <v>36</v>
      </c>
      <c r="C1809" s="3" t="s">
        <v>929</v>
      </c>
      <c r="D1809" s="3" t="s">
        <v>3324</v>
      </c>
      <c r="E1809" s="38">
        <v>45849.0</v>
      </c>
      <c r="F1809" s="41">
        <v>0.1</v>
      </c>
      <c r="G1809" s="9" t="s">
        <v>1453</v>
      </c>
      <c r="H1809" s="9" t="s">
        <v>3325</v>
      </c>
      <c r="I1809" s="9">
        <v>6.1466367617E10</v>
      </c>
      <c r="J1809" s="9" t="s">
        <v>3326</v>
      </c>
      <c r="K1809" s="11"/>
      <c r="M1809" s="14"/>
      <c r="O1809" s="19" t="str">
        <f t="shared" si="2"/>
        <v/>
      </c>
    </row>
    <row r="1810">
      <c r="A1810" s="3" t="s">
        <v>225</v>
      </c>
      <c r="B1810" s="4" t="s">
        <v>36</v>
      </c>
      <c r="C1810" s="3" t="s">
        <v>3327</v>
      </c>
      <c r="D1810" s="3" t="s">
        <v>3328</v>
      </c>
      <c r="E1810" s="38">
        <v>45849.0</v>
      </c>
      <c r="F1810" s="3" t="s">
        <v>27</v>
      </c>
      <c r="G1810" s="9" t="s">
        <v>1453</v>
      </c>
      <c r="H1810" s="9" t="s">
        <v>3329</v>
      </c>
      <c r="I1810" s="9">
        <v>6.1400504511E10</v>
      </c>
      <c r="J1810" s="9" t="s">
        <v>3330</v>
      </c>
      <c r="K1810" s="11"/>
      <c r="M1810" s="14"/>
      <c r="O1810" s="19" t="str">
        <f t="shared" si="2"/>
        <v/>
      </c>
    </row>
    <row r="1811">
      <c r="A1811" s="3" t="s">
        <v>184</v>
      </c>
      <c r="B1811" s="4" t="s">
        <v>18</v>
      </c>
      <c r="C1811" s="3" t="s">
        <v>482</v>
      </c>
      <c r="D1811" s="3" t="s">
        <v>3331</v>
      </c>
      <c r="E1811" s="38">
        <v>45880.0</v>
      </c>
      <c r="F1811" s="3" t="s">
        <v>27</v>
      </c>
      <c r="G1811" s="9" t="s">
        <v>129</v>
      </c>
      <c r="H1811" s="9" t="s">
        <v>3332</v>
      </c>
      <c r="I1811" s="9">
        <v>61419659284</v>
      </c>
      <c r="J1811" s="9" t="s">
        <v>3333</v>
      </c>
      <c r="K1811" s="11">
        <v>500.0</v>
      </c>
      <c r="M1811" s="14"/>
      <c r="O1811" s="19" t="str">
        <f t="shared" si="2"/>
        <v/>
      </c>
    </row>
    <row r="1812">
      <c r="A1812" s="3" t="s">
        <v>184</v>
      </c>
      <c r="B1812" s="4" t="s">
        <v>18</v>
      </c>
      <c r="C1812" s="3" t="s">
        <v>482</v>
      </c>
      <c r="D1812" s="3" t="s">
        <v>3334</v>
      </c>
      <c r="E1812" s="38">
        <v>45880.0</v>
      </c>
      <c r="F1812" s="3" t="s">
        <v>27</v>
      </c>
      <c r="G1812" s="9" t="s">
        <v>129</v>
      </c>
      <c r="H1812" s="9" t="s">
        <v>3332</v>
      </c>
      <c r="I1812" s="9">
        <v>61419659284</v>
      </c>
      <c r="J1812" s="9" t="s">
        <v>3333</v>
      </c>
      <c r="K1812" s="11">
        <v>500.0</v>
      </c>
      <c r="M1812" s="14"/>
      <c r="O1812" s="19" t="str">
        <f t="shared" si="2"/>
        <v/>
      </c>
    </row>
    <row r="1813">
      <c r="A1813" s="3" t="s">
        <v>184</v>
      </c>
      <c r="B1813" s="4" t="s">
        <v>18</v>
      </c>
      <c r="C1813" s="3" t="s">
        <v>482</v>
      </c>
      <c r="D1813" s="3" t="s">
        <v>3334</v>
      </c>
      <c r="E1813" s="38">
        <v>45880.0</v>
      </c>
      <c r="F1813" s="3" t="s">
        <v>27</v>
      </c>
      <c r="G1813" s="9" t="s">
        <v>129</v>
      </c>
      <c r="H1813" s="9" t="s">
        <v>3335</v>
      </c>
      <c r="I1813" s="9">
        <v>61419659284</v>
      </c>
      <c r="J1813" s="9" t="s">
        <v>3333</v>
      </c>
      <c r="K1813" s="11">
        <v>500.0</v>
      </c>
      <c r="M1813" s="14"/>
      <c r="O1813" s="19" t="str">
        <f t="shared" si="2"/>
        <v/>
      </c>
    </row>
    <row r="1814">
      <c r="A1814" s="3" t="s">
        <v>291</v>
      </c>
      <c r="B1814" s="4" t="s">
        <v>31</v>
      </c>
      <c r="C1814" s="3" t="s">
        <v>1041</v>
      </c>
      <c r="D1814" s="3" t="s">
        <v>3336</v>
      </c>
      <c r="E1814" s="38">
        <v>45880.0</v>
      </c>
      <c r="F1814" s="3" t="s">
        <v>27</v>
      </c>
      <c r="G1814" s="9" t="s">
        <v>1453</v>
      </c>
      <c r="H1814" s="9" t="s">
        <v>3337</v>
      </c>
      <c r="I1814" s="9">
        <v>61412598484</v>
      </c>
      <c r="J1814" s="9" t="s">
        <v>3338</v>
      </c>
      <c r="K1814" s="11"/>
      <c r="M1814" s="14"/>
      <c r="O1814" s="19" t="str">
        <f t="shared" si="2"/>
        <v/>
      </c>
    </row>
    <row r="1815">
      <c r="A1815" s="3" t="s">
        <v>744</v>
      </c>
      <c r="B1815" s="4" t="s">
        <v>18</v>
      </c>
      <c r="C1815" s="3" t="s">
        <v>2851</v>
      </c>
      <c r="D1815" s="3" t="s">
        <v>3339</v>
      </c>
      <c r="E1815" s="38">
        <v>45880.0</v>
      </c>
      <c r="F1815" s="3" t="s">
        <v>27</v>
      </c>
      <c r="G1815" s="9" t="s">
        <v>129</v>
      </c>
      <c r="H1815" s="9" t="s">
        <v>3340</v>
      </c>
      <c r="I1815" s="9">
        <v>61493296149</v>
      </c>
      <c r="J1815" s="9" t="s">
        <v>3341</v>
      </c>
      <c r="K1815" s="11">
        <v>500.0</v>
      </c>
      <c r="M1815" s="14"/>
      <c r="O1815" s="19" t="str">
        <f t="shared" si="2"/>
        <v/>
      </c>
    </row>
    <row r="1816">
      <c r="A1816" s="3" t="s">
        <v>744</v>
      </c>
      <c r="B1816" s="4" t="s">
        <v>18</v>
      </c>
      <c r="C1816" s="3" t="s">
        <v>2626</v>
      </c>
      <c r="D1816" s="23" t="s">
        <v>3342</v>
      </c>
      <c r="E1816" s="29">
        <v>45969.0</v>
      </c>
      <c r="F1816" s="3">
        <v>8.0</v>
      </c>
      <c r="G1816" s="9" t="s">
        <v>92</v>
      </c>
      <c r="H1816" s="9" t="s">
        <v>3343</v>
      </c>
      <c r="I1816" s="9">
        <v>6.1417745695E10</v>
      </c>
      <c r="J1816" s="9" t="s">
        <v>3344</v>
      </c>
      <c r="K1816" s="9">
        <v>0.0</v>
      </c>
      <c r="M1816" s="26"/>
      <c r="O1816" s="19" t="str">
        <f t="shared" si="2"/>
        <v/>
      </c>
    </row>
    <row r="1817">
      <c r="A1817" s="3" t="s">
        <v>107</v>
      </c>
      <c r="B1817" s="4" t="s">
        <v>18</v>
      </c>
      <c r="C1817" s="3" t="s">
        <v>1950</v>
      </c>
      <c r="D1817" s="23" t="s">
        <v>3345</v>
      </c>
      <c r="E1817" s="29">
        <v>45969.0</v>
      </c>
      <c r="F1817" s="3">
        <v>8.0</v>
      </c>
      <c r="G1817" s="9" t="s">
        <v>92</v>
      </c>
      <c r="H1817" s="9" t="s">
        <v>3346</v>
      </c>
      <c r="I1817" s="9">
        <v>6.14471123E10</v>
      </c>
      <c r="J1817" s="9" t="s">
        <v>3347</v>
      </c>
      <c r="K1817" s="9">
        <v>0.0</v>
      </c>
      <c r="M1817" s="26"/>
      <c r="O1817" s="19" t="str">
        <f t="shared" si="2"/>
        <v/>
      </c>
    </row>
    <row r="1818">
      <c r="A1818" s="3" t="s">
        <v>291</v>
      </c>
      <c r="B1818" s="4" t="s">
        <v>31</v>
      </c>
      <c r="C1818" s="3" t="s">
        <v>1041</v>
      </c>
      <c r="D1818" s="23" t="s">
        <v>3348</v>
      </c>
      <c r="E1818" s="29">
        <v>45969.0</v>
      </c>
      <c r="F1818" s="3">
        <v>6.0</v>
      </c>
      <c r="G1818" s="9" t="s">
        <v>92</v>
      </c>
      <c r="H1818" s="9" t="s">
        <v>3349</v>
      </c>
      <c r="I1818" s="9">
        <v>6.14088598E10</v>
      </c>
      <c r="J1818" s="9" t="s">
        <v>3350</v>
      </c>
      <c r="K1818" s="9">
        <v>0.0</v>
      </c>
      <c r="M1818" s="26"/>
      <c r="O1818" s="19" t="str">
        <f t="shared" si="2"/>
        <v/>
      </c>
    </row>
    <row r="1819">
      <c r="A1819" s="3" t="s">
        <v>198</v>
      </c>
      <c r="B1819" s="4" t="s">
        <v>109</v>
      </c>
      <c r="C1819" s="3" t="s">
        <v>3351</v>
      </c>
      <c r="D1819" s="23" t="s">
        <v>3352</v>
      </c>
      <c r="E1819" s="29">
        <v>45969.0</v>
      </c>
      <c r="F1819" s="3">
        <v>8.0</v>
      </c>
      <c r="G1819" s="9" t="s">
        <v>92</v>
      </c>
      <c r="H1819" s="9" t="s">
        <v>3353</v>
      </c>
      <c r="I1819" s="9">
        <v>6.1403125762E10</v>
      </c>
      <c r="J1819" s="9" t="s">
        <v>3354</v>
      </c>
      <c r="K1819" s="9">
        <v>0.0</v>
      </c>
      <c r="M1819" s="26"/>
      <c r="O1819" s="19" t="str">
        <f t="shared" si="2"/>
        <v/>
      </c>
    </row>
    <row r="1820">
      <c r="A1820" s="3" t="s">
        <v>202</v>
      </c>
      <c r="B1820" s="4" t="s">
        <v>36</v>
      </c>
      <c r="C1820" s="3" t="s">
        <v>3355</v>
      </c>
      <c r="D1820" s="23" t="s">
        <v>3356</v>
      </c>
      <c r="E1820" s="29">
        <v>45969.0</v>
      </c>
      <c r="F1820" s="3">
        <v>8.0</v>
      </c>
      <c r="G1820" s="9" t="s">
        <v>92</v>
      </c>
      <c r="H1820" s="9" t="s">
        <v>3357</v>
      </c>
      <c r="I1820" s="9">
        <v>6.1417328021E10</v>
      </c>
      <c r="J1820" s="9" t="s">
        <v>3358</v>
      </c>
      <c r="K1820" s="9">
        <v>0.0</v>
      </c>
      <c r="M1820" s="26"/>
      <c r="O1820" s="19" t="str">
        <f t="shared" si="2"/>
        <v/>
      </c>
    </row>
    <row r="1821">
      <c r="A1821" s="3" t="s">
        <v>184</v>
      </c>
      <c r="B1821" s="4" t="s">
        <v>18</v>
      </c>
      <c r="C1821" s="3" t="s">
        <v>3359</v>
      </c>
      <c r="D1821" s="23" t="s">
        <v>3360</v>
      </c>
      <c r="E1821" s="29">
        <v>45969.0</v>
      </c>
      <c r="F1821" s="3">
        <v>8.0</v>
      </c>
      <c r="G1821" s="9" t="s">
        <v>92</v>
      </c>
      <c r="H1821" s="9" t="s">
        <v>3332</v>
      </c>
      <c r="I1821" s="9">
        <v>6.1419659284E10</v>
      </c>
      <c r="J1821" s="9" t="s">
        <v>3361</v>
      </c>
      <c r="K1821" s="9">
        <v>0.0</v>
      </c>
      <c r="M1821" s="26"/>
      <c r="O1821" s="19" t="str">
        <f t="shared" si="2"/>
        <v/>
      </c>
    </row>
    <row r="1822">
      <c r="A1822" s="3" t="s">
        <v>155</v>
      </c>
      <c r="B1822" s="4" t="s">
        <v>18</v>
      </c>
      <c r="C1822" s="3" t="s">
        <v>238</v>
      </c>
      <c r="D1822" s="23" t="s">
        <v>3362</v>
      </c>
      <c r="E1822" s="29">
        <v>45969.0</v>
      </c>
      <c r="F1822" s="3">
        <v>8.0</v>
      </c>
      <c r="G1822" s="9" t="s">
        <v>92</v>
      </c>
      <c r="H1822" s="9" t="s">
        <v>3363</v>
      </c>
      <c r="I1822" s="9">
        <v>6.1402031889E10</v>
      </c>
      <c r="J1822" s="9" t="s">
        <v>3364</v>
      </c>
      <c r="K1822" s="9">
        <v>0.0</v>
      </c>
      <c r="M1822" s="26"/>
      <c r="O1822" s="19" t="str">
        <f t="shared" si="2"/>
        <v/>
      </c>
    </row>
    <row r="1823">
      <c r="A1823" s="3" t="s">
        <v>2620</v>
      </c>
      <c r="B1823" s="4" t="s">
        <v>18</v>
      </c>
      <c r="C1823" s="3" t="s">
        <v>3365</v>
      </c>
      <c r="D1823" s="23" t="s">
        <v>3366</v>
      </c>
      <c r="E1823" s="29">
        <v>45969.0</v>
      </c>
      <c r="F1823" s="3">
        <v>8.0</v>
      </c>
      <c r="G1823" s="9" t="s">
        <v>92</v>
      </c>
      <c r="H1823" s="9" t="s">
        <v>3367</v>
      </c>
      <c r="I1823" s="9">
        <v>6.1419670525E10</v>
      </c>
      <c r="J1823" s="9" t="s">
        <v>3368</v>
      </c>
      <c r="K1823" s="9">
        <v>0.0</v>
      </c>
      <c r="M1823" s="26"/>
      <c r="O1823" s="19" t="str">
        <f t="shared" si="2"/>
        <v/>
      </c>
    </row>
    <row r="1824">
      <c r="A1824" s="3" t="s">
        <v>1660</v>
      </c>
      <c r="B1824" s="4" t="s">
        <v>36</v>
      </c>
      <c r="C1824" s="3" t="s">
        <v>2791</v>
      </c>
      <c r="D1824" s="23" t="s">
        <v>3369</v>
      </c>
      <c r="E1824" s="29">
        <v>45969.0</v>
      </c>
      <c r="F1824" s="3">
        <v>8.0</v>
      </c>
      <c r="G1824" s="9" t="s">
        <v>92</v>
      </c>
      <c r="H1824" s="9" t="s">
        <v>3370</v>
      </c>
      <c r="I1824" s="9">
        <v>6.1403195457E10</v>
      </c>
      <c r="J1824" s="9" t="s">
        <v>3371</v>
      </c>
      <c r="K1824" s="9">
        <v>0.0</v>
      </c>
      <c r="M1824" s="26"/>
      <c r="O1824" s="19" t="str">
        <f t="shared" si="2"/>
        <v/>
      </c>
    </row>
    <row r="1825">
      <c r="A1825" s="3" t="s">
        <v>291</v>
      </c>
      <c r="B1825" s="4" t="s">
        <v>31</v>
      </c>
      <c r="C1825" s="3" t="s">
        <v>292</v>
      </c>
      <c r="D1825" s="23" t="s">
        <v>3372</v>
      </c>
      <c r="E1825" s="29">
        <v>45969.0</v>
      </c>
      <c r="F1825" s="3">
        <v>8.0</v>
      </c>
      <c r="G1825" s="9" t="s">
        <v>92</v>
      </c>
      <c r="H1825" s="9" t="s">
        <v>3373</v>
      </c>
      <c r="I1825" s="9">
        <v>6.1435129106E10</v>
      </c>
      <c r="J1825" s="9" t="s">
        <v>3374</v>
      </c>
      <c r="K1825" s="9">
        <v>0.0</v>
      </c>
      <c r="M1825" s="26"/>
      <c r="O1825" s="19" t="str">
        <f t="shared" si="2"/>
        <v/>
      </c>
    </row>
    <row r="1826">
      <c r="A1826" s="3" t="s">
        <v>2406</v>
      </c>
      <c r="B1826" s="4" t="s">
        <v>31</v>
      </c>
      <c r="C1826" s="3" t="s">
        <v>2376</v>
      </c>
      <c r="D1826" s="23" t="s">
        <v>3375</v>
      </c>
      <c r="E1826" s="29">
        <v>45969.0</v>
      </c>
      <c r="F1826" s="3">
        <v>8.0</v>
      </c>
      <c r="G1826" s="9" t="s">
        <v>92</v>
      </c>
      <c r="H1826" s="9" t="s">
        <v>3376</v>
      </c>
      <c r="I1826" s="9">
        <v>6.1457778078E10</v>
      </c>
      <c r="J1826" s="9" t="s">
        <v>3377</v>
      </c>
      <c r="K1826" s="9">
        <v>0.0</v>
      </c>
      <c r="M1826" s="26"/>
      <c r="O1826" s="19" t="str">
        <f t="shared" si="2"/>
        <v/>
      </c>
    </row>
    <row r="1827">
      <c r="A1827" s="3" t="s">
        <v>1973</v>
      </c>
      <c r="B1827" s="4" t="s">
        <v>31</v>
      </c>
      <c r="C1827" s="3" t="s">
        <v>3378</v>
      </c>
      <c r="D1827" s="23" t="s">
        <v>3379</v>
      </c>
      <c r="E1827" s="29">
        <v>45969.0</v>
      </c>
      <c r="F1827" s="3">
        <v>8.0</v>
      </c>
      <c r="G1827" s="9" t="s">
        <v>92</v>
      </c>
      <c r="H1827" s="9" t="s">
        <v>3380</v>
      </c>
      <c r="I1827" s="9">
        <v>6.1412589051E10</v>
      </c>
      <c r="J1827" s="9" t="s">
        <v>3381</v>
      </c>
      <c r="K1827" s="9">
        <v>0.0</v>
      </c>
      <c r="M1827" s="26"/>
      <c r="O1827" s="19" t="str">
        <f t="shared" si="2"/>
        <v/>
      </c>
    </row>
    <row r="1828">
      <c r="A1828" s="3" t="s">
        <v>1359</v>
      </c>
      <c r="B1828" s="4" t="s">
        <v>45</v>
      </c>
      <c r="C1828" s="3" t="s">
        <v>3382</v>
      </c>
      <c r="D1828" s="23" t="s">
        <v>3383</v>
      </c>
      <c r="E1828" s="29">
        <v>45970.0</v>
      </c>
      <c r="F1828" s="3">
        <v>8.0</v>
      </c>
      <c r="G1828" s="9" t="s">
        <v>92</v>
      </c>
      <c r="H1828" s="9" t="s">
        <v>3384</v>
      </c>
      <c r="I1828" s="9">
        <v>6.1411718484E10</v>
      </c>
      <c r="J1828" s="9" t="s">
        <v>3385</v>
      </c>
      <c r="K1828" s="9">
        <v>0.0</v>
      </c>
      <c r="M1828" s="26"/>
      <c r="O1828" s="19" t="str">
        <f t="shared" si="2"/>
        <v/>
      </c>
    </row>
    <row r="1829">
      <c r="A1829" s="3" t="s">
        <v>276</v>
      </c>
      <c r="B1829" s="4" t="s">
        <v>18</v>
      </c>
      <c r="C1829" s="3" t="s">
        <v>1027</v>
      </c>
      <c r="D1829" s="23" t="s">
        <v>3386</v>
      </c>
      <c r="E1829" s="29">
        <v>45970.0</v>
      </c>
      <c r="F1829" s="3">
        <v>8.0</v>
      </c>
      <c r="G1829" s="9" t="s">
        <v>92</v>
      </c>
      <c r="H1829" s="9" t="s">
        <v>3387</v>
      </c>
      <c r="I1829" s="9">
        <v>6.1419678535E10</v>
      </c>
      <c r="J1829" s="9" t="s">
        <v>3388</v>
      </c>
      <c r="K1829" s="9">
        <v>0.0</v>
      </c>
      <c r="M1829" s="26"/>
      <c r="O1829" s="19" t="str">
        <f t="shared" si="2"/>
        <v/>
      </c>
    </row>
    <row r="1830">
      <c r="A1830" s="3" t="s">
        <v>2503</v>
      </c>
      <c r="B1830" s="4" t="s">
        <v>18</v>
      </c>
      <c r="C1830" s="3" t="s">
        <v>2367</v>
      </c>
      <c r="D1830" s="23" t="s">
        <v>3389</v>
      </c>
      <c r="E1830" s="29">
        <v>45970.0</v>
      </c>
      <c r="F1830" s="3">
        <v>8.0</v>
      </c>
      <c r="G1830" s="9" t="s">
        <v>92</v>
      </c>
      <c r="H1830" s="9" t="s">
        <v>3390</v>
      </c>
      <c r="I1830" s="9">
        <v>6.1404868923E10</v>
      </c>
      <c r="J1830" s="9" t="s">
        <v>3391</v>
      </c>
      <c r="K1830" s="9">
        <v>0.0</v>
      </c>
      <c r="M1830" s="26"/>
      <c r="O1830" s="19" t="str">
        <f t="shared" si="2"/>
        <v/>
      </c>
    </row>
    <row r="1831">
      <c r="A1831" s="3" t="s">
        <v>435</v>
      </c>
      <c r="B1831" s="4" t="s">
        <v>18</v>
      </c>
      <c r="C1831" s="3" t="s">
        <v>3392</v>
      </c>
      <c r="D1831" s="23" t="s">
        <v>3393</v>
      </c>
      <c r="E1831" s="29">
        <v>45970.0</v>
      </c>
      <c r="F1831" s="3">
        <v>8.0</v>
      </c>
      <c r="G1831" s="9" t="s">
        <v>92</v>
      </c>
      <c r="H1831" s="9" t="s">
        <v>3394</v>
      </c>
      <c r="I1831" s="9">
        <v>6.145982344E10</v>
      </c>
      <c r="J1831" s="9" t="s">
        <v>3395</v>
      </c>
      <c r="K1831" s="9">
        <v>0.0</v>
      </c>
      <c r="M1831" s="26"/>
      <c r="O1831" s="19" t="str">
        <f t="shared" si="2"/>
        <v/>
      </c>
    </row>
    <row r="1832">
      <c r="A1832" s="3" t="s">
        <v>17</v>
      </c>
      <c r="B1832" s="4" t="s">
        <v>18</v>
      </c>
      <c r="C1832" s="3" t="s">
        <v>398</v>
      </c>
      <c r="D1832" s="23" t="s">
        <v>3396</v>
      </c>
      <c r="E1832" s="29">
        <v>45970.0</v>
      </c>
      <c r="F1832" s="3" t="s">
        <v>22</v>
      </c>
      <c r="G1832" s="9" t="s">
        <v>92</v>
      </c>
      <c r="H1832" s="9" t="s">
        <v>3397</v>
      </c>
      <c r="I1832" s="9">
        <v>6.1416721821E10</v>
      </c>
      <c r="J1832" s="9" t="s">
        <v>3398</v>
      </c>
      <c r="K1832" s="9">
        <v>0.0</v>
      </c>
      <c r="M1832" s="26"/>
      <c r="O1832" s="19" t="str">
        <f t="shared" si="2"/>
        <v/>
      </c>
    </row>
    <row r="1833">
      <c r="A1833" s="3" t="s">
        <v>291</v>
      </c>
      <c r="B1833" s="4" t="s">
        <v>31</v>
      </c>
      <c r="C1833" s="3" t="s">
        <v>3399</v>
      </c>
      <c r="D1833" s="23" t="s">
        <v>3400</v>
      </c>
      <c r="E1833" s="29">
        <v>45970.0</v>
      </c>
      <c r="F1833" s="3">
        <v>8.0</v>
      </c>
      <c r="G1833" s="9" t="s">
        <v>92</v>
      </c>
      <c r="H1833" s="9" t="s">
        <v>3401</v>
      </c>
      <c r="I1833" s="9">
        <v>6.1413144551E10</v>
      </c>
      <c r="J1833" s="9" t="s">
        <v>3402</v>
      </c>
      <c r="K1833" s="9">
        <v>0.0</v>
      </c>
      <c r="M1833" s="26"/>
      <c r="O1833" s="19" t="str">
        <f t="shared" si="2"/>
        <v/>
      </c>
    </row>
    <row r="1834">
      <c r="A1834" s="3" t="s">
        <v>246</v>
      </c>
      <c r="B1834" s="4" t="s">
        <v>36</v>
      </c>
      <c r="C1834" s="3" t="s">
        <v>2550</v>
      </c>
      <c r="D1834" s="23" t="s">
        <v>3403</v>
      </c>
      <c r="E1834" s="29">
        <v>45970.0</v>
      </c>
      <c r="F1834" s="3">
        <v>8.0</v>
      </c>
      <c r="G1834" s="9" t="s">
        <v>92</v>
      </c>
      <c r="H1834" s="9" t="s">
        <v>3404</v>
      </c>
      <c r="I1834" s="9">
        <v>6.1417134135E10</v>
      </c>
      <c r="J1834" s="9" t="s">
        <v>3405</v>
      </c>
      <c r="K1834" s="9">
        <v>0.0</v>
      </c>
      <c r="M1834" s="26"/>
      <c r="O1834" s="19" t="str">
        <f t="shared" si="2"/>
        <v/>
      </c>
    </row>
    <row r="1835">
      <c r="A1835" s="3" t="s">
        <v>2620</v>
      </c>
      <c r="B1835" s="4" t="s">
        <v>18</v>
      </c>
      <c r="C1835" s="3" t="s">
        <v>3406</v>
      </c>
      <c r="D1835" s="23"/>
      <c r="E1835" s="29">
        <v>45970.0</v>
      </c>
      <c r="F1835" s="3">
        <v>5.0</v>
      </c>
      <c r="G1835" s="9" t="s">
        <v>92</v>
      </c>
      <c r="H1835" s="9" t="s">
        <v>3407</v>
      </c>
      <c r="I1835" s="9">
        <v>6.1411160231E10</v>
      </c>
      <c r="J1835" s="9" t="s">
        <v>3408</v>
      </c>
      <c r="K1835" s="9">
        <v>0.0</v>
      </c>
      <c r="M1835" s="26"/>
      <c r="O1835" s="19" t="str">
        <f t="shared" si="2"/>
        <v/>
      </c>
    </row>
    <row r="1836">
      <c r="A1836" s="3" t="s">
        <v>276</v>
      </c>
      <c r="B1836" s="4" t="s">
        <v>18</v>
      </c>
      <c r="C1836" s="3" t="s">
        <v>673</v>
      </c>
      <c r="D1836" s="3" t="s">
        <v>3409</v>
      </c>
      <c r="E1836" s="38">
        <v>45911.0</v>
      </c>
      <c r="F1836" s="3" t="s">
        <v>27</v>
      </c>
      <c r="G1836" s="9" t="s">
        <v>129</v>
      </c>
      <c r="H1836" s="9" t="s">
        <v>3410</v>
      </c>
      <c r="I1836" s="9">
        <v>610424675532</v>
      </c>
      <c r="J1836" s="9" t="s">
        <v>3411</v>
      </c>
      <c r="K1836" s="9"/>
      <c r="M1836" s="14"/>
      <c r="O1836" s="19" t="str">
        <f t="shared" si="2"/>
        <v/>
      </c>
    </row>
    <row r="1837">
      <c r="A1837" s="3" t="s">
        <v>276</v>
      </c>
      <c r="B1837" s="4" t="s">
        <v>18</v>
      </c>
      <c r="C1837" s="3" t="s">
        <v>673</v>
      </c>
      <c r="D1837" s="3" t="s">
        <v>3412</v>
      </c>
      <c r="E1837" s="38">
        <v>45911.0</v>
      </c>
      <c r="F1837" s="3" t="s">
        <v>27</v>
      </c>
      <c r="G1837" s="9" t="s">
        <v>1453</v>
      </c>
      <c r="H1837" s="9" t="s">
        <v>3413</v>
      </c>
      <c r="I1837" s="9">
        <v>6.10424675532E11</v>
      </c>
      <c r="J1837" s="9" t="s">
        <v>3411</v>
      </c>
      <c r="K1837" s="9"/>
      <c r="M1837" s="14"/>
      <c r="O1837" s="19" t="str">
        <f t="shared" si="2"/>
        <v/>
      </c>
    </row>
    <row r="1838">
      <c r="A1838" s="3" t="s">
        <v>1359</v>
      </c>
      <c r="B1838" s="4" t="s">
        <v>45</v>
      </c>
      <c r="C1838" s="39" t="s">
        <v>1525</v>
      </c>
      <c r="D1838" s="39"/>
      <c r="E1838" s="29">
        <v>45970.0</v>
      </c>
      <c r="F1838" s="3">
        <v>5.0</v>
      </c>
      <c r="G1838" s="9" t="s">
        <v>92</v>
      </c>
      <c r="H1838" s="9" t="s">
        <v>3414</v>
      </c>
      <c r="I1838" s="9">
        <v>6.1411664367E10</v>
      </c>
      <c r="J1838" s="9" t="s">
        <v>3415</v>
      </c>
      <c r="K1838" s="9">
        <v>0.0</v>
      </c>
      <c r="M1838" s="26"/>
      <c r="O1838" s="19" t="str">
        <f t="shared" si="2"/>
        <v/>
      </c>
    </row>
    <row r="1839">
      <c r="A1839" s="3" t="s">
        <v>2406</v>
      </c>
      <c r="B1839" s="4" t="s">
        <v>31</v>
      </c>
      <c r="C1839" s="39" t="s">
        <v>3416</v>
      </c>
      <c r="D1839" s="39"/>
      <c r="E1839" s="29">
        <v>45970.0</v>
      </c>
      <c r="F1839" s="3">
        <v>5.0</v>
      </c>
      <c r="G1839" s="9" t="s">
        <v>92</v>
      </c>
      <c r="H1839" s="9" t="s">
        <v>3417</v>
      </c>
      <c r="I1839" s="9">
        <v>6.1456734518E10</v>
      </c>
      <c r="J1839" s="9" t="s">
        <v>3418</v>
      </c>
      <c r="K1839" s="9">
        <v>0.0</v>
      </c>
      <c r="M1839" s="26"/>
      <c r="O1839" s="19" t="str">
        <f t="shared" si="2"/>
        <v/>
      </c>
    </row>
    <row r="1840">
      <c r="A1840" s="3" t="s">
        <v>23</v>
      </c>
      <c r="B1840" s="4" t="s">
        <v>18</v>
      </c>
      <c r="C1840" s="39" t="s">
        <v>3419</v>
      </c>
      <c r="D1840" s="39" t="s">
        <v>3420</v>
      </c>
      <c r="E1840" s="29">
        <v>45970.0</v>
      </c>
      <c r="F1840" s="3">
        <v>8.0</v>
      </c>
      <c r="G1840" s="9" t="s">
        <v>92</v>
      </c>
      <c r="H1840" s="9" t="s">
        <v>3421</v>
      </c>
      <c r="I1840" s="9">
        <v>6.1418719278E10</v>
      </c>
      <c r="J1840" s="9" t="s">
        <v>3422</v>
      </c>
      <c r="K1840" s="9">
        <v>0.0</v>
      </c>
      <c r="M1840" s="26"/>
      <c r="O1840" s="19" t="str">
        <f t="shared" si="2"/>
        <v/>
      </c>
    </row>
    <row r="1841">
      <c r="A1841" s="3" t="s">
        <v>112</v>
      </c>
      <c r="B1841" s="4" t="s">
        <v>18</v>
      </c>
      <c r="C1841" s="39" t="s">
        <v>1044</v>
      </c>
      <c r="D1841" s="39" t="s">
        <v>3423</v>
      </c>
      <c r="E1841" s="29">
        <v>45970.0</v>
      </c>
      <c r="F1841" s="3">
        <v>8.0</v>
      </c>
      <c r="G1841" s="9" t="s">
        <v>92</v>
      </c>
      <c r="H1841" s="9" t="s">
        <v>3424</v>
      </c>
      <c r="I1841" s="9">
        <v>6.1459037795E10</v>
      </c>
      <c r="J1841" s="9" t="s">
        <v>3425</v>
      </c>
      <c r="K1841" s="9">
        <v>0.0</v>
      </c>
      <c r="M1841" s="26"/>
      <c r="O1841" s="19" t="str">
        <f t="shared" si="2"/>
        <v/>
      </c>
    </row>
    <row r="1842">
      <c r="A1842" s="3" t="s">
        <v>1660</v>
      </c>
      <c r="B1842" s="3" t="s">
        <v>36</v>
      </c>
      <c r="C1842" s="39" t="s">
        <v>2558</v>
      </c>
      <c r="D1842" s="39" t="s">
        <v>3426</v>
      </c>
      <c r="E1842" s="29">
        <v>45970.0</v>
      </c>
      <c r="F1842" s="3">
        <v>8.0</v>
      </c>
      <c r="G1842" s="9" t="s">
        <v>92</v>
      </c>
      <c r="H1842" s="9" t="s">
        <v>3427</v>
      </c>
      <c r="I1842" s="9">
        <v>6.1408354159E10</v>
      </c>
      <c r="J1842" s="9" t="s">
        <v>3428</v>
      </c>
      <c r="K1842" s="9">
        <v>0.0</v>
      </c>
      <c r="M1842" s="26"/>
      <c r="O1842" s="19" t="str">
        <f t="shared" si="2"/>
        <v/>
      </c>
    </row>
    <row r="1843">
      <c r="A1843" s="3" t="s">
        <v>717</v>
      </c>
      <c r="B1843" s="4" t="s">
        <v>36</v>
      </c>
      <c r="C1843" s="39" t="s">
        <v>929</v>
      </c>
      <c r="D1843" s="39" t="s">
        <v>3429</v>
      </c>
      <c r="E1843" s="29">
        <v>45970.0</v>
      </c>
      <c r="F1843" s="3">
        <v>8.0</v>
      </c>
      <c r="G1843" s="9" t="s">
        <v>92</v>
      </c>
      <c r="H1843" s="9" t="s">
        <v>3430</v>
      </c>
      <c r="I1843" s="9">
        <v>6.1431587367E10</v>
      </c>
      <c r="J1843" s="9" t="s">
        <v>3431</v>
      </c>
      <c r="K1843" s="9">
        <v>0.0</v>
      </c>
      <c r="M1843" s="26"/>
      <c r="O1843" s="19" t="str">
        <f t="shared" si="2"/>
        <v/>
      </c>
    </row>
    <row r="1844">
      <c r="A1844" s="3" t="s">
        <v>510</v>
      </c>
      <c r="B1844" s="4" t="s">
        <v>18</v>
      </c>
      <c r="C1844" s="39" t="s">
        <v>3432</v>
      </c>
      <c r="D1844" s="39" t="s">
        <v>3433</v>
      </c>
      <c r="E1844" s="29">
        <v>45970.0</v>
      </c>
      <c r="F1844" s="3">
        <v>8.0</v>
      </c>
      <c r="G1844" s="9" t="s">
        <v>92</v>
      </c>
      <c r="H1844" s="9" t="s">
        <v>3434</v>
      </c>
      <c r="I1844" s="9">
        <v>6.1411401907E10</v>
      </c>
      <c r="J1844" s="9" t="s">
        <v>3435</v>
      </c>
      <c r="K1844" s="9">
        <v>0.0</v>
      </c>
      <c r="M1844" s="26"/>
      <c r="O1844" s="19" t="str">
        <f t="shared" si="2"/>
        <v/>
      </c>
    </row>
    <row r="1845">
      <c r="A1845" s="3" t="s">
        <v>3436</v>
      </c>
      <c r="B1845" s="4" t="s">
        <v>18</v>
      </c>
      <c r="C1845" s="22" t="s">
        <v>550</v>
      </c>
      <c r="D1845" s="39" t="s">
        <v>3437</v>
      </c>
      <c r="E1845" s="29">
        <v>45970.0</v>
      </c>
      <c r="F1845" s="3">
        <v>8.0</v>
      </c>
      <c r="G1845" s="9" t="s">
        <v>92</v>
      </c>
      <c r="H1845" s="9" t="s">
        <v>3438</v>
      </c>
      <c r="I1845" s="9">
        <v>6.1439711528E10</v>
      </c>
      <c r="J1845" s="9" t="s">
        <v>3439</v>
      </c>
      <c r="K1845" s="9">
        <v>0.0</v>
      </c>
      <c r="M1845" s="26"/>
      <c r="O1845" s="19" t="str">
        <f t="shared" si="2"/>
        <v/>
      </c>
    </row>
    <row r="1846">
      <c r="A1846" s="3" t="s">
        <v>246</v>
      </c>
      <c r="B1846" s="4" t="s">
        <v>36</v>
      </c>
      <c r="C1846" s="24" t="s">
        <v>300</v>
      </c>
      <c r="D1846" s="39" t="s">
        <v>3440</v>
      </c>
      <c r="E1846" s="29">
        <v>45970.0</v>
      </c>
      <c r="F1846" s="3">
        <v>8.0</v>
      </c>
      <c r="G1846" s="9" t="s">
        <v>92</v>
      </c>
      <c r="H1846" s="9" t="s">
        <v>3441</v>
      </c>
      <c r="I1846" s="9">
        <v>6.1430013622E10</v>
      </c>
      <c r="J1846" s="9" t="s">
        <v>3442</v>
      </c>
      <c r="K1846" s="9">
        <v>0.0</v>
      </c>
      <c r="M1846" s="26"/>
      <c r="O1846" s="19" t="str">
        <f t="shared" si="2"/>
        <v/>
      </c>
    </row>
    <row r="1847">
      <c r="A1847" s="3" t="s">
        <v>274</v>
      </c>
      <c r="B1847" s="4" t="s">
        <v>18</v>
      </c>
      <c r="C1847" s="39" t="s">
        <v>597</v>
      </c>
      <c r="D1847" s="39" t="s">
        <v>3443</v>
      </c>
      <c r="E1847" s="29">
        <v>45970.0</v>
      </c>
      <c r="F1847" s="3">
        <v>8.0</v>
      </c>
      <c r="G1847" s="9" t="s">
        <v>92</v>
      </c>
      <c r="H1847" s="9" t="s">
        <v>3444</v>
      </c>
      <c r="I1847" s="9">
        <v>6.1404226669E10</v>
      </c>
      <c r="J1847" s="9" t="s">
        <v>3445</v>
      </c>
      <c r="K1847" s="9">
        <v>0.0</v>
      </c>
      <c r="M1847" s="26"/>
      <c r="O1847" s="19" t="str">
        <f t="shared" si="2"/>
        <v/>
      </c>
    </row>
    <row r="1848">
      <c r="A1848" s="3" t="s">
        <v>137</v>
      </c>
      <c r="B1848" s="4" t="s">
        <v>18</v>
      </c>
      <c r="C1848" s="39" t="s">
        <v>591</v>
      </c>
      <c r="D1848" s="39" t="s">
        <v>3446</v>
      </c>
      <c r="E1848" s="29">
        <v>45970.0</v>
      </c>
      <c r="F1848" s="3">
        <v>8.0</v>
      </c>
      <c r="G1848" s="9" t="s">
        <v>92</v>
      </c>
      <c r="H1848" s="9" t="s">
        <v>3447</v>
      </c>
      <c r="I1848" s="9">
        <v>6.1411226595E10</v>
      </c>
      <c r="J1848" s="9" t="s">
        <v>3448</v>
      </c>
      <c r="K1848" s="9">
        <v>0.0</v>
      </c>
      <c r="M1848" s="26"/>
      <c r="O1848" s="19" t="str">
        <f t="shared" si="2"/>
        <v/>
      </c>
    </row>
    <row r="1849">
      <c r="A1849" s="3" t="s">
        <v>202</v>
      </c>
      <c r="B1849" s="4" t="s">
        <v>36</v>
      </c>
      <c r="C1849" s="39" t="s">
        <v>289</v>
      </c>
      <c r="D1849" s="39" t="s">
        <v>3449</v>
      </c>
      <c r="E1849" s="29">
        <v>45970.0</v>
      </c>
      <c r="F1849" s="3">
        <v>8.0</v>
      </c>
      <c r="G1849" s="9" t="s">
        <v>92</v>
      </c>
      <c r="H1849" s="9" t="s">
        <v>3450</v>
      </c>
      <c r="I1849" s="9">
        <v>6.1416039998E10</v>
      </c>
      <c r="J1849" s="9" t="s">
        <v>3451</v>
      </c>
      <c r="K1849" s="9">
        <v>0.0</v>
      </c>
      <c r="M1849" s="26"/>
      <c r="O1849" s="19" t="str">
        <f t="shared" si="2"/>
        <v/>
      </c>
    </row>
    <row r="1850">
      <c r="A1850" s="3" t="s">
        <v>198</v>
      </c>
      <c r="B1850" s="4" t="s">
        <v>109</v>
      </c>
      <c r="C1850" s="24" t="s">
        <v>3452</v>
      </c>
      <c r="D1850" s="39" t="s">
        <v>3453</v>
      </c>
      <c r="E1850" s="29">
        <v>45970.0</v>
      </c>
      <c r="F1850" s="3">
        <v>8.0</v>
      </c>
      <c r="G1850" s="9" t="s">
        <v>92</v>
      </c>
      <c r="H1850" s="9" t="s">
        <v>3454</v>
      </c>
      <c r="I1850" s="9">
        <v>6.1412674292E10</v>
      </c>
      <c r="J1850" s="9" t="s">
        <v>3455</v>
      </c>
      <c r="K1850" s="9">
        <v>0.0</v>
      </c>
      <c r="M1850" s="26"/>
      <c r="O1850" s="19" t="str">
        <f t="shared" si="2"/>
        <v/>
      </c>
    </row>
    <row r="1851">
      <c r="A1851" s="3" t="s">
        <v>155</v>
      </c>
      <c r="B1851" s="4" t="s">
        <v>18</v>
      </c>
      <c r="C1851" s="24" t="s">
        <v>51</v>
      </c>
      <c r="D1851" s="39" t="s">
        <v>2580</v>
      </c>
      <c r="E1851" s="29">
        <v>45970.0</v>
      </c>
      <c r="F1851" s="3">
        <v>8.0</v>
      </c>
      <c r="G1851" s="9" t="s">
        <v>92</v>
      </c>
      <c r="H1851" s="9" t="s">
        <v>3456</v>
      </c>
      <c r="I1851" s="9">
        <v>6.1419109081E10</v>
      </c>
      <c r="J1851" s="9" t="s">
        <v>3457</v>
      </c>
      <c r="K1851" s="9">
        <v>0.0</v>
      </c>
      <c r="M1851" s="26"/>
      <c r="O1851" s="19" t="str">
        <f t="shared" si="2"/>
        <v/>
      </c>
    </row>
    <row r="1852">
      <c r="A1852" s="3" t="s">
        <v>510</v>
      </c>
      <c r="B1852" s="4" t="s">
        <v>18</v>
      </c>
      <c r="C1852" s="22" t="s">
        <v>3458</v>
      </c>
      <c r="D1852" s="39" t="s">
        <v>3459</v>
      </c>
      <c r="E1852" s="29">
        <v>45970.0</v>
      </c>
      <c r="F1852" s="3">
        <v>8.0</v>
      </c>
      <c r="G1852" s="9" t="s">
        <v>92</v>
      </c>
      <c r="H1852" s="9" t="s">
        <v>3460</v>
      </c>
      <c r="I1852" s="9">
        <v>6.1413719077E10</v>
      </c>
      <c r="J1852" s="9" t="s">
        <v>3461</v>
      </c>
      <c r="K1852" s="9">
        <v>0.0</v>
      </c>
      <c r="M1852" s="26"/>
      <c r="O1852" s="19" t="str">
        <f t="shared" si="2"/>
        <v/>
      </c>
    </row>
    <row r="1853">
      <c r="A1853" s="3" t="s">
        <v>2641</v>
      </c>
      <c r="B1853" s="4" t="s">
        <v>18</v>
      </c>
      <c r="C1853" s="3" t="s">
        <v>749</v>
      </c>
      <c r="D1853" s="3" t="s">
        <v>3462</v>
      </c>
      <c r="E1853" s="29">
        <v>45971.0</v>
      </c>
      <c r="F1853" s="41">
        <v>0.15</v>
      </c>
      <c r="G1853" s="9" t="s">
        <v>129</v>
      </c>
      <c r="H1853" s="9" t="s">
        <v>3463</v>
      </c>
      <c r="I1853" s="9">
        <v>6.1409801829E10</v>
      </c>
      <c r="J1853" s="9" t="s">
        <v>3464</v>
      </c>
      <c r="K1853" s="11">
        <v>1500.0</v>
      </c>
      <c r="M1853" s="26"/>
      <c r="O1853" s="19" t="str">
        <f t="shared" si="2"/>
        <v/>
      </c>
    </row>
    <row r="1854">
      <c r="A1854" s="3" t="s">
        <v>2620</v>
      </c>
      <c r="B1854" s="4" t="s">
        <v>18</v>
      </c>
      <c r="C1854" s="3" t="s">
        <v>3038</v>
      </c>
      <c r="D1854" s="3" t="s">
        <v>3465</v>
      </c>
      <c r="E1854" s="29">
        <v>45971.0</v>
      </c>
      <c r="F1854" s="41">
        <v>0.15</v>
      </c>
      <c r="G1854" s="9" t="s">
        <v>129</v>
      </c>
      <c r="H1854" s="9" t="s">
        <v>3466</v>
      </c>
      <c r="I1854" s="9">
        <v>6.10438823891E11</v>
      </c>
      <c r="J1854" s="9" t="s">
        <v>3467</v>
      </c>
      <c r="K1854" s="11">
        <v>1000.0</v>
      </c>
      <c r="M1854" s="26"/>
      <c r="O1854" s="19" t="str">
        <f t="shared" si="2"/>
        <v/>
      </c>
    </row>
    <row r="1855">
      <c r="A1855" s="3" t="s">
        <v>2641</v>
      </c>
      <c r="B1855" s="4" t="s">
        <v>18</v>
      </c>
      <c r="C1855" s="3" t="s">
        <v>3468</v>
      </c>
      <c r="D1855" s="3" t="s">
        <v>3469</v>
      </c>
      <c r="E1855" s="29">
        <v>45971.0</v>
      </c>
      <c r="F1855" s="41">
        <v>0.15</v>
      </c>
      <c r="G1855" s="9" t="s">
        <v>129</v>
      </c>
      <c r="H1855" s="9" t="s">
        <v>3470</v>
      </c>
      <c r="I1855" s="9">
        <v>6.1457734906E10</v>
      </c>
      <c r="J1855" s="9" t="s">
        <v>3471</v>
      </c>
      <c r="K1855" s="11">
        <v>750.0</v>
      </c>
      <c r="M1855" s="26"/>
      <c r="O1855" s="19" t="str">
        <f t="shared" si="2"/>
        <v/>
      </c>
    </row>
    <row r="1856">
      <c r="A1856" s="3" t="s">
        <v>3436</v>
      </c>
      <c r="B1856" s="4" t="s">
        <v>18</v>
      </c>
      <c r="C1856" s="3" t="s">
        <v>571</v>
      </c>
      <c r="D1856" s="3"/>
      <c r="E1856" s="29">
        <v>45971.0</v>
      </c>
      <c r="F1856" s="41">
        <v>0.15</v>
      </c>
      <c r="G1856" s="9" t="s">
        <v>129</v>
      </c>
      <c r="H1856" s="9" t="s">
        <v>3472</v>
      </c>
      <c r="I1856" s="9">
        <v>6.1402700256E10</v>
      </c>
      <c r="J1856" s="9" t="s">
        <v>3473</v>
      </c>
      <c r="K1856" s="11">
        <v>1000.0</v>
      </c>
      <c r="M1856" s="26"/>
      <c r="O1856" s="19" t="str">
        <f t="shared" si="2"/>
        <v/>
      </c>
    </row>
    <row r="1857">
      <c r="A1857" s="3" t="s">
        <v>3436</v>
      </c>
      <c r="B1857" s="4" t="s">
        <v>18</v>
      </c>
      <c r="C1857" s="3" t="s">
        <v>3474</v>
      </c>
      <c r="D1857" s="3" t="s">
        <v>3475</v>
      </c>
      <c r="E1857" s="29">
        <v>45971.0</v>
      </c>
      <c r="F1857" s="41">
        <v>0.15</v>
      </c>
      <c r="G1857" s="9" t="s">
        <v>129</v>
      </c>
      <c r="H1857" s="9" t="s">
        <v>3476</v>
      </c>
      <c r="I1857" s="9">
        <v>6.1400055776E10</v>
      </c>
      <c r="J1857" s="9" t="s">
        <v>3477</v>
      </c>
      <c r="K1857" s="11">
        <v>1000.0</v>
      </c>
      <c r="M1857" s="26"/>
      <c r="O1857" s="19" t="str">
        <f t="shared" si="2"/>
        <v/>
      </c>
    </row>
    <row r="1858">
      <c r="A1858" s="3" t="s">
        <v>3436</v>
      </c>
      <c r="B1858" s="4" t="s">
        <v>18</v>
      </c>
      <c r="C1858" s="3" t="s">
        <v>1627</v>
      </c>
      <c r="D1858" s="3" t="s">
        <v>3478</v>
      </c>
      <c r="E1858" s="29">
        <v>45971.0</v>
      </c>
      <c r="F1858" s="41">
        <v>0.15</v>
      </c>
      <c r="G1858" s="9" t="s">
        <v>129</v>
      </c>
      <c r="H1858" s="9" t="s">
        <v>1628</v>
      </c>
      <c r="I1858" s="9">
        <v>6.1404461402E10</v>
      </c>
      <c r="J1858" s="9" t="s">
        <v>3479</v>
      </c>
      <c r="K1858" s="11">
        <v>750.0</v>
      </c>
      <c r="M1858" s="26"/>
      <c r="O1858" s="19" t="str">
        <f t="shared" si="2"/>
        <v/>
      </c>
    </row>
    <row r="1859">
      <c r="A1859" s="3" t="s">
        <v>3436</v>
      </c>
      <c r="B1859" s="4" t="s">
        <v>18</v>
      </c>
      <c r="C1859" s="3" t="s">
        <v>3480</v>
      </c>
      <c r="D1859" s="3" t="s">
        <v>3481</v>
      </c>
      <c r="E1859" s="29">
        <v>45971.0</v>
      </c>
      <c r="F1859" s="41">
        <v>0.15</v>
      </c>
      <c r="G1859" s="9" t="s">
        <v>129</v>
      </c>
      <c r="H1859" s="9" t="s">
        <v>3482</v>
      </c>
      <c r="I1859" s="9">
        <v>6.1400818153E10</v>
      </c>
      <c r="J1859" s="9" t="s">
        <v>3483</v>
      </c>
      <c r="K1859" s="11">
        <v>1000.0</v>
      </c>
      <c r="M1859" s="26"/>
      <c r="O1859" s="19" t="str">
        <f t="shared" si="2"/>
        <v/>
      </c>
    </row>
    <row r="1860">
      <c r="A1860" s="3" t="s">
        <v>274</v>
      </c>
      <c r="B1860" s="4" t="s">
        <v>18</v>
      </c>
      <c r="C1860" s="3" t="s">
        <v>3484</v>
      </c>
      <c r="D1860" s="3" t="s">
        <v>3485</v>
      </c>
      <c r="E1860" s="29">
        <v>45971.0</v>
      </c>
      <c r="F1860" s="41">
        <v>0.15</v>
      </c>
      <c r="G1860" s="9" t="s">
        <v>129</v>
      </c>
      <c r="H1860" s="9" t="s">
        <v>3486</v>
      </c>
      <c r="I1860" s="9">
        <v>6.1416113895E10</v>
      </c>
      <c r="J1860" s="9" t="s">
        <v>3487</v>
      </c>
      <c r="K1860" s="11">
        <v>750.0</v>
      </c>
      <c r="M1860" s="26"/>
      <c r="O1860" s="19" t="str">
        <f t="shared" si="2"/>
        <v/>
      </c>
    </row>
    <row r="1861">
      <c r="A1861" s="3" t="s">
        <v>1892</v>
      </c>
      <c r="B1861" s="4" t="s">
        <v>18</v>
      </c>
      <c r="C1861" s="3" t="s">
        <v>3488</v>
      </c>
      <c r="D1861" s="3" t="s">
        <v>3489</v>
      </c>
      <c r="E1861" s="29">
        <v>45971.0</v>
      </c>
      <c r="F1861" s="41">
        <v>0.15</v>
      </c>
      <c r="G1861" s="9" t="s">
        <v>129</v>
      </c>
      <c r="H1861" s="9" t="s">
        <v>3490</v>
      </c>
      <c r="I1861" s="9">
        <v>6.1431757609E10</v>
      </c>
      <c r="J1861" s="9" t="s">
        <v>3491</v>
      </c>
      <c r="K1861" s="11">
        <v>500.0</v>
      </c>
      <c r="M1861" s="26"/>
      <c r="O1861" s="19" t="str">
        <f t="shared" si="2"/>
        <v/>
      </c>
    </row>
    <row r="1862">
      <c r="A1862" s="3" t="s">
        <v>1660</v>
      </c>
      <c r="B1862" s="4" t="s">
        <v>36</v>
      </c>
      <c r="C1862" s="3" t="s">
        <v>3492</v>
      </c>
      <c r="D1862" s="3" t="s">
        <v>3493</v>
      </c>
      <c r="E1862" s="29">
        <v>45971.0</v>
      </c>
      <c r="F1862" s="41">
        <v>0.15</v>
      </c>
      <c r="G1862" s="9" t="s">
        <v>129</v>
      </c>
      <c r="H1862" s="9" t="s">
        <v>3494</v>
      </c>
      <c r="I1862" s="9">
        <v>6.1490015358E10</v>
      </c>
      <c r="J1862" s="9" t="s">
        <v>3495</v>
      </c>
      <c r="K1862" s="11">
        <v>1000.0</v>
      </c>
      <c r="M1862" s="26"/>
      <c r="O1862" s="19" t="str">
        <f t="shared" si="2"/>
        <v/>
      </c>
    </row>
    <row r="1863">
      <c r="A1863" s="22" t="s">
        <v>795</v>
      </c>
      <c r="B1863" s="4" t="s">
        <v>109</v>
      </c>
      <c r="C1863" s="3" t="s">
        <v>1374</v>
      </c>
      <c r="D1863" s="3" t="s">
        <v>3496</v>
      </c>
      <c r="E1863" s="29">
        <v>45971.0</v>
      </c>
      <c r="F1863" s="42">
        <v>0.05</v>
      </c>
      <c r="G1863" s="22" t="s">
        <v>3497</v>
      </c>
      <c r="M1863" s="26"/>
      <c r="O1863" s="19" t="str">
        <f t="shared" si="2"/>
        <v/>
      </c>
    </row>
    <row r="1864">
      <c r="A1864" s="22" t="s">
        <v>77</v>
      </c>
      <c r="B1864" s="4" t="s">
        <v>18</v>
      </c>
      <c r="C1864" s="3" t="s">
        <v>78</v>
      </c>
      <c r="D1864" s="3" t="s">
        <v>3498</v>
      </c>
      <c r="E1864" s="29">
        <v>45941.0</v>
      </c>
      <c r="F1864" s="22" t="s">
        <v>27</v>
      </c>
      <c r="G1864" s="22" t="s">
        <v>1453</v>
      </c>
      <c r="H1864" s="3" t="s">
        <v>3499</v>
      </c>
      <c r="I1864" s="19">
        <v>61414301254</v>
      </c>
      <c r="J1864" s="3" t="s">
        <v>3500</v>
      </c>
      <c r="K1864" s="43">
        <v>1250.0</v>
      </c>
      <c r="M1864" s="26"/>
      <c r="O1864" s="19" t="str">
        <f t="shared" si="2"/>
        <v/>
      </c>
    </row>
    <row r="1865">
      <c r="A1865" s="22" t="s">
        <v>1660</v>
      </c>
      <c r="B1865" s="4" t="s">
        <v>36</v>
      </c>
      <c r="C1865" s="3" t="s">
        <v>1661</v>
      </c>
      <c r="D1865" s="3" t="s">
        <v>3501</v>
      </c>
      <c r="E1865" s="29">
        <v>45941.0</v>
      </c>
      <c r="F1865" s="22" t="s">
        <v>27</v>
      </c>
      <c r="G1865" s="22" t="s">
        <v>1453</v>
      </c>
      <c r="H1865" s="3" t="s">
        <v>3502</v>
      </c>
      <c r="I1865" s="19">
        <v>61408460210</v>
      </c>
      <c r="J1865" s="3" t="s">
        <v>3503</v>
      </c>
      <c r="K1865" s="43"/>
      <c r="M1865" s="26"/>
      <c r="O1865" s="19" t="str">
        <f t="shared" si="2"/>
        <v/>
      </c>
    </row>
    <row r="1866">
      <c r="A1866" s="22" t="s">
        <v>77</v>
      </c>
      <c r="B1866" s="4" t="s">
        <v>18</v>
      </c>
      <c r="C1866" s="3" t="s">
        <v>78</v>
      </c>
      <c r="D1866" s="3" t="s">
        <v>3504</v>
      </c>
      <c r="E1866" s="29">
        <v>45941.0</v>
      </c>
      <c r="F1866" s="22" t="s">
        <v>27</v>
      </c>
      <c r="G1866" s="22" t="s">
        <v>1453</v>
      </c>
      <c r="H1866" s="3" t="s">
        <v>3505</v>
      </c>
      <c r="I1866" s="19">
        <v>61458993651</v>
      </c>
      <c r="J1866" s="3" t="s">
        <v>3506</v>
      </c>
      <c r="K1866" s="43">
        <v>1250.0</v>
      </c>
      <c r="M1866" s="26"/>
      <c r="O1866" s="19" t="str">
        <f t="shared" si="2"/>
        <v/>
      </c>
    </row>
    <row r="1867">
      <c r="A1867" s="22" t="s">
        <v>1255</v>
      </c>
      <c r="B1867" s="4" t="s">
        <v>18</v>
      </c>
      <c r="C1867" s="3" t="s">
        <v>259</v>
      </c>
      <c r="D1867" s="3" t="s">
        <v>3507</v>
      </c>
      <c r="E1867" s="29">
        <v>45941.0</v>
      </c>
      <c r="F1867" s="22" t="s">
        <v>27</v>
      </c>
      <c r="G1867" s="22" t="s">
        <v>1453</v>
      </c>
      <c r="H1867" s="3" t="s">
        <v>3508</v>
      </c>
      <c r="I1867" s="19">
        <v>61416007186</v>
      </c>
      <c r="J1867" s="3" t="s">
        <v>3509</v>
      </c>
      <c r="K1867" s="43">
        <v>500.0</v>
      </c>
      <c r="M1867" s="26"/>
      <c r="O1867" s="19" t="str">
        <f t="shared" si="2"/>
        <v/>
      </c>
    </row>
    <row r="1868">
      <c r="A1868" s="22" t="s">
        <v>418</v>
      </c>
      <c r="B1868" s="4" t="s">
        <v>18</v>
      </c>
      <c r="C1868" s="3" t="s">
        <v>2070</v>
      </c>
      <c r="D1868" s="23" t="s">
        <v>3510</v>
      </c>
      <c r="E1868" s="29">
        <v>45971.0</v>
      </c>
      <c r="F1868" s="22">
        <v>8.0</v>
      </c>
      <c r="G1868" s="22" t="s">
        <v>92</v>
      </c>
      <c r="H1868" s="3" t="s">
        <v>3511</v>
      </c>
      <c r="I1868" s="3">
        <v>6.1416450305E10</v>
      </c>
      <c r="J1868" s="3" t="s">
        <v>3512</v>
      </c>
      <c r="K1868" s="3">
        <v>0.0</v>
      </c>
      <c r="M1868" s="26"/>
      <c r="O1868" s="19" t="str">
        <f t="shared" si="2"/>
        <v/>
      </c>
    </row>
    <row r="1869">
      <c r="A1869" s="22" t="s">
        <v>2266</v>
      </c>
      <c r="B1869" s="4" t="s">
        <v>18</v>
      </c>
      <c r="C1869" s="3" t="s">
        <v>1945</v>
      </c>
      <c r="D1869" s="23" t="s">
        <v>3513</v>
      </c>
      <c r="E1869" s="29">
        <v>45971.0</v>
      </c>
      <c r="F1869" s="22">
        <v>8.0</v>
      </c>
      <c r="G1869" s="22" t="s">
        <v>92</v>
      </c>
      <c r="H1869" s="3" t="s">
        <v>3514</v>
      </c>
      <c r="I1869" s="3">
        <v>6.1419739857E10</v>
      </c>
      <c r="J1869" s="3" t="s">
        <v>3515</v>
      </c>
      <c r="K1869" s="3">
        <v>0.0</v>
      </c>
      <c r="M1869" s="26"/>
      <c r="O1869" s="19" t="str">
        <f t="shared" si="2"/>
        <v/>
      </c>
    </row>
    <row r="1870">
      <c r="A1870" s="22" t="s">
        <v>1582</v>
      </c>
      <c r="B1870" s="4" t="s">
        <v>31</v>
      </c>
      <c r="C1870" s="3" t="s">
        <v>3516</v>
      </c>
      <c r="D1870" s="23" t="s">
        <v>3517</v>
      </c>
      <c r="E1870" s="29">
        <v>45971.0</v>
      </c>
      <c r="F1870" s="22">
        <v>8.0</v>
      </c>
      <c r="G1870" s="22" t="s">
        <v>92</v>
      </c>
      <c r="H1870" s="3" t="s">
        <v>3518</v>
      </c>
      <c r="I1870" s="3">
        <v>6.1412148235E10</v>
      </c>
      <c r="J1870" s="3" t="s">
        <v>3519</v>
      </c>
      <c r="K1870" s="3">
        <v>0.0</v>
      </c>
      <c r="M1870" s="26"/>
      <c r="O1870" s="19" t="str">
        <f t="shared" si="2"/>
        <v/>
      </c>
    </row>
    <row r="1871">
      <c r="A1871" s="22" t="s">
        <v>1582</v>
      </c>
      <c r="B1871" s="4" t="s">
        <v>31</v>
      </c>
      <c r="C1871" s="3" t="s">
        <v>1845</v>
      </c>
      <c r="D1871" s="23" t="s">
        <v>3520</v>
      </c>
      <c r="E1871" s="29">
        <v>45971.0</v>
      </c>
      <c r="F1871" s="22">
        <v>8.0</v>
      </c>
      <c r="G1871" s="22" t="s">
        <v>92</v>
      </c>
      <c r="H1871" s="3" t="s">
        <v>3521</v>
      </c>
      <c r="I1871" s="3">
        <v>6.1423571954E10</v>
      </c>
      <c r="J1871" s="3" t="s">
        <v>3522</v>
      </c>
      <c r="K1871" s="3">
        <v>0.0</v>
      </c>
      <c r="M1871" s="26"/>
      <c r="O1871" s="19" t="str">
        <f t="shared" si="2"/>
        <v/>
      </c>
    </row>
    <row r="1872">
      <c r="A1872" s="22" t="s">
        <v>168</v>
      </c>
      <c r="B1872" s="4" t="s">
        <v>45</v>
      </c>
      <c r="C1872" s="3" t="s">
        <v>1561</v>
      </c>
      <c r="D1872" s="3" t="s">
        <v>3523</v>
      </c>
      <c r="E1872" s="29">
        <v>45972.0</v>
      </c>
      <c r="F1872" s="22" t="s">
        <v>27</v>
      </c>
      <c r="G1872" s="22" t="s">
        <v>1453</v>
      </c>
      <c r="H1872" s="3" t="s">
        <v>3524</v>
      </c>
      <c r="I1872" s="3">
        <v>61448834348</v>
      </c>
      <c r="J1872" s="3" t="s">
        <v>3525</v>
      </c>
      <c r="K1872" s="43">
        <v>500.0</v>
      </c>
      <c r="M1872" s="26"/>
      <c r="O1872" s="19" t="str">
        <f t="shared" si="2"/>
        <v/>
      </c>
    </row>
    <row r="1873">
      <c r="A1873" s="22" t="s">
        <v>168</v>
      </c>
      <c r="B1873" s="4" t="s">
        <v>45</v>
      </c>
      <c r="C1873" s="3" t="s">
        <v>1561</v>
      </c>
      <c r="D1873" s="3" t="s">
        <v>3526</v>
      </c>
      <c r="E1873" s="29">
        <v>45972.0</v>
      </c>
      <c r="F1873" s="22" t="s">
        <v>27</v>
      </c>
      <c r="G1873" s="22" t="s">
        <v>129</v>
      </c>
      <c r="H1873" s="3" t="s">
        <v>3527</v>
      </c>
      <c r="I1873" s="3">
        <v>610448834348</v>
      </c>
      <c r="J1873" s="3" t="s">
        <v>3525</v>
      </c>
      <c r="K1873" s="43">
        <v>500.0</v>
      </c>
      <c r="M1873" s="26"/>
      <c r="O1873" s="19" t="str">
        <f t="shared" si="2"/>
        <v/>
      </c>
    </row>
    <row r="1874">
      <c r="A1874" s="22" t="s">
        <v>168</v>
      </c>
      <c r="B1874" s="4" t="s">
        <v>45</v>
      </c>
      <c r="C1874" s="3" t="s">
        <v>2653</v>
      </c>
      <c r="D1874" s="3" t="s">
        <v>3528</v>
      </c>
      <c r="E1874" s="29">
        <v>45972.0</v>
      </c>
      <c r="F1874" s="22" t="s">
        <v>27</v>
      </c>
      <c r="G1874" s="22" t="s">
        <v>1453</v>
      </c>
      <c r="H1874" s="3" t="s">
        <v>3529</v>
      </c>
      <c r="I1874" s="3">
        <v>61451909331</v>
      </c>
      <c r="J1874" s="3" t="s">
        <v>3530</v>
      </c>
      <c r="K1874" s="43">
        <v>500.0</v>
      </c>
      <c r="M1874" s="26"/>
      <c r="O1874" s="19" t="str">
        <f t="shared" si="2"/>
        <v/>
      </c>
    </row>
    <row r="1875">
      <c r="A1875" s="22" t="s">
        <v>1660</v>
      </c>
      <c r="B1875" s="4" t="s">
        <v>36</v>
      </c>
      <c r="C1875" s="3" t="s">
        <v>1661</v>
      </c>
      <c r="D1875" s="3" t="s">
        <v>3531</v>
      </c>
      <c r="E1875" s="29">
        <v>45972.0</v>
      </c>
      <c r="F1875" s="22" t="s">
        <v>27</v>
      </c>
      <c r="G1875" s="22" t="s">
        <v>1453</v>
      </c>
      <c r="H1875" s="3" t="s">
        <v>3502</v>
      </c>
      <c r="I1875" s="3">
        <v>6.140846021E10</v>
      </c>
      <c r="J1875" s="3" t="s">
        <v>3503</v>
      </c>
      <c r="K1875" s="43"/>
      <c r="M1875" s="26"/>
      <c r="O1875" s="19" t="str">
        <f t="shared" si="2"/>
        <v/>
      </c>
    </row>
    <row r="1876">
      <c r="A1876" s="22" t="s">
        <v>1320</v>
      </c>
      <c r="B1876" s="4" t="s">
        <v>45</v>
      </c>
      <c r="C1876" s="3" t="s">
        <v>75</v>
      </c>
      <c r="D1876" s="23" t="s">
        <v>3532</v>
      </c>
      <c r="E1876" s="29">
        <v>45971.0</v>
      </c>
      <c r="F1876" s="22">
        <v>8.0</v>
      </c>
      <c r="G1876" s="22" t="s">
        <v>92</v>
      </c>
      <c r="H1876" s="3" t="s">
        <v>3533</v>
      </c>
      <c r="I1876" s="3">
        <v>6.1450942028E10</v>
      </c>
      <c r="J1876" s="3" t="s">
        <v>3534</v>
      </c>
      <c r="K1876" s="3">
        <v>0.0</v>
      </c>
      <c r="M1876" s="26"/>
      <c r="O1876" s="19" t="str">
        <f t="shared" si="2"/>
        <v/>
      </c>
    </row>
    <row r="1877">
      <c r="A1877" s="22" t="s">
        <v>3436</v>
      </c>
      <c r="B1877" s="4" t="s">
        <v>18</v>
      </c>
      <c r="C1877" s="3" t="s">
        <v>3535</v>
      </c>
      <c r="D1877" s="23" t="s">
        <v>3536</v>
      </c>
      <c r="E1877" s="29">
        <v>45971.0</v>
      </c>
      <c r="F1877" s="22">
        <v>8.0</v>
      </c>
      <c r="G1877" s="22" t="s">
        <v>92</v>
      </c>
      <c r="H1877" s="3" t="s">
        <v>3537</v>
      </c>
      <c r="I1877" s="3">
        <v>6.142283346E10</v>
      </c>
      <c r="J1877" s="3" t="s">
        <v>3538</v>
      </c>
      <c r="K1877" s="3">
        <v>0.0</v>
      </c>
      <c r="M1877" s="26"/>
      <c r="O1877" s="19" t="str">
        <f t="shared" si="2"/>
        <v/>
      </c>
    </row>
    <row r="1878">
      <c r="A1878" s="22" t="s">
        <v>2641</v>
      </c>
      <c r="B1878" s="4" t="s">
        <v>18</v>
      </c>
      <c r="C1878" s="3" t="s">
        <v>1315</v>
      </c>
      <c r="D1878" s="23" t="s">
        <v>3539</v>
      </c>
      <c r="E1878" s="29">
        <v>45971.0</v>
      </c>
      <c r="F1878" s="22">
        <v>8.0</v>
      </c>
      <c r="G1878" s="22" t="s">
        <v>92</v>
      </c>
      <c r="H1878" s="3" t="s">
        <v>3540</v>
      </c>
      <c r="I1878" s="3">
        <v>6.1457069665E10</v>
      </c>
      <c r="J1878" s="3" t="s">
        <v>3541</v>
      </c>
      <c r="K1878" s="3">
        <v>0.0</v>
      </c>
      <c r="M1878" s="26"/>
      <c r="O1878" s="19" t="str">
        <f t="shared" si="2"/>
        <v/>
      </c>
    </row>
    <row r="1879">
      <c r="A1879" s="22" t="s">
        <v>184</v>
      </c>
      <c r="B1879" s="4" t="s">
        <v>18</v>
      </c>
      <c r="C1879" s="3" t="s">
        <v>2048</v>
      </c>
      <c r="D1879" s="23" t="s">
        <v>3542</v>
      </c>
      <c r="E1879" s="29">
        <v>45971.0</v>
      </c>
      <c r="F1879" s="22">
        <v>8.0</v>
      </c>
      <c r="G1879" s="22" t="s">
        <v>92</v>
      </c>
      <c r="H1879" s="3" t="s">
        <v>3543</v>
      </c>
      <c r="I1879" s="3">
        <v>6.1435233301E10</v>
      </c>
      <c r="J1879" s="3" t="s">
        <v>3544</v>
      </c>
      <c r="K1879" s="3">
        <v>0.0</v>
      </c>
      <c r="M1879" s="26"/>
      <c r="O1879" s="19" t="str">
        <f t="shared" si="2"/>
        <v/>
      </c>
    </row>
    <row r="1880">
      <c r="A1880" s="22" t="s">
        <v>44</v>
      </c>
      <c r="B1880" s="4" t="s">
        <v>45</v>
      </c>
      <c r="C1880" s="3" t="s">
        <v>1942</v>
      </c>
      <c r="D1880" s="3" t="s">
        <v>3545</v>
      </c>
      <c r="E1880" s="29">
        <v>45971.0</v>
      </c>
      <c r="F1880" s="22" t="s">
        <v>27</v>
      </c>
      <c r="G1880" s="22" t="s">
        <v>129</v>
      </c>
      <c r="H1880" s="3" t="s">
        <v>3546</v>
      </c>
      <c r="I1880" s="3">
        <v>6.1439094616E10</v>
      </c>
      <c r="J1880" s="3" t="s">
        <v>3547</v>
      </c>
      <c r="K1880" s="43">
        <v>750.0</v>
      </c>
      <c r="M1880" s="26"/>
      <c r="O1880" s="19" t="str">
        <f t="shared" si="2"/>
        <v/>
      </c>
    </row>
    <row r="1881">
      <c r="A1881" s="22" t="s">
        <v>2406</v>
      </c>
      <c r="B1881" s="4" t="s">
        <v>31</v>
      </c>
      <c r="C1881" s="3" t="s">
        <v>3548</v>
      </c>
      <c r="D1881" s="3" t="s">
        <v>3549</v>
      </c>
      <c r="E1881" s="29">
        <v>45971.0</v>
      </c>
      <c r="F1881" s="22" t="s">
        <v>27</v>
      </c>
      <c r="G1881" s="22" t="s">
        <v>129</v>
      </c>
      <c r="H1881" s="3" t="s">
        <v>3550</v>
      </c>
      <c r="I1881" s="3">
        <v>6.1402624423E10</v>
      </c>
      <c r="J1881" s="3" t="s">
        <v>3551</v>
      </c>
      <c r="K1881" s="43">
        <v>500.0</v>
      </c>
      <c r="M1881" s="26"/>
      <c r="O1881" s="19" t="str">
        <f t="shared" si="2"/>
        <v/>
      </c>
    </row>
    <row r="1882">
      <c r="A1882" s="22" t="s">
        <v>1320</v>
      </c>
      <c r="B1882" s="4" t="s">
        <v>45</v>
      </c>
      <c r="C1882" s="3" t="s">
        <v>1343</v>
      </c>
      <c r="D1882" s="3" t="s">
        <v>3552</v>
      </c>
      <c r="E1882" s="29">
        <v>45972.0</v>
      </c>
      <c r="F1882" s="22" t="s">
        <v>27</v>
      </c>
      <c r="G1882" s="22" t="s">
        <v>1453</v>
      </c>
      <c r="H1882" s="3" t="s">
        <v>3553</v>
      </c>
      <c r="I1882" s="3">
        <v>6.1405934596E10</v>
      </c>
      <c r="J1882" s="3" t="s">
        <v>3554</v>
      </c>
      <c r="K1882" s="43"/>
      <c r="M1882" s="26"/>
      <c r="O1882" s="19" t="str">
        <f t="shared" si="2"/>
        <v/>
      </c>
    </row>
    <row r="1883">
      <c r="A1883" s="22" t="s">
        <v>61</v>
      </c>
      <c r="B1883" s="4" t="s">
        <v>18</v>
      </c>
      <c r="C1883" s="3" t="s">
        <v>2894</v>
      </c>
      <c r="D1883" s="3" t="s">
        <v>3555</v>
      </c>
      <c r="E1883" s="29">
        <v>45972.0</v>
      </c>
      <c r="F1883" s="22" t="s">
        <v>27</v>
      </c>
      <c r="G1883" s="22" t="s">
        <v>1453</v>
      </c>
      <c r="H1883" s="3" t="s">
        <v>3556</v>
      </c>
      <c r="I1883" s="3">
        <v>61407011810</v>
      </c>
      <c r="J1883" s="3" t="s">
        <v>3557</v>
      </c>
      <c r="K1883" s="43"/>
      <c r="M1883" s="26"/>
      <c r="O1883" s="19" t="str">
        <f t="shared" si="2"/>
        <v/>
      </c>
    </row>
    <row r="1884">
      <c r="A1884" s="22" t="s">
        <v>291</v>
      </c>
      <c r="B1884" s="4" t="s">
        <v>31</v>
      </c>
      <c r="C1884" s="3" t="s">
        <v>3558</v>
      </c>
      <c r="D1884" s="3" t="s">
        <v>3559</v>
      </c>
      <c r="E1884" s="29">
        <v>45972.0</v>
      </c>
      <c r="F1884" s="22" t="s">
        <v>27</v>
      </c>
      <c r="G1884" s="22" t="s">
        <v>1453</v>
      </c>
      <c r="H1884" s="3" t="s">
        <v>3560</v>
      </c>
      <c r="I1884" s="3">
        <v>6.1413979238E10</v>
      </c>
      <c r="J1884" s="3" t="s">
        <v>3561</v>
      </c>
      <c r="K1884" s="43"/>
      <c r="M1884" s="26"/>
      <c r="O1884" s="19" t="str">
        <f t="shared" si="2"/>
        <v/>
      </c>
    </row>
    <row r="1885">
      <c r="A1885" s="22" t="s">
        <v>120</v>
      </c>
      <c r="B1885" s="4" t="s">
        <v>31</v>
      </c>
      <c r="C1885" s="3" t="s">
        <v>3562</v>
      </c>
      <c r="D1885" s="23" t="s">
        <v>3563</v>
      </c>
      <c r="E1885" s="29">
        <v>45972.0</v>
      </c>
      <c r="F1885" s="22">
        <v>6.0</v>
      </c>
      <c r="G1885" s="22" t="s">
        <v>92</v>
      </c>
      <c r="H1885" s="3" t="s">
        <v>3564</v>
      </c>
      <c r="I1885" s="3">
        <v>6.1412508979E10</v>
      </c>
      <c r="J1885" s="3" t="s">
        <v>3565</v>
      </c>
      <c r="K1885" s="3">
        <v>0.0</v>
      </c>
      <c r="M1885" s="26"/>
      <c r="O1885" s="19" t="str">
        <f t="shared" si="2"/>
        <v/>
      </c>
    </row>
    <row r="1886">
      <c r="A1886" s="22" t="s">
        <v>113</v>
      </c>
      <c r="B1886" s="4" t="s">
        <v>18</v>
      </c>
      <c r="C1886" s="3" t="s">
        <v>175</v>
      </c>
      <c r="D1886" s="23" t="s">
        <v>3566</v>
      </c>
      <c r="E1886" s="29">
        <v>45972.0</v>
      </c>
      <c r="F1886" s="22">
        <v>8.0</v>
      </c>
      <c r="G1886" s="22" t="s">
        <v>92</v>
      </c>
      <c r="H1886" s="3" t="s">
        <v>3567</v>
      </c>
      <c r="I1886" s="3">
        <v>6.1407892027E10</v>
      </c>
      <c r="J1886" s="3" t="s">
        <v>3568</v>
      </c>
      <c r="K1886" s="3">
        <v>0.0</v>
      </c>
      <c r="M1886" s="26"/>
      <c r="O1886" s="19" t="str">
        <f t="shared" si="2"/>
        <v/>
      </c>
    </row>
    <row r="1887">
      <c r="A1887" s="22" t="s">
        <v>3569</v>
      </c>
      <c r="B1887" s="4" t="s">
        <v>18</v>
      </c>
      <c r="C1887" s="3" t="s">
        <v>448</v>
      </c>
      <c r="D1887" s="23" t="s">
        <v>3570</v>
      </c>
      <c r="E1887" s="29">
        <v>45972.0</v>
      </c>
      <c r="F1887" s="22">
        <v>8.0</v>
      </c>
      <c r="G1887" s="22" t="s">
        <v>92</v>
      </c>
      <c r="H1887" s="3" t="s">
        <v>3571</v>
      </c>
      <c r="I1887" s="3">
        <v>6.1449807747E10</v>
      </c>
      <c r="J1887" s="3" t="s">
        <v>3572</v>
      </c>
      <c r="K1887" s="3">
        <v>0.0</v>
      </c>
      <c r="M1887" s="26"/>
      <c r="O1887" s="19" t="str">
        <f t="shared" si="2"/>
        <v/>
      </c>
    </row>
    <row r="1888">
      <c r="A1888" s="22" t="s">
        <v>44</v>
      </c>
      <c r="B1888" s="4" t="s">
        <v>45</v>
      </c>
      <c r="C1888" s="3" t="s">
        <v>72</v>
      </c>
      <c r="D1888" s="23" t="s">
        <v>3573</v>
      </c>
      <c r="E1888" s="29">
        <v>45972.0</v>
      </c>
      <c r="F1888" s="22">
        <v>8.0</v>
      </c>
      <c r="G1888" s="22" t="s">
        <v>92</v>
      </c>
      <c r="H1888" s="3" t="s">
        <v>3574</v>
      </c>
      <c r="I1888" s="3">
        <v>6.1415670852E10</v>
      </c>
      <c r="J1888" s="3" t="s">
        <v>3575</v>
      </c>
      <c r="K1888" s="3">
        <v>0.0</v>
      </c>
      <c r="M1888" s="26"/>
      <c r="O1888" s="19" t="str">
        <f t="shared" si="2"/>
        <v/>
      </c>
    </row>
    <row r="1889">
      <c r="A1889" s="22" t="s">
        <v>717</v>
      </c>
      <c r="B1889" s="4" t="s">
        <v>36</v>
      </c>
      <c r="C1889" s="3" t="s">
        <v>37</v>
      </c>
      <c r="D1889" s="3" t="s">
        <v>3576</v>
      </c>
      <c r="E1889" s="29">
        <v>45972.0</v>
      </c>
      <c r="F1889" s="22">
        <v>6.0</v>
      </c>
      <c r="G1889" s="22" t="s">
        <v>92</v>
      </c>
      <c r="H1889" s="3" t="s">
        <v>3577</v>
      </c>
      <c r="I1889" s="3">
        <v>6.1401872273E10</v>
      </c>
      <c r="J1889" s="3" t="s">
        <v>3578</v>
      </c>
      <c r="K1889" s="3">
        <v>0.0</v>
      </c>
      <c r="M1889" s="26"/>
      <c r="O1889" s="19" t="str">
        <f t="shared" si="2"/>
        <v/>
      </c>
    </row>
    <row r="1890">
      <c r="A1890" s="22" t="s">
        <v>244</v>
      </c>
      <c r="B1890" s="4" t="s">
        <v>18</v>
      </c>
      <c r="C1890" s="3" t="s">
        <v>315</v>
      </c>
      <c r="D1890" s="3" t="s">
        <v>3579</v>
      </c>
      <c r="E1890" s="29">
        <v>46002.0</v>
      </c>
      <c r="F1890" s="22" t="s">
        <v>27</v>
      </c>
      <c r="G1890" s="22" t="s">
        <v>1453</v>
      </c>
      <c r="H1890" s="3" t="s">
        <v>3580</v>
      </c>
      <c r="I1890" s="3">
        <v>6.1439774924E10</v>
      </c>
      <c r="J1890" s="3" t="s">
        <v>3581</v>
      </c>
      <c r="K1890" s="3">
        <v>500.0</v>
      </c>
      <c r="M1890" s="26"/>
      <c r="O1890" s="19" t="str">
        <f t="shared" si="2"/>
        <v/>
      </c>
    </row>
    <row r="1891">
      <c r="A1891" s="22" t="s">
        <v>108</v>
      </c>
      <c r="B1891" s="4" t="s">
        <v>109</v>
      </c>
      <c r="C1891" s="3" t="s">
        <v>3582</v>
      </c>
      <c r="D1891" s="3" t="s">
        <v>3583</v>
      </c>
      <c r="E1891" s="29">
        <v>45973.0</v>
      </c>
      <c r="F1891" s="22" t="s">
        <v>103</v>
      </c>
      <c r="G1891" s="22" t="s">
        <v>129</v>
      </c>
      <c r="H1891" s="3" t="s">
        <v>3584</v>
      </c>
      <c r="I1891" s="3">
        <v>6.1414596087E10</v>
      </c>
      <c r="J1891" s="3" t="s">
        <v>3585</v>
      </c>
      <c r="K1891" s="3">
        <v>0.0</v>
      </c>
      <c r="M1891" s="26"/>
      <c r="O1891" s="19" t="str">
        <f t="shared" si="2"/>
        <v/>
      </c>
    </row>
    <row r="1892">
      <c r="A1892" s="22" t="s">
        <v>3586</v>
      </c>
      <c r="B1892" s="4" t="s">
        <v>31</v>
      </c>
      <c r="C1892" s="3" t="s">
        <v>2756</v>
      </c>
      <c r="D1892" s="3" t="s">
        <v>3587</v>
      </c>
      <c r="E1892" s="29">
        <v>45973.0</v>
      </c>
      <c r="F1892" s="22" t="s">
        <v>27</v>
      </c>
      <c r="G1892" s="22" t="s">
        <v>129</v>
      </c>
      <c r="H1892" s="3" t="s">
        <v>3588</v>
      </c>
      <c r="I1892" s="3">
        <v>6.1466572167E10</v>
      </c>
      <c r="J1892" s="3" t="s">
        <v>3589</v>
      </c>
      <c r="K1892" s="43">
        <v>1500.0</v>
      </c>
      <c r="M1892" s="26"/>
      <c r="O1892" s="19" t="str">
        <f t="shared" si="2"/>
        <v/>
      </c>
    </row>
    <row r="1893">
      <c r="A1893" s="22" t="s">
        <v>744</v>
      </c>
      <c r="B1893" s="4" t="s">
        <v>18</v>
      </c>
      <c r="C1893" s="3" t="s">
        <v>2483</v>
      </c>
      <c r="D1893" s="22" t="s">
        <v>3590</v>
      </c>
      <c r="E1893" s="29">
        <v>45973.0</v>
      </c>
      <c r="F1893" s="22">
        <v>9.0</v>
      </c>
      <c r="G1893" s="22" t="s">
        <v>92</v>
      </c>
      <c r="H1893" s="3" t="s">
        <v>3591</v>
      </c>
      <c r="I1893" s="3">
        <v>6.140957755E10</v>
      </c>
      <c r="J1893" s="3" t="s">
        <v>3592</v>
      </c>
      <c r="K1893" s="3">
        <v>0.0</v>
      </c>
      <c r="M1893" s="26"/>
      <c r="O1893" s="19" t="str">
        <f t="shared" si="2"/>
        <v/>
      </c>
    </row>
    <row r="1894">
      <c r="A1894" s="22" t="s">
        <v>168</v>
      </c>
      <c r="B1894" s="4" t="s">
        <v>45</v>
      </c>
      <c r="C1894" s="3" t="s">
        <v>3593</v>
      </c>
      <c r="D1894" s="23" t="s">
        <v>3594</v>
      </c>
      <c r="E1894" s="29">
        <v>45973.0</v>
      </c>
      <c r="F1894" s="22">
        <v>8.0</v>
      </c>
      <c r="G1894" s="22" t="s">
        <v>92</v>
      </c>
      <c r="H1894" s="3" t="s">
        <v>3595</v>
      </c>
      <c r="I1894" s="3">
        <v>6.1407957597E10</v>
      </c>
      <c r="J1894" s="3" t="s">
        <v>3596</v>
      </c>
      <c r="K1894" s="3">
        <v>0.0</v>
      </c>
      <c r="M1894" s="26"/>
      <c r="O1894" s="19" t="str">
        <f t="shared" si="2"/>
        <v/>
      </c>
    </row>
    <row r="1895">
      <c r="A1895" s="22" t="s">
        <v>184</v>
      </c>
      <c r="B1895" s="4" t="s">
        <v>18</v>
      </c>
      <c r="C1895" s="3" t="s">
        <v>1845</v>
      </c>
      <c r="D1895" s="22" t="s">
        <v>3597</v>
      </c>
      <c r="E1895" s="29">
        <v>45973.0</v>
      </c>
      <c r="F1895" s="22">
        <v>9.0</v>
      </c>
      <c r="G1895" s="22" t="s">
        <v>92</v>
      </c>
      <c r="H1895" s="3" t="s">
        <v>3598</v>
      </c>
      <c r="I1895" s="3">
        <v>6.1404831231E10</v>
      </c>
      <c r="J1895" s="3" t="s">
        <v>3599</v>
      </c>
      <c r="K1895" s="3">
        <v>0.0</v>
      </c>
      <c r="M1895" s="26"/>
      <c r="O1895" s="19" t="str">
        <f t="shared" si="2"/>
        <v/>
      </c>
    </row>
    <row r="1896">
      <c r="A1896" s="22" t="s">
        <v>2266</v>
      </c>
      <c r="B1896" s="4" t="s">
        <v>18</v>
      </c>
      <c r="C1896" s="3" t="s">
        <v>228</v>
      </c>
      <c r="D1896" s="23" t="s">
        <v>3600</v>
      </c>
      <c r="E1896" s="29">
        <v>45973.0</v>
      </c>
      <c r="F1896" s="22">
        <v>8.0</v>
      </c>
      <c r="G1896" s="22" t="s">
        <v>92</v>
      </c>
      <c r="H1896" s="3" t="s">
        <v>3601</v>
      </c>
      <c r="I1896" s="3">
        <v>6.1450520871E10</v>
      </c>
      <c r="J1896" s="3" t="s">
        <v>3602</v>
      </c>
      <c r="K1896" s="3">
        <v>0.0</v>
      </c>
      <c r="M1896" s="26"/>
      <c r="O1896" s="19" t="str">
        <f t="shared" si="2"/>
        <v/>
      </c>
    </row>
    <row r="1897">
      <c r="A1897" s="22" t="s">
        <v>244</v>
      </c>
      <c r="B1897" s="4" t="s">
        <v>18</v>
      </c>
      <c r="C1897" s="3" t="s">
        <v>293</v>
      </c>
      <c r="D1897" s="23" t="s">
        <v>3603</v>
      </c>
      <c r="E1897" s="29">
        <v>45973.0</v>
      </c>
      <c r="F1897" s="22">
        <v>8.0</v>
      </c>
      <c r="G1897" s="22" t="s">
        <v>92</v>
      </c>
      <c r="H1897" s="3" t="s">
        <v>3604</v>
      </c>
      <c r="I1897" s="3">
        <v>6.1412507637E10</v>
      </c>
      <c r="J1897" s="3" t="s">
        <v>3605</v>
      </c>
      <c r="K1897" s="3">
        <v>0.0</v>
      </c>
      <c r="M1897" s="26"/>
      <c r="O1897" s="19" t="str">
        <f t="shared" si="2"/>
        <v/>
      </c>
    </row>
    <row r="1898">
      <c r="A1898" s="22" t="s">
        <v>1892</v>
      </c>
      <c r="B1898" s="4" t="s">
        <v>18</v>
      </c>
      <c r="C1898" s="3" t="s">
        <v>3606</v>
      </c>
      <c r="D1898" s="23" t="s">
        <v>3607</v>
      </c>
      <c r="E1898" s="29">
        <v>45973.0</v>
      </c>
      <c r="F1898" s="22">
        <v>8.0</v>
      </c>
      <c r="G1898" s="22" t="s">
        <v>92</v>
      </c>
      <c r="H1898" s="3" t="s">
        <v>3608</v>
      </c>
      <c r="I1898" s="3">
        <v>6.1411809987E10</v>
      </c>
      <c r="J1898" s="3" t="s">
        <v>3609</v>
      </c>
      <c r="K1898" s="3">
        <v>0.0</v>
      </c>
      <c r="M1898" s="26"/>
      <c r="O1898" s="19" t="str">
        <f t="shared" si="2"/>
        <v/>
      </c>
    </row>
    <row r="1899">
      <c r="A1899" s="22" t="s">
        <v>3436</v>
      </c>
      <c r="B1899" s="4" t="s">
        <v>18</v>
      </c>
      <c r="C1899" s="3" t="s">
        <v>3610</v>
      </c>
      <c r="D1899" s="23" t="s">
        <v>3611</v>
      </c>
      <c r="E1899" s="29">
        <v>45973.0</v>
      </c>
      <c r="F1899" s="22">
        <v>8.0</v>
      </c>
      <c r="G1899" s="22" t="s">
        <v>92</v>
      </c>
      <c r="H1899" s="3" t="s">
        <v>3612</v>
      </c>
      <c r="I1899" s="3">
        <v>6.1439788186E10</v>
      </c>
      <c r="J1899" s="3" t="s">
        <v>3613</v>
      </c>
      <c r="K1899" s="3">
        <v>0.0</v>
      </c>
      <c r="M1899" s="26"/>
      <c r="O1899" s="19" t="str">
        <f t="shared" si="2"/>
        <v/>
      </c>
    </row>
    <row r="1900">
      <c r="A1900" s="22" t="s">
        <v>3436</v>
      </c>
      <c r="B1900" s="4" t="s">
        <v>18</v>
      </c>
      <c r="C1900" s="3" t="s">
        <v>3614</v>
      </c>
      <c r="D1900" s="23" t="s">
        <v>3615</v>
      </c>
      <c r="E1900" s="29">
        <v>45973.0</v>
      </c>
      <c r="F1900" s="22">
        <v>8.0</v>
      </c>
      <c r="G1900" s="22" t="s">
        <v>92</v>
      </c>
      <c r="H1900" s="3" t="s">
        <v>3616</v>
      </c>
      <c r="I1900" s="3">
        <v>6.1415384916E10</v>
      </c>
      <c r="J1900" s="3" t="s">
        <v>3617</v>
      </c>
      <c r="K1900" s="3">
        <v>0.0</v>
      </c>
      <c r="M1900" s="26"/>
      <c r="O1900" s="19" t="str">
        <f t="shared" si="2"/>
        <v/>
      </c>
    </row>
    <row r="1901">
      <c r="A1901" s="22" t="s">
        <v>107</v>
      </c>
      <c r="B1901" s="4" t="s">
        <v>18</v>
      </c>
      <c r="C1901" s="3" t="s">
        <v>461</v>
      </c>
      <c r="D1901" s="3" t="s">
        <v>3618</v>
      </c>
      <c r="E1901" s="29">
        <v>46002.0</v>
      </c>
      <c r="F1901" s="22" t="s">
        <v>27</v>
      </c>
      <c r="G1901" s="22" t="s">
        <v>1453</v>
      </c>
      <c r="H1901" s="3" t="s">
        <v>3619</v>
      </c>
      <c r="I1901" s="3">
        <v>6.147826853E10</v>
      </c>
      <c r="J1901" s="3" t="s">
        <v>3620</v>
      </c>
      <c r="K1901" s="43">
        <v>500.0</v>
      </c>
      <c r="M1901" s="26"/>
      <c r="O1901" s="19" t="str">
        <f t="shared" si="2"/>
        <v/>
      </c>
    </row>
    <row r="1902">
      <c r="A1902" s="22" t="s">
        <v>2262</v>
      </c>
      <c r="B1902" s="4" t="s">
        <v>18</v>
      </c>
      <c r="C1902" s="3" t="s">
        <v>2740</v>
      </c>
      <c r="D1902" s="3" t="s">
        <v>3621</v>
      </c>
      <c r="E1902" s="29">
        <v>46002.0</v>
      </c>
      <c r="F1902" s="22" t="s">
        <v>27</v>
      </c>
      <c r="G1902" s="22" t="s">
        <v>1453</v>
      </c>
      <c r="H1902" s="3" t="s">
        <v>3622</v>
      </c>
      <c r="I1902" s="3">
        <v>61430118538</v>
      </c>
      <c r="J1902" s="3" t="s">
        <v>3623</v>
      </c>
      <c r="K1902" s="43"/>
      <c r="M1902" s="26"/>
      <c r="O1902" s="19" t="str">
        <f t="shared" si="2"/>
        <v/>
      </c>
    </row>
    <row r="1903">
      <c r="A1903" s="22" t="s">
        <v>3436</v>
      </c>
      <c r="B1903" s="4" t="s">
        <v>18</v>
      </c>
      <c r="C1903" s="3" t="s">
        <v>550</v>
      </c>
      <c r="D1903" s="3" t="s">
        <v>3624</v>
      </c>
      <c r="E1903" s="29">
        <v>46002.0</v>
      </c>
      <c r="F1903" s="22" t="s">
        <v>27</v>
      </c>
      <c r="G1903" s="22" t="s">
        <v>1453</v>
      </c>
      <c r="H1903" s="3" t="s">
        <v>3625</v>
      </c>
      <c r="I1903" s="3">
        <v>61459991902</v>
      </c>
      <c r="J1903" s="3" t="s">
        <v>3626</v>
      </c>
      <c r="K1903" s="43">
        <v>2000.0</v>
      </c>
      <c r="M1903" s="26"/>
      <c r="O1903" s="19" t="str">
        <f t="shared" si="2"/>
        <v/>
      </c>
    </row>
    <row r="1904">
      <c r="A1904" s="22" t="s">
        <v>77</v>
      </c>
      <c r="B1904" s="4" t="s">
        <v>18</v>
      </c>
      <c r="C1904" s="3" t="s">
        <v>3627</v>
      </c>
      <c r="D1904" s="3" t="s">
        <v>3628</v>
      </c>
      <c r="E1904" s="29">
        <v>46002.0</v>
      </c>
      <c r="F1904" s="22" t="s">
        <v>27</v>
      </c>
      <c r="G1904" s="22" t="s">
        <v>1453</v>
      </c>
      <c r="H1904" s="3" t="s">
        <v>3629</v>
      </c>
      <c r="I1904" s="3">
        <v>61412608971</v>
      </c>
      <c r="J1904" s="3" t="s">
        <v>3630</v>
      </c>
      <c r="K1904" s="43">
        <v>500.0</v>
      </c>
      <c r="M1904" s="26"/>
      <c r="O1904" s="19" t="str">
        <f t="shared" si="2"/>
        <v/>
      </c>
    </row>
    <row r="1905">
      <c r="A1905" s="22" t="s">
        <v>1320</v>
      </c>
      <c r="B1905" s="4" t="s">
        <v>45</v>
      </c>
      <c r="C1905" s="3" t="s">
        <v>1334</v>
      </c>
      <c r="D1905" s="3" t="s">
        <v>3631</v>
      </c>
      <c r="E1905" s="29">
        <v>46002.0</v>
      </c>
      <c r="F1905" s="22" t="s">
        <v>27</v>
      </c>
      <c r="G1905" s="22" t="s">
        <v>1453</v>
      </c>
      <c r="H1905" s="3" t="s">
        <v>1767</v>
      </c>
      <c r="I1905" s="3">
        <v>61412094476</v>
      </c>
      <c r="J1905" s="3" t="s">
        <v>3632</v>
      </c>
      <c r="K1905" s="43"/>
      <c r="M1905" s="26"/>
      <c r="O1905" s="19" t="str">
        <f t="shared" si="2"/>
        <v/>
      </c>
    </row>
    <row r="1906">
      <c r="A1906" s="22" t="s">
        <v>3586</v>
      </c>
      <c r="B1906" s="4" t="s">
        <v>31</v>
      </c>
      <c r="C1906" s="3" t="s">
        <v>2756</v>
      </c>
      <c r="D1906" s="3" t="s">
        <v>3633</v>
      </c>
      <c r="E1906" s="29">
        <v>46002.0</v>
      </c>
      <c r="F1906" s="22" t="s">
        <v>27</v>
      </c>
      <c r="G1906" s="22" t="s">
        <v>1453</v>
      </c>
      <c r="H1906" s="3" t="s">
        <v>3634</v>
      </c>
      <c r="I1906" s="3">
        <v>61418611987</v>
      </c>
      <c r="J1906" s="3" t="s">
        <v>3635</v>
      </c>
      <c r="K1906" s="43">
        <v>1500.0</v>
      </c>
      <c r="M1906" s="26"/>
      <c r="O1906" s="19" t="str">
        <f t="shared" si="2"/>
        <v/>
      </c>
    </row>
    <row r="1907">
      <c r="A1907" s="22" t="s">
        <v>232</v>
      </c>
      <c r="B1907" s="4" t="s">
        <v>18</v>
      </c>
      <c r="C1907" s="3" t="s">
        <v>3636</v>
      </c>
      <c r="D1907" s="3" t="s">
        <v>3637</v>
      </c>
      <c r="E1907" s="29" t="s">
        <v>3638</v>
      </c>
      <c r="F1907" s="22" t="s">
        <v>27</v>
      </c>
      <c r="G1907" s="22" t="s">
        <v>1453</v>
      </c>
      <c r="H1907" s="3" t="s">
        <v>3639</v>
      </c>
      <c r="I1907" s="3">
        <v>6.1418713289E10</v>
      </c>
      <c r="J1907" s="3" t="s">
        <v>3640</v>
      </c>
      <c r="K1907" s="43"/>
      <c r="M1907" s="26"/>
      <c r="O1907" s="19" t="str">
        <f t="shared" si="2"/>
        <v/>
      </c>
    </row>
    <row r="1908">
      <c r="A1908" s="22" t="s">
        <v>1973</v>
      </c>
      <c r="B1908" s="4" t="s">
        <v>31</v>
      </c>
      <c r="C1908" s="3" t="s">
        <v>3641</v>
      </c>
      <c r="D1908" s="23" t="s">
        <v>3642</v>
      </c>
      <c r="E1908" s="29">
        <v>45974.0</v>
      </c>
      <c r="F1908" s="22">
        <v>8.0</v>
      </c>
      <c r="G1908" s="22" t="s">
        <v>92</v>
      </c>
      <c r="H1908" s="3" t="s">
        <v>3643</v>
      </c>
      <c r="I1908" s="3">
        <v>6.1448704887E10</v>
      </c>
      <c r="J1908" s="3" t="s">
        <v>3644</v>
      </c>
      <c r="K1908" s="3">
        <v>0.0</v>
      </c>
      <c r="M1908" s="26"/>
      <c r="O1908" s="19" t="str">
        <f t="shared" si="2"/>
        <v/>
      </c>
    </row>
    <row r="1909">
      <c r="A1909" s="22" t="s">
        <v>246</v>
      </c>
      <c r="B1909" s="4" t="s">
        <v>36</v>
      </c>
      <c r="C1909" s="3" t="s">
        <v>3645</v>
      </c>
      <c r="D1909" s="23" t="s">
        <v>3646</v>
      </c>
      <c r="E1909" s="29">
        <v>45974.0</v>
      </c>
      <c r="F1909" s="22">
        <v>6.0</v>
      </c>
      <c r="G1909" s="22" t="s">
        <v>92</v>
      </c>
      <c r="H1909" s="3" t="s">
        <v>2728</v>
      </c>
      <c r="I1909" s="3">
        <v>6.1412864832E10</v>
      </c>
      <c r="J1909" s="3" t="s">
        <v>3647</v>
      </c>
      <c r="K1909" s="3">
        <v>0.0</v>
      </c>
      <c r="M1909" s="26"/>
      <c r="O1909" s="19" t="str">
        <f t="shared" si="2"/>
        <v/>
      </c>
    </row>
    <row r="1910">
      <c r="A1910" s="22" t="s">
        <v>291</v>
      </c>
      <c r="B1910" s="4" t="s">
        <v>31</v>
      </c>
      <c r="C1910" s="3" t="s">
        <v>3648</v>
      </c>
      <c r="D1910" s="23" t="s">
        <v>3649</v>
      </c>
      <c r="E1910" s="29">
        <v>45974.0</v>
      </c>
      <c r="F1910" s="22">
        <v>8.0</v>
      </c>
      <c r="G1910" s="22" t="s">
        <v>92</v>
      </c>
      <c r="H1910" s="3" t="s">
        <v>3650</v>
      </c>
      <c r="I1910" s="3">
        <v>6.1407461591E10</v>
      </c>
      <c r="J1910" s="3" t="s">
        <v>3651</v>
      </c>
      <c r="K1910" s="3">
        <v>0.0</v>
      </c>
      <c r="M1910" s="26"/>
      <c r="O1910" s="19" t="str">
        <f t="shared" si="2"/>
        <v/>
      </c>
    </row>
    <row r="1911">
      <c r="A1911" s="22" t="s">
        <v>2406</v>
      </c>
      <c r="B1911" s="4" t="s">
        <v>31</v>
      </c>
      <c r="C1911" s="3" t="s">
        <v>3652</v>
      </c>
      <c r="D1911" s="23" t="s">
        <v>3653</v>
      </c>
      <c r="E1911" s="29">
        <v>45974.0</v>
      </c>
      <c r="F1911" s="22">
        <v>8.0</v>
      </c>
      <c r="G1911" s="22" t="s">
        <v>92</v>
      </c>
      <c r="H1911" s="3" t="s">
        <v>3654</v>
      </c>
      <c r="I1911" s="3">
        <v>6.1431634535E10</v>
      </c>
      <c r="J1911" s="3" t="s">
        <v>3655</v>
      </c>
      <c r="K1911" s="3">
        <v>0.0</v>
      </c>
      <c r="M1911" s="26"/>
      <c r="O1911" s="19" t="str">
        <f t="shared" si="2"/>
        <v/>
      </c>
    </row>
    <row r="1912">
      <c r="A1912" s="22" t="s">
        <v>23</v>
      </c>
      <c r="B1912" s="4" t="s">
        <v>18</v>
      </c>
      <c r="C1912" s="3" t="s">
        <v>24</v>
      </c>
      <c r="D1912" s="23" t="s">
        <v>3656</v>
      </c>
      <c r="E1912" s="29">
        <v>45974.0</v>
      </c>
      <c r="F1912" s="22">
        <v>6.0</v>
      </c>
      <c r="G1912" s="22" t="s">
        <v>92</v>
      </c>
      <c r="H1912" s="3" t="s">
        <v>3657</v>
      </c>
      <c r="I1912" s="3">
        <v>6.1448405556E10</v>
      </c>
      <c r="J1912" s="3" t="s">
        <v>3658</v>
      </c>
      <c r="K1912" s="3">
        <v>0.0</v>
      </c>
      <c r="M1912" s="26"/>
      <c r="O1912" s="19" t="str">
        <f t="shared" si="2"/>
        <v/>
      </c>
    </row>
    <row r="1913">
      <c r="A1913" s="22" t="s">
        <v>510</v>
      </c>
      <c r="B1913" s="4" t="s">
        <v>18</v>
      </c>
      <c r="C1913" s="3" t="s">
        <v>3659</v>
      </c>
      <c r="D1913" s="23" t="s">
        <v>3660</v>
      </c>
      <c r="E1913" s="29">
        <v>45974.0</v>
      </c>
      <c r="F1913" s="22">
        <v>8.0</v>
      </c>
      <c r="G1913" s="22" t="s">
        <v>92</v>
      </c>
      <c r="H1913" s="3" t="s">
        <v>3661</v>
      </c>
      <c r="I1913" s="3">
        <v>6.1488088787E10</v>
      </c>
      <c r="J1913" s="3" t="s">
        <v>3662</v>
      </c>
      <c r="K1913" s="3">
        <v>0.0</v>
      </c>
      <c r="M1913" s="26"/>
      <c r="O1913" s="19" t="str">
        <f t="shared" si="2"/>
        <v/>
      </c>
    </row>
    <row r="1914">
      <c r="A1914" s="22" t="s">
        <v>472</v>
      </c>
      <c r="B1914" s="4" t="s">
        <v>18</v>
      </c>
      <c r="C1914" s="3" t="s">
        <v>753</v>
      </c>
      <c r="D1914" s="23" t="s">
        <v>3663</v>
      </c>
      <c r="E1914" s="29">
        <v>45974.0</v>
      </c>
      <c r="F1914" s="22">
        <v>9.0</v>
      </c>
      <c r="G1914" s="22" t="s">
        <v>92</v>
      </c>
      <c r="H1914" s="3" t="s">
        <v>3664</v>
      </c>
      <c r="I1914" s="3">
        <v>6.14073039E10</v>
      </c>
      <c r="J1914" s="3" t="s">
        <v>3665</v>
      </c>
      <c r="K1914" s="3">
        <v>0.0</v>
      </c>
      <c r="M1914" s="26"/>
      <c r="O1914" s="19" t="str">
        <f t="shared" si="2"/>
        <v/>
      </c>
    </row>
    <row r="1915">
      <c r="A1915" s="22" t="s">
        <v>1055</v>
      </c>
      <c r="B1915" s="4" t="s">
        <v>31</v>
      </c>
      <c r="C1915" s="3" t="s">
        <v>2838</v>
      </c>
      <c r="D1915" s="23"/>
      <c r="E1915" s="29">
        <v>45974.0</v>
      </c>
      <c r="F1915" s="22">
        <v>5.0</v>
      </c>
      <c r="G1915" s="22" t="s">
        <v>92</v>
      </c>
      <c r="H1915" s="3" t="s">
        <v>3666</v>
      </c>
      <c r="I1915" s="3">
        <v>6.1414557559E10</v>
      </c>
      <c r="J1915" s="3" t="s">
        <v>3667</v>
      </c>
      <c r="K1915" s="3">
        <v>0.0</v>
      </c>
      <c r="M1915" s="26"/>
      <c r="O1915" s="19" t="str">
        <f t="shared" si="2"/>
        <v/>
      </c>
    </row>
    <row r="1916">
      <c r="A1916" s="22" t="s">
        <v>2406</v>
      </c>
      <c r="B1916" s="4" t="s">
        <v>31</v>
      </c>
      <c r="C1916" s="3" t="s">
        <v>3668</v>
      </c>
      <c r="D1916" s="23" t="s">
        <v>3669</v>
      </c>
      <c r="E1916" s="29">
        <v>45974.0</v>
      </c>
      <c r="F1916" s="22">
        <v>6.0</v>
      </c>
      <c r="G1916" s="22" t="s">
        <v>92</v>
      </c>
      <c r="H1916" s="3" t="s">
        <v>3670</v>
      </c>
      <c r="I1916" s="3">
        <v>6.141256251E10</v>
      </c>
      <c r="J1916" s="3" t="s">
        <v>3671</v>
      </c>
      <c r="K1916" s="3">
        <v>0.0</v>
      </c>
      <c r="M1916" s="26"/>
      <c r="O1916" s="19" t="str">
        <f t="shared" si="2"/>
        <v/>
      </c>
    </row>
    <row r="1917">
      <c r="A1917" s="22" t="s">
        <v>1055</v>
      </c>
      <c r="B1917" s="4" t="s">
        <v>31</v>
      </c>
      <c r="C1917" s="3" t="s">
        <v>2838</v>
      </c>
      <c r="D1917" s="23" t="s">
        <v>3672</v>
      </c>
      <c r="E1917" s="29">
        <v>45974.0</v>
      </c>
      <c r="F1917" s="22">
        <v>8.0</v>
      </c>
      <c r="G1917" s="22" t="s">
        <v>92</v>
      </c>
      <c r="H1917" s="3" t="s">
        <v>3673</v>
      </c>
      <c r="I1917" s="3">
        <v>6.1422241426E10</v>
      </c>
      <c r="J1917" s="3" t="s">
        <v>3674</v>
      </c>
      <c r="K1917" s="3">
        <v>0.0</v>
      </c>
      <c r="M1917" s="26"/>
      <c r="O1917" s="19" t="str">
        <f t="shared" si="2"/>
        <v/>
      </c>
    </row>
    <row r="1918">
      <c r="A1918" s="22" t="s">
        <v>3189</v>
      </c>
      <c r="B1918" s="4" t="s">
        <v>18</v>
      </c>
      <c r="C1918" s="3" t="s">
        <v>2376</v>
      </c>
      <c r="D1918" s="23" t="s">
        <v>3675</v>
      </c>
      <c r="E1918" s="29">
        <v>45974.0</v>
      </c>
      <c r="F1918" s="22" t="s">
        <v>22</v>
      </c>
      <c r="G1918" s="22" t="s">
        <v>92</v>
      </c>
      <c r="H1918" s="3" t="s">
        <v>3676</v>
      </c>
      <c r="I1918" s="3">
        <v>6.1417969337E10</v>
      </c>
      <c r="J1918" s="3" t="s">
        <v>3677</v>
      </c>
      <c r="K1918" s="3">
        <v>0.0</v>
      </c>
      <c r="M1918" s="26"/>
      <c r="O1918" s="19" t="str">
        <f t="shared" si="2"/>
        <v/>
      </c>
    </row>
    <row r="1919">
      <c r="A1919" s="22" t="s">
        <v>3569</v>
      </c>
      <c r="B1919" s="4" t="s">
        <v>18</v>
      </c>
      <c r="C1919" s="3" t="s">
        <v>1052</v>
      </c>
      <c r="D1919" s="23" t="s">
        <v>3678</v>
      </c>
      <c r="E1919" s="29">
        <v>45974.0</v>
      </c>
      <c r="F1919" s="22">
        <v>6.0</v>
      </c>
      <c r="G1919" s="22" t="s">
        <v>92</v>
      </c>
      <c r="H1919" s="3" t="s">
        <v>3679</v>
      </c>
      <c r="I1919" s="3">
        <v>6.1427774677E10</v>
      </c>
      <c r="J1919" s="3" t="s">
        <v>3680</v>
      </c>
      <c r="K1919" s="3">
        <v>0.0</v>
      </c>
      <c r="M1919" s="26"/>
      <c r="O1919" s="19" t="str">
        <f t="shared" si="2"/>
        <v/>
      </c>
    </row>
    <row r="1920">
      <c r="A1920" s="22" t="s">
        <v>3586</v>
      </c>
      <c r="B1920" s="4" t="s">
        <v>31</v>
      </c>
      <c r="C1920" s="3" t="s">
        <v>3681</v>
      </c>
      <c r="D1920" s="23" t="s">
        <v>3682</v>
      </c>
      <c r="E1920" s="29">
        <v>45974.0</v>
      </c>
      <c r="F1920" s="22">
        <v>8.0</v>
      </c>
      <c r="G1920" s="22" t="s">
        <v>92</v>
      </c>
      <c r="H1920" s="3" t="s">
        <v>3683</v>
      </c>
      <c r="I1920" s="3">
        <v>6.1491942991E10</v>
      </c>
      <c r="J1920" s="3" t="s">
        <v>3684</v>
      </c>
      <c r="K1920" s="3">
        <v>0.0</v>
      </c>
      <c r="M1920" s="26"/>
      <c r="O1920" s="19" t="str">
        <f t="shared" si="2"/>
        <v/>
      </c>
    </row>
    <row r="1921">
      <c r="A1921" s="22" t="s">
        <v>2262</v>
      </c>
      <c r="B1921" s="4" t="s">
        <v>18</v>
      </c>
      <c r="C1921" s="3" t="s">
        <v>3685</v>
      </c>
      <c r="D1921" s="23" t="s">
        <v>3686</v>
      </c>
      <c r="E1921" s="29">
        <v>45974.0</v>
      </c>
      <c r="F1921" s="22">
        <v>8.0</v>
      </c>
      <c r="G1921" s="22" t="s">
        <v>92</v>
      </c>
      <c r="H1921" s="3" t="s">
        <v>3687</v>
      </c>
      <c r="I1921" s="3">
        <v>6.1416299592E10</v>
      </c>
      <c r="J1921" s="3" t="s">
        <v>3688</v>
      </c>
      <c r="K1921" s="3">
        <v>0.0</v>
      </c>
      <c r="M1921" s="26"/>
      <c r="O1921" s="19" t="str">
        <f t="shared" si="2"/>
        <v/>
      </c>
    </row>
    <row r="1922">
      <c r="A1922" s="22" t="s">
        <v>1660</v>
      </c>
      <c r="B1922" s="4" t="s">
        <v>36</v>
      </c>
      <c r="C1922" s="3" t="s">
        <v>3689</v>
      </c>
      <c r="D1922" s="23" t="s">
        <v>3690</v>
      </c>
      <c r="E1922" s="29">
        <v>45974.0</v>
      </c>
      <c r="F1922" s="22">
        <v>8.0</v>
      </c>
      <c r="G1922" s="22" t="s">
        <v>92</v>
      </c>
      <c r="H1922" s="3" t="s">
        <v>3691</v>
      </c>
      <c r="I1922" s="3">
        <v>6.1418992415E10</v>
      </c>
      <c r="J1922" s="3" t="s">
        <v>3692</v>
      </c>
      <c r="K1922" s="3">
        <v>0.0</v>
      </c>
      <c r="M1922" s="26"/>
      <c r="O1922" s="19" t="str">
        <f t="shared" si="2"/>
        <v/>
      </c>
    </row>
    <row r="1923">
      <c r="A1923" s="22" t="s">
        <v>113</v>
      </c>
      <c r="B1923" s="4" t="s">
        <v>18</v>
      </c>
      <c r="C1923" s="3" t="s">
        <v>379</v>
      </c>
      <c r="D1923" s="23"/>
      <c r="E1923" s="29">
        <v>45974.0</v>
      </c>
      <c r="F1923" s="22">
        <v>5.0</v>
      </c>
      <c r="G1923" s="22" t="s">
        <v>92</v>
      </c>
      <c r="H1923" s="3" t="s">
        <v>3693</v>
      </c>
      <c r="I1923" s="3">
        <v>6.141166972E10</v>
      </c>
      <c r="J1923" s="3" t="s">
        <v>3694</v>
      </c>
      <c r="K1923" s="3">
        <v>0.0</v>
      </c>
      <c r="M1923" s="26"/>
      <c r="O1923" s="19" t="str">
        <f t="shared" si="2"/>
        <v/>
      </c>
    </row>
    <row r="1924">
      <c r="A1924" s="22" t="s">
        <v>2494</v>
      </c>
      <c r="B1924" s="4" t="s">
        <v>18</v>
      </c>
      <c r="C1924" s="3" t="s">
        <v>689</v>
      </c>
      <c r="D1924" s="23"/>
      <c r="E1924" s="29">
        <v>45974.0</v>
      </c>
      <c r="F1924" s="22">
        <v>5.0</v>
      </c>
      <c r="G1924" s="22" t="s">
        <v>92</v>
      </c>
      <c r="H1924" s="3" t="s">
        <v>3695</v>
      </c>
      <c r="I1924" s="3">
        <v>6.1439746396E10</v>
      </c>
      <c r="J1924" s="3" t="s">
        <v>3696</v>
      </c>
      <c r="K1924" s="3">
        <v>0.0</v>
      </c>
      <c r="M1924" s="26"/>
      <c r="O1924" s="19" t="str">
        <f t="shared" si="2"/>
        <v/>
      </c>
    </row>
    <row r="1925">
      <c r="A1925" s="22" t="s">
        <v>77</v>
      </c>
      <c r="B1925" s="4" t="s">
        <v>18</v>
      </c>
      <c r="C1925" s="3" t="s">
        <v>78</v>
      </c>
      <c r="D1925" s="23"/>
      <c r="E1925" s="29">
        <v>45974.0</v>
      </c>
      <c r="F1925" s="22">
        <v>5.0</v>
      </c>
      <c r="G1925" s="22" t="s">
        <v>92</v>
      </c>
      <c r="H1925" s="3" t="s">
        <v>3697</v>
      </c>
      <c r="I1925" s="3">
        <v>6.140777088E10</v>
      </c>
      <c r="J1925" s="3" t="s">
        <v>3698</v>
      </c>
      <c r="K1925" s="3">
        <v>0.0</v>
      </c>
      <c r="M1925" s="26"/>
      <c r="O1925" s="19" t="str">
        <f t="shared" si="2"/>
        <v/>
      </c>
    </row>
    <row r="1926">
      <c r="A1926" s="22" t="s">
        <v>3436</v>
      </c>
      <c r="B1926" s="4" t="s">
        <v>18</v>
      </c>
      <c r="C1926" s="3" t="s">
        <v>550</v>
      </c>
      <c r="D1926" s="3" t="s">
        <v>3699</v>
      </c>
      <c r="E1926" s="29" t="s">
        <v>3700</v>
      </c>
      <c r="F1926" s="22" t="s">
        <v>103</v>
      </c>
      <c r="G1926" s="22" t="s">
        <v>129</v>
      </c>
      <c r="H1926" s="3" t="s">
        <v>3701</v>
      </c>
      <c r="I1926" s="3">
        <v>61477312706</v>
      </c>
      <c r="J1926" s="3" t="s">
        <v>3702</v>
      </c>
      <c r="K1926" s="43">
        <v>1500.0</v>
      </c>
      <c r="M1926" s="26"/>
      <c r="O1926" s="19" t="str">
        <f t="shared" si="2"/>
        <v/>
      </c>
    </row>
    <row r="1927">
      <c r="A1927" s="22" t="s">
        <v>3436</v>
      </c>
      <c r="B1927" s="4" t="s">
        <v>18</v>
      </c>
      <c r="C1927" s="3" t="s">
        <v>550</v>
      </c>
      <c r="D1927" s="3" t="s">
        <v>3699</v>
      </c>
      <c r="E1927" s="29" t="s">
        <v>3700</v>
      </c>
      <c r="F1927" s="22" t="s">
        <v>103</v>
      </c>
      <c r="G1927" s="22" t="s">
        <v>129</v>
      </c>
      <c r="H1927" s="3" t="s">
        <v>3701</v>
      </c>
      <c r="I1927" s="3">
        <v>61477312706</v>
      </c>
      <c r="J1927" s="3" t="s">
        <v>3702</v>
      </c>
      <c r="K1927" s="43">
        <v>1500.0</v>
      </c>
      <c r="M1927" s="26"/>
      <c r="O1927" s="19" t="str">
        <f t="shared" si="2"/>
        <v/>
      </c>
    </row>
    <row r="1928">
      <c r="A1928" s="3" t="s">
        <v>669</v>
      </c>
      <c r="B1928" s="4" t="s">
        <v>31</v>
      </c>
      <c r="C1928" s="23" t="s">
        <v>3703</v>
      </c>
      <c r="D1928" s="23" t="s">
        <v>3704</v>
      </c>
      <c r="E1928" s="29" t="s">
        <v>3700</v>
      </c>
      <c r="F1928" s="3">
        <v>5.0</v>
      </c>
      <c r="G1928" s="3" t="s">
        <v>92</v>
      </c>
      <c r="H1928" s="23" t="s">
        <v>3705</v>
      </c>
      <c r="I1928" s="44">
        <v>6.141929353E10</v>
      </c>
      <c r="J1928" s="23" t="s">
        <v>3706</v>
      </c>
      <c r="K1928" s="3">
        <v>0.0</v>
      </c>
      <c r="M1928" s="26"/>
      <c r="O1928" s="19" t="str">
        <f t="shared" si="2"/>
        <v/>
      </c>
    </row>
    <row r="1929">
      <c r="A1929" s="3" t="s">
        <v>2266</v>
      </c>
      <c r="B1929" s="4" t="s">
        <v>18</v>
      </c>
      <c r="C1929" s="22" t="s">
        <v>3707</v>
      </c>
      <c r="D1929" s="23" t="s">
        <v>3708</v>
      </c>
      <c r="E1929" s="29">
        <v>45974.0</v>
      </c>
      <c r="F1929" s="3">
        <v>8.0</v>
      </c>
      <c r="G1929" s="3" t="s">
        <v>92</v>
      </c>
      <c r="H1929" s="22" t="s">
        <v>3709</v>
      </c>
      <c r="I1929" s="45">
        <v>6.1407312102E10</v>
      </c>
      <c r="J1929" s="22" t="s">
        <v>3710</v>
      </c>
      <c r="K1929" s="3">
        <v>0.0</v>
      </c>
      <c r="M1929" s="26"/>
      <c r="O1929" s="19" t="str">
        <f t="shared" si="2"/>
        <v/>
      </c>
    </row>
    <row r="1930">
      <c r="A1930" s="3" t="s">
        <v>2262</v>
      </c>
      <c r="B1930" s="4" t="s">
        <v>18</v>
      </c>
      <c r="C1930" s="22" t="s">
        <v>484</v>
      </c>
      <c r="D1930" s="23" t="s">
        <v>3711</v>
      </c>
      <c r="E1930" s="29">
        <v>45974.0</v>
      </c>
      <c r="F1930" s="3">
        <v>8.0</v>
      </c>
      <c r="G1930" s="3" t="s">
        <v>92</v>
      </c>
      <c r="H1930" s="22" t="s">
        <v>3712</v>
      </c>
      <c r="I1930" s="45">
        <v>6.1422011806E10</v>
      </c>
      <c r="J1930" s="22" t="s">
        <v>3713</v>
      </c>
      <c r="K1930" s="3">
        <v>0.0</v>
      </c>
      <c r="M1930" s="26"/>
      <c r="O1930" s="19" t="str">
        <f t="shared" si="2"/>
        <v/>
      </c>
    </row>
    <row r="1931">
      <c r="A1931" s="3" t="s">
        <v>1055</v>
      </c>
      <c r="B1931" s="4" t="s">
        <v>31</v>
      </c>
      <c r="C1931" s="22" t="s">
        <v>3714</v>
      </c>
      <c r="D1931" s="23" t="s">
        <v>3715</v>
      </c>
      <c r="E1931" s="29">
        <v>45974.0</v>
      </c>
      <c r="F1931" s="3">
        <v>8.0</v>
      </c>
      <c r="G1931" s="3" t="s">
        <v>92</v>
      </c>
      <c r="H1931" s="22" t="s">
        <v>3716</v>
      </c>
      <c r="I1931" s="45">
        <v>6.141455519E10</v>
      </c>
      <c r="J1931" s="22" t="s">
        <v>3717</v>
      </c>
      <c r="K1931" s="3">
        <v>0.0</v>
      </c>
      <c r="M1931" s="26"/>
      <c r="O1931" s="19" t="str">
        <f t="shared" si="2"/>
        <v/>
      </c>
    </row>
    <row r="1932">
      <c r="A1932" s="3" t="s">
        <v>2262</v>
      </c>
      <c r="B1932" s="4" t="s">
        <v>18</v>
      </c>
      <c r="C1932" s="22" t="s">
        <v>566</v>
      </c>
      <c r="D1932" s="23" t="s">
        <v>3718</v>
      </c>
      <c r="E1932" s="29">
        <v>45974.0</v>
      </c>
      <c r="F1932" s="3">
        <v>8.0</v>
      </c>
      <c r="G1932" s="3" t="s">
        <v>92</v>
      </c>
      <c r="H1932" s="22" t="s">
        <v>3719</v>
      </c>
      <c r="I1932" s="45">
        <v>6.1407140824E10</v>
      </c>
      <c r="J1932" s="22" t="s">
        <v>3720</v>
      </c>
      <c r="K1932" s="3">
        <v>0.0</v>
      </c>
      <c r="M1932" s="26"/>
      <c r="O1932" s="19" t="str">
        <f t="shared" si="2"/>
        <v/>
      </c>
    </row>
    <row r="1933">
      <c r="A1933" s="3" t="s">
        <v>1055</v>
      </c>
      <c r="B1933" s="4" t="s">
        <v>31</v>
      </c>
      <c r="C1933" s="22" t="s">
        <v>1300</v>
      </c>
      <c r="D1933" s="23" t="s">
        <v>3721</v>
      </c>
      <c r="E1933" s="29">
        <v>45974.0</v>
      </c>
      <c r="F1933" s="3">
        <v>5.0</v>
      </c>
      <c r="G1933" s="3" t="s">
        <v>92</v>
      </c>
      <c r="H1933" s="22" t="s">
        <v>3722</v>
      </c>
      <c r="I1933" s="45">
        <v>6.1406411008E10</v>
      </c>
      <c r="J1933" s="22" t="s">
        <v>3723</v>
      </c>
      <c r="K1933" s="3">
        <v>0.0</v>
      </c>
      <c r="M1933" s="26"/>
      <c r="O1933" s="19" t="str">
        <f t="shared" si="2"/>
        <v/>
      </c>
    </row>
    <row r="1934">
      <c r="A1934" s="3" t="s">
        <v>305</v>
      </c>
      <c r="B1934" s="4" t="s">
        <v>36</v>
      </c>
      <c r="C1934" s="22" t="s">
        <v>306</v>
      </c>
      <c r="D1934" s="23" t="s">
        <v>3724</v>
      </c>
      <c r="E1934" s="29">
        <v>45974.0</v>
      </c>
      <c r="F1934" s="3">
        <v>8.0</v>
      </c>
      <c r="G1934" s="3" t="s">
        <v>92</v>
      </c>
      <c r="H1934" s="22" t="s">
        <v>3725</v>
      </c>
      <c r="I1934" s="45">
        <v>6.1428524609E10</v>
      </c>
      <c r="J1934" s="22" t="s">
        <v>3726</v>
      </c>
      <c r="K1934" s="3">
        <v>0.0</v>
      </c>
      <c r="M1934" s="26"/>
      <c r="O1934" s="19" t="str">
        <f t="shared" si="2"/>
        <v/>
      </c>
    </row>
    <row r="1935">
      <c r="A1935" s="3" t="s">
        <v>1973</v>
      </c>
      <c r="B1935" s="4" t="s">
        <v>31</v>
      </c>
      <c r="C1935" s="22" t="s">
        <v>3727</v>
      </c>
      <c r="D1935" s="23" t="s">
        <v>3728</v>
      </c>
      <c r="E1935" s="29">
        <v>45974.0</v>
      </c>
      <c r="F1935" s="3">
        <v>5.0</v>
      </c>
      <c r="G1935" s="3" t="s">
        <v>92</v>
      </c>
      <c r="H1935" s="22" t="s">
        <v>3729</v>
      </c>
      <c r="I1935" s="45">
        <v>6.1431627825E10</v>
      </c>
      <c r="J1935" s="22" t="s">
        <v>3730</v>
      </c>
      <c r="K1935" s="3">
        <v>0.0</v>
      </c>
      <c r="M1935" s="26"/>
      <c r="O1935" s="19" t="str">
        <f t="shared" si="2"/>
        <v/>
      </c>
    </row>
    <row r="1936">
      <c r="A1936" s="3" t="s">
        <v>1973</v>
      </c>
      <c r="B1936" s="4" t="s">
        <v>31</v>
      </c>
      <c r="C1936" s="22" t="s">
        <v>3727</v>
      </c>
      <c r="D1936" s="23" t="s">
        <v>3731</v>
      </c>
      <c r="E1936" s="29">
        <v>45974.0</v>
      </c>
      <c r="F1936" s="3">
        <v>8.0</v>
      </c>
      <c r="G1936" s="3" t="s">
        <v>92</v>
      </c>
      <c r="H1936" s="22" t="s">
        <v>3732</v>
      </c>
      <c r="I1936" s="45">
        <v>6.1415899807E10</v>
      </c>
      <c r="J1936" s="22" t="s">
        <v>3733</v>
      </c>
      <c r="K1936" s="3">
        <v>0.0</v>
      </c>
      <c r="M1936" s="26"/>
      <c r="O1936" s="19" t="str">
        <f t="shared" si="2"/>
        <v/>
      </c>
    </row>
    <row r="1937">
      <c r="A1937" s="3" t="s">
        <v>1320</v>
      </c>
      <c r="B1937" s="4" t="s">
        <v>45</v>
      </c>
      <c r="C1937" s="22" t="s">
        <v>1403</v>
      </c>
      <c r="D1937" s="23" t="s">
        <v>3734</v>
      </c>
      <c r="E1937" s="29">
        <v>45974.0</v>
      </c>
      <c r="F1937" s="3">
        <v>8.0</v>
      </c>
      <c r="G1937" s="3" t="s">
        <v>92</v>
      </c>
      <c r="H1937" s="22" t="s">
        <v>3735</v>
      </c>
      <c r="I1937" s="45">
        <v>6.1411418596E10</v>
      </c>
      <c r="J1937" s="22" t="s">
        <v>3736</v>
      </c>
      <c r="K1937" s="3">
        <v>0.0</v>
      </c>
      <c r="M1937" s="26"/>
      <c r="O1937" s="19" t="str">
        <f t="shared" si="2"/>
        <v/>
      </c>
    </row>
    <row r="1938">
      <c r="A1938" s="3" t="s">
        <v>1055</v>
      </c>
      <c r="B1938" s="4" t="s">
        <v>31</v>
      </c>
      <c r="C1938" s="22" t="s">
        <v>3737</v>
      </c>
      <c r="D1938" s="23" t="s">
        <v>3738</v>
      </c>
      <c r="E1938" s="29">
        <v>45974.0</v>
      </c>
      <c r="F1938" s="3">
        <v>8.0</v>
      </c>
      <c r="G1938" s="3" t="s">
        <v>92</v>
      </c>
      <c r="H1938" s="22" t="s">
        <v>3739</v>
      </c>
      <c r="I1938" s="45">
        <v>6.1411754243E10</v>
      </c>
      <c r="J1938" s="22" t="s">
        <v>3740</v>
      </c>
      <c r="K1938" s="3">
        <v>0.0</v>
      </c>
      <c r="M1938" s="26"/>
      <c r="O1938" s="19" t="str">
        <f t="shared" si="2"/>
        <v/>
      </c>
    </row>
    <row r="1939">
      <c r="A1939" s="3" t="s">
        <v>23</v>
      </c>
      <c r="B1939" s="4" t="s">
        <v>18</v>
      </c>
      <c r="C1939" s="22" t="s">
        <v>496</v>
      </c>
      <c r="D1939" s="23" t="s">
        <v>3741</v>
      </c>
      <c r="E1939" s="29">
        <v>45974.0</v>
      </c>
      <c r="F1939" s="3">
        <v>8.0</v>
      </c>
      <c r="G1939" s="3" t="s">
        <v>92</v>
      </c>
      <c r="H1939" s="22" t="s">
        <v>3742</v>
      </c>
      <c r="I1939" s="45">
        <v>6.1438754294E10</v>
      </c>
      <c r="J1939" s="22" t="s">
        <v>3743</v>
      </c>
      <c r="K1939" s="3">
        <v>0.0</v>
      </c>
      <c r="M1939" s="26"/>
      <c r="O1939" s="19" t="str">
        <f t="shared" si="2"/>
        <v/>
      </c>
    </row>
    <row r="1940">
      <c r="A1940" s="3" t="s">
        <v>2262</v>
      </c>
      <c r="B1940" s="4" t="s">
        <v>18</v>
      </c>
      <c r="C1940" s="22" t="s">
        <v>3028</v>
      </c>
      <c r="D1940" s="23" t="s">
        <v>3744</v>
      </c>
      <c r="E1940" s="29">
        <v>45974.0</v>
      </c>
      <c r="F1940" s="3">
        <v>8.0</v>
      </c>
      <c r="G1940" s="3" t="s">
        <v>92</v>
      </c>
      <c r="H1940" s="22" t="s">
        <v>3745</v>
      </c>
      <c r="I1940" s="45">
        <v>6.1417729227E10</v>
      </c>
      <c r="J1940" s="22" t="s">
        <v>3746</v>
      </c>
      <c r="K1940" s="3">
        <v>0.0</v>
      </c>
      <c r="M1940" s="26"/>
      <c r="O1940" s="19" t="str">
        <f t="shared" si="2"/>
        <v/>
      </c>
    </row>
    <row r="1941">
      <c r="A1941" s="3" t="s">
        <v>23</v>
      </c>
      <c r="B1941" s="4" t="s">
        <v>18</v>
      </c>
      <c r="C1941" s="22" t="s">
        <v>253</v>
      </c>
      <c r="D1941" s="23" t="s">
        <v>3747</v>
      </c>
      <c r="E1941" s="29">
        <v>45974.0</v>
      </c>
      <c r="F1941" s="3">
        <v>9.0</v>
      </c>
      <c r="G1941" s="3" t="s">
        <v>92</v>
      </c>
      <c r="H1941" s="22" t="s">
        <v>3748</v>
      </c>
      <c r="I1941" s="45">
        <v>6.141392498E10</v>
      </c>
      <c r="J1941" s="22" t="s">
        <v>3749</v>
      </c>
      <c r="K1941" s="3">
        <v>0.0</v>
      </c>
      <c r="M1941" s="26"/>
      <c r="O1941" s="19" t="str">
        <f t="shared" si="2"/>
        <v/>
      </c>
    </row>
    <row r="1942">
      <c r="A1942" s="3" t="s">
        <v>2406</v>
      </c>
      <c r="B1942" s="4" t="s">
        <v>31</v>
      </c>
      <c r="C1942" s="22" t="s">
        <v>3750</v>
      </c>
      <c r="D1942" s="22" t="s">
        <v>3751</v>
      </c>
      <c r="E1942" s="29">
        <v>45975.0</v>
      </c>
      <c r="F1942" s="3" t="s">
        <v>27</v>
      </c>
      <c r="G1942" s="3" t="s">
        <v>129</v>
      </c>
      <c r="H1942" s="22" t="s">
        <v>3752</v>
      </c>
      <c r="I1942" s="45">
        <v>6.10417020607E11</v>
      </c>
      <c r="J1942" s="22" t="s">
        <v>3753</v>
      </c>
      <c r="K1942" s="43">
        <v>750.0</v>
      </c>
      <c r="M1942" s="26"/>
      <c r="O1942" s="19" t="str">
        <f t="shared" si="2"/>
        <v/>
      </c>
    </row>
    <row r="1943">
      <c r="A1943" s="3" t="s">
        <v>817</v>
      </c>
      <c r="B1943" s="4" t="s">
        <v>36</v>
      </c>
      <c r="C1943" s="22" t="s">
        <v>857</v>
      </c>
      <c r="D1943" s="22" t="s">
        <v>3754</v>
      </c>
      <c r="E1943" s="29" t="s">
        <v>3700</v>
      </c>
      <c r="F1943" s="3" t="s">
        <v>27</v>
      </c>
      <c r="G1943" s="3" t="s">
        <v>1453</v>
      </c>
      <c r="H1943" s="22" t="s">
        <v>3755</v>
      </c>
      <c r="I1943" s="45">
        <v>61412758218</v>
      </c>
      <c r="J1943" s="22" t="s">
        <v>3756</v>
      </c>
      <c r="K1943" s="43">
        <v>500.0</v>
      </c>
      <c r="M1943" s="26"/>
      <c r="O1943" s="19" t="str">
        <f t="shared" si="2"/>
        <v/>
      </c>
    </row>
    <row r="1944">
      <c r="A1944" s="3" t="s">
        <v>3757</v>
      </c>
      <c r="B1944" s="4" t="s">
        <v>18</v>
      </c>
      <c r="C1944" s="22" t="s">
        <v>720</v>
      </c>
      <c r="D1944" s="22" t="s">
        <v>3758</v>
      </c>
      <c r="E1944" s="29">
        <v>45975.0</v>
      </c>
      <c r="F1944" s="3" t="s">
        <v>27</v>
      </c>
      <c r="G1944" s="3" t="s">
        <v>129</v>
      </c>
      <c r="H1944" s="22" t="s">
        <v>3759</v>
      </c>
      <c r="I1944" s="45">
        <v>6.10407374102E11</v>
      </c>
      <c r="J1944" s="22" t="s">
        <v>3760</v>
      </c>
      <c r="K1944" s="43">
        <v>2000.0</v>
      </c>
      <c r="M1944" s="26"/>
      <c r="O1944" s="19" t="str">
        <f t="shared" si="2"/>
        <v/>
      </c>
    </row>
    <row r="1945">
      <c r="A1945" s="3" t="s">
        <v>198</v>
      </c>
      <c r="B1945" s="4" t="s">
        <v>109</v>
      </c>
      <c r="C1945" s="22" t="s">
        <v>1773</v>
      </c>
      <c r="D1945" s="23" t="s">
        <v>3761</v>
      </c>
      <c r="E1945" s="29">
        <v>45975.0</v>
      </c>
      <c r="F1945" s="3">
        <v>5.0</v>
      </c>
      <c r="G1945" s="3" t="s">
        <v>92</v>
      </c>
      <c r="H1945" s="22" t="s">
        <v>3762</v>
      </c>
      <c r="I1945" s="45">
        <v>6.140242609E10</v>
      </c>
      <c r="J1945" s="22" t="s">
        <v>3763</v>
      </c>
      <c r="K1945" s="3">
        <v>0.0</v>
      </c>
      <c r="M1945" s="26"/>
      <c r="O1945" s="19" t="str">
        <f t="shared" si="2"/>
        <v/>
      </c>
    </row>
    <row r="1946">
      <c r="A1946" s="3" t="s">
        <v>112</v>
      </c>
      <c r="B1946" s="4" t="s">
        <v>18</v>
      </c>
      <c r="C1946" s="22" t="s">
        <v>3764</v>
      </c>
      <c r="D1946" s="23" t="s">
        <v>3765</v>
      </c>
      <c r="E1946" s="29">
        <v>45975.0</v>
      </c>
      <c r="F1946" s="3">
        <v>8.0</v>
      </c>
      <c r="G1946" s="3" t="s">
        <v>92</v>
      </c>
      <c r="H1946" s="22" t="s">
        <v>3766</v>
      </c>
      <c r="I1946" s="45">
        <v>6.1417487966E10</v>
      </c>
      <c r="J1946" s="22" t="s">
        <v>3767</v>
      </c>
      <c r="K1946" s="3">
        <v>0.0</v>
      </c>
      <c r="M1946" s="26"/>
      <c r="O1946" s="19" t="str">
        <f t="shared" si="2"/>
        <v/>
      </c>
    </row>
    <row r="1947">
      <c r="A1947" s="3" t="s">
        <v>244</v>
      </c>
      <c r="B1947" s="4" t="s">
        <v>18</v>
      </c>
      <c r="C1947" s="22" t="s">
        <v>253</v>
      </c>
      <c r="D1947" s="23" t="s">
        <v>3768</v>
      </c>
      <c r="E1947" s="29">
        <v>45975.0</v>
      </c>
      <c r="F1947" s="3">
        <v>9.0</v>
      </c>
      <c r="G1947" s="3" t="s">
        <v>92</v>
      </c>
      <c r="H1947" s="22" t="s">
        <v>3769</v>
      </c>
      <c r="I1947" s="45">
        <v>6.1401841805E10</v>
      </c>
      <c r="J1947" s="22" t="s">
        <v>3770</v>
      </c>
      <c r="K1947" s="3">
        <v>0.0</v>
      </c>
      <c r="M1947" s="26"/>
      <c r="O1947" s="19" t="str">
        <f t="shared" si="2"/>
        <v/>
      </c>
    </row>
    <row r="1948">
      <c r="A1948" s="3" t="s">
        <v>2262</v>
      </c>
      <c r="B1948" s="4" t="s">
        <v>18</v>
      </c>
      <c r="C1948" s="22" t="s">
        <v>3771</v>
      </c>
      <c r="D1948" s="23" t="s">
        <v>3772</v>
      </c>
      <c r="E1948" s="29">
        <v>45975.0</v>
      </c>
      <c r="F1948" s="3">
        <v>8.0</v>
      </c>
      <c r="G1948" s="3" t="s">
        <v>92</v>
      </c>
      <c r="H1948" s="22" t="s">
        <v>3773</v>
      </c>
      <c r="I1948" s="45">
        <v>6.1407720391E10</v>
      </c>
      <c r="J1948" s="22" t="s">
        <v>3774</v>
      </c>
      <c r="K1948" s="3">
        <v>0.0</v>
      </c>
      <c r="M1948" s="26"/>
      <c r="O1948" s="19" t="str">
        <f t="shared" si="2"/>
        <v/>
      </c>
    </row>
    <row r="1949">
      <c r="A1949" s="3" t="s">
        <v>125</v>
      </c>
      <c r="B1949" s="4" t="s">
        <v>31</v>
      </c>
      <c r="C1949" s="22" t="s">
        <v>811</v>
      </c>
      <c r="D1949" s="23"/>
      <c r="E1949" s="29">
        <v>45975.0</v>
      </c>
      <c r="F1949" s="3">
        <v>6.0</v>
      </c>
      <c r="G1949" s="3" t="s">
        <v>92</v>
      </c>
      <c r="H1949" s="22" t="s">
        <v>3775</v>
      </c>
      <c r="I1949" s="45">
        <v>6.1417488208E10</v>
      </c>
      <c r="J1949" s="22" t="s">
        <v>3776</v>
      </c>
      <c r="K1949" s="3">
        <v>0.0</v>
      </c>
      <c r="M1949" s="26"/>
      <c r="O1949" s="19" t="str">
        <f t="shared" si="2"/>
        <v/>
      </c>
    </row>
    <row r="1950">
      <c r="A1950" s="3" t="s">
        <v>57</v>
      </c>
      <c r="B1950" s="4" t="s">
        <v>18</v>
      </c>
      <c r="C1950" s="22" t="s">
        <v>1555</v>
      </c>
      <c r="D1950" s="23" t="s">
        <v>3777</v>
      </c>
      <c r="E1950" s="29">
        <v>45975.0</v>
      </c>
      <c r="F1950" s="3">
        <v>8.0</v>
      </c>
      <c r="G1950" s="3" t="s">
        <v>92</v>
      </c>
      <c r="H1950" s="22" t="s">
        <v>3778</v>
      </c>
      <c r="I1950" s="45">
        <v>6.1432032485E10</v>
      </c>
      <c r="J1950" s="22" t="s">
        <v>3779</v>
      </c>
      <c r="K1950" s="3">
        <v>0.0</v>
      </c>
      <c r="M1950" s="26"/>
      <c r="O1950" s="19" t="str">
        <f t="shared" si="2"/>
        <v/>
      </c>
    </row>
    <row r="1951">
      <c r="A1951" s="3" t="s">
        <v>3757</v>
      </c>
      <c r="B1951" s="4" t="s">
        <v>18</v>
      </c>
      <c r="C1951" s="22" t="s">
        <v>359</v>
      </c>
      <c r="D1951" s="23" t="s">
        <v>3780</v>
      </c>
      <c r="E1951" s="29">
        <v>45975.0</v>
      </c>
      <c r="F1951" s="3">
        <v>8.0</v>
      </c>
      <c r="G1951" s="3" t="s">
        <v>92</v>
      </c>
      <c r="H1951" s="22" t="s">
        <v>3781</v>
      </c>
      <c r="I1951" s="45">
        <v>6.148136984E10</v>
      </c>
      <c r="J1951" s="22" t="s">
        <v>3782</v>
      </c>
      <c r="K1951" s="3">
        <v>0.0</v>
      </c>
      <c r="M1951" s="26"/>
      <c r="O1951" s="19" t="str">
        <f t="shared" si="2"/>
        <v/>
      </c>
    </row>
    <row r="1952">
      <c r="A1952" s="3" t="s">
        <v>98</v>
      </c>
      <c r="B1952" s="4" t="s">
        <v>31</v>
      </c>
      <c r="C1952" s="22" t="s">
        <v>558</v>
      </c>
      <c r="D1952" s="22" t="s">
        <v>3783</v>
      </c>
      <c r="E1952" s="29" t="s">
        <v>3700</v>
      </c>
      <c r="F1952" s="3" t="s">
        <v>27</v>
      </c>
      <c r="G1952" s="3" t="s">
        <v>1453</v>
      </c>
      <c r="H1952" s="22" t="s">
        <v>3784</v>
      </c>
      <c r="I1952" s="45">
        <v>61407195549</v>
      </c>
      <c r="J1952" s="22" t="s">
        <v>3785</v>
      </c>
      <c r="K1952" s="3"/>
      <c r="M1952" s="26"/>
      <c r="O1952" s="19" t="str">
        <f t="shared" si="2"/>
        <v/>
      </c>
    </row>
    <row r="1953">
      <c r="A1953" s="3" t="s">
        <v>23</v>
      </c>
      <c r="B1953" s="4" t="s">
        <v>18</v>
      </c>
      <c r="C1953" s="22" t="s">
        <v>53</v>
      </c>
      <c r="D1953" s="22" t="s">
        <v>3786</v>
      </c>
      <c r="E1953" s="29" t="s">
        <v>3787</v>
      </c>
      <c r="F1953" s="3" t="s">
        <v>27</v>
      </c>
      <c r="G1953" s="3" t="s">
        <v>129</v>
      </c>
      <c r="H1953" s="22" t="s">
        <v>55</v>
      </c>
      <c r="I1953" s="45">
        <v>610472532818</v>
      </c>
      <c r="J1953" s="22" t="s">
        <v>3788</v>
      </c>
      <c r="K1953" s="43">
        <v>500.0</v>
      </c>
      <c r="M1953" s="26"/>
      <c r="O1953" s="19" t="str">
        <f t="shared" si="2"/>
        <v/>
      </c>
    </row>
    <row r="1954">
      <c r="A1954" s="3" t="s">
        <v>717</v>
      </c>
      <c r="B1954" s="4" t="s">
        <v>36</v>
      </c>
      <c r="C1954" s="22" t="s">
        <v>929</v>
      </c>
      <c r="D1954" s="22" t="s">
        <v>3789</v>
      </c>
      <c r="E1954" s="29" t="s">
        <v>3787</v>
      </c>
      <c r="F1954" s="3" t="s">
        <v>27</v>
      </c>
      <c r="G1954" s="3" t="s">
        <v>1453</v>
      </c>
      <c r="H1954" s="22" t="s">
        <v>3790</v>
      </c>
      <c r="I1954" s="45">
        <v>61418553587</v>
      </c>
      <c r="J1954" s="22" t="s">
        <v>3791</v>
      </c>
      <c r="K1954" s="43">
        <v>500.0</v>
      </c>
      <c r="M1954" s="26"/>
      <c r="O1954" s="19" t="str">
        <f t="shared" si="2"/>
        <v/>
      </c>
    </row>
    <row r="1955">
      <c r="A1955" s="3" t="s">
        <v>137</v>
      </c>
      <c r="B1955" s="4" t="s">
        <v>18</v>
      </c>
      <c r="C1955" s="22" t="s">
        <v>1024</v>
      </c>
      <c r="D1955" s="22" t="s">
        <v>3792</v>
      </c>
      <c r="E1955" s="29">
        <v>45975.0</v>
      </c>
      <c r="F1955" s="3" t="s">
        <v>27</v>
      </c>
      <c r="G1955" s="3" t="s">
        <v>129</v>
      </c>
      <c r="H1955" s="22" t="s">
        <v>3793</v>
      </c>
      <c r="I1955" s="45">
        <v>6.1409318796E10</v>
      </c>
      <c r="J1955" s="22" t="s">
        <v>3794</v>
      </c>
      <c r="K1955" s="43">
        <v>1500.0</v>
      </c>
      <c r="M1955" s="26"/>
      <c r="O1955" s="19" t="str">
        <f t="shared" si="2"/>
        <v/>
      </c>
    </row>
    <row r="1956">
      <c r="A1956" s="3" t="s">
        <v>244</v>
      </c>
      <c r="B1956" s="4" t="s">
        <v>18</v>
      </c>
      <c r="C1956" s="22" t="s">
        <v>3005</v>
      </c>
      <c r="D1956" s="22" t="s">
        <v>3795</v>
      </c>
      <c r="E1956" s="29">
        <v>45975.0</v>
      </c>
      <c r="F1956" s="3" t="s">
        <v>27</v>
      </c>
      <c r="G1956" s="3" t="s">
        <v>129</v>
      </c>
      <c r="H1956" s="22" t="s">
        <v>3796</v>
      </c>
      <c r="I1956" s="45">
        <v>6.1418601192E10</v>
      </c>
      <c r="J1956" s="22" t="s">
        <v>3797</v>
      </c>
      <c r="K1956" s="43">
        <v>1250.0</v>
      </c>
      <c r="M1956" s="26"/>
      <c r="O1956" s="19" t="str">
        <f t="shared" si="2"/>
        <v/>
      </c>
    </row>
    <row r="1957">
      <c r="A1957" s="3" t="s">
        <v>510</v>
      </c>
      <c r="B1957" s="4" t="s">
        <v>18</v>
      </c>
      <c r="C1957" s="22" t="s">
        <v>841</v>
      </c>
      <c r="D1957" s="22" t="s">
        <v>3798</v>
      </c>
      <c r="E1957" s="29">
        <v>45975.0</v>
      </c>
      <c r="F1957" s="3" t="s">
        <v>27</v>
      </c>
      <c r="G1957" s="3" t="s">
        <v>129</v>
      </c>
      <c r="H1957" s="22" t="s">
        <v>3799</v>
      </c>
      <c r="I1957" s="45">
        <v>6.1431468055E10</v>
      </c>
      <c r="J1957" s="22" t="s">
        <v>3800</v>
      </c>
      <c r="K1957" s="43">
        <v>2000.0</v>
      </c>
      <c r="M1957" s="26"/>
      <c r="O1957" s="19" t="str">
        <f t="shared" si="2"/>
        <v/>
      </c>
    </row>
    <row r="1958">
      <c r="A1958" s="3" t="s">
        <v>2406</v>
      </c>
      <c r="B1958" s="4" t="s">
        <v>31</v>
      </c>
      <c r="C1958" s="22" t="s">
        <v>2485</v>
      </c>
      <c r="D1958" s="22" t="s">
        <v>3801</v>
      </c>
      <c r="E1958" s="29">
        <v>45975.0</v>
      </c>
      <c r="F1958" s="3" t="s">
        <v>27</v>
      </c>
      <c r="G1958" s="3" t="s">
        <v>129</v>
      </c>
      <c r="H1958" s="22" t="s">
        <v>3802</v>
      </c>
      <c r="I1958" s="45">
        <v>6.1466187662E10</v>
      </c>
      <c r="J1958" s="22" t="s">
        <v>3803</v>
      </c>
      <c r="K1958" s="43">
        <v>750.0</v>
      </c>
      <c r="M1958" s="26"/>
      <c r="O1958" s="19" t="str">
        <f t="shared" si="2"/>
        <v/>
      </c>
    </row>
    <row r="1959">
      <c r="A1959" s="3" t="s">
        <v>1055</v>
      </c>
      <c r="B1959" s="4" t="s">
        <v>31</v>
      </c>
      <c r="C1959" s="22" t="s">
        <v>3804</v>
      </c>
      <c r="D1959" s="23" t="s">
        <v>3805</v>
      </c>
      <c r="E1959" s="29">
        <v>45975.0</v>
      </c>
      <c r="F1959" s="3">
        <v>8.0</v>
      </c>
      <c r="G1959" s="3" t="s">
        <v>92</v>
      </c>
      <c r="H1959" s="22" t="s">
        <v>3806</v>
      </c>
      <c r="I1959" s="45">
        <v>6.14037052E10</v>
      </c>
      <c r="J1959" s="22" t="s">
        <v>3807</v>
      </c>
      <c r="K1959" s="3">
        <v>0.0</v>
      </c>
      <c r="M1959" s="26"/>
      <c r="O1959" s="19" t="str">
        <f t="shared" si="2"/>
        <v/>
      </c>
    </row>
    <row r="1960">
      <c r="A1960" s="3" t="s">
        <v>1055</v>
      </c>
      <c r="B1960" s="4" t="s">
        <v>31</v>
      </c>
      <c r="C1960" s="22" t="s">
        <v>3808</v>
      </c>
      <c r="D1960" s="23" t="s">
        <v>3809</v>
      </c>
      <c r="E1960" s="29">
        <v>45975.0</v>
      </c>
      <c r="F1960" s="3">
        <v>8.0</v>
      </c>
      <c r="G1960" s="3" t="s">
        <v>92</v>
      </c>
      <c r="H1960" s="22" t="s">
        <v>3810</v>
      </c>
      <c r="I1960" s="45">
        <v>6.1414826317E10</v>
      </c>
      <c r="J1960" s="22" t="s">
        <v>3811</v>
      </c>
      <c r="K1960" s="3">
        <v>0.0</v>
      </c>
      <c r="M1960" s="26"/>
      <c r="O1960" s="19" t="str">
        <f t="shared" si="2"/>
        <v/>
      </c>
    </row>
    <row r="1961">
      <c r="A1961" s="3" t="s">
        <v>1055</v>
      </c>
      <c r="B1961" s="4" t="s">
        <v>31</v>
      </c>
      <c r="C1961" s="22" t="s">
        <v>3812</v>
      </c>
      <c r="D1961" s="23" t="s">
        <v>3813</v>
      </c>
      <c r="E1961" s="29">
        <v>45975.0</v>
      </c>
      <c r="F1961" s="3">
        <v>6.0</v>
      </c>
      <c r="G1961" s="3" t="s">
        <v>92</v>
      </c>
      <c r="H1961" s="22" t="s">
        <v>3814</v>
      </c>
      <c r="I1961" s="45">
        <v>6.143865612E10</v>
      </c>
      <c r="J1961" s="22" t="s">
        <v>3815</v>
      </c>
      <c r="K1961" s="3">
        <v>0.0</v>
      </c>
      <c r="M1961" s="26"/>
      <c r="O1961" s="19" t="str">
        <f t="shared" si="2"/>
        <v/>
      </c>
    </row>
    <row r="1962">
      <c r="A1962" s="3" t="s">
        <v>69</v>
      </c>
      <c r="B1962" s="4" t="s">
        <v>31</v>
      </c>
      <c r="C1962" s="22" t="s">
        <v>287</v>
      </c>
      <c r="D1962" s="23"/>
      <c r="E1962" s="29">
        <v>45975.0</v>
      </c>
      <c r="F1962" s="3">
        <v>5.0</v>
      </c>
      <c r="G1962" s="3" t="s">
        <v>92</v>
      </c>
      <c r="H1962" s="22" t="s">
        <v>3816</v>
      </c>
      <c r="I1962" s="45">
        <v>6.144996839E10</v>
      </c>
      <c r="J1962" s="22" t="s">
        <v>3817</v>
      </c>
      <c r="K1962" s="3">
        <v>0.0</v>
      </c>
      <c r="M1962" s="26"/>
      <c r="O1962" s="19" t="str">
        <f t="shared" si="2"/>
        <v/>
      </c>
    </row>
    <row r="1963">
      <c r="A1963" s="3" t="s">
        <v>137</v>
      </c>
      <c r="B1963" s="4" t="s">
        <v>18</v>
      </c>
      <c r="C1963" s="22">
        <v>4212.0</v>
      </c>
      <c r="D1963" s="23"/>
      <c r="E1963" s="29">
        <v>45975.0</v>
      </c>
      <c r="F1963" s="3">
        <v>5.0</v>
      </c>
      <c r="G1963" s="3" t="s">
        <v>92</v>
      </c>
      <c r="H1963" s="22" t="s">
        <v>3793</v>
      </c>
      <c r="I1963" s="45">
        <v>6.1409318796E10</v>
      </c>
      <c r="J1963" s="22" t="s">
        <v>3794</v>
      </c>
      <c r="K1963" s="3">
        <v>0.0</v>
      </c>
      <c r="M1963" s="26"/>
      <c r="O1963" s="19" t="str">
        <f t="shared" si="2"/>
        <v/>
      </c>
    </row>
    <row r="1964">
      <c r="A1964" s="3" t="s">
        <v>265</v>
      </c>
      <c r="B1964" s="4" t="s">
        <v>18</v>
      </c>
      <c r="C1964" s="22" t="s">
        <v>3818</v>
      </c>
      <c r="D1964" s="23" t="s">
        <v>3819</v>
      </c>
      <c r="E1964" s="29">
        <v>45975.0</v>
      </c>
      <c r="F1964" s="3">
        <v>8.0</v>
      </c>
      <c r="G1964" s="3" t="s">
        <v>92</v>
      </c>
      <c r="H1964" s="22" t="s">
        <v>3820</v>
      </c>
      <c r="I1964" s="45">
        <v>6.1438148772E10</v>
      </c>
      <c r="J1964" s="22" t="s">
        <v>3821</v>
      </c>
      <c r="K1964" s="3">
        <v>0.0</v>
      </c>
      <c r="M1964" s="26"/>
      <c r="O1964" s="19" t="str">
        <f t="shared" si="2"/>
        <v/>
      </c>
    </row>
    <row r="1965">
      <c r="A1965" s="3" t="s">
        <v>3436</v>
      </c>
      <c r="B1965" s="4" t="s">
        <v>18</v>
      </c>
      <c r="C1965" s="22">
        <v>4567.0</v>
      </c>
      <c r="D1965" s="23"/>
      <c r="E1965" s="29">
        <v>45975.0</v>
      </c>
      <c r="F1965" s="3">
        <v>5.0</v>
      </c>
      <c r="G1965" s="3" t="s">
        <v>92</v>
      </c>
      <c r="H1965" s="22" t="s">
        <v>3822</v>
      </c>
      <c r="I1965" s="45">
        <v>6.1401277592E10</v>
      </c>
      <c r="J1965" s="22" t="s">
        <v>3823</v>
      </c>
      <c r="K1965" s="3">
        <v>0.0</v>
      </c>
      <c r="M1965" s="26"/>
      <c r="O1965" s="19" t="str">
        <f t="shared" si="2"/>
        <v/>
      </c>
    </row>
    <row r="1966">
      <c r="A1966" s="3" t="s">
        <v>1582</v>
      </c>
      <c r="B1966" s="4" t="s">
        <v>31</v>
      </c>
      <c r="C1966" s="22" t="s">
        <v>3824</v>
      </c>
      <c r="D1966" s="23" t="s">
        <v>3825</v>
      </c>
      <c r="E1966" s="29">
        <v>45975.0</v>
      </c>
      <c r="F1966" s="3">
        <v>8.0</v>
      </c>
      <c r="G1966" s="3" t="s">
        <v>92</v>
      </c>
      <c r="H1966" s="22" t="s">
        <v>3826</v>
      </c>
      <c r="I1966" s="45">
        <v>6.1404829277E10</v>
      </c>
      <c r="J1966" s="22" t="s">
        <v>3827</v>
      </c>
      <c r="K1966" s="3">
        <v>0.0</v>
      </c>
      <c r="M1966" s="26"/>
      <c r="O1966" s="19" t="str">
        <f t="shared" si="2"/>
        <v/>
      </c>
    </row>
    <row r="1967">
      <c r="A1967" s="3" t="s">
        <v>232</v>
      </c>
      <c r="B1967" s="4" t="s">
        <v>18</v>
      </c>
      <c r="C1967" s="22" t="s">
        <v>466</v>
      </c>
      <c r="D1967" s="23" t="s">
        <v>3828</v>
      </c>
      <c r="E1967" s="29">
        <v>45975.0</v>
      </c>
      <c r="F1967" s="3">
        <v>8.0</v>
      </c>
      <c r="G1967" s="3" t="s">
        <v>92</v>
      </c>
      <c r="H1967" s="22" t="s">
        <v>3829</v>
      </c>
      <c r="I1967" s="45">
        <v>6.1435271167E10</v>
      </c>
      <c r="J1967" s="22" t="s">
        <v>3830</v>
      </c>
      <c r="K1967" s="3">
        <v>0.0</v>
      </c>
      <c r="M1967" s="26"/>
      <c r="O1967" s="19" t="str">
        <f t="shared" si="2"/>
        <v/>
      </c>
    </row>
    <row r="1968">
      <c r="A1968" s="3" t="s">
        <v>77</v>
      </c>
      <c r="B1968" s="4" t="s">
        <v>18</v>
      </c>
      <c r="C1968" s="22" t="s">
        <v>197</v>
      </c>
      <c r="D1968" s="22" t="s">
        <v>3831</v>
      </c>
      <c r="E1968" s="29" t="s">
        <v>3787</v>
      </c>
      <c r="F1968" s="3" t="s">
        <v>27</v>
      </c>
      <c r="G1968" s="3" t="s">
        <v>129</v>
      </c>
      <c r="H1968" s="22" t="s">
        <v>3832</v>
      </c>
      <c r="I1968" s="45">
        <v>610438130491</v>
      </c>
      <c r="J1968" s="22" t="s">
        <v>3833</v>
      </c>
      <c r="K1968" s="3"/>
      <c r="M1968" s="26"/>
      <c r="O1968" s="19" t="str">
        <f t="shared" si="2"/>
        <v/>
      </c>
    </row>
    <row r="1969">
      <c r="A1969" s="3" t="s">
        <v>570</v>
      </c>
      <c r="B1969" s="4" t="s">
        <v>18</v>
      </c>
      <c r="C1969" s="22" t="s">
        <v>766</v>
      </c>
      <c r="D1969" s="22" t="s">
        <v>3834</v>
      </c>
      <c r="E1969" s="29" t="s">
        <v>3835</v>
      </c>
      <c r="F1969" s="3" t="s">
        <v>27</v>
      </c>
      <c r="G1969" s="3" t="s">
        <v>129</v>
      </c>
      <c r="H1969" s="22" t="s">
        <v>3836</v>
      </c>
      <c r="I1969" s="45">
        <v>610407631816</v>
      </c>
      <c r="J1969" s="22" t="s">
        <v>3837</v>
      </c>
      <c r="K1969" s="43">
        <v>3250.0</v>
      </c>
      <c r="M1969" s="26"/>
      <c r="O1969" s="19" t="str">
        <f t="shared" si="2"/>
        <v/>
      </c>
    </row>
    <row r="1970">
      <c r="A1970" s="3" t="s">
        <v>305</v>
      </c>
      <c r="B1970" s="4" t="s">
        <v>36</v>
      </c>
      <c r="C1970" s="22" t="s">
        <v>306</v>
      </c>
      <c r="D1970" s="22" t="s">
        <v>3838</v>
      </c>
      <c r="E1970" s="29" t="s">
        <v>3835</v>
      </c>
      <c r="F1970" s="3" t="s">
        <v>27</v>
      </c>
      <c r="G1970" s="3" t="s">
        <v>1453</v>
      </c>
      <c r="H1970" s="22" t="s">
        <v>3839</v>
      </c>
      <c r="I1970" s="45">
        <v>61414377912</v>
      </c>
      <c r="J1970" s="22" t="s">
        <v>3840</v>
      </c>
      <c r="K1970" s="43">
        <v>500.0</v>
      </c>
      <c r="M1970" s="26"/>
      <c r="O1970" s="19" t="str">
        <f t="shared" si="2"/>
        <v/>
      </c>
    </row>
    <row r="1971">
      <c r="A1971" s="3" t="s">
        <v>3436</v>
      </c>
      <c r="B1971" s="4" t="s">
        <v>18</v>
      </c>
      <c r="C1971" s="22" t="s">
        <v>1059</v>
      </c>
      <c r="D1971" s="22" t="s">
        <v>3841</v>
      </c>
      <c r="E1971" s="29" t="s">
        <v>3835</v>
      </c>
      <c r="F1971" s="3" t="s">
        <v>27</v>
      </c>
      <c r="G1971" s="3" t="s">
        <v>1453</v>
      </c>
      <c r="H1971" s="22" t="s">
        <v>3842</v>
      </c>
      <c r="I1971" s="45">
        <v>61412885718</v>
      </c>
      <c r="J1971" s="22" t="s">
        <v>3843</v>
      </c>
      <c r="K1971" s="43"/>
      <c r="M1971" s="26"/>
      <c r="O1971" s="19" t="str">
        <f t="shared" si="2"/>
        <v/>
      </c>
    </row>
    <row r="1972">
      <c r="A1972" s="3" t="s">
        <v>57</v>
      </c>
      <c r="B1972" s="4" t="s">
        <v>18</v>
      </c>
      <c r="C1972" s="22" t="s">
        <v>2858</v>
      </c>
      <c r="D1972" s="22" t="s">
        <v>3844</v>
      </c>
      <c r="E1972" s="29" t="s">
        <v>3835</v>
      </c>
      <c r="F1972" s="3" t="s">
        <v>27</v>
      </c>
      <c r="G1972" s="3" t="s">
        <v>1453</v>
      </c>
      <c r="H1972" s="22" t="s">
        <v>3845</v>
      </c>
      <c r="I1972" s="45">
        <v>6.1409460228E10</v>
      </c>
      <c r="J1972" s="22" t="s">
        <v>3846</v>
      </c>
      <c r="K1972" s="43"/>
      <c r="M1972" s="26"/>
      <c r="O1972" s="19" t="str">
        <f t="shared" si="2"/>
        <v/>
      </c>
    </row>
    <row r="1973">
      <c r="A1973" s="3" t="s">
        <v>61</v>
      </c>
      <c r="B1973" s="4" t="s">
        <v>18</v>
      </c>
      <c r="C1973" s="22" t="s">
        <v>405</v>
      </c>
      <c r="D1973" s="22" t="s">
        <v>3847</v>
      </c>
      <c r="E1973" s="29" t="s">
        <v>3835</v>
      </c>
      <c r="F1973" s="3" t="s">
        <v>27</v>
      </c>
      <c r="G1973" s="3" t="s">
        <v>1453</v>
      </c>
      <c r="H1973" s="22" t="s">
        <v>3848</v>
      </c>
      <c r="I1973" s="45">
        <v>61404274806</v>
      </c>
      <c r="J1973" s="22" t="s">
        <v>3849</v>
      </c>
      <c r="K1973" s="43">
        <v>1000.0</v>
      </c>
      <c r="M1973" s="26"/>
      <c r="O1973" s="19" t="str">
        <f t="shared" si="2"/>
        <v/>
      </c>
    </row>
    <row r="1974">
      <c r="A1974" s="3" t="s">
        <v>225</v>
      </c>
      <c r="B1974" s="4" t="s">
        <v>36</v>
      </c>
      <c r="C1974" s="22" t="s">
        <v>801</v>
      </c>
      <c r="D1974" s="22" t="s">
        <v>3850</v>
      </c>
      <c r="E1974" s="29" t="s">
        <v>3835</v>
      </c>
      <c r="F1974" s="3" t="s">
        <v>27</v>
      </c>
      <c r="G1974" s="3" t="s">
        <v>1453</v>
      </c>
      <c r="H1974" s="22" t="s">
        <v>3851</v>
      </c>
      <c r="I1974" s="45">
        <v>6.1414619394E10</v>
      </c>
      <c r="J1974" s="22" t="s">
        <v>3852</v>
      </c>
      <c r="K1974" s="43"/>
      <c r="M1974" s="26"/>
      <c r="O1974" s="19" t="str">
        <f t="shared" si="2"/>
        <v/>
      </c>
    </row>
    <row r="1975">
      <c r="A1975" s="3" t="s">
        <v>2406</v>
      </c>
      <c r="B1975" s="4" t="s">
        <v>31</v>
      </c>
      <c r="C1975" s="22" t="s">
        <v>2398</v>
      </c>
      <c r="D1975" s="22" t="s">
        <v>3853</v>
      </c>
      <c r="E1975" s="29">
        <v>45977.0</v>
      </c>
      <c r="F1975" s="3" t="s">
        <v>27</v>
      </c>
      <c r="G1975" s="3" t="s">
        <v>129</v>
      </c>
      <c r="H1975" s="22" t="s">
        <v>3854</v>
      </c>
      <c r="I1975" s="45">
        <v>4.1229929E8</v>
      </c>
      <c r="J1975" s="22" t="s">
        <v>3855</v>
      </c>
      <c r="K1975" s="43">
        <v>1500.0</v>
      </c>
      <c r="M1975" s="26"/>
      <c r="O1975" s="19" t="str">
        <f t="shared" si="2"/>
        <v/>
      </c>
    </row>
    <row r="1976">
      <c r="A1976" s="3" t="s">
        <v>817</v>
      </c>
      <c r="B1976" s="4" t="s">
        <v>36</v>
      </c>
      <c r="C1976" s="22">
        <v>3074.0</v>
      </c>
      <c r="D1976" s="23"/>
      <c r="E1976" s="29">
        <v>45977.0</v>
      </c>
      <c r="F1976" s="3">
        <v>5.0</v>
      </c>
      <c r="G1976" s="3" t="s">
        <v>92</v>
      </c>
      <c r="H1976" s="22" t="s">
        <v>3856</v>
      </c>
      <c r="I1976" s="45">
        <v>6.1425768837E10</v>
      </c>
      <c r="J1976" s="22" t="s">
        <v>3857</v>
      </c>
      <c r="K1976" s="3">
        <v>0.0</v>
      </c>
      <c r="M1976" s="26"/>
      <c r="O1976" s="19" t="str">
        <f t="shared" si="2"/>
        <v/>
      </c>
    </row>
    <row r="1977">
      <c r="A1977" s="3" t="s">
        <v>246</v>
      </c>
      <c r="B1977" s="4" t="s">
        <v>36</v>
      </c>
      <c r="C1977" s="22">
        <v>3939.0</v>
      </c>
      <c r="D1977" s="23"/>
      <c r="E1977" s="29">
        <v>45977.0</v>
      </c>
      <c r="F1977" s="3">
        <v>5.0</v>
      </c>
      <c r="G1977" s="3" t="s">
        <v>92</v>
      </c>
      <c r="H1977" s="22" t="s">
        <v>3858</v>
      </c>
      <c r="I1977" s="45">
        <v>6.1408558229E10</v>
      </c>
      <c r="J1977" s="22" t="s">
        <v>3859</v>
      </c>
      <c r="K1977" s="3">
        <v>0.0</v>
      </c>
      <c r="M1977" s="26"/>
      <c r="O1977" s="19" t="str">
        <f t="shared" si="2"/>
        <v/>
      </c>
    </row>
    <row r="1978">
      <c r="A1978" s="3" t="s">
        <v>1266</v>
      </c>
      <c r="B1978" s="4" t="s">
        <v>31</v>
      </c>
      <c r="C1978" s="22" t="s">
        <v>2084</v>
      </c>
      <c r="D1978" s="23" t="s">
        <v>3860</v>
      </c>
      <c r="E1978" s="29">
        <v>45977.0</v>
      </c>
      <c r="F1978" s="3">
        <v>8.0</v>
      </c>
      <c r="G1978" s="3" t="s">
        <v>92</v>
      </c>
      <c r="H1978" s="22" t="s">
        <v>3861</v>
      </c>
      <c r="I1978" s="45">
        <v>6.1418752959E10</v>
      </c>
      <c r="J1978" s="22" t="s">
        <v>3862</v>
      </c>
      <c r="K1978" s="3">
        <v>0.0</v>
      </c>
      <c r="M1978" s="26"/>
      <c r="O1978" s="19" t="str">
        <f t="shared" si="2"/>
        <v/>
      </c>
    </row>
    <row r="1979">
      <c r="A1979" s="3" t="s">
        <v>244</v>
      </c>
      <c r="B1979" s="4" t="s">
        <v>18</v>
      </c>
      <c r="C1979" s="22" t="s">
        <v>253</v>
      </c>
      <c r="D1979" s="23" t="s">
        <v>3863</v>
      </c>
      <c r="E1979" s="29">
        <v>45977.0</v>
      </c>
      <c r="F1979" s="3">
        <v>8.0</v>
      </c>
      <c r="G1979" s="3" t="s">
        <v>92</v>
      </c>
      <c r="H1979" s="22" t="s">
        <v>3864</v>
      </c>
      <c r="I1979" s="45">
        <v>6.1419108721E10</v>
      </c>
      <c r="J1979" s="22" t="s">
        <v>3865</v>
      </c>
      <c r="K1979" s="3">
        <v>0.0</v>
      </c>
      <c r="M1979" s="26"/>
      <c r="O1979" s="19" t="str">
        <f t="shared" si="2"/>
        <v/>
      </c>
    </row>
    <row r="1980">
      <c r="A1980" s="3" t="s">
        <v>23</v>
      </c>
      <c r="B1980" s="4" t="s">
        <v>18</v>
      </c>
      <c r="C1980" s="22" t="s">
        <v>3866</v>
      </c>
      <c r="D1980" s="23" t="s">
        <v>3867</v>
      </c>
      <c r="E1980" s="29">
        <v>45977.0</v>
      </c>
      <c r="F1980" s="3">
        <v>8.0</v>
      </c>
      <c r="G1980" s="3" t="s">
        <v>92</v>
      </c>
      <c r="H1980" s="22" t="s">
        <v>3868</v>
      </c>
      <c r="I1980" s="45">
        <v>6.1424901828E10</v>
      </c>
      <c r="J1980" s="22" t="s">
        <v>3869</v>
      </c>
      <c r="K1980" s="3">
        <v>0.0</v>
      </c>
      <c r="M1980" s="26"/>
      <c r="O1980" s="19" t="str">
        <f t="shared" si="2"/>
        <v/>
      </c>
    </row>
    <row r="1981">
      <c r="A1981" s="3" t="s">
        <v>2406</v>
      </c>
      <c r="B1981" s="4" t="s">
        <v>31</v>
      </c>
      <c r="C1981" s="22" t="s">
        <v>2485</v>
      </c>
      <c r="D1981" s="23" t="s">
        <v>3870</v>
      </c>
      <c r="E1981" s="29">
        <v>45977.0</v>
      </c>
      <c r="F1981" s="3">
        <v>8.0</v>
      </c>
      <c r="G1981" s="3" t="s">
        <v>92</v>
      </c>
      <c r="H1981" s="22" t="s">
        <v>3871</v>
      </c>
      <c r="I1981" s="45">
        <v>6.1466187662E10</v>
      </c>
      <c r="J1981" s="22" t="s">
        <v>3803</v>
      </c>
      <c r="K1981" s="3">
        <v>0.0</v>
      </c>
      <c r="M1981" s="26"/>
      <c r="O1981" s="19" t="str">
        <f t="shared" si="2"/>
        <v/>
      </c>
    </row>
    <row r="1982">
      <c r="A1982" s="3" t="s">
        <v>532</v>
      </c>
      <c r="B1982" s="4" t="s">
        <v>18</v>
      </c>
      <c r="C1982" s="22" t="s">
        <v>1914</v>
      </c>
      <c r="D1982" s="23" t="s">
        <v>3872</v>
      </c>
      <c r="E1982" s="29">
        <v>45977.0</v>
      </c>
      <c r="F1982" s="3">
        <v>8.0</v>
      </c>
      <c r="G1982" s="3" t="s">
        <v>92</v>
      </c>
      <c r="H1982" s="22" t="s">
        <v>3873</v>
      </c>
      <c r="I1982" s="45">
        <v>6.1432567424E10</v>
      </c>
      <c r="J1982" s="22" t="s">
        <v>3874</v>
      </c>
      <c r="K1982" s="3">
        <v>0.0</v>
      </c>
      <c r="M1982" s="26"/>
      <c r="O1982" s="19" t="str">
        <f t="shared" si="2"/>
        <v/>
      </c>
    </row>
    <row r="1983">
      <c r="A1983" s="3" t="s">
        <v>265</v>
      </c>
      <c r="B1983" s="4" t="s">
        <v>18</v>
      </c>
      <c r="C1983" s="22" t="s">
        <v>515</v>
      </c>
      <c r="D1983" s="23"/>
      <c r="E1983" s="29">
        <v>45977.0</v>
      </c>
      <c r="F1983" s="3">
        <v>5.0</v>
      </c>
      <c r="G1983" s="3" t="s">
        <v>92</v>
      </c>
      <c r="H1983" s="22" t="s">
        <v>3875</v>
      </c>
      <c r="I1983" s="45">
        <v>6.1414328864E10</v>
      </c>
      <c r="J1983" s="22" t="s">
        <v>3876</v>
      </c>
      <c r="K1983" s="3">
        <v>0.0</v>
      </c>
      <c r="M1983" s="26"/>
      <c r="O1983" s="19" t="str">
        <f t="shared" si="2"/>
        <v/>
      </c>
    </row>
    <row r="1984">
      <c r="A1984" s="3" t="s">
        <v>2406</v>
      </c>
      <c r="B1984" s="4" t="s">
        <v>31</v>
      </c>
      <c r="C1984" s="22" t="s">
        <v>3877</v>
      </c>
      <c r="D1984" s="23"/>
      <c r="E1984" s="29">
        <v>45977.0</v>
      </c>
      <c r="F1984" s="3">
        <v>5.0</v>
      </c>
      <c r="G1984" s="3" t="s">
        <v>92</v>
      </c>
      <c r="H1984" s="22" t="s">
        <v>3878</v>
      </c>
      <c r="I1984" s="45">
        <v>6.1481417449E10</v>
      </c>
      <c r="J1984" s="22" t="s">
        <v>3879</v>
      </c>
      <c r="K1984" s="3">
        <v>0.0</v>
      </c>
      <c r="M1984" s="26"/>
      <c r="O1984" s="19" t="str">
        <f t="shared" si="2"/>
        <v/>
      </c>
    </row>
    <row r="1985">
      <c r="A1985" s="3" t="s">
        <v>3569</v>
      </c>
      <c r="B1985" s="4" t="s">
        <v>18</v>
      </c>
      <c r="C1985" s="22" t="s">
        <v>627</v>
      </c>
      <c r="D1985" s="23" t="s">
        <v>3880</v>
      </c>
      <c r="E1985" s="29">
        <v>45977.0</v>
      </c>
      <c r="F1985" s="3">
        <v>8.0</v>
      </c>
      <c r="G1985" s="3" t="s">
        <v>92</v>
      </c>
      <c r="H1985" s="22" t="s">
        <v>3881</v>
      </c>
      <c r="I1985" s="45">
        <v>6.1418989487E10</v>
      </c>
      <c r="J1985" s="22" t="s">
        <v>3882</v>
      </c>
      <c r="K1985" s="3">
        <v>0.0</v>
      </c>
      <c r="M1985" s="26"/>
      <c r="O1985" s="19" t="str">
        <f t="shared" si="2"/>
        <v/>
      </c>
    </row>
    <row r="1986">
      <c r="A1986" s="3" t="s">
        <v>77</v>
      </c>
      <c r="B1986" s="4" t="s">
        <v>18</v>
      </c>
      <c r="C1986" s="22" t="s">
        <v>197</v>
      </c>
      <c r="D1986" s="23" t="s">
        <v>2461</v>
      </c>
      <c r="E1986" s="29">
        <v>45977.0</v>
      </c>
      <c r="F1986" s="3">
        <v>10.0</v>
      </c>
      <c r="G1986" s="3" t="s">
        <v>92</v>
      </c>
      <c r="H1986" s="22" t="s">
        <v>3832</v>
      </c>
      <c r="I1986" s="45">
        <v>6.1438130491E10</v>
      </c>
      <c r="J1986" s="22" t="s">
        <v>3883</v>
      </c>
      <c r="K1986" s="3">
        <v>0.0</v>
      </c>
      <c r="M1986" s="26"/>
      <c r="O1986" s="19" t="str">
        <f t="shared" si="2"/>
        <v/>
      </c>
    </row>
    <row r="1987">
      <c r="A1987" s="3" t="s">
        <v>1973</v>
      </c>
      <c r="B1987" s="4" t="s">
        <v>31</v>
      </c>
      <c r="C1987" s="22" t="s">
        <v>2030</v>
      </c>
      <c r="D1987" s="23"/>
      <c r="E1987" s="29">
        <v>45977.0</v>
      </c>
      <c r="F1987" s="3">
        <v>5.0</v>
      </c>
      <c r="G1987" s="3" t="s">
        <v>92</v>
      </c>
      <c r="H1987" s="22" t="s">
        <v>3884</v>
      </c>
      <c r="I1987" s="45">
        <v>6.1415238461E10</v>
      </c>
      <c r="J1987" s="22" t="s">
        <v>3885</v>
      </c>
      <c r="K1987" s="3">
        <v>0.0</v>
      </c>
      <c r="M1987" s="26"/>
      <c r="O1987" s="19" t="str">
        <f t="shared" si="2"/>
        <v/>
      </c>
    </row>
    <row r="1988">
      <c r="A1988" s="3" t="s">
        <v>744</v>
      </c>
      <c r="B1988" s="4" t="s">
        <v>18</v>
      </c>
      <c r="C1988" s="22" t="s">
        <v>2293</v>
      </c>
      <c r="D1988" s="23" t="s">
        <v>3886</v>
      </c>
      <c r="E1988" s="29">
        <v>45977.0</v>
      </c>
      <c r="F1988" s="3">
        <v>8.0</v>
      </c>
      <c r="G1988" s="3" t="s">
        <v>92</v>
      </c>
      <c r="H1988" s="22" t="s">
        <v>3887</v>
      </c>
      <c r="I1988" s="45">
        <v>6.1417771075E10</v>
      </c>
      <c r="J1988" s="22" t="s">
        <v>3888</v>
      </c>
      <c r="K1988" s="3">
        <v>0.0</v>
      </c>
      <c r="M1988" s="26"/>
      <c r="O1988" s="19" t="str">
        <f t="shared" si="2"/>
        <v/>
      </c>
    </row>
    <row r="1989">
      <c r="A1989" s="3" t="s">
        <v>1055</v>
      </c>
      <c r="B1989" s="4" t="s">
        <v>31</v>
      </c>
      <c r="C1989" s="22" t="s">
        <v>1056</v>
      </c>
      <c r="D1989" s="23" t="s">
        <v>3889</v>
      </c>
      <c r="E1989" s="29">
        <v>45977.0</v>
      </c>
      <c r="F1989" s="3">
        <v>8.0</v>
      </c>
      <c r="G1989" s="3" t="s">
        <v>92</v>
      </c>
      <c r="H1989" s="22" t="s">
        <v>3890</v>
      </c>
      <c r="I1989" s="45">
        <v>6.1410559221E10</v>
      </c>
      <c r="J1989" s="22" t="s">
        <v>3891</v>
      </c>
      <c r="K1989" s="3">
        <v>0.0</v>
      </c>
      <c r="M1989" s="26"/>
      <c r="O1989" s="19" t="str">
        <f t="shared" si="2"/>
        <v/>
      </c>
    </row>
    <row r="1990">
      <c r="A1990" s="3" t="s">
        <v>69</v>
      </c>
      <c r="B1990" s="4" t="s">
        <v>31</v>
      </c>
      <c r="C1990" s="22" t="s">
        <v>70</v>
      </c>
      <c r="D1990" s="23" t="s">
        <v>3892</v>
      </c>
      <c r="E1990" s="29">
        <v>45977.0</v>
      </c>
      <c r="F1990" s="3">
        <v>8.0</v>
      </c>
      <c r="G1990" s="3" t="s">
        <v>92</v>
      </c>
      <c r="H1990" s="22" t="s">
        <v>3893</v>
      </c>
      <c r="I1990" s="45">
        <v>6.1409607567E10</v>
      </c>
      <c r="J1990" s="22" t="s">
        <v>3894</v>
      </c>
      <c r="K1990" s="3">
        <v>0.0</v>
      </c>
      <c r="M1990" s="26"/>
      <c r="O1990" s="19" t="str">
        <f t="shared" si="2"/>
        <v/>
      </c>
    </row>
    <row r="1991">
      <c r="A1991" s="3" t="s">
        <v>23</v>
      </c>
      <c r="B1991" s="4" t="s">
        <v>18</v>
      </c>
      <c r="C1991" s="22">
        <v>4564.0</v>
      </c>
      <c r="D1991" s="23" t="s">
        <v>3895</v>
      </c>
      <c r="E1991" s="29">
        <v>45977.0</v>
      </c>
      <c r="F1991" s="3">
        <v>9.0</v>
      </c>
      <c r="G1991" s="3" t="s">
        <v>92</v>
      </c>
      <c r="H1991" s="22" t="s">
        <v>3742</v>
      </c>
      <c r="I1991" s="45">
        <v>6.1438754294E10</v>
      </c>
      <c r="J1991" s="22" t="s">
        <v>3743</v>
      </c>
      <c r="K1991" s="3">
        <v>0.0</v>
      </c>
      <c r="M1991" s="26"/>
      <c r="O1991" s="19" t="str">
        <f t="shared" si="2"/>
        <v/>
      </c>
    </row>
    <row r="1992">
      <c r="A1992" s="3" t="s">
        <v>2406</v>
      </c>
      <c r="B1992" s="4" t="s">
        <v>31</v>
      </c>
      <c r="C1992" s="22" t="s">
        <v>2398</v>
      </c>
      <c r="D1992" s="23" t="s">
        <v>3896</v>
      </c>
      <c r="E1992" s="29">
        <v>45977.0</v>
      </c>
      <c r="F1992" s="3">
        <v>8.0</v>
      </c>
      <c r="G1992" s="3" t="s">
        <v>92</v>
      </c>
      <c r="H1992" s="22" t="s">
        <v>3897</v>
      </c>
      <c r="I1992" s="45">
        <v>6.141229929E10</v>
      </c>
      <c r="J1992" s="22" t="s">
        <v>3855</v>
      </c>
      <c r="K1992" s="3">
        <v>0.0</v>
      </c>
      <c r="M1992" s="26"/>
      <c r="O1992" s="19" t="str">
        <f t="shared" si="2"/>
        <v/>
      </c>
    </row>
    <row r="1993">
      <c r="A1993" s="3" t="s">
        <v>246</v>
      </c>
      <c r="B1993" s="4" t="s">
        <v>36</v>
      </c>
      <c r="C1993" s="22" t="s">
        <v>3898</v>
      </c>
      <c r="D1993" s="23" t="s">
        <v>3899</v>
      </c>
      <c r="E1993" s="29">
        <v>45977.0</v>
      </c>
      <c r="F1993" s="3">
        <v>8.0</v>
      </c>
      <c r="G1993" s="3" t="s">
        <v>92</v>
      </c>
      <c r="H1993" s="22" t="s">
        <v>3900</v>
      </c>
      <c r="I1993" s="45">
        <v>6.1418201694E10</v>
      </c>
      <c r="J1993" s="22" t="s">
        <v>3901</v>
      </c>
      <c r="K1993" s="3">
        <v>0.0</v>
      </c>
      <c r="M1993" s="26"/>
      <c r="O1993" s="19" t="str">
        <f t="shared" si="2"/>
        <v/>
      </c>
    </row>
    <row r="1994">
      <c r="A1994" s="3" t="s">
        <v>1055</v>
      </c>
      <c r="B1994" s="4" t="s">
        <v>31</v>
      </c>
      <c r="C1994" s="22">
        <v>2035.0</v>
      </c>
      <c r="D1994" s="23" t="s">
        <v>3902</v>
      </c>
      <c r="E1994" s="29">
        <v>45977.0</v>
      </c>
      <c r="F1994" s="3">
        <v>6.0</v>
      </c>
      <c r="G1994" s="3" t="s">
        <v>92</v>
      </c>
      <c r="H1994" s="22" t="s">
        <v>3903</v>
      </c>
      <c r="I1994" s="45">
        <v>6.14254337E10</v>
      </c>
      <c r="J1994" s="22" t="s">
        <v>3904</v>
      </c>
      <c r="K1994" s="3">
        <v>0.0</v>
      </c>
      <c r="M1994" s="26"/>
      <c r="O1994" s="19" t="str">
        <f t="shared" si="2"/>
        <v/>
      </c>
    </row>
    <row r="1995">
      <c r="A1995" s="3" t="s">
        <v>2266</v>
      </c>
      <c r="B1995" s="4" t="s">
        <v>18</v>
      </c>
      <c r="C1995" s="22" t="s">
        <v>3905</v>
      </c>
      <c r="D1995" s="23"/>
      <c r="E1995" s="29">
        <v>45977.0</v>
      </c>
      <c r="F1995" s="3">
        <v>5.0</v>
      </c>
      <c r="G1995" s="3" t="s">
        <v>92</v>
      </c>
      <c r="H1995" s="22" t="s">
        <v>3906</v>
      </c>
      <c r="I1995" s="45">
        <v>6.1432274798E10</v>
      </c>
      <c r="J1995" s="22" t="s">
        <v>3907</v>
      </c>
      <c r="K1995" s="3">
        <v>0.0</v>
      </c>
      <c r="M1995" s="26"/>
      <c r="O1995" s="19" t="str">
        <f t="shared" si="2"/>
        <v/>
      </c>
    </row>
    <row r="1996">
      <c r="A1996" s="3" t="s">
        <v>114</v>
      </c>
      <c r="B1996" s="4" t="s">
        <v>31</v>
      </c>
      <c r="C1996" s="22">
        <v>2027.0</v>
      </c>
      <c r="D1996" s="23" t="s">
        <v>3908</v>
      </c>
      <c r="E1996" s="29">
        <v>45977.0</v>
      </c>
      <c r="F1996" s="3">
        <v>6.0</v>
      </c>
      <c r="G1996" s="3" t="s">
        <v>92</v>
      </c>
      <c r="H1996" s="22" t="s">
        <v>3909</v>
      </c>
      <c r="I1996" s="45">
        <v>6.1432716852E10</v>
      </c>
      <c r="J1996" s="22" t="s">
        <v>3910</v>
      </c>
      <c r="K1996" s="3">
        <v>0.0</v>
      </c>
      <c r="M1996" s="26"/>
      <c r="O1996" s="19" t="str">
        <f t="shared" si="2"/>
        <v/>
      </c>
    </row>
    <row r="1997">
      <c r="A1997" s="3" t="s">
        <v>114</v>
      </c>
      <c r="B1997" s="4" t="s">
        <v>31</v>
      </c>
      <c r="C1997" s="22">
        <v>2027.0</v>
      </c>
      <c r="D1997" s="23" t="s">
        <v>3908</v>
      </c>
      <c r="E1997" s="29">
        <v>45977.0</v>
      </c>
      <c r="F1997" s="3" t="s">
        <v>22</v>
      </c>
      <c r="G1997" s="3" t="s">
        <v>92</v>
      </c>
      <c r="H1997" s="22" t="s">
        <v>3909</v>
      </c>
      <c r="I1997" s="45">
        <v>6.1432716852E10</v>
      </c>
      <c r="J1997" s="22" t="s">
        <v>3910</v>
      </c>
      <c r="K1997" s="3">
        <v>0.0</v>
      </c>
      <c r="M1997" s="26"/>
      <c r="O1997" s="19" t="str">
        <f t="shared" si="2"/>
        <v/>
      </c>
    </row>
    <row r="1998">
      <c r="A1998" s="3" t="s">
        <v>274</v>
      </c>
      <c r="B1998" s="4" t="s">
        <v>18</v>
      </c>
      <c r="C1998" s="22" t="s">
        <v>3911</v>
      </c>
      <c r="D1998" s="23" t="s">
        <v>3912</v>
      </c>
      <c r="E1998" s="29">
        <v>45977.0</v>
      </c>
      <c r="F1998" s="3">
        <v>8.0</v>
      </c>
      <c r="G1998" s="3" t="s">
        <v>92</v>
      </c>
      <c r="H1998" s="22" t="s">
        <v>3913</v>
      </c>
      <c r="I1998" s="45">
        <v>6.1474205927E10</v>
      </c>
      <c r="J1998" s="22" t="s">
        <v>3914</v>
      </c>
      <c r="K1998" s="3">
        <v>0.0</v>
      </c>
      <c r="M1998" s="26"/>
      <c r="O1998" s="19" t="str">
        <f t="shared" si="2"/>
        <v/>
      </c>
    </row>
    <row r="1999">
      <c r="A1999" s="3" t="s">
        <v>137</v>
      </c>
      <c r="B1999" s="4" t="s">
        <v>18</v>
      </c>
      <c r="C1999" s="22" t="s">
        <v>414</v>
      </c>
      <c r="D1999" s="23" t="s">
        <v>3915</v>
      </c>
      <c r="E1999" s="29">
        <v>45977.0</v>
      </c>
      <c r="F1999" s="3">
        <v>8.0</v>
      </c>
      <c r="G1999" s="3" t="s">
        <v>92</v>
      </c>
      <c r="H1999" s="22" t="s">
        <v>3916</v>
      </c>
      <c r="I1999" s="45">
        <v>6.1421275643E10</v>
      </c>
      <c r="J1999" s="22" t="s">
        <v>3917</v>
      </c>
      <c r="K1999" s="3">
        <v>0.0</v>
      </c>
      <c r="M1999" s="26"/>
      <c r="O1999" s="19" t="str">
        <f t="shared" si="2"/>
        <v/>
      </c>
    </row>
    <row r="2000">
      <c r="A2000" s="3" t="s">
        <v>570</v>
      </c>
      <c r="B2000" s="4" t="s">
        <v>18</v>
      </c>
      <c r="C2000" s="22" t="s">
        <v>766</v>
      </c>
      <c r="D2000" s="23" t="s">
        <v>3918</v>
      </c>
      <c r="E2000" s="29">
        <v>45977.0</v>
      </c>
      <c r="F2000" s="3">
        <v>10.0</v>
      </c>
      <c r="G2000" s="3" t="s">
        <v>92</v>
      </c>
      <c r="H2000" s="22" t="s">
        <v>3919</v>
      </c>
      <c r="I2000" s="45">
        <v>6.1493361664E10</v>
      </c>
      <c r="J2000" s="22" t="s">
        <v>3920</v>
      </c>
      <c r="K2000" s="3">
        <v>0.0</v>
      </c>
      <c r="M2000" s="26"/>
      <c r="O2000" s="19" t="str">
        <f t="shared" si="2"/>
        <v/>
      </c>
    </row>
    <row r="2001">
      <c r="A2001" s="3" t="s">
        <v>3569</v>
      </c>
      <c r="B2001" s="4" t="s">
        <v>18</v>
      </c>
      <c r="C2001" s="22">
        <v>4510.0</v>
      </c>
      <c r="D2001" s="23" t="s">
        <v>3880</v>
      </c>
      <c r="E2001" s="29">
        <v>45977.0</v>
      </c>
      <c r="F2001" s="3">
        <v>8.0</v>
      </c>
      <c r="G2001" s="3" t="s">
        <v>92</v>
      </c>
      <c r="H2001" s="22" t="s">
        <v>3881</v>
      </c>
      <c r="I2001" s="45">
        <v>6.1418989487E10</v>
      </c>
      <c r="J2001" s="22" t="s">
        <v>3882</v>
      </c>
      <c r="K2001" s="3">
        <v>0.0</v>
      </c>
      <c r="M2001" s="26"/>
      <c r="O2001" s="19" t="str">
        <f t="shared" si="2"/>
        <v/>
      </c>
    </row>
    <row r="2002">
      <c r="A2002" s="3" t="s">
        <v>1582</v>
      </c>
      <c r="B2002" s="4" t="s">
        <v>31</v>
      </c>
      <c r="C2002" s="22" t="s">
        <v>1796</v>
      </c>
      <c r="D2002" s="23" t="s">
        <v>3921</v>
      </c>
      <c r="E2002" s="29">
        <v>45977.0</v>
      </c>
      <c r="F2002" s="3">
        <v>8.0</v>
      </c>
      <c r="G2002" s="3" t="s">
        <v>92</v>
      </c>
      <c r="H2002" s="22" t="s">
        <v>3922</v>
      </c>
      <c r="I2002" s="45">
        <v>6.1412566462E10</v>
      </c>
      <c r="J2002" s="22" t="s">
        <v>3923</v>
      </c>
      <c r="K2002" s="3">
        <v>0.0</v>
      </c>
      <c r="M2002" s="26"/>
      <c r="O2002" s="19" t="str">
        <f t="shared" si="2"/>
        <v/>
      </c>
    </row>
    <row r="2003">
      <c r="A2003" s="3" t="s">
        <v>3924</v>
      </c>
      <c r="B2003" s="4" t="s">
        <v>36</v>
      </c>
      <c r="C2003" s="22" t="s">
        <v>1225</v>
      </c>
      <c r="D2003" s="23" t="s">
        <v>3925</v>
      </c>
      <c r="E2003" s="29">
        <v>45977.0</v>
      </c>
      <c r="F2003" s="3">
        <v>8.0</v>
      </c>
      <c r="G2003" s="3" t="s">
        <v>92</v>
      </c>
      <c r="H2003" s="22" t="s">
        <v>3926</v>
      </c>
      <c r="I2003" s="45">
        <v>6.1419371131E10</v>
      </c>
      <c r="J2003" s="22" t="s">
        <v>3927</v>
      </c>
      <c r="K2003" s="3">
        <v>0.0</v>
      </c>
      <c r="M2003" s="26"/>
      <c r="O2003" s="19" t="str">
        <f t="shared" si="2"/>
        <v/>
      </c>
    </row>
    <row r="2004">
      <c r="A2004" s="3" t="s">
        <v>305</v>
      </c>
      <c r="B2004" s="4" t="s">
        <v>36</v>
      </c>
      <c r="C2004" s="22" t="s">
        <v>327</v>
      </c>
      <c r="D2004" s="23" t="s">
        <v>3928</v>
      </c>
      <c r="E2004" s="29">
        <v>45977.0</v>
      </c>
      <c r="F2004" s="3">
        <v>8.0</v>
      </c>
      <c r="G2004" s="3" t="s">
        <v>92</v>
      </c>
      <c r="H2004" s="22" t="s">
        <v>3929</v>
      </c>
      <c r="I2004" s="45">
        <v>6.14380823E10</v>
      </c>
      <c r="J2004" s="22" t="s">
        <v>3930</v>
      </c>
      <c r="K2004" s="3">
        <v>0.0</v>
      </c>
      <c r="M2004" s="26"/>
      <c r="O2004" s="19" t="str">
        <f t="shared" si="2"/>
        <v/>
      </c>
    </row>
    <row r="2005">
      <c r="A2005" s="3" t="s">
        <v>1973</v>
      </c>
      <c r="B2005" s="4" t="s">
        <v>31</v>
      </c>
      <c r="C2005" s="22">
        <v>2456.0</v>
      </c>
      <c r="D2005" s="23" t="s">
        <v>3931</v>
      </c>
      <c r="E2005" s="29">
        <v>45977.0</v>
      </c>
      <c r="F2005" s="3">
        <v>8.0</v>
      </c>
      <c r="G2005" s="3" t="s">
        <v>92</v>
      </c>
      <c r="H2005" s="22" t="s">
        <v>3932</v>
      </c>
      <c r="I2005" s="45">
        <v>6.1428548618E10</v>
      </c>
      <c r="J2005" s="22" t="s">
        <v>3933</v>
      </c>
      <c r="K2005" s="3">
        <v>0.0</v>
      </c>
      <c r="M2005" s="26"/>
      <c r="O2005" s="19" t="str">
        <f t="shared" si="2"/>
        <v/>
      </c>
    </row>
    <row r="2006">
      <c r="A2006" s="3" t="s">
        <v>3586</v>
      </c>
      <c r="B2006" s="4" t="s">
        <v>31</v>
      </c>
      <c r="C2006" s="22">
        <v>2768.0</v>
      </c>
      <c r="D2006" s="23" t="s">
        <v>3934</v>
      </c>
      <c r="E2006" s="29">
        <v>45977.0</v>
      </c>
      <c r="F2006" s="3">
        <v>8.0</v>
      </c>
      <c r="G2006" s="3" t="s">
        <v>92</v>
      </c>
      <c r="H2006" s="22" t="s">
        <v>3935</v>
      </c>
      <c r="I2006" s="45">
        <v>6.1408111962E10</v>
      </c>
      <c r="J2006" s="22" t="s">
        <v>3936</v>
      </c>
      <c r="K2006" s="3">
        <v>0.0</v>
      </c>
      <c r="M2006" s="26"/>
      <c r="O2006" s="19" t="str">
        <f t="shared" si="2"/>
        <v/>
      </c>
    </row>
    <row r="2007">
      <c r="A2007" s="3" t="s">
        <v>61</v>
      </c>
      <c r="B2007" s="4" t="s">
        <v>18</v>
      </c>
      <c r="C2007" s="22" t="s">
        <v>62</v>
      </c>
      <c r="D2007" s="23" t="s">
        <v>3937</v>
      </c>
      <c r="E2007" s="29">
        <v>45977.0</v>
      </c>
      <c r="F2007" s="3">
        <v>6.0</v>
      </c>
      <c r="G2007" s="3" t="s">
        <v>92</v>
      </c>
      <c r="H2007" s="22" t="s">
        <v>3938</v>
      </c>
      <c r="I2007" s="45">
        <v>6.1422406398E10</v>
      </c>
      <c r="J2007" s="22" t="s">
        <v>3939</v>
      </c>
      <c r="K2007" s="3">
        <v>0.0</v>
      </c>
      <c r="M2007" s="26"/>
      <c r="O2007" s="19" t="str">
        <f t="shared" si="2"/>
        <v/>
      </c>
    </row>
    <row r="2008">
      <c r="A2008" s="3" t="s">
        <v>84</v>
      </c>
      <c r="B2008" s="4" t="s">
        <v>31</v>
      </c>
      <c r="C2008" s="22" t="s">
        <v>3940</v>
      </c>
      <c r="D2008" s="23" t="s">
        <v>3941</v>
      </c>
      <c r="E2008" s="29">
        <v>45977.0</v>
      </c>
      <c r="F2008" s="3">
        <v>8.0</v>
      </c>
      <c r="G2008" s="3" t="s">
        <v>92</v>
      </c>
      <c r="H2008" s="22" t="s">
        <v>3942</v>
      </c>
      <c r="I2008" s="45">
        <v>6.1425295597E10</v>
      </c>
      <c r="J2008" s="22" t="s">
        <v>3943</v>
      </c>
      <c r="K2008" s="3">
        <v>0.0</v>
      </c>
      <c r="M2008" s="26"/>
      <c r="O2008" s="19" t="str">
        <f t="shared" si="2"/>
        <v/>
      </c>
    </row>
    <row r="2009">
      <c r="A2009" s="3" t="s">
        <v>184</v>
      </c>
      <c r="B2009" s="4" t="s">
        <v>18</v>
      </c>
      <c r="C2009" s="22" t="s">
        <v>3944</v>
      </c>
      <c r="D2009" s="23" t="s">
        <v>3945</v>
      </c>
      <c r="E2009" s="29">
        <v>45977.0</v>
      </c>
      <c r="F2009" s="3">
        <v>8.0</v>
      </c>
      <c r="G2009" s="3" t="s">
        <v>92</v>
      </c>
      <c r="H2009" s="22" t="s">
        <v>3946</v>
      </c>
      <c r="I2009" s="45">
        <v>6.1437200203E10</v>
      </c>
      <c r="J2009" s="22" t="s">
        <v>3947</v>
      </c>
      <c r="K2009" s="3">
        <v>0.0</v>
      </c>
      <c r="M2009" s="26"/>
      <c r="O2009" s="19" t="str">
        <f t="shared" si="2"/>
        <v/>
      </c>
    </row>
    <row r="2010">
      <c r="A2010" s="3" t="s">
        <v>23</v>
      </c>
      <c r="B2010" s="4" t="s">
        <v>18</v>
      </c>
      <c r="C2010" s="22" t="s">
        <v>228</v>
      </c>
      <c r="D2010" s="23"/>
      <c r="E2010" s="29">
        <v>45977.0</v>
      </c>
      <c r="F2010" s="3">
        <v>5.0</v>
      </c>
      <c r="G2010" s="3" t="s">
        <v>92</v>
      </c>
      <c r="H2010" s="22" t="s">
        <v>3948</v>
      </c>
      <c r="I2010" s="45">
        <v>6.1401950934E10</v>
      </c>
      <c r="J2010" s="22" t="s">
        <v>3949</v>
      </c>
      <c r="K2010" s="3">
        <v>0.0</v>
      </c>
      <c r="M2010" s="26"/>
      <c r="O2010" s="19" t="str">
        <f t="shared" si="2"/>
        <v/>
      </c>
    </row>
    <row r="2011">
      <c r="A2011" s="3" t="s">
        <v>69</v>
      </c>
      <c r="B2011" s="4" t="s">
        <v>31</v>
      </c>
      <c r="C2011" s="22" t="s">
        <v>3950</v>
      </c>
      <c r="D2011" s="23" t="s">
        <v>3951</v>
      </c>
      <c r="E2011" s="29">
        <v>45977.0</v>
      </c>
      <c r="F2011" s="3">
        <v>8.0</v>
      </c>
      <c r="G2011" s="3" t="s">
        <v>92</v>
      </c>
      <c r="H2011" s="22" t="s">
        <v>3952</v>
      </c>
      <c r="I2011" s="45">
        <v>6.1414691851E10</v>
      </c>
      <c r="J2011" s="22" t="s">
        <v>3953</v>
      </c>
      <c r="K2011" s="3">
        <v>0.0</v>
      </c>
      <c r="M2011" s="26"/>
      <c r="O2011" s="19" t="str">
        <f t="shared" si="2"/>
        <v/>
      </c>
    </row>
    <row r="2012">
      <c r="A2012" s="3" t="s">
        <v>532</v>
      </c>
      <c r="B2012" s="4" t="s">
        <v>18</v>
      </c>
      <c r="C2012" s="22" t="s">
        <v>164</v>
      </c>
      <c r="D2012" s="23" t="s">
        <v>3954</v>
      </c>
      <c r="E2012" s="29">
        <v>45977.0</v>
      </c>
      <c r="F2012" s="3">
        <v>8.0</v>
      </c>
      <c r="G2012" s="3" t="s">
        <v>92</v>
      </c>
      <c r="H2012" s="22" t="s">
        <v>3955</v>
      </c>
      <c r="I2012" s="45">
        <v>6.143486105E10</v>
      </c>
      <c r="J2012" s="22" t="s">
        <v>3956</v>
      </c>
      <c r="K2012" s="3">
        <v>0.0</v>
      </c>
      <c r="M2012" s="26"/>
      <c r="O2012" s="19" t="str">
        <f t="shared" si="2"/>
        <v/>
      </c>
    </row>
    <row r="2013">
      <c r="A2013" s="3" t="s">
        <v>817</v>
      </c>
      <c r="B2013" s="4" t="s">
        <v>36</v>
      </c>
      <c r="C2013" s="22" t="s">
        <v>818</v>
      </c>
      <c r="D2013" s="22" t="s">
        <v>3957</v>
      </c>
      <c r="E2013" s="29" t="s">
        <v>3958</v>
      </c>
      <c r="F2013" s="3" t="s">
        <v>27</v>
      </c>
      <c r="G2013" s="3" t="s">
        <v>1453</v>
      </c>
      <c r="H2013" s="22" t="s">
        <v>3959</v>
      </c>
      <c r="I2013" s="45">
        <v>61407349896</v>
      </c>
      <c r="J2013" s="22" t="s">
        <v>3960</v>
      </c>
      <c r="K2013" s="3"/>
      <c r="M2013" s="26"/>
      <c r="O2013" s="19" t="str">
        <f t="shared" si="2"/>
        <v/>
      </c>
    </row>
    <row r="2014">
      <c r="A2014" s="3" t="s">
        <v>305</v>
      </c>
      <c r="B2014" s="4" t="s">
        <v>36</v>
      </c>
      <c r="C2014" s="22" t="s">
        <v>331</v>
      </c>
      <c r="D2014" s="23" t="s">
        <v>3961</v>
      </c>
      <c r="E2014" s="29">
        <v>45977.0</v>
      </c>
      <c r="F2014" s="3">
        <v>8.0</v>
      </c>
      <c r="G2014" s="3" t="s">
        <v>92</v>
      </c>
      <c r="H2014" s="22" t="s">
        <v>3962</v>
      </c>
      <c r="I2014" s="45">
        <v>6.1411723375E10</v>
      </c>
      <c r="J2014" s="22" t="s">
        <v>3963</v>
      </c>
      <c r="K2014" s="3">
        <v>0.0</v>
      </c>
      <c r="M2014" s="26"/>
      <c r="O2014" s="19" t="str">
        <f t="shared" si="2"/>
        <v/>
      </c>
    </row>
    <row r="2015">
      <c r="A2015" s="3" t="s">
        <v>717</v>
      </c>
      <c r="B2015" s="4" t="s">
        <v>36</v>
      </c>
      <c r="C2015" s="22" t="s">
        <v>929</v>
      </c>
      <c r="D2015" s="23"/>
      <c r="E2015" s="29">
        <v>45978.0</v>
      </c>
      <c r="F2015" s="3">
        <v>5.0</v>
      </c>
      <c r="G2015" s="3" t="s">
        <v>92</v>
      </c>
      <c r="H2015" s="22" t="s">
        <v>3964</v>
      </c>
      <c r="I2015" s="45">
        <v>6.1418711204E10</v>
      </c>
      <c r="J2015" s="22" t="s">
        <v>3965</v>
      </c>
      <c r="K2015" s="3">
        <v>0.0</v>
      </c>
      <c r="M2015" s="26"/>
      <c r="O2015" s="19" t="str">
        <f t="shared" si="2"/>
        <v/>
      </c>
    </row>
    <row r="2016">
      <c r="A2016" s="3" t="s">
        <v>305</v>
      </c>
      <c r="B2016" s="4" t="s">
        <v>36</v>
      </c>
      <c r="C2016" s="22" t="s">
        <v>1111</v>
      </c>
      <c r="D2016" s="39" t="s">
        <v>3966</v>
      </c>
      <c r="E2016" s="29">
        <v>45978.0</v>
      </c>
      <c r="F2016" s="3">
        <v>8.0</v>
      </c>
      <c r="G2016" s="3" t="s">
        <v>92</v>
      </c>
      <c r="H2016" s="22" t="s">
        <v>3967</v>
      </c>
      <c r="I2016" s="45">
        <v>6.1412707312E10</v>
      </c>
      <c r="J2016" s="22" t="s">
        <v>3968</v>
      </c>
      <c r="K2016" s="3">
        <v>0.0</v>
      </c>
      <c r="M2016" s="26"/>
      <c r="O2016" s="19" t="str">
        <f t="shared" si="2"/>
        <v/>
      </c>
    </row>
    <row r="2017">
      <c r="A2017" s="3" t="s">
        <v>1055</v>
      </c>
      <c r="B2017" s="4" t="s">
        <v>31</v>
      </c>
      <c r="C2017" s="22" t="s">
        <v>1721</v>
      </c>
      <c r="D2017" s="23" t="s">
        <v>3969</v>
      </c>
      <c r="E2017" s="29">
        <v>45978.0</v>
      </c>
      <c r="F2017" s="3">
        <v>8.0</v>
      </c>
      <c r="G2017" s="3" t="s">
        <v>92</v>
      </c>
      <c r="H2017" s="22" t="s">
        <v>3970</v>
      </c>
      <c r="I2017" s="45">
        <v>6.1425188122E10</v>
      </c>
      <c r="J2017" s="22" t="s">
        <v>3971</v>
      </c>
      <c r="K2017" s="3">
        <v>0.0</v>
      </c>
      <c r="M2017" s="26"/>
      <c r="O2017" s="19" t="str">
        <f t="shared" si="2"/>
        <v/>
      </c>
    </row>
    <row r="2018">
      <c r="A2018" s="3" t="s">
        <v>669</v>
      </c>
      <c r="B2018" s="4" t="s">
        <v>31</v>
      </c>
      <c r="C2018" s="22" t="s">
        <v>924</v>
      </c>
      <c r="D2018" s="23" t="s">
        <v>3972</v>
      </c>
      <c r="E2018" s="29">
        <v>45978.0</v>
      </c>
      <c r="F2018" s="3">
        <v>8.0</v>
      </c>
      <c r="G2018" s="3" t="s">
        <v>92</v>
      </c>
      <c r="H2018" s="22" t="s">
        <v>3973</v>
      </c>
      <c r="I2018" s="45">
        <v>6.1424942332E10</v>
      </c>
      <c r="J2018" s="22" t="s">
        <v>3974</v>
      </c>
      <c r="K2018" s="3">
        <v>0.0</v>
      </c>
      <c r="M2018" s="26"/>
      <c r="O2018" s="19" t="str">
        <f t="shared" si="2"/>
        <v/>
      </c>
    </row>
    <row r="2019">
      <c r="A2019" s="3" t="s">
        <v>744</v>
      </c>
      <c r="B2019" s="4" t="s">
        <v>18</v>
      </c>
      <c r="C2019" s="22" t="s">
        <v>1756</v>
      </c>
      <c r="D2019" s="23" t="s">
        <v>3975</v>
      </c>
      <c r="E2019" s="29">
        <v>45978.0</v>
      </c>
      <c r="F2019" s="3">
        <v>8.0</v>
      </c>
      <c r="G2019" s="3" t="s">
        <v>92</v>
      </c>
      <c r="H2019" s="22" t="s">
        <v>3976</v>
      </c>
      <c r="I2019" s="45">
        <v>6.1432810922E10</v>
      </c>
      <c r="J2019" s="22" t="s">
        <v>3977</v>
      </c>
      <c r="K2019" s="3">
        <v>0.0</v>
      </c>
      <c r="M2019" s="26"/>
      <c r="O2019" s="19" t="str">
        <f t="shared" si="2"/>
        <v/>
      </c>
    </row>
    <row r="2020">
      <c r="A2020" s="3" t="s">
        <v>1660</v>
      </c>
      <c r="B2020" s="4" t="s">
        <v>36</v>
      </c>
      <c r="C2020" s="22" t="s">
        <v>3978</v>
      </c>
      <c r="D2020" s="23" t="s">
        <v>3979</v>
      </c>
      <c r="E2020" s="29">
        <v>45978.0</v>
      </c>
      <c r="F2020" s="3">
        <v>8.0</v>
      </c>
      <c r="G2020" s="3" t="s">
        <v>92</v>
      </c>
      <c r="H2020" s="22" t="s">
        <v>3980</v>
      </c>
      <c r="I2020" s="45">
        <v>6.1429180254E10</v>
      </c>
      <c r="J2020" s="22" t="s">
        <v>3981</v>
      </c>
      <c r="K2020" s="3">
        <v>0.0</v>
      </c>
      <c r="M2020" s="26"/>
      <c r="O2020" s="19" t="str">
        <f t="shared" si="2"/>
        <v/>
      </c>
    </row>
    <row r="2021">
      <c r="A2021" s="3" t="s">
        <v>3436</v>
      </c>
      <c r="B2021" s="4" t="s">
        <v>18</v>
      </c>
      <c r="C2021" s="22" t="s">
        <v>2174</v>
      </c>
      <c r="D2021" s="23" t="s">
        <v>3982</v>
      </c>
      <c r="E2021" s="29">
        <v>45978.0</v>
      </c>
      <c r="F2021" s="3">
        <v>8.0</v>
      </c>
      <c r="G2021" s="3" t="s">
        <v>92</v>
      </c>
      <c r="H2021" s="22" t="s">
        <v>3983</v>
      </c>
      <c r="I2021" s="45">
        <v>6.1407389453E10</v>
      </c>
      <c r="J2021" s="22" t="s">
        <v>3984</v>
      </c>
      <c r="K2021" s="3">
        <v>0.0</v>
      </c>
      <c r="M2021" s="26"/>
      <c r="O2021" s="19" t="str">
        <f t="shared" si="2"/>
        <v/>
      </c>
    </row>
    <row r="2022">
      <c r="A2022" s="3" t="s">
        <v>3586</v>
      </c>
      <c r="B2022" s="4" t="s">
        <v>31</v>
      </c>
      <c r="C2022" s="22" t="s">
        <v>3985</v>
      </c>
      <c r="D2022" s="23" t="s">
        <v>3986</v>
      </c>
      <c r="E2022" s="29">
        <v>45978.0</v>
      </c>
      <c r="F2022" s="3">
        <v>6.0</v>
      </c>
      <c r="G2022" s="3" t="s">
        <v>92</v>
      </c>
      <c r="H2022" s="22" t="s">
        <v>3987</v>
      </c>
      <c r="I2022" s="45">
        <v>6.1416141965E10</v>
      </c>
      <c r="J2022" s="22" t="s">
        <v>3988</v>
      </c>
      <c r="K2022" s="3">
        <v>0.0</v>
      </c>
      <c r="M2022" s="26"/>
      <c r="O2022" s="19" t="str">
        <f t="shared" si="2"/>
        <v/>
      </c>
    </row>
    <row r="2023">
      <c r="A2023" s="3" t="s">
        <v>479</v>
      </c>
      <c r="B2023" s="4" t="s">
        <v>18</v>
      </c>
      <c r="C2023" s="22" t="s">
        <v>548</v>
      </c>
      <c r="D2023" s="23" t="s">
        <v>3989</v>
      </c>
      <c r="E2023" s="29">
        <v>45978.0</v>
      </c>
      <c r="F2023" s="3">
        <v>8.0</v>
      </c>
      <c r="G2023" s="3" t="s">
        <v>92</v>
      </c>
      <c r="H2023" s="22" t="s">
        <v>3990</v>
      </c>
      <c r="I2023" s="45">
        <v>6.1484591685E10</v>
      </c>
      <c r="J2023" s="22" t="s">
        <v>3991</v>
      </c>
      <c r="K2023" s="3">
        <v>0.0</v>
      </c>
      <c r="M2023" s="26"/>
      <c r="O2023" s="19" t="str">
        <f t="shared" si="2"/>
        <v/>
      </c>
    </row>
    <row r="2024">
      <c r="A2024" s="3" t="s">
        <v>435</v>
      </c>
      <c r="B2024" s="4" t="s">
        <v>18</v>
      </c>
      <c r="C2024" s="22" t="s">
        <v>3992</v>
      </c>
      <c r="D2024" s="23" t="s">
        <v>3993</v>
      </c>
      <c r="E2024" s="29">
        <v>45978.0</v>
      </c>
      <c r="F2024" s="3">
        <v>8.0</v>
      </c>
      <c r="G2024" s="3" t="s">
        <v>92</v>
      </c>
      <c r="H2024" s="22" t="s">
        <v>3994</v>
      </c>
      <c r="I2024" s="45">
        <v>6.1416229006E10</v>
      </c>
      <c r="J2024" s="22" t="s">
        <v>3995</v>
      </c>
      <c r="K2024" s="3">
        <v>0.0</v>
      </c>
      <c r="M2024" s="26"/>
      <c r="O2024" s="19" t="str">
        <f t="shared" si="2"/>
        <v/>
      </c>
    </row>
    <row r="2025">
      <c r="A2025" s="3" t="s">
        <v>305</v>
      </c>
      <c r="B2025" s="4" t="s">
        <v>36</v>
      </c>
      <c r="C2025" s="22" t="s">
        <v>3996</v>
      </c>
      <c r="D2025" s="23" t="s">
        <v>3997</v>
      </c>
      <c r="E2025" s="29">
        <v>45978.0</v>
      </c>
      <c r="F2025" s="3">
        <v>8.0</v>
      </c>
      <c r="G2025" s="3" t="s">
        <v>92</v>
      </c>
      <c r="H2025" s="22" t="s">
        <v>3998</v>
      </c>
      <c r="I2025" s="45">
        <v>6.1409952969E10</v>
      </c>
      <c r="J2025" s="22" t="s">
        <v>3999</v>
      </c>
      <c r="K2025" s="3">
        <v>0.0</v>
      </c>
      <c r="M2025" s="26"/>
      <c r="O2025" s="19" t="str">
        <f t="shared" si="2"/>
        <v/>
      </c>
    </row>
    <row r="2026">
      <c r="A2026" s="3" t="s">
        <v>77</v>
      </c>
      <c r="B2026" s="4" t="s">
        <v>18</v>
      </c>
      <c r="C2026" s="22" t="s">
        <v>1903</v>
      </c>
      <c r="D2026" s="23" t="s">
        <v>4000</v>
      </c>
      <c r="E2026" s="29">
        <v>45978.0</v>
      </c>
      <c r="F2026" s="3">
        <v>8.0</v>
      </c>
      <c r="G2026" s="3" t="s">
        <v>92</v>
      </c>
      <c r="H2026" s="22" t="s">
        <v>4001</v>
      </c>
      <c r="I2026" s="45">
        <v>6.1412057331E10</v>
      </c>
      <c r="J2026" s="22" t="s">
        <v>4002</v>
      </c>
      <c r="K2026" s="3">
        <v>0.0</v>
      </c>
      <c r="M2026" s="26"/>
      <c r="O2026" s="19" t="str">
        <f t="shared" si="2"/>
        <v/>
      </c>
    </row>
    <row r="2027">
      <c r="A2027" s="3" t="s">
        <v>744</v>
      </c>
      <c r="B2027" s="4" t="s">
        <v>18</v>
      </c>
      <c r="C2027" s="22" t="s">
        <v>853</v>
      </c>
      <c r="D2027" s="22" t="s">
        <v>4003</v>
      </c>
      <c r="E2027" s="29">
        <v>45978.0</v>
      </c>
      <c r="F2027" s="3" t="s">
        <v>27</v>
      </c>
      <c r="G2027" s="3" t="s">
        <v>129</v>
      </c>
      <c r="H2027" s="22" t="s">
        <v>4004</v>
      </c>
      <c r="I2027" s="45">
        <v>6.1438764965E10</v>
      </c>
      <c r="J2027" s="22" t="s">
        <v>4005</v>
      </c>
      <c r="K2027" s="43">
        <v>750.0</v>
      </c>
      <c r="M2027" s="26"/>
      <c r="O2027" s="19" t="str">
        <f t="shared" si="2"/>
        <v/>
      </c>
    </row>
    <row r="2028">
      <c r="A2028" s="3" t="s">
        <v>4006</v>
      </c>
      <c r="B2028" s="4" t="s">
        <v>45</v>
      </c>
      <c r="C2028" s="22" t="s">
        <v>3185</v>
      </c>
      <c r="D2028" s="22" t="s">
        <v>4007</v>
      </c>
      <c r="E2028" s="29" t="s">
        <v>3958</v>
      </c>
      <c r="F2028" s="3" t="s">
        <v>27</v>
      </c>
      <c r="G2028" s="3" t="s">
        <v>1453</v>
      </c>
      <c r="H2028" s="22" t="s">
        <v>4008</v>
      </c>
      <c r="I2028" s="45">
        <v>61400755929</v>
      </c>
      <c r="J2028" s="22" t="s">
        <v>4009</v>
      </c>
      <c r="K2028" s="43"/>
      <c r="M2028" s="26"/>
      <c r="O2028" s="19" t="str">
        <f t="shared" si="2"/>
        <v/>
      </c>
    </row>
    <row r="2029">
      <c r="A2029" s="3" t="s">
        <v>3586</v>
      </c>
      <c r="B2029" s="4" t="s">
        <v>31</v>
      </c>
      <c r="C2029" s="22" t="s">
        <v>4010</v>
      </c>
      <c r="D2029" s="22" t="s">
        <v>4011</v>
      </c>
      <c r="E2029" s="29">
        <v>45978.0</v>
      </c>
      <c r="F2029" s="3" t="s">
        <v>27</v>
      </c>
      <c r="G2029" s="3" t="s">
        <v>129</v>
      </c>
      <c r="H2029" s="22" t="s">
        <v>4012</v>
      </c>
      <c r="I2029" s="45">
        <v>6.1416141965E10</v>
      </c>
      <c r="J2029" s="22" t="s">
        <v>3988</v>
      </c>
      <c r="K2029" s="43">
        <v>1000.0</v>
      </c>
      <c r="M2029" s="26"/>
      <c r="O2029" s="19" t="str">
        <f t="shared" si="2"/>
        <v/>
      </c>
    </row>
    <row r="2030">
      <c r="A2030" s="3" t="s">
        <v>3586</v>
      </c>
      <c r="B2030" s="4" t="s">
        <v>31</v>
      </c>
      <c r="C2030" s="22" t="s">
        <v>1583</v>
      </c>
      <c r="D2030" s="22" t="s">
        <v>4013</v>
      </c>
      <c r="E2030" s="29">
        <v>45978.0</v>
      </c>
      <c r="F2030" s="3" t="s">
        <v>27</v>
      </c>
      <c r="G2030" s="3" t="s">
        <v>129</v>
      </c>
      <c r="H2030" s="22" t="s">
        <v>4014</v>
      </c>
      <c r="I2030" s="45">
        <v>6.1408247733E10</v>
      </c>
      <c r="J2030" s="22" t="s">
        <v>4015</v>
      </c>
      <c r="K2030" s="43">
        <v>2000.0</v>
      </c>
      <c r="M2030" s="26"/>
      <c r="O2030" s="19" t="str">
        <f t="shared" si="2"/>
        <v/>
      </c>
    </row>
    <row r="2031">
      <c r="A2031" s="3" t="s">
        <v>1320</v>
      </c>
      <c r="B2031" s="4" t="s">
        <v>45</v>
      </c>
      <c r="C2031" s="22" t="s">
        <v>1445</v>
      </c>
      <c r="D2031" s="22" t="s">
        <v>4016</v>
      </c>
      <c r="E2031" s="29" t="s">
        <v>3958</v>
      </c>
      <c r="F2031" s="3" t="s">
        <v>27</v>
      </c>
      <c r="G2031" s="3" t="s">
        <v>1453</v>
      </c>
      <c r="H2031" s="22" t="s">
        <v>4017</v>
      </c>
      <c r="I2031" s="45">
        <v>61419850559</v>
      </c>
      <c r="J2031" s="22" t="s">
        <v>4018</v>
      </c>
      <c r="K2031" s="43"/>
      <c r="M2031" s="26"/>
      <c r="O2031" s="19" t="str">
        <f t="shared" si="2"/>
        <v/>
      </c>
    </row>
    <row r="2032">
      <c r="A2032" s="3" t="s">
        <v>44</v>
      </c>
      <c r="B2032" s="4" t="s">
        <v>45</v>
      </c>
      <c r="C2032" s="22" t="s">
        <v>46</v>
      </c>
      <c r="D2032" s="22" t="s">
        <v>4019</v>
      </c>
      <c r="E2032" s="29" t="s">
        <v>3958</v>
      </c>
      <c r="F2032" s="3" t="s">
        <v>27</v>
      </c>
      <c r="G2032" s="3" t="s">
        <v>129</v>
      </c>
      <c r="H2032" s="22" t="s">
        <v>4020</v>
      </c>
      <c r="I2032" s="45">
        <v>610432554020</v>
      </c>
      <c r="J2032" s="22" t="s">
        <v>4021</v>
      </c>
      <c r="K2032" s="43">
        <v>500.0</v>
      </c>
      <c r="M2032" s="26"/>
      <c r="O2032" s="19" t="str">
        <f t="shared" si="2"/>
        <v/>
      </c>
    </row>
    <row r="2033">
      <c r="A2033" s="3" t="s">
        <v>3189</v>
      </c>
      <c r="B2033" s="4" t="s">
        <v>18</v>
      </c>
      <c r="C2033" s="22" t="s">
        <v>2516</v>
      </c>
      <c r="D2033" s="22" t="s">
        <v>4022</v>
      </c>
      <c r="E2033" s="29" t="s">
        <v>3958</v>
      </c>
      <c r="F2033" s="3" t="s">
        <v>22</v>
      </c>
      <c r="G2033" s="3" t="s">
        <v>1453</v>
      </c>
      <c r="H2033" s="22" t="s">
        <v>4023</v>
      </c>
      <c r="I2033" s="45">
        <v>61407718326</v>
      </c>
      <c r="J2033" s="22" t="s">
        <v>4024</v>
      </c>
      <c r="K2033" s="3">
        <v>0.0</v>
      </c>
      <c r="M2033" s="26"/>
      <c r="O2033" s="19" t="str">
        <f t="shared" si="2"/>
        <v/>
      </c>
    </row>
    <row r="2034">
      <c r="A2034" s="3" t="s">
        <v>3924</v>
      </c>
      <c r="B2034" s="4" t="s">
        <v>36</v>
      </c>
      <c r="C2034" s="22" t="s">
        <v>1225</v>
      </c>
      <c r="D2034" s="23" t="s">
        <v>4025</v>
      </c>
      <c r="E2034" s="29">
        <v>45978.0</v>
      </c>
      <c r="F2034" s="3">
        <v>8.0</v>
      </c>
      <c r="G2034" s="3" t="s">
        <v>92</v>
      </c>
      <c r="H2034" s="22" t="s">
        <v>4026</v>
      </c>
      <c r="I2034" s="45">
        <v>6.1438725168E10</v>
      </c>
      <c r="J2034" s="22" t="s">
        <v>4027</v>
      </c>
      <c r="K2034" s="3">
        <v>0.0</v>
      </c>
      <c r="M2034" s="26"/>
      <c r="O2034" s="19" t="str">
        <f t="shared" si="2"/>
        <v/>
      </c>
    </row>
    <row r="2035">
      <c r="A2035" s="3" t="s">
        <v>23</v>
      </c>
      <c r="B2035" s="4" t="s">
        <v>18</v>
      </c>
      <c r="C2035" s="22" t="s">
        <v>4028</v>
      </c>
      <c r="D2035" s="23" t="s">
        <v>4029</v>
      </c>
      <c r="E2035" s="29">
        <v>45978.0</v>
      </c>
      <c r="F2035" s="3">
        <v>6.0</v>
      </c>
      <c r="G2035" s="3" t="s">
        <v>92</v>
      </c>
      <c r="H2035" s="22" t="s">
        <v>4030</v>
      </c>
      <c r="I2035" s="45">
        <v>6.145889052E10</v>
      </c>
      <c r="J2035" s="22" t="s">
        <v>4031</v>
      </c>
      <c r="K2035" s="3">
        <v>0.0</v>
      </c>
      <c r="M2035" s="26"/>
      <c r="O2035" s="19" t="str">
        <f t="shared" si="2"/>
        <v/>
      </c>
    </row>
    <row r="2036">
      <c r="A2036" s="3" t="s">
        <v>4032</v>
      </c>
      <c r="B2036" s="4" t="s">
        <v>36</v>
      </c>
      <c r="C2036" s="22" t="s">
        <v>4033</v>
      </c>
      <c r="D2036" s="23"/>
      <c r="E2036" s="29">
        <v>45978.0</v>
      </c>
      <c r="F2036" s="3">
        <v>5.0</v>
      </c>
      <c r="G2036" s="3" t="s">
        <v>92</v>
      </c>
      <c r="H2036" s="22" t="s">
        <v>4034</v>
      </c>
      <c r="I2036" s="45">
        <v>6.1412905271E10</v>
      </c>
      <c r="J2036" s="22" t="s">
        <v>4035</v>
      </c>
      <c r="K2036" s="3">
        <v>0.0</v>
      </c>
      <c r="M2036" s="26"/>
      <c r="O2036" s="19" t="str">
        <f t="shared" si="2"/>
        <v/>
      </c>
    </row>
    <row r="2037">
      <c r="A2037" s="3" t="s">
        <v>435</v>
      </c>
      <c r="B2037" s="4" t="s">
        <v>18</v>
      </c>
      <c r="C2037" s="22" t="s">
        <v>1391</v>
      </c>
      <c r="D2037" s="23" t="s">
        <v>4036</v>
      </c>
      <c r="E2037" s="29">
        <v>45978.0</v>
      </c>
      <c r="F2037" s="3">
        <v>8.0</v>
      </c>
      <c r="G2037" s="3" t="s">
        <v>92</v>
      </c>
      <c r="H2037" s="22" t="s">
        <v>4037</v>
      </c>
      <c r="I2037" s="45">
        <v>6.141120255E10</v>
      </c>
      <c r="J2037" s="22" t="s">
        <v>4038</v>
      </c>
      <c r="K2037" s="3">
        <v>0.0</v>
      </c>
      <c r="M2037" s="26"/>
      <c r="O2037" s="19" t="str">
        <f t="shared" si="2"/>
        <v/>
      </c>
    </row>
    <row r="2038">
      <c r="A2038" s="3" t="s">
        <v>23</v>
      </c>
      <c r="B2038" s="4" t="s">
        <v>18</v>
      </c>
      <c r="C2038" s="22" t="s">
        <v>4028</v>
      </c>
      <c r="D2038" s="23" t="s">
        <v>4039</v>
      </c>
      <c r="E2038" s="29">
        <v>45978.0</v>
      </c>
      <c r="F2038" s="3">
        <v>6.0</v>
      </c>
      <c r="G2038" s="3" t="s">
        <v>92</v>
      </c>
      <c r="H2038" s="22" t="s">
        <v>4040</v>
      </c>
      <c r="I2038" s="45">
        <v>6.1493291957E10</v>
      </c>
      <c r="J2038" s="22" t="s">
        <v>4041</v>
      </c>
      <c r="K2038" s="3">
        <v>0.0</v>
      </c>
      <c r="M2038" s="26"/>
      <c r="O2038" s="19" t="str">
        <f t="shared" si="2"/>
        <v/>
      </c>
    </row>
    <row r="2039">
      <c r="A2039" s="3" t="s">
        <v>1660</v>
      </c>
      <c r="B2039" s="4" t="s">
        <v>36</v>
      </c>
      <c r="C2039" s="22" t="s">
        <v>2531</v>
      </c>
      <c r="D2039" s="23" t="s">
        <v>4042</v>
      </c>
      <c r="E2039" s="29">
        <v>45978.0</v>
      </c>
      <c r="F2039" s="3">
        <v>8.0</v>
      </c>
      <c r="G2039" s="3" t="s">
        <v>92</v>
      </c>
      <c r="H2039" s="22" t="s">
        <v>4043</v>
      </c>
      <c r="I2039" s="45">
        <v>6.1438855771E10</v>
      </c>
      <c r="J2039" s="22" t="s">
        <v>4044</v>
      </c>
      <c r="K2039" s="3">
        <v>0.0</v>
      </c>
      <c r="M2039" s="26"/>
      <c r="O2039" s="19" t="str">
        <f t="shared" si="2"/>
        <v/>
      </c>
    </row>
    <row r="2040">
      <c r="A2040" s="3" t="s">
        <v>1582</v>
      </c>
      <c r="B2040" s="4" t="s">
        <v>31</v>
      </c>
      <c r="C2040" s="22" t="s">
        <v>1796</v>
      </c>
      <c r="D2040" s="23" t="s">
        <v>4045</v>
      </c>
      <c r="E2040" s="29">
        <v>45978.0</v>
      </c>
      <c r="F2040" s="3">
        <v>8.0</v>
      </c>
      <c r="G2040" s="3" t="s">
        <v>92</v>
      </c>
      <c r="H2040" s="22" t="s">
        <v>4046</v>
      </c>
      <c r="I2040" s="45">
        <v>6.1407885508E10</v>
      </c>
      <c r="J2040" s="22" t="s">
        <v>4047</v>
      </c>
      <c r="K2040" s="3">
        <v>0.0</v>
      </c>
      <c r="M2040" s="26"/>
      <c r="O2040" s="19" t="str">
        <f t="shared" si="2"/>
        <v/>
      </c>
    </row>
    <row r="2041">
      <c r="A2041" s="3" t="s">
        <v>4048</v>
      </c>
      <c r="B2041" s="4" t="s">
        <v>18</v>
      </c>
      <c r="C2041" s="22" t="s">
        <v>438</v>
      </c>
      <c r="D2041" s="23" t="s">
        <v>4049</v>
      </c>
      <c r="E2041" s="29">
        <v>45978.0</v>
      </c>
      <c r="F2041" s="3" t="s">
        <v>22</v>
      </c>
      <c r="G2041" s="3" t="s">
        <v>92</v>
      </c>
      <c r="H2041" s="22" t="s">
        <v>4050</v>
      </c>
      <c r="I2041" s="45">
        <v>6.1451862529E10</v>
      </c>
      <c r="J2041" s="22" t="s">
        <v>4051</v>
      </c>
      <c r="K2041" s="3">
        <v>0.0</v>
      </c>
      <c r="M2041" s="26"/>
      <c r="O2041" s="19" t="str">
        <f t="shared" si="2"/>
        <v/>
      </c>
    </row>
    <row r="2042">
      <c r="A2042" s="3" t="s">
        <v>1055</v>
      </c>
      <c r="B2042" s="4" t="s">
        <v>31</v>
      </c>
      <c r="C2042" s="22" t="s">
        <v>1056</v>
      </c>
      <c r="D2042" s="23" t="s">
        <v>4052</v>
      </c>
      <c r="E2042" s="29">
        <v>45978.0</v>
      </c>
      <c r="F2042" s="3">
        <v>10.0</v>
      </c>
      <c r="G2042" s="3" t="s">
        <v>92</v>
      </c>
      <c r="H2042" s="22" t="s">
        <v>4053</v>
      </c>
      <c r="I2042" s="45">
        <v>6.1417288693E10</v>
      </c>
      <c r="J2042" s="22" t="s">
        <v>4054</v>
      </c>
      <c r="K2042" s="3">
        <v>0.0</v>
      </c>
      <c r="M2042" s="26"/>
      <c r="O2042" s="19" t="str">
        <f t="shared" si="2"/>
        <v/>
      </c>
    </row>
    <row r="2043">
      <c r="A2043" s="3" t="s">
        <v>155</v>
      </c>
      <c r="B2043" s="4" t="s">
        <v>18</v>
      </c>
      <c r="C2043" s="22" t="s">
        <v>156</v>
      </c>
      <c r="D2043" s="23" t="s">
        <v>4055</v>
      </c>
      <c r="E2043" s="29">
        <v>45978.0</v>
      </c>
      <c r="F2043" s="3">
        <v>8.0</v>
      </c>
      <c r="G2043" s="3" t="s">
        <v>92</v>
      </c>
      <c r="H2043" s="22" t="s">
        <v>4056</v>
      </c>
      <c r="I2043" s="45">
        <v>6.1408738628E10</v>
      </c>
      <c r="J2043" s="22" t="s">
        <v>4057</v>
      </c>
      <c r="K2043" s="3">
        <v>0.0</v>
      </c>
      <c r="M2043" s="26"/>
      <c r="O2043" s="19" t="str">
        <f t="shared" si="2"/>
        <v/>
      </c>
    </row>
    <row r="2044">
      <c r="A2044" s="3" t="s">
        <v>4032</v>
      </c>
      <c r="B2044" s="4" t="s">
        <v>36</v>
      </c>
      <c r="C2044" s="22" t="s">
        <v>4058</v>
      </c>
      <c r="D2044" s="23" t="s">
        <v>4059</v>
      </c>
      <c r="E2044" s="29">
        <v>45978.0</v>
      </c>
      <c r="F2044" s="3">
        <v>6.0</v>
      </c>
      <c r="G2044" s="3" t="s">
        <v>92</v>
      </c>
      <c r="H2044" s="22" t="s">
        <v>4060</v>
      </c>
      <c r="I2044" s="45">
        <v>6.1400402233E10</v>
      </c>
      <c r="J2044" s="22" t="s">
        <v>4061</v>
      </c>
      <c r="K2044" s="3">
        <v>0.0</v>
      </c>
      <c r="M2044" s="26"/>
      <c r="O2044" s="19" t="str">
        <f t="shared" si="2"/>
        <v/>
      </c>
    </row>
    <row r="2045">
      <c r="A2045" s="3" t="s">
        <v>276</v>
      </c>
      <c r="B2045" s="4" t="s">
        <v>18</v>
      </c>
      <c r="C2045" s="22" t="s">
        <v>4062</v>
      </c>
      <c r="D2045" s="23" t="s">
        <v>4063</v>
      </c>
      <c r="E2045" s="29">
        <v>45978.0</v>
      </c>
      <c r="F2045" s="3">
        <v>8.0</v>
      </c>
      <c r="G2045" s="3" t="s">
        <v>92</v>
      </c>
      <c r="H2045" s="22" t="s">
        <v>4064</v>
      </c>
      <c r="I2045" s="45">
        <v>6.1422549065E10</v>
      </c>
      <c r="J2045" s="22" t="s">
        <v>4065</v>
      </c>
      <c r="K2045" s="3">
        <v>0.0</v>
      </c>
      <c r="M2045" s="26"/>
      <c r="O2045" s="19" t="str">
        <f t="shared" si="2"/>
        <v/>
      </c>
    </row>
    <row r="2046">
      <c r="A2046" s="3" t="s">
        <v>744</v>
      </c>
      <c r="B2046" s="4" t="s">
        <v>18</v>
      </c>
      <c r="C2046" s="22" t="s">
        <v>2626</v>
      </c>
      <c r="D2046" s="22" t="s">
        <v>4066</v>
      </c>
      <c r="E2046" s="46" t="s">
        <v>4067</v>
      </c>
      <c r="F2046" s="3" t="s">
        <v>27</v>
      </c>
      <c r="G2046" s="3" t="s">
        <v>129</v>
      </c>
      <c r="H2046" s="22" t="s">
        <v>4068</v>
      </c>
      <c r="I2046" s="45">
        <v>6.1411526939E10</v>
      </c>
      <c r="J2046" s="22" t="s">
        <v>4069</v>
      </c>
      <c r="K2046" s="43">
        <v>750.0</v>
      </c>
      <c r="M2046" s="26"/>
      <c r="O2046" s="19" t="str">
        <f t="shared" si="2"/>
        <v/>
      </c>
    </row>
    <row r="2047">
      <c r="A2047" s="3" t="s">
        <v>510</v>
      </c>
      <c r="B2047" s="4" t="s">
        <v>18</v>
      </c>
      <c r="C2047" s="22" t="s">
        <v>948</v>
      </c>
      <c r="D2047" s="22" t="s">
        <v>4070</v>
      </c>
      <c r="E2047" s="46" t="s">
        <v>4067</v>
      </c>
      <c r="F2047" s="3" t="s">
        <v>27</v>
      </c>
      <c r="G2047" s="3" t="s">
        <v>129</v>
      </c>
      <c r="H2047" s="22" t="s">
        <v>4071</v>
      </c>
      <c r="I2047" s="45">
        <v>6.1409417111E10</v>
      </c>
      <c r="J2047" s="22" t="s">
        <v>4072</v>
      </c>
      <c r="K2047" s="43">
        <v>1000.0</v>
      </c>
      <c r="M2047" s="26"/>
      <c r="O2047" s="19" t="str">
        <f t="shared" si="2"/>
        <v/>
      </c>
    </row>
    <row r="2048">
      <c r="A2048" s="3" t="s">
        <v>1582</v>
      </c>
      <c r="B2048" s="4" t="s">
        <v>31</v>
      </c>
      <c r="C2048" s="22" t="s">
        <v>1820</v>
      </c>
      <c r="D2048" s="22" t="s">
        <v>4073</v>
      </c>
      <c r="E2048" s="46" t="s">
        <v>4067</v>
      </c>
      <c r="F2048" s="3" t="s">
        <v>27</v>
      </c>
      <c r="G2048" s="3" t="s">
        <v>129</v>
      </c>
      <c r="H2048" s="22" t="s">
        <v>4074</v>
      </c>
      <c r="I2048" s="45">
        <v>6.1418989631E10</v>
      </c>
      <c r="J2048" s="22" t="s">
        <v>4075</v>
      </c>
      <c r="K2048" s="43">
        <v>1500.0</v>
      </c>
      <c r="M2048" s="26"/>
      <c r="O2048" s="19" t="str">
        <f t="shared" si="2"/>
        <v/>
      </c>
    </row>
    <row r="2049">
      <c r="A2049" s="3" t="s">
        <v>23</v>
      </c>
      <c r="B2049" s="4" t="s">
        <v>18</v>
      </c>
      <c r="C2049" s="22" t="s">
        <v>53</v>
      </c>
      <c r="D2049" s="22" t="s">
        <v>4076</v>
      </c>
      <c r="E2049" s="46" t="s">
        <v>4067</v>
      </c>
      <c r="F2049" s="3" t="s">
        <v>27</v>
      </c>
      <c r="G2049" s="3" t="s">
        <v>1453</v>
      </c>
      <c r="H2049" s="22" t="s">
        <v>3063</v>
      </c>
      <c r="I2049" s="45">
        <v>61416780068</v>
      </c>
      <c r="J2049" s="22" t="s">
        <v>4077</v>
      </c>
      <c r="K2049" s="43">
        <v>1250.0</v>
      </c>
      <c r="M2049" s="26"/>
      <c r="O2049" s="19" t="str">
        <f t="shared" si="2"/>
        <v/>
      </c>
    </row>
    <row r="2050">
      <c r="A2050" s="3" t="s">
        <v>77</v>
      </c>
      <c r="B2050" s="4" t="s">
        <v>18</v>
      </c>
      <c r="C2050" s="22" t="s">
        <v>538</v>
      </c>
      <c r="D2050" s="22" t="s">
        <v>4078</v>
      </c>
      <c r="E2050" s="46" t="s">
        <v>4079</v>
      </c>
      <c r="F2050" s="3" t="s">
        <v>27</v>
      </c>
      <c r="G2050" s="3" t="s">
        <v>1453</v>
      </c>
      <c r="H2050" s="22" t="s">
        <v>4080</v>
      </c>
      <c r="I2050" s="45">
        <v>6.1490784933E10</v>
      </c>
      <c r="J2050" s="22" t="s">
        <v>4081</v>
      </c>
      <c r="K2050" s="43"/>
      <c r="M2050" s="26"/>
      <c r="O2050" s="19" t="str">
        <f t="shared" si="2"/>
        <v/>
      </c>
    </row>
    <row r="2051">
      <c r="A2051" s="3" t="s">
        <v>244</v>
      </c>
      <c r="B2051" s="4" t="s">
        <v>18</v>
      </c>
      <c r="C2051" s="22" t="s">
        <v>3707</v>
      </c>
      <c r="D2051" s="22" t="s">
        <v>4082</v>
      </c>
      <c r="E2051" s="46" t="s">
        <v>4079</v>
      </c>
      <c r="F2051" s="3" t="s">
        <v>27</v>
      </c>
      <c r="G2051" s="3" t="s">
        <v>1453</v>
      </c>
      <c r="H2051" s="22" t="s">
        <v>3709</v>
      </c>
      <c r="I2051" s="45">
        <v>6.1407312102E10</v>
      </c>
      <c r="J2051" s="22" t="s">
        <v>3710</v>
      </c>
      <c r="K2051" s="43"/>
      <c r="M2051" s="26"/>
    </row>
    <row r="2052">
      <c r="A2052" s="3" t="s">
        <v>202</v>
      </c>
      <c r="B2052" s="4" t="s">
        <v>36</v>
      </c>
      <c r="C2052" s="22" t="s">
        <v>4083</v>
      </c>
      <c r="D2052" s="22" t="s">
        <v>4084</v>
      </c>
      <c r="E2052" s="46" t="s">
        <v>4067</v>
      </c>
      <c r="F2052" s="3" t="s">
        <v>27</v>
      </c>
      <c r="G2052" s="3" t="s">
        <v>129</v>
      </c>
      <c r="H2052" s="22" t="s">
        <v>4085</v>
      </c>
      <c r="I2052" s="45">
        <v>6.1435883045E10</v>
      </c>
      <c r="J2052" s="22" t="s">
        <v>4086</v>
      </c>
      <c r="K2052" s="43">
        <v>750.0</v>
      </c>
      <c r="M2052" s="26"/>
    </row>
    <row r="2053">
      <c r="A2053" s="3" t="s">
        <v>168</v>
      </c>
      <c r="B2053" s="4" t="s">
        <v>45</v>
      </c>
      <c r="C2053" s="22" t="s">
        <v>2933</v>
      </c>
      <c r="D2053" s="22" t="s">
        <v>4087</v>
      </c>
      <c r="E2053" s="46" t="s">
        <v>4067</v>
      </c>
      <c r="F2053" s="3" t="s">
        <v>27</v>
      </c>
      <c r="G2053" s="3" t="s">
        <v>129</v>
      </c>
      <c r="H2053" s="22" t="s">
        <v>4088</v>
      </c>
      <c r="I2053" s="45">
        <v>6.1439093282E10</v>
      </c>
      <c r="J2053" s="22" t="s">
        <v>4089</v>
      </c>
      <c r="K2053" s="43">
        <v>750.0</v>
      </c>
      <c r="M2053" s="26"/>
    </row>
    <row r="2054">
      <c r="A2054" s="3" t="s">
        <v>232</v>
      </c>
      <c r="B2054" s="4" t="s">
        <v>18</v>
      </c>
      <c r="C2054" s="22" t="s">
        <v>4090</v>
      </c>
      <c r="D2054" s="22" t="s">
        <v>4091</v>
      </c>
      <c r="E2054" s="46" t="s">
        <v>4067</v>
      </c>
      <c r="F2054" s="3" t="s">
        <v>27</v>
      </c>
      <c r="G2054" s="3" t="s">
        <v>129</v>
      </c>
      <c r="H2054" s="22" t="s">
        <v>4092</v>
      </c>
      <c r="I2054" s="45">
        <v>6.141298083E10</v>
      </c>
      <c r="J2054" s="22" t="s">
        <v>4093</v>
      </c>
      <c r="K2054" s="43">
        <v>1250.0</v>
      </c>
      <c r="M2054" s="26"/>
    </row>
    <row r="2055">
      <c r="A2055" s="3" t="s">
        <v>112</v>
      </c>
      <c r="B2055" s="4" t="s">
        <v>18</v>
      </c>
      <c r="C2055" s="22" t="s">
        <v>356</v>
      </c>
      <c r="D2055" s="22" t="s">
        <v>4094</v>
      </c>
      <c r="E2055" s="46" t="s">
        <v>4067</v>
      </c>
      <c r="F2055" s="3" t="s">
        <v>27</v>
      </c>
      <c r="G2055" s="3" t="s">
        <v>129</v>
      </c>
      <c r="H2055" s="22" t="s">
        <v>4095</v>
      </c>
      <c r="I2055" s="45">
        <v>6.1435905957E10</v>
      </c>
      <c r="J2055" s="22" t="s">
        <v>4096</v>
      </c>
      <c r="K2055" s="43">
        <v>1250.0</v>
      </c>
      <c r="M2055" s="26"/>
    </row>
    <row r="2056">
      <c r="A2056" s="3" t="s">
        <v>3586</v>
      </c>
      <c r="B2056" s="4" t="s">
        <v>31</v>
      </c>
      <c r="C2056" s="22" t="s">
        <v>4010</v>
      </c>
      <c r="D2056" s="22" t="s">
        <v>4011</v>
      </c>
      <c r="E2056" s="46" t="s">
        <v>4067</v>
      </c>
      <c r="F2056" s="3" t="s">
        <v>27</v>
      </c>
      <c r="G2056" s="3" t="s">
        <v>129</v>
      </c>
      <c r="H2056" s="22" t="s">
        <v>3987</v>
      </c>
      <c r="I2056" s="45">
        <v>6.1416141965E10</v>
      </c>
      <c r="J2056" s="22" t="s">
        <v>3988</v>
      </c>
      <c r="K2056" s="43">
        <v>1250.0</v>
      </c>
      <c r="M2056" s="26"/>
    </row>
    <row r="2057">
      <c r="A2057" s="3" t="s">
        <v>1359</v>
      </c>
      <c r="B2057" s="4" t="s">
        <v>45</v>
      </c>
      <c r="C2057" s="22" t="s">
        <v>4097</v>
      </c>
      <c r="D2057" s="22" t="s">
        <v>4098</v>
      </c>
      <c r="E2057" s="46" t="s">
        <v>4067</v>
      </c>
      <c r="F2057" s="3" t="s">
        <v>27</v>
      </c>
      <c r="G2057" s="3" t="s">
        <v>129</v>
      </c>
      <c r="H2057" s="22" t="s">
        <v>4099</v>
      </c>
      <c r="I2057" s="45">
        <v>6.1419923523E10</v>
      </c>
      <c r="J2057" s="22" t="s">
        <v>4100</v>
      </c>
      <c r="K2057" s="43">
        <v>750.0</v>
      </c>
      <c r="M2057" s="26"/>
    </row>
    <row r="2058">
      <c r="A2058" s="3" t="s">
        <v>2620</v>
      </c>
      <c r="B2058" s="3" t="s">
        <v>18</v>
      </c>
      <c r="C2058" s="22" t="s">
        <v>2621</v>
      </c>
      <c r="D2058" s="22" t="s">
        <v>4101</v>
      </c>
      <c r="E2058" s="46" t="s">
        <v>4079</v>
      </c>
      <c r="F2058" s="3" t="s">
        <v>27</v>
      </c>
      <c r="G2058" s="3" t="s">
        <v>1453</v>
      </c>
      <c r="H2058" s="22" t="s">
        <v>4102</v>
      </c>
      <c r="I2058" s="45">
        <v>61474736149</v>
      </c>
      <c r="J2058" s="22" t="s">
        <v>4103</v>
      </c>
      <c r="K2058" s="43"/>
      <c r="M2058" s="26"/>
    </row>
    <row r="2059">
      <c r="A2059" s="3" t="s">
        <v>84</v>
      </c>
      <c r="B2059" s="3" t="s">
        <v>31</v>
      </c>
      <c r="C2059" s="22" t="s">
        <v>4104</v>
      </c>
      <c r="D2059" s="3" t="s">
        <v>4105</v>
      </c>
      <c r="E2059" s="46" t="s">
        <v>4079</v>
      </c>
      <c r="F2059" s="3">
        <v>8.0</v>
      </c>
      <c r="G2059" s="3" t="s">
        <v>92</v>
      </c>
      <c r="H2059" s="22" t="s">
        <v>4106</v>
      </c>
      <c r="I2059" s="45">
        <v>6.1478416021E10</v>
      </c>
      <c r="J2059" s="22" t="s">
        <v>4107</v>
      </c>
      <c r="K2059" s="3">
        <v>0.0</v>
      </c>
      <c r="M2059" s="26"/>
    </row>
    <row r="2060">
      <c r="A2060" s="3" t="s">
        <v>158</v>
      </c>
      <c r="B2060" s="3" t="s">
        <v>31</v>
      </c>
      <c r="C2060" s="22" t="s">
        <v>911</v>
      </c>
      <c r="D2060" s="3" t="s">
        <v>4108</v>
      </c>
      <c r="E2060" s="46" t="s">
        <v>4079</v>
      </c>
      <c r="F2060" s="3">
        <v>8.0</v>
      </c>
      <c r="G2060" s="3" t="s">
        <v>92</v>
      </c>
      <c r="H2060" s="22" t="s">
        <v>4109</v>
      </c>
      <c r="I2060" s="45">
        <v>6.1423982073E10</v>
      </c>
      <c r="J2060" s="22" t="s">
        <v>4110</v>
      </c>
      <c r="K2060" s="3">
        <v>0.0</v>
      </c>
      <c r="M2060" s="26"/>
    </row>
    <row r="2061">
      <c r="A2061" s="3" t="s">
        <v>113</v>
      </c>
      <c r="B2061" s="3" t="s">
        <v>18</v>
      </c>
      <c r="C2061" s="22" t="s">
        <v>948</v>
      </c>
      <c r="D2061" s="3" t="s">
        <v>4111</v>
      </c>
      <c r="E2061" s="46" t="s">
        <v>4079</v>
      </c>
      <c r="F2061" s="3">
        <v>8.0</v>
      </c>
      <c r="G2061" s="3" t="s">
        <v>92</v>
      </c>
      <c r="H2061" s="22" t="s">
        <v>4112</v>
      </c>
      <c r="I2061" s="45">
        <v>6.1401221216E10</v>
      </c>
      <c r="J2061" s="22" t="s">
        <v>4113</v>
      </c>
      <c r="K2061" s="3">
        <v>0.0</v>
      </c>
      <c r="M2061" s="26"/>
    </row>
    <row r="2062">
      <c r="A2062" s="3" t="s">
        <v>510</v>
      </c>
      <c r="B2062" s="3" t="s">
        <v>18</v>
      </c>
      <c r="C2062" s="22" t="s">
        <v>841</v>
      </c>
      <c r="D2062" s="3" t="s">
        <v>842</v>
      </c>
      <c r="E2062" s="46" t="s">
        <v>4079</v>
      </c>
      <c r="F2062" s="3">
        <v>6.0</v>
      </c>
      <c r="G2062" s="3" t="s">
        <v>92</v>
      </c>
      <c r="H2062" s="22" t="s">
        <v>4114</v>
      </c>
      <c r="I2062" s="45">
        <v>6.1417130584E10</v>
      </c>
      <c r="J2062" s="22" t="s">
        <v>4115</v>
      </c>
      <c r="K2062" s="3">
        <v>0.0</v>
      </c>
      <c r="M2062" s="26"/>
    </row>
    <row r="2063">
      <c r="A2063" s="3" t="s">
        <v>1973</v>
      </c>
      <c r="B2063" s="3" t="s">
        <v>31</v>
      </c>
      <c r="C2063" s="22" t="s">
        <v>3641</v>
      </c>
      <c r="D2063" s="3" t="s">
        <v>4116</v>
      </c>
      <c r="E2063" s="46" t="s">
        <v>4079</v>
      </c>
      <c r="F2063" s="3">
        <v>8.0</v>
      </c>
      <c r="G2063" s="3" t="s">
        <v>92</v>
      </c>
      <c r="H2063" s="22" t="s">
        <v>4117</v>
      </c>
      <c r="I2063" s="45">
        <v>6.1428841826E10</v>
      </c>
      <c r="J2063" s="22" t="s">
        <v>4118</v>
      </c>
      <c r="K2063" s="3">
        <v>0.0</v>
      </c>
      <c r="M2063" s="26"/>
    </row>
    <row r="2064">
      <c r="A2064" s="3" t="s">
        <v>2503</v>
      </c>
      <c r="B2064" s="3" t="s">
        <v>18</v>
      </c>
      <c r="C2064" s="22" t="s">
        <v>127</v>
      </c>
      <c r="D2064" s="3" t="s">
        <v>4119</v>
      </c>
      <c r="E2064" s="46" t="s">
        <v>4079</v>
      </c>
      <c r="F2064" s="3">
        <v>8.0</v>
      </c>
      <c r="G2064" s="3" t="s">
        <v>92</v>
      </c>
      <c r="H2064" s="22" t="s">
        <v>4120</v>
      </c>
      <c r="I2064" s="45">
        <v>6.1412628038E10</v>
      </c>
      <c r="J2064" s="22" t="s">
        <v>4121</v>
      </c>
      <c r="K2064" s="3">
        <v>0.0</v>
      </c>
      <c r="M2064" s="26"/>
    </row>
    <row r="2065">
      <c r="A2065" s="3" t="s">
        <v>265</v>
      </c>
      <c r="B2065" s="3" t="s">
        <v>18</v>
      </c>
      <c r="C2065" s="22" t="s">
        <v>2687</v>
      </c>
      <c r="D2065" s="3" t="s">
        <v>4122</v>
      </c>
      <c r="E2065" s="46" t="s">
        <v>4079</v>
      </c>
      <c r="F2065" s="3">
        <v>6.0</v>
      </c>
      <c r="G2065" s="3" t="s">
        <v>92</v>
      </c>
      <c r="H2065" s="22" t="s">
        <v>4123</v>
      </c>
      <c r="I2065" s="47">
        <v>6.1468871222E10</v>
      </c>
      <c r="J2065" s="22" t="s">
        <v>4124</v>
      </c>
      <c r="K2065" s="3">
        <v>0.0</v>
      </c>
      <c r="M2065" s="26"/>
    </row>
    <row r="2066">
      <c r="A2066" s="3" t="s">
        <v>236</v>
      </c>
      <c r="B2066" s="3" t="s">
        <v>18</v>
      </c>
      <c r="C2066" s="22" t="s">
        <v>369</v>
      </c>
      <c r="D2066" s="22" t="s">
        <v>4125</v>
      </c>
      <c r="E2066" s="46" t="s">
        <v>4079</v>
      </c>
      <c r="F2066" s="3" t="s">
        <v>27</v>
      </c>
      <c r="G2066" s="3" t="s">
        <v>1453</v>
      </c>
      <c r="H2066" s="22" t="s">
        <v>4126</v>
      </c>
      <c r="I2066" s="47">
        <v>61435171849</v>
      </c>
      <c r="J2066" s="22" t="s">
        <v>4127</v>
      </c>
      <c r="K2066" s="3"/>
      <c r="M2066" s="26"/>
    </row>
    <row r="2067">
      <c r="A2067" s="3" t="s">
        <v>113</v>
      </c>
      <c r="B2067" s="3" t="s">
        <v>18</v>
      </c>
      <c r="C2067" s="22" t="s">
        <v>2367</v>
      </c>
      <c r="D2067" s="22" t="s">
        <v>4128</v>
      </c>
      <c r="E2067" s="46" t="s">
        <v>4079</v>
      </c>
      <c r="F2067" s="3" t="s">
        <v>27</v>
      </c>
      <c r="G2067" s="3" t="s">
        <v>129</v>
      </c>
      <c r="H2067" s="22" t="s">
        <v>4129</v>
      </c>
      <c r="I2067" s="47">
        <v>6.1404868923E10</v>
      </c>
      <c r="J2067" s="22" t="s">
        <v>3391</v>
      </c>
      <c r="K2067" s="43">
        <v>1500.0</v>
      </c>
      <c r="M2067" s="26"/>
    </row>
    <row r="2068">
      <c r="A2068" s="3" t="s">
        <v>61</v>
      </c>
      <c r="B2068" s="3" t="s">
        <v>18</v>
      </c>
      <c r="C2068" s="22" t="s">
        <v>2612</v>
      </c>
      <c r="D2068" s="22" t="s">
        <v>4130</v>
      </c>
      <c r="E2068" s="46" t="s">
        <v>4079</v>
      </c>
      <c r="F2068" s="3" t="s">
        <v>27</v>
      </c>
      <c r="G2068" s="3" t="s">
        <v>1453</v>
      </c>
      <c r="H2068" s="22" t="s">
        <v>4131</v>
      </c>
      <c r="I2068" s="47">
        <v>6.1417070976E10</v>
      </c>
      <c r="J2068" s="22" t="s">
        <v>4132</v>
      </c>
      <c r="K2068" s="43"/>
      <c r="M2068" s="26"/>
    </row>
    <row r="2069">
      <c r="A2069" s="3" t="s">
        <v>4133</v>
      </c>
      <c r="B2069" s="3" t="s">
        <v>31</v>
      </c>
      <c r="C2069" s="22" t="s">
        <v>4134</v>
      </c>
      <c r="D2069" s="22" t="s">
        <v>4135</v>
      </c>
      <c r="E2069" s="46" t="s">
        <v>4079</v>
      </c>
      <c r="F2069" s="3">
        <v>8.0</v>
      </c>
      <c r="G2069" s="3" t="s">
        <v>92</v>
      </c>
      <c r="H2069" s="22" t="s">
        <v>4136</v>
      </c>
      <c r="I2069" s="48">
        <v>4.10553404E8</v>
      </c>
      <c r="J2069" s="22" t="s">
        <v>4137</v>
      </c>
      <c r="K2069" s="3">
        <v>0.0</v>
      </c>
      <c r="M2069" s="26"/>
    </row>
    <row r="2070">
      <c r="A2070" s="3" t="s">
        <v>113</v>
      </c>
      <c r="B2070" s="3" t="s">
        <v>18</v>
      </c>
      <c r="C2070" s="22" t="s">
        <v>175</v>
      </c>
      <c r="D2070" s="22" t="s">
        <v>4138</v>
      </c>
      <c r="E2070" s="46" t="s">
        <v>4079</v>
      </c>
      <c r="F2070" s="3" t="s">
        <v>27</v>
      </c>
      <c r="G2070" s="3" t="s">
        <v>1453</v>
      </c>
      <c r="H2070" s="22" t="s">
        <v>4139</v>
      </c>
      <c r="I2070" s="48">
        <v>61402502735</v>
      </c>
      <c r="J2070" s="22" t="s">
        <v>4140</v>
      </c>
      <c r="K2070" s="3"/>
      <c r="M2070" s="26"/>
    </row>
    <row r="2071">
      <c r="A2071" s="3" t="s">
        <v>3569</v>
      </c>
      <c r="B2071" s="3" t="s">
        <v>18</v>
      </c>
      <c r="C2071" s="22" t="s">
        <v>627</v>
      </c>
      <c r="D2071" s="22" t="s">
        <v>4141</v>
      </c>
      <c r="E2071" s="46" t="s">
        <v>4142</v>
      </c>
      <c r="F2071" s="3" t="s">
        <v>27</v>
      </c>
      <c r="G2071" s="3" t="s">
        <v>1453</v>
      </c>
      <c r="H2071" s="22" t="s">
        <v>4143</v>
      </c>
      <c r="I2071" s="48">
        <v>61416153902</v>
      </c>
      <c r="J2071" s="22" t="s">
        <v>4144</v>
      </c>
      <c r="K2071" s="3"/>
      <c r="M2071" s="26"/>
    </row>
    <row r="2072">
      <c r="A2072" s="3" t="s">
        <v>1582</v>
      </c>
      <c r="B2072" s="3" t="s">
        <v>31</v>
      </c>
      <c r="C2072" s="22" t="s">
        <v>1779</v>
      </c>
      <c r="D2072" s="22"/>
      <c r="E2072" s="46" t="s">
        <v>4142</v>
      </c>
      <c r="F2072" s="3">
        <v>5.0</v>
      </c>
      <c r="G2072" s="3" t="s">
        <v>92</v>
      </c>
      <c r="H2072" s="22" t="s">
        <v>4145</v>
      </c>
      <c r="I2072" s="45">
        <v>6.1410449622E10</v>
      </c>
      <c r="J2072" s="22" t="s">
        <v>4146</v>
      </c>
      <c r="K2072" s="3">
        <v>0.0</v>
      </c>
      <c r="M2072" s="26"/>
    </row>
    <row r="2073">
      <c r="A2073" s="3" t="s">
        <v>3924</v>
      </c>
      <c r="B2073" s="3" t="s">
        <v>36</v>
      </c>
      <c r="C2073" s="22" t="s">
        <v>2605</v>
      </c>
      <c r="D2073" s="22"/>
      <c r="E2073" s="46" t="s">
        <v>4142</v>
      </c>
      <c r="F2073" s="3">
        <v>5.0</v>
      </c>
      <c r="G2073" s="3" t="s">
        <v>92</v>
      </c>
      <c r="H2073" s="22" t="s">
        <v>4147</v>
      </c>
      <c r="I2073" s="45">
        <v>6.1448098801E10</v>
      </c>
      <c r="J2073" s="22" t="s">
        <v>4148</v>
      </c>
      <c r="K2073" s="3">
        <v>0.0</v>
      </c>
      <c r="M2073" s="26"/>
    </row>
    <row r="2074">
      <c r="A2074" s="3" t="s">
        <v>137</v>
      </c>
      <c r="B2074" s="3" t="s">
        <v>18</v>
      </c>
      <c r="C2074" s="22" t="s">
        <v>2588</v>
      </c>
      <c r="D2074" s="3" t="s">
        <v>4149</v>
      </c>
      <c r="E2074" s="46" t="s">
        <v>4142</v>
      </c>
      <c r="F2074" s="3">
        <v>8.0</v>
      </c>
      <c r="G2074" s="3" t="s">
        <v>92</v>
      </c>
      <c r="H2074" s="22" t="s">
        <v>4150</v>
      </c>
      <c r="I2074" s="45">
        <v>6.1488687308E10</v>
      </c>
      <c r="J2074" s="22" t="s">
        <v>4151</v>
      </c>
      <c r="K2074" s="3">
        <v>0.0</v>
      </c>
      <c r="M2074" s="26"/>
    </row>
    <row r="2075">
      <c r="A2075" s="3" t="s">
        <v>113</v>
      </c>
      <c r="B2075" s="3" t="s">
        <v>18</v>
      </c>
      <c r="C2075" s="22" t="s">
        <v>948</v>
      </c>
      <c r="D2075" s="3" t="s">
        <v>4152</v>
      </c>
      <c r="E2075" s="46" t="s">
        <v>4142</v>
      </c>
      <c r="F2075" s="3">
        <v>8.0</v>
      </c>
      <c r="G2075" s="3" t="s">
        <v>92</v>
      </c>
      <c r="H2075" s="22" t="s">
        <v>4153</v>
      </c>
      <c r="I2075" s="45">
        <v>6.1452411499E10</v>
      </c>
      <c r="J2075" s="22" t="s">
        <v>4154</v>
      </c>
      <c r="K2075" s="3">
        <v>0.0</v>
      </c>
      <c r="M2075" s="26"/>
    </row>
    <row r="2076">
      <c r="A2076" s="3" t="s">
        <v>2262</v>
      </c>
      <c r="B2076" s="3" t="s">
        <v>18</v>
      </c>
      <c r="C2076" s="22" t="s">
        <v>2740</v>
      </c>
      <c r="D2076" s="3" t="s">
        <v>4155</v>
      </c>
      <c r="E2076" s="46" t="s">
        <v>4142</v>
      </c>
      <c r="F2076" s="3">
        <v>8.0</v>
      </c>
      <c r="G2076" s="3" t="s">
        <v>92</v>
      </c>
      <c r="H2076" s="22" t="s">
        <v>4156</v>
      </c>
      <c r="I2076" s="45">
        <v>6.1406873935E10</v>
      </c>
      <c r="J2076" s="22" t="s">
        <v>4157</v>
      </c>
      <c r="K2076" s="3">
        <v>0.0</v>
      </c>
      <c r="M2076" s="26"/>
    </row>
    <row r="2077">
      <c r="A2077" s="3" t="s">
        <v>77</v>
      </c>
      <c r="B2077" s="3" t="s">
        <v>18</v>
      </c>
      <c r="C2077" s="22" t="s">
        <v>78</v>
      </c>
      <c r="D2077" s="3" t="s">
        <v>4158</v>
      </c>
      <c r="E2077" s="46" t="s">
        <v>4142</v>
      </c>
      <c r="F2077" s="3">
        <v>8.0</v>
      </c>
      <c r="G2077" s="3" t="s">
        <v>92</v>
      </c>
      <c r="H2077" s="22" t="s">
        <v>4159</v>
      </c>
      <c r="I2077" s="45">
        <v>6.1416980746E10</v>
      </c>
      <c r="J2077" s="22" t="s">
        <v>4160</v>
      </c>
      <c r="K2077" s="3">
        <v>0.0</v>
      </c>
      <c r="M2077" s="26"/>
    </row>
    <row r="2078">
      <c r="A2078" s="3" t="s">
        <v>2620</v>
      </c>
      <c r="B2078" s="3" t="s">
        <v>18</v>
      </c>
      <c r="C2078" s="22" t="s">
        <v>2903</v>
      </c>
      <c r="D2078" s="3" t="s">
        <v>4161</v>
      </c>
      <c r="E2078" s="46" t="s">
        <v>4142</v>
      </c>
      <c r="F2078" s="3">
        <v>8.0</v>
      </c>
      <c r="G2078" s="3" t="s">
        <v>92</v>
      </c>
      <c r="H2078" s="22" t="s">
        <v>4162</v>
      </c>
      <c r="I2078" s="45">
        <v>6.1409625319E10</v>
      </c>
      <c r="J2078" s="22" t="s">
        <v>4163</v>
      </c>
      <c r="K2078" s="3">
        <v>0.0</v>
      </c>
      <c r="M2078" s="26"/>
    </row>
    <row r="2079">
      <c r="A2079" s="3" t="s">
        <v>532</v>
      </c>
      <c r="B2079" s="3" t="s">
        <v>18</v>
      </c>
      <c r="C2079" s="3" t="s">
        <v>533</v>
      </c>
      <c r="D2079" s="3" t="s">
        <v>4164</v>
      </c>
      <c r="E2079" s="46" t="s">
        <v>4165</v>
      </c>
      <c r="F2079" s="3">
        <v>6.0</v>
      </c>
      <c r="G2079" s="3" t="s">
        <v>92</v>
      </c>
      <c r="H2079" s="22" t="s">
        <v>4166</v>
      </c>
      <c r="I2079" s="45">
        <v>6.1405340513E10</v>
      </c>
      <c r="J2079" s="22" t="s">
        <v>4167</v>
      </c>
      <c r="K2079" s="3">
        <v>0.0</v>
      </c>
      <c r="M2079" s="26"/>
    </row>
    <row r="2080">
      <c r="A2080" s="3" t="s">
        <v>435</v>
      </c>
      <c r="B2080" s="3" t="s">
        <v>18</v>
      </c>
      <c r="C2080" s="3" t="s">
        <v>4168</v>
      </c>
      <c r="D2080" s="3" t="s">
        <v>4169</v>
      </c>
      <c r="E2080" s="46" t="s">
        <v>4165</v>
      </c>
      <c r="F2080" s="3">
        <v>8.0</v>
      </c>
      <c r="G2080" s="3" t="s">
        <v>92</v>
      </c>
      <c r="H2080" s="22" t="s">
        <v>4170</v>
      </c>
      <c r="I2080" s="45">
        <v>6.1425108359E10</v>
      </c>
      <c r="J2080" s="22" t="s">
        <v>4171</v>
      </c>
      <c r="K2080" s="3">
        <v>0.0</v>
      </c>
      <c r="M2080" s="26"/>
    </row>
    <row r="2081">
      <c r="A2081" s="3" t="s">
        <v>1660</v>
      </c>
      <c r="B2081" s="3" t="s">
        <v>36</v>
      </c>
      <c r="C2081" s="3" t="s">
        <v>4172</v>
      </c>
      <c r="D2081" s="3" t="s">
        <v>4173</v>
      </c>
      <c r="E2081" s="46" t="s">
        <v>4165</v>
      </c>
      <c r="F2081" s="3">
        <v>8.0</v>
      </c>
      <c r="G2081" s="3" t="s">
        <v>92</v>
      </c>
      <c r="H2081" s="22" t="s">
        <v>4174</v>
      </c>
      <c r="I2081" s="45">
        <v>6.1409988967E10</v>
      </c>
      <c r="J2081" s="22" t="s">
        <v>4175</v>
      </c>
      <c r="K2081" s="3">
        <v>0.0</v>
      </c>
      <c r="M2081" s="26"/>
    </row>
    <row r="2082">
      <c r="A2082" s="3" t="s">
        <v>168</v>
      </c>
      <c r="B2082" s="3" t="s">
        <v>45</v>
      </c>
      <c r="C2082" s="3" t="s">
        <v>188</v>
      </c>
      <c r="D2082" s="3" t="s">
        <v>4176</v>
      </c>
      <c r="E2082" s="46" t="s">
        <v>4165</v>
      </c>
      <c r="F2082" s="3">
        <v>8.0</v>
      </c>
      <c r="G2082" s="3" t="s">
        <v>92</v>
      </c>
      <c r="H2082" s="22" t="s">
        <v>4177</v>
      </c>
      <c r="I2082" s="45">
        <v>6.1410010565E10</v>
      </c>
      <c r="J2082" s="22" t="s">
        <v>4178</v>
      </c>
      <c r="K2082" s="3">
        <v>0.0</v>
      </c>
      <c r="M2082" s="26"/>
    </row>
    <row r="2083">
      <c r="A2083" s="3" t="s">
        <v>418</v>
      </c>
      <c r="B2083" s="3" t="s">
        <v>18</v>
      </c>
      <c r="C2083" s="3" t="s">
        <v>4179</v>
      </c>
      <c r="D2083" s="3" t="s">
        <v>4180</v>
      </c>
      <c r="E2083" s="46" t="s">
        <v>4165</v>
      </c>
      <c r="F2083" s="3">
        <v>8.0</v>
      </c>
      <c r="G2083" s="3" t="s">
        <v>92</v>
      </c>
      <c r="H2083" s="22" t="s">
        <v>4181</v>
      </c>
      <c r="I2083" s="45">
        <v>6.1409767905E10</v>
      </c>
      <c r="J2083" s="22" t="s">
        <v>4182</v>
      </c>
      <c r="K2083" s="3">
        <v>0.0</v>
      </c>
      <c r="M2083" s="26"/>
    </row>
    <row r="2084">
      <c r="A2084" s="3" t="s">
        <v>1055</v>
      </c>
      <c r="B2084" s="3" t="s">
        <v>31</v>
      </c>
      <c r="C2084" s="3" t="s">
        <v>4183</v>
      </c>
      <c r="D2084" s="3" t="s">
        <v>4184</v>
      </c>
      <c r="E2084" s="46" t="s">
        <v>4165</v>
      </c>
      <c r="F2084" s="3">
        <v>8.0</v>
      </c>
      <c r="G2084" s="3" t="s">
        <v>92</v>
      </c>
      <c r="H2084" s="22" t="s">
        <v>4185</v>
      </c>
      <c r="I2084" s="45">
        <v>6.1498659798E10</v>
      </c>
      <c r="J2084" s="22" t="s">
        <v>4186</v>
      </c>
      <c r="K2084" s="3">
        <v>0.0</v>
      </c>
      <c r="M2084" s="26"/>
    </row>
    <row r="2085">
      <c r="A2085" s="3" t="s">
        <v>2960</v>
      </c>
      <c r="B2085" s="3" t="s">
        <v>18</v>
      </c>
      <c r="C2085" s="3" t="s">
        <v>182</v>
      </c>
      <c r="D2085" s="3" t="s">
        <v>4187</v>
      </c>
      <c r="E2085" s="46" t="s">
        <v>4165</v>
      </c>
      <c r="F2085" s="3">
        <v>8.0</v>
      </c>
      <c r="G2085" s="3" t="s">
        <v>92</v>
      </c>
      <c r="H2085" s="22" t="s">
        <v>4188</v>
      </c>
      <c r="I2085" s="45">
        <v>6.1407150153E10</v>
      </c>
      <c r="J2085" s="22" t="s">
        <v>4189</v>
      </c>
      <c r="K2085" s="3">
        <v>0.0</v>
      </c>
      <c r="M2085" s="26"/>
    </row>
    <row r="2086">
      <c r="A2086" s="3" t="s">
        <v>4133</v>
      </c>
      <c r="B2086" s="3" t="s">
        <v>31</v>
      </c>
      <c r="C2086" s="3" t="s">
        <v>4134</v>
      </c>
      <c r="D2086" s="3" t="s">
        <v>4135</v>
      </c>
      <c r="E2086" s="46" t="s">
        <v>4165</v>
      </c>
      <c r="F2086" s="3">
        <v>8.0</v>
      </c>
      <c r="G2086" s="3" t="s">
        <v>92</v>
      </c>
      <c r="H2086" s="22" t="s">
        <v>4136</v>
      </c>
      <c r="I2086" s="45">
        <v>6.1410553404E10</v>
      </c>
      <c r="J2086" s="22" t="s">
        <v>4137</v>
      </c>
      <c r="K2086" s="3">
        <v>0.0</v>
      </c>
      <c r="M2086" s="26"/>
    </row>
    <row r="2087">
      <c r="A2087" s="3" t="s">
        <v>2620</v>
      </c>
      <c r="B2087" s="3" t="s">
        <v>18</v>
      </c>
      <c r="C2087" s="22" t="s">
        <v>2900</v>
      </c>
      <c r="D2087" s="3" t="s">
        <v>4190</v>
      </c>
      <c r="E2087" s="46" t="s">
        <v>4165</v>
      </c>
      <c r="F2087" s="3" t="s">
        <v>27</v>
      </c>
      <c r="G2087" s="3" t="s">
        <v>1453</v>
      </c>
      <c r="H2087" s="22" t="s">
        <v>4191</v>
      </c>
      <c r="I2087" s="45">
        <v>61439048396</v>
      </c>
      <c r="J2087" s="22" t="s">
        <v>4192</v>
      </c>
      <c r="K2087" s="3"/>
      <c r="M2087" s="26"/>
    </row>
    <row r="2088">
      <c r="A2088" s="3" t="s">
        <v>113</v>
      </c>
      <c r="B2088" s="3" t="s">
        <v>18</v>
      </c>
      <c r="C2088" s="22" t="s">
        <v>591</v>
      </c>
      <c r="D2088" s="3" t="s">
        <v>4193</v>
      </c>
      <c r="E2088" s="46" t="s">
        <v>4165</v>
      </c>
      <c r="F2088" s="3" t="s">
        <v>27</v>
      </c>
      <c r="G2088" s="3" t="s">
        <v>1453</v>
      </c>
      <c r="H2088" s="22" t="s">
        <v>4194</v>
      </c>
      <c r="I2088" s="45">
        <v>6.1423686395E10</v>
      </c>
      <c r="J2088" s="22" t="s">
        <v>4195</v>
      </c>
      <c r="K2088" s="43">
        <v>1250.0</v>
      </c>
      <c r="M2088" s="26"/>
    </row>
    <row r="2089">
      <c r="A2089" s="3" t="s">
        <v>3569</v>
      </c>
      <c r="B2089" s="3" t="s">
        <v>18</v>
      </c>
      <c r="C2089" s="22" t="s">
        <v>627</v>
      </c>
      <c r="D2089" s="3" t="s">
        <v>4196</v>
      </c>
      <c r="E2089" s="46" t="s">
        <v>4165</v>
      </c>
      <c r="F2089" s="3" t="s">
        <v>27</v>
      </c>
      <c r="G2089" s="3" t="s">
        <v>1453</v>
      </c>
      <c r="H2089" s="22" t="s">
        <v>4143</v>
      </c>
      <c r="I2089" s="45">
        <v>6.1416153902E10</v>
      </c>
      <c r="J2089" s="22" t="s">
        <v>4144</v>
      </c>
      <c r="K2089" s="43">
        <v>500.0</v>
      </c>
      <c r="M2089" s="26"/>
    </row>
    <row r="2090">
      <c r="A2090" s="3" t="s">
        <v>435</v>
      </c>
      <c r="B2090" s="3" t="s">
        <v>18</v>
      </c>
      <c r="C2090" s="22" t="s">
        <v>4197</v>
      </c>
      <c r="D2090" s="3" t="s">
        <v>4198</v>
      </c>
      <c r="E2090" s="46" t="s">
        <v>4165</v>
      </c>
      <c r="F2090" s="3" t="s">
        <v>27</v>
      </c>
      <c r="G2090" s="3" t="s">
        <v>1453</v>
      </c>
      <c r="H2090" s="22" t="s">
        <v>4199</v>
      </c>
      <c r="I2090" s="45">
        <v>6.1439426199E10</v>
      </c>
      <c r="J2090" s="22" t="s">
        <v>4200</v>
      </c>
      <c r="K2090" s="43">
        <v>750.0</v>
      </c>
      <c r="M2090" s="26"/>
    </row>
    <row r="2091">
      <c r="A2091" s="3" t="s">
        <v>17</v>
      </c>
      <c r="B2091" s="3" t="s">
        <v>18</v>
      </c>
      <c r="C2091" s="3" t="s">
        <v>591</v>
      </c>
      <c r="D2091" s="3" t="s">
        <v>4201</v>
      </c>
      <c r="E2091" s="46" t="s">
        <v>4165</v>
      </c>
      <c r="F2091" s="3" t="s">
        <v>22</v>
      </c>
      <c r="G2091" s="3" t="s">
        <v>92</v>
      </c>
      <c r="H2091" s="22" t="s">
        <v>4202</v>
      </c>
      <c r="I2091" s="45">
        <v>6.1417716165E10</v>
      </c>
      <c r="J2091" s="22" t="s">
        <v>4203</v>
      </c>
      <c r="K2091" s="3">
        <v>0.0</v>
      </c>
      <c r="M2091" s="26"/>
    </row>
    <row r="2092">
      <c r="A2092" s="3" t="s">
        <v>2406</v>
      </c>
      <c r="B2092" s="3" t="s">
        <v>31</v>
      </c>
      <c r="C2092" s="3" t="s">
        <v>4204</v>
      </c>
      <c r="D2092" s="3" t="s">
        <v>4205</v>
      </c>
      <c r="E2092" s="46" t="s">
        <v>4165</v>
      </c>
      <c r="F2092" s="3">
        <v>8.0</v>
      </c>
      <c r="G2092" s="3" t="s">
        <v>92</v>
      </c>
      <c r="H2092" s="22" t="s">
        <v>4206</v>
      </c>
      <c r="I2092" s="45">
        <v>6.1455443203E10</v>
      </c>
      <c r="J2092" s="22" t="s">
        <v>4207</v>
      </c>
      <c r="K2092" s="3">
        <v>0.0</v>
      </c>
      <c r="M2092" s="26"/>
    </row>
    <row r="2093">
      <c r="A2093" s="3" t="s">
        <v>3569</v>
      </c>
      <c r="B2093" s="3" t="s">
        <v>18</v>
      </c>
      <c r="C2093" s="3" t="s">
        <v>953</v>
      </c>
      <c r="D2093" s="3" t="s">
        <v>4208</v>
      </c>
      <c r="E2093" s="46" t="s">
        <v>4165</v>
      </c>
      <c r="F2093" s="3" t="s">
        <v>27</v>
      </c>
      <c r="G2093" s="3" t="s">
        <v>1453</v>
      </c>
      <c r="H2093" s="22" t="s">
        <v>4209</v>
      </c>
      <c r="I2093" s="45">
        <v>6.1498879547E10</v>
      </c>
      <c r="J2093" s="22" t="s">
        <v>4210</v>
      </c>
      <c r="K2093" s="43">
        <v>1000.0</v>
      </c>
      <c r="M2093" s="26"/>
    </row>
    <row r="2094">
      <c r="A2094" s="3" t="s">
        <v>2620</v>
      </c>
      <c r="B2094" s="3" t="s">
        <v>18</v>
      </c>
      <c r="C2094" s="3" t="s">
        <v>2900</v>
      </c>
      <c r="D2094" s="3" t="s">
        <v>4211</v>
      </c>
      <c r="E2094" s="46" t="s">
        <v>4165</v>
      </c>
      <c r="F2094" s="3" t="s">
        <v>27</v>
      </c>
      <c r="G2094" s="3" t="s">
        <v>1453</v>
      </c>
      <c r="H2094" s="22" t="s">
        <v>4191</v>
      </c>
      <c r="I2094" s="45">
        <v>6.1439048396E10</v>
      </c>
      <c r="J2094" s="22" t="s">
        <v>4192</v>
      </c>
      <c r="K2094" s="43">
        <v>1250.0</v>
      </c>
      <c r="M2094" s="26"/>
    </row>
    <row r="2095">
      <c r="A2095" s="3" t="s">
        <v>2406</v>
      </c>
      <c r="B2095" s="3" t="s">
        <v>31</v>
      </c>
      <c r="C2095" s="3" t="s">
        <v>4212</v>
      </c>
      <c r="D2095" s="3" t="s">
        <v>4213</v>
      </c>
      <c r="E2095" s="46" t="s">
        <v>4165</v>
      </c>
      <c r="F2095" s="3" t="s">
        <v>27</v>
      </c>
      <c r="G2095" s="3" t="s">
        <v>129</v>
      </c>
      <c r="H2095" s="22" t="s">
        <v>4214</v>
      </c>
      <c r="I2095" s="45">
        <v>6.1433668474E10</v>
      </c>
      <c r="J2095" s="22" t="s">
        <v>4215</v>
      </c>
      <c r="K2095" s="43">
        <v>3000.0</v>
      </c>
      <c r="M2095" s="26"/>
    </row>
    <row r="2096">
      <c r="A2096" s="3" t="s">
        <v>2406</v>
      </c>
      <c r="B2096" s="3" t="s">
        <v>31</v>
      </c>
      <c r="C2096" s="3" t="s">
        <v>4216</v>
      </c>
      <c r="D2096" s="3" t="s">
        <v>4217</v>
      </c>
      <c r="E2096" s="46" t="s">
        <v>4218</v>
      </c>
      <c r="F2096" s="3" t="s">
        <v>27</v>
      </c>
      <c r="G2096" s="3" t="s">
        <v>1453</v>
      </c>
      <c r="H2096" s="22" t="s">
        <v>4219</v>
      </c>
      <c r="I2096" s="45">
        <v>61403015159</v>
      </c>
      <c r="J2096" s="22" t="s">
        <v>4220</v>
      </c>
      <c r="K2096" s="43"/>
      <c r="M2096" s="26"/>
    </row>
    <row r="2097">
      <c r="A2097" s="3" t="s">
        <v>2641</v>
      </c>
      <c r="B2097" s="3" t="s">
        <v>18</v>
      </c>
      <c r="C2097" s="3" t="s">
        <v>749</v>
      </c>
      <c r="D2097" s="3" t="s">
        <v>4221</v>
      </c>
      <c r="E2097" s="46" t="s">
        <v>4218</v>
      </c>
      <c r="F2097" s="3" t="s">
        <v>27</v>
      </c>
      <c r="G2097" s="3" t="s">
        <v>1453</v>
      </c>
      <c r="H2097" s="22" t="s">
        <v>4222</v>
      </c>
      <c r="I2097" s="45">
        <v>6.1430500703E10</v>
      </c>
      <c r="J2097" s="22" t="s">
        <v>4223</v>
      </c>
      <c r="K2097" s="43">
        <v>500.0</v>
      </c>
      <c r="M2097" s="26"/>
    </row>
    <row r="2098">
      <c r="A2098" s="3" t="s">
        <v>4224</v>
      </c>
      <c r="B2098" s="3" t="s">
        <v>31</v>
      </c>
      <c r="C2098" s="3" t="s">
        <v>4225</v>
      </c>
      <c r="D2098" s="3" t="s">
        <v>4226</v>
      </c>
      <c r="E2098" s="46" t="s">
        <v>4165</v>
      </c>
      <c r="F2098" s="3">
        <v>8.0</v>
      </c>
      <c r="G2098" s="3" t="s">
        <v>92</v>
      </c>
      <c r="H2098" s="22" t="s">
        <v>4227</v>
      </c>
      <c r="I2098" s="45">
        <v>6.147731E10</v>
      </c>
      <c r="J2098" s="22" t="s">
        <v>4228</v>
      </c>
      <c r="K2098" s="3">
        <v>0.0</v>
      </c>
      <c r="M2098" s="26"/>
    </row>
    <row r="2099">
      <c r="A2099" s="3" t="s">
        <v>1973</v>
      </c>
      <c r="B2099" s="3" t="s">
        <v>31</v>
      </c>
      <c r="C2099" s="3" t="s">
        <v>4229</v>
      </c>
      <c r="D2099" s="3" t="s">
        <v>4230</v>
      </c>
      <c r="E2099" s="46" t="s">
        <v>4165</v>
      </c>
      <c r="F2099" s="3">
        <v>8.0</v>
      </c>
      <c r="G2099" s="3" t="s">
        <v>92</v>
      </c>
      <c r="H2099" s="22" t="s">
        <v>4231</v>
      </c>
      <c r="I2099" s="45">
        <v>6.141128772E10</v>
      </c>
      <c r="J2099" s="22" t="s">
        <v>4232</v>
      </c>
      <c r="K2099" s="3">
        <v>0.0</v>
      </c>
      <c r="M2099" s="26"/>
    </row>
    <row r="2100">
      <c r="A2100" s="3" t="s">
        <v>435</v>
      </c>
      <c r="B2100" s="3" t="s">
        <v>18</v>
      </c>
      <c r="C2100" s="3" t="s">
        <v>667</v>
      </c>
      <c r="D2100" s="3" t="s">
        <v>4233</v>
      </c>
      <c r="E2100" s="46" t="s">
        <v>4165</v>
      </c>
      <c r="F2100" s="3" t="s">
        <v>27</v>
      </c>
      <c r="G2100" s="3" t="s">
        <v>129</v>
      </c>
      <c r="H2100" s="22" t="s">
        <v>4234</v>
      </c>
      <c r="I2100" s="45">
        <v>6.1431120926E10</v>
      </c>
      <c r="J2100" s="22" t="s">
        <v>4235</v>
      </c>
      <c r="K2100" s="43">
        <v>1250.0</v>
      </c>
      <c r="M2100" s="26"/>
    </row>
    <row r="2101">
      <c r="A2101" s="3" t="s">
        <v>155</v>
      </c>
      <c r="B2101" s="3" t="s">
        <v>18</v>
      </c>
      <c r="C2101" s="3" t="s">
        <v>238</v>
      </c>
      <c r="D2101" s="3" t="s">
        <v>4236</v>
      </c>
      <c r="E2101" s="46" t="s">
        <v>4218</v>
      </c>
      <c r="F2101" s="3" t="s">
        <v>27</v>
      </c>
      <c r="G2101" s="3" t="s">
        <v>1453</v>
      </c>
      <c r="H2101" s="22" t="s">
        <v>4237</v>
      </c>
      <c r="I2101" s="45">
        <v>61421306759</v>
      </c>
      <c r="J2101" s="22" t="s">
        <v>4238</v>
      </c>
      <c r="K2101" s="43"/>
      <c r="M2101" s="26"/>
    </row>
    <row r="2102">
      <c r="A2102" s="3" t="s">
        <v>4224</v>
      </c>
      <c r="B2102" s="3" t="s">
        <v>31</v>
      </c>
      <c r="C2102" s="3" t="s">
        <v>4239</v>
      </c>
      <c r="D2102" s="3" t="s">
        <v>4240</v>
      </c>
      <c r="E2102" s="46" t="s">
        <v>4218</v>
      </c>
      <c r="F2102" s="3" t="s">
        <v>27</v>
      </c>
      <c r="G2102" s="3" t="s">
        <v>129</v>
      </c>
      <c r="H2102" s="22" t="s">
        <v>4241</v>
      </c>
      <c r="I2102" s="45">
        <v>610417664024</v>
      </c>
      <c r="J2102" s="22" t="s">
        <v>4242</v>
      </c>
      <c r="K2102" s="43">
        <v>500.0</v>
      </c>
      <c r="M2102" s="26"/>
    </row>
    <row r="2103">
      <c r="A2103" s="3" t="s">
        <v>202</v>
      </c>
      <c r="B2103" s="3" t="s">
        <v>36</v>
      </c>
      <c r="C2103" s="3" t="s">
        <v>289</v>
      </c>
      <c r="D2103" s="3" t="s">
        <v>4243</v>
      </c>
      <c r="E2103" s="46" t="s">
        <v>4218</v>
      </c>
      <c r="F2103" s="3" t="s">
        <v>27</v>
      </c>
      <c r="G2103" s="3" t="s">
        <v>1453</v>
      </c>
      <c r="H2103" s="22" t="s">
        <v>4244</v>
      </c>
      <c r="I2103" s="45">
        <v>6.1418145047E10</v>
      </c>
      <c r="J2103" s="22" t="s">
        <v>4245</v>
      </c>
      <c r="K2103" s="43">
        <v>750.0</v>
      </c>
      <c r="M2103" s="26"/>
    </row>
    <row r="2104">
      <c r="A2104" s="3" t="s">
        <v>44</v>
      </c>
      <c r="B2104" s="3" t="s">
        <v>45</v>
      </c>
      <c r="C2104" s="3" t="s">
        <v>148</v>
      </c>
      <c r="D2104" s="3" t="s">
        <v>4246</v>
      </c>
      <c r="E2104" s="46" t="s">
        <v>4218</v>
      </c>
      <c r="F2104" s="3" t="s">
        <v>27</v>
      </c>
      <c r="G2104" s="3" t="s">
        <v>1453</v>
      </c>
      <c r="H2104" s="22" t="s">
        <v>4247</v>
      </c>
      <c r="I2104" s="45">
        <v>6.1432346914E10</v>
      </c>
      <c r="J2104" s="22" t="s">
        <v>4248</v>
      </c>
      <c r="K2104" s="43">
        <v>500.0</v>
      </c>
      <c r="M2104" s="26"/>
    </row>
    <row r="2105">
      <c r="A2105" s="3" t="s">
        <v>195</v>
      </c>
      <c r="B2105" s="3" t="s">
        <v>18</v>
      </c>
      <c r="C2105" s="3" t="s">
        <v>4249</v>
      </c>
      <c r="D2105" s="3" t="s">
        <v>4250</v>
      </c>
      <c r="E2105" s="46" t="s">
        <v>4218</v>
      </c>
      <c r="F2105" s="3" t="s">
        <v>27</v>
      </c>
      <c r="G2105" s="3" t="s">
        <v>1453</v>
      </c>
      <c r="H2105" s="22" t="s">
        <v>4251</v>
      </c>
      <c r="I2105" s="45">
        <v>6.1451055383E10</v>
      </c>
      <c r="J2105" s="22" t="s">
        <v>4252</v>
      </c>
      <c r="K2105" s="43">
        <v>1000.0</v>
      </c>
      <c r="M2105" s="26"/>
    </row>
    <row r="2106">
      <c r="A2106" s="3" t="s">
        <v>4224</v>
      </c>
      <c r="B2106" s="3" t="s">
        <v>31</v>
      </c>
      <c r="C2106" s="3" t="s">
        <v>1917</v>
      </c>
      <c r="D2106" s="3" t="s">
        <v>4253</v>
      </c>
      <c r="E2106" s="46" t="s">
        <v>4218</v>
      </c>
      <c r="F2106" s="3">
        <v>6.0</v>
      </c>
      <c r="G2106" s="3" t="s">
        <v>92</v>
      </c>
      <c r="H2106" s="22" t="s">
        <v>4254</v>
      </c>
      <c r="I2106" s="45">
        <v>6.1410636977E10</v>
      </c>
      <c r="J2106" s="22" t="s">
        <v>4255</v>
      </c>
      <c r="K2106" s="3">
        <v>0.0</v>
      </c>
      <c r="M2106" s="26"/>
    </row>
    <row r="2107">
      <c r="A2107" s="3" t="s">
        <v>265</v>
      </c>
      <c r="B2107" s="3" t="s">
        <v>18</v>
      </c>
      <c r="C2107" s="3" t="s">
        <v>2510</v>
      </c>
      <c r="D2107" s="3" t="s">
        <v>4256</v>
      </c>
      <c r="E2107" s="46" t="s">
        <v>4218</v>
      </c>
      <c r="F2107" s="3">
        <v>8.0</v>
      </c>
      <c r="G2107" s="3" t="s">
        <v>92</v>
      </c>
      <c r="H2107" s="22" t="s">
        <v>4257</v>
      </c>
      <c r="I2107" s="45">
        <v>6.1411654266E10</v>
      </c>
      <c r="J2107" s="22" t="s">
        <v>4258</v>
      </c>
      <c r="K2107" s="3">
        <v>0.0</v>
      </c>
      <c r="M2107" s="26"/>
    </row>
    <row r="2108">
      <c r="A2108" s="3" t="s">
        <v>120</v>
      </c>
      <c r="B2108" s="3" t="s">
        <v>31</v>
      </c>
      <c r="C2108" s="3" t="s">
        <v>4259</v>
      </c>
      <c r="D2108" s="3" t="s">
        <v>4260</v>
      </c>
      <c r="E2108" s="46" t="s">
        <v>4218</v>
      </c>
      <c r="F2108" s="3">
        <v>8.0</v>
      </c>
      <c r="G2108" s="3" t="s">
        <v>92</v>
      </c>
      <c r="H2108" s="22" t="s">
        <v>4261</v>
      </c>
      <c r="I2108" s="45">
        <v>6.1425261113E10</v>
      </c>
      <c r="J2108" s="22" t="s">
        <v>4262</v>
      </c>
      <c r="K2108" s="3">
        <v>0.0</v>
      </c>
      <c r="M2108" s="26"/>
    </row>
    <row r="2109">
      <c r="A2109" s="3" t="s">
        <v>717</v>
      </c>
      <c r="B2109" s="3" t="s">
        <v>36</v>
      </c>
      <c r="C2109" s="3" t="s">
        <v>4263</v>
      </c>
      <c r="D2109" s="3" t="s">
        <v>4264</v>
      </c>
      <c r="E2109" s="46" t="s">
        <v>4218</v>
      </c>
      <c r="F2109" s="3">
        <v>8.0</v>
      </c>
      <c r="G2109" s="3" t="s">
        <v>92</v>
      </c>
      <c r="H2109" s="22" t="s">
        <v>4265</v>
      </c>
      <c r="I2109" s="45">
        <v>6.140277041E10</v>
      </c>
      <c r="J2109" s="22" t="s">
        <v>4266</v>
      </c>
      <c r="K2109" s="3">
        <v>0.0</v>
      </c>
      <c r="M2109" s="26"/>
    </row>
    <row r="2110">
      <c r="A2110" s="3" t="s">
        <v>4267</v>
      </c>
      <c r="B2110" s="3" t="s">
        <v>221</v>
      </c>
      <c r="C2110" s="3" t="s">
        <v>4268</v>
      </c>
      <c r="D2110" s="3" t="s">
        <v>4269</v>
      </c>
      <c r="E2110" s="46" t="s">
        <v>4218</v>
      </c>
      <c r="F2110" s="3">
        <v>6.0</v>
      </c>
      <c r="G2110" s="3" t="s">
        <v>92</v>
      </c>
      <c r="H2110" s="22" t="s">
        <v>4270</v>
      </c>
      <c r="I2110" s="45">
        <v>6.1413010494E10</v>
      </c>
      <c r="J2110" s="22" t="s">
        <v>4271</v>
      </c>
      <c r="K2110" s="3">
        <v>0.0</v>
      </c>
      <c r="M2110" s="26"/>
    </row>
    <row r="2111">
      <c r="A2111" s="3" t="s">
        <v>2641</v>
      </c>
      <c r="B2111" s="3" t="s">
        <v>18</v>
      </c>
      <c r="C2111" s="3" t="s">
        <v>749</v>
      </c>
      <c r="D2111" s="3" t="s">
        <v>4272</v>
      </c>
      <c r="E2111" s="46" t="s">
        <v>4218</v>
      </c>
      <c r="F2111" s="3">
        <v>8.0</v>
      </c>
      <c r="G2111" s="3" t="s">
        <v>92</v>
      </c>
      <c r="H2111" s="22" t="s">
        <v>4273</v>
      </c>
      <c r="I2111" s="45">
        <v>6.1432893178E10</v>
      </c>
      <c r="J2111" s="22" t="s">
        <v>4274</v>
      </c>
      <c r="K2111" s="3">
        <v>0.0</v>
      </c>
      <c r="M2111" s="26"/>
    </row>
    <row r="2112">
      <c r="A2112" s="3" t="s">
        <v>717</v>
      </c>
      <c r="B2112" s="3" t="s">
        <v>36</v>
      </c>
      <c r="C2112" s="3" t="s">
        <v>916</v>
      </c>
      <c r="D2112" s="3" t="s">
        <v>4275</v>
      </c>
      <c r="E2112" s="46" t="s">
        <v>4218</v>
      </c>
      <c r="F2112" s="3" t="s">
        <v>27</v>
      </c>
      <c r="G2112" s="3" t="s">
        <v>1453</v>
      </c>
      <c r="H2112" s="22" t="s">
        <v>4276</v>
      </c>
      <c r="I2112" s="45">
        <v>6.1404427583E10</v>
      </c>
      <c r="J2112" s="22" t="s">
        <v>4277</v>
      </c>
      <c r="K2112" s="43">
        <v>500.0</v>
      </c>
      <c r="M2112" s="26"/>
    </row>
    <row r="2113">
      <c r="A2113" s="3" t="s">
        <v>184</v>
      </c>
      <c r="B2113" s="3" t="s">
        <v>18</v>
      </c>
      <c r="C2113" s="3" t="s">
        <v>4278</v>
      </c>
      <c r="D2113" s="3" t="s">
        <v>4279</v>
      </c>
      <c r="E2113" s="46" t="s">
        <v>4218</v>
      </c>
      <c r="F2113" s="3" t="s">
        <v>27</v>
      </c>
      <c r="G2113" s="3" t="s">
        <v>1453</v>
      </c>
      <c r="H2113" s="22" t="s">
        <v>4280</v>
      </c>
      <c r="I2113" s="45">
        <v>6.1449943373E10</v>
      </c>
      <c r="J2113" s="22" t="s">
        <v>4281</v>
      </c>
      <c r="K2113" s="43">
        <v>500.0</v>
      </c>
      <c r="M2113" s="26"/>
    </row>
    <row r="2114">
      <c r="A2114" s="3" t="s">
        <v>113</v>
      </c>
      <c r="B2114" s="3" t="s">
        <v>18</v>
      </c>
      <c r="C2114" s="3" t="s">
        <v>591</v>
      </c>
      <c r="D2114" s="3" t="s">
        <v>4282</v>
      </c>
      <c r="E2114" s="46" t="s">
        <v>4218</v>
      </c>
      <c r="F2114" s="3" t="s">
        <v>27</v>
      </c>
      <c r="G2114" s="3" t="s">
        <v>1453</v>
      </c>
      <c r="H2114" s="22" t="s">
        <v>4283</v>
      </c>
      <c r="I2114" s="45">
        <v>61404604787</v>
      </c>
      <c r="J2114" s="22" t="s">
        <v>4284</v>
      </c>
      <c r="K2114" s="43"/>
      <c r="M2114" s="26"/>
    </row>
    <row r="2115">
      <c r="A2115" s="3" t="s">
        <v>435</v>
      </c>
      <c r="B2115" s="3" t="s">
        <v>18</v>
      </c>
      <c r="C2115" s="3" t="s">
        <v>716</v>
      </c>
      <c r="D2115" s="3" t="s">
        <v>4285</v>
      </c>
      <c r="E2115" s="46" t="s">
        <v>4218</v>
      </c>
      <c r="F2115" s="3" t="s">
        <v>27</v>
      </c>
      <c r="G2115" s="3" t="s">
        <v>1453</v>
      </c>
      <c r="H2115" s="22" t="s">
        <v>4286</v>
      </c>
      <c r="I2115" s="45">
        <v>6.140873994E10</v>
      </c>
      <c r="J2115" s="22" t="s">
        <v>4287</v>
      </c>
      <c r="K2115" s="43">
        <v>1000.0</v>
      </c>
      <c r="M2115" s="26"/>
    </row>
    <row r="2116">
      <c r="A2116" s="3" t="s">
        <v>4267</v>
      </c>
      <c r="B2116" s="3" t="s">
        <v>221</v>
      </c>
      <c r="C2116" s="3" t="s">
        <v>4288</v>
      </c>
      <c r="D2116" s="3" t="s">
        <v>4289</v>
      </c>
      <c r="E2116" s="46" t="s">
        <v>4218</v>
      </c>
      <c r="F2116" s="3" t="s">
        <v>27</v>
      </c>
      <c r="G2116" s="3" t="s">
        <v>1453</v>
      </c>
      <c r="H2116" s="22" t="s">
        <v>4290</v>
      </c>
      <c r="I2116" s="45">
        <v>6.10412261442E11</v>
      </c>
      <c r="J2116" s="22" t="s">
        <v>4291</v>
      </c>
      <c r="K2116" s="43">
        <v>750.0</v>
      </c>
      <c r="M2116" s="26"/>
    </row>
    <row r="2117">
      <c r="A2117" s="3" t="s">
        <v>744</v>
      </c>
      <c r="B2117" s="3" t="s">
        <v>18</v>
      </c>
      <c r="C2117" s="3" t="s">
        <v>2483</v>
      </c>
      <c r="D2117" s="3" t="s">
        <v>4292</v>
      </c>
      <c r="E2117" s="46" t="s">
        <v>4293</v>
      </c>
      <c r="F2117" s="3" t="s">
        <v>27</v>
      </c>
      <c r="G2117" s="3" t="s">
        <v>1453</v>
      </c>
      <c r="H2117" s="22" t="s">
        <v>4294</v>
      </c>
      <c r="I2117" s="45">
        <v>6.1488335147E10</v>
      </c>
      <c r="J2117" s="22" t="s">
        <v>4295</v>
      </c>
      <c r="K2117" s="43">
        <v>1000.0</v>
      </c>
      <c r="M2117" s="26"/>
    </row>
    <row r="2118">
      <c r="A2118" s="3" t="s">
        <v>113</v>
      </c>
      <c r="B2118" s="3" t="s">
        <v>18</v>
      </c>
      <c r="C2118" s="3" t="s">
        <v>2675</v>
      </c>
      <c r="D2118" s="3" t="s">
        <v>4296</v>
      </c>
      <c r="E2118" s="46" t="s">
        <v>4293</v>
      </c>
      <c r="F2118" s="3" t="s">
        <v>27</v>
      </c>
      <c r="G2118" s="3" t="s">
        <v>1453</v>
      </c>
      <c r="H2118" s="22" t="s">
        <v>4297</v>
      </c>
      <c r="I2118" s="45">
        <v>6.1490028561E10</v>
      </c>
      <c r="J2118" s="22" t="s">
        <v>4298</v>
      </c>
      <c r="K2118" s="43">
        <v>1250.0</v>
      </c>
      <c r="M2118" s="26"/>
    </row>
    <row r="2119">
      <c r="A2119" s="3" t="s">
        <v>113</v>
      </c>
      <c r="B2119" s="3" t="s">
        <v>18</v>
      </c>
      <c r="C2119" s="3" t="s">
        <v>591</v>
      </c>
      <c r="D2119" s="3" t="s">
        <v>4299</v>
      </c>
      <c r="E2119" s="46" t="s">
        <v>4293</v>
      </c>
      <c r="F2119" s="3" t="s">
        <v>27</v>
      </c>
      <c r="G2119" s="3" t="s">
        <v>1453</v>
      </c>
      <c r="H2119" s="22" t="s">
        <v>4283</v>
      </c>
      <c r="I2119" s="45">
        <v>6.1404604787E10</v>
      </c>
      <c r="J2119" s="22" t="s">
        <v>4284</v>
      </c>
      <c r="K2119" s="43">
        <v>500.0</v>
      </c>
      <c r="M2119" s="26"/>
    </row>
    <row r="2120">
      <c r="A2120" s="3" t="s">
        <v>168</v>
      </c>
      <c r="B2120" s="3" t="s">
        <v>45</v>
      </c>
      <c r="C2120" s="3" t="s">
        <v>1561</v>
      </c>
      <c r="D2120" s="3" t="s">
        <v>4300</v>
      </c>
      <c r="E2120" s="46" t="s">
        <v>4293</v>
      </c>
      <c r="F2120" s="3" t="s">
        <v>27</v>
      </c>
      <c r="G2120" s="3" t="s">
        <v>1453</v>
      </c>
      <c r="H2120" s="22" t="s">
        <v>4301</v>
      </c>
      <c r="I2120" s="45">
        <v>61409081449</v>
      </c>
      <c r="J2120" s="22" t="s">
        <v>4302</v>
      </c>
      <c r="K2120" s="43"/>
      <c r="M2120" s="26"/>
    </row>
    <row r="2121">
      <c r="A2121" s="3" t="s">
        <v>168</v>
      </c>
      <c r="B2121" s="3" t="s">
        <v>45</v>
      </c>
      <c r="C2121" s="3" t="s">
        <v>1561</v>
      </c>
      <c r="D2121" s="3" t="s">
        <v>4303</v>
      </c>
      <c r="E2121" s="46" t="s">
        <v>4293</v>
      </c>
      <c r="F2121" s="3" t="s">
        <v>27</v>
      </c>
      <c r="G2121" s="3" t="s">
        <v>1453</v>
      </c>
      <c r="H2121" s="22" t="s">
        <v>4301</v>
      </c>
      <c r="I2121" s="45">
        <v>6.1409081449E10</v>
      </c>
      <c r="J2121" s="22" t="s">
        <v>4302</v>
      </c>
      <c r="K2121" s="43">
        <v>500.0</v>
      </c>
      <c r="M2121" s="26"/>
    </row>
    <row r="2122">
      <c r="A2122" s="3" t="s">
        <v>155</v>
      </c>
      <c r="B2122" s="3" t="s">
        <v>18</v>
      </c>
      <c r="C2122" s="3" t="s">
        <v>319</v>
      </c>
      <c r="D2122" s="3" t="s">
        <v>4304</v>
      </c>
      <c r="E2122" s="46" t="s">
        <v>4293</v>
      </c>
      <c r="F2122" s="3" t="s">
        <v>27</v>
      </c>
      <c r="G2122" s="3" t="s">
        <v>1453</v>
      </c>
      <c r="H2122" s="22" t="s">
        <v>4305</v>
      </c>
      <c r="I2122" s="45">
        <v>61439678739</v>
      </c>
      <c r="J2122" s="22" t="s">
        <v>4306</v>
      </c>
      <c r="K2122" s="43"/>
      <c r="M2122" s="26"/>
    </row>
    <row r="2123">
      <c r="A2123" s="3" t="s">
        <v>435</v>
      </c>
      <c r="B2123" s="3" t="s">
        <v>18</v>
      </c>
      <c r="C2123" s="3" t="s">
        <v>1391</v>
      </c>
      <c r="D2123" s="3" t="s">
        <v>4307</v>
      </c>
      <c r="E2123" s="46" t="s">
        <v>4293</v>
      </c>
      <c r="F2123" s="3" t="s">
        <v>27</v>
      </c>
      <c r="G2123" s="3" t="s">
        <v>1453</v>
      </c>
      <c r="H2123" s="22" t="s">
        <v>4308</v>
      </c>
      <c r="I2123" s="45">
        <v>6.1408456764E10</v>
      </c>
      <c r="J2123" s="22" t="s">
        <v>4309</v>
      </c>
      <c r="K2123" s="43">
        <v>750.0</v>
      </c>
      <c r="M2123" s="26"/>
    </row>
    <row r="2124">
      <c r="A2124" s="3" t="s">
        <v>155</v>
      </c>
      <c r="B2124" s="3" t="s">
        <v>18</v>
      </c>
      <c r="C2124" s="3" t="s">
        <v>319</v>
      </c>
      <c r="D2124" s="3" t="s">
        <v>4310</v>
      </c>
      <c r="E2124" s="46" t="s">
        <v>4293</v>
      </c>
      <c r="F2124" s="3" t="s">
        <v>27</v>
      </c>
      <c r="G2124" s="3" t="s">
        <v>1453</v>
      </c>
      <c r="H2124" s="22" t="s">
        <v>4305</v>
      </c>
      <c r="I2124" s="45">
        <v>6.1439678739E10</v>
      </c>
      <c r="J2124" s="22" t="s">
        <v>4306</v>
      </c>
      <c r="K2124" s="43">
        <v>1000.0</v>
      </c>
      <c r="M2124" s="26"/>
    </row>
    <row r="2125">
      <c r="A2125" s="3" t="s">
        <v>155</v>
      </c>
      <c r="B2125" s="3" t="s">
        <v>18</v>
      </c>
      <c r="C2125" s="3" t="s">
        <v>1955</v>
      </c>
      <c r="D2125" s="3" t="s">
        <v>4311</v>
      </c>
      <c r="E2125" s="46" t="s">
        <v>4293</v>
      </c>
      <c r="F2125" s="3" t="s">
        <v>27</v>
      </c>
      <c r="G2125" s="3" t="s">
        <v>1453</v>
      </c>
      <c r="H2125" s="22" t="s">
        <v>4312</v>
      </c>
      <c r="I2125" s="45">
        <v>6.1407149161E10</v>
      </c>
      <c r="J2125" s="22" t="s">
        <v>4313</v>
      </c>
      <c r="K2125" s="43">
        <v>1750.0</v>
      </c>
      <c r="M2125" s="26"/>
    </row>
    <row r="2126">
      <c r="A2126" s="3" t="s">
        <v>210</v>
      </c>
      <c r="B2126" s="3" t="s">
        <v>31</v>
      </c>
      <c r="C2126" s="3" t="s">
        <v>346</v>
      </c>
      <c r="D2126" s="3" t="s">
        <v>4314</v>
      </c>
      <c r="E2126" s="46" t="s">
        <v>4293</v>
      </c>
      <c r="F2126" s="3" t="s">
        <v>27</v>
      </c>
      <c r="G2126" s="3" t="s">
        <v>129</v>
      </c>
      <c r="H2126" s="22" t="s">
        <v>4315</v>
      </c>
      <c r="I2126" s="45">
        <v>6.141843272E10</v>
      </c>
      <c r="J2126" s="22" t="s">
        <v>4316</v>
      </c>
      <c r="K2126" s="43">
        <v>1250.0</v>
      </c>
      <c r="M2126" s="26"/>
    </row>
    <row r="2127">
      <c r="A2127" s="3" t="s">
        <v>1062</v>
      </c>
      <c r="B2127" s="3" t="s">
        <v>18</v>
      </c>
      <c r="C2127" s="3" t="s">
        <v>1063</v>
      </c>
      <c r="D2127" s="3" t="s">
        <v>4317</v>
      </c>
      <c r="E2127" s="46" t="s">
        <v>4293</v>
      </c>
      <c r="F2127" s="3" t="s">
        <v>27</v>
      </c>
      <c r="G2127" s="3" t="s">
        <v>1453</v>
      </c>
      <c r="H2127" s="22" t="s">
        <v>4318</v>
      </c>
      <c r="I2127" s="45">
        <v>61438364753</v>
      </c>
      <c r="J2127" s="22" t="s">
        <v>4319</v>
      </c>
      <c r="K2127" s="43"/>
      <c r="M2127" s="26"/>
    </row>
    <row r="2128">
      <c r="A2128" s="3" t="s">
        <v>1359</v>
      </c>
      <c r="B2128" s="3" t="s">
        <v>45</v>
      </c>
      <c r="C2128" s="3" t="s">
        <v>1646</v>
      </c>
      <c r="D2128" s="3" t="s">
        <v>4320</v>
      </c>
      <c r="E2128" s="46" t="s">
        <v>4293</v>
      </c>
      <c r="F2128" s="3" t="s">
        <v>27</v>
      </c>
      <c r="G2128" s="3" t="s">
        <v>1453</v>
      </c>
      <c r="H2128" s="22" t="s">
        <v>4321</v>
      </c>
      <c r="I2128" s="45">
        <v>61415246468</v>
      </c>
      <c r="J2128" s="22" t="s">
        <v>4322</v>
      </c>
      <c r="K2128" s="43"/>
      <c r="M2128" s="26"/>
    </row>
    <row r="2129">
      <c r="A2129" s="3" t="s">
        <v>4006</v>
      </c>
      <c r="B2129" s="3" t="s">
        <v>45</v>
      </c>
      <c r="C2129" s="3" t="s">
        <v>4323</v>
      </c>
      <c r="D2129" s="3" t="s">
        <v>4324</v>
      </c>
      <c r="E2129" s="46" t="s">
        <v>4293</v>
      </c>
      <c r="F2129" s="3" t="s">
        <v>27</v>
      </c>
      <c r="G2129" s="3" t="s">
        <v>1453</v>
      </c>
      <c r="H2129" s="22" t="s">
        <v>4325</v>
      </c>
      <c r="I2129" s="45">
        <v>6.1405819416E10</v>
      </c>
      <c r="J2129" s="22" t="s">
        <v>4326</v>
      </c>
      <c r="K2129" s="43">
        <v>1000.0</v>
      </c>
      <c r="M2129" s="26"/>
    </row>
    <row r="2130">
      <c r="A2130" s="3" t="s">
        <v>1359</v>
      </c>
      <c r="B2130" s="3" t="s">
        <v>45</v>
      </c>
      <c r="C2130" s="3" t="s">
        <v>2263</v>
      </c>
      <c r="D2130" s="3" t="s">
        <v>4327</v>
      </c>
      <c r="E2130" s="46" t="s">
        <v>4293</v>
      </c>
      <c r="F2130" s="3" t="s">
        <v>27</v>
      </c>
      <c r="G2130" s="3" t="s">
        <v>1453</v>
      </c>
      <c r="H2130" s="22" t="s">
        <v>4328</v>
      </c>
      <c r="I2130" s="45">
        <v>6.1424100998E10</v>
      </c>
      <c r="J2130" s="22" t="s">
        <v>4329</v>
      </c>
      <c r="K2130" s="43"/>
      <c r="M2130" s="26"/>
    </row>
    <row r="2131">
      <c r="A2131" s="3" t="s">
        <v>1359</v>
      </c>
      <c r="B2131" s="3" t="s">
        <v>45</v>
      </c>
      <c r="C2131" s="3" t="s">
        <v>1646</v>
      </c>
      <c r="D2131" s="3" t="s">
        <v>4330</v>
      </c>
      <c r="E2131" s="46" t="s">
        <v>4293</v>
      </c>
      <c r="F2131" s="3" t="s">
        <v>27</v>
      </c>
      <c r="G2131" s="3" t="s">
        <v>1453</v>
      </c>
      <c r="H2131" s="22" t="s">
        <v>4321</v>
      </c>
      <c r="I2131" s="45">
        <v>6.1415246468E10</v>
      </c>
      <c r="J2131" s="22" t="s">
        <v>4322</v>
      </c>
      <c r="K2131" s="43">
        <v>1250.0</v>
      </c>
      <c r="M2131" s="26"/>
    </row>
    <row r="2132">
      <c r="A2132" s="3" t="s">
        <v>1062</v>
      </c>
      <c r="B2132" s="3" t="s">
        <v>18</v>
      </c>
      <c r="C2132" s="3" t="s">
        <v>1063</v>
      </c>
      <c r="D2132" s="3" t="s">
        <v>4331</v>
      </c>
      <c r="E2132" s="46" t="s">
        <v>4293</v>
      </c>
      <c r="F2132" s="3" t="s">
        <v>27</v>
      </c>
      <c r="G2132" s="3" t="s">
        <v>1453</v>
      </c>
      <c r="H2132" s="22" t="s">
        <v>4318</v>
      </c>
      <c r="I2132" s="45">
        <v>6.1438364753E10</v>
      </c>
      <c r="J2132" s="22" t="s">
        <v>4319</v>
      </c>
      <c r="K2132" s="43">
        <v>1750.0</v>
      </c>
      <c r="M2132" s="26"/>
    </row>
    <row r="2133">
      <c r="A2133" s="3" t="s">
        <v>2262</v>
      </c>
      <c r="B2133" s="3" t="s">
        <v>18</v>
      </c>
      <c r="C2133" s="3" t="s">
        <v>3028</v>
      </c>
      <c r="D2133" s="3" t="s">
        <v>3029</v>
      </c>
      <c r="E2133" s="46" t="s">
        <v>4293</v>
      </c>
      <c r="F2133" s="3">
        <v>8.0</v>
      </c>
      <c r="G2133" s="3" t="s">
        <v>92</v>
      </c>
      <c r="H2133" s="22" t="s">
        <v>4332</v>
      </c>
      <c r="I2133" s="45">
        <v>6.1433262495E10</v>
      </c>
      <c r="J2133" s="22" t="s">
        <v>4333</v>
      </c>
      <c r="K2133" s="3">
        <v>0.0</v>
      </c>
      <c r="M2133" s="26"/>
    </row>
    <row r="2134">
      <c r="A2134" s="3" t="s">
        <v>276</v>
      </c>
      <c r="B2134" s="3" t="s">
        <v>18</v>
      </c>
      <c r="C2134" s="3" t="s">
        <v>701</v>
      </c>
      <c r="D2134" s="3" t="s">
        <v>4334</v>
      </c>
      <c r="E2134" s="46" t="s">
        <v>4293</v>
      </c>
      <c r="F2134" s="3">
        <v>8.0</v>
      </c>
      <c r="G2134" s="3" t="s">
        <v>92</v>
      </c>
      <c r="H2134" s="22" t="s">
        <v>4335</v>
      </c>
      <c r="I2134" s="45">
        <v>6.1431757835E10</v>
      </c>
      <c r="J2134" s="22" t="s">
        <v>4336</v>
      </c>
      <c r="K2134" s="3">
        <v>0.0</v>
      </c>
      <c r="M2134" s="26"/>
    </row>
    <row r="2135">
      <c r="A2135" s="3" t="s">
        <v>305</v>
      </c>
      <c r="B2135" s="3" t="s">
        <v>36</v>
      </c>
      <c r="C2135" s="3" t="s">
        <v>247</v>
      </c>
      <c r="D2135" s="3" t="s">
        <v>4337</v>
      </c>
      <c r="E2135" s="46" t="s">
        <v>4293</v>
      </c>
      <c r="F2135" s="3">
        <v>8.0</v>
      </c>
      <c r="G2135" s="3" t="s">
        <v>92</v>
      </c>
      <c r="H2135" s="22" t="s">
        <v>4338</v>
      </c>
      <c r="I2135" s="45">
        <v>6.1409530581E10</v>
      </c>
      <c r="J2135" s="22" t="s">
        <v>4339</v>
      </c>
      <c r="K2135" s="3">
        <v>0.0</v>
      </c>
      <c r="M2135" s="26"/>
    </row>
    <row r="2136">
      <c r="A2136" s="3" t="s">
        <v>210</v>
      </c>
      <c r="B2136" s="3" t="s">
        <v>31</v>
      </c>
      <c r="C2136" s="3" t="s">
        <v>4340</v>
      </c>
      <c r="D2136" s="3" t="s">
        <v>4341</v>
      </c>
      <c r="E2136" s="46" t="s">
        <v>4293</v>
      </c>
      <c r="F2136" s="3">
        <v>8.0</v>
      </c>
      <c r="G2136" s="3" t="s">
        <v>92</v>
      </c>
      <c r="H2136" s="22" t="s">
        <v>4342</v>
      </c>
      <c r="I2136" s="45">
        <v>6.1450524369E10</v>
      </c>
      <c r="J2136" s="22" t="s">
        <v>4343</v>
      </c>
      <c r="K2136" s="3">
        <v>0.0</v>
      </c>
      <c r="M2136" s="26"/>
    </row>
    <row r="2137">
      <c r="A2137" s="3" t="s">
        <v>265</v>
      </c>
      <c r="B2137" s="3" t="s">
        <v>18</v>
      </c>
      <c r="C2137" s="3" t="s">
        <v>139</v>
      </c>
      <c r="D2137" s="3" t="s">
        <v>4344</v>
      </c>
      <c r="E2137" s="46" t="s">
        <v>4293</v>
      </c>
      <c r="F2137" s="3">
        <v>8.0</v>
      </c>
      <c r="G2137" s="3" t="s">
        <v>92</v>
      </c>
      <c r="H2137" s="22" t="s">
        <v>4345</v>
      </c>
      <c r="I2137" s="45">
        <v>6.1422019333E10</v>
      </c>
      <c r="J2137" s="22" t="s">
        <v>4346</v>
      </c>
      <c r="K2137" s="3">
        <v>0.0</v>
      </c>
      <c r="M2137" s="26"/>
    </row>
    <row r="2138">
      <c r="A2138" s="3" t="s">
        <v>276</v>
      </c>
      <c r="B2138" s="3" t="s">
        <v>18</v>
      </c>
      <c r="C2138" s="3" t="s">
        <v>288</v>
      </c>
      <c r="D2138" s="3" t="s">
        <v>4347</v>
      </c>
      <c r="E2138" s="46" t="s">
        <v>4293</v>
      </c>
      <c r="F2138" s="3">
        <v>8.0</v>
      </c>
      <c r="G2138" s="3" t="s">
        <v>92</v>
      </c>
      <c r="H2138" s="22" t="s">
        <v>4348</v>
      </c>
      <c r="I2138" s="45">
        <v>6.140540234E10</v>
      </c>
      <c r="J2138" s="22" t="s">
        <v>4349</v>
      </c>
      <c r="K2138" s="3">
        <v>0.0</v>
      </c>
      <c r="M2138" s="26"/>
    </row>
    <row r="2139">
      <c r="A2139" s="3" t="s">
        <v>155</v>
      </c>
      <c r="B2139" s="3" t="s">
        <v>18</v>
      </c>
      <c r="C2139" s="3" t="s">
        <v>1955</v>
      </c>
      <c r="D2139" s="3" t="s">
        <v>4350</v>
      </c>
      <c r="E2139" s="46" t="s">
        <v>4293</v>
      </c>
      <c r="F2139" s="3">
        <v>8.0</v>
      </c>
      <c r="G2139" s="3" t="s">
        <v>92</v>
      </c>
      <c r="H2139" s="22" t="s">
        <v>4056</v>
      </c>
      <c r="I2139" s="45">
        <v>6.1408738628E10</v>
      </c>
      <c r="J2139" s="22" t="s">
        <v>4057</v>
      </c>
      <c r="K2139" s="3">
        <v>0.0</v>
      </c>
      <c r="M2139" s="26"/>
    </row>
    <row r="2140">
      <c r="A2140" s="3" t="s">
        <v>2494</v>
      </c>
      <c r="B2140" s="3" t="s">
        <v>18</v>
      </c>
      <c r="C2140" s="3" t="s">
        <v>641</v>
      </c>
      <c r="D2140" s="3" t="s">
        <v>4351</v>
      </c>
      <c r="E2140" s="46" t="s">
        <v>4293</v>
      </c>
      <c r="F2140" s="3">
        <v>8.0</v>
      </c>
      <c r="G2140" s="3" t="s">
        <v>92</v>
      </c>
      <c r="H2140" s="22" t="s">
        <v>4352</v>
      </c>
      <c r="I2140" s="45">
        <v>6.1416256707E10</v>
      </c>
      <c r="J2140" s="22" t="s">
        <v>4353</v>
      </c>
      <c r="K2140" s="3">
        <v>0.0</v>
      </c>
      <c r="M2140" s="26"/>
    </row>
    <row r="2141">
      <c r="A2141" s="3" t="s">
        <v>155</v>
      </c>
      <c r="B2141" s="3" t="s">
        <v>18</v>
      </c>
      <c r="C2141" s="3" t="s">
        <v>238</v>
      </c>
      <c r="E2141" s="46" t="s">
        <v>4293</v>
      </c>
      <c r="F2141" s="3">
        <v>5.0</v>
      </c>
      <c r="G2141" s="3" t="s">
        <v>92</v>
      </c>
      <c r="H2141" s="22" t="s">
        <v>4354</v>
      </c>
      <c r="I2141" s="45">
        <v>6.1402484239E10</v>
      </c>
      <c r="J2141" s="22" t="s">
        <v>4355</v>
      </c>
      <c r="K2141" s="3">
        <v>0.0</v>
      </c>
      <c r="M2141" s="26"/>
    </row>
    <row r="2142">
      <c r="A2142" s="3" t="s">
        <v>744</v>
      </c>
      <c r="B2142" s="3" t="s">
        <v>18</v>
      </c>
      <c r="C2142" s="3" t="s">
        <v>2616</v>
      </c>
      <c r="D2142" s="3" t="s">
        <v>4356</v>
      </c>
      <c r="E2142" s="46" t="s">
        <v>4293</v>
      </c>
      <c r="F2142" s="3">
        <v>8.0</v>
      </c>
      <c r="G2142" s="3" t="s">
        <v>92</v>
      </c>
      <c r="H2142" s="22" t="s">
        <v>4357</v>
      </c>
      <c r="I2142" s="45">
        <v>6.1439765637E10</v>
      </c>
      <c r="J2142" s="22" t="s">
        <v>4358</v>
      </c>
      <c r="K2142" s="3">
        <v>0.0</v>
      </c>
      <c r="M2142" s="26"/>
    </row>
    <row r="2143">
      <c r="A2143" s="3" t="s">
        <v>717</v>
      </c>
      <c r="B2143" s="3" t="s">
        <v>36</v>
      </c>
      <c r="C2143" s="3" t="s">
        <v>308</v>
      </c>
      <c r="D2143" s="3" t="s">
        <v>4359</v>
      </c>
      <c r="E2143" s="46" t="s">
        <v>4293</v>
      </c>
      <c r="F2143" s="3">
        <v>6.0</v>
      </c>
      <c r="G2143" s="3" t="s">
        <v>92</v>
      </c>
      <c r="H2143" s="22" t="s">
        <v>4360</v>
      </c>
      <c r="I2143" s="45">
        <v>6.143833745E10</v>
      </c>
      <c r="J2143" s="22" t="s">
        <v>4361</v>
      </c>
      <c r="K2143" s="3">
        <v>0.0</v>
      </c>
      <c r="M2143" s="26"/>
    </row>
    <row r="2144">
      <c r="A2144" s="3" t="s">
        <v>1359</v>
      </c>
      <c r="B2144" s="3" t="s">
        <v>45</v>
      </c>
      <c r="C2144" s="3" t="s">
        <v>1806</v>
      </c>
      <c r="D2144" s="3" t="s">
        <v>4362</v>
      </c>
      <c r="E2144" s="46" t="s">
        <v>4293</v>
      </c>
      <c r="F2144" s="3">
        <v>6.0</v>
      </c>
      <c r="G2144" s="3" t="s">
        <v>92</v>
      </c>
      <c r="H2144" s="22" t="s">
        <v>4363</v>
      </c>
      <c r="I2144" s="45">
        <v>6.1400247212E10</v>
      </c>
      <c r="J2144" s="22" t="s">
        <v>4364</v>
      </c>
      <c r="K2144" s="3">
        <v>0.0</v>
      </c>
      <c r="M2144" s="26"/>
    </row>
    <row r="2145">
      <c r="A2145" s="3" t="s">
        <v>61</v>
      </c>
      <c r="B2145" s="3" t="s">
        <v>18</v>
      </c>
      <c r="C2145" s="3" t="s">
        <v>4365</v>
      </c>
      <c r="D2145" s="3" t="s">
        <v>4366</v>
      </c>
      <c r="E2145" s="46" t="s">
        <v>4293</v>
      </c>
      <c r="F2145" s="3">
        <v>8.0</v>
      </c>
      <c r="G2145" s="3" t="s">
        <v>92</v>
      </c>
      <c r="H2145" s="22" t="s">
        <v>4367</v>
      </c>
      <c r="I2145" s="45">
        <v>6.1420355227E10</v>
      </c>
      <c r="J2145" s="22" t="s">
        <v>4368</v>
      </c>
      <c r="K2145" s="3">
        <v>0.0</v>
      </c>
      <c r="M2145" s="26"/>
    </row>
    <row r="2146">
      <c r="A2146" s="3" t="s">
        <v>1359</v>
      </c>
      <c r="B2146" s="3" t="s">
        <v>45</v>
      </c>
      <c r="C2146" s="3" t="s">
        <v>1646</v>
      </c>
      <c r="D2146" s="3" t="s">
        <v>4330</v>
      </c>
      <c r="E2146" s="46" t="s">
        <v>4369</v>
      </c>
      <c r="F2146" s="3" t="s">
        <v>27</v>
      </c>
      <c r="G2146" s="3" t="s">
        <v>1453</v>
      </c>
      <c r="H2146" s="22" t="s">
        <v>4321</v>
      </c>
      <c r="I2146" s="45">
        <v>61415246468</v>
      </c>
      <c r="J2146" s="22" t="s">
        <v>4322</v>
      </c>
      <c r="K2146" s="43">
        <v>1250.0</v>
      </c>
      <c r="M2146" s="26"/>
    </row>
    <row r="2147">
      <c r="A2147" s="3" t="s">
        <v>1062</v>
      </c>
      <c r="B2147" s="3" t="s">
        <v>18</v>
      </c>
      <c r="C2147" s="3" t="s">
        <v>1063</v>
      </c>
      <c r="D2147" s="3" t="s">
        <v>4331</v>
      </c>
      <c r="E2147" s="46" t="s">
        <v>4369</v>
      </c>
      <c r="F2147" s="3" t="s">
        <v>27</v>
      </c>
      <c r="G2147" s="3" t="s">
        <v>1453</v>
      </c>
      <c r="H2147" s="22" t="s">
        <v>4318</v>
      </c>
      <c r="I2147" s="45">
        <v>61438364753</v>
      </c>
      <c r="J2147" s="22" t="s">
        <v>4319</v>
      </c>
      <c r="K2147" s="43">
        <v>1250.0</v>
      </c>
      <c r="M2147" s="26"/>
    </row>
    <row r="2148">
      <c r="A2148" s="3" t="s">
        <v>113</v>
      </c>
      <c r="B2148" s="3" t="s">
        <v>18</v>
      </c>
      <c r="C2148" s="3" t="s">
        <v>1876</v>
      </c>
      <c r="D2148" s="3" t="s">
        <v>4370</v>
      </c>
      <c r="E2148" s="46" t="s">
        <v>4371</v>
      </c>
      <c r="F2148" s="3" t="s">
        <v>27</v>
      </c>
      <c r="G2148" s="3" t="s">
        <v>1453</v>
      </c>
      <c r="H2148" s="22" t="s">
        <v>4372</v>
      </c>
      <c r="I2148" s="45">
        <v>6.1414735766E10</v>
      </c>
      <c r="J2148" s="22" t="s">
        <v>4373</v>
      </c>
      <c r="K2148" s="43">
        <v>1250.0</v>
      </c>
      <c r="M2148" s="26"/>
    </row>
    <row r="2149">
      <c r="A2149" s="3" t="s">
        <v>570</v>
      </c>
      <c r="B2149" s="3" t="s">
        <v>18</v>
      </c>
      <c r="C2149" s="3" t="s">
        <v>4374</v>
      </c>
      <c r="D2149" s="3" t="s">
        <v>4375</v>
      </c>
      <c r="E2149" s="46" t="s">
        <v>4371</v>
      </c>
      <c r="F2149" s="3" t="s">
        <v>27</v>
      </c>
      <c r="G2149" s="3" t="s">
        <v>1453</v>
      </c>
      <c r="H2149" s="22" t="s">
        <v>4376</v>
      </c>
      <c r="I2149" s="45">
        <v>6.1418873135E10</v>
      </c>
      <c r="J2149" s="22" t="s">
        <v>4377</v>
      </c>
      <c r="K2149" s="43">
        <v>2500.0</v>
      </c>
      <c r="M2149" s="26"/>
    </row>
    <row r="2150">
      <c r="A2150" s="3" t="s">
        <v>168</v>
      </c>
      <c r="B2150" s="3" t="s">
        <v>45</v>
      </c>
      <c r="C2150" s="3" t="s">
        <v>4378</v>
      </c>
      <c r="D2150" s="3" t="s">
        <v>4379</v>
      </c>
      <c r="E2150" s="46" t="s">
        <v>4371</v>
      </c>
      <c r="F2150" s="3" t="s">
        <v>27</v>
      </c>
      <c r="G2150" s="3" t="s">
        <v>129</v>
      </c>
      <c r="H2150" s="22" t="s">
        <v>4380</v>
      </c>
      <c r="I2150" s="45">
        <v>6.1476417219E10</v>
      </c>
      <c r="J2150" s="22" t="s">
        <v>4381</v>
      </c>
      <c r="K2150" s="43">
        <v>1250.0</v>
      </c>
      <c r="M2150" s="26"/>
    </row>
    <row r="2151">
      <c r="A2151" s="3" t="s">
        <v>184</v>
      </c>
      <c r="B2151" s="3" t="s">
        <v>18</v>
      </c>
      <c r="C2151" s="3" t="s">
        <v>356</v>
      </c>
      <c r="D2151" s="3" t="s">
        <v>4382</v>
      </c>
      <c r="E2151" s="46" t="s">
        <v>4371</v>
      </c>
      <c r="F2151" s="3" t="s">
        <v>27</v>
      </c>
      <c r="G2151" s="3" t="s">
        <v>1453</v>
      </c>
      <c r="H2151" s="22" t="s">
        <v>4383</v>
      </c>
      <c r="I2151" s="45">
        <v>6.1405045979E10</v>
      </c>
      <c r="J2151" s="22" t="s">
        <v>4384</v>
      </c>
      <c r="K2151" s="43">
        <v>500.0</v>
      </c>
      <c r="M2151" s="26"/>
    </row>
    <row r="2152">
      <c r="A2152" s="3" t="s">
        <v>184</v>
      </c>
      <c r="B2152" s="3" t="s">
        <v>18</v>
      </c>
      <c r="C2152" s="3" t="s">
        <v>380</v>
      </c>
      <c r="D2152" s="3" t="s">
        <v>4385</v>
      </c>
      <c r="E2152" s="46" t="s">
        <v>4371</v>
      </c>
      <c r="F2152" s="3">
        <v>8.0</v>
      </c>
      <c r="G2152" s="3" t="s">
        <v>92</v>
      </c>
      <c r="H2152" s="22" t="s">
        <v>4386</v>
      </c>
      <c r="I2152" s="45">
        <v>6.1499995303E10</v>
      </c>
      <c r="J2152" s="22" t="s">
        <v>4387</v>
      </c>
      <c r="K2152" s="3">
        <v>0.0</v>
      </c>
      <c r="M2152" s="26"/>
    </row>
    <row r="2153">
      <c r="A2153" s="3" t="s">
        <v>717</v>
      </c>
      <c r="B2153" s="3" t="s">
        <v>36</v>
      </c>
      <c r="C2153" s="3" t="s">
        <v>929</v>
      </c>
      <c r="D2153" s="3" t="s">
        <v>4388</v>
      </c>
      <c r="E2153" s="46" t="s">
        <v>4371</v>
      </c>
      <c r="F2153" s="3">
        <v>8.0</v>
      </c>
      <c r="G2153" s="3" t="s">
        <v>92</v>
      </c>
      <c r="H2153" s="22" t="s">
        <v>4389</v>
      </c>
      <c r="I2153" s="45">
        <v>6.1408141734E10</v>
      </c>
      <c r="J2153" s="22" t="s">
        <v>4390</v>
      </c>
      <c r="K2153" s="3">
        <v>0.0</v>
      </c>
      <c r="M2153" s="26"/>
    </row>
    <row r="2154">
      <c r="A2154" s="3" t="s">
        <v>155</v>
      </c>
      <c r="B2154" s="3" t="s">
        <v>18</v>
      </c>
      <c r="C2154" s="3" t="s">
        <v>350</v>
      </c>
      <c r="D2154" s="3" t="s">
        <v>4391</v>
      </c>
      <c r="E2154" s="46" t="s">
        <v>4371</v>
      </c>
      <c r="F2154" s="3">
        <v>8.0</v>
      </c>
      <c r="G2154" s="3" t="s">
        <v>92</v>
      </c>
      <c r="H2154" s="22" t="s">
        <v>4392</v>
      </c>
      <c r="I2154" s="45">
        <v>6.1475393444E10</v>
      </c>
      <c r="J2154" s="22" t="s">
        <v>4393</v>
      </c>
      <c r="K2154" s="3">
        <v>0.0</v>
      </c>
      <c r="M2154" s="26"/>
    </row>
    <row r="2155">
      <c r="A2155" s="3" t="s">
        <v>4267</v>
      </c>
      <c r="B2155" s="3" t="s">
        <v>221</v>
      </c>
      <c r="C2155" s="3" t="s">
        <v>4394</v>
      </c>
      <c r="D2155" s="3" t="s">
        <v>4395</v>
      </c>
      <c r="E2155" s="46" t="s">
        <v>4371</v>
      </c>
      <c r="F2155" s="3">
        <v>8.0</v>
      </c>
      <c r="G2155" s="3" t="s">
        <v>92</v>
      </c>
      <c r="H2155" s="22" t="s">
        <v>4396</v>
      </c>
      <c r="I2155" s="45">
        <v>6.14206623E10</v>
      </c>
      <c r="J2155" s="22" t="s">
        <v>4397</v>
      </c>
      <c r="K2155" s="3">
        <v>0.0</v>
      </c>
      <c r="M2155" s="26"/>
    </row>
    <row r="2156">
      <c r="A2156" s="3" t="s">
        <v>2620</v>
      </c>
      <c r="B2156" s="3" t="s">
        <v>18</v>
      </c>
      <c r="C2156" s="3" t="s">
        <v>2752</v>
      </c>
      <c r="D2156" s="3" t="s">
        <v>4398</v>
      </c>
      <c r="E2156" s="46" t="s">
        <v>4371</v>
      </c>
      <c r="F2156" s="3">
        <v>8.0</v>
      </c>
      <c r="G2156" s="3" t="s">
        <v>92</v>
      </c>
      <c r="H2156" s="22" t="s">
        <v>4399</v>
      </c>
      <c r="I2156" s="45">
        <v>6.1408272633E10</v>
      </c>
      <c r="J2156" s="22" t="s">
        <v>4400</v>
      </c>
      <c r="K2156" s="3">
        <v>0.0</v>
      </c>
      <c r="M2156" s="26"/>
    </row>
    <row r="2157">
      <c r="A2157" s="3" t="s">
        <v>244</v>
      </c>
      <c r="B2157" s="3" t="s">
        <v>18</v>
      </c>
      <c r="C2157" s="22" t="s">
        <v>293</v>
      </c>
      <c r="D2157" s="39" t="s">
        <v>4401</v>
      </c>
      <c r="E2157" s="46" t="s">
        <v>4371</v>
      </c>
      <c r="F2157" s="3">
        <v>8.0</v>
      </c>
      <c r="G2157" s="3" t="s">
        <v>92</v>
      </c>
      <c r="H2157" s="39" t="s">
        <v>4402</v>
      </c>
      <c r="I2157" s="49">
        <v>61447603442</v>
      </c>
      <c r="J2157" s="39" t="s">
        <v>4403</v>
      </c>
      <c r="K2157" s="3">
        <v>0.0</v>
      </c>
      <c r="M2157" s="26"/>
    </row>
    <row r="2158">
      <c r="A2158" s="3" t="s">
        <v>817</v>
      </c>
      <c r="B2158" s="3" t="s">
        <v>36</v>
      </c>
      <c r="C2158" s="22" t="s">
        <v>2374</v>
      </c>
      <c r="D2158" s="39"/>
      <c r="E2158" s="46" t="s">
        <v>4371</v>
      </c>
      <c r="F2158" s="3">
        <v>5.0</v>
      </c>
      <c r="G2158" s="3" t="s">
        <v>92</v>
      </c>
      <c r="H2158" s="22" t="s">
        <v>4404</v>
      </c>
      <c r="I2158" s="24">
        <v>6.1409000492E10</v>
      </c>
      <c r="J2158" s="22" t="s">
        <v>4405</v>
      </c>
      <c r="K2158" s="3">
        <v>0.0</v>
      </c>
      <c r="M2158" s="26"/>
    </row>
    <row r="2159">
      <c r="A2159" s="3" t="s">
        <v>817</v>
      </c>
      <c r="B2159" s="3" t="s">
        <v>36</v>
      </c>
      <c r="C2159" s="22" t="s">
        <v>857</v>
      </c>
      <c r="D2159" s="22" t="s">
        <v>4406</v>
      </c>
      <c r="E2159" s="46" t="s">
        <v>4371</v>
      </c>
      <c r="F2159" s="3" t="s">
        <v>27</v>
      </c>
      <c r="G2159" s="3" t="s">
        <v>1453</v>
      </c>
      <c r="H2159" s="22" t="s">
        <v>4407</v>
      </c>
      <c r="I2159" s="24">
        <v>61457654778</v>
      </c>
      <c r="J2159" s="22" t="s">
        <v>4408</v>
      </c>
      <c r="K2159" s="43">
        <v>500.0</v>
      </c>
      <c r="M2159" s="26"/>
    </row>
    <row r="2160">
      <c r="A2160" s="3" t="s">
        <v>265</v>
      </c>
      <c r="B2160" s="3" t="s">
        <v>18</v>
      </c>
      <c r="C2160" s="22" t="s">
        <v>2276</v>
      </c>
      <c r="D2160" s="22" t="s">
        <v>698</v>
      </c>
      <c r="E2160" s="46" t="s">
        <v>4371</v>
      </c>
      <c r="F2160" s="3">
        <v>8.0</v>
      </c>
      <c r="G2160" s="3" t="s">
        <v>92</v>
      </c>
      <c r="H2160" s="22" t="s">
        <v>4409</v>
      </c>
      <c r="I2160" s="24">
        <v>6.1410244418E10</v>
      </c>
      <c r="J2160" s="22" t="s">
        <v>4410</v>
      </c>
      <c r="K2160" s="3">
        <v>0.0</v>
      </c>
      <c r="M2160" s="26"/>
    </row>
    <row r="2161">
      <c r="A2161" s="3" t="s">
        <v>4032</v>
      </c>
      <c r="B2161" s="3" t="s">
        <v>36</v>
      </c>
      <c r="C2161" s="22" t="s">
        <v>4058</v>
      </c>
      <c r="D2161" s="22" t="s">
        <v>4411</v>
      </c>
      <c r="E2161" s="46" t="s">
        <v>4371</v>
      </c>
      <c r="F2161" s="3" t="s">
        <v>27</v>
      </c>
      <c r="G2161" s="3" t="s">
        <v>1453</v>
      </c>
      <c r="H2161" s="22" t="s">
        <v>4412</v>
      </c>
      <c r="I2161" s="24">
        <v>61418143786</v>
      </c>
      <c r="J2161" s="22" t="s">
        <v>4413</v>
      </c>
      <c r="K2161" s="43">
        <v>750.0</v>
      </c>
      <c r="M2161" s="26"/>
    </row>
    <row r="2162">
      <c r="A2162" s="3" t="s">
        <v>435</v>
      </c>
      <c r="B2162" s="3" t="s">
        <v>18</v>
      </c>
      <c r="C2162" s="22" t="s">
        <v>4197</v>
      </c>
      <c r="D2162" s="22" t="s">
        <v>4414</v>
      </c>
      <c r="E2162" s="46" t="s">
        <v>4371</v>
      </c>
      <c r="F2162" s="3" t="s">
        <v>27</v>
      </c>
      <c r="G2162" s="3" t="s">
        <v>1453</v>
      </c>
      <c r="H2162" s="22" t="s">
        <v>4415</v>
      </c>
      <c r="I2162" s="24">
        <v>61435873254</v>
      </c>
      <c r="J2162" s="22" t="s">
        <v>4416</v>
      </c>
      <c r="K2162" s="43">
        <v>750.0</v>
      </c>
      <c r="M2162" s="26"/>
    </row>
    <row r="2163">
      <c r="A2163" s="3" t="s">
        <v>168</v>
      </c>
      <c r="B2163" s="3" t="s">
        <v>45</v>
      </c>
      <c r="C2163" s="22" t="s">
        <v>4417</v>
      </c>
      <c r="D2163" s="22" t="s">
        <v>4418</v>
      </c>
      <c r="E2163" s="46" t="s">
        <v>4371</v>
      </c>
      <c r="F2163" s="3" t="s">
        <v>27</v>
      </c>
      <c r="G2163" s="3" t="s">
        <v>1453</v>
      </c>
      <c r="H2163" s="22" t="s">
        <v>4419</v>
      </c>
      <c r="I2163" s="24">
        <v>61400570405</v>
      </c>
      <c r="J2163" s="22" t="s">
        <v>4420</v>
      </c>
      <c r="K2163" s="43">
        <v>1000.0</v>
      </c>
      <c r="M2163" s="26"/>
    </row>
    <row r="2164">
      <c r="A2164" s="3" t="s">
        <v>305</v>
      </c>
      <c r="B2164" s="3" t="s">
        <v>36</v>
      </c>
      <c r="C2164" s="22" t="s">
        <v>331</v>
      </c>
      <c r="D2164" s="22" t="s">
        <v>4421</v>
      </c>
      <c r="E2164" s="46" t="s">
        <v>4371</v>
      </c>
      <c r="F2164" s="3" t="s">
        <v>27</v>
      </c>
      <c r="G2164" s="3" t="s">
        <v>1453</v>
      </c>
      <c r="H2164" s="22" t="s">
        <v>4422</v>
      </c>
      <c r="I2164" s="24">
        <v>61408149362</v>
      </c>
      <c r="J2164" s="22" t="s">
        <v>4423</v>
      </c>
      <c r="K2164" s="43">
        <v>1500.0</v>
      </c>
      <c r="M2164" s="26"/>
    </row>
    <row r="2165">
      <c r="A2165" s="3" t="s">
        <v>2406</v>
      </c>
      <c r="B2165" s="3" t="s">
        <v>31</v>
      </c>
      <c r="C2165" s="22" t="s">
        <v>4424</v>
      </c>
      <c r="D2165" s="22" t="s">
        <v>4425</v>
      </c>
      <c r="E2165" s="46" t="s">
        <v>4426</v>
      </c>
      <c r="F2165" s="3">
        <v>10.0</v>
      </c>
      <c r="G2165" s="3" t="s">
        <v>92</v>
      </c>
      <c r="H2165" s="22" t="s">
        <v>4427</v>
      </c>
      <c r="I2165" s="24">
        <v>6.1416191169E10</v>
      </c>
      <c r="J2165" s="22" t="s">
        <v>4428</v>
      </c>
      <c r="K2165" s="3">
        <v>0.0</v>
      </c>
      <c r="M2165" s="26"/>
    </row>
    <row r="2166">
      <c r="A2166" s="3" t="s">
        <v>4006</v>
      </c>
      <c r="B2166" s="3" t="s">
        <v>45</v>
      </c>
      <c r="C2166" s="22" t="s">
        <v>4429</v>
      </c>
      <c r="D2166" s="22" t="s">
        <v>4430</v>
      </c>
      <c r="E2166" s="46" t="s">
        <v>4426</v>
      </c>
      <c r="F2166" s="3">
        <v>8.0</v>
      </c>
      <c r="G2166" s="3" t="s">
        <v>92</v>
      </c>
      <c r="H2166" s="22" t="s">
        <v>4431</v>
      </c>
      <c r="I2166" s="24">
        <v>6.1416559654E10</v>
      </c>
      <c r="J2166" s="22" t="s">
        <v>4432</v>
      </c>
      <c r="K2166" s="3">
        <v>0.0</v>
      </c>
      <c r="M2166" s="26"/>
    </row>
    <row r="2167">
      <c r="A2167" s="3" t="s">
        <v>472</v>
      </c>
      <c r="B2167" s="3" t="s">
        <v>18</v>
      </c>
      <c r="C2167" s="22" t="s">
        <v>959</v>
      </c>
      <c r="D2167" s="22" t="s">
        <v>4433</v>
      </c>
      <c r="E2167" s="46" t="s">
        <v>4426</v>
      </c>
      <c r="F2167" s="3">
        <v>8.0</v>
      </c>
      <c r="G2167" s="3" t="s">
        <v>92</v>
      </c>
      <c r="H2167" s="22" t="s">
        <v>4434</v>
      </c>
      <c r="I2167" s="24">
        <v>6.1409484095E10</v>
      </c>
      <c r="J2167" s="22" t="s">
        <v>4435</v>
      </c>
      <c r="K2167" s="3">
        <v>0.0</v>
      </c>
      <c r="M2167" s="26"/>
    </row>
    <row r="2168">
      <c r="A2168" s="3" t="s">
        <v>4224</v>
      </c>
      <c r="B2168" s="3" t="s">
        <v>31</v>
      </c>
      <c r="C2168" s="22" t="s">
        <v>1393</v>
      </c>
      <c r="D2168" s="22"/>
      <c r="E2168" s="46" t="s">
        <v>4426</v>
      </c>
      <c r="F2168" s="3">
        <v>5.0</v>
      </c>
      <c r="G2168" s="3" t="s">
        <v>92</v>
      </c>
      <c r="H2168" s="22" t="s">
        <v>4436</v>
      </c>
      <c r="I2168" s="24">
        <v>6.1432238217E10</v>
      </c>
      <c r="J2168" s="22" t="s">
        <v>4437</v>
      </c>
      <c r="K2168" s="3">
        <v>0.0</v>
      </c>
      <c r="M2168" s="26"/>
    </row>
    <row r="2169">
      <c r="A2169" s="3" t="s">
        <v>1055</v>
      </c>
      <c r="B2169" s="3" t="s">
        <v>31</v>
      </c>
      <c r="C2169" s="22" t="s">
        <v>3812</v>
      </c>
      <c r="D2169" s="22" t="s">
        <v>4438</v>
      </c>
      <c r="E2169" s="46" t="s">
        <v>4426</v>
      </c>
      <c r="F2169" s="3">
        <v>8.0</v>
      </c>
      <c r="G2169" s="3" t="s">
        <v>92</v>
      </c>
      <c r="H2169" s="22" t="s">
        <v>4439</v>
      </c>
      <c r="I2169" s="24">
        <v>6.1425722923E10</v>
      </c>
      <c r="J2169" s="22" t="s">
        <v>4440</v>
      </c>
      <c r="K2169" s="3">
        <v>0.0</v>
      </c>
      <c r="M2169" s="26"/>
    </row>
    <row r="2170">
      <c r="A2170" s="3" t="s">
        <v>3757</v>
      </c>
      <c r="B2170" s="3" t="s">
        <v>18</v>
      </c>
      <c r="C2170" s="22" t="s">
        <v>2334</v>
      </c>
      <c r="D2170" s="22" t="s">
        <v>4441</v>
      </c>
      <c r="E2170" s="46" t="s">
        <v>4426</v>
      </c>
      <c r="F2170" s="3">
        <v>8.0</v>
      </c>
      <c r="G2170" s="3" t="s">
        <v>92</v>
      </c>
      <c r="H2170" s="22" t="s">
        <v>4442</v>
      </c>
      <c r="I2170" s="24">
        <v>6.1448243715E10</v>
      </c>
      <c r="J2170" s="22" t="s">
        <v>4443</v>
      </c>
      <c r="K2170" s="3">
        <v>0.0</v>
      </c>
      <c r="M2170" s="26"/>
    </row>
    <row r="2171">
      <c r="A2171" s="3" t="s">
        <v>113</v>
      </c>
      <c r="B2171" s="3" t="s">
        <v>18</v>
      </c>
      <c r="C2171" s="22" t="s">
        <v>4444</v>
      </c>
      <c r="D2171" s="22" t="s">
        <v>4445</v>
      </c>
      <c r="E2171" s="46" t="s">
        <v>4426</v>
      </c>
      <c r="F2171" s="3">
        <v>8.0</v>
      </c>
      <c r="G2171" s="3" t="s">
        <v>92</v>
      </c>
      <c r="H2171" s="22" t="s">
        <v>4446</v>
      </c>
      <c r="I2171" s="24">
        <v>6.1432703467E10</v>
      </c>
      <c r="J2171" s="22" t="s">
        <v>4447</v>
      </c>
      <c r="K2171" s="3">
        <v>0.0</v>
      </c>
      <c r="M2171" s="26"/>
    </row>
    <row r="2172">
      <c r="A2172" s="3" t="s">
        <v>2620</v>
      </c>
      <c r="B2172" s="3" t="s">
        <v>18</v>
      </c>
      <c r="C2172" s="22" t="s">
        <v>4448</v>
      </c>
      <c r="D2172" s="22" t="s">
        <v>4449</v>
      </c>
      <c r="E2172" s="46" t="s">
        <v>4426</v>
      </c>
      <c r="F2172" s="3">
        <v>10.0</v>
      </c>
      <c r="G2172" s="3" t="s">
        <v>92</v>
      </c>
      <c r="H2172" s="22" t="s">
        <v>4450</v>
      </c>
      <c r="I2172" s="24">
        <v>6.1400557173E10</v>
      </c>
      <c r="J2172" s="22" t="s">
        <v>4451</v>
      </c>
      <c r="K2172" s="3">
        <v>0.0</v>
      </c>
      <c r="M2172" s="26"/>
    </row>
    <row r="2173">
      <c r="A2173" s="3" t="s">
        <v>472</v>
      </c>
      <c r="B2173" s="3" t="s">
        <v>18</v>
      </c>
      <c r="C2173" s="22" t="s">
        <v>1874</v>
      </c>
      <c r="D2173" s="22" t="s">
        <v>4452</v>
      </c>
      <c r="E2173" s="46" t="s">
        <v>4426</v>
      </c>
      <c r="F2173" s="3" t="s">
        <v>27</v>
      </c>
      <c r="G2173" s="3" t="s">
        <v>129</v>
      </c>
      <c r="H2173" s="22" t="s">
        <v>4434</v>
      </c>
      <c r="I2173" s="24">
        <v>6.1409484095E10</v>
      </c>
      <c r="J2173" s="22" t="s">
        <v>4435</v>
      </c>
      <c r="K2173" s="43">
        <v>3000.0</v>
      </c>
      <c r="M2173" s="26"/>
    </row>
    <row r="2174">
      <c r="A2174" s="3" t="s">
        <v>1359</v>
      </c>
      <c r="B2174" s="3" t="s">
        <v>45</v>
      </c>
      <c r="C2174" s="22" t="s">
        <v>4453</v>
      </c>
      <c r="D2174" s="22" t="s">
        <v>4454</v>
      </c>
      <c r="E2174" s="46" t="s">
        <v>4426</v>
      </c>
      <c r="F2174" s="3" t="s">
        <v>27</v>
      </c>
      <c r="G2174" s="3" t="s">
        <v>129</v>
      </c>
      <c r="H2174" s="22" t="s">
        <v>4455</v>
      </c>
      <c r="I2174" s="24">
        <v>6.1400686123E10</v>
      </c>
      <c r="J2174" s="22" t="s">
        <v>4456</v>
      </c>
      <c r="K2174" s="43">
        <v>750.0</v>
      </c>
      <c r="M2174" s="26"/>
    </row>
    <row r="2175">
      <c r="A2175" s="3" t="s">
        <v>717</v>
      </c>
      <c r="B2175" s="3" t="s">
        <v>36</v>
      </c>
      <c r="C2175" s="22" t="s">
        <v>4457</v>
      </c>
      <c r="D2175" s="22" t="s">
        <v>4458</v>
      </c>
      <c r="E2175" s="46" t="s">
        <v>4426</v>
      </c>
      <c r="F2175" s="3" t="s">
        <v>27</v>
      </c>
      <c r="G2175" s="3" t="s">
        <v>1453</v>
      </c>
      <c r="H2175" s="22" t="s">
        <v>4459</v>
      </c>
      <c r="I2175" s="24">
        <v>6.1475269791E10</v>
      </c>
      <c r="J2175" s="22" t="s">
        <v>4460</v>
      </c>
      <c r="K2175" s="43">
        <v>500.0</v>
      </c>
      <c r="M2175" s="26"/>
    </row>
    <row r="2176">
      <c r="A2176" s="3" t="s">
        <v>113</v>
      </c>
      <c r="B2176" s="3" t="s">
        <v>18</v>
      </c>
      <c r="C2176" s="22" t="s">
        <v>973</v>
      </c>
      <c r="D2176" s="22" t="s">
        <v>4461</v>
      </c>
      <c r="E2176" s="46" t="s">
        <v>4426</v>
      </c>
      <c r="F2176" s="3" t="s">
        <v>27</v>
      </c>
      <c r="G2176" s="3" t="s">
        <v>129</v>
      </c>
      <c r="H2176" s="22" t="s">
        <v>4462</v>
      </c>
      <c r="I2176" s="24">
        <v>6.1413549378E10</v>
      </c>
      <c r="J2176" s="22" t="s">
        <v>4463</v>
      </c>
      <c r="K2176" s="43">
        <v>1000.0</v>
      </c>
      <c r="M2176" s="26"/>
    </row>
    <row r="2177">
      <c r="A2177" s="3" t="s">
        <v>202</v>
      </c>
      <c r="B2177" s="3" t="s">
        <v>36</v>
      </c>
      <c r="C2177" s="22" t="s">
        <v>151</v>
      </c>
      <c r="D2177" s="22" t="s">
        <v>4464</v>
      </c>
      <c r="E2177" s="46" t="s">
        <v>4426</v>
      </c>
      <c r="F2177" s="3" t="s">
        <v>27</v>
      </c>
      <c r="G2177" s="3" t="s">
        <v>1453</v>
      </c>
      <c r="H2177" s="22" t="s">
        <v>4465</v>
      </c>
      <c r="I2177" s="24">
        <v>6.1477443999E10</v>
      </c>
      <c r="J2177" s="22" t="s">
        <v>4466</v>
      </c>
      <c r="K2177" s="43">
        <v>500.0</v>
      </c>
      <c r="M2177" s="26"/>
    </row>
    <row r="2178">
      <c r="A2178" s="3" t="s">
        <v>155</v>
      </c>
      <c r="B2178" s="3" t="s">
        <v>18</v>
      </c>
      <c r="C2178" s="22" t="s">
        <v>414</v>
      </c>
      <c r="D2178" s="22" t="s">
        <v>4467</v>
      </c>
      <c r="E2178" s="46" t="s">
        <v>4426</v>
      </c>
      <c r="F2178" s="3" t="s">
        <v>27</v>
      </c>
      <c r="G2178" s="3" t="s">
        <v>1453</v>
      </c>
      <c r="H2178" s="22" t="s">
        <v>4468</v>
      </c>
      <c r="I2178" s="24">
        <v>61452494330</v>
      </c>
      <c r="J2178" s="22" t="s">
        <v>4469</v>
      </c>
      <c r="K2178" s="43">
        <v>1000.0</v>
      </c>
      <c r="M2178" s="26"/>
    </row>
    <row r="2179">
      <c r="A2179" s="3" t="s">
        <v>3586</v>
      </c>
      <c r="B2179" s="3" t="s">
        <v>31</v>
      </c>
      <c r="C2179" s="22" t="s">
        <v>3824</v>
      </c>
      <c r="D2179" s="22" t="s">
        <v>4470</v>
      </c>
      <c r="E2179" s="46" t="s">
        <v>4426</v>
      </c>
      <c r="F2179" s="3" t="s">
        <v>27</v>
      </c>
      <c r="G2179" s="3" t="s">
        <v>1453</v>
      </c>
      <c r="H2179" s="22" t="s">
        <v>4471</v>
      </c>
      <c r="I2179" s="24">
        <v>61455301601</v>
      </c>
      <c r="J2179" s="22" t="s">
        <v>4472</v>
      </c>
      <c r="K2179" s="43">
        <v>1250.0</v>
      </c>
      <c r="M2179" s="26"/>
    </row>
    <row r="2180">
      <c r="A2180" s="3" t="s">
        <v>1359</v>
      </c>
      <c r="B2180" s="3" t="s">
        <v>45</v>
      </c>
      <c r="C2180" s="22" t="s">
        <v>4473</v>
      </c>
      <c r="D2180" s="22" t="s">
        <v>4474</v>
      </c>
      <c r="E2180" s="46" t="s">
        <v>4426</v>
      </c>
      <c r="F2180" s="41">
        <v>0.0</v>
      </c>
      <c r="G2180" s="3" t="s">
        <v>129</v>
      </c>
      <c r="H2180" s="22" t="s">
        <v>4431</v>
      </c>
      <c r="I2180" s="24">
        <v>61416559654</v>
      </c>
      <c r="J2180" s="22" t="s">
        <v>4432</v>
      </c>
      <c r="K2180" s="43">
        <v>1250.0</v>
      </c>
      <c r="M2180" s="26"/>
    </row>
    <row r="2181">
      <c r="A2181" s="3" t="s">
        <v>3569</v>
      </c>
      <c r="B2181" s="3" t="s">
        <v>18</v>
      </c>
      <c r="C2181" s="22" t="s">
        <v>953</v>
      </c>
      <c r="D2181" s="22" t="s">
        <v>4475</v>
      </c>
      <c r="E2181" s="46" t="s">
        <v>4426</v>
      </c>
      <c r="F2181" s="3" t="s">
        <v>27</v>
      </c>
      <c r="G2181" s="3" t="s">
        <v>1453</v>
      </c>
      <c r="H2181" s="22" t="s">
        <v>4476</v>
      </c>
      <c r="I2181" s="24">
        <v>61429991087</v>
      </c>
      <c r="J2181" s="22" t="s">
        <v>4477</v>
      </c>
      <c r="K2181" s="43">
        <v>500.0</v>
      </c>
      <c r="M2181" s="26"/>
    </row>
    <row r="2182">
      <c r="A2182" s="3" t="s">
        <v>4032</v>
      </c>
      <c r="B2182" s="3" t="s">
        <v>36</v>
      </c>
      <c r="C2182" s="22" t="s">
        <v>4478</v>
      </c>
      <c r="D2182" s="22" t="s">
        <v>4479</v>
      </c>
      <c r="E2182" s="46" t="s">
        <v>4426</v>
      </c>
      <c r="F2182" s="3" t="s">
        <v>27</v>
      </c>
      <c r="G2182" s="3" t="s">
        <v>1453</v>
      </c>
      <c r="H2182" s="22" t="s">
        <v>4480</v>
      </c>
      <c r="I2182" s="24">
        <v>61413347895</v>
      </c>
      <c r="J2182" s="22" t="s">
        <v>4481</v>
      </c>
      <c r="K2182" s="43">
        <v>1000.0</v>
      </c>
      <c r="M2182" s="26"/>
    </row>
    <row r="2183">
      <c r="A2183" s="3" t="s">
        <v>2620</v>
      </c>
      <c r="B2183" s="3" t="s">
        <v>18</v>
      </c>
      <c r="C2183" s="22" t="s">
        <v>4482</v>
      </c>
      <c r="D2183" s="22" t="s">
        <v>4483</v>
      </c>
      <c r="E2183" s="46" t="s">
        <v>4426</v>
      </c>
      <c r="F2183" s="3" t="s">
        <v>27</v>
      </c>
      <c r="G2183" s="3" t="s">
        <v>1453</v>
      </c>
      <c r="H2183" s="22" t="s">
        <v>4484</v>
      </c>
      <c r="I2183" s="24">
        <v>61493442140</v>
      </c>
      <c r="J2183" s="22" t="s">
        <v>4485</v>
      </c>
      <c r="K2183" s="43">
        <v>500.0</v>
      </c>
      <c r="M2183" s="26"/>
    </row>
    <row r="2184">
      <c r="A2184" s="3" t="s">
        <v>1582</v>
      </c>
      <c r="B2184" s="3" t="s">
        <v>31</v>
      </c>
      <c r="C2184" s="22" t="s">
        <v>1820</v>
      </c>
      <c r="D2184" s="22" t="s">
        <v>4486</v>
      </c>
      <c r="E2184" s="46" t="s">
        <v>4426</v>
      </c>
      <c r="F2184" s="3" t="s">
        <v>27</v>
      </c>
      <c r="G2184" s="3" t="s">
        <v>1453</v>
      </c>
      <c r="H2184" s="22" t="s">
        <v>4487</v>
      </c>
      <c r="I2184" s="24">
        <v>61408966705</v>
      </c>
      <c r="J2184" s="22" t="s">
        <v>4488</v>
      </c>
      <c r="K2184" s="43">
        <v>1000.0</v>
      </c>
      <c r="M2184" s="26"/>
    </row>
    <row r="2185">
      <c r="A2185" s="3" t="s">
        <v>418</v>
      </c>
      <c r="B2185" s="3" t="s">
        <v>18</v>
      </c>
      <c r="C2185" s="22" t="s">
        <v>2552</v>
      </c>
      <c r="D2185" s="22" t="s">
        <v>4489</v>
      </c>
      <c r="E2185" s="46" t="s">
        <v>4426</v>
      </c>
      <c r="F2185" s="3" t="s">
        <v>27</v>
      </c>
      <c r="G2185" s="3" t="s">
        <v>1453</v>
      </c>
      <c r="H2185" s="22" t="s">
        <v>4490</v>
      </c>
      <c r="I2185" s="24">
        <v>61408180324</v>
      </c>
      <c r="J2185" s="22" t="s">
        <v>4491</v>
      </c>
      <c r="K2185" s="43">
        <v>750.0</v>
      </c>
      <c r="M2185" s="26"/>
    </row>
    <row r="2186">
      <c r="A2186" s="3" t="s">
        <v>2641</v>
      </c>
      <c r="B2186" s="3" t="s">
        <v>18</v>
      </c>
      <c r="C2186" s="22" t="s">
        <v>749</v>
      </c>
      <c r="D2186" s="22" t="s">
        <v>4492</v>
      </c>
      <c r="E2186" s="46" t="s">
        <v>4493</v>
      </c>
      <c r="F2186" s="3" t="s">
        <v>27</v>
      </c>
      <c r="G2186" s="3" t="s">
        <v>1453</v>
      </c>
      <c r="H2186" s="22" t="s">
        <v>4273</v>
      </c>
      <c r="I2186" s="24">
        <v>6.1432893178E10</v>
      </c>
      <c r="J2186" s="22" t="s">
        <v>4274</v>
      </c>
      <c r="K2186" s="43">
        <v>1750.0</v>
      </c>
      <c r="M2186" s="26"/>
    </row>
    <row r="2187">
      <c r="A2187" s="3" t="s">
        <v>274</v>
      </c>
      <c r="B2187" s="3" t="s">
        <v>18</v>
      </c>
      <c r="C2187" s="22" t="s">
        <v>489</v>
      </c>
      <c r="D2187" s="22" t="s">
        <v>4494</v>
      </c>
      <c r="E2187" s="46" t="s">
        <v>4493</v>
      </c>
      <c r="F2187" s="3" t="s">
        <v>27</v>
      </c>
      <c r="G2187" s="3" t="s">
        <v>1453</v>
      </c>
      <c r="H2187" s="22" t="s">
        <v>4495</v>
      </c>
      <c r="I2187" s="24">
        <v>61437794848</v>
      </c>
      <c r="J2187" s="22" t="s">
        <v>4496</v>
      </c>
      <c r="K2187" s="43">
        <v>1000.0</v>
      </c>
      <c r="M2187" s="26"/>
    </row>
    <row r="2188">
      <c r="A2188" s="3" t="s">
        <v>305</v>
      </c>
      <c r="B2188" s="3" t="s">
        <v>36</v>
      </c>
      <c r="C2188" s="22" t="s">
        <v>331</v>
      </c>
      <c r="D2188" s="22" t="s">
        <v>4497</v>
      </c>
      <c r="E2188" s="46" t="s">
        <v>4493</v>
      </c>
      <c r="F2188" s="3" t="s">
        <v>27</v>
      </c>
      <c r="G2188" s="3" t="s">
        <v>1453</v>
      </c>
      <c r="H2188" s="22" t="s">
        <v>4498</v>
      </c>
      <c r="I2188" s="24">
        <v>61438766499</v>
      </c>
      <c r="J2188" s="22" t="s">
        <v>4499</v>
      </c>
      <c r="K2188" s="43">
        <v>750.0</v>
      </c>
      <c r="M2188" s="26"/>
    </row>
    <row r="2189">
      <c r="A2189" s="3" t="s">
        <v>1055</v>
      </c>
      <c r="B2189" s="3" t="s">
        <v>31</v>
      </c>
      <c r="C2189" s="22" t="s">
        <v>3804</v>
      </c>
      <c r="D2189" s="22" t="s">
        <v>4500</v>
      </c>
      <c r="E2189" s="46" t="s">
        <v>4493</v>
      </c>
      <c r="F2189" s="41">
        <v>0.2</v>
      </c>
      <c r="G2189" s="3" t="s">
        <v>129</v>
      </c>
      <c r="H2189" s="22" t="s">
        <v>4501</v>
      </c>
      <c r="I2189" s="24">
        <v>6.1419829988E10</v>
      </c>
      <c r="J2189" s="22" t="s">
        <v>4502</v>
      </c>
      <c r="K2189" s="43">
        <v>1000.0</v>
      </c>
      <c r="M2189" s="26"/>
    </row>
    <row r="2190">
      <c r="A2190" s="3" t="s">
        <v>1359</v>
      </c>
      <c r="B2190" s="3" t="s">
        <v>45</v>
      </c>
      <c r="C2190" s="22" t="s">
        <v>1806</v>
      </c>
      <c r="D2190" s="22" t="s">
        <v>4503</v>
      </c>
      <c r="E2190" s="46" t="s">
        <v>4493</v>
      </c>
      <c r="F2190" s="41">
        <v>0.2</v>
      </c>
      <c r="G2190" s="3" t="s">
        <v>129</v>
      </c>
      <c r="H2190" s="22" t="s">
        <v>4504</v>
      </c>
      <c r="I2190" s="24">
        <v>6.1418928665E10</v>
      </c>
      <c r="J2190" s="22" t="s">
        <v>4505</v>
      </c>
      <c r="K2190" s="43">
        <v>2000.0</v>
      </c>
      <c r="M2190" s="26"/>
    </row>
    <row r="2191">
      <c r="A2191" s="3" t="s">
        <v>817</v>
      </c>
      <c r="B2191" s="3" t="s">
        <v>31</v>
      </c>
      <c r="C2191" s="22" t="s">
        <v>1583</v>
      </c>
      <c r="D2191" s="22" t="s">
        <v>4506</v>
      </c>
      <c r="E2191" s="46" t="s">
        <v>4493</v>
      </c>
      <c r="F2191" s="41">
        <v>0.2</v>
      </c>
      <c r="G2191" s="3" t="s">
        <v>129</v>
      </c>
      <c r="H2191" s="22" t="s">
        <v>4507</v>
      </c>
      <c r="I2191" s="24">
        <v>6.1422782011E10</v>
      </c>
      <c r="J2191" s="22" t="s">
        <v>4508</v>
      </c>
      <c r="K2191" s="43">
        <v>2500.0</v>
      </c>
      <c r="M2191" s="26"/>
    </row>
    <row r="2192">
      <c r="A2192" s="3" t="s">
        <v>435</v>
      </c>
      <c r="B2192" s="3" t="s">
        <v>18</v>
      </c>
      <c r="C2192" s="22" t="s">
        <v>4509</v>
      </c>
      <c r="D2192" s="22" t="s">
        <v>4510</v>
      </c>
      <c r="E2192" s="46" t="s">
        <v>4493</v>
      </c>
      <c r="F2192" s="41">
        <v>0.2</v>
      </c>
      <c r="G2192" s="3" t="s">
        <v>129</v>
      </c>
      <c r="H2192" s="22" t="s">
        <v>4511</v>
      </c>
      <c r="I2192" s="24">
        <v>6.1417826661E10</v>
      </c>
      <c r="J2192" s="22" t="s">
        <v>4512</v>
      </c>
      <c r="K2192" s="43">
        <v>1000.0</v>
      </c>
      <c r="M2192" s="26"/>
    </row>
    <row r="2193">
      <c r="A2193" s="3" t="s">
        <v>276</v>
      </c>
      <c r="B2193" s="3" t="s">
        <v>18</v>
      </c>
      <c r="C2193" s="22" t="s">
        <v>2660</v>
      </c>
      <c r="D2193" s="22" t="s">
        <v>4513</v>
      </c>
      <c r="E2193" s="46" t="s">
        <v>4493</v>
      </c>
      <c r="F2193" s="41">
        <v>0.2</v>
      </c>
      <c r="G2193" s="3" t="s">
        <v>129</v>
      </c>
      <c r="H2193" s="22" t="s">
        <v>4514</v>
      </c>
      <c r="I2193" s="24">
        <v>6.141154816E10</v>
      </c>
      <c r="J2193" s="22" t="s">
        <v>4515</v>
      </c>
      <c r="K2193" s="43">
        <v>1000.0</v>
      </c>
      <c r="M2193" s="26"/>
    </row>
    <row r="2194">
      <c r="A2194" s="3" t="s">
        <v>120</v>
      </c>
      <c r="B2194" s="3" t="s">
        <v>31</v>
      </c>
      <c r="C2194" s="22" t="s">
        <v>2011</v>
      </c>
      <c r="D2194" s="22" t="s">
        <v>4516</v>
      </c>
      <c r="E2194" s="46" t="s">
        <v>4493</v>
      </c>
      <c r="F2194" s="41">
        <v>0.2</v>
      </c>
      <c r="G2194" s="3" t="s">
        <v>129</v>
      </c>
      <c r="H2194" s="22" t="s">
        <v>2013</v>
      </c>
      <c r="I2194" s="24">
        <v>6.1468998979E10</v>
      </c>
      <c r="J2194" s="22" t="s">
        <v>4517</v>
      </c>
      <c r="K2194" s="43">
        <v>750.0</v>
      </c>
      <c r="M2194" s="26"/>
    </row>
    <row r="2195">
      <c r="A2195" s="3" t="s">
        <v>107</v>
      </c>
      <c r="B2195" s="3" t="s">
        <v>18</v>
      </c>
      <c r="C2195" s="22" t="s">
        <v>4518</v>
      </c>
      <c r="D2195" s="22" t="s">
        <v>4519</v>
      </c>
      <c r="E2195" s="46" t="s">
        <v>4493</v>
      </c>
      <c r="F2195" s="41">
        <v>0.2</v>
      </c>
      <c r="G2195" s="3" t="s">
        <v>129</v>
      </c>
      <c r="H2195" s="22" t="s">
        <v>4520</v>
      </c>
      <c r="I2195" s="24">
        <v>6.1419024126E10</v>
      </c>
      <c r="J2195" s="22" t="s">
        <v>4521</v>
      </c>
      <c r="K2195" s="43">
        <v>1000.0</v>
      </c>
      <c r="M2195" s="26"/>
    </row>
    <row r="2196">
      <c r="A2196" s="3" t="s">
        <v>744</v>
      </c>
      <c r="B2196" s="3" t="s">
        <v>18</v>
      </c>
      <c r="C2196" s="22" t="s">
        <v>4522</v>
      </c>
      <c r="D2196" s="22" t="s">
        <v>4523</v>
      </c>
      <c r="E2196" s="46" t="s">
        <v>4493</v>
      </c>
      <c r="F2196" s="41">
        <v>0.2</v>
      </c>
      <c r="G2196" s="3" t="s">
        <v>92</v>
      </c>
      <c r="H2196" s="22" t="s">
        <v>4524</v>
      </c>
      <c r="I2196" s="24">
        <v>6.1431231123E10</v>
      </c>
      <c r="J2196" s="22" t="s">
        <v>4525</v>
      </c>
      <c r="K2196" s="3">
        <v>0.0</v>
      </c>
      <c r="M2196" s="26"/>
    </row>
    <row r="2197">
      <c r="A2197" s="3" t="s">
        <v>532</v>
      </c>
      <c r="B2197" s="3" t="s">
        <v>18</v>
      </c>
      <c r="C2197" s="22" t="s">
        <v>1709</v>
      </c>
      <c r="D2197" s="22" t="s">
        <v>4526</v>
      </c>
      <c r="E2197" s="46" t="s">
        <v>4493</v>
      </c>
      <c r="F2197" s="41">
        <v>0.2</v>
      </c>
      <c r="G2197" s="3" t="s">
        <v>92</v>
      </c>
      <c r="H2197" s="22" t="s">
        <v>4527</v>
      </c>
      <c r="I2197" s="24">
        <v>6.1417741116E10</v>
      </c>
      <c r="J2197" s="22" t="s">
        <v>4528</v>
      </c>
      <c r="K2197" s="3">
        <v>0.0</v>
      </c>
      <c r="M2197" s="26"/>
    </row>
    <row r="2198">
      <c r="A2198" s="3" t="s">
        <v>532</v>
      </c>
      <c r="B2198" s="3" t="s">
        <v>18</v>
      </c>
      <c r="C2198" s="22" t="s">
        <v>1709</v>
      </c>
      <c r="D2198" s="22" t="s">
        <v>4529</v>
      </c>
      <c r="E2198" s="46" t="s">
        <v>4493</v>
      </c>
      <c r="F2198" s="41">
        <v>0.2</v>
      </c>
      <c r="G2198" s="3" t="s">
        <v>92</v>
      </c>
      <c r="H2198" s="22" t="s">
        <v>4527</v>
      </c>
      <c r="I2198" s="24">
        <v>6.1417741116E10</v>
      </c>
      <c r="J2198" s="22" t="s">
        <v>4528</v>
      </c>
      <c r="K2198" s="3">
        <v>0.0</v>
      </c>
      <c r="M2198" s="26"/>
    </row>
    <row r="2199">
      <c r="A2199" s="3" t="s">
        <v>210</v>
      </c>
      <c r="B2199" s="3" t="s">
        <v>31</v>
      </c>
      <c r="C2199" s="22" t="s">
        <v>4530</v>
      </c>
      <c r="D2199" s="22" t="s">
        <v>4531</v>
      </c>
      <c r="E2199" s="46" t="s">
        <v>4493</v>
      </c>
      <c r="F2199" s="41">
        <v>0.2</v>
      </c>
      <c r="G2199" s="3" t="s">
        <v>92</v>
      </c>
      <c r="H2199" s="22" t="s">
        <v>4532</v>
      </c>
      <c r="I2199" s="24">
        <v>6.1410689751E10</v>
      </c>
      <c r="J2199" s="22" t="s">
        <v>4533</v>
      </c>
      <c r="K2199" s="3">
        <v>0.0</v>
      </c>
      <c r="M2199" s="26"/>
    </row>
    <row r="2200">
      <c r="A2200" s="3" t="s">
        <v>184</v>
      </c>
      <c r="B2200" s="3" t="s">
        <v>18</v>
      </c>
      <c r="C2200" s="22" t="s">
        <v>356</v>
      </c>
      <c r="D2200" s="22" t="s">
        <v>4534</v>
      </c>
      <c r="E2200" s="46" t="s">
        <v>4493</v>
      </c>
      <c r="F2200" s="41">
        <v>0.2</v>
      </c>
      <c r="G2200" s="3" t="s">
        <v>92</v>
      </c>
      <c r="H2200" s="22" t="s">
        <v>4383</v>
      </c>
      <c r="I2200" s="24">
        <v>6.1405045979E10</v>
      </c>
      <c r="J2200" s="22" t="s">
        <v>4384</v>
      </c>
      <c r="K2200" s="3">
        <v>0.0</v>
      </c>
      <c r="M2200" s="26"/>
    </row>
    <row r="2201">
      <c r="A2201" s="3" t="s">
        <v>472</v>
      </c>
      <c r="B2201" s="3" t="s">
        <v>18</v>
      </c>
      <c r="C2201" s="22" t="s">
        <v>556</v>
      </c>
      <c r="D2201" s="22" t="s">
        <v>4535</v>
      </c>
      <c r="E2201" s="46" t="s">
        <v>4493</v>
      </c>
      <c r="F2201" s="41">
        <v>0.2</v>
      </c>
      <c r="G2201" s="3" t="s">
        <v>92</v>
      </c>
      <c r="H2201" s="22" t="s">
        <v>4536</v>
      </c>
      <c r="I2201" s="24">
        <v>6.1439226483E10</v>
      </c>
      <c r="J2201" s="22" t="s">
        <v>4537</v>
      </c>
      <c r="K2201" s="3">
        <v>0.0</v>
      </c>
      <c r="M2201" s="26"/>
    </row>
    <row r="2202">
      <c r="A2202" s="3" t="s">
        <v>291</v>
      </c>
      <c r="B2202" s="3" t="s">
        <v>31</v>
      </c>
      <c r="C2202" s="22" t="s">
        <v>1105</v>
      </c>
      <c r="D2202" s="50" t="s">
        <v>4538</v>
      </c>
      <c r="E2202" s="46" t="s">
        <v>4493</v>
      </c>
      <c r="F2202" s="41">
        <v>0.0</v>
      </c>
      <c r="G2202" s="3" t="s">
        <v>92</v>
      </c>
      <c r="H2202" s="22" t="s">
        <v>4539</v>
      </c>
      <c r="I2202" s="24">
        <v>6.1402858576E10</v>
      </c>
      <c r="J2202" s="22" t="s">
        <v>4540</v>
      </c>
      <c r="K2202" s="3">
        <v>0.0</v>
      </c>
      <c r="M2202" s="26"/>
    </row>
    <row r="2203">
      <c r="A2203" s="3" t="s">
        <v>137</v>
      </c>
      <c r="B2203" s="3" t="s">
        <v>18</v>
      </c>
      <c r="C2203" s="22" t="s">
        <v>245</v>
      </c>
      <c r="D2203" s="22" t="s">
        <v>4541</v>
      </c>
      <c r="E2203" s="46" t="s">
        <v>4493</v>
      </c>
      <c r="F2203" s="41">
        <v>0.2</v>
      </c>
      <c r="G2203" s="3" t="s">
        <v>92</v>
      </c>
      <c r="H2203" s="22" t="s">
        <v>4542</v>
      </c>
      <c r="I2203" s="24">
        <v>6.1413707122E10</v>
      </c>
      <c r="J2203" s="22" t="s">
        <v>4543</v>
      </c>
      <c r="K2203" s="3">
        <v>0.0</v>
      </c>
      <c r="M2203" s="26"/>
    </row>
    <row r="2204">
      <c r="A2204" s="3" t="s">
        <v>77</v>
      </c>
      <c r="B2204" s="3" t="s">
        <v>18</v>
      </c>
      <c r="C2204" s="22" t="s">
        <v>4544</v>
      </c>
      <c r="D2204" s="22" t="s">
        <v>4545</v>
      </c>
      <c r="E2204" s="46" t="s">
        <v>4493</v>
      </c>
      <c r="F2204" s="41">
        <v>0.2</v>
      </c>
      <c r="G2204" s="3" t="s">
        <v>92</v>
      </c>
      <c r="H2204" s="22" t="s">
        <v>4546</v>
      </c>
      <c r="I2204" s="24">
        <v>6.1412680012E10</v>
      </c>
      <c r="J2204" s="22" t="s">
        <v>4547</v>
      </c>
      <c r="K2204" s="3">
        <v>0.0</v>
      </c>
      <c r="M2204" s="26"/>
    </row>
    <row r="2205">
      <c r="A2205" s="3" t="s">
        <v>1255</v>
      </c>
      <c r="B2205" s="3" t="s">
        <v>18</v>
      </c>
      <c r="C2205" s="22" t="s">
        <v>259</v>
      </c>
      <c r="D2205" s="22" t="s">
        <v>4548</v>
      </c>
      <c r="E2205" s="46" t="s">
        <v>4493</v>
      </c>
      <c r="F2205" s="41">
        <v>0.2</v>
      </c>
      <c r="G2205" s="3" t="s">
        <v>92</v>
      </c>
      <c r="H2205" s="22" t="s">
        <v>4549</v>
      </c>
      <c r="I2205" s="24">
        <v>6.1499927719E10</v>
      </c>
      <c r="J2205" s="22" t="s">
        <v>4550</v>
      </c>
      <c r="K2205" s="3">
        <v>0.0</v>
      </c>
      <c r="M2205" s="26"/>
    </row>
    <row r="2206">
      <c r="A2206" s="3" t="s">
        <v>510</v>
      </c>
      <c r="B2206" s="3" t="s">
        <v>18</v>
      </c>
      <c r="C2206" s="22" t="s">
        <v>4551</v>
      </c>
      <c r="D2206" s="22" t="s">
        <v>4552</v>
      </c>
      <c r="E2206" s="46" t="s">
        <v>4493</v>
      </c>
      <c r="F2206" s="41">
        <v>0.2</v>
      </c>
      <c r="G2206" s="3" t="s">
        <v>92</v>
      </c>
      <c r="H2206" s="22" t="s">
        <v>4553</v>
      </c>
      <c r="I2206" s="24">
        <v>6.1421657831E10</v>
      </c>
      <c r="J2206" s="22" t="s">
        <v>4554</v>
      </c>
      <c r="K2206" s="3">
        <v>0.0</v>
      </c>
      <c r="M2206" s="26"/>
    </row>
    <row r="2207">
      <c r="A2207" s="3" t="s">
        <v>198</v>
      </c>
      <c r="B2207" s="3" t="s">
        <v>109</v>
      </c>
      <c r="C2207" s="22" t="s">
        <v>4555</v>
      </c>
      <c r="D2207" s="22"/>
      <c r="E2207" s="46" t="s">
        <v>4493</v>
      </c>
      <c r="F2207" s="41">
        <v>0.0</v>
      </c>
      <c r="G2207" s="3" t="s">
        <v>92</v>
      </c>
      <c r="H2207" s="22" t="s">
        <v>4556</v>
      </c>
      <c r="I2207" s="24">
        <v>6.140319509E10</v>
      </c>
      <c r="J2207" s="22" t="s">
        <v>4557</v>
      </c>
      <c r="K2207" s="3">
        <v>0.0</v>
      </c>
      <c r="M2207" s="26"/>
    </row>
    <row r="2208">
      <c r="A2208" s="3" t="s">
        <v>1320</v>
      </c>
      <c r="B2208" s="3" t="s">
        <v>45</v>
      </c>
      <c r="C2208" s="22" t="s">
        <v>1369</v>
      </c>
      <c r="D2208" s="22"/>
      <c r="E2208" s="46" t="s">
        <v>4493</v>
      </c>
      <c r="F2208" s="41">
        <v>0.0</v>
      </c>
      <c r="G2208" s="3" t="s">
        <v>92</v>
      </c>
      <c r="H2208" s="22" t="s">
        <v>4558</v>
      </c>
      <c r="I2208" s="24">
        <v>6.1433212315E10</v>
      </c>
      <c r="J2208" s="22" t="s">
        <v>4559</v>
      </c>
      <c r="K2208" s="3">
        <v>0.0</v>
      </c>
      <c r="M2208" s="26"/>
    </row>
    <row r="2209">
      <c r="A2209" s="3" t="s">
        <v>2503</v>
      </c>
      <c r="B2209" s="3" t="s">
        <v>18</v>
      </c>
      <c r="C2209" s="22" t="s">
        <v>127</v>
      </c>
      <c r="D2209" s="22" t="s">
        <v>4560</v>
      </c>
      <c r="E2209" s="46" t="s">
        <v>4493</v>
      </c>
      <c r="F2209" s="41">
        <v>0.2</v>
      </c>
      <c r="G2209" s="3" t="s">
        <v>1453</v>
      </c>
      <c r="H2209" s="22" t="s">
        <v>4561</v>
      </c>
      <c r="I2209" s="24">
        <v>61418335717</v>
      </c>
      <c r="J2209" s="22" t="s">
        <v>4562</v>
      </c>
      <c r="K2209" s="43">
        <v>2000.0</v>
      </c>
      <c r="M2209" s="26"/>
    </row>
    <row r="2210">
      <c r="A2210" s="3" t="s">
        <v>198</v>
      </c>
      <c r="B2210" s="3" t="s">
        <v>109</v>
      </c>
      <c r="C2210" s="22" t="s">
        <v>1773</v>
      </c>
      <c r="D2210" s="22" t="s">
        <v>4563</v>
      </c>
      <c r="E2210" s="46" t="s">
        <v>4493</v>
      </c>
      <c r="F2210" s="41">
        <v>0.2</v>
      </c>
      <c r="G2210" s="3" t="s">
        <v>1453</v>
      </c>
      <c r="H2210" s="22" t="s">
        <v>4564</v>
      </c>
      <c r="I2210" s="24">
        <v>6.1408257187E10</v>
      </c>
      <c r="J2210" s="22" t="s">
        <v>2792</v>
      </c>
      <c r="K2210" s="43">
        <v>750.0</v>
      </c>
      <c r="M2210" s="26"/>
    </row>
    <row r="2211">
      <c r="A2211" s="3" t="s">
        <v>4565</v>
      </c>
      <c r="B2211" s="3" t="s">
        <v>31</v>
      </c>
      <c r="C2211" s="22" t="s">
        <v>4566</v>
      </c>
      <c r="D2211" s="22" t="s">
        <v>4567</v>
      </c>
      <c r="E2211" s="46" t="s">
        <v>4493</v>
      </c>
      <c r="F2211" s="41">
        <v>0.2</v>
      </c>
      <c r="G2211" s="3" t="s">
        <v>129</v>
      </c>
      <c r="H2211" s="22" t="s">
        <v>4568</v>
      </c>
      <c r="I2211" s="24">
        <v>6.10404388709E11</v>
      </c>
      <c r="J2211" s="22" t="s">
        <v>4569</v>
      </c>
      <c r="K2211" s="43">
        <v>750.0</v>
      </c>
      <c r="M2211" s="26"/>
    </row>
    <row r="2212">
      <c r="A2212" s="3" t="s">
        <v>510</v>
      </c>
      <c r="B2212" s="3" t="s">
        <v>31</v>
      </c>
      <c r="C2212" s="22" t="s">
        <v>3432</v>
      </c>
      <c r="D2212" s="22" t="s">
        <v>4570</v>
      </c>
      <c r="E2212" s="46" t="s">
        <v>4493</v>
      </c>
      <c r="F2212" s="41">
        <v>0.2</v>
      </c>
      <c r="G2212" s="3" t="s">
        <v>129</v>
      </c>
      <c r="H2212" s="22" t="s">
        <v>1504</v>
      </c>
      <c r="I2212" s="24">
        <v>6.1417226822E10</v>
      </c>
      <c r="J2212" s="22" t="s">
        <v>4571</v>
      </c>
      <c r="K2212" s="43">
        <v>750.0</v>
      </c>
      <c r="M2212" s="26"/>
    </row>
    <row r="2213">
      <c r="A2213" s="3" t="s">
        <v>2641</v>
      </c>
      <c r="B2213" s="3" t="s">
        <v>18</v>
      </c>
      <c r="C2213" s="22" t="s">
        <v>4572</v>
      </c>
      <c r="D2213" s="22" t="s">
        <v>4573</v>
      </c>
      <c r="E2213" s="46" t="s">
        <v>4493</v>
      </c>
      <c r="F2213" s="41">
        <v>0.2</v>
      </c>
      <c r="G2213" s="3" t="s">
        <v>1453</v>
      </c>
      <c r="H2213" s="22" t="s">
        <v>4574</v>
      </c>
      <c r="I2213" s="24">
        <v>61414444818</v>
      </c>
      <c r="J2213" s="22" t="s">
        <v>4575</v>
      </c>
      <c r="K2213" s="43">
        <v>2500.0</v>
      </c>
      <c r="M2213" s="26"/>
    </row>
    <row r="2214">
      <c r="A2214" s="3" t="s">
        <v>168</v>
      </c>
      <c r="B2214" s="3" t="s">
        <v>45</v>
      </c>
      <c r="C2214" s="22" t="s">
        <v>2933</v>
      </c>
      <c r="D2214" s="22" t="s">
        <v>4576</v>
      </c>
      <c r="E2214" s="46" t="s">
        <v>4577</v>
      </c>
      <c r="F2214" s="41">
        <v>0.2</v>
      </c>
      <c r="G2214" s="3" t="s">
        <v>1453</v>
      </c>
      <c r="H2214" s="22" t="s">
        <v>4578</v>
      </c>
      <c r="I2214" s="24">
        <v>61422836009</v>
      </c>
      <c r="J2214" s="22" t="s">
        <v>4579</v>
      </c>
      <c r="K2214" s="43">
        <v>500.0</v>
      </c>
      <c r="M2214" s="26"/>
    </row>
    <row r="2215">
      <c r="A2215" s="3" t="s">
        <v>244</v>
      </c>
      <c r="B2215" s="3" t="s">
        <v>18</v>
      </c>
      <c r="C2215" s="22" t="s">
        <v>1457</v>
      </c>
      <c r="D2215" s="22" t="s">
        <v>4580</v>
      </c>
      <c r="E2215" s="46" t="s">
        <v>4577</v>
      </c>
      <c r="F2215" s="41">
        <v>0.2</v>
      </c>
      <c r="G2215" s="3" t="s">
        <v>92</v>
      </c>
      <c r="H2215" s="22" t="s">
        <v>4581</v>
      </c>
      <c r="I2215" s="24">
        <v>6.1413418497E10</v>
      </c>
      <c r="J2215" s="22" t="s">
        <v>4582</v>
      </c>
      <c r="K2215" s="3">
        <v>0.0</v>
      </c>
      <c r="M2215" s="26"/>
    </row>
    <row r="2216">
      <c r="A2216" s="3" t="s">
        <v>1660</v>
      </c>
      <c r="B2216" s="3" t="s">
        <v>36</v>
      </c>
      <c r="C2216" s="22" t="s">
        <v>1661</v>
      </c>
      <c r="D2216" s="22"/>
      <c r="E2216" s="46" t="s">
        <v>4577</v>
      </c>
      <c r="F2216" s="41">
        <v>0.0</v>
      </c>
      <c r="G2216" s="3" t="s">
        <v>92</v>
      </c>
      <c r="H2216" s="22" t="s">
        <v>4583</v>
      </c>
      <c r="I2216" s="24">
        <v>6.1403023689E10</v>
      </c>
      <c r="J2216" s="22" t="s">
        <v>4584</v>
      </c>
      <c r="K2216" s="3">
        <v>0.0</v>
      </c>
      <c r="M2216" s="26"/>
    </row>
    <row r="2217">
      <c r="A2217" s="3" t="s">
        <v>435</v>
      </c>
      <c r="B2217" s="3" t="s">
        <v>18</v>
      </c>
      <c r="C2217" s="22" t="s">
        <v>4168</v>
      </c>
      <c r="D2217" s="22" t="s">
        <v>4585</v>
      </c>
      <c r="E2217" s="46" t="s">
        <v>4577</v>
      </c>
      <c r="F2217" s="41">
        <v>0.1</v>
      </c>
      <c r="G2217" s="3" t="s">
        <v>92</v>
      </c>
      <c r="H2217" s="22" t="s">
        <v>4586</v>
      </c>
      <c r="I2217" s="24">
        <v>6.1407640229E10</v>
      </c>
      <c r="J2217" s="22" t="s">
        <v>4587</v>
      </c>
      <c r="K2217" s="3">
        <v>0.0</v>
      </c>
      <c r="M2217" s="26"/>
    </row>
    <row r="2218">
      <c r="A2218" s="3" t="s">
        <v>113</v>
      </c>
      <c r="B2218" s="3" t="s">
        <v>18</v>
      </c>
      <c r="C2218" s="22" t="s">
        <v>175</v>
      </c>
      <c r="D2218" s="22" t="s">
        <v>4588</v>
      </c>
      <c r="E2218" s="46" t="s">
        <v>4577</v>
      </c>
      <c r="F2218" s="41">
        <v>0.2</v>
      </c>
      <c r="G2218" s="3" t="s">
        <v>92</v>
      </c>
      <c r="H2218" s="22" t="s">
        <v>4589</v>
      </c>
      <c r="I2218" s="24">
        <v>6.1422552811E10</v>
      </c>
      <c r="J2218" s="22" t="s">
        <v>4590</v>
      </c>
      <c r="K2218" s="3">
        <v>0.0</v>
      </c>
      <c r="M2218" s="26"/>
    </row>
    <row r="2219">
      <c r="A2219" s="3" t="s">
        <v>1660</v>
      </c>
      <c r="B2219" s="3" t="s">
        <v>36</v>
      </c>
      <c r="C2219" s="22" t="s">
        <v>2558</v>
      </c>
      <c r="D2219" s="22" t="s">
        <v>4591</v>
      </c>
      <c r="E2219" s="46" t="s">
        <v>4577</v>
      </c>
      <c r="F2219" s="41">
        <v>0.2</v>
      </c>
      <c r="G2219" s="3" t="s">
        <v>92</v>
      </c>
      <c r="H2219" s="22" t="s">
        <v>4592</v>
      </c>
      <c r="I2219" s="24">
        <v>6.1406611941E10</v>
      </c>
      <c r="J2219" s="22" t="s">
        <v>4593</v>
      </c>
      <c r="K2219" s="3">
        <v>0.0</v>
      </c>
      <c r="M2219" s="26"/>
    </row>
    <row r="2220">
      <c r="A2220" s="3" t="s">
        <v>155</v>
      </c>
      <c r="B2220" s="3" t="s">
        <v>18</v>
      </c>
      <c r="C2220" s="22" t="s">
        <v>1955</v>
      </c>
      <c r="D2220" s="22" t="s">
        <v>4594</v>
      </c>
      <c r="E2220" s="46" t="s">
        <v>4577</v>
      </c>
      <c r="F2220" s="41">
        <v>0.2</v>
      </c>
      <c r="G2220" s="3" t="s">
        <v>92</v>
      </c>
      <c r="H2220" s="22" t="s">
        <v>4595</v>
      </c>
      <c r="I2220" s="24">
        <v>6.1400958451E10</v>
      </c>
      <c r="J2220" s="22" t="s">
        <v>4596</v>
      </c>
      <c r="K2220" s="3">
        <v>0.0</v>
      </c>
      <c r="M2220" s="26"/>
    </row>
    <row r="2221">
      <c r="A2221" s="3" t="s">
        <v>244</v>
      </c>
      <c r="B2221" s="3" t="s">
        <v>18</v>
      </c>
      <c r="C2221" s="22" t="s">
        <v>315</v>
      </c>
      <c r="D2221" s="22" t="s">
        <v>4597</v>
      </c>
      <c r="E2221" s="46" t="s">
        <v>4577</v>
      </c>
      <c r="F2221" s="41">
        <v>0.2</v>
      </c>
      <c r="G2221" s="3" t="s">
        <v>92</v>
      </c>
      <c r="H2221" s="22" t="s">
        <v>4598</v>
      </c>
      <c r="I2221" s="24">
        <v>6.1481717445E10</v>
      </c>
      <c r="J2221" s="22" t="s">
        <v>4599</v>
      </c>
      <c r="K2221" s="3">
        <v>0.0</v>
      </c>
      <c r="M2221" s="26"/>
    </row>
    <row r="2222">
      <c r="A2222" s="3" t="s">
        <v>1055</v>
      </c>
      <c r="B2222" s="3" t="s">
        <v>31</v>
      </c>
      <c r="C2222" s="22" t="s">
        <v>1056</v>
      </c>
      <c r="D2222" s="22" t="s">
        <v>4600</v>
      </c>
      <c r="E2222" s="46" t="s">
        <v>4577</v>
      </c>
      <c r="F2222" s="41">
        <v>0.2</v>
      </c>
      <c r="G2222" s="3" t="s">
        <v>92</v>
      </c>
      <c r="H2222" s="22" t="s">
        <v>4601</v>
      </c>
      <c r="I2222" s="24">
        <v>6.1423347767E10</v>
      </c>
      <c r="J2222" s="22" t="s">
        <v>4602</v>
      </c>
      <c r="K2222" s="3">
        <v>0.0</v>
      </c>
      <c r="M2222" s="26"/>
    </row>
    <row r="2223">
      <c r="A2223" s="3" t="s">
        <v>23</v>
      </c>
      <c r="B2223" s="3" t="s">
        <v>18</v>
      </c>
      <c r="C2223" s="22" t="s">
        <v>3005</v>
      </c>
      <c r="D2223" s="22" t="s">
        <v>3006</v>
      </c>
      <c r="E2223" s="46" t="s">
        <v>4577</v>
      </c>
      <c r="F2223" s="41">
        <v>0.2</v>
      </c>
      <c r="G2223" s="3" t="s">
        <v>92</v>
      </c>
      <c r="H2223" s="22" t="s">
        <v>4603</v>
      </c>
      <c r="I2223" s="24">
        <v>6.1418601192E10</v>
      </c>
      <c r="J2223" s="22" t="s">
        <v>4604</v>
      </c>
      <c r="K2223" s="3">
        <v>0.0</v>
      </c>
      <c r="M2223" s="26"/>
    </row>
    <row r="2224">
      <c r="A2224" s="3" t="s">
        <v>155</v>
      </c>
      <c r="B2224" s="3" t="s">
        <v>18</v>
      </c>
      <c r="C2224" s="22" t="s">
        <v>319</v>
      </c>
      <c r="D2224" s="22" t="s">
        <v>4605</v>
      </c>
      <c r="E2224" s="46" t="s">
        <v>4577</v>
      </c>
      <c r="F2224" s="41">
        <v>0.0</v>
      </c>
      <c r="G2224" s="3" t="s">
        <v>92</v>
      </c>
      <c r="H2224" s="22" t="s">
        <v>4606</v>
      </c>
      <c r="I2224" s="24">
        <v>6.140645022E10</v>
      </c>
      <c r="J2224" s="22" t="s">
        <v>4607</v>
      </c>
      <c r="K2224" s="3">
        <v>0.0</v>
      </c>
      <c r="M2224" s="26"/>
    </row>
    <row r="2225">
      <c r="A2225" s="3" t="s">
        <v>113</v>
      </c>
      <c r="B2225" s="3" t="s">
        <v>18</v>
      </c>
      <c r="C2225" s="22" t="s">
        <v>753</v>
      </c>
      <c r="D2225" s="22" t="s">
        <v>4608</v>
      </c>
      <c r="E2225" s="46" t="s">
        <v>4577</v>
      </c>
      <c r="F2225" s="41">
        <v>0.2</v>
      </c>
      <c r="G2225" s="3" t="s">
        <v>92</v>
      </c>
      <c r="H2225" s="22" t="s">
        <v>4609</v>
      </c>
      <c r="I2225" s="24">
        <v>6.1411742539E10</v>
      </c>
      <c r="J2225" s="22" t="s">
        <v>4610</v>
      </c>
      <c r="K2225" s="3">
        <v>0.0</v>
      </c>
      <c r="M2225" s="26"/>
    </row>
    <row r="2226">
      <c r="A2226" s="3" t="s">
        <v>168</v>
      </c>
      <c r="B2226" s="3" t="s">
        <v>45</v>
      </c>
      <c r="C2226" s="22" t="s">
        <v>216</v>
      </c>
      <c r="D2226" s="22" t="s">
        <v>4611</v>
      </c>
      <c r="E2226" s="46" t="s">
        <v>4577</v>
      </c>
      <c r="F2226" s="41">
        <v>0.2</v>
      </c>
      <c r="G2226" s="3" t="s">
        <v>1453</v>
      </c>
      <c r="H2226" s="22" t="s">
        <v>4612</v>
      </c>
      <c r="I2226" s="24">
        <v>6.1401398043E10</v>
      </c>
      <c r="J2226" s="22" t="s">
        <v>4613</v>
      </c>
      <c r="K2226" s="3">
        <v>0.0</v>
      </c>
      <c r="M2226" s="26"/>
    </row>
    <row r="2227">
      <c r="A2227" s="3" t="s">
        <v>1660</v>
      </c>
      <c r="B2227" s="3" t="s">
        <v>36</v>
      </c>
      <c r="C2227" s="22" t="s">
        <v>1661</v>
      </c>
      <c r="D2227" s="22" t="s">
        <v>4614</v>
      </c>
      <c r="E2227" s="46" t="s">
        <v>4577</v>
      </c>
      <c r="F2227" s="41">
        <v>0.2</v>
      </c>
      <c r="G2227" s="3" t="s">
        <v>1453</v>
      </c>
      <c r="H2227" s="22" t="s">
        <v>4615</v>
      </c>
      <c r="I2227" s="24">
        <v>6.1409336388E10</v>
      </c>
      <c r="J2227" s="22" t="s">
        <v>4616</v>
      </c>
      <c r="K2227" s="43">
        <v>1000.0</v>
      </c>
      <c r="M2227" s="26"/>
    </row>
    <row r="2228">
      <c r="A2228" s="3" t="s">
        <v>2620</v>
      </c>
      <c r="B2228" s="3" t="s">
        <v>18</v>
      </c>
      <c r="C2228" s="22" t="s">
        <v>4617</v>
      </c>
      <c r="D2228" s="22" t="s">
        <v>4618</v>
      </c>
      <c r="E2228" s="46" t="s">
        <v>4577</v>
      </c>
      <c r="F2228" s="41">
        <v>0.2</v>
      </c>
      <c r="G2228" s="3" t="s">
        <v>129</v>
      </c>
      <c r="H2228" s="22" t="s">
        <v>4619</v>
      </c>
      <c r="I2228" s="24">
        <v>6.1431641641E10</v>
      </c>
      <c r="J2228" s="22" t="s">
        <v>4620</v>
      </c>
      <c r="K2228" s="43">
        <v>1000.0</v>
      </c>
      <c r="M2228" s="26"/>
    </row>
    <row r="2229">
      <c r="A2229" s="3" t="s">
        <v>4224</v>
      </c>
      <c r="B2229" s="3" t="s">
        <v>31</v>
      </c>
      <c r="C2229" s="22" t="s">
        <v>4225</v>
      </c>
      <c r="D2229" s="22" t="s">
        <v>4621</v>
      </c>
      <c r="E2229" s="46" t="s">
        <v>4577</v>
      </c>
      <c r="F2229" s="41">
        <v>0.2</v>
      </c>
      <c r="G2229" s="3" t="s">
        <v>129</v>
      </c>
      <c r="H2229" s="22" t="s">
        <v>4622</v>
      </c>
      <c r="I2229" s="24">
        <v>6.1417683422E10</v>
      </c>
      <c r="J2229" s="22" t="s">
        <v>4623</v>
      </c>
      <c r="K2229" s="43">
        <v>3000.0</v>
      </c>
      <c r="M2229" s="26"/>
    </row>
    <row r="2230">
      <c r="A2230" s="3" t="s">
        <v>435</v>
      </c>
      <c r="B2230" s="3" t="s">
        <v>18</v>
      </c>
      <c r="C2230" s="22" t="s">
        <v>4624</v>
      </c>
      <c r="D2230" s="22" t="s">
        <v>4625</v>
      </c>
      <c r="E2230" s="46" t="s">
        <v>4577</v>
      </c>
      <c r="F2230" s="41">
        <v>0.2</v>
      </c>
      <c r="G2230" s="3" t="s">
        <v>129</v>
      </c>
      <c r="H2230" s="22" t="s">
        <v>4626</v>
      </c>
      <c r="I2230" s="24">
        <v>6.1413114735E10</v>
      </c>
      <c r="J2230" s="22" t="s">
        <v>4627</v>
      </c>
      <c r="K2230" s="43">
        <v>1000.0</v>
      </c>
      <c r="M2230" s="26"/>
    </row>
    <row r="2231">
      <c r="A2231" s="3" t="s">
        <v>84</v>
      </c>
      <c r="B2231" s="3" t="s">
        <v>31</v>
      </c>
      <c r="C2231" s="22" t="s">
        <v>85</v>
      </c>
      <c r="D2231" s="22" t="s">
        <v>4628</v>
      </c>
      <c r="E2231" s="46" t="s">
        <v>4577</v>
      </c>
      <c r="F2231" s="41">
        <v>0.2</v>
      </c>
      <c r="G2231" s="3" t="s">
        <v>129</v>
      </c>
      <c r="H2231" s="22" t="s">
        <v>4629</v>
      </c>
      <c r="I2231" s="24">
        <v>61401777666</v>
      </c>
      <c r="J2231" s="22" t="s">
        <v>4630</v>
      </c>
      <c r="K2231" s="43">
        <v>1750.0</v>
      </c>
      <c r="M2231" s="26"/>
    </row>
    <row r="2232">
      <c r="A2232" s="3" t="s">
        <v>184</v>
      </c>
      <c r="B2232" s="3" t="s">
        <v>18</v>
      </c>
      <c r="C2232" s="22" t="s">
        <v>608</v>
      </c>
      <c r="D2232" s="22" t="s">
        <v>4631</v>
      </c>
      <c r="E2232" s="46" t="s">
        <v>4577</v>
      </c>
      <c r="F2232" s="41">
        <v>0.2</v>
      </c>
      <c r="G2232" s="3" t="s">
        <v>1453</v>
      </c>
      <c r="H2232" s="22" t="s">
        <v>3001</v>
      </c>
      <c r="I2232" s="24">
        <v>61448985502</v>
      </c>
      <c r="J2232" s="22" t="s">
        <v>4632</v>
      </c>
      <c r="K2232" s="43">
        <v>500.0</v>
      </c>
      <c r="M2232" s="26"/>
    </row>
    <row r="2233">
      <c r="A2233" s="3" t="s">
        <v>1892</v>
      </c>
      <c r="B2233" s="3" t="s">
        <v>18</v>
      </c>
      <c r="C2233" s="22" t="s">
        <v>2191</v>
      </c>
      <c r="D2233" s="22" t="s">
        <v>4633</v>
      </c>
      <c r="E2233" s="46" t="s">
        <v>4634</v>
      </c>
      <c r="F2233" s="41">
        <v>0.2</v>
      </c>
      <c r="G2233" s="3" t="s">
        <v>1453</v>
      </c>
      <c r="H2233" s="22" t="s">
        <v>4635</v>
      </c>
      <c r="I2233" s="24">
        <v>61449821633</v>
      </c>
      <c r="J2233" s="22" t="s">
        <v>4636</v>
      </c>
      <c r="K2233" s="43">
        <v>750.0</v>
      </c>
      <c r="M2233" s="26"/>
    </row>
    <row r="2234">
      <c r="A2234" s="3" t="s">
        <v>2266</v>
      </c>
      <c r="B2234" s="3" t="s">
        <v>18</v>
      </c>
      <c r="C2234" s="22" t="s">
        <v>4637</v>
      </c>
      <c r="D2234" s="22" t="s">
        <v>4638</v>
      </c>
      <c r="E2234" s="46" t="s">
        <v>4634</v>
      </c>
      <c r="F2234" s="41">
        <v>0.2</v>
      </c>
      <c r="G2234" s="3" t="s">
        <v>1453</v>
      </c>
      <c r="H2234" s="22" t="s">
        <v>4639</v>
      </c>
      <c r="I2234" s="24">
        <v>61407540367</v>
      </c>
      <c r="J2234" s="22" t="s">
        <v>4640</v>
      </c>
      <c r="K2234" s="43">
        <v>1250.0</v>
      </c>
      <c r="M2234" s="26"/>
    </row>
    <row r="2235">
      <c r="A2235" s="3" t="s">
        <v>2620</v>
      </c>
      <c r="B2235" s="3" t="s">
        <v>18</v>
      </c>
      <c r="C2235" s="22" t="s">
        <v>2900</v>
      </c>
      <c r="D2235" s="22" t="s">
        <v>4641</v>
      </c>
      <c r="E2235" s="46" t="s">
        <v>4634</v>
      </c>
      <c r="F2235" s="41">
        <v>0.2</v>
      </c>
      <c r="G2235" s="3" t="s">
        <v>129</v>
      </c>
      <c r="H2235" s="22" t="s">
        <v>4642</v>
      </c>
      <c r="I2235" s="24">
        <v>61417746257</v>
      </c>
      <c r="J2235" s="22" t="s">
        <v>4643</v>
      </c>
      <c r="K2235" s="43">
        <v>500.0</v>
      </c>
      <c r="M2235" s="26"/>
    </row>
    <row r="2236">
      <c r="A2236" s="3" t="s">
        <v>69</v>
      </c>
      <c r="B2236" s="3" t="s">
        <v>31</v>
      </c>
      <c r="C2236" s="22" t="s">
        <v>680</v>
      </c>
      <c r="D2236" s="22" t="s">
        <v>4644</v>
      </c>
      <c r="E2236" s="46" t="s">
        <v>4634</v>
      </c>
      <c r="F2236" s="41">
        <v>0.2</v>
      </c>
      <c r="G2236" s="3" t="s">
        <v>129</v>
      </c>
      <c r="H2236" s="22" t="s">
        <v>4645</v>
      </c>
      <c r="I2236" s="24">
        <v>6.10419266424E11</v>
      </c>
      <c r="J2236" s="22" t="s">
        <v>4646</v>
      </c>
      <c r="K2236" s="43">
        <v>2500.0</v>
      </c>
      <c r="M2236" s="26"/>
    </row>
    <row r="2237">
      <c r="A2237" s="3" t="s">
        <v>232</v>
      </c>
      <c r="B2237" s="3" t="s">
        <v>18</v>
      </c>
      <c r="C2237" s="22" t="s">
        <v>4647</v>
      </c>
      <c r="D2237" s="22" t="s">
        <v>4648</v>
      </c>
      <c r="E2237" s="46" t="s">
        <v>4634</v>
      </c>
      <c r="F2237" s="41">
        <v>0.2</v>
      </c>
      <c r="G2237" s="3" t="s">
        <v>129</v>
      </c>
      <c r="H2237" s="22" t="s">
        <v>4649</v>
      </c>
      <c r="I2237" s="24">
        <v>6.1413807925E10</v>
      </c>
      <c r="J2237" s="22" t="s">
        <v>4650</v>
      </c>
      <c r="K2237" s="43">
        <v>1000.0</v>
      </c>
      <c r="M2237" s="26"/>
    </row>
    <row r="2238">
      <c r="A2238" s="3" t="s">
        <v>3436</v>
      </c>
      <c r="B2238" s="3" t="s">
        <v>18</v>
      </c>
      <c r="C2238" s="22" t="s">
        <v>710</v>
      </c>
      <c r="D2238" s="22" t="s">
        <v>4651</v>
      </c>
      <c r="E2238" s="46" t="s">
        <v>4634</v>
      </c>
      <c r="F2238" s="41">
        <v>0.2</v>
      </c>
      <c r="G2238" s="3" t="s">
        <v>129</v>
      </c>
      <c r="H2238" s="22" t="s">
        <v>4652</v>
      </c>
      <c r="I2238" s="24">
        <v>6.1423235953E10</v>
      </c>
      <c r="J2238" s="22" t="s">
        <v>4653</v>
      </c>
      <c r="K2238" s="43">
        <v>1000.0</v>
      </c>
      <c r="M2238" s="26"/>
    </row>
    <row r="2239">
      <c r="A2239" s="3" t="s">
        <v>84</v>
      </c>
      <c r="B2239" s="3" t="s">
        <v>31</v>
      </c>
      <c r="C2239" s="22" t="s">
        <v>85</v>
      </c>
      <c r="D2239" s="22"/>
      <c r="E2239" s="46" t="s">
        <v>4634</v>
      </c>
      <c r="F2239" s="41">
        <v>0.1</v>
      </c>
      <c r="G2239" s="3" t="s">
        <v>129</v>
      </c>
      <c r="H2239" s="22" t="s">
        <v>4629</v>
      </c>
      <c r="I2239" s="24">
        <v>6.1401777666E10</v>
      </c>
      <c r="J2239" s="22" t="s">
        <v>4630</v>
      </c>
      <c r="K2239" s="43">
        <v>1750.0</v>
      </c>
      <c r="M2239" s="26"/>
    </row>
    <row r="2240">
      <c r="A2240" s="3" t="s">
        <v>44</v>
      </c>
      <c r="B2240" s="3" t="s">
        <v>45</v>
      </c>
      <c r="C2240" s="22" t="s">
        <v>46</v>
      </c>
      <c r="D2240" s="22" t="s">
        <v>4654</v>
      </c>
      <c r="E2240" s="46" t="s">
        <v>4634</v>
      </c>
      <c r="F2240" s="41">
        <v>0.2</v>
      </c>
      <c r="G2240" s="3" t="s">
        <v>92</v>
      </c>
      <c r="H2240" s="22" t="s">
        <v>4655</v>
      </c>
      <c r="I2240" s="24">
        <v>6.1433359697E10</v>
      </c>
      <c r="J2240" s="22" t="s">
        <v>4656</v>
      </c>
      <c r="K2240" s="3">
        <v>0.0</v>
      </c>
      <c r="M2240" s="26"/>
    </row>
    <row r="2241">
      <c r="A2241" s="3" t="s">
        <v>44</v>
      </c>
      <c r="B2241" s="3" t="s">
        <v>45</v>
      </c>
      <c r="C2241" s="22" t="s">
        <v>898</v>
      </c>
      <c r="D2241" s="22" t="s">
        <v>4657</v>
      </c>
      <c r="E2241" s="46" t="s">
        <v>4634</v>
      </c>
      <c r="F2241" s="41">
        <v>0.2</v>
      </c>
      <c r="G2241" s="3" t="s">
        <v>92</v>
      </c>
      <c r="H2241" s="22" t="s">
        <v>4658</v>
      </c>
      <c r="I2241" s="24">
        <v>6.1405610848E10</v>
      </c>
      <c r="J2241" s="22" t="s">
        <v>4659</v>
      </c>
      <c r="K2241" s="3">
        <v>0.0</v>
      </c>
      <c r="M2241" s="26"/>
    </row>
    <row r="2242">
      <c r="A2242" s="3" t="s">
        <v>184</v>
      </c>
      <c r="B2242" s="3" t="s">
        <v>18</v>
      </c>
      <c r="C2242" s="22" t="s">
        <v>4660</v>
      </c>
      <c r="D2242" s="22" t="s">
        <v>4661</v>
      </c>
      <c r="E2242" s="46" t="s">
        <v>4634</v>
      </c>
      <c r="F2242" s="41">
        <v>0.2</v>
      </c>
      <c r="G2242" s="3" t="s">
        <v>92</v>
      </c>
      <c r="H2242" s="22" t="s">
        <v>4662</v>
      </c>
      <c r="I2242" s="24">
        <v>6.1417878186E10</v>
      </c>
      <c r="J2242" s="22" t="s">
        <v>4663</v>
      </c>
      <c r="K2242" s="3">
        <v>0.0</v>
      </c>
      <c r="M2242" s="26"/>
    </row>
    <row r="2243">
      <c r="A2243" s="3" t="s">
        <v>3586</v>
      </c>
      <c r="B2243" s="3" t="s">
        <v>31</v>
      </c>
      <c r="C2243" s="22" t="s">
        <v>4664</v>
      </c>
      <c r="D2243" s="22" t="s">
        <v>4665</v>
      </c>
      <c r="E2243" s="46" t="s">
        <v>4634</v>
      </c>
      <c r="F2243" s="41">
        <v>0.2</v>
      </c>
      <c r="G2243" s="3" t="s">
        <v>1453</v>
      </c>
      <c r="H2243" s="22" t="s">
        <v>4666</v>
      </c>
      <c r="I2243" s="24">
        <v>61415979570</v>
      </c>
      <c r="J2243" s="22" t="s">
        <v>4667</v>
      </c>
      <c r="K2243" s="43">
        <v>1500.0</v>
      </c>
      <c r="M2243" s="26"/>
    </row>
    <row r="2244">
      <c r="A2244" s="3" t="s">
        <v>2620</v>
      </c>
      <c r="B2244" s="3" t="s">
        <v>18</v>
      </c>
      <c r="C2244" s="22" t="s">
        <v>3260</v>
      </c>
      <c r="D2244" s="22" t="s">
        <v>4668</v>
      </c>
      <c r="E2244" s="46" t="s">
        <v>4634</v>
      </c>
      <c r="F2244" s="41">
        <v>0.2</v>
      </c>
      <c r="G2244" s="3" t="s">
        <v>1453</v>
      </c>
      <c r="H2244" s="22" t="s">
        <v>4669</v>
      </c>
      <c r="I2244" s="24">
        <v>61422833014</v>
      </c>
      <c r="J2244" s="22" t="s">
        <v>4670</v>
      </c>
      <c r="K2244" s="43">
        <v>500.0</v>
      </c>
      <c r="M2244" s="26"/>
    </row>
    <row r="2245">
      <c r="A2245" s="3" t="s">
        <v>3586</v>
      </c>
      <c r="B2245" s="3" t="s">
        <v>31</v>
      </c>
      <c r="C2245" s="22" t="s">
        <v>4664</v>
      </c>
      <c r="D2245" s="22" t="s">
        <v>4671</v>
      </c>
      <c r="E2245" s="46" t="s">
        <v>4634</v>
      </c>
      <c r="F2245" s="41">
        <v>0.2</v>
      </c>
      <c r="G2245" s="3" t="s">
        <v>1453</v>
      </c>
      <c r="H2245" s="22" t="s">
        <v>4672</v>
      </c>
      <c r="I2245" s="24">
        <v>61407772546</v>
      </c>
      <c r="J2245" s="22" t="s">
        <v>4673</v>
      </c>
      <c r="K2245" s="43">
        <v>1500.0</v>
      </c>
      <c r="M2245" s="26"/>
    </row>
    <row r="2246">
      <c r="A2246" s="3" t="s">
        <v>1359</v>
      </c>
      <c r="B2246" s="3" t="s">
        <v>45</v>
      </c>
      <c r="C2246" s="22" t="s">
        <v>4674</v>
      </c>
      <c r="D2246" s="22" t="s">
        <v>4675</v>
      </c>
      <c r="E2246" s="46" t="s">
        <v>4634</v>
      </c>
      <c r="F2246" s="41">
        <v>0.2</v>
      </c>
      <c r="G2246" s="3" t="s">
        <v>1453</v>
      </c>
      <c r="H2246" s="22" t="s">
        <v>4676</v>
      </c>
      <c r="I2246" s="24">
        <v>6.142111152E10</v>
      </c>
      <c r="J2246" s="22" t="s">
        <v>4677</v>
      </c>
      <c r="K2246" s="43">
        <v>1000.0</v>
      </c>
      <c r="M2246" s="26"/>
    </row>
    <row r="2247">
      <c r="A2247" s="3" t="s">
        <v>84</v>
      </c>
      <c r="B2247" s="3" t="s">
        <v>31</v>
      </c>
      <c r="C2247" s="22" t="s">
        <v>85</v>
      </c>
      <c r="D2247" s="22" t="s">
        <v>4678</v>
      </c>
      <c r="E2247" s="46" t="s">
        <v>4634</v>
      </c>
      <c r="F2247" s="41">
        <v>0.2</v>
      </c>
      <c r="G2247" s="3" t="s">
        <v>92</v>
      </c>
      <c r="H2247" s="22" t="s">
        <v>4679</v>
      </c>
      <c r="I2247" s="24">
        <v>6.1432516747E10</v>
      </c>
      <c r="J2247" s="22" t="s">
        <v>4680</v>
      </c>
      <c r="K2247" s="3">
        <v>0.0</v>
      </c>
      <c r="M2247" s="26"/>
    </row>
    <row r="2248">
      <c r="A2248" s="3" t="s">
        <v>3569</v>
      </c>
      <c r="B2248" s="3" t="s">
        <v>18</v>
      </c>
      <c r="C2248" s="22" t="s">
        <v>1052</v>
      </c>
      <c r="D2248" s="22" t="s">
        <v>4681</v>
      </c>
      <c r="E2248" s="46" t="s">
        <v>4634</v>
      </c>
      <c r="F2248" s="41">
        <v>0.2</v>
      </c>
      <c r="G2248" s="3" t="s">
        <v>92</v>
      </c>
      <c r="H2248" s="22" t="s">
        <v>4682</v>
      </c>
      <c r="I2248" s="24">
        <v>6.1403414851E10</v>
      </c>
      <c r="J2248" s="22" t="s">
        <v>4683</v>
      </c>
      <c r="K2248" s="3">
        <v>0.0</v>
      </c>
      <c r="M2248" s="26"/>
    </row>
    <row r="2249">
      <c r="A2249" s="3" t="s">
        <v>184</v>
      </c>
      <c r="B2249" s="3" t="s">
        <v>18</v>
      </c>
      <c r="C2249" s="22" t="s">
        <v>4684</v>
      </c>
      <c r="D2249" s="22" t="s">
        <v>4685</v>
      </c>
      <c r="E2249" s="46" t="s">
        <v>4634</v>
      </c>
      <c r="F2249" s="41">
        <v>0.2</v>
      </c>
      <c r="G2249" s="3" t="s">
        <v>92</v>
      </c>
      <c r="H2249" s="22" t="s">
        <v>4686</v>
      </c>
      <c r="I2249" s="24">
        <v>6.1417722217E10</v>
      </c>
      <c r="J2249" s="22" t="s">
        <v>4687</v>
      </c>
      <c r="K2249" s="3">
        <v>0.0</v>
      </c>
      <c r="M2249" s="26"/>
    </row>
    <row r="2250">
      <c r="A2250" s="3" t="s">
        <v>3436</v>
      </c>
      <c r="B2250" s="3" t="s">
        <v>18</v>
      </c>
      <c r="C2250" s="22" t="s">
        <v>4688</v>
      </c>
      <c r="D2250" s="22" t="s">
        <v>4689</v>
      </c>
      <c r="E2250" s="46" t="s">
        <v>4634</v>
      </c>
      <c r="F2250" s="41">
        <v>0.2</v>
      </c>
      <c r="G2250" s="3" t="s">
        <v>92</v>
      </c>
      <c r="H2250" s="22" t="s">
        <v>4690</v>
      </c>
      <c r="I2250" s="24">
        <v>6.1436472504E10</v>
      </c>
      <c r="J2250" s="22" t="s">
        <v>4691</v>
      </c>
      <c r="K2250" s="3">
        <v>0.0</v>
      </c>
      <c r="M2250" s="26"/>
    </row>
    <row r="2251">
      <c r="A2251" s="3" t="s">
        <v>120</v>
      </c>
      <c r="B2251" s="3" t="s">
        <v>31</v>
      </c>
      <c r="C2251" s="22" t="s">
        <v>2298</v>
      </c>
      <c r="D2251" s="22" t="s">
        <v>4692</v>
      </c>
      <c r="E2251" s="46" t="s">
        <v>4634</v>
      </c>
      <c r="F2251" s="41">
        <v>0.2</v>
      </c>
      <c r="G2251" s="3" t="s">
        <v>92</v>
      </c>
      <c r="H2251" s="22" t="s">
        <v>4693</v>
      </c>
      <c r="I2251" s="24">
        <v>6.1435036752E10</v>
      </c>
      <c r="J2251" s="22" t="s">
        <v>4694</v>
      </c>
      <c r="K2251" s="3">
        <v>0.0</v>
      </c>
      <c r="M2251" s="26"/>
    </row>
    <row r="2252">
      <c r="A2252" s="3" t="s">
        <v>2620</v>
      </c>
      <c r="B2252" s="3" t="s">
        <v>18</v>
      </c>
      <c r="C2252" s="22" t="s">
        <v>2900</v>
      </c>
      <c r="D2252" s="22" t="s">
        <v>4695</v>
      </c>
      <c r="E2252" s="46" t="s">
        <v>4634</v>
      </c>
      <c r="F2252" s="41">
        <v>0.2</v>
      </c>
      <c r="G2252" s="3" t="s">
        <v>92</v>
      </c>
      <c r="H2252" s="22" t="s">
        <v>4642</v>
      </c>
      <c r="I2252" s="24">
        <v>6.1417746257E10</v>
      </c>
      <c r="J2252" s="22" t="s">
        <v>4696</v>
      </c>
      <c r="K2252" s="3">
        <v>0.0</v>
      </c>
      <c r="M2252" s="26"/>
    </row>
    <row r="2253">
      <c r="A2253" s="3" t="s">
        <v>202</v>
      </c>
      <c r="B2253" s="3" t="s">
        <v>36</v>
      </c>
      <c r="C2253" s="22" t="s">
        <v>4697</v>
      </c>
      <c r="D2253" s="22" t="s">
        <v>4359</v>
      </c>
      <c r="E2253" s="46" t="s">
        <v>4634</v>
      </c>
      <c r="F2253" s="41">
        <v>0.2</v>
      </c>
      <c r="G2253" s="3" t="s">
        <v>92</v>
      </c>
      <c r="H2253" s="22" t="s">
        <v>4360</v>
      </c>
      <c r="I2253" s="24">
        <v>6.143833745E10</v>
      </c>
      <c r="J2253" s="22" t="s">
        <v>4361</v>
      </c>
      <c r="K2253" s="3">
        <v>0.0</v>
      </c>
      <c r="M2253" s="26"/>
    </row>
    <row r="2254">
      <c r="A2254" s="3" t="s">
        <v>744</v>
      </c>
      <c r="B2254" s="3" t="s">
        <v>18</v>
      </c>
      <c r="C2254" s="22">
        <v>4870.0</v>
      </c>
      <c r="D2254" s="22"/>
      <c r="E2254" s="46" t="s">
        <v>4634</v>
      </c>
      <c r="F2254" s="41">
        <v>0.0</v>
      </c>
      <c r="G2254" s="3" t="s">
        <v>92</v>
      </c>
      <c r="H2254" s="22" t="s">
        <v>4698</v>
      </c>
      <c r="I2254" s="24">
        <v>6.1488666654E10</v>
      </c>
      <c r="J2254" s="22" t="s">
        <v>4699</v>
      </c>
      <c r="K2254" s="3">
        <v>0.0</v>
      </c>
      <c r="M2254" s="26"/>
    </row>
    <row r="2255">
      <c r="A2255" s="3" t="s">
        <v>265</v>
      </c>
      <c r="B2255" s="3" t="s">
        <v>18</v>
      </c>
      <c r="C2255" s="22" t="s">
        <v>4700</v>
      </c>
      <c r="D2255" s="22" t="s">
        <v>4701</v>
      </c>
      <c r="E2255" s="46" t="s">
        <v>4634</v>
      </c>
      <c r="F2255" s="41">
        <v>0.2</v>
      </c>
      <c r="G2255" s="3" t="s">
        <v>129</v>
      </c>
      <c r="H2255" s="22" t="s">
        <v>4702</v>
      </c>
      <c r="I2255" s="24">
        <v>6.1412027517E10</v>
      </c>
      <c r="J2255" s="22" t="s">
        <v>4703</v>
      </c>
      <c r="K2255" s="43">
        <v>1500.0</v>
      </c>
      <c r="M2255" s="26"/>
    </row>
    <row r="2256">
      <c r="A2256" s="3" t="s">
        <v>479</v>
      </c>
      <c r="B2256" s="3" t="s">
        <v>18</v>
      </c>
      <c r="C2256" s="22" t="s">
        <v>2078</v>
      </c>
      <c r="D2256" s="22" t="s">
        <v>4704</v>
      </c>
      <c r="E2256" s="46" t="s">
        <v>4634</v>
      </c>
      <c r="F2256" s="41">
        <v>0.2</v>
      </c>
      <c r="G2256" s="3" t="s">
        <v>129</v>
      </c>
      <c r="H2256" s="22" t="s">
        <v>3990</v>
      </c>
      <c r="I2256" s="24">
        <v>6.1484591685E10</v>
      </c>
      <c r="J2256" s="22" t="s">
        <v>3991</v>
      </c>
      <c r="K2256" s="43">
        <v>1500.0</v>
      </c>
      <c r="M2256" s="26"/>
    </row>
    <row r="2257">
      <c r="A2257" s="3" t="s">
        <v>1973</v>
      </c>
      <c r="B2257" s="3" t="s">
        <v>31</v>
      </c>
      <c r="C2257" s="22" t="s">
        <v>4705</v>
      </c>
      <c r="D2257" s="22" t="s">
        <v>4706</v>
      </c>
      <c r="E2257" s="46" t="s">
        <v>4707</v>
      </c>
      <c r="F2257" s="41">
        <v>0.2</v>
      </c>
      <c r="G2257" s="3" t="s">
        <v>129</v>
      </c>
      <c r="H2257" s="22" t="s">
        <v>4708</v>
      </c>
      <c r="I2257" s="24">
        <v>6.1431315342E10</v>
      </c>
      <c r="J2257" s="22" t="s">
        <v>4709</v>
      </c>
      <c r="K2257" s="43">
        <v>1750.0</v>
      </c>
      <c r="M2257" s="26"/>
    </row>
    <row r="2258">
      <c r="A2258" s="3" t="s">
        <v>23</v>
      </c>
      <c r="B2258" s="3" t="s">
        <v>18</v>
      </c>
      <c r="C2258" s="22" t="s">
        <v>53</v>
      </c>
      <c r="D2258" s="22" t="s">
        <v>4710</v>
      </c>
      <c r="E2258" s="38">
        <v>45669.0</v>
      </c>
      <c r="F2258" s="41">
        <v>0.2</v>
      </c>
      <c r="G2258" s="3" t="s">
        <v>1453</v>
      </c>
      <c r="H2258" s="22" t="s">
        <v>4711</v>
      </c>
      <c r="I2258" s="24">
        <v>61417648267</v>
      </c>
      <c r="J2258" s="22" t="s">
        <v>4712</v>
      </c>
      <c r="K2258" s="43">
        <v>1250.0</v>
      </c>
      <c r="M2258" s="26"/>
    </row>
    <row r="2259">
      <c r="A2259" s="3" t="s">
        <v>168</v>
      </c>
      <c r="B2259" s="3" t="s">
        <v>45</v>
      </c>
      <c r="C2259" s="22" t="s">
        <v>2933</v>
      </c>
      <c r="D2259" s="22" t="s">
        <v>4713</v>
      </c>
      <c r="E2259" s="38">
        <v>45669.0</v>
      </c>
      <c r="F2259" s="41">
        <v>0.2</v>
      </c>
      <c r="G2259" s="3" t="s">
        <v>1453</v>
      </c>
      <c r="H2259" s="22" t="s">
        <v>4714</v>
      </c>
      <c r="I2259" s="24">
        <v>61478945807</v>
      </c>
      <c r="J2259" s="22" t="s">
        <v>4715</v>
      </c>
      <c r="K2259" s="43">
        <v>500.0</v>
      </c>
      <c r="M2259" s="26"/>
    </row>
    <row r="2260">
      <c r="A2260" s="3" t="s">
        <v>2503</v>
      </c>
      <c r="B2260" s="3" t="s">
        <v>18</v>
      </c>
      <c r="C2260" s="22" t="s">
        <v>127</v>
      </c>
      <c r="D2260" s="22" t="s">
        <v>4716</v>
      </c>
      <c r="E2260" s="38">
        <v>45669.0</v>
      </c>
      <c r="F2260" s="41">
        <v>0.2</v>
      </c>
      <c r="G2260" s="3" t="s">
        <v>1453</v>
      </c>
      <c r="H2260" s="22" t="s">
        <v>4717</v>
      </c>
      <c r="I2260" s="24">
        <v>61438361136</v>
      </c>
      <c r="J2260" s="22" t="s">
        <v>4718</v>
      </c>
      <c r="K2260" s="43">
        <v>1250.0</v>
      </c>
      <c r="M2260" s="26"/>
    </row>
    <row r="2261">
      <c r="A2261" s="3" t="s">
        <v>472</v>
      </c>
      <c r="B2261" s="3" t="s">
        <v>18</v>
      </c>
      <c r="C2261" s="22" t="s">
        <v>753</v>
      </c>
      <c r="D2261" s="22" t="s">
        <v>4719</v>
      </c>
      <c r="E2261" s="38">
        <v>45669.0</v>
      </c>
      <c r="F2261" s="41">
        <v>0.2</v>
      </c>
      <c r="G2261" s="3" t="s">
        <v>129</v>
      </c>
      <c r="H2261" s="22" t="s">
        <v>4720</v>
      </c>
      <c r="I2261" s="24">
        <v>6.140360304E10</v>
      </c>
      <c r="J2261" s="22" t="s">
        <v>4721</v>
      </c>
      <c r="K2261" s="43">
        <v>1000.0</v>
      </c>
      <c r="M2261" s="26"/>
    </row>
    <row r="2262">
      <c r="A2262" s="3" t="s">
        <v>2406</v>
      </c>
      <c r="B2262" s="3" t="s">
        <v>31</v>
      </c>
      <c r="C2262" s="22" t="s">
        <v>4722</v>
      </c>
      <c r="D2262" s="22" t="s">
        <v>4723</v>
      </c>
      <c r="E2262" s="38">
        <v>45669.0</v>
      </c>
      <c r="F2262" s="41">
        <v>0.2</v>
      </c>
      <c r="G2262" s="3" t="s">
        <v>129</v>
      </c>
      <c r="H2262" s="22" t="s">
        <v>4724</v>
      </c>
      <c r="I2262" s="24">
        <v>6.1439474877E10</v>
      </c>
      <c r="J2262" s="22" t="s">
        <v>4725</v>
      </c>
      <c r="K2262" s="43">
        <v>1000.0</v>
      </c>
      <c r="M2262" s="26"/>
    </row>
    <row r="2263">
      <c r="A2263" s="3" t="s">
        <v>155</v>
      </c>
      <c r="B2263" s="3" t="s">
        <v>18</v>
      </c>
      <c r="C2263" s="22" t="s">
        <v>610</v>
      </c>
      <c r="D2263" s="22" t="s">
        <v>4726</v>
      </c>
      <c r="E2263" s="38">
        <v>45669.0</v>
      </c>
      <c r="F2263" s="41">
        <v>0.2</v>
      </c>
      <c r="G2263" s="3" t="s">
        <v>129</v>
      </c>
      <c r="H2263" s="22" t="s">
        <v>4727</v>
      </c>
      <c r="I2263" s="24">
        <v>6.1415428851E10</v>
      </c>
      <c r="J2263" s="22" t="s">
        <v>4728</v>
      </c>
      <c r="K2263" s="43">
        <v>1000.0</v>
      </c>
      <c r="M2263" s="26"/>
    </row>
    <row r="2264">
      <c r="A2264" s="3" t="s">
        <v>113</v>
      </c>
      <c r="B2264" s="3" t="s">
        <v>18</v>
      </c>
      <c r="C2264" s="22" t="s">
        <v>1874</v>
      </c>
      <c r="D2264" s="22" t="s">
        <v>4729</v>
      </c>
      <c r="E2264" s="38">
        <v>45669.0</v>
      </c>
      <c r="F2264" s="41">
        <v>0.2</v>
      </c>
      <c r="G2264" s="3" t="s">
        <v>129</v>
      </c>
      <c r="H2264" s="22" t="s">
        <v>4730</v>
      </c>
      <c r="I2264" s="24">
        <v>6.1413451955E10</v>
      </c>
      <c r="J2264" s="22" t="s">
        <v>4731</v>
      </c>
      <c r="K2264" s="43">
        <v>3500.0</v>
      </c>
      <c r="M2264" s="26"/>
    </row>
    <row r="2265">
      <c r="A2265" s="3" t="s">
        <v>1973</v>
      </c>
      <c r="B2265" s="3" t="s">
        <v>31</v>
      </c>
      <c r="C2265" s="22" t="s">
        <v>3727</v>
      </c>
      <c r="D2265" s="22" t="s">
        <v>4732</v>
      </c>
      <c r="E2265" s="38">
        <v>45669.0</v>
      </c>
      <c r="F2265" s="41">
        <v>0.2</v>
      </c>
      <c r="G2265" s="3" t="s">
        <v>129</v>
      </c>
      <c r="H2265" s="22" t="s">
        <v>4733</v>
      </c>
      <c r="I2265" s="24">
        <v>6.1401502329E10</v>
      </c>
      <c r="J2265" s="22" t="s">
        <v>4734</v>
      </c>
      <c r="K2265" s="43">
        <v>750.0</v>
      </c>
      <c r="M2265" s="26"/>
    </row>
    <row r="2266">
      <c r="A2266" s="3" t="s">
        <v>210</v>
      </c>
      <c r="B2266" s="3" t="s">
        <v>31</v>
      </c>
      <c r="C2266" s="22" t="s">
        <v>4735</v>
      </c>
      <c r="D2266" s="22" t="s">
        <v>4736</v>
      </c>
      <c r="E2266" s="38">
        <v>45669.0</v>
      </c>
      <c r="F2266" s="41">
        <v>0.2</v>
      </c>
      <c r="G2266" s="3" t="s">
        <v>129</v>
      </c>
      <c r="H2266" s="22" t="s">
        <v>4737</v>
      </c>
      <c r="I2266" s="24">
        <v>6.1419992829E10</v>
      </c>
      <c r="J2266" s="22" t="s">
        <v>4738</v>
      </c>
      <c r="K2266" s="43">
        <v>2000.0</v>
      </c>
      <c r="M2266" s="26"/>
    </row>
    <row r="2267">
      <c r="A2267" s="3" t="s">
        <v>4565</v>
      </c>
      <c r="B2267" s="3" t="s">
        <v>31</v>
      </c>
      <c r="C2267" s="22" t="s">
        <v>2777</v>
      </c>
      <c r="D2267" s="22" t="s">
        <v>4739</v>
      </c>
      <c r="E2267" s="38">
        <v>45669.0</v>
      </c>
      <c r="F2267" s="41">
        <v>0.2</v>
      </c>
      <c r="G2267" s="3" t="s">
        <v>129</v>
      </c>
      <c r="H2267" s="22" t="s">
        <v>4740</v>
      </c>
      <c r="I2267" s="24">
        <v>6.1427777083E10</v>
      </c>
      <c r="J2267" s="22" t="s">
        <v>4741</v>
      </c>
      <c r="K2267" s="43">
        <v>500.0</v>
      </c>
      <c r="M2267" s="26"/>
    </row>
    <row r="2268">
      <c r="A2268" s="3" t="s">
        <v>1320</v>
      </c>
      <c r="B2268" s="3" t="s">
        <v>45</v>
      </c>
      <c r="C2268" s="22" t="s">
        <v>75</v>
      </c>
      <c r="D2268" s="22" t="s">
        <v>4742</v>
      </c>
      <c r="E2268" s="38">
        <v>45669.0</v>
      </c>
      <c r="F2268" s="41">
        <v>0.2</v>
      </c>
      <c r="G2268" s="3" t="s">
        <v>129</v>
      </c>
      <c r="H2268" s="22" t="s">
        <v>4743</v>
      </c>
      <c r="I2268" s="24">
        <v>6.140181308E10</v>
      </c>
      <c r="J2268" s="22" t="s">
        <v>4744</v>
      </c>
      <c r="K2268" s="43">
        <v>500.0</v>
      </c>
      <c r="M2268" s="26"/>
    </row>
    <row r="2269">
      <c r="A2269" s="3" t="s">
        <v>2406</v>
      </c>
      <c r="B2269" s="3" t="s">
        <v>31</v>
      </c>
      <c r="C2269" s="22" t="s">
        <v>4216</v>
      </c>
      <c r="D2269" s="22" t="s">
        <v>4745</v>
      </c>
      <c r="E2269" s="38">
        <v>45669.0</v>
      </c>
      <c r="F2269" s="41">
        <v>0.2</v>
      </c>
      <c r="G2269" s="3" t="s">
        <v>1453</v>
      </c>
      <c r="H2269" s="22" t="s">
        <v>4746</v>
      </c>
      <c r="I2269" s="24">
        <v>61425394922</v>
      </c>
      <c r="J2269" s="22" t="s">
        <v>4747</v>
      </c>
      <c r="K2269" s="43">
        <v>500.0</v>
      </c>
      <c r="M2269" s="26"/>
    </row>
    <row r="2270">
      <c r="A2270" s="3" t="s">
        <v>3436</v>
      </c>
      <c r="B2270" s="3" t="s">
        <v>18</v>
      </c>
      <c r="C2270" s="22" t="s">
        <v>550</v>
      </c>
      <c r="D2270" s="22" t="s">
        <v>4748</v>
      </c>
      <c r="E2270" s="38">
        <v>45669.0</v>
      </c>
      <c r="F2270" s="41">
        <v>0.2</v>
      </c>
      <c r="G2270" s="3" t="s">
        <v>129</v>
      </c>
      <c r="H2270" s="22" t="s">
        <v>4749</v>
      </c>
      <c r="I2270" s="24">
        <v>61483803707</v>
      </c>
      <c r="J2270" s="22" t="s">
        <v>4750</v>
      </c>
      <c r="K2270" s="43">
        <v>2000.0</v>
      </c>
      <c r="M2270" s="26"/>
    </row>
    <row r="2271">
      <c r="A2271" s="3" t="s">
        <v>3757</v>
      </c>
      <c r="B2271" s="3" t="s">
        <v>18</v>
      </c>
      <c r="C2271" s="22" t="s">
        <v>530</v>
      </c>
      <c r="D2271" s="22" t="s">
        <v>4751</v>
      </c>
      <c r="E2271" s="38">
        <v>45669.0</v>
      </c>
      <c r="F2271" s="41">
        <v>0.2</v>
      </c>
      <c r="G2271" s="3" t="s">
        <v>92</v>
      </c>
      <c r="H2271" s="22" t="s">
        <v>4752</v>
      </c>
      <c r="I2271" s="24">
        <v>6.140459611E10</v>
      </c>
      <c r="J2271" s="22" t="s">
        <v>4753</v>
      </c>
      <c r="K2271" s="3">
        <v>0.0</v>
      </c>
      <c r="M2271" s="26"/>
    </row>
    <row r="2272">
      <c r="A2272" s="3" t="s">
        <v>23</v>
      </c>
      <c r="B2272" s="3" t="s">
        <v>18</v>
      </c>
      <c r="C2272" s="22" t="s">
        <v>731</v>
      </c>
      <c r="D2272" s="22" t="s">
        <v>4754</v>
      </c>
      <c r="E2272" s="38">
        <v>45669.0</v>
      </c>
      <c r="F2272" s="41">
        <v>0.2</v>
      </c>
      <c r="G2272" s="3" t="s">
        <v>92</v>
      </c>
      <c r="H2272" s="22" t="s">
        <v>4755</v>
      </c>
      <c r="I2272" s="24">
        <v>6.148134519E10</v>
      </c>
      <c r="J2272" s="22" t="s">
        <v>4756</v>
      </c>
      <c r="K2272" s="3">
        <v>0.0</v>
      </c>
      <c r="M2272" s="26"/>
    </row>
    <row r="2273">
      <c r="A2273" s="3" t="s">
        <v>4006</v>
      </c>
      <c r="B2273" s="3" t="s">
        <v>45</v>
      </c>
      <c r="C2273" s="22" t="s">
        <v>3185</v>
      </c>
      <c r="D2273" s="22" t="s">
        <v>4757</v>
      </c>
      <c r="E2273" s="38">
        <v>45669.0</v>
      </c>
      <c r="F2273" s="41">
        <v>0.2</v>
      </c>
      <c r="G2273" s="3" t="s">
        <v>92</v>
      </c>
      <c r="H2273" s="22" t="s">
        <v>4758</v>
      </c>
      <c r="I2273" s="24">
        <v>6.1418906575E10</v>
      </c>
      <c r="J2273" s="22" t="s">
        <v>4759</v>
      </c>
      <c r="K2273" s="3">
        <v>0.0</v>
      </c>
      <c r="M2273" s="26"/>
    </row>
    <row r="2274">
      <c r="A2274" s="3" t="s">
        <v>472</v>
      </c>
      <c r="B2274" s="3" t="s">
        <v>18</v>
      </c>
      <c r="C2274" s="22" t="s">
        <v>3143</v>
      </c>
      <c r="D2274" s="22" t="s">
        <v>4760</v>
      </c>
      <c r="E2274" s="38">
        <v>45669.0</v>
      </c>
      <c r="F2274" s="41">
        <v>0.2</v>
      </c>
      <c r="G2274" s="3" t="s">
        <v>92</v>
      </c>
      <c r="H2274" s="22" t="s">
        <v>4761</v>
      </c>
      <c r="I2274" s="24">
        <v>6.1408155447E10</v>
      </c>
      <c r="J2274" s="22" t="s">
        <v>4762</v>
      </c>
      <c r="K2274" s="3">
        <v>0.0</v>
      </c>
      <c r="M2274" s="26"/>
    </row>
    <row r="2275">
      <c r="A2275" s="3" t="s">
        <v>155</v>
      </c>
      <c r="B2275" s="3" t="s">
        <v>18</v>
      </c>
      <c r="C2275" s="22" t="s">
        <v>350</v>
      </c>
      <c r="D2275" s="22" t="s">
        <v>4763</v>
      </c>
      <c r="E2275" s="38">
        <v>45669.0</v>
      </c>
      <c r="F2275" s="41">
        <v>0.2</v>
      </c>
      <c r="G2275" s="3" t="s">
        <v>92</v>
      </c>
      <c r="H2275" s="22" t="s">
        <v>4764</v>
      </c>
      <c r="I2275" s="24">
        <v>6.1403585778E10</v>
      </c>
      <c r="J2275" s="22" t="s">
        <v>4765</v>
      </c>
      <c r="K2275" s="3">
        <v>0.0</v>
      </c>
      <c r="M2275" s="26"/>
    </row>
    <row r="2276">
      <c r="A2276" s="3" t="s">
        <v>472</v>
      </c>
      <c r="B2276" s="3" t="s">
        <v>18</v>
      </c>
      <c r="C2276" s="22" t="s">
        <v>2675</v>
      </c>
      <c r="D2276" s="22" t="s">
        <v>4766</v>
      </c>
      <c r="E2276" s="38">
        <v>45669.0</v>
      </c>
      <c r="F2276" s="41">
        <v>0.2</v>
      </c>
      <c r="G2276" s="3" t="s">
        <v>92</v>
      </c>
      <c r="H2276" s="22" t="s">
        <v>4297</v>
      </c>
      <c r="I2276" s="24">
        <v>6.1490028561E10</v>
      </c>
      <c r="J2276" s="22" t="s">
        <v>4298</v>
      </c>
      <c r="K2276" s="3">
        <v>0.0</v>
      </c>
      <c r="M2276" s="26"/>
    </row>
    <row r="2277">
      <c r="A2277" s="3" t="s">
        <v>274</v>
      </c>
      <c r="B2277" s="3" t="s">
        <v>18</v>
      </c>
      <c r="C2277" s="22" t="s">
        <v>4767</v>
      </c>
      <c r="D2277" s="22" t="s">
        <v>4768</v>
      </c>
      <c r="E2277" s="38">
        <v>45669.0</v>
      </c>
      <c r="F2277" s="41">
        <v>0.2</v>
      </c>
      <c r="G2277" s="3" t="s">
        <v>92</v>
      </c>
      <c r="H2277" s="22" t="s">
        <v>4769</v>
      </c>
      <c r="I2277" s="24">
        <v>6.1408768644E10</v>
      </c>
      <c r="J2277" s="22" t="s">
        <v>4770</v>
      </c>
      <c r="K2277" s="3">
        <v>0.0</v>
      </c>
      <c r="M2277" s="26"/>
    </row>
    <row r="2278">
      <c r="A2278" s="3" t="s">
        <v>2620</v>
      </c>
      <c r="B2278" s="3" t="s">
        <v>18</v>
      </c>
      <c r="C2278" s="22" t="s">
        <v>4617</v>
      </c>
      <c r="D2278" s="22" t="s">
        <v>4771</v>
      </c>
      <c r="E2278" s="38">
        <v>45669.0</v>
      </c>
      <c r="F2278" s="41">
        <v>0.2</v>
      </c>
      <c r="G2278" s="3" t="s">
        <v>92</v>
      </c>
      <c r="H2278" s="22" t="s">
        <v>4772</v>
      </c>
      <c r="I2278" s="24">
        <v>6.1417600861E10</v>
      </c>
      <c r="J2278" s="22" t="s">
        <v>4773</v>
      </c>
      <c r="K2278" s="3">
        <v>0.0</v>
      </c>
      <c r="M2278" s="26"/>
    </row>
    <row r="2279">
      <c r="A2279" s="3" t="s">
        <v>3586</v>
      </c>
      <c r="B2279" s="3" t="s">
        <v>31</v>
      </c>
      <c r="C2279" s="22" t="s">
        <v>1779</v>
      </c>
      <c r="D2279" s="22" t="s">
        <v>4774</v>
      </c>
      <c r="E2279" s="38">
        <v>45669.0</v>
      </c>
      <c r="F2279" s="41">
        <v>0.2</v>
      </c>
      <c r="G2279" s="3" t="s">
        <v>92</v>
      </c>
      <c r="H2279" s="22" t="s">
        <v>4775</v>
      </c>
      <c r="I2279" s="24">
        <v>6.1420863643E10</v>
      </c>
      <c r="J2279" s="22" t="s">
        <v>4776</v>
      </c>
      <c r="K2279" s="3">
        <v>0.0</v>
      </c>
      <c r="M2279" s="26"/>
    </row>
    <row r="2280">
      <c r="A2280" s="3" t="s">
        <v>479</v>
      </c>
      <c r="B2280" s="3" t="s">
        <v>18</v>
      </c>
      <c r="C2280" s="22" t="s">
        <v>2078</v>
      </c>
      <c r="D2280" s="22" t="s">
        <v>4777</v>
      </c>
      <c r="E2280" s="38">
        <v>45669.0</v>
      </c>
      <c r="F2280" s="41">
        <v>0.2</v>
      </c>
      <c r="G2280" s="3" t="s">
        <v>92</v>
      </c>
      <c r="H2280" s="22" t="s">
        <v>4778</v>
      </c>
      <c r="I2280" s="24">
        <v>6.1457750369E10</v>
      </c>
      <c r="J2280" s="22" t="s">
        <v>4779</v>
      </c>
      <c r="K2280" s="3">
        <v>0.0</v>
      </c>
      <c r="M2280" s="26"/>
    </row>
    <row r="2281">
      <c r="A2281" s="3" t="s">
        <v>3569</v>
      </c>
      <c r="B2281" s="3" t="s">
        <v>18</v>
      </c>
      <c r="C2281" s="22" t="s">
        <v>448</v>
      </c>
      <c r="D2281" s="22" t="s">
        <v>4780</v>
      </c>
      <c r="E2281" s="38">
        <v>45669.0</v>
      </c>
      <c r="F2281" s="41">
        <v>0.2</v>
      </c>
      <c r="G2281" s="3" t="s">
        <v>92</v>
      </c>
      <c r="H2281" s="22" t="s">
        <v>4781</v>
      </c>
      <c r="I2281" s="24">
        <v>6.1420709901E10</v>
      </c>
      <c r="J2281" s="22" t="s">
        <v>4782</v>
      </c>
      <c r="K2281" s="3">
        <v>0.0</v>
      </c>
      <c r="M2281" s="26"/>
    </row>
    <row r="2282">
      <c r="A2282" s="3" t="s">
        <v>305</v>
      </c>
      <c r="B2282" s="3" t="s">
        <v>36</v>
      </c>
      <c r="C2282" s="22" t="s">
        <v>327</v>
      </c>
      <c r="D2282" s="22" t="s">
        <v>4783</v>
      </c>
      <c r="E2282" s="38">
        <v>45669.0</v>
      </c>
      <c r="F2282" s="41">
        <v>0.2</v>
      </c>
      <c r="G2282" s="3" t="s">
        <v>92</v>
      </c>
      <c r="H2282" s="22" t="s">
        <v>4784</v>
      </c>
      <c r="I2282" s="24">
        <v>6.141701072E10</v>
      </c>
      <c r="J2282" s="22" t="s">
        <v>4785</v>
      </c>
      <c r="K2282" s="3">
        <v>0.0</v>
      </c>
      <c r="M2282" s="26"/>
    </row>
    <row r="2283">
      <c r="A2283" s="3" t="s">
        <v>3436</v>
      </c>
      <c r="B2283" s="3" t="s">
        <v>18</v>
      </c>
      <c r="C2283" s="22" t="s">
        <v>4786</v>
      </c>
      <c r="D2283" s="3" t="s">
        <v>4787</v>
      </c>
      <c r="E2283" s="38">
        <v>45669.0</v>
      </c>
      <c r="F2283" s="41">
        <v>0.2</v>
      </c>
      <c r="G2283" s="3" t="s">
        <v>92</v>
      </c>
      <c r="H2283" s="3" t="s">
        <v>4788</v>
      </c>
      <c r="I2283" s="3">
        <v>61412951898</v>
      </c>
      <c r="J2283" s="3" t="s">
        <v>4789</v>
      </c>
      <c r="K2283" s="3">
        <v>0.0</v>
      </c>
      <c r="M2283" s="26"/>
    </row>
    <row r="2284">
      <c r="A2284" s="3" t="s">
        <v>61</v>
      </c>
      <c r="B2284" s="3" t="s">
        <v>18</v>
      </c>
      <c r="C2284" s="22" t="s">
        <v>4790</v>
      </c>
      <c r="D2284" s="3" t="s">
        <v>4791</v>
      </c>
      <c r="E2284" s="38">
        <v>45669.0</v>
      </c>
      <c r="F2284" s="41">
        <v>0.2</v>
      </c>
      <c r="G2284" s="3" t="s">
        <v>92</v>
      </c>
      <c r="H2284" s="3" t="s">
        <v>4792</v>
      </c>
      <c r="I2284" s="3">
        <v>6.1408773424E10</v>
      </c>
      <c r="J2284" s="3" t="s">
        <v>4793</v>
      </c>
      <c r="K2284" s="3">
        <v>0.0</v>
      </c>
      <c r="M2284" s="26"/>
    </row>
    <row r="2285">
      <c r="A2285" s="3" t="s">
        <v>717</v>
      </c>
      <c r="B2285" s="3" t="s">
        <v>36</v>
      </c>
      <c r="C2285" s="22" t="s">
        <v>1419</v>
      </c>
      <c r="D2285" s="3" t="s">
        <v>4794</v>
      </c>
      <c r="E2285" s="38">
        <v>45669.0</v>
      </c>
      <c r="F2285" s="41">
        <v>0.2</v>
      </c>
      <c r="G2285" s="3" t="s">
        <v>129</v>
      </c>
      <c r="H2285" s="3" t="s">
        <v>4795</v>
      </c>
      <c r="I2285" s="3">
        <v>6.1403890826E10</v>
      </c>
      <c r="J2285" s="3" t="s">
        <v>4796</v>
      </c>
      <c r="K2285" s="43">
        <v>750.0</v>
      </c>
      <c r="M2285" s="26"/>
    </row>
    <row r="2286">
      <c r="A2286" s="3" t="s">
        <v>4565</v>
      </c>
      <c r="B2286" s="3" t="s">
        <v>31</v>
      </c>
      <c r="C2286" s="22" t="s">
        <v>4797</v>
      </c>
      <c r="D2286" s="3" t="s">
        <v>4798</v>
      </c>
      <c r="E2286" s="38">
        <v>45669.0</v>
      </c>
      <c r="F2286" s="41">
        <v>0.2</v>
      </c>
      <c r="G2286" s="3" t="s">
        <v>129</v>
      </c>
      <c r="H2286" s="3" t="s">
        <v>4799</v>
      </c>
      <c r="I2286" s="3">
        <v>6.140220486E10</v>
      </c>
      <c r="J2286" s="3" t="s">
        <v>4800</v>
      </c>
      <c r="K2286" s="43">
        <v>1000.0</v>
      </c>
      <c r="M2286" s="26"/>
    </row>
    <row r="2287">
      <c r="A2287" s="3" t="s">
        <v>817</v>
      </c>
      <c r="B2287" s="3" t="s">
        <v>36</v>
      </c>
      <c r="C2287" s="22" t="s">
        <v>2369</v>
      </c>
      <c r="D2287" s="3" t="s">
        <v>4801</v>
      </c>
      <c r="E2287" s="38">
        <v>45669.0</v>
      </c>
      <c r="F2287" s="41">
        <v>0.2</v>
      </c>
      <c r="G2287" s="3" t="s">
        <v>1453</v>
      </c>
      <c r="H2287" s="3" t="s">
        <v>4802</v>
      </c>
      <c r="I2287" s="3">
        <v>61403672653</v>
      </c>
      <c r="J2287" s="3" t="s">
        <v>4803</v>
      </c>
      <c r="K2287" s="43">
        <v>750.0</v>
      </c>
      <c r="M2287" s="26"/>
    </row>
    <row r="2288">
      <c r="A2288" s="3" t="s">
        <v>30</v>
      </c>
      <c r="B2288" s="3" t="s">
        <v>31</v>
      </c>
      <c r="C2288" s="22" t="s">
        <v>32</v>
      </c>
      <c r="D2288" s="3" t="s">
        <v>4804</v>
      </c>
      <c r="E2288" s="38">
        <v>45700.0</v>
      </c>
      <c r="F2288" s="41">
        <v>0.0</v>
      </c>
      <c r="G2288" s="3" t="s">
        <v>1453</v>
      </c>
      <c r="H2288" s="3" t="s">
        <v>4805</v>
      </c>
      <c r="I2288" s="3">
        <v>61427704032</v>
      </c>
      <c r="J2288" s="3" t="s">
        <v>4806</v>
      </c>
      <c r="K2288" s="3">
        <v>0.0</v>
      </c>
      <c r="M2288" s="26"/>
    </row>
    <row r="2289">
      <c r="A2289" s="3" t="s">
        <v>3436</v>
      </c>
      <c r="B2289" s="3" t="s">
        <v>18</v>
      </c>
      <c r="C2289" s="22" t="s">
        <v>550</v>
      </c>
      <c r="D2289" s="3" t="s">
        <v>4807</v>
      </c>
      <c r="E2289" s="38">
        <v>45700.0</v>
      </c>
      <c r="F2289" s="41">
        <v>0.2</v>
      </c>
      <c r="G2289" s="3" t="s">
        <v>129</v>
      </c>
      <c r="H2289" s="3" t="s">
        <v>4808</v>
      </c>
      <c r="I2289" s="3">
        <v>6.1403808234E10</v>
      </c>
      <c r="J2289" s="3" t="s">
        <v>4809</v>
      </c>
      <c r="K2289" s="43">
        <v>3000.0</v>
      </c>
      <c r="M2289" s="26"/>
    </row>
    <row r="2290">
      <c r="A2290" s="3" t="s">
        <v>97</v>
      </c>
      <c r="B2290" s="3" t="s">
        <v>18</v>
      </c>
      <c r="C2290" s="22" t="s">
        <v>3614</v>
      </c>
      <c r="D2290" s="3" t="s">
        <v>4810</v>
      </c>
      <c r="E2290" s="38">
        <v>45700.0</v>
      </c>
      <c r="F2290" s="41">
        <v>0.2</v>
      </c>
      <c r="G2290" s="3" t="s">
        <v>92</v>
      </c>
      <c r="H2290" s="3" t="s">
        <v>4811</v>
      </c>
      <c r="I2290" s="3">
        <v>6.1412715245E10</v>
      </c>
      <c r="J2290" s="3" t="s">
        <v>4812</v>
      </c>
      <c r="K2290" s="3">
        <v>0.0</v>
      </c>
      <c r="M2290" s="26"/>
    </row>
    <row r="2291">
      <c r="A2291" s="3" t="s">
        <v>2620</v>
      </c>
      <c r="B2291" s="3" t="s">
        <v>18</v>
      </c>
      <c r="C2291" s="22" t="s">
        <v>2764</v>
      </c>
      <c r="D2291" s="3" t="s">
        <v>4813</v>
      </c>
      <c r="E2291" s="38">
        <v>45700.0</v>
      </c>
      <c r="F2291" s="41">
        <v>0.2</v>
      </c>
      <c r="G2291" s="3" t="s">
        <v>92</v>
      </c>
      <c r="H2291" s="3" t="s">
        <v>4814</v>
      </c>
      <c r="I2291" s="3">
        <v>6.1480431012E10</v>
      </c>
      <c r="J2291" s="3" t="s">
        <v>4815</v>
      </c>
      <c r="K2291" s="3">
        <v>0.0</v>
      </c>
      <c r="M2291" s="26"/>
    </row>
    <row r="2292">
      <c r="A2292" s="3" t="s">
        <v>817</v>
      </c>
      <c r="B2292" s="3" t="s">
        <v>36</v>
      </c>
      <c r="C2292" s="22" t="s">
        <v>4816</v>
      </c>
      <c r="D2292" s="3" t="s">
        <v>4817</v>
      </c>
      <c r="E2292" s="38">
        <v>45700.0</v>
      </c>
      <c r="F2292" s="41">
        <v>0.2</v>
      </c>
      <c r="G2292" s="3" t="s">
        <v>92</v>
      </c>
      <c r="H2292" s="3" t="s">
        <v>4818</v>
      </c>
      <c r="I2292" s="3">
        <v>6.140751719E10</v>
      </c>
      <c r="J2292" s="3" t="s">
        <v>4819</v>
      </c>
      <c r="K2292" s="3">
        <v>0.0</v>
      </c>
      <c r="M2292" s="26"/>
    </row>
    <row r="2293">
      <c r="A2293" s="3" t="s">
        <v>244</v>
      </c>
      <c r="B2293" s="3" t="s">
        <v>18</v>
      </c>
      <c r="C2293" s="22" t="s">
        <v>253</v>
      </c>
      <c r="D2293" s="3" t="s">
        <v>2655</v>
      </c>
      <c r="E2293" s="38">
        <v>45700.0</v>
      </c>
      <c r="F2293" s="41">
        <v>0.2</v>
      </c>
      <c r="G2293" s="3" t="s">
        <v>92</v>
      </c>
      <c r="H2293" s="3" t="s">
        <v>2656</v>
      </c>
      <c r="I2293" s="3">
        <v>6.1421002E10</v>
      </c>
      <c r="J2293" s="3" t="s">
        <v>4820</v>
      </c>
      <c r="K2293" s="3">
        <v>0.0</v>
      </c>
      <c r="M2293" s="26"/>
    </row>
    <row r="2294">
      <c r="A2294" s="3" t="s">
        <v>97</v>
      </c>
      <c r="B2294" s="3" t="s">
        <v>18</v>
      </c>
      <c r="C2294" s="22" t="s">
        <v>550</v>
      </c>
      <c r="D2294" s="3" t="s">
        <v>4821</v>
      </c>
      <c r="E2294" s="38">
        <v>45700.0</v>
      </c>
      <c r="F2294" s="41">
        <v>0.2</v>
      </c>
      <c r="G2294" s="3" t="s">
        <v>92</v>
      </c>
      <c r="H2294" s="3" t="s">
        <v>4822</v>
      </c>
      <c r="I2294" s="3">
        <v>6.1483803707E10</v>
      </c>
      <c r="J2294" s="3" t="s">
        <v>4750</v>
      </c>
      <c r="K2294" s="3">
        <v>0.0</v>
      </c>
      <c r="M2294" s="26"/>
    </row>
    <row r="2295">
      <c r="A2295" s="3" t="s">
        <v>276</v>
      </c>
      <c r="B2295" s="3" t="s">
        <v>18</v>
      </c>
      <c r="C2295" s="22" t="s">
        <v>4823</v>
      </c>
      <c r="D2295" s="3" t="s">
        <v>4824</v>
      </c>
      <c r="E2295" s="38">
        <v>45700.0</v>
      </c>
      <c r="F2295" s="41">
        <v>0.2</v>
      </c>
      <c r="G2295" s="3" t="s">
        <v>92</v>
      </c>
      <c r="H2295" s="3" t="s">
        <v>4825</v>
      </c>
      <c r="I2295" s="3">
        <v>6.1417842522E10</v>
      </c>
      <c r="J2295" s="3" t="s">
        <v>4826</v>
      </c>
      <c r="K2295" s="3">
        <v>0.0</v>
      </c>
      <c r="M2295" s="26"/>
    </row>
    <row r="2296">
      <c r="A2296" s="3" t="s">
        <v>112</v>
      </c>
      <c r="B2296" s="3" t="s">
        <v>18</v>
      </c>
      <c r="C2296" s="22" t="s">
        <v>342</v>
      </c>
      <c r="D2296" s="3" t="s">
        <v>4827</v>
      </c>
      <c r="E2296" s="38">
        <v>45700.0</v>
      </c>
      <c r="F2296" s="41">
        <v>0.2</v>
      </c>
      <c r="G2296" s="3" t="s">
        <v>92</v>
      </c>
      <c r="H2296" s="3" t="s">
        <v>4828</v>
      </c>
      <c r="I2296" s="3">
        <v>6.1403127133E10</v>
      </c>
      <c r="J2296" s="3" t="s">
        <v>4829</v>
      </c>
      <c r="K2296" s="3">
        <v>0.0</v>
      </c>
      <c r="M2296" s="26"/>
    </row>
    <row r="2297">
      <c r="A2297" s="3" t="s">
        <v>137</v>
      </c>
      <c r="B2297" s="3" t="s">
        <v>18</v>
      </c>
      <c r="C2297" s="22" t="s">
        <v>245</v>
      </c>
      <c r="D2297" s="3" t="s">
        <v>4830</v>
      </c>
      <c r="E2297" s="38">
        <v>45700.0</v>
      </c>
      <c r="F2297" s="41">
        <v>0.2</v>
      </c>
      <c r="G2297" s="3" t="s">
        <v>1453</v>
      </c>
      <c r="H2297" s="3" t="s">
        <v>4831</v>
      </c>
      <c r="I2297" s="3">
        <v>6.1429640744E10</v>
      </c>
      <c r="J2297" s="3" t="s">
        <v>4832</v>
      </c>
      <c r="K2297" s="43">
        <v>1750.0</v>
      </c>
      <c r="M2297" s="26"/>
    </row>
    <row r="2298">
      <c r="A2298" s="3" t="s">
        <v>717</v>
      </c>
      <c r="B2298" s="3" t="s">
        <v>36</v>
      </c>
      <c r="C2298" s="22" t="s">
        <v>4833</v>
      </c>
      <c r="D2298" s="3" t="s">
        <v>4834</v>
      </c>
      <c r="E2298" s="38">
        <v>45700.0</v>
      </c>
      <c r="F2298" s="41">
        <v>0.2</v>
      </c>
      <c r="G2298" s="3" t="s">
        <v>129</v>
      </c>
      <c r="H2298" s="3" t="s">
        <v>4835</v>
      </c>
      <c r="I2298" s="3">
        <v>6.1426652201E10</v>
      </c>
      <c r="J2298" s="3" t="s">
        <v>4836</v>
      </c>
      <c r="K2298" s="43">
        <v>750.0</v>
      </c>
      <c r="M2298" s="26"/>
    </row>
    <row r="2299">
      <c r="A2299" s="3" t="s">
        <v>210</v>
      </c>
      <c r="B2299" s="3" t="s">
        <v>31</v>
      </c>
      <c r="C2299" s="22" t="s">
        <v>4837</v>
      </c>
      <c r="D2299" s="3" t="s">
        <v>4838</v>
      </c>
      <c r="E2299" s="38">
        <v>45700.0</v>
      </c>
      <c r="F2299" s="41">
        <v>0.2</v>
      </c>
      <c r="G2299" s="3" t="s">
        <v>129</v>
      </c>
      <c r="H2299" s="3" t="s">
        <v>4839</v>
      </c>
      <c r="I2299" s="3">
        <v>6.1452464259E10</v>
      </c>
      <c r="J2299" s="3" t="s">
        <v>4840</v>
      </c>
      <c r="K2299" s="43">
        <v>1500.0</v>
      </c>
      <c r="M2299" s="26"/>
    </row>
    <row r="2300">
      <c r="A2300" s="3" t="s">
        <v>4841</v>
      </c>
      <c r="B2300" s="3" t="s">
        <v>18</v>
      </c>
      <c r="C2300" s="22" t="s">
        <v>4842</v>
      </c>
      <c r="D2300" s="51" t="s">
        <v>4843</v>
      </c>
      <c r="E2300" s="38">
        <v>45700.0</v>
      </c>
      <c r="F2300" s="41">
        <v>0.2</v>
      </c>
      <c r="G2300" s="3" t="s">
        <v>1453</v>
      </c>
      <c r="H2300" s="3" t="s">
        <v>4844</v>
      </c>
      <c r="I2300" s="3">
        <v>61405349062</v>
      </c>
      <c r="J2300" s="3" t="s">
        <v>4845</v>
      </c>
      <c r="K2300" s="43">
        <v>500.0</v>
      </c>
      <c r="M2300" s="26"/>
    </row>
    <row r="2301">
      <c r="A2301" s="3" t="s">
        <v>1320</v>
      </c>
      <c r="B2301" s="3" t="s">
        <v>45</v>
      </c>
      <c r="C2301" s="22" t="s">
        <v>75</v>
      </c>
      <c r="D2301" s="3" t="s">
        <v>4846</v>
      </c>
      <c r="E2301" s="38">
        <v>45700.0</v>
      </c>
      <c r="F2301" s="41">
        <v>0.2</v>
      </c>
      <c r="G2301" s="3" t="s">
        <v>1453</v>
      </c>
      <c r="H2301" s="3" t="s">
        <v>4847</v>
      </c>
      <c r="I2301" s="3">
        <v>61475611377</v>
      </c>
      <c r="J2301" s="3" t="s">
        <v>4848</v>
      </c>
      <c r="K2301" s="43">
        <v>500.0</v>
      </c>
      <c r="M2301" s="26"/>
    </row>
    <row r="2302">
      <c r="A2302" s="3" t="s">
        <v>44</v>
      </c>
      <c r="B2302" s="3" t="s">
        <v>45</v>
      </c>
      <c r="C2302" s="22" t="s">
        <v>148</v>
      </c>
      <c r="D2302" s="3" t="s">
        <v>4849</v>
      </c>
      <c r="E2302" s="38">
        <v>45700.0</v>
      </c>
      <c r="F2302" s="41">
        <v>0.2</v>
      </c>
      <c r="G2302" s="3" t="s">
        <v>1453</v>
      </c>
      <c r="H2302" s="3" t="s">
        <v>4850</v>
      </c>
      <c r="I2302" s="3">
        <v>61451479837</v>
      </c>
      <c r="J2302" s="3" t="s">
        <v>4851</v>
      </c>
      <c r="K2302" s="43">
        <v>1000.0</v>
      </c>
      <c r="M2302" s="26"/>
    </row>
    <row r="2303">
      <c r="A2303" s="3" t="s">
        <v>3189</v>
      </c>
      <c r="B2303" s="3" t="s">
        <v>18</v>
      </c>
      <c r="C2303" s="22" t="s">
        <v>4852</v>
      </c>
      <c r="D2303" s="3" t="s">
        <v>4853</v>
      </c>
      <c r="E2303" s="38">
        <v>45700.0</v>
      </c>
      <c r="F2303" s="41">
        <v>0.2</v>
      </c>
      <c r="G2303" s="3" t="s">
        <v>1453</v>
      </c>
      <c r="H2303" s="3" t="s">
        <v>2185</v>
      </c>
      <c r="I2303" s="3">
        <v>6.1474470172E10</v>
      </c>
      <c r="J2303" s="3" t="s">
        <v>4854</v>
      </c>
      <c r="K2303" s="43">
        <v>500.0</v>
      </c>
      <c r="M2303" s="26"/>
    </row>
    <row r="2304">
      <c r="A2304" s="3" t="s">
        <v>2620</v>
      </c>
      <c r="B2304" s="3" t="s">
        <v>18</v>
      </c>
      <c r="C2304" s="22" t="s">
        <v>2712</v>
      </c>
      <c r="D2304" s="3" t="s">
        <v>4855</v>
      </c>
      <c r="E2304" s="38">
        <v>45700.0</v>
      </c>
      <c r="F2304" s="41">
        <v>0.2</v>
      </c>
      <c r="G2304" s="3" t="s">
        <v>1453</v>
      </c>
      <c r="H2304" s="3" t="s">
        <v>4856</v>
      </c>
      <c r="I2304" s="3">
        <v>6.1488294724E10</v>
      </c>
      <c r="J2304" s="3" t="s">
        <v>4857</v>
      </c>
      <c r="K2304" s="43">
        <v>500.0</v>
      </c>
      <c r="M2304" s="26"/>
    </row>
    <row r="2305">
      <c r="A2305" s="3" t="s">
        <v>744</v>
      </c>
      <c r="B2305" s="3" t="s">
        <v>18</v>
      </c>
      <c r="C2305" s="22" t="s">
        <v>2483</v>
      </c>
      <c r="D2305" s="3" t="s">
        <v>4858</v>
      </c>
      <c r="E2305" s="38">
        <v>45700.0</v>
      </c>
      <c r="F2305" s="41">
        <v>0.2</v>
      </c>
      <c r="G2305" s="3" t="s">
        <v>1453</v>
      </c>
      <c r="H2305" s="3" t="s">
        <v>4859</v>
      </c>
      <c r="I2305" s="3">
        <v>61419903105</v>
      </c>
      <c r="J2305" s="3" t="s">
        <v>4860</v>
      </c>
      <c r="K2305" s="43">
        <v>1000.0</v>
      </c>
      <c r="M2305" s="26"/>
    </row>
    <row r="2306">
      <c r="A2306" s="3" t="s">
        <v>744</v>
      </c>
      <c r="B2306" s="3" t="s">
        <v>18</v>
      </c>
      <c r="C2306" s="22" t="s">
        <v>2483</v>
      </c>
      <c r="D2306" s="3" t="s">
        <v>4861</v>
      </c>
      <c r="E2306" s="38">
        <v>45700.0</v>
      </c>
      <c r="F2306" s="41">
        <v>0.2</v>
      </c>
      <c r="G2306" s="3" t="s">
        <v>1453</v>
      </c>
      <c r="H2306" s="3" t="s">
        <v>4862</v>
      </c>
      <c r="I2306" s="3">
        <v>61407162946</v>
      </c>
      <c r="J2306" s="3" t="s">
        <v>4863</v>
      </c>
      <c r="K2306" s="43">
        <v>1000.0</v>
      </c>
      <c r="M2306" s="26"/>
    </row>
    <row r="2307">
      <c r="A2307" s="3" t="s">
        <v>435</v>
      </c>
      <c r="B2307" s="3" t="s">
        <v>18</v>
      </c>
      <c r="C2307" s="22" t="s">
        <v>3392</v>
      </c>
      <c r="D2307" s="3" t="s">
        <v>4864</v>
      </c>
      <c r="E2307" s="38">
        <v>45700.0</v>
      </c>
      <c r="F2307" s="41">
        <v>0.2</v>
      </c>
      <c r="G2307" s="3" t="s">
        <v>1453</v>
      </c>
      <c r="H2307" s="3" t="s">
        <v>4865</v>
      </c>
      <c r="I2307" s="3">
        <v>6.1432302991E10</v>
      </c>
      <c r="J2307" s="3" t="s">
        <v>4866</v>
      </c>
      <c r="K2307" s="43">
        <v>750.0</v>
      </c>
      <c r="M2307" s="26"/>
    </row>
    <row r="2308">
      <c r="A2308" s="3" t="s">
        <v>1359</v>
      </c>
      <c r="B2308" s="3" t="s">
        <v>45</v>
      </c>
      <c r="C2308" s="22" t="s">
        <v>4867</v>
      </c>
      <c r="D2308" s="3" t="s">
        <v>4868</v>
      </c>
      <c r="E2308" s="38">
        <v>45700.0</v>
      </c>
      <c r="F2308" s="41">
        <v>0.2</v>
      </c>
      <c r="G2308" s="3" t="s">
        <v>1453</v>
      </c>
      <c r="H2308" s="3" t="s">
        <v>4869</v>
      </c>
      <c r="I2308" s="3">
        <v>6.1418950485E10</v>
      </c>
      <c r="J2308" s="3" t="s">
        <v>4870</v>
      </c>
      <c r="K2308" s="43">
        <v>1000.0</v>
      </c>
      <c r="M2308" s="26"/>
    </row>
    <row r="2309">
      <c r="A2309" s="3" t="s">
        <v>168</v>
      </c>
      <c r="B2309" s="3" t="s">
        <v>45</v>
      </c>
      <c r="C2309" s="22" t="s">
        <v>169</v>
      </c>
      <c r="D2309" s="3" t="s">
        <v>4871</v>
      </c>
      <c r="E2309" s="38">
        <v>45728.0</v>
      </c>
      <c r="F2309" s="41">
        <v>0.2</v>
      </c>
      <c r="G2309" s="3" t="s">
        <v>1453</v>
      </c>
      <c r="H2309" s="3" t="s">
        <v>4872</v>
      </c>
      <c r="I2309" s="3">
        <v>61413786850</v>
      </c>
      <c r="J2309" s="3" t="s">
        <v>4873</v>
      </c>
      <c r="K2309" s="43">
        <v>1000.0</v>
      </c>
      <c r="M2309" s="26"/>
    </row>
    <row r="2310">
      <c r="A2310" s="3" t="s">
        <v>1055</v>
      </c>
      <c r="B2310" s="3" t="s">
        <v>31</v>
      </c>
      <c r="C2310" s="22" t="s">
        <v>2575</v>
      </c>
      <c r="D2310" s="3" t="s">
        <v>4874</v>
      </c>
      <c r="E2310" s="38">
        <v>45728.0</v>
      </c>
      <c r="F2310" s="41">
        <v>0.2</v>
      </c>
      <c r="G2310" s="3" t="s">
        <v>1453</v>
      </c>
      <c r="H2310" s="3" t="s">
        <v>4875</v>
      </c>
      <c r="I2310" s="3">
        <v>61413884441</v>
      </c>
      <c r="J2310" s="3" t="s">
        <v>4876</v>
      </c>
      <c r="K2310" s="43">
        <v>2000.0</v>
      </c>
      <c r="M2310" s="26"/>
    </row>
    <row r="2311">
      <c r="A2311" s="3" t="s">
        <v>2494</v>
      </c>
      <c r="B2311" s="3" t="s">
        <v>18</v>
      </c>
      <c r="C2311" s="22" t="s">
        <v>455</v>
      </c>
      <c r="D2311" s="3" t="s">
        <v>4877</v>
      </c>
      <c r="E2311" s="38">
        <v>45728.0</v>
      </c>
      <c r="F2311" s="41">
        <v>0.2</v>
      </c>
      <c r="G2311" s="3" t="s">
        <v>1453</v>
      </c>
      <c r="H2311" s="3" t="s">
        <v>4878</v>
      </c>
      <c r="I2311" s="3">
        <v>6.143353998E10</v>
      </c>
      <c r="J2311" s="3" t="s">
        <v>4879</v>
      </c>
      <c r="K2311" s="43">
        <v>1250.0</v>
      </c>
      <c r="M2311" s="26"/>
    </row>
    <row r="2312">
      <c r="A2312" s="3" t="s">
        <v>4006</v>
      </c>
      <c r="B2312" s="3" t="s">
        <v>45</v>
      </c>
      <c r="C2312" s="22" t="s">
        <v>4323</v>
      </c>
      <c r="D2312" s="3" t="s">
        <v>4880</v>
      </c>
      <c r="E2312" s="38">
        <v>45728.0</v>
      </c>
      <c r="F2312" s="41">
        <v>0.2</v>
      </c>
      <c r="G2312" s="3" t="s">
        <v>92</v>
      </c>
      <c r="H2312" s="3" t="s">
        <v>4881</v>
      </c>
      <c r="I2312" s="3">
        <v>6.1417981139E10</v>
      </c>
      <c r="J2312" s="3" t="s">
        <v>4882</v>
      </c>
      <c r="K2312" s="3">
        <v>0.0</v>
      </c>
      <c r="M2312" s="26"/>
    </row>
    <row r="2313">
      <c r="A2313" s="3" t="s">
        <v>198</v>
      </c>
      <c r="B2313" s="3" t="s">
        <v>109</v>
      </c>
      <c r="C2313" s="22" t="s">
        <v>1773</v>
      </c>
      <c r="D2313" s="3" t="s">
        <v>4883</v>
      </c>
      <c r="E2313" s="38">
        <v>45728.0</v>
      </c>
      <c r="F2313" s="41">
        <v>0.2</v>
      </c>
      <c r="G2313" s="3" t="s">
        <v>92</v>
      </c>
      <c r="H2313" s="3" t="s">
        <v>4884</v>
      </c>
      <c r="I2313" s="3">
        <v>6.1421089813E10</v>
      </c>
      <c r="J2313" s="3" t="s">
        <v>4885</v>
      </c>
      <c r="K2313" s="3">
        <v>0.0</v>
      </c>
      <c r="M2313" s="26"/>
    </row>
    <row r="2314">
      <c r="A2314" s="3" t="s">
        <v>113</v>
      </c>
      <c r="B2314" s="3" t="s">
        <v>18</v>
      </c>
      <c r="C2314" s="22">
        <v>4217.0</v>
      </c>
      <c r="D2314" s="3"/>
      <c r="E2314" s="38">
        <v>45728.0</v>
      </c>
      <c r="F2314" s="41">
        <v>0.0</v>
      </c>
      <c r="G2314" s="3" t="s">
        <v>92</v>
      </c>
      <c r="H2314" s="3" t="s">
        <v>4886</v>
      </c>
      <c r="I2314" s="3">
        <v>6.1419843543E10</v>
      </c>
      <c r="J2314" s="3" t="s">
        <v>4887</v>
      </c>
      <c r="K2314" s="3">
        <v>0.0</v>
      </c>
      <c r="M2314" s="26"/>
    </row>
    <row r="2315">
      <c r="A2315" s="3" t="s">
        <v>112</v>
      </c>
      <c r="B2315" s="3" t="s">
        <v>18</v>
      </c>
      <c r="C2315" s="22" t="s">
        <v>4888</v>
      </c>
      <c r="D2315" s="3" t="s">
        <v>4889</v>
      </c>
      <c r="E2315" s="38">
        <v>45728.0</v>
      </c>
      <c r="F2315" s="41">
        <v>0.2</v>
      </c>
      <c r="G2315" s="3" t="s">
        <v>92</v>
      </c>
      <c r="H2315" s="3" t="s">
        <v>4890</v>
      </c>
      <c r="I2315" s="3">
        <v>6.1433909754E10</v>
      </c>
      <c r="J2315" s="3" t="s">
        <v>4891</v>
      </c>
      <c r="K2315" s="3">
        <v>0.0</v>
      </c>
      <c r="M2315" s="26"/>
    </row>
    <row r="2316">
      <c r="A2316" s="3" t="s">
        <v>4032</v>
      </c>
      <c r="B2316" s="3" t="s">
        <v>36</v>
      </c>
      <c r="C2316" s="22">
        <v>3032.0</v>
      </c>
      <c r="D2316" s="3"/>
      <c r="E2316" s="38">
        <v>45728.0</v>
      </c>
      <c r="F2316" s="41">
        <v>0.0</v>
      </c>
      <c r="G2316" s="3" t="s">
        <v>92</v>
      </c>
      <c r="H2316" s="3" t="s">
        <v>4892</v>
      </c>
      <c r="I2316" s="3">
        <v>6.1478018789E10</v>
      </c>
      <c r="J2316" s="3" t="s">
        <v>4893</v>
      </c>
      <c r="K2316" s="3">
        <v>0.0</v>
      </c>
      <c r="M2316" s="26"/>
    </row>
    <row r="2317">
      <c r="A2317" s="3" t="s">
        <v>155</v>
      </c>
      <c r="B2317" s="3" t="s">
        <v>18</v>
      </c>
      <c r="C2317" s="22" t="s">
        <v>2588</v>
      </c>
      <c r="D2317" s="3" t="s">
        <v>4894</v>
      </c>
      <c r="E2317" s="38">
        <v>45728.0</v>
      </c>
      <c r="F2317" s="41">
        <v>0.2</v>
      </c>
      <c r="G2317" s="3" t="s">
        <v>92</v>
      </c>
      <c r="H2317" s="3" t="s">
        <v>4895</v>
      </c>
      <c r="I2317" s="3">
        <v>6.1448836215E10</v>
      </c>
      <c r="J2317" s="3" t="s">
        <v>4896</v>
      </c>
      <c r="K2317" s="3">
        <v>0.0</v>
      </c>
      <c r="M2317" s="26"/>
    </row>
    <row r="2318">
      <c r="A2318" s="3" t="s">
        <v>2266</v>
      </c>
      <c r="B2318" s="3" t="s">
        <v>18</v>
      </c>
      <c r="C2318" s="22" t="s">
        <v>2443</v>
      </c>
      <c r="D2318" s="3" t="s">
        <v>4897</v>
      </c>
      <c r="E2318" s="38">
        <v>45728.0</v>
      </c>
      <c r="F2318" s="41">
        <v>0.2</v>
      </c>
      <c r="G2318" s="3" t="s">
        <v>92</v>
      </c>
      <c r="H2318" s="3" t="s">
        <v>4898</v>
      </c>
      <c r="I2318" s="3">
        <v>6.1423546722E10</v>
      </c>
      <c r="J2318" s="3" t="s">
        <v>4899</v>
      </c>
      <c r="K2318" s="3">
        <v>0.0</v>
      </c>
      <c r="M2318" s="26"/>
    </row>
    <row r="2319">
      <c r="A2319" s="3" t="s">
        <v>113</v>
      </c>
      <c r="B2319" s="3" t="s">
        <v>18</v>
      </c>
      <c r="C2319" s="22" t="s">
        <v>948</v>
      </c>
      <c r="D2319" s="3" t="s">
        <v>4900</v>
      </c>
      <c r="E2319" s="38">
        <v>45728.0</v>
      </c>
      <c r="F2319" s="41">
        <v>0.2</v>
      </c>
      <c r="G2319" s="3" t="s">
        <v>129</v>
      </c>
      <c r="H2319" s="3" t="s">
        <v>4901</v>
      </c>
      <c r="I2319" s="3">
        <v>6.10417642084E11</v>
      </c>
      <c r="J2319" s="3" t="s">
        <v>4902</v>
      </c>
      <c r="K2319" s="43">
        <v>1000.0</v>
      </c>
      <c r="M2319" s="26"/>
    </row>
    <row r="2320">
      <c r="A2320" s="3" t="s">
        <v>184</v>
      </c>
      <c r="B2320" s="3" t="s">
        <v>18</v>
      </c>
      <c r="C2320" s="22" t="s">
        <v>608</v>
      </c>
      <c r="D2320" s="3" t="s">
        <v>4903</v>
      </c>
      <c r="E2320" s="38">
        <v>45728.0</v>
      </c>
      <c r="F2320" s="41">
        <v>0.2</v>
      </c>
      <c r="G2320" s="3" t="s">
        <v>1453</v>
      </c>
      <c r="H2320" s="3" t="s">
        <v>4904</v>
      </c>
      <c r="I2320" s="3">
        <v>61416255127</v>
      </c>
      <c r="J2320" s="3" t="s">
        <v>4905</v>
      </c>
      <c r="K2320" s="43">
        <v>1000.0</v>
      </c>
      <c r="M2320" s="26"/>
    </row>
    <row r="2321">
      <c r="A2321" s="3" t="s">
        <v>3436</v>
      </c>
      <c r="B2321" s="3" t="s">
        <v>18</v>
      </c>
      <c r="C2321" s="22" t="s">
        <v>550</v>
      </c>
      <c r="D2321" s="3" t="s">
        <v>4906</v>
      </c>
      <c r="E2321" s="38">
        <v>45728.0</v>
      </c>
      <c r="F2321" s="41">
        <v>0.2</v>
      </c>
      <c r="G2321" s="3" t="s">
        <v>129</v>
      </c>
      <c r="H2321" s="3" t="s">
        <v>4907</v>
      </c>
      <c r="I2321" s="3">
        <v>610419000131</v>
      </c>
      <c r="J2321" s="3" t="s">
        <v>4908</v>
      </c>
      <c r="K2321" s="43">
        <v>2000.0</v>
      </c>
      <c r="M2321" s="26"/>
    </row>
    <row r="2322">
      <c r="A2322" s="3" t="s">
        <v>3436</v>
      </c>
      <c r="B2322" s="3" t="s">
        <v>18</v>
      </c>
      <c r="C2322" s="22" t="s">
        <v>550</v>
      </c>
      <c r="D2322" s="3" t="s">
        <v>4909</v>
      </c>
      <c r="E2322" s="38">
        <v>45728.0</v>
      </c>
      <c r="F2322" s="41">
        <v>0.2</v>
      </c>
      <c r="G2322" s="3" t="s">
        <v>1453</v>
      </c>
      <c r="H2322" s="3" t="s">
        <v>4907</v>
      </c>
      <c r="I2322" s="3">
        <v>61419000131</v>
      </c>
      <c r="J2322" s="3" t="s">
        <v>4910</v>
      </c>
      <c r="K2322" s="43">
        <v>1000.0</v>
      </c>
      <c r="M2322" s="26"/>
    </row>
    <row r="2323">
      <c r="A2323" s="3" t="s">
        <v>155</v>
      </c>
      <c r="B2323" s="3" t="s">
        <v>18</v>
      </c>
      <c r="C2323" s="22" t="s">
        <v>414</v>
      </c>
      <c r="D2323" s="3" t="s">
        <v>4911</v>
      </c>
      <c r="E2323" s="38">
        <v>45728.0</v>
      </c>
      <c r="F2323" s="41">
        <v>0.2</v>
      </c>
      <c r="G2323" s="3" t="s">
        <v>1453</v>
      </c>
      <c r="H2323" s="3" t="s">
        <v>4912</v>
      </c>
      <c r="I2323" s="3">
        <v>61412705331</v>
      </c>
      <c r="J2323" s="3" t="s">
        <v>4913</v>
      </c>
      <c r="K2323" s="43">
        <v>1000.0</v>
      </c>
      <c r="M2323" s="26"/>
    </row>
    <row r="2324">
      <c r="A2324" s="3" t="s">
        <v>1320</v>
      </c>
      <c r="B2324" s="3" t="s">
        <v>45</v>
      </c>
      <c r="C2324" s="22" t="s">
        <v>3169</v>
      </c>
      <c r="D2324" s="3" t="s">
        <v>4914</v>
      </c>
      <c r="E2324" s="38">
        <v>45728.0</v>
      </c>
      <c r="F2324" s="41">
        <v>0.2</v>
      </c>
      <c r="G2324" s="3" t="s">
        <v>1453</v>
      </c>
      <c r="H2324" s="3" t="s">
        <v>4915</v>
      </c>
      <c r="I2324" s="3">
        <v>61415940121</v>
      </c>
      <c r="J2324" s="3" t="s">
        <v>4916</v>
      </c>
      <c r="K2324" s="43">
        <v>500.0</v>
      </c>
      <c r="M2324" s="26"/>
    </row>
    <row r="2325">
      <c r="A2325" s="3" t="s">
        <v>23</v>
      </c>
      <c r="B2325" s="3" t="s">
        <v>18</v>
      </c>
      <c r="C2325" s="22" t="s">
        <v>4917</v>
      </c>
      <c r="D2325" s="3" t="s">
        <v>4918</v>
      </c>
      <c r="E2325" s="38">
        <v>45728.0</v>
      </c>
      <c r="F2325" s="41">
        <v>0.2</v>
      </c>
      <c r="G2325" s="3" t="s">
        <v>92</v>
      </c>
      <c r="H2325" s="3" t="s">
        <v>4919</v>
      </c>
      <c r="I2325" s="3">
        <v>6.147606927E10</v>
      </c>
      <c r="J2325" s="3" t="s">
        <v>4920</v>
      </c>
      <c r="K2325" s="3">
        <v>0.0</v>
      </c>
      <c r="M2325" s="26"/>
    </row>
    <row r="2326">
      <c r="A2326" s="3" t="s">
        <v>137</v>
      </c>
      <c r="B2326" s="3" t="s">
        <v>18</v>
      </c>
      <c r="C2326" s="22" t="s">
        <v>4921</v>
      </c>
      <c r="D2326" s="3" t="s">
        <v>4922</v>
      </c>
      <c r="E2326" s="38">
        <v>45728.0</v>
      </c>
      <c r="F2326" s="41">
        <v>0.2</v>
      </c>
      <c r="G2326" s="3" t="s">
        <v>92</v>
      </c>
      <c r="H2326" s="3" t="s">
        <v>4923</v>
      </c>
      <c r="I2326" s="3">
        <v>6.1458851243E10</v>
      </c>
      <c r="J2326" s="3" t="s">
        <v>4924</v>
      </c>
      <c r="K2326" s="3">
        <v>0.0</v>
      </c>
      <c r="M2326" s="26"/>
    </row>
    <row r="2327">
      <c r="A2327" s="3" t="s">
        <v>2262</v>
      </c>
      <c r="B2327" s="3" t="s">
        <v>18</v>
      </c>
      <c r="C2327" s="22" t="s">
        <v>540</v>
      </c>
      <c r="D2327" s="3" t="s">
        <v>4925</v>
      </c>
      <c r="E2327" s="38">
        <v>45728.0</v>
      </c>
      <c r="F2327" s="41">
        <v>0.2</v>
      </c>
      <c r="G2327" s="3" t="s">
        <v>1453</v>
      </c>
      <c r="H2327" s="3" t="s">
        <v>4926</v>
      </c>
      <c r="I2327" s="3">
        <v>6.140140235E10</v>
      </c>
      <c r="J2327" s="3" t="s">
        <v>4927</v>
      </c>
      <c r="K2327" s="43">
        <v>1250.0</v>
      </c>
      <c r="M2327" s="26"/>
    </row>
    <row r="2328">
      <c r="A2328" s="3" t="s">
        <v>570</v>
      </c>
      <c r="B2328" s="3" t="s">
        <v>18</v>
      </c>
      <c r="C2328" s="22" t="s">
        <v>2214</v>
      </c>
      <c r="D2328" s="3" t="s">
        <v>4928</v>
      </c>
      <c r="E2328" s="38">
        <v>45728.0</v>
      </c>
      <c r="F2328" s="41">
        <v>0.2</v>
      </c>
      <c r="G2328" s="3" t="s">
        <v>1453</v>
      </c>
      <c r="H2328" s="3" t="s">
        <v>4929</v>
      </c>
      <c r="I2328" s="3">
        <v>61418159370</v>
      </c>
      <c r="J2328" s="3" t="s">
        <v>4930</v>
      </c>
      <c r="K2328" s="43">
        <v>1500.0</v>
      </c>
      <c r="M2328" s="26"/>
    </row>
    <row r="2329">
      <c r="A2329" s="3" t="s">
        <v>244</v>
      </c>
      <c r="B2329" s="3" t="s">
        <v>18</v>
      </c>
      <c r="C2329" s="22" t="s">
        <v>491</v>
      </c>
      <c r="D2329" s="3" t="s">
        <v>4931</v>
      </c>
      <c r="E2329" s="38">
        <v>45759.0</v>
      </c>
      <c r="F2329" s="41">
        <v>0.2</v>
      </c>
      <c r="G2329" s="3" t="s">
        <v>1453</v>
      </c>
      <c r="H2329" s="3" t="s">
        <v>4932</v>
      </c>
      <c r="I2329" s="3">
        <v>6.1404841959E10</v>
      </c>
      <c r="J2329" s="3" t="s">
        <v>4933</v>
      </c>
      <c r="K2329" s="43">
        <v>2000.0</v>
      </c>
      <c r="M2329" s="26"/>
    </row>
    <row r="2330">
      <c r="A2330" s="3" t="s">
        <v>155</v>
      </c>
      <c r="B2330" s="3" t="s">
        <v>18</v>
      </c>
      <c r="C2330" s="22" t="s">
        <v>1955</v>
      </c>
      <c r="D2330" s="3" t="s">
        <v>4934</v>
      </c>
      <c r="E2330" s="38">
        <v>45759.0</v>
      </c>
      <c r="F2330" s="41">
        <v>0.2</v>
      </c>
      <c r="G2330" s="3" t="s">
        <v>129</v>
      </c>
      <c r="H2330" s="3" t="s">
        <v>4935</v>
      </c>
      <c r="I2330" s="3">
        <v>6.1422756615E10</v>
      </c>
      <c r="J2330" s="3" t="s">
        <v>4936</v>
      </c>
      <c r="K2330" s="43">
        <v>1000.0</v>
      </c>
      <c r="M2330" s="26"/>
    </row>
    <row r="2331">
      <c r="A2331" s="3" t="s">
        <v>1055</v>
      </c>
      <c r="B2331" s="3" t="s">
        <v>31</v>
      </c>
      <c r="C2331" s="22">
        <v>2030.0</v>
      </c>
      <c r="D2331" s="3"/>
      <c r="E2331" s="38">
        <v>45759.0</v>
      </c>
      <c r="F2331" s="41">
        <v>0.0</v>
      </c>
      <c r="G2331" s="3" t="s">
        <v>92</v>
      </c>
      <c r="H2331" s="3" t="s">
        <v>4937</v>
      </c>
      <c r="I2331" s="3">
        <v>6.1401621193E10</v>
      </c>
      <c r="J2331" s="3" t="s">
        <v>4938</v>
      </c>
      <c r="K2331" s="3">
        <v>0.0</v>
      </c>
      <c r="M2331" s="26"/>
    </row>
    <row r="2332">
      <c r="A2332" s="3" t="s">
        <v>969</v>
      </c>
      <c r="B2332" s="3" t="s">
        <v>31</v>
      </c>
      <c r="C2332" s="22" t="s">
        <v>4939</v>
      </c>
      <c r="D2332" s="3" t="s">
        <v>4940</v>
      </c>
      <c r="E2332" s="38">
        <v>45759.0</v>
      </c>
      <c r="F2332" s="41">
        <v>0.2</v>
      </c>
      <c r="G2332" s="3" t="s">
        <v>92</v>
      </c>
      <c r="H2332" s="3" t="s">
        <v>4941</v>
      </c>
      <c r="I2332" s="3">
        <v>6.1417438761E10</v>
      </c>
      <c r="J2332" s="3" t="s">
        <v>4942</v>
      </c>
      <c r="K2332" s="3">
        <v>0.0</v>
      </c>
      <c r="M2332" s="26"/>
    </row>
    <row r="2333">
      <c r="A2333" s="3" t="s">
        <v>113</v>
      </c>
      <c r="B2333" s="3" t="s">
        <v>18</v>
      </c>
      <c r="C2333" s="22" t="s">
        <v>4943</v>
      </c>
      <c r="D2333" s="3" t="s">
        <v>4944</v>
      </c>
      <c r="E2333" s="38">
        <v>45759.0</v>
      </c>
      <c r="F2333" s="41">
        <v>0.2</v>
      </c>
      <c r="G2333" s="3" t="s">
        <v>92</v>
      </c>
      <c r="H2333" s="3" t="s">
        <v>4945</v>
      </c>
      <c r="I2333" s="3">
        <v>6.1403118932E10</v>
      </c>
      <c r="J2333" s="3" t="s">
        <v>4946</v>
      </c>
      <c r="K2333" s="3">
        <v>0.0</v>
      </c>
      <c r="M2333" s="26"/>
    </row>
    <row r="2334">
      <c r="A2334" s="3" t="s">
        <v>291</v>
      </c>
      <c r="B2334" s="3" t="s">
        <v>31</v>
      </c>
      <c r="C2334" s="22" t="s">
        <v>4947</v>
      </c>
      <c r="D2334" s="3" t="s">
        <v>4948</v>
      </c>
      <c r="E2334" s="38">
        <v>45759.0</v>
      </c>
      <c r="F2334" s="41">
        <v>0.2</v>
      </c>
      <c r="G2334" s="3" t="s">
        <v>92</v>
      </c>
      <c r="H2334" s="3" t="s">
        <v>4949</v>
      </c>
      <c r="I2334" s="3">
        <v>6.1450065566E10</v>
      </c>
      <c r="J2334" s="3" t="s">
        <v>4950</v>
      </c>
      <c r="K2334" s="3">
        <v>0.0</v>
      </c>
      <c r="M2334" s="26"/>
    </row>
    <row r="2335">
      <c r="A2335" s="3" t="s">
        <v>744</v>
      </c>
      <c r="B2335" s="3" t="s">
        <v>18</v>
      </c>
      <c r="C2335" s="22" t="s">
        <v>4951</v>
      </c>
      <c r="D2335" s="3" t="s">
        <v>2617</v>
      </c>
      <c r="E2335" s="38">
        <v>45759.0</v>
      </c>
      <c r="F2335" s="41">
        <v>0.2</v>
      </c>
      <c r="G2335" s="3" t="s">
        <v>92</v>
      </c>
      <c r="H2335" s="3" t="s">
        <v>4952</v>
      </c>
      <c r="I2335" s="3">
        <v>6.1404039809E10</v>
      </c>
      <c r="J2335" s="3" t="s">
        <v>4953</v>
      </c>
      <c r="K2335" s="3">
        <v>0.0</v>
      </c>
      <c r="M2335" s="26"/>
    </row>
    <row r="2336">
      <c r="A2336" s="3" t="s">
        <v>168</v>
      </c>
      <c r="B2336" s="3" t="s">
        <v>45</v>
      </c>
      <c r="C2336" s="22" t="s">
        <v>4954</v>
      </c>
      <c r="D2336" s="3" t="s">
        <v>4955</v>
      </c>
      <c r="E2336" s="38">
        <v>45759.0</v>
      </c>
      <c r="F2336" s="41">
        <v>0.2</v>
      </c>
      <c r="G2336" s="3" t="s">
        <v>92</v>
      </c>
      <c r="H2336" s="3" t="s">
        <v>4956</v>
      </c>
      <c r="I2336" s="3">
        <v>6.1499327795E10</v>
      </c>
      <c r="J2336" s="3" t="s">
        <v>4957</v>
      </c>
      <c r="K2336" s="3">
        <v>0.0</v>
      </c>
      <c r="M2336" s="26"/>
    </row>
    <row r="2337">
      <c r="A2337" s="3" t="s">
        <v>4267</v>
      </c>
      <c r="B2337" s="3" t="s">
        <v>4958</v>
      </c>
      <c r="C2337" s="22" t="s">
        <v>4959</v>
      </c>
      <c r="D2337" s="3" t="s">
        <v>4960</v>
      </c>
      <c r="E2337" s="38">
        <v>45759.0</v>
      </c>
      <c r="F2337" s="41">
        <v>0.2</v>
      </c>
      <c r="G2337" s="3" t="s">
        <v>129</v>
      </c>
      <c r="H2337" s="3" t="s">
        <v>4961</v>
      </c>
      <c r="I2337" s="3">
        <v>6.1406378368E10</v>
      </c>
      <c r="J2337" s="3" t="s">
        <v>4962</v>
      </c>
      <c r="K2337" s="43">
        <v>1000.0</v>
      </c>
      <c r="M2337" s="26"/>
    </row>
    <row r="2338">
      <c r="A2338" s="3" t="s">
        <v>3924</v>
      </c>
      <c r="B2338" s="3" t="s">
        <v>36</v>
      </c>
      <c r="C2338" s="22" t="s">
        <v>4963</v>
      </c>
      <c r="D2338" s="3" t="s">
        <v>4964</v>
      </c>
      <c r="E2338" s="38">
        <v>45759.0</v>
      </c>
      <c r="F2338" s="41">
        <v>0.2</v>
      </c>
      <c r="G2338" s="3" t="s">
        <v>129</v>
      </c>
      <c r="H2338" s="3" t="s">
        <v>4965</v>
      </c>
      <c r="I2338" s="3">
        <v>6.1428595883E10</v>
      </c>
      <c r="J2338" s="3" t="s">
        <v>4966</v>
      </c>
      <c r="K2338" s="43">
        <v>1000.0</v>
      </c>
      <c r="M2338" s="26"/>
    </row>
    <row r="2339">
      <c r="A2339" s="3" t="s">
        <v>795</v>
      </c>
      <c r="B2339" s="3" t="s">
        <v>109</v>
      </c>
      <c r="C2339" s="22" t="s">
        <v>4967</v>
      </c>
      <c r="D2339" s="3"/>
      <c r="E2339" s="38">
        <v>45759.0</v>
      </c>
      <c r="F2339" s="41">
        <v>0.1</v>
      </c>
      <c r="G2339" s="3" t="s">
        <v>129</v>
      </c>
      <c r="H2339" s="3" t="s">
        <v>4968</v>
      </c>
      <c r="I2339" s="3">
        <v>6.1400570061E10</v>
      </c>
      <c r="J2339" s="3" t="s">
        <v>4969</v>
      </c>
      <c r="K2339" s="43">
        <v>2000.0</v>
      </c>
      <c r="M2339" s="26"/>
    </row>
    <row r="2340">
      <c r="A2340" s="3" t="s">
        <v>1359</v>
      </c>
      <c r="B2340" s="3" t="s">
        <v>45</v>
      </c>
      <c r="C2340" s="22" t="s">
        <v>1806</v>
      </c>
      <c r="D2340" s="3" t="s">
        <v>4970</v>
      </c>
      <c r="E2340" s="38">
        <v>45789.0</v>
      </c>
      <c r="F2340" s="41">
        <v>0.2</v>
      </c>
      <c r="G2340" s="3" t="s">
        <v>1453</v>
      </c>
      <c r="H2340" s="3" t="s">
        <v>4971</v>
      </c>
      <c r="I2340" s="3">
        <v>61430975357</v>
      </c>
      <c r="J2340" s="3" t="s">
        <v>4972</v>
      </c>
      <c r="K2340" s="43">
        <v>500.0</v>
      </c>
      <c r="M2340" s="26"/>
    </row>
    <row r="2341">
      <c r="A2341" s="3" t="s">
        <v>97</v>
      </c>
      <c r="B2341" s="3" t="s">
        <v>18</v>
      </c>
      <c r="C2341" s="22" t="s">
        <v>4973</v>
      </c>
      <c r="D2341" s="3" t="s">
        <v>4974</v>
      </c>
      <c r="E2341" s="38">
        <v>45789.0</v>
      </c>
      <c r="F2341" s="41">
        <v>0.2</v>
      </c>
      <c r="G2341" s="3" t="s">
        <v>1453</v>
      </c>
      <c r="H2341" s="3" t="s">
        <v>4975</v>
      </c>
      <c r="I2341" s="3">
        <v>6.1418843644E10</v>
      </c>
      <c r="J2341" s="3" t="s">
        <v>4976</v>
      </c>
      <c r="K2341" s="43"/>
      <c r="M2341" s="26"/>
    </row>
    <row r="2342">
      <c r="A2342" s="3" t="s">
        <v>817</v>
      </c>
      <c r="B2342" s="3" t="s">
        <v>36</v>
      </c>
      <c r="C2342" s="22" t="s">
        <v>818</v>
      </c>
      <c r="D2342" s="3" t="s">
        <v>4977</v>
      </c>
      <c r="E2342" s="38">
        <v>45789.0</v>
      </c>
      <c r="F2342" s="41">
        <v>0.2</v>
      </c>
      <c r="G2342" s="3" t="s">
        <v>1453</v>
      </c>
      <c r="H2342" s="3" t="s">
        <v>4978</v>
      </c>
      <c r="I2342" s="3">
        <v>6.1410257302E10</v>
      </c>
      <c r="J2342" s="3" t="s">
        <v>4979</v>
      </c>
      <c r="K2342" s="43">
        <v>500.0</v>
      </c>
      <c r="M2342" s="26"/>
    </row>
    <row r="2343">
      <c r="A2343" s="3" t="s">
        <v>4565</v>
      </c>
      <c r="B2343" s="3" t="s">
        <v>31</v>
      </c>
      <c r="C2343" s="22" t="s">
        <v>2376</v>
      </c>
      <c r="D2343" s="3" t="s">
        <v>4980</v>
      </c>
      <c r="E2343" s="38">
        <v>45789.0</v>
      </c>
      <c r="F2343" s="41">
        <v>0.2</v>
      </c>
      <c r="G2343" s="3" t="s">
        <v>1453</v>
      </c>
      <c r="H2343" s="3" t="s">
        <v>4981</v>
      </c>
      <c r="I2343" s="3">
        <v>6.1402788969E10</v>
      </c>
      <c r="J2343" s="3" t="s">
        <v>4982</v>
      </c>
      <c r="K2343" s="43">
        <v>1500.0</v>
      </c>
      <c r="M2343" s="26"/>
    </row>
    <row r="2344">
      <c r="A2344" s="3" t="s">
        <v>232</v>
      </c>
      <c r="B2344" s="3" t="s">
        <v>18</v>
      </c>
      <c r="C2344" s="22" t="s">
        <v>233</v>
      </c>
      <c r="D2344" s="3" t="s">
        <v>4983</v>
      </c>
      <c r="E2344" s="38">
        <v>45789.0</v>
      </c>
      <c r="F2344" s="41">
        <v>0.2</v>
      </c>
      <c r="G2344" s="3" t="s">
        <v>129</v>
      </c>
      <c r="H2344" s="3" t="s">
        <v>4984</v>
      </c>
      <c r="I2344" s="3">
        <v>6.141351172E10</v>
      </c>
      <c r="J2344" s="3" t="s">
        <v>4985</v>
      </c>
      <c r="K2344" s="43">
        <v>750.0</v>
      </c>
      <c r="M2344" s="26"/>
    </row>
    <row r="2345">
      <c r="A2345" s="3" t="s">
        <v>210</v>
      </c>
      <c r="B2345" s="3" t="s">
        <v>31</v>
      </c>
      <c r="C2345" s="22" t="s">
        <v>4986</v>
      </c>
      <c r="D2345" s="3" t="s">
        <v>4987</v>
      </c>
      <c r="E2345" s="38">
        <v>45789.0</v>
      </c>
      <c r="F2345" s="41">
        <v>0.2</v>
      </c>
      <c r="G2345" s="3" t="s">
        <v>129</v>
      </c>
      <c r="H2345" s="3" t="s">
        <v>4988</v>
      </c>
      <c r="I2345" s="3">
        <v>6.14144209E10</v>
      </c>
      <c r="J2345" s="3" t="s">
        <v>4989</v>
      </c>
      <c r="K2345" s="43">
        <v>3500.0</v>
      </c>
      <c r="M2345" s="26"/>
    </row>
    <row r="2346">
      <c r="A2346" s="3" t="s">
        <v>61</v>
      </c>
      <c r="B2346" s="3" t="s">
        <v>18</v>
      </c>
      <c r="C2346" s="22" t="s">
        <v>4990</v>
      </c>
      <c r="D2346" s="3" t="s">
        <v>4991</v>
      </c>
      <c r="E2346" s="38">
        <v>45789.0</v>
      </c>
      <c r="F2346" s="41">
        <v>0.2</v>
      </c>
      <c r="G2346" s="3" t="s">
        <v>129</v>
      </c>
      <c r="H2346" s="3" t="s">
        <v>4992</v>
      </c>
      <c r="I2346" s="3">
        <v>6.145016924E10</v>
      </c>
      <c r="J2346" s="3" t="s">
        <v>4993</v>
      </c>
      <c r="K2346" s="43">
        <v>750.0</v>
      </c>
      <c r="M2346" s="26"/>
    </row>
    <row r="2347">
      <c r="A2347" s="3" t="s">
        <v>276</v>
      </c>
      <c r="B2347" s="3" t="s">
        <v>18</v>
      </c>
      <c r="C2347" s="22" t="s">
        <v>338</v>
      </c>
      <c r="D2347" s="3" t="s">
        <v>4994</v>
      </c>
      <c r="E2347" s="38">
        <v>45789.0</v>
      </c>
      <c r="F2347" s="41">
        <v>0.2</v>
      </c>
      <c r="G2347" s="3" t="s">
        <v>129</v>
      </c>
      <c r="H2347" s="3" t="s">
        <v>4995</v>
      </c>
      <c r="I2347" s="3">
        <v>6.1468407966E10</v>
      </c>
      <c r="J2347" s="3" t="s">
        <v>4996</v>
      </c>
      <c r="K2347" s="43">
        <v>2000.0</v>
      </c>
      <c r="M2347" s="26"/>
    </row>
    <row r="2348">
      <c r="A2348" s="3" t="s">
        <v>77</v>
      </c>
      <c r="B2348" s="3" t="s">
        <v>18</v>
      </c>
      <c r="C2348" s="22" t="s">
        <v>4997</v>
      </c>
      <c r="D2348" s="3" t="s">
        <v>4998</v>
      </c>
      <c r="E2348" s="38">
        <v>45789.0</v>
      </c>
      <c r="F2348" s="41">
        <v>0.2</v>
      </c>
      <c r="G2348" s="3" t="s">
        <v>92</v>
      </c>
      <c r="H2348" s="3" t="s">
        <v>4999</v>
      </c>
      <c r="I2348" s="3">
        <v>6.1400762118E10</v>
      </c>
      <c r="J2348" s="3" t="s">
        <v>5000</v>
      </c>
      <c r="K2348" s="3">
        <v>0.0</v>
      </c>
      <c r="M2348" s="26"/>
    </row>
    <row r="2349">
      <c r="A2349" s="3" t="s">
        <v>246</v>
      </c>
      <c r="B2349" s="3" t="s">
        <v>36</v>
      </c>
      <c r="C2349" s="22" t="s">
        <v>2830</v>
      </c>
      <c r="D2349" s="3"/>
      <c r="E2349" s="38">
        <v>45789.0</v>
      </c>
      <c r="F2349" s="41">
        <v>0.0</v>
      </c>
      <c r="G2349" s="3" t="s">
        <v>92</v>
      </c>
      <c r="H2349" s="3" t="s">
        <v>5001</v>
      </c>
      <c r="I2349" s="3">
        <v>6.1419868438E10</v>
      </c>
      <c r="J2349" s="3" t="s">
        <v>5002</v>
      </c>
      <c r="K2349" s="3">
        <v>0.0</v>
      </c>
      <c r="M2349" s="26"/>
    </row>
    <row r="2350">
      <c r="A2350" s="3" t="s">
        <v>113</v>
      </c>
      <c r="B2350" s="3" t="s">
        <v>18</v>
      </c>
      <c r="C2350" s="22" t="s">
        <v>5003</v>
      </c>
      <c r="D2350" s="3" t="s">
        <v>5004</v>
      </c>
      <c r="E2350" s="38">
        <v>45789.0</v>
      </c>
      <c r="F2350" s="41">
        <v>0.2</v>
      </c>
      <c r="G2350" s="3" t="s">
        <v>92</v>
      </c>
      <c r="H2350" s="3" t="s">
        <v>5005</v>
      </c>
      <c r="I2350" s="3">
        <v>6.143112955E10</v>
      </c>
      <c r="J2350" s="3" t="s">
        <v>5006</v>
      </c>
      <c r="K2350" s="3">
        <v>0.0</v>
      </c>
      <c r="M2350" s="26"/>
    </row>
    <row r="2351">
      <c r="A2351" s="3" t="s">
        <v>276</v>
      </c>
      <c r="B2351" s="3" t="s">
        <v>18</v>
      </c>
      <c r="C2351" s="22" t="s">
        <v>5007</v>
      </c>
      <c r="D2351" s="3" t="s">
        <v>2803</v>
      </c>
      <c r="E2351" s="38">
        <v>45789.0</v>
      </c>
      <c r="F2351" s="41">
        <v>0.2</v>
      </c>
      <c r="G2351" s="3" t="s">
        <v>92</v>
      </c>
      <c r="H2351" s="3" t="s">
        <v>5008</v>
      </c>
      <c r="I2351" s="3">
        <v>6.1418773166E10</v>
      </c>
      <c r="J2351" s="3" t="s">
        <v>5009</v>
      </c>
      <c r="K2351" s="3">
        <v>0.0</v>
      </c>
      <c r="M2351" s="26"/>
    </row>
    <row r="2352">
      <c r="A2352" s="3" t="s">
        <v>4267</v>
      </c>
      <c r="B2352" s="3" t="s">
        <v>221</v>
      </c>
      <c r="C2352" s="22" t="s">
        <v>5010</v>
      </c>
      <c r="D2352" s="3" t="s">
        <v>5011</v>
      </c>
      <c r="E2352" s="38">
        <v>45789.0</v>
      </c>
      <c r="F2352" s="41">
        <v>0.2</v>
      </c>
      <c r="G2352" s="3" t="s">
        <v>92</v>
      </c>
      <c r="H2352" s="3" t="s">
        <v>5012</v>
      </c>
      <c r="I2352" s="3">
        <v>6.1439665541E10</v>
      </c>
      <c r="J2352" s="3" t="s">
        <v>5013</v>
      </c>
      <c r="K2352" s="3">
        <v>0.0</v>
      </c>
      <c r="M2352" s="26"/>
    </row>
    <row r="2353">
      <c r="A2353" s="3" t="s">
        <v>3924</v>
      </c>
      <c r="B2353" s="3" t="s">
        <v>36</v>
      </c>
      <c r="C2353" s="22" t="s">
        <v>4963</v>
      </c>
      <c r="D2353" s="3"/>
      <c r="E2353" s="38">
        <v>45789.0</v>
      </c>
      <c r="F2353" s="41">
        <v>0.0</v>
      </c>
      <c r="G2353" s="3" t="s">
        <v>92</v>
      </c>
      <c r="H2353" s="3" t="s">
        <v>5014</v>
      </c>
      <c r="I2353" s="3">
        <v>6.1477880679E10</v>
      </c>
      <c r="J2353" s="3" t="s">
        <v>5015</v>
      </c>
      <c r="K2353" s="3">
        <v>0.0</v>
      </c>
      <c r="M2353" s="26"/>
    </row>
    <row r="2354">
      <c r="A2354" s="3" t="s">
        <v>4224</v>
      </c>
      <c r="B2354" s="3" t="s">
        <v>31</v>
      </c>
      <c r="C2354" s="22" t="s">
        <v>5016</v>
      </c>
      <c r="D2354" s="3" t="s">
        <v>5017</v>
      </c>
      <c r="E2354" s="38">
        <v>45789.0</v>
      </c>
      <c r="F2354" s="41">
        <v>0.2</v>
      </c>
      <c r="G2354" s="3" t="s">
        <v>92</v>
      </c>
      <c r="H2354" s="3" t="s">
        <v>5018</v>
      </c>
      <c r="I2354" s="3">
        <v>6.1417678865E10</v>
      </c>
      <c r="J2354" s="3" t="s">
        <v>5019</v>
      </c>
      <c r="K2354" s="3">
        <v>0.0</v>
      </c>
      <c r="M2354" s="26"/>
    </row>
    <row r="2355">
      <c r="A2355" s="3" t="s">
        <v>23</v>
      </c>
      <c r="B2355" s="3" t="s">
        <v>18</v>
      </c>
      <c r="C2355" s="22" t="s">
        <v>5020</v>
      </c>
      <c r="D2355" s="3" t="s">
        <v>5020</v>
      </c>
      <c r="E2355" s="38">
        <v>45789.0</v>
      </c>
      <c r="F2355" s="41">
        <v>0.2</v>
      </c>
      <c r="G2355" s="3" t="s">
        <v>92</v>
      </c>
      <c r="H2355" s="3" t="s">
        <v>5021</v>
      </c>
      <c r="I2355" s="3">
        <v>6.1422937811E10</v>
      </c>
      <c r="J2355" s="3" t="s">
        <v>5022</v>
      </c>
      <c r="K2355" s="3">
        <v>0.0</v>
      </c>
      <c r="M2355" s="26"/>
    </row>
    <row r="2356">
      <c r="A2356" s="3" t="s">
        <v>61</v>
      </c>
      <c r="B2356" s="3" t="s">
        <v>18</v>
      </c>
      <c r="C2356" s="22" t="s">
        <v>2612</v>
      </c>
      <c r="D2356" s="3" t="s">
        <v>5023</v>
      </c>
      <c r="E2356" s="38">
        <v>45789.0</v>
      </c>
      <c r="F2356" s="41">
        <v>0.2</v>
      </c>
      <c r="G2356" s="3" t="s">
        <v>1453</v>
      </c>
      <c r="H2356" s="3" t="s">
        <v>5024</v>
      </c>
      <c r="I2356" s="3">
        <v>61455567534</v>
      </c>
      <c r="J2356" s="3" t="s">
        <v>5025</v>
      </c>
      <c r="K2356" s="43">
        <v>1750.0</v>
      </c>
      <c r="M2356" s="26"/>
    </row>
    <row r="2357">
      <c r="A2357" s="3" t="s">
        <v>291</v>
      </c>
      <c r="B2357" s="3" t="s">
        <v>31</v>
      </c>
      <c r="C2357" s="22" t="s">
        <v>5026</v>
      </c>
      <c r="D2357" s="3" t="s">
        <v>5027</v>
      </c>
      <c r="E2357" s="38">
        <v>45820.0</v>
      </c>
      <c r="F2357" s="41">
        <v>0.2</v>
      </c>
      <c r="G2357" s="3" t="s">
        <v>1453</v>
      </c>
      <c r="H2357" s="3" t="s">
        <v>5028</v>
      </c>
      <c r="I2357" s="3">
        <v>6.1415905884E10</v>
      </c>
      <c r="J2357" s="3" t="s">
        <v>5029</v>
      </c>
      <c r="K2357" s="43">
        <v>500.0</v>
      </c>
      <c r="M2357" s="26"/>
    </row>
    <row r="2358">
      <c r="A2358" s="3" t="s">
        <v>1320</v>
      </c>
      <c r="B2358" s="3" t="s">
        <v>45</v>
      </c>
      <c r="C2358" s="22" t="s">
        <v>1334</v>
      </c>
      <c r="D2358" s="3" t="s">
        <v>5030</v>
      </c>
      <c r="E2358" s="38">
        <v>45820.0</v>
      </c>
      <c r="F2358" s="41">
        <v>0.2</v>
      </c>
      <c r="G2358" s="3" t="s">
        <v>1453</v>
      </c>
      <c r="H2358" s="3" t="s">
        <v>5031</v>
      </c>
      <c r="I2358" s="3">
        <v>6.1400087175E10</v>
      </c>
      <c r="J2358" s="3" t="s">
        <v>5032</v>
      </c>
      <c r="K2358" s="43">
        <v>500.0</v>
      </c>
      <c r="M2358" s="26"/>
    </row>
    <row r="2359">
      <c r="A2359" s="3" t="s">
        <v>510</v>
      </c>
      <c r="B2359" s="3" t="s">
        <v>18</v>
      </c>
      <c r="C2359" s="22" t="s">
        <v>5033</v>
      </c>
      <c r="D2359" s="3" t="s">
        <v>5034</v>
      </c>
      <c r="E2359" s="38">
        <v>45820.0</v>
      </c>
      <c r="F2359" s="41">
        <v>0.2</v>
      </c>
      <c r="G2359" s="3" t="s">
        <v>129</v>
      </c>
      <c r="H2359" s="3" t="s">
        <v>5035</v>
      </c>
      <c r="I2359" s="3">
        <v>6.1432822765E10</v>
      </c>
      <c r="J2359" s="3" t="s">
        <v>5036</v>
      </c>
      <c r="K2359" s="43">
        <v>1000.0</v>
      </c>
      <c r="M2359" s="26"/>
    </row>
    <row r="2360">
      <c r="A2360" s="3" t="s">
        <v>435</v>
      </c>
      <c r="B2360" s="3" t="s">
        <v>18</v>
      </c>
      <c r="C2360" s="22" t="s">
        <v>5037</v>
      </c>
      <c r="D2360" s="3" t="s">
        <v>5038</v>
      </c>
      <c r="E2360" s="38">
        <v>45820.0</v>
      </c>
      <c r="F2360" s="41">
        <v>0.2</v>
      </c>
      <c r="G2360" s="3" t="s">
        <v>129</v>
      </c>
      <c r="H2360" s="3" t="s">
        <v>5039</v>
      </c>
      <c r="I2360" s="3">
        <v>6.1431381646E10</v>
      </c>
      <c r="J2360" s="3" t="s">
        <v>5040</v>
      </c>
      <c r="K2360" s="43">
        <v>750.0</v>
      </c>
      <c r="M2360" s="26"/>
    </row>
    <row r="2361">
      <c r="A2361" s="3" t="s">
        <v>1320</v>
      </c>
      <c r="B2361" s="3" t="s">
        <v>45</v>
      </c>
      <c r="C2361" s="22" t="s">
        <v>1369</v>
      </c>
      <c r="D2361" s="3"/>
      <c r="E2361" s="38">
        <v>45820.0</v>
      </c>
      <c r="F2361" s="41">
        <v>0.2</v>
      </c>
      <c r="G2361" s="3" t="s">
        <v>129</v>
      </c>
      <c r="H2361" s="3" t="s">
        <v>5041</v>
      </c>
      <c r="I2361" s="3">
        <v>6.1415128337E10</v>
      </c>
      <c r="J2361" s="3" t="s">
        <v>5042</v>
      </c>
      <c r="K2361" s="43">
        <v>750.0</v>
      </c>
      <c r="M2361" s="26"/>
    </row>
    <row r="2362">
      <c r="A2362" s="3" t="s">
        <v>1320</v>
      </c>
      <c r="B2362" s="3" t="s">
        <v>45</v>
      </c>
      <c r="C2362" s="22" t="s">
        <v>1403</v>
      </c>
      <c r="D2362" s="3" t="s">
        <v>5043</v>
      </c>
      <c r="E2362" s="38">
        <v>45820.0</v>
      </c>
      <c r="F2362" s="41">
        <v>0.2</v>
      </c>
      <c r="G2362" s="3" t="s">
        <v>1453</v>
      </c>
      <c r="H2362" s="3" t="s">
        <v>5044</v>
      </c>
      <c r="I2362" s="3">
        <v>6.1409170681E10</v>
      </c>
      <c r="J2362" s="3" t="s">
        <v>5045</v>
      </c>
      <c r="K2362" s="43">
        <v>500.0</v>
      </c>
      <c r="M2362" s="26"/>
    </row>
    <row r="2363">
      <c r="A2363" s="3" t="s">
        <v>2262</v>
      </c>
      <c r="B2363" s="3" t="s">
        <v>18</v>
      </c>
      <c r="C2363" s="22" t="s">
        <v>5046</v>
      </c>
      <c r="D2363" s="3" t="s">
        <v>5047</v>
      </c>
      <c r="E2363" s="38">
        <v>45820.0</v>
      </c>
      <c r="F2363" s="41">
        <v>0.2</v>
      </c>
      <c r="G2363" s="3" t="s">
        <v>129</v>
      </c>
      <c r="H2363" s="3" t="s">
        <v>5048</v>
      </c>
      <c r="I2363" s="3">
        <v>6.1403657466E10</v>
      </c>
      <c r="J2363" s="3" t="s">
        <v>5049</v>
      </c>
      <c r="K2363" s="43">
        <v>1000.0</v>
      </c>
      <c r="M2363" s="26"/>
    </row>
    <row r="2364">
      <c r="A2364" s="3" t="s">
        <v>479</v>
      </c>
      <c r="B2364" s="3" t="s">
        <v>18</v>
      </c>
      <c r="C2364" s="22" t="s">
        <v>2972</v>
      </c>
      <c r="D2364" s="3" t="s">
        <v>5050</v>
      </c>
      <c r="E2364" s="38">
        <v>45820.0</v>
      </c>
      <c r="F2364" s="41">
        <v>0.2</v>
      </c>
      <c r="G2364" s="3" t="s">
        <v>129</v>
      </c>
      <c r="H2364" s="3" t="s">
        <v>5051</v>
      </c>
      <c r="I2364" s="3">
        <v>6.1450127679E10</v>
      </c>
      <c r="J2364" s="3" t="s">
        <v>5052</v>
      </c>
      <c r="K2364" s="43">
        <v>1500.0</v>
      </c>
      <c r="M2364" s="26"/>
    </row>
    <row r="2365">
      <c r="A2365" s="3" t="s">
        <v>3189</v>
      </c>
      <c r="B2365" s="3" t="s">
        <v>18</v>
      </c>
      <c r="C2365" s="22" t="s">
        <v>5053</v>
      </c>
      <c r="D2365" s="3" t="s">
        <v>5054</v>
      </c>
      <c r="E2365" s="38">
        <v>45820.0</v>
      </c>
      <c r="F2365" s="41">
        <v>0.2</v>
      </c>
      <c r="G2365" s="3" t="s">
        <v>129</v>
      </c>
      <c r="H2365" s="3" t="s">
        <v>5055</v>
      </c>
      <c r="I2365" s="3">
        <v>6.1414776226E10</v>
      </c>
      <c r="J2365" s="3" t="s">
        <v>5056</v>
      </c>
      <c r="K2365" s="43">
        <v>500.0</v>
      </c>
      <c r="M2365" s="26"/>
    </row>
    <row r="2366">
      <c r="A2366" s="3" t="s">
        <v>113</v>
      </c>
      <c r="B2366" s="3" t="s">
        <v>18</v>
      </c>
      <c r="C2366" s="22" t="s">
        <v>5057</v>
      </c>
      <c r="D2366" s="3" t="s">
        <v>5004</v>
      </c>
      <c r="E2366" s="38">
        <v>45820.0</v>
      </c>
      <c r="F2366" s="41">
        <v>0.2</v>
      </c>
      <c r="G2366" s="3" t="s">
        <v>92</v>
      </c>
      <c r="H2366" s="3" t="s">
        <v>5005</v>
      </c>
      <c r="I2366" s="3">
        <v>6.143112955E10</v>
      </c>
      <c r="J2366" s="3" t="s">
        <v>5006</v>
      </c>
      <c r="K2366" s="3">
        <v>0.0</v>
      </c>
      <c r="M2366" s="26"/>
    </row>
    <row r="2367">
      <c r="A2367" s="3" t="s">
        <v>168</v>
      </c>
      <c r="B2367" s="3" t="s">
        <v>45</v>
      </c>
      <c r="C2367" s="22" t="s">
        <v>5058</v>
      </c>
      <c r="D2367" s="3" t="s">
        <v>5058</v>
      </c>
      <c r="E2367" s="38">
        <v>45820.0</v>
      </c>
      <c r="F2367" s="41">
        <v>0.2</v>
      </c>
      <c r="G2367" s="3" t="s">
        <v>92</v>
      </c>
      <c r="H2367" s="3" t="s">
        <v>5059</v>
      </c>
      <c r="I2367" s="3">
        <v>6.1429100094E10</v>
      </c>
      <c r="J2367" s="3" t="s">
        <v>5060</v>
      </c>
      <c r="K2367" s="3">
        <v>0.0</v>
      </c>
      <c r="M2367" s="26"/>
    </row>
    <row r="2368">
      <c r="A2368" s="3" t="s">
        <v>3436</v>
      </c>
      <c r="B2368" s="3" t="s">
        <v>18</v>
      </c>
      <c r="C2368" s="22" t="s">
        <v>3614</v>
      </c>
      <c r="D2368" s="3" t="s">
        <v>5061</v>
      </c>
      <c r="E2368" s="38">
        <v>45820.0</v>
      </c>
      <c r="F2368" s="41">
        <v>0.1</v>
      </c>
      <c r="G2368" s="3" t="s">
        <v>92</v>
      </c>
      <c r="H2368" s="3" t="s">
        <v>5062</v>
      </c>
      <c r="I2368" s="3">
        <v>6.1419239855E10</v>
      </c>
      <c r="J2368" s="3" t="s">
        <v>5063</v>
      </c>
      <c r="K2368" s="3">
        <v>0.0</v>
      </c>
      <c r="M2368" s="26"/>
    </row>
    <row r="2369">
      <c r="A2369" s="3" t="s">
        <v>2262</v>
      </c>
      <c r="B2369" s="3" t="s">
        <v>18</v>
      </c>
      <c r="C2369" s="22" t="s">
        <v>615</v>
      </c>
      <c r="D2369" s="3" t="s">
        <v>3065</v>
      </c>
      <c r="E2369" s="38">
        <v>45820.0</v>
      </c>
      <c r="F2369" s="41">
        <v>0.2</v>
      </c>
      <c r="G2369" s="3" t="s">
        <v>92</v>
      </c>
      <c r="H2369" s="3" t="s">
        <v>5064</v>
      </c>
      <c r="I2369" s="3">
        <v>6.1408721178E10</v>
      </c>
      <c r="J2369" s="3" t="s">
        <v>5065</v>
      </c>
      <c r="K2369" s="3">
        <v>0.0</v>
      </c>
      <c r="M2369" s="26"/>
    </row>
    <row r="2370">
      <c r="A2370" s="3" t="s">
        <v>532</v>
      </c>
      <c r="B2370" s="3" t="s">
        <v>18</v>
      </c>
      <c r="C2370" s="22" t="s">
        <v>5066</v>
      </c>
      <c r="D2370" s="3"/>
      <c r="E2370" s="38">
        <v>45820.0</v>
      </c>
      <c r="F2370" s="41">
        <v>0.0</v>
      </c>
      <c r="G2370" s="3" t="s">
        <v>92</v>
      </c>
      <c r="H2370" s="3" t="s">
        <v>5067</v>
      </c>
      <c r="I2370" s="3">
        <v>6.1422227212E10</v>
      </c>
      <c r="J2370" s="3" t="s">
        <v>5068</v>
      </c>
      <c r="K2370" s="3">
        <v>0.0</v>
      </c>
      <c r="M2370" s="26"/>
    </row>
    <row r="2371">
      <c r="A2371" s="3" t="s">
        <v>3757</v>
      </c>
      <c r="B2371" s="3" t="s">
        <v>18</v>
      </c>
      <c r="C2371" s="22" t="s">
        <v>5069</v>
      </c>
      <c r="D2371" s="3" t="s">
        <v>5070</v>
      </c>
      <c r="E2371" s="38">
        <v>45820.0</v>
      </c>
      <c r="F2371" s="41">
        <v>0.2</v>
      </c>
      <c r="G2371" s="3" t="s">
        <v>92</v>
      </c>
      <c r="H2371" s="3" t="s">
        <v>5071</v>
      </c>
      <c r="I2371" s="3">
        <v>6.1421274123E10</v>
      </c>
      <c r="J2371" s="3" t="s">
        <v>5072</v>
      </c>
      <c r="K2371" s="3">
        <v>0.0</v>
      </c>
      <c r="M2371" s="26"/>
    </row>
    <row r="2372">
      <c r="A2372" s="3" t="s">
        <v>1660</v>
      </c>
      <c r="B2372" s="3" t="s">
        <v>36</v>
      </c>
      <c r="C2372" s="22" t="s">
        <v>5073</v>
      </c>
      <c r="D2372" s="3"/>
      <c r="E2372" s="38">
        <v>45820.0</v>
      </c>
      <c r="F2372" s="41">
        <v>0.0</v>
      </c>
      <c r="G2372" s="3" t="s">
        <v>92</v>
      </c>
      <c r="H2372" s="3" t="s">
        <v>5074</v>
      </c>
      <c r="I2372" s="3">
        <v>6.1413523711E10</v>
      </c>
      <c r="J2372" s="3" t="s">
        <v>5075</v>
      </c>
      <c r="K2372" s="3">
        <v>0.0</v>
      </c>
      <c r="M2372" s="26"/>
    </row>
    <row r="2373">
      <c r="A2373" s="3" t="s">
        <v>4565</v>
      </c>
      <c r="B2373" s="3" t="s">
        <v>31</v>
      </c>
      <c r="C2373" s="22" t="s">
        <v>2376</v>
      </c>
      <c r="D2373" s="3" t="s">
        <v>5076</v>
      </c>
      <c r="E2373" s="38">
        <v>45820.0</v>
      </c>
      <c r="F2373" s="41">
        <v>0.2</v>
      </c>
      <c r="G2373" s="3" t="s">
        <v>92</v>
      </c>
      <c r="H2373" s="3" t="s">
        <v>5077</v>
      </c>
      <c r="I2373" s="3">
        <v>6.1410405815E10</v>
      </c>
      <c r="J2373" s="3" t="s">
        <v>5078</v>
      </c>
      <c r="K2373" s="3">
        <v>0.0</v>
      </c>
      <c r="M2373" s="26"/>
    </row>
    <row r="2374">
      <c r="A2374" s="3" t="s">
        <v>1062</v>
      </c>
      <c r="B2374" s="3" t="s">
        <v>18</v>
      </c>
      <c r="C2374" s="22" t="s">
        <v>1063</v>
      </c>
      <c r="D2374" s="3" t="s">
        <v>5079</v>
      </c>
      <c r="E2374" s="38">
        <v>45820.0</v>
      </c>
      <c r="F2374" s="41">
        <v>0.2</v>
      </c>
      <c r="G2374" s="3" t="s">
        <v>92</v>
      </c>
      <c r="H2374" s="3" t="s">
        <v>5080</v>
      </c>
      <c r="I2374" s="3">
        <v>6.1451441802E10</v>
      </c>
      <c r="J2374" s="3" t="s">
        <v>5081</v>
      </c>
      <c r="K2374" s="3">
        <v>0.0</v>
      </c>
      <c r="M2374" s="26"/>
    </row>
    <row r="2375">
      <c r="A2375" s="3" t="s">
        <v>184</v>
      </c>
      <c r="B2375" s="3" t="s">
        <v>18</v>
      </c>
      <c r="C2375" s="22" t="s">
        <v>380</v>
      </c>
      <c r="D2375" s="3" t="s">
        <v>5082</v>
      </c>
      <c r="E2375" s="38">
        <v>45820.0</v>
      </c>
      <c r="F2375" s="41">
        <v>0.2</v>
      </c>
      <c r="G2375" s="3" t="s">
        <v>92</v>
      </c>
      <c r="H2375" s="3" t="s">
        <v>5083</v>
      </c>
      <c r="I2375" s="3">
        <v>6.1411017111E10</v>
      </c>
      <c r="J2375" s="3" t="s">
        <v>5084</v>
      </c>
      <c r="K2375" s="3">
        <v>0.0</v>
      </c>
      <c r="M2375" s="26"/>
    </row>
    <row r="2376">
      <c r="A2376" s="3" t="s">
        <v>113</v>
      </c>
      <c r="B2376" s="3" t="s">
        <v>18</v>
      </c>
      <c r="C2376" s="22" t="s">
        <v>5057</v>
      </c>
      <c r="D2376" s="3" t="s">
        <v>2142</v>
      </c>
      <c r="E2376" s="38">
        <v>45820.0</v>
      </c>
      <c r="F2376" s="41">
        <v>0.2</v>
      </c>
      <c r="G2376" s="3" t="s">
        <v>92</v>
      </c>
      <c r="H2376" s="3" t="s">
        <v>2143</v>
      </c>
      <c r="I2376" s="3">
        <v>6.1410730827E10</v>
      </c>
      <c r="J2376" s="3" t="s">
        <v>5085</v>
      </c>
      <c r="K2376" s="3">
        <v>0.0</v>
      </c>
      <c r="M2376" s="26"/>
    </row>
    <row r="2377">
      <c r="A2377" s="3" t="s">
        <v>168</v>
      </c>
      <c r="B2377" s="3" t="s">
        <v>45</v>
      </c>
      <c r="C2377" s="22" t="s">
        <v>216</v>
      </c>
      <c r="D2377" s="3" t="s">
        <v>5086</v>
      </c>
      <c r="E2377" s="38">
        <v>45820.0</v>
      </c>
      <c r="F2377" s="41">
        <v>0.2</v>
      </c>
      <c r="G2377" s="3" t="s">
        <v>1453</v>
      </c>
      <c r="H2377" s="3" t="s">
        <v>5087</v>
      </c>
      <c r="I2377" s="3">
        <v>61404800066</v>
      </c>
      <c r="J2377" s="3" t="s">
        <v>5088</v>
      </c>
      <c r="K2377" s="43">
        <v>1000.0</v>
      </c>
      <c r="M2377" s="26"/>
    </row>
    <row r="2378">
      <c r="A2378" s="3" t="s">
        <v>744</v>
      </c>
      <c r="B2378" s="3" t="s">
        <v>18</v>
      </c>
      <c r="C2378" s="22" t="s">
        <v>2483</v>
      </c>
      <c r="D2378" s="3" t="s">
        <v>5089</v>
      </c>
      <c r="E2378" s="38">
        <v>45820.0</v>
      </c>
      <c r="F2378" s="41">
        <v>0.2</v>
      </c>
      <c r="G2378" s="3" t="s">
        <v>1453</v>
      </c>
      <c r="H2378" s="3" t="s">
        <v>5090</v>
      </c>
      <c r="I2378" s="3">
        <v>61448244886</v>
      </c>
      <c r="J2378" s="3" t="s">
        <v>5091</v>
      </c>
      <c r="K2378" s="43">
        <v>500.0</v>
      </c>
      <c r="M2378" s="26"/>
    </row>
    <row r="2379">
      <c r="A2379" s="3" t="s">
        <v>669</v>
      </c>
      <c r="B2379" s="3" t="s">
        <v>31</v>
      </c>
      <c r="C2379" s="22" t="s">
        <v>3703</v>
      </c>
      <c r="D2379" s="3" t="s">
        <v>5092</v>
      </c>
      <c r="E2379" s="38">
        <v>45820.0</v>
      </c>
      <c r="F2379" s="41">
        <v>0.2</v>
      </c>
      <c r="G2379" s="3" t="s">
        <v>129</v>
      </c>
      <c r="H2379" s="3" t="s">
        <v>5093</v>
      </c>
      <c r="I2379" s="3">
        <v>6.1417061534E10</v>
      </c>
      <c r="J2379" s="3" t="s">
        <v>5094</v>
      </c>
      <c r="K2379" s="43">
        <v>2500.0</v>
      </c>
      <c r="M2379" s="26"/>
    </row>
    <row r="2380">
      <c r="A2380" s="3" t="s">
        <v>1359</v>
      </c>
      <c r="B2380" s="3" t="s">
        <v>45</v>
      </c>
      <c r="C2380" s="22" t="s">
        <v>4473</v>
      </c>
      <c r="D2380" s="3" t="s">
        <v>5095</v>
      </c>
      <c r="E2380" s="38">
        <v>45820.0</v>
      </c>
      <c r="F2380" s="41">
        <v>0.2</v>
      </c>
      <c r="G2380" s="3" t="s">
        <v>1453</v>
      </c>
      <c r="H2380" s="3" t="s">
        <v>5096</v>
      </c>
      <c r="I2380" s="3">
        <v>6.1403288351E10</v>
      </c>
      <c r="J2380" s="3" t="s">
        <v>5097</v>
      </c>
      <c r="K2380" s="43">
        <v>500.0</v>
      </c>
      <c r="M2380" s="26"/>
    </row>
    <row r="2381">
      <c r="A2381" s="3" t="s">
        <v>717</v>
      </c>
      <c r="B2381" s="3" t="s">
        <v>36</v>
      </c>
      <c r="C2381" s="22" t="s">
        <v>4457</v>
      </c>
      <c r="D2381" s="3" t="s">
        <v>5098</v>
      </c>
      <c r="E2381" s="38">
        <v>45820.0</v>
      </c>
      <c r="F2381" s="41">
        <v>0.2</v>
      </c>
      <c r="G2381" s="3" t="s">
        <v>1453</v>
      </c>
      <c r="H2381" s="3" t="s">
        <v>5099</v>
      </c>
      <c r="I2381" s="3">
        <v>61411457476</v>
      </c>
      <c r="J2381" s="3" t="s">
        <v>5100</v>
      </c>
      <c r="K2381" s="43">
        <v>500.0</v>
      </c>
      <c r="M2381" s="26"/>
    </row>
    <row r="2382">
      <c r="A2382" s="3" t="s">
        <v>717</v>
      </c>
      <c r="B2382" s="3" t="s">
        <v>36</v>
      </c>
      <c r="C2382" s="22" t="s">
        <v>4457</v>
      </c>
      <c r="D2382" s="3" t="s">
        <v>5101</v>
      </c>
      <c r="E2382" s="38">
        <v>45820.0</v>
      </c>
      <c r="F2382" s="41">
        <v>0.2</v>
      </c>
      <c r="G2382" s="3" t="s">
        <v>129</v>
      </c>
      <c r="H2382" s="3" t="s">
        <v>5099</v>
      </c>
      <c r="I2382" s="3">
        <v>610411457476</v>
      </c>
      <c r="J2382" s="3" t="s">
        <v>5100</v>
      </c>
      <c r="K2382" s="43">
        <v>750.0</v>
      </c>
      <c r="M2382" s="26"/>
    </row>
    <row r="2383">
      <c r="A2383" s="3" t="s">
        <v>2262</v>
      </c>
      <c r="B2383" s="3" t="s">
        <v>18</v>
      </c>
      <c r="C2383" s="22" t="s">
        <v>419</v>
      </c>
      <c r="D2383" s="3" t="s">
        <v>5102</v>
      </c>
      <c r="E2383" s="38">
        <v>45820.0</v>
      </c>
      <c r="F2383" s="41">
        <v>0.2</v>
      </c>
      <c r="G2383" s="3" t="s">
        <v>129</v>
      </c>
      <c r="H2383" s="3" t="s">
        <v>5103</v>
      </c>
      <c r="I2383" s="3">
        <v>6.1427444429E10</v>
      </c>
      <c r="J2383" s="3" t="s">
        <v>5104</v>
      </c>
      <c r="K2383" s="43">
        <v>1000.0</v>
      </c>
      <c r="M2383" s="26"/>
    </row>
    <row r="2384">
      <c r="A2384" s="3"/>
      <c r="B2384" s="3"/>
      <c r="C2384" s="22"/>
      <c r="D2384" s="22"/>
      <c r="E2384" s="46"/>
      <c r="G2384" s="3"/>
      <c r="H2384" s="22"/>
      <c r="I2384" s="45"/>
      <c r="J2384" s="22"/>
      <c r="K2384" s="3"/>
      <c r="M2384" s="26"/>
    </row>
    <row r="2385">
      <c r="A2385" s="3"/>
      <c r="B2385" s="3"/>
      <c r="D2385" s="22"/>
      <c r="E2385" s="46"/>
      <c r="G2385" s="3"/>
      <c r="H2385" s="22"/>
      <c r="I2385" s="45"/>
      <c r="J2385" s="22"/>
      <c r="K2385" s="3"/>
      <c r="M2385" s="26"/>
    </row>
    <row r="2386">
      <c r="D2386" s="22"/>
      <c r="E2386" s="46"/>
      <c r="H2386" s="22"/>
      <c r="I2386" s="45"/>
      <c r="J2386" s="22"/>
      <c r="M2386" s="26"/>
    </row>
    <row r="2387">
      <c r="D2387" s="22"/>
      <c r="E2387" s="46"/>
      <c r="H2387" s="22"/>
      <c r="I2387" s="45"/>
      <c r="J2387" s="22"/>
      <c r="M2387" s="26"/>
    </row>
    <row r="2388">
      <c r="D2388" s="22"/>
      <c r="E2388" s="46"/>
      <c r="H2388" s="22"/>
      <c r="I2388" s="45"/>
      <c r="J2388" s="22"/>
      <c r="M2388" s="26"/>
    </row>
    <row r="2389">
      <c r="D2389" s="22"/>
      <c r="E2389" s="46"/>
      <c r="H2389" s="22"/>
      <c r="I2389" s="45"/>
      <c r="J2389" s="22"/>
      <c r="M2389" s="26"/>
    </row>
    <row r="2390">
      <c r="C2390" s="22"/>
      <c r="D2390" s="22"/>
      <c r="E2390" s="46"/>
      <c r="H2390" s="22"/>
      <c r="I2390" s="45"/>
      <c r="J2390" s="22"/>
      <c r="M2390" s="26"/>
    </row>
    <row r="2391">
      <c r="E2391" s="5"/>
      <c r="F2391" s="23"/>
      <c r="G2391" s="23"/>
      <c r="I2391" s="39"/>
      <c r="J2391" s="22"/>
      <c r="M2391" s="26"/>
    </row>
    <row r="2392">
      <c r="C2392" s="22"/>
      <c r="D2392" s="22"/>
      <c r="E2392" s="46"/>
      <c r="H2392" s="22"/>
      <c r="I2392" s="45"/>
      <c r="J2392" s="22"/>
      <c r="M2392" s="26"/>
    </row>
    <row r="2393">
      <c r="C2393" s="22"/>
      <c r="D2393" s="22"/>
      <c r="E2393" s="46"/>
      <c r="H2393" s="22"/>
      <c r="I2393" s="45"/>
      <c r="J2393" s="22"/>
      <c r="M2393" s="26"/>
    </row>
    <row r="2394">
      <c r="C2394" s="22"/>
      <c r="D2394" s="22"/>
      <c r="E2394" s="46"/>
      <c r="H2394" s="22"/>
      <c r="I2394" s="45"/>
      <c r="J2394" s="22"/>
      <c r="M2394" s="26"/>
    </row>
    <row r="2395">
      <c r="C2395" s="22"/>
      <c r="D2395" s="22"/>
      <c r="E2395" s="46"/>
      <c r="H2395" s="22"/>
      <c r="I2395" s="45"/>
      <c r="J2395" s="22"/>
      <c r="M2395" s="26"/>
    </row>
    <row r="2396">
      <c r="C2396" s="22"/>
      <c r="D2396" s="22"/>
      <c r="E2396" s="46"/>
      <c r="H2396" s="22"/>
      <c r="I2396" s="45"/>
      <c r="J2396" s="22"/>
      <c r="M2396" s="26"/>
    </row>
    <row r="2397">
      <c r="C2397" s="22"/>
      <c r="D2397" s="22"/>
      <c r="E2397" s="46"/>
      <c r="H2397" s="22"/>
      <c r="I2397" s="45"/>
      <c r="J2397" s="22"/>
      <c r="M2397" s="26"/>
    </row>
    <row r="2398">
      <c r="C2398" s="22"/>
      <c r="D2398" s="22"/>
      <c r="E2398" s="46"/>
      <c r="H2398" s="22"/>
      <c r="I2398" s="45"/>
      <c r="J2398" s="22"/>
      <c r="M2398" s="26"/>
    </row>
    <row r="2399">
      <c r="C2399" s="22"/>
      <c r="D2399" s="22"/>
      <c r="E2399" s="46"/>
      <c r="H2399" s="22"/>
      <c r="I2399" s="45"/>
      <c r="J2399" s="22"/>
      <c r="M2399" s="26"/>
    </row>
    <row r="2400">
      <c r="C2400" s="22"/>
      <c r="D2400" s="22"/>
      <c r="E2400" s="46"/>
      <c r="H2400" s="22"/>
      <c r="I2400" s="45"/>
      <c r="J2400" s="22"/>
      <c r="M2400" s="26"/>
    </row>
    <row r="2401">
      <c r="C2401" s="22"/>
      <c r="D2401" s="22"/>
      <c r="E2401" s="46"/>
      <c r="H2401" s="22"/>
      <c r="I2401" s="45"/>
      <c r="J2401" s="22"/>
      <c r="M2401" s="26"/>
    </row>
    <row r="2402">
      <c r="C2402" s="22"/>
      <c r="D2402" s="22"/>
      <c r="E2402" s="46"/>
      <c r="H2402" s="22"/>
      <c r="I2402" s="45"/>
      <c r="J2402" s="22"/>
      <c r="M2402" s="26"/>
    </row>
    <row r="2403">
      <c r="C2403" s="22"/>
      <c r="D2403" s="22"/>
      <c r="E2403" s="46"/>
      <c r="H2403" s="22"/>
      <c r="I2403" s="45"/>
      <c r="J2403" s="22"/>
      <c r="M2403" s="26"/>
    </row>
    <row r="2404">
      <c r="C2404" s="22"/>
      <c r="D2404" s="22"/>
      <c r="E2404" s="46"/>
      <c r="H2404" s="22"/>
      <c r="I2404" s="45"/>
      <c r="J2404" s="22"/>
      <c r="M2404" s="26"/>
    </row>
    <row r="2405">
      <c r="C2405" s="22"/>
      <c r="D2405" s="22"/>
      <c r="E2405" s="46"/>
      <c r="H2405" s="22"/>
      <c r="I2405" s="45"/>
      <c r="J2405" s="22"/>
      <c r="M2405" s="26"/>
    </row>
    <row r="2406">
      <c r="E2406" s="5"/>
      <c r="M2406" s="7"/>
    </row>
    <row r="2407">
      <c r="E2407" s="5"/>
      <c r="M2407" s="7"/>
    </row>
    <row r="2408">
      <c r="E2408" s="5"/>
      <c r="M2408" s="7"/>
    </row>
    <row r="2409">
      <c r="E2409" s="5"/>
      <c r="M2409" s="7"/>
    </row>
    <row r="2410">
      <c r="E2410" s="5"/>
      <c r="M2410" s="7"/>
    </row>
    <row r="2411">
      <c r="E2411" s="5"/>
      <c r="G2411" s="23"/>
      <c r="M2411" s="7"/>
    </row>
    <row r="2412">
      <c r="E2412" s="5"/>
      <c r="M2412" s="7"/>
    </row>
    <row r="2413">
      <c r="E2413" s="5"/>
      <c r="M2413" s="7"/>
    </row>
    <row r="2414">
      <c r="E2414" s="5"/>
      <c r="M2414" s="7"/>
    </row>
    <row r="2415">
      <c r="E2415" s="5"/>
      <c r="M2415" s="7"/>
    </row>
    <row r="2416">
      <c r="E2416" s="5"/>
      <c r="M2416" s="7"/>
    </row>
    <row r="2417">
      <c r="E2417" s="5"/>
      <c r="M2417" s="7"/>
    </row>
    <row r="2418">
      <c r="E2418" s="5"/>
      <c r="M2418" s="7"/>
    </row>
    <row r="2419">
      <c r="E2419" s="5"/>
      <c r="M2419" s="7"/>
    </row>
    <row r="2420">
      <c r="E2420" s="5"/>
      <c r="M2420" s="7"/>
    </row>
    <row r="2421">
      <c r="E2421" s="5"/>
      <c r="M2421" s="7"/>
    </row>
    <row r="2422">
      <c r="E2422" s="5"/>
      <c r="M2422" s="7"/>
    </row>
    <row r="2423">
      <c r="E2423" s="5"/>
      <c r="M2423" s="7"/>
    </row>
    <row r="2424">
      <c r="E2424" s="5"/>
      <c r="M2424" s="7"/>
    </row>
    <row r="2425">
      <c r="E2425" s="5"/>
      <c r="M2425" s="7"/>
    </row>
    <row r="2426">
      <c r="E2426" s="5"/>
      <c r="M2426" s="7"/>
    </row>
    <row r="2427">
      <c r="E2427" s="5"/>
      <c r="M2427" s="7"/>
    </row>
    <row r="2428">
      <c r="E2428" s="5"/>
      <c r="M2428" s="7"/>
    </row>
    <row r="2429">
      <c r="E2429" s="5"/>
      <c r="M2429" s="7"/>
    </row>
    <row r="2430">
      <c r="E2430" s="5"/>
      <c r="M2430" s="7"/>
    </row>
    <row r="2431">
      <c r="E2431" s="5"/>
      <c r="M2431" s="7"/>
    </row>
    <row r="2432">
      <c r="E2432" s="5"/>
      <c r="M2432" s="7"/>
    </row>
    <row r="2433">
      <c r="E2433" s="5"/>
      <c r="M2433" s="7"/>
    </row>
    <row r="2434">
      <c r="E2434" s="5"/>
      <c r="M2434" s="7"/>
    </row>
    <row r="2435">
      <c r="E2435" s="5"/>
      <c r="M2435" s="7"/>
    </row>
    <row r="2436">
      <c r="E2436" s="5"/>
      <c r="M2436" s="7"/>
    </row>
    <row r="2437">
      <c r="E2437" s="5"/>
      <c r="M2437" s="7"/>
    </row>
    <row r="2438">
      <c r="E2438" s="5"/>
      <c r="M2438" s="7"/>
    </row>
    <row r="2439">
      <c r="E2439" s="5"/>
      <c r="M2439" s="7"/>
    </row>
    <row r="2440">
      <c r="E2440" s="5"/>
      <c r="M2440" s="7"/>
    </row>
    <row r="2441">
      <c r="E2441" s="5"/>
      <c r="M2441" s="7"/>
    </row>
    <row r="2442">
      <c r="E2442" s="5"/>
      <c r="M2442" s="7"/>
    </row>
    <row r="2443">
      <c r="E2443" s="5"/>
      <c r="M2443" s="7"/>
    </row>
    <row r="2444">
      <c r="E2444" s="5"/>
      <c r="M2444" s="7"/>
    </row>
    <row r="2445">
      <c r="E2445" s="5"/>
      <c r="M2445" s="7"/>
    </row>
    <row r="2446">
      <c r="E2446" s="5"/>
      <c r="M2446" s="7"/>
    </row>
    <row r="2447">
      <c r="E2447" s="5"/>
      <c r="M2447" s="7"/>
    </row>
    <row r="2448">
      <c r="E2448" s="5"/>
      <c r="M2448" s="7"/>
    </row>
    <row r="2449">
      <c r="E2449" s="5"/>
      <c r="M2449" s="7"/>
    </row>
    <row r="2450">
      <c r="E2450" s="5"/>
      <c r="M2450" s="7"/>
    </row>
    <row r="2451">
      <c r="E2451" s="5"/>
      <c r="M2451" s="7"/>
    </row>
    <row r="2452">
      <c r="E2452" s="5"/>
      <c r="M2452" s="7"/>
    </row>
    <row r="2453">
      <c r="E2453" s="5"/>
      <c r="M2453" s="7"/>
    </row>
    <row r="2454">
      <c r="E2454" s="5"/>
      <c r="M2454" s="7"/>
    </row>
    <row r="2455">
      <c r="E2455" s="5"/>
      <c r="M2455" s="7"/>
    </row>
    <row r="2456">
      <c r="E2456" s="5"/>
      <c r="M2456" s="7"/>
    </row>
    <row r="2457">
      <c r="E2457" s="5"/>
      <c r="M2457" s="7"/>
    </row>
    <row r="2458">
      <c r="E2458" s="5"/>
      <c r="M2458" s="7"/>
    </row>
    <row r="2459">
      <c r="E2459" s="5"/>
      <c r="M2459" s="7"/>
    </row>
    <row r="2460">
      <c r="E2460" s="5"/>
      <c r="M2460" s="7"/>
    </row>
    <row r="2461">
      <c r="E2461" s="5"/>
      <c r="M2461" s="7"/>
    </row>
    <row r="2462">
      <c r="E2462" s="5"/>
      <c r="M2462" s="7"/>
    </row>
    <row r="2463">
      <c r="E2463" s="5"/>
      <c r="M2463" s="7"/>
    </row>
    <row r="2464">
      <c r="E2464" s="5"/>
      <c r="M2464" s="7"/>
    </row>
    <row r="2465">
      <c r="E2465" s="5"/>
      <c r="M2465" s="7"/>
    </row>
    <row r="2466">
      <c r="E2466" s="5"/>
      <c r="M2466" s="7"/>
    </row>
    <row r="2467">
      <c r="E2467" s="5"/>
      <c r="M2467" s="7"/>
    </row>
    <row r="2468">
      <c r="E2468" s="5"/>
      <c r="M2468" s="7"/>
    </row>
    <row r="2469">
      <c r="E2469" s="5"/>
      <c r="M2469" s="7"/>
    </row>
    <row r="2470">
      <c r="E2470" s="5"/>
      <c r="M2470" s="7"/>
    </row>
    <row r="2471">
      <c r="E2471" s="5"/>
      <c r="M2471" s="7"/>
    </row>
    <row r="2472">
      <c r="E2472" s="5"/>
      <c r="M2472" s="7"/>
    </row>
    <row r="2473">
      <c r="E2473" s="5"/>
      <c r="M2473" s="7"/>
    </row>
    <row r="2474">
      <c r="E2474" s="5"/>
      <c r="M2474" s="7"/>
    </row>
    <row r="2475">
      <c r="E2475" s="5"/>
      <c r="M2475" s="7"/>
    </row>
    <row r="2476">
      <c r="E2476" s="5"/>
      <c r="M2476" s="7"/>
    </row>
    <row r="2477">
      <c r="E2477" s="5"/>
      <c r="M2477" s="7"/>
    </row>
    <row r="2478">
      <c r="E2478" s="5"/>
      <c r="M2478" s="7"/>
    </row>
    <row r="2479">
      <c r="E2479" s="5"/>
      <c r="M2479" s="7"/>
    </row>
    <row r="2480">
      <c r="E2480" s="5"/>
      <c r="M2480" s="7"/>
    </row>
    <row r="2481">
      <c r="E2481" s="5"/>
      <c r="M2481" s="7"/>
    </row>
    <row r="2482">
      <c r="E2482" s="5"/>
      <c r="M2482" s="7"/>
    </row>
    <row r="2483">
      <c r="E2483" s="5"/>
      <c r="M2483" s="7"/>
    </row>
    <row r="2484">
      <c r="E2484" s="5"/>
      <c r="M2484" s="7"/>
    </row>
    <row r="2485">
      <c r="E2485" s="5"/>
      <c r="M2485" s="7"/>
    </row>
    <row r="2486">
      <c r="E2486" s="5"/>
      <c r="M2486" s="7"/>
    </row>
    <row r="2487">
      <c r="E2487" s="5"/>
      <c r="M2487" s="7"/>
    </row>
    <row r="2488">
      <c r="E2488" s="5"/>
      <c r="M2488" s="7"/>
    </row>
    <row r="2489">
      <c r="E2489" s="5"/>
      <c r="M2489" s="7"/>
    </row>
    <row r="2490">
      <c r="E2490" s="5"/>
      <c r="M2490" s="7"/>
    </row>
    <row r="2491">
      <c r="E2491" s="5"/>
      <c r="M2491" s="7"/>
    </row>
    <row r="2492">
      <c r="E2492" s="5"/>
      <c r="M2492" s="7"/>
    </row>
    <row r="2493">
      <c r="E2493" s="5"/>
      <c r="M2493" s="7"/>
    </row>
    <row r="2494">
      <c r="E2494" s="5"/>
      <c r="M2494" s="7"/>
    </row>
    <row r="2495">
      <c r="E2495" s="5"/>
      <c r="M2495" s="7"/>
    </row>
    <row r="2496">
      <c r="E2496" s="5"/>
      <c r="M2496" s="7"/>
    </row>
    <row r="2497">
      <c r="E2497" s="5"/>
      <c r="M2497" s="7"/>
    </row>
    <row r="2498">
      <c r="E2498" s="5"/>
      <c r="M2498" s="7"/>
    </row>
    <row r="2499">
      <c r="E2499" s="5"/>
      <c r="M2499" s="7"/>
    </row>
    <row r="2500">
      <c r="E2500" s="5"/>
      <c r="M2500" s="7"/>
    </row>
    <row r="2501">
      <c r="E2501" s="5"/>
      <c r="M2501" s="7"/>
    </row>
    <row r="2502">
      <c r="E2502" s="5"/>
      <c r="M2502" s="7"/>
    </row>
    <row r="2503">
      <c r="E2503" s="5"/>
      <c r="M2503" s="7"/>
    </row>
    <row r="2504">
      <c r="E2504" s="5"/>
      <c r="M2504" s="7"/>
    </row>
    <row r="2505">
      <c r="E2505" s="5"/>
      <c r="M2505" s="7"/>
    </row>
    <row r="2506">
      <c r="E2506" s="5"/>
      <c r="M2506" s="7"/>
    </row>
    <row r="2507">
      <c r="E2507" s="5"/>
      <c r="M2507" s="7"/>
    </row>
    <row r="2508">
      <c r="E2508" s="5"/>
      <c r="M2508" s="7"/>
    </row>
    <row r="2509">
      <c r="E2509" s="5"/>
      <c r="M2509" s="7"/>
    </row>
    <row r="2510">
      <c r="E2510" s="5"/>
      <c r="M2510" s="7"/>
    </row>
    <row r="2511">
      <c r="E2511" s="5"/>
      <c r="M2511" s="7"/>
    </row>
    <row r="2512">
      <c r="E2512" s="5"/>
      <c r="M2512" s="7"/>
    </row>
    <row r="2513">
      <c r="E2513" s="5"/>
      <c r="M2513" s="7"/>
    </row>
    <row r="2514">
      <c r="E2514" s="5"/>
      <c r="M2514" s="7"/>
    </row>
    <row r="2515">
      <c r="E2515" s="5"/>
      <c r="M2515" s="7"/>
    </row>
    <row r="2516">
      <c r="E2516" s="5"/>
      <c r="M2516" s="7"/>
    </row>
    <row r="2517">
      <c r="E2517" s="5"/>
      <c r="M2517" s="7"/>
    </row>
    <row r="2518">
      <c r="E2518" s="5"/>
      <c r="M2518" s="7"/>
    </row>
    <row r="2519">
      <c r="E2519" s="5"/>
      <c r="M2519" s="7"/>
    </row>
    <row r="2520">
      <c r="E2520" s="5"/>
      <c r="M2520" s="7"/>
    </row>
    <row r="2521">
      <c r="E2521" s="5"/>
      <c r="M2521" s="7"/>
    </row>
    <row r="2522">
      <c r="E2522" s="5"/>
      <c r="M2522" s="7"/>
    </row>
    <row r="2523">
      <c r="E2523" s="5"/>
      <c r="M2523" s="7"/>
    </row>
    <row r="2524">
      <c r="E2524" s="5"/>
      <c r="M2524" s="7"/>
    </row>
    <row r="2525">
      <c r="E2525" s="5"/>
      <c r="M2525" s="7"/>
    </row>
    <row r="2526">
      <c r="E2526" s="5"/>
      <c r="M2526" s="7"/>
    </row>
    <row r="2527">
      <c r="E2527" s="5"/>
      <c r="M2527" s="7"/>
    </row>
    <row r="2528">
      <c r="E2528" s="5"/>
      <c r="M2528" s="7"/>
    </row>
    <row r="2529">
      <c r="E2529" s="5"/>
      <c r="M2529" s="7"/>
    </row>
    <row r="2530">
      <c r="E2530" s="5"/>
      <c r="M2530" s="7"/>
    </row>
    <row r="2531">
      <c r="E2531" s="5"/>
      <c r="M2531" s="7"/>
    </row>
    <row r="2532">
      <c r="E2532" s="5"/>
      <c r="M2532" s="7"/>
    </row>
    <row r="2533">
      <c r="E2533" s="5"/>
      <c r="M2533" s="7"/>
    </row>
    <row r="2534">
      <c r="E2534" s="5"/>
      <c r="M2534" s="7"/>
    </row>
    <row r="2535">
      <c r="E2535" s="5"/>
      <c r="M2535" s="7"/>
    </row>
    <row r="2536">
      <c r="E2536" s="5"/>
      <c r="M2536" s="7"/>
    </row>
    <row r="2537">
      <c r="E2537" s="5"/>
      <c r="M2537" s="7"/>
    </row>
    <row r="2538">
      <c r="E2538" s="5"/>
      <c r="M2538" s="7"/>
    </row>
    <row r="2539">
      <c r="E2539" s="5"/>
      <c r="M2539" s="7"/>
    </row>
    <row r="2540">
      <c r="E2540" s="5"/>
      <c r="M2540" s="7"/>
    </row>
    <row r="2541">
      <c r="E2541" s="5"/>
      <c r="M2541" s="7"/>
    </row>
    <row r="2542">
      <c r="E2542" s="5"/>
      <c r="M2542" s="7"/>
    </row>
    <row r="2543">
      <c r="E2543" s="5"/>
      <c r="M2543" s="7"/>
    </row>
    <row r="2544">
      <c r="E2544" s="5"/>
      <c r="M2544" s="7"/>
    </row>
    <row r="2545">
      <c r="E2545" s="5"/>
      <c r="M2545" s="7"/>
    </row>
    <row r="2546">
      <c r="E2546" s="5"/>
      <c r="M2546" s="7"/>
    </row>
    <row r="2547">
      <c r="E2547" s="5"/>
      <c r="M2547" s="7"/>
    </row>
    <row r="2548">
      <c r="E2548" s="5"/>
      <c r="M2548" s="7"/>
    </row>
    <row r="2549">
      <c r="E2549" s="5"/>
      <c r="M2549" s="7"/>
    </row>
    <row r="2550">
      <c r="E2550" s="5"/>
      <c r="M2550" s="7"/>
    </row>
    <row r="2551">
      <c r="E2551" s="5"/>
      <c r="M2551" s="7"/>
    </row>
    <row r="2552">
      <c r="E2552" s="5"/>
      <c r="M2552" s="7"/>
    </row>
    <row r="2553">
      <c r="E2553" s="5"/>
      <c r="M2553" s="7"/>
    </row>
    <row r="2554">
      <c r="E2554" s="5"/>
      <c r="M2554" s="7"/>
    </row>
    <row r="2555">
      <c r="E2555" s="5"/>
      <c r="M2555" s="7"/>
    </row>
    <row r="2556">
      <c r="E2556" s="5"/>
      <c r="M2556" s="7"/>
    </row>
    <row r="2557">
      <c r="E2557" s="5"/>
      <c r="M2557" s="7"/>
    </row>
    <row r="2558">
      <c r="E2558" s="5"/>
      <c r="M2558" s="7"/>
    </row>
    <row r="2559">
      <c r="E2559" s="5"/>
      <c r="M2559" s="7"/>
    </row>
    <row r="2560">
      <c r="E2560" s="5"/>
      <c r="M2560" s="7"/>
    </row>
    <row r="2561">
      <c r="E2561" s="5"/>
      <c r="M2561" s="7"/>
    </row>
    <row r="2562">
      <c r="E2562" s="5"/>
      <c r="M2562" s="7"/>
    </row>
    <row r="2563">
      <c r="E2563" s="5"/>
      <c r="M2563" s="7"/>
    </row>
    <row r="2564">
      <c r="E2564" s="5"/>
      <c r="M2564" s="7"/>
    </row>
    <row r="2565">
      <c r="E2565" s="5"/>
      <c r="M2565" s="7"/>
    </row>
    <row r="2566">
      <c r="E2566" s="5"/>
      <c r="M2566" s="7"/>
    </row>
    <row r="2567">
      <c r="E2567" s="5"/>
      <c r="M2567" s="7"/>
    </row>
    <row r="2568">
      <c r="E2568" s="5"/>
      <c r="M2568" s="7"/>
    </row>
    <row r="2569">
      <c r="E2569" s="5"/>
      <c r="M2569" s="7"/>
    </row>
    <row r="2570">
      <c r="E2570" s="5"/>
      <c r="M2570" s="7"/>
    </row>
    <row r="2571">
      <c r="E2571" s="5"/>
      <c r="M2571" s="7"/>
    </row>
    <row r="2572">
      <c r="E2572" s="5"/>
      <c r="M2572" s="7"/>
    </row>
    <row r="2573">
      <c r="E2573" s="5"/>
      <c r="M2573" s="7"/>
    </row>
    <row r="2574">
      <c r="E2574" s="5"/>
      <c r="M2574" s="7"/>
    </row>
    <row r="2575">
      <c r="E2575" s="5"/>
      <c r="M2575" s="7"/>
    </row>
    <row r="2576">
      <c r="E2576" s="5"/>
      <c r="M2576" s="7"/>
    </row>
    <row r="2577">
      <c r="E2577" s="5"/>
      <c r="M2577" s="7"/>
    </row>
    <row r="2578">
      <c r="E2578" s="5"/>
      <c r="M2578" s="7"/>
    </row>
    <row r="2579">
      <c r="E2579" s="5"/>
      <c r="M2579" s="7"/>
    </row>
    <row r="2580">
      <c r="E2580" s="5"/>
      <c r="M2580" s="7"/>
    </row>
    <row r="2581">
      <c r="E2581" s="5"/>
      <c r="M2581" s="7"/>
    </row>
    <row r="2582">
      <c r="E2582" s="5"/>
      <c r="M2582" s="7"/>
    </row>
    <row r="2583">
      <c r="E2583" s="5"/>
      <c r="M2583" s="7"/>
    </row>
    <row r="2584">
      <c r="E2584" s="5"/>
      <c r="M2584" s="7"/>
    </row>
    <row r="2585">
      <c r="E2585" s="5"/>
      <c r="M2585" s="7"/>
    </row>
    <row r="2586">
      <c r="E2586" s="5"/>
      <c r="M2586" s="7"/>
    </row>
    <row r="2587">
      <c r="E2587" s="5"/>
      <c r="M2587" s="7"/>
    </row>
    <row r="2588">
      <c r="E2588" s="5"/>
      <c r="M2588" s="7"/>
    </row>
    <row r="2589">
      <c r="E2589" s="5"/>
      <c r="M2589" s="7"/>
    </row>
    <row r="2590">
      <c r="E2590" s="5"/>
      <c r="M2590" s="7"/>
    </row>
    <row r="2591">
      <c r="E2591" s="5"/>
      <c r="M2591" s="7"/>
    </row>
    <row r="2592">
      <c r="E2592" s="5"/>
      <c r="M2592" s="7"/>
    </row>
    <row r="2593">
      <c r="E2593" s="5"/>
      <c r="M2593" s="7"/>
    </row>
    <row r="2594">
      <c r="E2594" s="5"/>
      <c r="M2594" s="7"/>
    </row>
    <row r="2595">
      <c r="E2595" s="5"/>
      <c r="M2595" s="7"/>
    </row>
    <row r="2596">
      <c r="E2596" s="5"/>
      <c r="M2596" s="7"/>
    </row>
    <row r="2597">
      <c r="E2597" s="5"/>
      <c r="M2597" s="7"/>
    </row>
    <row r="2598">
      <c r="E2598" s="5"/>
      <c r="M2598" s="7"/>
    </row>
    <row r="2599">
      <c r="E2599" s="5"/>
      <c r="M2599" s="7"/>
    </row>
    <row r="2600">
      <c r="E2600" s="5"/>
      <c r="M2600" s="7"/>
    </row>
    <row r="2601">
      <c r="E2601" s="5"/>
      <c r="M2601" s="7"/>
    </row>
    <row r="2602">
      <c r="E2602" s="5"/>
      <c r="M2602" s="7"/>
    </row>
    <row r="2603">
      <c r="E2603" s="5"/>
      <c r="M2603" s="7"/>
    </row>
    <row r="2604">
      <c r="E2604" s="5"/>
      <c r="M2604" s="7"/>
    </row>
    <row r="2605">
      <c r="E2605" s="5"/>
      <c r="M2605" s="7"/>
    </row>
    <row r="2606">
      <c r="E2606" s="5"/>
      <c r="M2606" s="7"/>
    </row>
    <row r="2607">
      <c r="E2607" s="5"/>
      <c r="M2607" s="7"/>
    </row>
    <row r="2608">
      <c r="E2608" s="5"/>
      <c r="M2608" s="7"/>
    </row>
    <row r="2609">
      <c r="E2609" s="5"/>
      <c r="M2609" s="7"/>
    </row>
    <row r="2610">
      <c r="E2610" s="5"/>
      <c r="M2610" s="7"/>
    </row>
    <row r="2611">
      <c r="E2611" s="5"/>
      <c r="M2611" s="7"/>
    </row>
    <row r="2612">
      <c r="E2612" s="5"/>
      <c r="M2612" s="7"/>
    </row>
    <row r="2613">
      <c r="E2613" s="5"/>
      <c r="M2613" s="7"/>
    </row>
    <row r="2614">
      <c r="E2614" s="5"/>
      <c r="M2614" s="7"/>
    </row>
    <row r="2615">
      <c r="E2615" s="5"/>
      <c r="M2615" s="7"/>
    </row>
    <row r="2616">
      <c r="E2616" s="5"/>
      <c r="M2616" s="7"/>
    </row>
    <row r="2617">
      <c r="E2617" s="5"/>
      <c r="M2617" s="7"/>
    </row>
    <row r="2618">
      <c r="E2618" s="5"/>
      <c r="M2618" s="7"/>
    </row>
    <row r="2619">
      <c r="E2619" s="5"/>
      <c r="M2619" s="7"/>
    </row>
    <row r="2620">
      <c r="E2620" s="5"/>
      <c r="M2620" s="7"/>
    </row>
    <row r="2621">
      <c r="E2621" s="5"/>
      <c r="M2621" s="7"/>
    </row>
    <row r="2622">
      <c r="E2622" s="5"/>
      <c r="M2622" s="7"/>
    </row>
    <row r="2623">
      <c r="E2623" s="5"/>
      <c r="M2623" s="7"/>
    </row>
    <row r="2624">
      <c r="E2624" s="5"/>
      <c r="M2624" s="7"/>
    </row>
    <row r="2625">
      <c r="E2625" s="5"/>
      <c r="M2625" s="7"/>
    </row>
    <row r="2626">
      <c r="E2626" s="5"/>
      <c r="M2626" s="7"/>
    </row>
    <row r="2627">
      <c r="E2627" s="5"/>
      <c r="M2627" s="7"/>
    </row>
    <row r="2628">
      <c r="E2628" s="5"/>
      <c r="M2628" s="7"/>
    </row>
    <row r="2629">
      <c r="E2629" s="5"/>
      <c r="M2629" s="7"/>
    </row>
    <row r="2630">
      <c r="E2630" s="5"/>
      <c r="M2630" s="7"/>
    </row>
    <row r="2631">
      <c r="E2631" s="5"/>
      <c r="M2631" s="7"/>
    </row>
    <row r="2632">
      <c r="E2632" s="5"/>
      <c r="M2632" s="7"/>
    </row>
    <row r="2633">
      <c r="E2633" s="5"/>
      <c r="M2633" s="7"/>
    </row>
    <row r="2634">
      <c r="E2634" s="5"/>
      <c r="M2634" s="7"/>
    </row>
    <row r="2635">
      <c r="E2635" s="5"/>
      <c r="M2635" s="7"/>
    </row>
    <row r="2636">
      <c r="E2636" s="5"/>
      <c r="M2636" s="7"/>
    </row>
    <row r="2637">
      <c r="E2637" s="5"/>
      <c r="M2637" s="7"/>
    </row>
    <row r="2638">
      <c r="E2638" s="5"/>
      <c r="M2638" s="7"/>
    </row>
    <row r="2639">
      <c r="E2639" s="5"/>
      <c r="M2639" s="7"/>
    </row>
    <row r="2640">
      <c r="E2640" s="5"/>
      <c r="M2640" s="7"/>
    </row>
    <row r="2641">
      <c r="E2641" s="5"/>
      <c r="M2641" s="7"/>
    </row>
    <row r="2642">
      <c r="E2642" s="5"/>
      <c r="M2642" s="7"/>
    </row>
    <row r="2643">
      <c r="E2643" s="5"/>
      <c r="M2643" s="7"/>
    </row>
    <row r="2644">
      <c r="E2644" s="5"/>
      <c r="M2644" s="7"/>
    </row>
    <row r="2645">
      <c r="E2645" s="5"/>
      <c r="M2645" s="7"/>
    </row>
    <row r="2646">
      <c r="E2646" s="5"/>
      <c r="M2646" s="7"/>
    </row>
    <row r="2647">
      <c r="E2647" s="5"/>
      <c r="M2647" s="7"/>
    </row>
    <row r="2648">
      <c r="E2648" s="5"/>
      <c r="M2648" s="7"/>
    </row>
    <row r="2649">
      <c r="E2649" s="5"/>
      <c r="M2649" s="7"/>
    </row>
    <row r="2650">
      <c r="E2650" s="5"/>
      <c r="M2650" s="7"/>
    </row>
    <row r="2651">
      <c r="E2651" s="5"/>
      <c r="M2651" s="7"/>
    </row>
    <row r="2652">
      <c r="E2652" s="5"/>
      <c r="M2652" s="7"/>
    </row>
    <row r="2653">
      <c r="E2653" s="5"/>
      <c r="M2653" s="7"/>
    </row>
    <row r="2654">
      <c r="E2654" s="5"/>
      <c r="M2654" s="7"/>
    </row>
    <row r="2655">
      <c r="E2655" s="5"/>
      <c r="M2655" s="7"/>
    </row>
    <row r="2656">
      <c r="E2656" s="5"/>
      <c r="M2656" s="7"/>
    </row>
    <row r="2657">
      <c r="E2657" s="5"/>
      <c r="M2657" s="7"/>
    </row>
    <row r="2658">
      <c r="E2658" s="5"/>
      <c r="M2658" s="7"/>
    </row>
    <row r="2659">
      <c r="E2659" s="5"/>
      <c r="M2659" s="7"/>
    </row>
    <row r="2660">
      <c r="E2660" s="5"/>
      <c r="M2660" s="7"/>
    </row>
    <row r="2661">
      <c r="E2661" s="5"/>
      <c r="M2661" s="7"/>
    </row>
    <row r="2662">
      <c r="E2662" s="5"/>
      <c r="M2662" s="7"/>
    </row>
    <row r="2663">
      <c r="E2663" s="5"/>
      <c r="M2663" s="7"/>
    </row>
    <row r="2664">
      <c r="E2664" s="5"/>
      <c r="M2664" s="7"/>
    </row>
    <row r="2665">
      <c r="E2665" s="5"/>
      <c r="M2665" s="7"/>
    </row>
    <row r="2666">
      <c r="E2666" s="5"/>
      <c r="M2666" s="7"/>
    </row>
    <row r="2667">
      <c r="E2667" s="5"/>
      <c r="M2667" s="7"/>
    </row>
    <row r="2668">
      <c r="E2668" s="5"/>
      <c r="M2668" s="7"/>
    </row>
    <row r="2669">
      <c r="E2669" s="5"/>
      <c r="M2669" s="7"/>
    </row>
    <row r="2670">
      <c r="E2670" s="5"/>
      <c r="M2670" s="7"/>
    </row>
    <row r="2671">
      <c r="E2671" s="5"/>
      <c r="M2671" s="7"/>
    </row>
    <row r="2672">
      <c r="E2672" s="5"/>
      <c r="M2672" s="7"/>
    </row>
    <row r="2673">
      <c r="E2673" s="5"/>
      <c r="M2673" s="7"/>
    </row>
    <row r="2674">
      <c r="E2674" s="5"/>
      <c r="M2674" s="7"/>
    </row>
    <row r="2675">
      <c r="E2675" s="5"/>
      <c r="M2675" s="7"/>
    </row>
    <row r="2676">
      <c r="E2676" s="5"/>
      <c r="M2676" s="7"/>
    </row>
    <row r="2677">
      <c r="E2677" s="5"/>
      <c r="M2677" s="7"/>
    </row>
    <row r="2678">
      <c r="E2678" s="5"/>
      <c r="M2678" s="7"/>
    </row>
    <row r="2679">
      <c r="E2679" s="5"/>
      <c r="M2679" s="7"/>
    </row>
    <row r="2680">
      <c r="E2680" s="5"/>
      <c r="M2680" s="7"/>
    </row>
    <row r="2681">
      <c r="E2681" s="5"/>
      <c r="M2681" s="7"/>
    </row>
    <row r="2682">
      <c r="E2682" s="5"/>
      <c r="M2682" s="7"/>
    </row>
    <row r="2683">
      <c r="E2683" s="5"/>
      <c r="M2683" s="7"/>
    </row>
    <row r="2684">
      <c r="E2684" s="5"/>
      <c r="M2684" s="7"/>
    </row>
    <row r="2685">
      <c r="E2685" s="5"/>
      <c r="M2685" s="7"/>
    </row>
    <row r="2686">
      <c r="E2686" s="5"/>
      <c r="M2686" s="7"/>
    </row>
    <row r="2687">
      <c r="E2687" s="5"/>
      <c r="M2687" s="7"/>
    </row>
    <row r="2688">
      <c r="E2688" s="5"/>
      <c r="M2688" s="7"/>
    </row>
    <row r="2689">
      <c r="E2689" s="5"/>
      <c r="M2689" s="7"/>
    </row>
    <row r="2690">
      <c r="E2690" s="5"/>
      <c r="M2690" s="7"/>
    </row>
    <row r="2691">
      <c r="E2691" s="5"/>
      <c r="M2691" s="7"/>
    </row>
    <row r="2692">
      <c r="E2692" s="5"/>
      <c r="M2692" s="7"/>
    </row>
    <row r="2693">
      <c r="E2693" s="5"/>
      <c r="M2693" s="7"/>
    </row>
    <row r="2694">
      <c r="E2694" s="5"/>
      <c r="M2694" s="7"/>
    </row>
    <row r="2695">
      <c r="E2695" s="5"/>
      <c r="M2695" s="7"/>
    </row>
    <row r="2696">
      <c r="E2696" s="5"/>
      <c r="M2696" s="7"/>
    </row>
    <row r="2697">
      <c r="E2697" s="5"/>
      <c r="M2697" s="7"/>
    </row>
    <row r="2698">
      <c r="E2698" s="5"/>
      <c r="M2698" s="7"/>
    </row>
    <row r="2699">
      <c r="E2699" s="5"/>
      <c r="M2699" s="7"/>
    </row>
    <row r="2700">
      <c r="E2700" s="5"/>
      <c r="M2700" s="7"/>
    </row>
    <row r="2701">
      <c r="E2701" s="5"/>
      <c r="M2701" s="7"/>
    </row>
    <row r="2702">
      <c r="E2702" s="5"/>
      <c r="M2702" s="7"/>
    </row>
    <row r="2703">
      <c r="E2703" s="5"/>
      <c r="M2703" s="7"/>
    </row>
    <row r="2704">
      <c r="E2704" s="5"/>
      <c r="M2704" s="7"/>
    </row>
    <row r="2705">
      <c r="E2705" s="5"/>
      <c r="M2705" s="7"/>
    </row>
    <row r="2706">
      <c r="E2706" s="5"/>
      <c r="M2706" s="7"/>
    </row>
    <row r="2707">
      <c r="E2707" s="5"/>
      <c r="M2707" s="7"/>
    </row>
    <row r="2708">
      <c r="E2708" s="5"/>
      <c r="M2708" s="7"/>
    </row>
    <row r="2709">
      <c r="E2709" s="5"/>
      <c r="M2709" s="7"/>
    </row>
    <row r="2710">
      <c r="E2710" s="5"/>
      <c r="M2710" s="7"/>
    </row>
    <row r="2711">
      <c r="E2711" s="5"/>
      <c r="M2711" s="7"/>
    </row>
    <row r="2712">
      <c r="E2712" s="5"/>
      <c r="M2712" s="7"/>
    </row>
    <row r="2713">
      <c r="E2713" s="5"/>
      <c r="M2713" s="7"/>
    </row>
    <row r="2714">
      <c r="E2714" s="5"/>
      <c r="M2714" s="7"/>
    </row>
    <row r="2715">
      <c r="E2715" s="5"/>
      <c r="M2715" s="7"/>
    </row>
    <row r="2716">
      <c r="E2716" s="5"/>
      <c r="M2716" s="7"/>
    </row>
    <row r="2717">
      <c r="E2717" s="5"/>
      <c r="M2717" s="7"/>
    </row>
    <row r="2718">
      <c r="E2718" s="5"/>
      <c r="M2718" s="7"/>
    </row>
    <row r="2719">
      <c r="E2719" s="5"/>
      <c r="M2719" s="7"/>
    </row>
    <row r="2720">
      <c r="E2720" s="5"/>
      <c r="M2720" s="7"/>
    </row>
    <row r="2721">
      <c r="E2721" s="5"/>
      <c r="M2721" s="7"/>
    </row>
    <row r="2722">
      <c r="E2722" s="5"/>
      <c r="M2722" s="7"/>
    </row>
    <row r="2723">
      <c r="E2723" s="5"/>
      <c r="M2723" s="7"/>
    </row>
    <row r="2724">
      <c r="E2724" s="5"/>
      <c r="M2724" s="7"/>
    </row>
    <row r="2725">
      <c r="E2725" s="5"/>
      <c r="M2725" s="7"/>
    </row>
    <row r="2726">
      <c r="E2726" s="5"/>
      <c r="M2726" s="7"/>
    </row>
    <row r="2727">
      <c r="E2727" s="5"/>
      <c r="M2727" s="7"/>
    </row>
    <row r="2728">
      <c r="E2728" s="5"/>
      <c r="M2728" s="7"/>
    </row>
    <row r="2729">
      <c r="E2729" s="5"/>
      <c r="M2729" s="7"/>
    </row>
    <row r="2730">
      <c r="E2730" s="5"/>
      <c r="M2730" s="7"/>
    </row>
    <row r="2731">
      <c r="E2731" s="5"/>
      <c r="M2731" s="7"/>
    </row>
    <row r="2732">
      <c r="E2732" s="5"/>
      <c r="M2732" s="7"/>
    </row>
    <row r="2733">
      <c r="E2733" s="5"/>
      <c r="M2733" s="7"/>
    </row>
    <row r="2734">
      <c r="E2734" s="5"/>
      <c r="M2734" s="7"/>
    </row>
    <row r="2735">
      <c r="E2735" s="5"/>
      <c r="M2735" s="7"/>
    </row>
    <row r="2736">
      <c r="E2736" s="5"/>
      <c r="M2736" s="7"/>
    </row>
    <row r="2737">
      <c r="E2737" s="5"/>
      <c r="M2737" s="7"/>
    </row>
    <row r="2738">
      <c r="E2738" s="5"/>
      <c r="M2738" s="7"/>
    </row>
    <row r="2739">
      <c r="E2739" s="5"/>
      <c r="M2739" s="7"/>
    </row>
    <row r="2740">
      <c r="E2740" s="5"/>
      <c r="M2740" s="7"/>
    </row>
    <row r="2741">
      <c r="E2741" s="5"/>
      <c r="M2741" s="7"/>
    </row>
    <row r="2742">
      <c r="E2742" s="5"/>
      <c r="M2742" s="7"/>
    </row>
    <row r="2743">
      <c r="E2743" s="5"/>
      <c r="M2743" s="7"/>
    </row>
    <row r="2744">
      <c r="E2744" s="5"/>
      <c r="M2744" s="7"/>
    </row>
    <row r="2745">
      <c r="E2745" s="5"/>
      <c r="M2745" s="7"/>
    </row>
    <row r="2746">
      <c r="E2746" s="5"/>
      <c r="M2746" s="7"/>
    </row>
    <row r="2747">
      <c r="E2747" s="5"/>
      <c r="M2747" s="7"/>
    </row>
    <row r="2748">
      <c r="E2748" s="5"/>
      <c r="M2748" s="7"/>
    </row>
    <row r="2749">
      <c r="E2749" s="5"/>
      <c r="M2749" s="7"/>
    </row>
    <row r="2750">
      <c r="E2750" s="5"/>
      <c r="M2750" s="7"/>
    </row>
    <row r="2751">
      <c r="E2751" s="5"/>
      <c r="M2751" s="7"/>
    </row>
    <row r="2752">
      <c r="E2752" s="5"/>
      <c r="M2752" s="7"/>
    </row>
    <row r="2753">
      <c r="E2753" s="5"/>
      <c r="M2753" s="7"/>
    </row>
    <row r="2754">
      <c r="E2754" s="5"/>
      <c r="M2754" s="7"/>
    </row>
    <row r="2755">
      <c r="E2755" s="5"/>
      <c r="M2755" s="7"/>
    </row>
    <row r="2756">
      <c r="E2756" s="5"/>
      <c r="M2756" s="7"/>
    </row>
    <row r="2757">
      <c r="E2757" s="5"/>
      <c r="M2757" s="7"/>
    </row>
    <row r="2758">
      <c r="E2758" s="5"/>
      <c r="M2758" s="7"/>
    </row>
    <row r="2759">
      <c r="E2759" s="5"/>
      <c r="M2759" s="7"/>
    </row>
    <row r="2760">
      <c r="E2760" s="5"/>
      <c r="M2760" s="7"/>
    </row>
    <row r="2761">
      <c r="E2761" s="5"/>
      <c r="M2761" s="7"/>
    </row>
    <row r="2762">
      <c r="E2762" s="5"/>
      <c r="M2762" s="7"/>
    </row>
    <row r="2763">
      <c r="E2763" s="5"/>
      <c r="M2763" s="7"/>
    </row>
    <row r="2764">
      <c r="E2764" s="5"/>
      <c r="M2764" s="7"/>
    </row>
    <row r="2765">
      <c r="E2765" s="5"/>
      <c r="M2765" s="7"/>
    </row>
    <row r="2766">
      <c r="E2766" s="5"/>
      <c r="M2766" s="7"/>
    </row>
    <row r="2767">
      <c r="E2767" s="5"/>
      <c r="M2767" s="7"/>
    </row>
    <row r="2768">
      <c r="E2768" s="5"/>
      <c r="M2768" s="7"/>
    </row>
    <row r="2769">
      <c r="E2769" s="5"/>
      <c r="M2769" s="7"/>
    </row>
    <row r="2770">
      <c r="E2770" s="5"/>
      <c r="M2770" s="7"/>
    </row>
    <row r="2771">
      <c r="E2771" s="5"/>
      <c r="M2771" s="7"/>
    </row>
    <row r="2772">
      <c r="E2772" s="5"/>
      <c r="M2772" s="7"/>
    </row>
    <row r="2773">
      <c r="E2773" s="5"/>
      <c r="M2773" s="7"/>
    </row>
    <row r="2774">
      <c r="E2774" s="5"/>
      <c r="M2774" s="7"/>
    </row>
    <row r="2775">
      <c r="E2775" s="5"/>
      <c r="M2775" s="7"/>
    </row>
    <row r="2776">
      <c r="E2776" s="5"/>
      <c r="M2776" s="7"/>
    </row>
    <row r="2777">
      <c r="E2777" s="5"/>
      <c r="M2777" s="7"/>
    </row>
    <row r="2778">
      <c r="E2778" s="5"/>
      <c r="M2778" s="7"/>
    </row>
    <row r="2779">
      <c r="E2779" s="5"/>
      <c r="M2779" s="7"/>
    </row>
    <row r="2780">
      <c r="E2780" s="5"/>
      <c r="M2780" s="7"/>
    </row>
    <row r="2781">
      <c r="E2781" s="5"/>
      <c r="M2781" s="7"/>
    </row>
    <row r="2782">
      <c r="E2782" s="5"/>
      <c r="M2782" s="7"/>
    </row>
    <row r="2783">
      <c r="E2783" s="5"/>
      <c r="M2783" s="7"/>
    </row>
    <row r="2784">
      <c r="E2784" s="5"/>
      <c r="M2784" s="7"/>
    </row>
    <row r="2785">
      <c r="E2785" s="5"/>
      <c r="M2785" s="7"/>
    </row>
    <row r="2786">
      <c r="E2786" s="5"/>
      <c r="M2786" s="7"/>
    </row>
    <row r="2787">
      <c r="E2787" s="5"/>
      <c r="M2787" s="7"/>
    </row>
    <row r="2788">
      <c r="E2788" s="5"/>
      <c r="M2788" s="7"/>
    </row>
    <row r="2789">
      <c r="E2789" s="5"/>
      <c r="M2789" s="7"/>
    </row>
    <row r="2790">
      <c r="E2790" s="5"/>
      <c r="M2790" s="7"/>
    </row>
    <row r="2791">
      <c r="E2791" s="5"/>
      <c r="M2791" s="7"/>
    </row>
    <row r="2792">
      <c r="E2792" s="5"/>
      <c r="M2792" s="7"/>
    </row>
    <row r="2793">
      <c r="E2793" s="5"/>
      <c r="M2793" s="7"/>
    </row>
    <row r="2794">
      <c r="E2794" s="5"/>
      <c r="M2794" s="7"/>
    </row>
    <row r="2795">
      <c r="E2795" s="5"/>
      <c r="M2795" s="7"/>
    </row>
    <row r="2796">
      <c r="E2796" s="5"/>
      <c r="M2796" s="7"/>
    </row>
    <row r="2797">
      <c r="E2797" s="5"/>
      <c r="M2797" s="7"/>
    </row>
    <row r="2798">
      <c r="E2798" s="5"/>
      <c r="M2798" s="7"/>
    </row>
    <row r="2799">
      <c r="E2799" s="5"/>
      <c r="M2799" s="7"/>
    </row>
    <row r="2800">
      <c r="E2800" s="5"/>
      <c r="M2800" s="7"/>
    </row>
    <row r="2801">
      <c r="E2801" s="5"/>
      <c r="M2801" s="7"/>
    </row>
    <row r="2802">
      <c r="E2802" s="5"/>
      <c r="M2802" s="7"/>
    </row>
    <row r="2803">
      <c r="E2803" s="5"/>
      <c r="M2803" s="7"/>
    </row>
    <row r="2804">
      <c r="E2804" s="5"/>
      <c r="M2804" s="7"/>
    </row>
    <row r="2805">
      <c r="E2805" s="5"/>
      <c r="M2805" s="7"/>
    </row>
    <row r="2806">
      <c r="E2806" s="5"/>
      <c r="M2806" s="7"/>
    </row>
    <row r="2807">
      <c r="E2807" s="5"/>
      <c r="M2807" s="7"/>
    </row>
    <row r="2808">
      <c r="E2808" s="5"/>
      <c r="M2808" s="7"/>
    </row>
    <row r="2809">
      <c r="E2809" s="5"/>
      <c r="M2809" s="7"/>
    </row>
    <row r="2810">
      <c r="E2810" s="5"/>
      <c r="M2810" s="7"/>
    </row>
    <row r="2811">
      <c r="E2811" s="5"/>
      <c r="M2811" s="7"/>
    </row>
    <row r="2812">
      <c r="E2812" s="5"/>
      <c r="M2812" s="7"/>
    </row>
    <row r="2813">
      <c r="E2813" s="5"/>
      <c r="M2813" s="7"/>
    </row>
    <row r="2814">
      <c r="E2814" s="5"/>
      <c r="M2814" s="7"/>
    </row>
    <row r="2815">
      <c r="E2815" s="5"/>
      <c r="M2815" s="7"/>
    </row>
    <row r="2816">
      <c r="E2816" s="5"/>
      <c r="M2816" s="7"/>
    </row>
    <row r="2817">
      <c r="E2817" s="5"/>
      <c r="M2817" s="7"/>
    </row>
    <row r="2818">
      <c r="E2818" s="5"/>
      <c r="M2818" s="7"/>
    </row>
    <row r="2819">
      <c r="E2819" s="5"/>
      <c r="M2819" s="7"/>
    </row>
    <row r="2820">
      <c r="E2820" s="5"/>
      <c r="M2820" s="7"/>
    </row>
    <row r="2821">
      <c r="E2821" s="5"/>
      <c r="M2821" s="7"/>
    </row>
    <row r="2822">
      <c r="E2822" s="5"/>
      <c r="M2822" s="7"/>
    </row>
    <row r="2823">
      <c r="E2823" s="5"/>
      <c r="M2823" s="7"/>
    </row>
    <row r="2824">
      <c r="E2824" s="5"/>
      <c r="M2824" s="7"/>
    </row>
    <row r="2825">
      <c r="E2825" s="5"/>
      <c r="M2825" s="7"/>
    </row>
    <row r="2826">
      <c r="E2826" s="5"/>
      <c r="M2826" s="7"/>
    </row>
    <row r="2827">
      <c r="E2827" s="5"/>
      <c r="M2827" s="7"/>
    </row>
    <row r="2828">
      <c r="E2828" s="5"/>
      <c r="M2828" s="7"/>
    </row>
    <row r="2829">
      <c r="E2829" s="5"/>
      <c r="M2829" s="7"/>
    </row>
    <row r="2830">
      <c r="E2830" s="5"/>
      <c r="M2830" s="7"/>
    </row>
    <row r="2831">
      <c r="E2831" s="5"/>
      <c r="M2831" s="7"/>
    </row>
    <row r="2832">
      <c r="E2832" s="5"/>
      <c r="M2832" s="7"/>
    </row>
    <row r="2833">
      <c r="E2833" s="5"/>
      <c r="M2833" s="7"/>
    </row>
    <row r="2834">
      <c r="E2834" s="5"/>
      <c r="M2834" s="7"/>
    </row>
    <row r="2835">
      <c r="E2835" s="5"/>
      <c r="M2835" s="7"/>
    </row>
    <row r="2836">
      <c r="E2836" s="5"/>
      <c r="M2836" s="7"/>
    </row>
    <row r="2837">
      <c r="E2837" s="5"/>
      <c r="M2837" s="7"/>
    </row>
    <row r="2838">
      <c r="E2838" s="5"/>
      <c r="M2838" s="7"/>
    </row>
    <row r="2839">
      <c r="E2839" s="5"/>
      <c r="M2839" s="7"/>
    </row>
    <row r="2840">
      <c r="E2840" s="5"/>
      <c r="M2840" s="7"/>
    </row>
    <row r="2841">
      <c r="E2841" s="5"/>
      <c r="M2841" s="7"/>
    </row>
    <row r="2842">
      <c r="E2842" s="5"/>
      <c r="M2842" s="7"/>
    </row>
    <row r="2843">
      <c r="E2843" s="5"/>
      <c r="M2843" s="7"/>
    </row>
    <row r="2844">
      <c r="E2844" s="5"/>
      <c r="M2844" s="7"/>
    </row>
    <row r="2845">
      <c r="E2845" s="5"/>
      <c r="M2845" s="7"/>
    </row>
    <row r="2846">
      <c r="E2846" s="5"/>
      <c r="M2846" s="7"/>
    </row>
    <row r="2847">
      <c r="E2847" s="5"/>
      <c r="M2847" s="7"/>
    </row>
    <row r="2848">
      <c r="E2848" s="5"/>
      <c r="M2848" s="7"/>
    </row>
    <row r="2849">
      <c r="E2849" s="5"/>
      <c r="M2849" s="7"/>
    </row>
    <row r="2850">
      <c r="E2850" s="5"/>
      <c r="M2850" s="7"/>
    </row>
    <row r="2851">
      <c r="E2851" s="5"/>
      <c r="M2851" s="7"/>
    </row>
    <row r="2852">
      <c r="E2852" s="5"/>
      <c r="M2852" s="7"/>
    </row>
    <row r="2853">
      <c r="E2853" s="5"/>
      <c r="M2853" s="7"/>
    </row>
    <row r="2854">
      <c r="E2854" s="5"/>
      <c r="M2854" s="7"/>
    </row>
    <row r="2855">
      <c r="E2855" s="5"/>
      <c r="M2855" s="7"/>
    </row>
    <row r="2856">
      <c r="E2856" s="5"/>
      <c r="M2856" s="7"/>
    </row>
    <row r="2857">
      <c r="E2857" s="5"/>
      <c r="M2857" s="7"/>
    </row>
    <row r="2858">
      <c r="E2858" s="5"/>
      <c r="M2858" s="7"/>
    </row>
    <row r="2859">
      <c r="E2859" s="5"/>
      <c r="M2859" s="7"/>
    </row>
    <row r="2860">
      <c r="E2860" s="5"/>
      <c r="M2860" s="7"/>
    </row>
    <row r="2861">
      <c r="E2861" s="5"/>
      <c r="M2861" s="7"/>
    </row>
    <row r="2862">
      <c r="E2862" s="5"/>
      <c r="M2862" s="7"/>
    </row>
    <row r="2863">
      <c r="E2863" s="5"/>
      <c r="M2863" s="7"/>
    </row>
    <row r="2864">
      <c r="E2864" s="5"/>
      <c r="M2864" s="7"/>
    </row>
    <row r="2865">
      <c r="E2865" s="5"/>
      <c r="M2865" s="7"/>
    </row>
    <row r="2866">
      <c r="E2866" s="5"/>
      <c r="M2866" s="7"/>
    </row>
    <row r="2867">
      <c r="E2867" s="5"/>
      <c r="M2867" s="7"/>
    </row>
    <row r="2868">
      <c r="E2868" s="5"/>
      <c r="M2868" s="7"/>
    </row>
    <row r="2869">
      <c r="E2869" s="5"/>
      <c r="M2869" s="7"/>
    </row>
    <row r="2870">
      <c r="E2870" s="5"/>
      <c r="M2870" s="7"/>
    </row>
    <row r="2871">
      <c r="E2871" s="5"/>
      <c r="M2871" s="7"/>
    </row>
    <row r="2872">
      <c r="E2872" s="5"/>
      <c r="M2872" s="7"/>
    </row>
    <row r="2873">
      <c r="E2873" s="5"/>
      <c r="M2873" s="7"/>
    </row>
    <row r="2874">
      <c r="E2874" s="5"/>
      <c r="M2874" s="7"/>
    </row>
    <row r="2875">
      <c r="E2875" s="5"/>
      <c r="M2875" s="7"/>
    </row>
    <row r="2876">
      <c r="E2876" s="5"/>
      <c r="M2876" s="7"/>
    </row>
    <row r="2877">
      <c r="E2877" s="5"/>
      <c r="M2877" s="7"/>
    </row>
    <row r="2878">
      <c r="E2878" s="5"/>
      <c r="M2878" s="7"/>
    </row>
    <row r="2879">
      <c r="E2879" s="5"/>
      <c r="M2879" s="7"/>
    </row>
    <row r="2880">
      <c r="E2880" s="5"/>
      <c r="M2880" s="7"/>
    </row>
    <row r="2881">
      <c r="E2881" s="5"/>
      <c r="M2881" s="7"/>
    </row>
    <row r="2882">
      <c r="E2882" s="5"/>
      <c r="M2882" s="7"/>
    </row>
    <row r="2883">
      <c r="E2883" s="5"/>
      <c r="M2883" s="7"/>
    </row>
    <row r="2884">
      <c r="E2884" s="5"/>
      <c r="M2884" s="7"/>
    </row>
    <row r="2885">
      <c r="E2885" s="5"/>
      <c r="M2885" s="7"/>
    </row>
    <row r="2886">
      <c r="E2886" s="5"/>
      <c r="M2886" s="7"/>
    </row>
    <row r="2887">
      <c r="E2887" s="5"/>
      <c r="M2887" s="7"/>
    </row>
    <row r="2888">
      <c r="E2888" s="5"/>
      <c r="M2888" s="7"/>
    </row>
    <row r="2889">
      <c r="E2889" s="5"/>
      <c r="M2889" s="7"/>
    </row>
    <row r="2890">
      <c r="E2890" s="5"/>
      <c r="M2890" s="7"/>
    </row>
    <row r="2891">
      <c r="E2891" s="5"/>
      <c r="M2891" s="7"/>
    </row>
    <row r="2892">
      <c r="E2892" s="5"/>
      <c r="M2892" s="7"/>
    </row>
    <row r="2893">
      <c r="E2893" s="5"/>
      <c r="M2893" s="7"/>
    </row>
    <row r="2894">
      <c r="E2894" s="5"/>
      <c r="M2894" s="7"/>
    </row>
    <row r="2895">
      <c r="E2895" s="5"/>
      <c r="M2895" s="7"/>
    </row>
    <row r="2896">
      <c r="E2896" s="5"/>
      <c r="M2896" s="7"/>
    </row>
    <row r="2897">
      <c r="E2897" s="5"/>
      <c r="M2897" s="7"/>
    </row>
    <row r="2898">
      <c r="E2898" s="5"/>
      <c r="M2898" s="7"/>
    </row>
    <row r="2899">
      <c r="E2899" s="5"/>
      <c r="M2899" s="7"/>
    </row>
    <row r="2900">
      <c r="E2900" s="5"/>
      <c r="M2900" s="7"/>
    </row>
    <row r="2901">
      <c r="E2901" s="5"/>
      <c r="M2901" s="7"/>
    </row>
    <row r="2902">
      <c r="E2902" s="5"/>
      <c r="M2902" s="7"/>
    </row>
    <row r="2903">
      <c r="E2903" s="5"/>
      <c r="M2903" s="7"/>
    </row>
    <row r="2904">
      <c r="E2904" s="5"/>
      <c r="M2904" s="7"/>
    </row>
    <row r="2905">
      <c r="E2905" s="5"/>
      <c r="M2905" s="7"/>
    </row>
    <row r="2906">
      <c r="E2906" s="5"/>
      <c r="M2906" s="7"/>
    </row>
    <row r="2907">
      <c r="E2907" s="5"/>
      <c r="M2907" s="7"/>
    </row>
    <row r="2908">
      <c r="E2908" s="5"/>
      <c r="M2908" s="7"/>
    </row>
    <row r="2909">
      <c r="E2909" s="5"/>
      <c r="M2909" s="7"/>
    </row>
    <row r="2910">
      <c r="E2910" s="5"/>
      <c r="M2910" s="7"/>
    </row>
    <row r="2911">
      <c r="E2911" s="5"/>
      <c r="M2911" s="7"/>
    </row>
    <row r="2912">
      <c r="E2912" s="5"/>
      <c r="M2912" s="7"/>
    </row>
    <row r="2913">
      <c r="E2913" s="5"/>
      <c r="M2913" s="7"/>
    </row>
    <row r="2914">
      <c r="E2914" s="5"/>
      <c r="M2914" s="7"/>
    </row>
    <row r="2915">
      <c r="E2915" s="5"/>
      <c r="M2915" s="7"/>
    </row>
    <row r="2916">
      <c r="E2916" s="5"/>
      <c r="M2916" s="7"/>
    </row>
    <row r="2917">
      <c r="E2917" s="5"/>
      <c r="M2917" s="7"/>
    </row>
    <row r="2918">
      <c r="E2918" s="5"/>
      <c r="M2918" s="7"/>
    </row>
    <row r="2919">
      <c r="E2919" s="5"/>
      <c r="M2919" s="7"/>
    </row>
    <row r="2920">
      <c r="E2920" s="5"/>
      <c r="M2920" s="7"/>
    </row>
    <row r="2921">
      <c r="E2921" s="5"/>
      <c r="M2921" s="7"/>
    </row>
    <row r="2922">
      <c r="E2922" s="5"/>
      <c r="M2922" s="7"/>
    </row>
    <row r="2923">
      <c r="E2923" s="5"/>
      <c r="M2923" s="7"/>
    </row>
    <row r="2924">
      <c r="E2924" s="5"/>
      <c r="M2924" s="7"/>
    </row>
    <row r="2925">
      <c r="E2925" s="5"/>
      <c r="M2925" s="7"/>
    </row>
    <row r="2926">
      <c r="E2926" s="5"/>
      <c r="M2926" s="7"/>
    </row>
    <row r="2927">
      <c r="E2927" s="5"/>
      <c r="M2927" s="7"/>
    </row>
    <row r="2928">
      <c r="E2928" s="5"/>
      <c r="M2928" s="7"/>
    </row>
    <row r="2929">
      <c r="E2929" s="5"/>
      <c r="M2929" s="7"/>
    </row>
    <row r="2930">
      <c r="E2930" s="5"/>
      <c r="M2930" s="7"/>
    </row>
    <row r="2931">
      <c r="E2931" s="5"/>
      <c r="M2931" s="7"/>
    </row>
    <row r="2932">
      <c r="E2932" s="5"/>
      <c r="M2932" s="7"/>
    </row>
    <row r="2933">
      <c r="E2933" s="5"/>
      <c r="M2933" s="7"/>
    </row>
    <row r="2934">
      <c r="E2934" s="5"/>
      <c r="M2934" s="7"/>
    </row>
    <row r="2935">
      <c r="E2935" s="5"/>
      <c r="M2935" s="7"/>
    </row>
    <row r="2936">
      <c r="E2936" s="5"/>
      <c r="M2936" s="7"/>
    </row>
    <row r="2937">
      <c r="E2937" s="5"/>
      <c r="M2937" s="7"/>
    </row>
    <row r="2938">
      <c r="E2938" s="5"/>
      <c r="M2938" s="7"/>
    </row>
    <row r="2939">
      <c r="E2939" s="5"/>
      <c r="M2939" s="7"/>
    </row>
    <row r="2940">
      <c r="E2940" s="5"/>
      <c r="M2940" s="7"/>
    </row>
    <row r="2941">
      <c r="E2941" s="5"/>
      <c r="M2941" s="7"/>
    </row>
    <row r="2942">
      <c r="E2942" s="5"/>
      <c r="M2942" s="7"/>
    </row>
    <row r="2943">
      <c r="E2943" s="5"/>
      <c r="M2943" s="7"/>
    </row>
    <row r="2944">
      <c r="E2944" s="5"/>
      <c r="M2944" s="7"/>
    </row>
    <row r="2945">
      <c r="E2945" s="5"/>
      <c r="M2945" s="7"/>
    </row>
    <row r="2946">
      <c r="E2946" s="5"/>
      <c r="M2946" s="7"/>
    </row>
    <row r="2947">
      <c r="E2947" s="5"/>
      <c r="M2947" s="7"/>
    </row>
    <row r="2948">
      <c r="E2948" s="5"/>
      <c r="M2948" s="7"/>
    </row>
    <row r="2949">
      <c r="E2949" s="5"/>
      <c r="M2949" s="7"/>
    </row>
    <row r="2950">
      <c r="E2950" s="5"/>
      <c r="M2950" s="7"/>
    </row>
    <row r="2951">
      <c r="E2951" s="5"/>
      <c r="M2951" s="7"/>
    </row>
    <row r="2952">
      <c r="E2952" s="5"/>
      <c r="M2952" s="7"/>
    </row>
    <row r="2953">
      <c r="E2953" s="5"/>
      <c r="M2953" s="7"/>
    </row>
    <row r="2954">
      <c r="E2954" s="5"/>
      <c r="M2954" s="7"/>
    </row>
    <row r="2955">
      <c r="E2955" s="5"/>
      <c r="M2955" s="7"/>
    </row>
    <row r="2956">
      <c r="E2956" s="5"/>
      <c r="M2956" s="7"/>
    </row>
    <row r="2957">
      <c r="E2957" s="5"/>
      <c r="M2957" s="7"/>
    </row>
    <row r="2958">
      <c r="E2958" s="5"/>
      <c r="M2958" s="7"/>
    </row>
    <row r="2959">
      <c r="E2959" s="5"/>
      <c r="M2959" s="7"/>
    </row>
    <row r="2960">
      <c r="E2960" s="5"/>
      <c r="M2960" s="7"/>
    </row>
    <row r="2961">
      <c r="E2961" s="5"/>
      <c r="M2961" s="7"/>
    </row>
    <row r="2962">
      <c r="E2962" s="5"/>
      <c r="M2962" s="7"/>
    </row>
    <row r="2963">
      <c r="E2963" s="5"/>
      <c r="M2963" s="7"/>
    </row>
    <row r="2964">
      <c r="E2964" s="5"/>
      <c r="M2964" s="7"/>
    </row>
    <row r="2965">
      <c r="E2965" s="5"/>
      <c r="M2965" s="7"/>
    </row>
    <row r="2966">
      <c r="E2966" s="5"/>
      <c r="M2966" s="7"/>
    </row>
    <row r="2967">
      <c r="E2967" s="5"/>
      <c r="M2967" s="7"/>
    </row>
    <row r="2968">
      <c r="E2968" s="5"/>
      <c r="M2968" s="7"/>
    </row>
    <row r="2969">
      <c r="E2969" s="5"/>
      <c r="M2969" s="7"/>
    </row>
    <row r="2970">
      <c r="E2970" s="5"/>
      <c r="M2970" s="7"/>
    </row>
    <row r="2971">
      <c r="E2971" s="5"/>
      <c r="M2971" s="7"/>
    </row>
    <row r="2972">
      <c r="E2972" s="5"/>
      <c r="M2972" s="7"/>
    </row>
    <row r="2973">
      <c r="E2973" s="5"/>
      <c r="M2973" s="7"/>
    </row>
    <row r="2974">
      <c r="E2974" s="5"/>
      <c r="M2974" s="7"/>
    </row>
    <row r="2975">
      <c r="E2975" s="5"/>
      <c r="M2975" s="7"/>
    </row>
    <row r="2976">
      <c r="E2976" s="5"/>
      <c r="M2976" s="7"/>
    </row>
    <row r="2977">
      <c r="E2977" s="5"/>
      <c r="M2977" s="7"/>
    </row>
    <row r="2978">
      <c r="E2978" s="5"/>
      <c r="M2978" s="7"/>
    </row>
    <row r="2979">
      <c r="E2979" s="5"/>
      <c r="M2979" s="7"/>
    </row>
    <row r="2980">
      <c r="E2980" s="5"/>
      <c r="M2980" s="7"/>
    </row>
    <row r="2981">
      <c r="E2981" s="5"/>
      <c r="M2981" s="7"/>
    </row>
    <row r="2982">
      <c r="E2982" s="5"/>
      <c r="M2982" s="7"/>
    </row>
    <row r="2983">
      <c r="E2983" s="5"/>
      <c r="M2983" s="7"/>
    </row>
    <row r="2984">
      <c r="E2984" s="5"/>
      <c r="M2984" s="7"/>
    </row>
    <row r="2985">
      <c r="E2985" s="5"/>
      <c r="M2985" s="7"/>
    </row>
    <row r="2986">
      <c r="E2986" s="5"/>
      <c r="M2986" s="7"/>
    </row>
    <row r="2987">
      <c r="E2987" s="5"/>
      <c r="M2987" s="7"/>
    </row>
    <row r="2988">
      <c r="E2988" s="5"/>
      <c r="M2988" s="7"/>
    </row>
    <row r="2989">
      <c r="E2989" s="5"/>
      <c r="M2989" s="7"/>
    </row>
    <row r="2990">
      <c r="E2990" s="5"/>
      <c r="M2990" s="7"/>
    </row>
    <row r="2991">
      <c r="E2991" s="5"/>
      <c r="M2991" s="7"/>
    </row>
    <row r="2992">
      <c r="E2992" s="5"/>
      <c r="M2992" s="7"/>
    </row>
    <row r="2993">
      <c r="E2993" s="5"/>
      <c r="M2993" s="7"/>
    </row>
    <row r="2994">
      <c r="E2994" s="5"/>
      <c r="M2994" s="7"/>
    </row>
    <row r="2995">
      <c r="E2995" s="5"/>
      <c r="M2995" s="7"/>
    </row>
    <row r="2996">
      <c r="E2996" s="5"/>
      <c r="M2996" s="7"/>
    </row>
    <row r="2997">
      <c r="E2997" s="5"/>
      <c r="M2997" s="7"/>
    </row>
    <row r="2998">
      <c r="E2998" s="5"/>
      <c r="M2998" s="7"/>
    </row>
    <row r="2999">
      <c r="E2999" s="5"/>
      <c r="M2999" s="7"/>
    </row>
    <row r="3000">
      <c r="E3000" s="5"/>
      <c r="M3000" s="7"/>
    </row>
    <row r="3001">
      <c r="E3001" s="5"/>
      <c r="M3001" s="7"/>
    </row>
    <row r="3002">
      <c r="E3002" s="5"/>
      <c r="M3002" s="7"/>
    </row>
    <row r="3003">
      <c r="E3003" s="5"/>
      <c r="M3003" s="7"/>
    </row>
    <row r="3004">
      <c r="E3004" s="5"/>
      <c r="M3004" s="7"/>
    </row>
    <row r="3005">
      <c r="E3005" s="5"/>
      <c r="M3005" s="7"/>
    </row>
    <row r="3006">
      <c r="E3006" s="5"/>
      <c r="M3006" s="7"/>
    </row>
    <row r="3007">
      <c r="E3007" s="5"/>
      <c r="M3007" s="7"/>
    </row>
    <row r="3008">
      <c r="E3008" s="5"/>
      <c r="M3008" s="7"/>
    </row>
    <row r="3009">
      <c r="E3009" s="5"/>
      <c r="M3009" s="7"/>
    </row>
    <row r="3010">
      <c r="E3010" s="5"/>
      <c r="M3010" s="7"/>
    </row>
    <row r="3011">
      <c r="E3011" s="5"/>
      <c r="M3011" s="7"/>
    </row>
    <row r="3012">
      <c r="E3012" s="5"/>
      <c r="M3012" s="7"/>
    </row>
    <row r="3013">
      <c r="E3013" s="5"/>
      <c r="M3013" s="7"/>
    </row>
    <row r="3014">
      <c r="E3014" s="5"/>
      <c r="M3014" s="7"/>
    </row>
    <row r="3015">
      <c r="E3015" s="5"/>
      <c r="M3015" s="7"/>
    </row>
    <row r="3016">
      <c r="E3016" s="5"/>
      <c r="M3016" s="7"/>
    </row>
    <row r="3017">
      <c r="E3017" s="5"/>
      <c r="M3017" s="7"/>
    </row>
    <row r="3018">
      <c r="E3018" s="5"/>
      <c r="M3018" s="7"/>
    </row>
    <row r="3019">
      <c r="E3019" s="5"/>
      <c r="M3019" s="7"/>
    </row>
    <row r="3020">
      <c r="E3020" s="5"/>
      <c r="M3020" s="7"/>
    </row>
    <row r="3021">
      <c r="E3021" s="5"/>
      <c r="M3021" s="7"/>
    </row>
    <row r="3022">
      <c r="E3022" s="5"/>
      <c r="M3022" s="7"/>
    </row>
    <row r="3023">
      <c r="E3023" s="5"/>
      <c r="M3023" s="7"/>
    </row>
    <row r="3024">
      <c r="E3024" s="5"/>
      <c r="M3024" s="7"/>
    </row>
    <row r="3025">
      <c r="E3025" s="5"/>
      <c r="M3025" s="7"/>
    </row>
    <row r="3026">
      <c r="E3026" s="5"/>
      <c r="M3026" s="7"/>
    </row>
    <row r="3027">
      <c r="E3027" s="5"/>
      <c r="M3027" s="7"/>
    </row>
    <row r="3028">
      <c r="E3028" s="5"/>
      <c r="M3028" s="7"/>
    </row>
    <row r="3029">
      <c r="E3029" s="5"/>
      <c r="M3029" s="7"/>
    </row>
    <row r="3030">
      <c r="E3030" s="5"/>
      <c r="M3030" s="7"/>
    </row>
    <row r="3031">
      <c r="E3031" s="5"/>
      <c r="M3031" s="7"/>
    </row>
    <row r="3032">
      <c r="E3032" s="5"/>
      <c r="M3032" s="7"/>
    </row>
    <row r="3033">
      <c r="E3033" s="5"/>
      <c r="M3033" s="7"/>
    </row>
    <row r="3034">
      <c r="E3034" s="5"/>
      <c r="M3034" s="7"/>
    </row>
    <row r="3035">
      <c r="E3035" s="5"/>
      <c r="M3035" s="7"/>
    </row>
    <row r="3036">
      <c r="E3036" s="5"/>
      <c r="M3036" s="7"/>
    </row>
    <row r="3037">
      <c r="E3037" s="5"/>
      <c r="M3037" s="7"/>
    </row>
    <row r="3038">
      <c r="E3038" s="5"/>
      <c r="M3038" s="7"/>
    </row>
    <row r="3039">
      <c r="E3039" s="5"/>
      <c r="M3039" s="7"/>
    </row>
    <row r="3040">
      <c r="E3040" s="5"/>
      <c r="M3040" s="7"/>
    </row>
    <row r="3041">
      <c r="E3041" s="5"/>
      <c r="M3041" s="7"/>
    </row>
    <row r="3042">
      <c r="E3042" s="5"/>
      <c r="M3042" s="7"/>
    </row>
    <row r="3043">
      <c r="E3043" s="5"/>
      <c r="M3043" s="7"/>
    </row>
    <row r="3044">
      <c r="E3044" s="5"/>
      <c r="M3044" s="7"/>
    </row>
    <row r="3045">
      <c r="E3045" s="5"/>
      <c r="M3045" s="7"/>
    </row>
    <row r="3046">
      <c r="E3046" s="5"/>
      <c r="M3046" s="7"/>
    </row>
    <row r="3047">
      <c r="E3047" s="5"/>
      <c r="M3047" s="7"/>
    </row>
    <row r="3048">
      <c r="E3048" s="5"/>
      <c r="M3048" s="7"/>
    </row>
    <row r="3049">
      <c r="E3049" s="5"/>
      <c r="M3049" s="7"/>
    </row>
    <row r="3050">
      <c r="E3050" s="5"/>
      <c r="M3050" s="7"/>
    </row>
    <row r="3051">
      <c r="E3051" s="5"/>
      <c r="M3051" s="7"/>
    </row>
    <row r="3052">
      <c r="E3052" s="5"/>
      <c r="M3052" s="7"/>
    </row>
    <row r="3053">
      <c r="E3053" s="5"/>
      <c r="M3053" s="7"/>
    </row>
    <row r="3054">
      <c r="E3054" s="5"/>
      <c r="M3054" s="7"/>
    </row>
    <row r="3055">
      <c r="E3055" s="5"/>
      <c r="M3055" s="7"/>
    </row>
    <row r="3056">
      <c r="E3056" s="5"/>
      <c r="M3056" s="7"/>
    </row>
    <row r="3057">
      <c r="E3057" s="5"/>
      <c r="M3057" s="7"/>
    </row>
    <row r="3058">
      <c r="E3058" s="5"/>
      <c r="M3058" s="7"/>
    </row>
    <row r="3059">
      <c r="E3059" s="5"/>
      <c r="M3059" s="7"/>
    </row>
    <row r="3060">
      <c r="E3060" s="5"/>
      <c r="M3060" s="7"/>
    </row>
    <row r="3061">
      <c r="E3061" s="5"/>
      <c r="M3061" s="7"/>
    </row>
    <row r="3062">
      <c r="E3062" s="5"/>
      <c r="M3062" s="7"/>
    </row>
    <row r="3063">
      <c r="E3063" s="5"/>
      <c r="M3063" s="7"/>
    </row>
    <row r="3064">
      <c r="E3064" s="5"/>
      <c r="M3064" s="7"/>
    </row>
    <row r="3065">
      <c r="E3065" s="5"/>
      <c r="M3065" s="7"/>
    </row>
    <row r="3066">
      <c r="E3066" s="5"/>
      <c r="M3066" s="7"/>
    </row>
    <row r="3067">
      <c r="E3067" s="5"/>
      <c r="M3067" s="7"/>
    </row>
    <row r="3068">
      <c r="E3068" s="5"/>
      <c r="M3068" s="7"/>
    </row>
    <row r="3069">
      <c r="E3069" s="5"/>
      <c r="M3069" s="7"/>
    </row>
    <row r="3070">
      <c r="E3070" s="5"/>
      <c r="M3070" s="7"/>
    </row>
    <row r="3071">
      <c r="E3071" s="5"/>
      <c r="M3071" s="7"/>
    </row>
    <row r="3072">
      <c r="E3072" s="5"/>
      <c r="M3072" s="7"/>
    </row>
    <row r="3073">
      <c r="E3073" s="5"/>
      <c r="M3073" s="7"/>
    </row>
    <row r="3074">
      <c r="E3074" s="5"/>
      <c r="M3074" s="7"/>
    </row>
    <row r="3075">
      <c r="E3075" s="5"/>
      <c r="M3075" s="7"/>
    </row>
    <row r="3076">
      <c r="E3076" s="5"/>
      <c r="M3076" s="7"/>
    </row>
    <row r="3077">
      <c r="E3077" s="5"/>
      <c r="M3077" s="7"/>
    </row>
    <row r="3078">
      <c r="E3078" s="5"/>
      <c r="M3078" s="7"/>
    </row>
    <row r="3079">
      <c r="E3079" s="5"/>
      <c r="M3079" s="7"/>
    </row>
    <row r="3080">
      <c r="E3080" s="5"/>
      <c r="M3080" s="7"/>
    </row>
    <row r="3081">
      <c r="E3081" s="5"/>
      <c r="M3081" s="7"/>
    </row>
    <row r="3082">
      <c r="E3082" s="5"/>
      <c r="M3082" s="7"/>
    </row>
    <row r="3083">
      <c r="E3083" s="5"/>
      <c r="M3083" s="7"/>
    </row>
    <row r="3084">
      <c r="E3084" s="5"/>
      <c r="M3084" s="7"/>
    </row>
    <row r="3085">
      <c r="E3085" s="5"/>
      <c r="M3085" s="7"/>
    </row>
    <row r="3086">
      <c r="E3086" s="5"/>
      <c r="M3086" s="7"/>
    </row>
    <row r="3087">
      <c r="E3087" s="5"/>
      <c r="M3087" s="7"/>
    </row>
    <row r="3088">
      <c r="E3088" s="5"/>
      <c r="M3088" s="7"/>
    </row>
    <row r="3089">
      <c r="E3089" s="5"/>
      <c r="M3089" s="7"/>
    </row>
    <row r="3090">
      <c r="E3090" s="5"/>
      <c r="M3090" s="7"/>
    </row>
    <row r="3091">
      <c r="E3091" s="5"/>
      <c r="M3091" s="7"/>
    </row>
    <row r="3092">
      <c r="E3092" s="5"/>
      <c r="M3092" s="7"/>
    </row>
    <row r="3093">
      <c r="E3093" s="5"/>
      <c r="M3093" s="7"/>
    </row>
    <row r="3094">
      <c r="E3094" s="5"/>
      <c r="M3094" s="7"/>
    </row>
    <row r="3095">
      <c r="E3095" s="5"/>
      <c r="M3095" s="7"/>
    </row>
    <row r="3096">
      <c r="E3096" s="5"/>
      <c r="M3096" s="7"/>
    </row>
    <row r="3097">
      <c r="E3097" s="5"/>
      <c r="M3097" s="7"/>
    </row>
    <row r="3098">
      <c r="E3098" s="5"/>
      <c r="M3098" s="7"/>
    </row>
    <row r="3099">
      <c r="E3099" s="5"/>
      <c r="M3099" s="7"/>
    </row>
    <row r="3100">
      <c r="E3100" s="5"/>
      <c r="M3100" s="7"/>
    </row>
    <row r="3101">
      <c r="E3101" s="5"/>
      <c r="M3101" s="7"/>
    </row>
    <row r="3102">
      <c r="E3102" s="5"/>
      <c r="M3102" s="7"/>
    </row>
    <row r="3103">
      <c r="E3103" s="5"/>
      <c r="M3103" s="7"/>
    </row>
    <row r="3104">
      <c r="E3104" s="5"/>
      <c r="M3104" s="7"/>
    </row>
    <row r="3105">
      <c r="E3105" s="5"/>
      <c r="M3105" s="7"/>
    </row>
    <row r="3106">
      <c r="E3106" s="5"/>
      <c r="M3106" s="7"/>
    </row>
    <row r="3107">
      <c r="E3107" s="5"/>
      <c r="M3107" s="7"/>
    </row>
    <row r="3108">
      <c r="E3108" s="5"/>
      <c r="M3108" s="7"/>
    </row>
    <row r="3109">
      <c r="E3109" s="5"/>
      <c r="M3109" s="7"/>
    </row>
    <row r="3110">
      <c r="E3110" s="5"/>
      <c r="M3110" s="7"/>
    </row>
    <row r="3111">
      <c r="E3111" s="5"/>
      <c r="M3111" s="7"/>
    </row>
    <row r="3112">
      <c r="E3112" s="5"/>
      <c r="M3112" s="7"/>
    </row>
    <row r="3113">
      <c r="E3113" s="5"/>
      <c r="M3113" s="7"/>
    </row>
    <row r="3114">
      <c r="E3114" s="5"/>
      <c r="M3114" s="7"/>
    </row>
    <row r="3115">
      <c r="E3115" s="5"/>
      <c r="M3115" s="7"/>
    </row>
    <row r="3116">
      <c r="E3116" s="5"/>
      <c r="M3116" s="7"/>
    </row>
    <row r="3117">
      <c r="E3117" s="5"/>
      <c r="M3117" s="7"/>
    </row>
    <row r="3118">
      <c r="E3118" s="5"/>
      <c r="M3118" s="7"/>
    </row>
    <row r="3119">
      <c r="E3119" s="5"/>
      <c r="M3119" s="7"/>
    </row>
    <row r="3120">
      <c r="E3120" s="5"/>
      <c r="M3120" s="7"/>
    </row>
    <row r="3121">
      <c r="E3121" s="5"/>
      <c r="M3121" s="7"/>
    </row>
    <row r="3122">
      <c r="E3122" s="5"/>
      <c r="M3122" s="7"/>
    </row>
    <row r="3123">
      <c r="E3123" s="5"/>
      <c r="M3123" s="7"/>
    </row>
    <row r="3124">
      <c r="E3124" s="5"/>
      <c r="M3124" s="7"/>
    </row>
    <row r="3125">
      <c r="E3125" s="5"/>
      <c r="M3125" s="7"/>
    </row>
    <row r="3126">
      <c r="E3126" s="5"/>
      <c r="M3126" s="7"/>
    </row>
    <row r="3127">
      <c r="E3127" s="5"/>
      <c r="M3127" s="7"/>
    </row>
    <row r="3128">
      <c r="E3128" s="5"/>
      <c r="M3128" s="7"/>
    </row>
    <row r="3129">
      <c r="E3129" s="5"/>
      <c r="M3129" s="7"/>
    </row>
    <row r="3130">
      <c r="E3130" s="5"/>
      <c r="M3130" s="7"/>
    </row>
    <row r="3131">
      <c r="E3131" s="5"/>
      <c r="M3131" s="7"/>
    </row>
    <row r="3132">
      <c r="E3132" s="5"/>
      <c r="M3132" s="7"/>
    </row>
    <row r="3133">
      <c r="E3133" s="5"/>
      <c r="M3133" s="7"/>
    </row>
    <row r="3134">
      <c r="E3134" s="5"/>
      <c r="M3134" s="7"/>
    </row>
    <row r="3135">
      <c r="E3135" s="5"/>
      <c r="M3135" s="7"/>
    </row>
    <row r="3136">
      <c r="E3136" s="5"/>
      <c r="M3136" s="7"/>
    </row>
    <row r="3137">
      <c r="E3137" s="5"/>
      <c r="M3137" s="7"/>
    </row>
    <row r="3138">
      <c r="E3138" s="5"/>
      <c r="M3138" s="7"/>
    </row>
    <row r="3139">
      <c r="E3139" s="5"/>
      <c r="M3139" s="7"/>
    </row>
    <row r="3140">
      <c r="E3140" s="5"/>
      <c r="M3140" s="7"/>
    </row>
    <row r="3141">
      <c r="E3141" s="5"/>
      <c r="M3141" s="7"/>
    </row>
    <row r="3142">
      <c r="E3142" s="5"/>
      <c r="M3142" s="7"/>
    </row>
    <row r="3143">
      <c r="E3143" s="5"/>
      <c r="M3143" s="7"/>
    </row>
    <row r="3144">
      <c r="E3144" s="5"/>
      <c r="M3144" s="7"/>
    </row>
    <row r="3145">
      <c r="E3145" s="5"/>
      <c r="M3145" s="7"/>
    </row>
    <row r="3146">
      <c r="E3146" s="5"/>
      <c r="M3146" s="7"/>
    </row>
    <row r="3147">
      <c r="E3147" s="5"/>
      <c r="M3147" s="7"/>
    </row>
    <row r="3148">
      <c r="E3148" s="5"/>
      <c r="M3148" s="7"/>
    </row>
    <row r="3149">
      <c r="E3149" s="5"/>
      <c r="M3149" s="7"/>
    </row>
    <row r="3150">
      <c r="E3150" s="5"/>
      <c r="M3150" s="7"/>
    </row>
    <row r="3151">
      <c r="E3151" s="5"/>
      <c r="M3151" s="7"/>
    </row>
    <row r="3152">
      <c r="E3152" s="5"/>
      <c r="M3152" s="7"/>
    </row>
    <row r="3153">
      <c r="E3153" s="5"/>
      <c r="M3153" s="7"/>
    </row>
    <row r="3154">
      <c r="E3154" s="5"/>
      <c r="M3154" s="7"/>
    </row>
    <row r="3155">
      <c r="E3155" s="5"/>
      <c r="M3155" s="7"/>
    </row>
    <row r="3156">
      <c r="E3156" s="5"/>
      <c r="M3156" s="7"/>
    </row>
    <row r="3157">
      <c r="E3157" s="5"/>
      <c r="M3157" s="7"/>
    </row>
    <row r="3158">
      <c r="E3158" s="5"/>
      <c r="M3158" s="7"/>
    </row>
    <row r="3159">
      <c r="E3159" s="5"/>
      <c r="M3159" s="7"/>
    </row>
    <row r="3160">
      <c r="E3160" s="5"/>
      <c r="M3160" s="7"/>
    </row>
    <row r="3161">
      <c r="E3161" s="5"/>
      <c r="M3161" s="7"/>
    </row>
    <row r="3162">
      <c r="E3162" s="5"/>
      <c r="M3162" s="7"/>
    </row>
    <row r="3163">
      <c r="E3163" s="5"/>
      <c r="M3163" s="7"/>
    </row>
    <row r="3164">
      <c r="E3164" s="5"/>
      <c r="M3164" s="7"/>
    </row>
    <row r="3165">
      <c r="E3165" s="5"/>
      <c r="M3165" s="7"/>
    </row>
    <row r="3166">
      <c r="E3166" s="5"/>
      <c r="M3166" s="7"/>
    </row>
    <row r="3167">
      <c r="E3167" s="5"/>
      <c r="M3167" s="7"/>
    </row>
    <row r="3168">
      <c r="E3168" s="5"/>
      <c r="M3168" s="7"/>
    </row>
    <row r="3169">
      <c r="E3169" s="5"/>
      <c r="M3169" s="7"/>
    </row>
    <row r="3170">
      <c r="E3170" s="5"/>
      <c r="M3170" s="7"/>
    </row>
    <row r="3171">
      <c r="E3171" s="5"/>
      <c r="M3171" s="7"/>
    </row>
    <row r="3172">
      <c r="E3172" s="5"/>
      <c r="M3172" s="7"/>
    </row>
    <row r="3173">
      <c r="E3173" s="5"/>
      <c r="M3173" s="7"/>
    </row>
    <row r="3174">
      <c r="E3174" s="5"/>
      <c r="M3174" s="7"/>
    </row>
    <row r="3175">
      <c r="E3175" s="5"/>
      <c r="M3175" s="7"/>
    </row>
    <row r="3176">
      <c r="E3176" s="5"/>
      <c r="M3176" s="7"/>
    </row>
    <row r="3177">
      <c r="E3177" s="5"/>
      <c r="M3177" s="7"/>
    </row>
    <row r="3178">
      <c r="E3178" s="5"/>
      <c r="M3178" s="7"/>
    </row>
    <row r="3179">
      <c r="E3179" s="5"/>
      <c r="M3179" s="7"/>
    </row>
    <row r="3180">
      <c r="E3180" s="5"/>
      <c r="M3180" s="7"/>
    </row>
    <row r="3181">
      <c r="E3181" s="5"/>
      <c r="M3181" s="7"/>
    </row>
    <row r="3182">
      <c r="E3182" s="5"/>
      <c r="M3182" s="7"/>
    </row>
    <row r="3183">
      <c r="E3183" s="5"/>
      <c r="M3183" s="7"/>
    </row>
    <row r="3184">
      <c r="E3184" s="5"/>
      <c r="M3184" s="7"/>
    </row>
    <row r="3185">
      <c r="E3185" s="5"/>
      <c r="M3185" s="7"/>
    </row>
    <row r="3186">
      <c r="E3186" s="5"/>
      <c r="M3186" s="7"/>
    </row>
    <row r="3187">
      <c r="E3187" s="5"/>
      <c r="M3187" s="7"/>
    </row>
    <row r="3188">
      <c r="E3188" s="5"/>
      <c r="M3188" s="7"/>
    </row>
    <row r="3189">
      <c r="E3189" s="5"/>
      <c r="M3189" s="7"/>
    </row>
    <row r="3190">
      <c r="E3190" s="5"/>
      <c r="M3190" s="7"/>
    </row>
    <row r="3191">
      <c r="E3191" s="5"/>
      <c r="M3191" s="7"/>
    </row>
    <row r="3192">
      <c r="E3192" s="5"/>
      <c r="M3192" s="7"/>
    </row>
    <row r="3193">
      <c r="E3193" s="5"/>
      <c r="M3193" s="7"/>
    </row>
    <row r="3194">
      <c r="E3194" s="5"/>
      <c r="M3194" s="7"/>
    </row>
    <row r="3195">
      <c r="E3195" s="5"/>
      <c r="M3195" s="7"/>
    </row>
    <row r="3196">
      <c r="E3196" s="5"/>
      <c r="M3196" s="7"/>
    </row>
    <row r="3197">
      <c r="E3197" s="5"/>
      <c r="M3197" s="7"/>
    </row>
    <row r="3198">
      <c r="E3198" s="5"/>
      <c r="M3198" s="7"/>
    </row>
    <row r="3199">
      <c r="E3199" s="5"/>
      <c r="M3199" s="7"/>
    </row>
    <row r="3200">
      <c r="E3200" s="5"/>
      <c r="M3200" s="7"/>
    </row>
    <row r="3201">
      <c r="E3201" s="5"/>
      <c r="M3201" s="7"/>
    </row>
    <row r="3202">
      <c r="E3202" s="5"/>
      <c r="M3202" s="7"/>
    </row>
    <row r="3203">
      <c r="E3203" s="5"/>
      <c r="M3203" s="7"/>
    </row>
    <row r="3204">
      <c r="E3204" s="5"/>
      <c r="M3204" s="7"/>
    </row>
    <row r="3205">
      <c r="E3205" s="5"/>
      <c r="M3205" s="7"/>
    </row>
    <row r="3206">
      <c r="E3206" s="5"/>
      <c r="M3206" s="7"/>
    </row>
    <row r="3207">
      <c r="E3207" s="5"/>
      <c r="M3207" s="7"/>
    </row>
    <row r="3208">
      <c r="E3208" s="5"/>
      <c r="M3208" s="7"/>
    </row>
    <row r="3209">
      <c r="E3209" s="5"/>
      <c r="M3209" s="7"/>
    </row>
    <row r="3210">
      <c r="E3210" s="5"/>
      <c r="M3210" s="7"/>
    </row>
    <row r="3211">
      <c r="E3211" s="5"/>
      <c r="M3211" s="7"/>
    </row>
    <row r="3212">
      <c r="E3212" s="5"/>
      <c r="M3212" s="7"/>
    </row>
    <row r="3213">
      <c r="E3213" s="5"/>
      <c r="M3213" s="7"/>
    </row>
    <row r="3214">
      <c r="E3214" s="5"/>
      <c r="M3214" s="7"/>
    </row>
    <row r="3215">
      <c r="E3215" s="5"/>
      <c r="M3215" s="7"/>
    </row>
    <row r="3216">
      <c r="E3216" s="5"/>
      <c r="M3216" s="7"/>
    </row>
    <row r="3217">
      <c r="E3217" s="5"/>
      <c r="M3217" s="7"/>
    </row>
    <row r="3218">
      <c r="E3218" s="5"/>
      <c r="M3218" s="7"/>
    </row>
    <row r="3219">
      <c r="E3219" s="5"/>
      <c r="M3219" s="7"/>
    </row>
    <row r="3220">
      <c r="E3220" s="5"/>
      <c r="M3220" s="7"/>
    </row>
    <row r="3221">
      <c r="E3221" s="5"/>
      <c r="M3221" s="7"/>
    </row>
    <row r="3222">
      <c r="E3222" s="5"/>
      <c r="M3222" s="7"/>
    </row>
    <row r="3223">
      <c r="E3223" s="5"/>
      <c r="M3223" s="7"/>
    </row>
    <row r="3224">
      <c r="E3224" s="5"/>
      <c r="M3224" s="7"/>
    </row>
    <row r="3225">
      <c r="E3225" s="5"/>
      <c r="M3225" s="7"/>
    </row>
    <row r="3226">
      <c r="E3226" s="5"/>
      <c r="M3226" s="7"/>
    </row>
    <row r="3227">
      <c r="E3227" s="5"/>
      <c r="M3227" s="7"/>
    </row>
    <row r="3228">
      <c r="E3228" s="5"/>
      <c r="M3228" s="7"/>
    </row>
    <row r="3229">
      <c r="E3229" s="5"/>
      <c r="M3229" s="7"/>
    </row>
    <row r="3230">
      <c r="E3230" s="5"/>
      <c r="M3230" s="7"/>
    </row>
    <row r="3231">
      <c r="E3231" s="5"/>
      <c r="M3231" s="7"/>
    </row>
    <row r="3232">
      <c r="E3232" s="5"/>
      <c r="M3232" s="7"/>
    </row>
    <row r="3233">
      <c r="E3233" s="5"/>
      <c r="M3233" s="7"/>
    </row>
    <row r="3234">
      <c r="E3234" s="5"/>
      <c r="M3234" s="7"/>
    </row>
    <row r="3235">
      <c r="E3235" s="5"/>
      <c r="M3235" s="7"/>
    </row>
    <row r="3236">
      <c r="E3236" s="5"/>
      <c r="M3236" s="7"/>
    </row>
    <row r="3237">
      <c r="E3237" s="5"/>
      <c r="M3237" s="7"/>
    </row>
    <row r="3238">
      <c r="E3238" s="5"/>
      <c r="M3238" s="7"/>
    </row>
    <row r="3239">
      <c r="E3239" s="5"/>
      <c r="M3239" s="7"/>
    </row>
    <row r="3240">
      <c r="E3240" s="5"/>
      <c r="M3240" s="7"/>
    </row>
    <row r="3241">
      <c r="E3241" s="5"/>
      <c r="M3241" s="7"/>
    </row>
    <row r="3242">
      <c r="E3242" s="5"/>
      <c r="M3242" s="7"/>
    </row>
    <row r="3243">
      <c r="E3243" s="5"/>
      <c r="M3243" s="7"/>
    </row>
    <row r="3244">
      <c r="E3244" s="5"/>
      <c r="M3244" s="7"/>
    </row>
    <row r="3245">
      <c r="E3245" s="5"/>
      <c r="M3245" s="7"/>
    </row>
    <row r="3246">
      <c r="E3246" s="5"/>
      <c r="M3246" s="7"/>
    </row>
    <row r="3247">
      <c r="E3247" s="5"/>
      <c r="M3247" s="7"/>
    </row>
    <row r="3248">
      <c r="E3248" s="5"/>
      <c r="M3248" s="7"/>
    </row>
    <row r="3249">
      <c r="E3249" s="5"/>
      <c r="M3249" s="7"/>
    </row>
    <row r="3250">
      <c r="E3250" s="5"/>
      <c r="M3250" s="7"/>
    </row>
    <row r="3251">
      <c r="E3251" s="5"/>
      <c r="M3251" s="7"/>
    </row>
    <row r="3252">
      <c r="E3252" s="5"/>
      <c r="M3252" s="7"/>
    </row>
    <row r="3253">
      <c r="E3253" s="5"/>
      <c r="M3253" s="7"/>
    </row>
    <row r="3254">
      <c r="E3254" s="5"/>
      <c r="M3254" s="7"/>
    </row>
    <row r="3255">
      <c r="E3255" s="5"/>
      <c r="M3255" s="7"/>
    </row>
    <row r="3256">
      <c r="E3256" s="5"/>
      <c r="M3256" s="7"/>
    </row>
    <row r="3257">
      <c r="E3257" s="5"/>
      <c r="M3257" s="7"/>
    </row>
    <row r="3258">
      <c r="E3258" s="5"/>
      <c r="M3258" s="7"/>
    </row>
    <row r="3259">
      <c r="E3259" s="5"/>
      <c r="M3259" s="7"/>
    </row>
    <row r="3260">
      <c r="E3260" s="5"/>
      <c r="M3260" s="7"/>
    </row>
    <row r="3261">
      <c r="E3261" s="5"/>
      <c r="M3261" s="7"/>
    </row>
    <row r="3262">
      <c r="E3262" s="5"/>
      <c r="M3262" s="7"/>
    </row>
    <row r="3263">
      <c r="E3263" s="5"/>
      <c r="M3263" s="7"/>
    </row>
    <row r="3264">
      <c r="E3264" s="5"/>
      <c r="M3264" s="7"/>
    </row>
    <row r="3265">
      <c r="E3265" s="5"/>
      <c r="M3265" s="7"/>
    </row>
    <row r="3266">
      <c r="E3266" s="5"/>
      <c r="M3266" s="7"/>
    </row>
    <row r="3267">
      <c r="E3267" s="5"/>
      <c r="M3267" s="7"/>
    </row>
    <row r="3268">
      <c r="E3268" s="5"/>
      <c r="M3268" s="7"/>
    </row>
    <row r="3269">
      <c r="E3269" s="5"/>
      <c r="M3269" s="7"/>
    </row>
    <row r="3270">
      <c r="E3270" s="5"/>
      <c r="M3270" s="7"/>
    </row>
    <row r="3271">
      <c r="E3271" s="5"/>
      <c r="M3271" s="7"/>
    </row>
    <row r="3272">
      <c r="E3272" s="5"/>
      <c r="M3272" s="7"/>
    </row>
    <row r="3273">
      <c r="E3273" s="5"/>
      <c r="M3273" s="7"/>
    </row>
    <row r="3274">
      <c r="E3274" s="5"/>
      <c r="M3274" s="7"/>
    </row>
    <row r="3275">
      <c r="E3275" s="5"/>
      <c r="M3275" s="7"/>
    </row>
    <row r="3276">
      <c r="E3276" s="5"/>
      <c r="M3276" s="7"/>
    </row>
    <row r="3277">
      <c r="E3277" s="5"/>
      <c r="M3277" s="7"/>
    </row>
    <row r="3278">
      <c r="E3278" s="5"/>
      <c r="M3278" s="7"/>
    </row>
    <row r="3279">
      <c r="E3279" s="5"/>
      <c r="M3279" s="7"/>
    </row>
    <row r="3280">
      <c r="E3280" s="5"/>
      <c r="M3280" s="7"/>
    </row>
    <row r="3281">
      <c r="E3281" s="5"/>
      <c r="M3281" s="7"/>
    </row>
    <row r="3282">
      <c r="E3282" s="5"/>
      <c r="M3282" s="7"/>
    </row>
    <row r="3283">
      <c r="E3283" s="5"/>
      <c r="M3283" s="7"/>
    </row>
    <row r="3284">
      <c r="E3284" s="5"/>
      <c r="M3284" s="7"/>
    </row>
    <row r="3285">
      <c r="E3285" s="5"/>
      <c r="M3285" s="7"/>
    </row>
    <row r="3286">
      <c r="E3286" s="5"/>
      <c r="M3286" s="7"/>
    </row>
    <row r="3287">
      <c r="E3287" s="5"/>
      <c r="M3287" s="7"/>
    </row>
    <row r="3288">
      <c r="E3288" s="5"/>
      <c r="M3288" s="7"/>
    </row>
    <row r="3289">
      <c r="E3289" s="5"/>
      <c r="M3289" s="7"/>
    </row>
    <row r="3290">
      <c r="E3290" s="5"/>
      <c r="M3290" s="7"/>
    </row>
    <row r="3291">
      <c r="E3291" s="5"/>
      <c r="M3291" s="7"/>
    </row>
    <row r="3292">
      <c r="E3292" s="5"/>
      <c r="M3292" s="7"/>
    </row>
    <row r="3293">
      <c r="E3293" s="5"/>
      <c r="M3293" s="7"/>
    </row>
    <row r="3294">
      <c r="E3294" s="5"/>
      <c r="M3294" s="7"/>
    </row>
    <row r="3295">
      <c r="E3295" s="5"/>
      <c r="M3295" s="7"/>
    </row>
    <row r="3296">
      <c r="E3296" s="5"/>
      <c r="M3296" s="7"/>
    </row>
    <row r="3297">
      <c r="E3297" s="5"/>
      <c r="M3297" s="7"/>
    </row>
    <row r="3298">
      <c r="E3298" s="5"/>
      <c r="M3298" s="7"/>
    </row>
    <row r="3299">
      <c r="E3299" s="5"/>
      <c r="M3299" s="7"/>
    </row>
    <row r="3300">
      <c r="E3300" s="5"/>
      <c r="M3300" s="7"/>
    </row>
    <row r="3301">
      <c r="E3301" s="5"/>
      <c r="M3301" s="7"/>
    </row>
    <row r="3302">
      <c r="E3302" s="5"/>
      <c r="M3302" s="7"/>
    </row>
    <row r="3303">
      <c r="E3303" s="5"/>
      <c r="M3303" s="7"/>
    </row>
    <row r="3304">
      <c r="E3304" s="5"/>
      <c r="M3304" s="7"/>
    </row>
    <row r="3305">
      <c r="E3305" s="5"/>
      <c r="M3305" s="7"/>
    </row>
    <row r="3306">
      <c r="E3306" s="5"/>
      <c r="M3306" s="7"/>
    </row>
    <row r="3307">
      <c r="E3307" s="5"/>
      <c r="M3307" s="7"/>
    </row>
    <row r="3308">
      <c r="E3308" s="5"/>
      <c r="M3308" s="7"/>
    </row>
    <row r="3309">
      <c r="E3309" s="5"/>
      <c r="M3309" s="7"/>
    </row>
    <row r="3310">
      <c r="E3310" s="5"/>
      <c r="M3310" s="7"/>
    </row>
    <row r="3311">
      <c r="E3311" s="5"/>
      <c r="M3311" s="7"/>
    </row>
    <row r="3312">
      <c r="E3312" s="5"/>
      <c r="M3312" s="7"/>
    </row>
    <row r="3313">
      <c r="E3313" s="5"/>
      <c r="M3313" s="7"/>
    </row>
    <row r="3314">
      <c r="E3314" s="5"/>
      <c r="M3314" s="7"/>
    </row>
    <row r="3315">
      <c r="E3315" s="5"/>
      <c r="M3315" s="7"/>
    </row>
    <row r="3316">
      <c r="E3316" s="5"/>
      <c r="M3316" s="7"/>
    </row>
    <row r="3317">
      <c r="E3317" s="5"/>
      <c r="M3317" s="7"/>
    </row>
    <row r="3318">
      <c r="E3318" s="5"/>
      <c r="M3318" s="7"/>
    </row>
    <row r="3319">
      <c r="E3319" s="5"/>
      <c r="M3319" s="7"/>
    </row>
    <row r="3320">
      <c r="E3320" s="5"/>
      <c r="M3320" s="7"/>
    </row>
    <row r="3321">
      <c r="E3321" s="5"/>
      <c r="M3321" s="7"/>
    </row>
    <row r="3322">
      <c r="E3322" s="5"/>
      <c r="M3322" s="7"/>
    </row>
    <row r="3323">
      <c r="E3323" s="5"/>
      <c r="M3323" s="7"/>
    </row>
    <row r="3324">
      <c r="E3324" s="5"/>
      <c r="M3324" s="7"/>
    </row>
    <row r="3325">
      <c r="E3325" s="5"/>
      <c r="M3325" s="7"/>
    </row>
    <row r="3326">
      <c r="E3326" s="5"/>
      <c r="M3326" s="7"/>
    </row>
    <row r="3327">
      <c r="E3327" s="5"/>
      <c r="M3327" s="7"/>
    </row>
    <row r="3328">
      <c r="E3328" s="5"/>
      <c r="M3328" s="7"/>
    </row>
    <row r="3329">
      <c r="E3329" s="5"/>
      <c r="M3329" s="7"/>
    </row>
    <row r="3330">
      <c r="E3330" s="5"/>
      <c r="M3330" s="7"/>
    </row>
    <row r="3331">
      <c r="E3331" s="5"/>
      <c r="M3331" s="7"/>
    </row>
    <row r="3332">
      <c r="E3332" s="5"/>
      <c r="M3332" s="7"/>
    </row>
    <row r="3333">
      <c r="E3333" s="5"/>
      <c r="M3333" s="7"/>
    </row>
    <row r="3334">
      <c r="E3334" s="5"/>
      <c r="M3334" s="7"/>
    </row>
    <row r="3335">
      <c r="E3335" s="5"/>
      <c r="M3335" s="7"/>
    </row>
    <row r="3336">
      <c r="E3336" s="5"/>
      <c r="M3336" s="7"/>
    </row>
    <row r="3337">
      <c r="E3337" s="5"/>
      <c r="M3337" s="7"/>
    </row>
    <row r="3338">
      <c r="E3338" s="5"/>
      <c r="M3338" s="7"/>
    </row>
    <row r="3339">
      <c r="E3339" s="5"/>
      <c r="M3339" s="7"/>
    </row>
    <row r="3340">
      <c r="E3340" s="5"/>
      <c r="M3340" s="7"/>
    </row>
    <row r="3341">
      <c r="E3341" s="5"/>
      <c r="M3341" s="7"/>
    </row>
    <row r="3342">
      <c r="E3342" s="5"/>
      <c r="M3342" s="7"/>
    </row>
    <row r="3343">
      <c r="E3343" s="5"/>
      <c r="M3343" s="7"/>
    </row>
    <row r="3344">
      <c r="E3344" s="5"/>
      <c r="M3344" s="7"/>
    </row>
    <row r="3345">
      <c r="E3345" s="5"/>
      <c r="M3345" s="7"/>
    </row>
    <row r="3346">
      <c r="E3346" s="5"/>
      <c r="M3346" s="7"/>
    </row>
    <row r="3347">
      <c r="E3347" s="5"/>
      <c r="M3347" s="7"/>
    </row>
    <row r="3348">
      <c r="E3348" s="5"/>
      <c r="M3348" s="7"/>
    </row>
    <row r="3349">
      <c r="E3349" s="5"/>
      <c r="M3349" s="7"/>
    </row>
    <row r="3350">
      <c r="E3350" s="5"/>
      <c r="M3350" s="7"/>
    </row>
    <row r="3351">
      <c r="E3351" s="5"/>
      <c r="M3351" s="7"/>
    </row>
    <row r="3352">
      <c r="E3352" s="5"/>
      <c r="M3352" s="7"/>
    </row>
    <row r="3353">
      <c r="E3353" s="5"/>
      <c r="M3353" s="7"/>
    </row>
    <row r="3354">
      <c r="E3354" s="5"/>
      <c r="M3354" s="7"/>
    </row>
    <row r="3355">
      <c r="E3355" s="5"/>
      <c r="M3355" s="7"/>
    </row>
    <row r="3356">
      <c r="E3356" s="5"/>
      <c r="M3356" s="7"/>
    </row>
    <row r="3357">
      <c r="E3357" s="5"/>
      <c r="M3357" s="7"/>
    </row>
    <row r="3358">
      <c r="E3358" s="5"/>
      <c r="M3358" s="7"/>
    </row>
    <row r="3359">
      <c r="E3359" s="5"/>
      <c r="M3359" s="7"/>
    </row>
    <row r="3360">
      <c r="E3360" s="5"/>
      <c r="M3360" s="7"/>
    </row>
  </sheetData>
  <hyperlinks>
    <hyperlink r:id="rId2" ref="J3"/>
    <hyperlink r:id="rId3" ref="J10"/>
    <hyperlink r:id="rId4" ref="J14"/>
    <hyperlink r:id="rId5" ref="J26"/>
    <hyperlink r:id="rId6" ref="J58"/>
    <hyperlink r:id="rId7" ref="J68"/>
    <hyperlink r:id="rId8" ref="J118"/>
    <hyperlink r:id="rId9" ref="J119"/>
    <hyperlink r:id="rId10" ref="J160"/>
    <hyperlink r:id="rId11" ref="J244"/>
    <hyperlink r:id="rId12" ref="J256"/>
    <hyperlink r:id="rId13" ref="J259"/>
    <hyperlink r:id="rId14" ref="J294"/>
    <hyperlink r:id="rId15" ref="J312"/>
    <hyperlink r:id="rId16" ref="J317"/>
    <hyperlink r:id="rId17" ref="J396"/>
    <hyperlink r:id="rId18" ref="J402"/>
    <hyperlink r:id="rId19" ref="J439"/>
    <hyperlink r:id="rId20" ref="J440"/>
    <hyperlink r:id="rId21" ref="J451"/>
    <hyperlink r:id="rId22" ref="J471"/>
    <hyperlink r:id="rId23" ref="J753"/>
    <hyperlink r:id="rId24" ref="J769"/>
    <hyperlink r:id="rId25" ref="J789"/>
    <hyperlink r:id="rId26" ref="J831"/>
    <hyperlink r:id="rId27" ref="J894"/>
    <hyperlink r:id="rId28" ref="J1065"/>
    <hyperlink r:id="rId29" ref="J1133"/>
    <hyperlink r:id="rId30" ref="J1309"/>
    <hyperlink r:id="rId31" ref="J1360"/>
    <hyperlink r:id="rId32" ref="J1451"/>
    <hyperlink r:id="rId33" ref="J1470"/>
    <hyperlink r:id="rId34" ref="J1578"/>
    <hyperlink r:id="rId35" ref="J1586"/>
    <hyperlink r:id="rId36" ref="J1684"/>
    <hyperlink r:id="rId37" ref="J1697"/>
    <hyperlink r:id="rId38" ref="J1704"/>
    <hyperlink r:id="rId39" ref="J1713"/>
  </hyperlinks>
  <drawing r:id="rId40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1.25"/>
    <col customWidth="1" min="3" max="3" width="29.75"/>
    <col customWidth="1" min="4" max="4" width="20.63"/>
    <col customWidth="1" min="5" max="5" width="48.63"/>
    <col customWidth="1" min="6" max="6" width="24.25"/>
    <col customWidth="1" min="7" max="7" width="19.38"/>
  </cols>
  <sheetData>
    <row r="1">
      <c r="A1" s="3" t="s">
        <v>5105</v>
      </c>
      <c r="B1" s="3" t="s">
        <v>5106</v>
      </c>
      <c r="C1" s="3" t="s">
        <v>5107</v>
      </c>
      <c r="D1" s="3" t="s">
        <v>5108</v>
      </c>
      <c r="E1" s="3" t="s">
        <v>3</v>
      </c>
      <c r="F1" s="3" t="s">
        <v>5109</v>
      </c>
      <c r="G1" s="3" t="s">
        <v>5110</v>
      </c>
    </row>
    <row r="2">
      <c r="A2" s="3" t="s">
        <v>5111</v>
      </c>
      <c r="B2" s="3">
        <v>6.140764157E10</v>
      </c>
      <c r="C2" s="3" t="s">
        <v>5112</v>
      </c>
      <c r="D2" s="3">
        <v>5112.0</v>
      </c>
      <c r="E2" s="3" t="s">
        <v>5113</v>
      </c>
      <c r="F2" s="19" t="s">
        <v>5114</v>
      </c>
      <c r="G2" s="3" t="s">
        <v>5115</v>
      </c>
    </row>
    <row r="3">
      <c r="A3" s="3" t="s">
        <v>3476</v>
      </c>
      <c r="B3" s="3">
        <v>6.1400055776E10</v>
      </c>
      <c r="C3" s="3" t="s">
        <v>3477</v>
      </c>
      <c r="D3" s="3">
        <v>4570.0</v>
      </c>
      <c r="E3" s="3" t="s">
        <v>5116</v>
      </c>
      <c r="F3" s="19" t="s">
        <v>5114</v>
      </c>
      <c r="G3" s="3" t="s">
        <v>5117</v>
      </c>
    </row>
    <row r="4">
      <c r="A4" s="3" t="s">
        <v>5118</v>
      </c>
      <c r="B4" s="3">
        <v>6.1451808335E10</v>
      </c>
      <c r="C4" s="3" t="s">
        <v>5119</v>
      </c>
      <c r="D4" s="3">
        <v>4209.0</v>
      </c>
      <c r="E4" s="3"/>
      <c r="F4" s="19" t="s">
        <v>5114</v>
      </c>
      <c r="G4" s="3" t="s">
        <v>5117</v>
      </c>
    </row>
    <row r="5">
      <c r="A5" s="3" t="s">
        <v>5120</v>
      </c>
      <c r="B5" s="3">
        <v>6.1416088648E10</v>
      </c>
      <c r="C5" s="3" t="s">
        <v>5121</v>
      </c>
      <c r="D5" s="3" t="s">
        <v>5122</v>
      </c>
      <c r="E5" s="3" t="s">
        <v>5123</v>
      </c>
      <c r="F5" s="19" t="s">
        <v>5114</v>
      </c>
      <c r="G5" s="3" t="s">
        <v>5117</v>
      </c>
    </row>
    <row r="6">
      <c r="A6" s="3" t="s">
        <v>5124</v>
      </c>
      <c r="B6" s="3">
        <v>6.1409408559E10</v>
      </c>
      <c r="C6" s="3" t="s">
        <v>5125</v>
      </c>
      <c r="D6" s="3" t="s">
        <v>5126</v>
      </c>
      <c r="E6" s="3" t="s">
        <v>5127</v>
      </c>
      <c r="F6" s="19" t="s">
        <v>5114</v>
      </c>
      <c r="G6" s="3" t="s">
        <v>5117</v>
      </c>
    </row>
    <row r="7">
      <c r="A7" s="3" t="s">
        <v>5128</v>
      </c>
      <c r="B7" s="3">
        <v>6.1447074612E10</v>
      </c>
      <c r="C7" s="3" t="s">
        <v>5129</v>
      </c>
      <c r="D7" s="3" t="s">
        <v>5130</v>
      </c>
      <c r="E7" s="3"/>
      <c r="F7" s="19" t="s">
        <v>5114</v>
      </c>
      <c r="G7" s="3" t="s">
        <v>5117</v>
      </c>
    </row>
    <row r="8">
      <c r="A8" s="3" t="s">
        <v>5131</v>
      </c>
      <c r="B8" s="3">
        <v>6.1413932717E10</v>
      </c>
      <c r="C8" s="3" t="s">
        <v>5132</v>
      </c>
      <c r="D8" s="3" t="s">
        <v>5133</v>
      </c>
      <c r="E8" s="3" t="s">
        <v>5134</v>
      </c>
      <c r="F8" s="19" t="s">
        <v>5114</v>
      </c>
      <c r="G8" s="3" t="s">
        <v>5117</v>
      </c>
    </row>
    <row r="9">
      <c r="A9" s="3" t="s">
        <v>5135</v>
      </c>
      <c r="B9" s="3">
        <v>6.1412701167E10</v>
      </c>
      <c r="C9" s="3" t="s">
        <v>5136</v>
      </c>
      <c r="D9" s="3" t="s">
        <v>5137</v>
      </c>
      <c r="E9" s="3"/>
      <c r="F9" s="19" t="s">
        <v>5114</v>
      </c>
      <c r="G9" s="3" t="s">
        <v>5117</v>
      </c>
    </row>
    <row r="10">
      <c r="A10" s="3" t="s">
        <v>5138</v>
      </c>
      <c r="B10" s="3">
        <v>6.1410467052E10</v>
      </c>
      <c r="C10" s="3" t="s">
        <v>5139</v>
      </c>
      <c r="D10" s="3" t="s">
        <v>5140</v>
      </c>
      <c r="E10" s="3" t="s">
        <v>5141</v>
      </c>
      <c r="F10" s="19" t="s">
        <v>5114</v>
      </c>
      <c r="G10" s="3" t="s">
        <v>5117</v>
      </c>
    </row>
    <row r="11">
      <c r="A11" s="3" t="s">
        <v>5142</v>
      </c>
      <c r="B11" s="3">
        <v>6.141990898E10</v>
      </c>
      <c r="C11" s="3" t="s">
        <v>5143</v>
      </c>
      <c r="D11" s="3" t="s">
        <v>5144</v>
      </c>
      <c r="E11" s="3" t="s">
        <v>5145</v>
      </c>
      <c r="F11" s="19" t="s">
        <v>5114</v>
      </c>
      <c r="G11" s="3" t="s">
        <v>5117</v>
      </c>
    </row>
    <row r="12">
      <c r="A12" s="3" t="s">
        <v>5146</v>
      </c>
      <c r="B12" s="3">
        <v>6.1418388538E10</v>
      </c>
      <c r="C12" s="3" t="s">
        <v>5147</v>
      </c>
      <c r="D12" s="3" t="s">
        <v>5148</v>
      </c>
      <c r="E12" s="3"/>
      <c r="F12" s="19" t="s">
        <v>5149</v>
      </c>
      <c r="G12" s="3" t="s">
        <v>5117</v>
      </c>
    </row>
    <row r="13">
      <c r="A13" s="3" t="s">
        <v>5150</v>
      </c>
      <c r="B13" s="3">
        <v>6.1406334493E10</v>
      </c>
      <c r="C13" s="3" t="s">
        <v>5151</v>
      </c>
      <c r="D13" s="3" t="s">
        <v>5152</v>
      </c>
      <c r="E13" s="3"/>
      <c r="F13" s="19" t="s">
        <v>5149</v>
      </c>
      <c r="G13" s="3" t="s">
        <v>5117</v>
      </c>
    </row>
    <row r="14">
      <c r="A14" s="3" t="s">
        <v>5153</v>
      </c>
      <c r="B14" s="3">
        <v>6.143339096E10</v>
      </c>
      <c r="C14" s="3" t="s">
        <v>5154</v>
      </c>
      <c r="D14" s="3" t="s">
        <v>5155</v>
      </c>
      <c r="E14" s="3"/>
      <c r="F14" s="19" t="s">
        <v>5149</v>
      </c>
      <c r="G14" s="3" t="s">
        <v>5117</v>
      </c>
    </row>
    <row r="15">
      <c r="A15" s="3" t="s">
        <v>5156</v>
      </c>
      <c r="B15" s="3">
        <v>6.1412798447E10</v>
      </c>
      <c r="C15" s="3" t="s">
        <v>5157</v>
      </c>
      <c r="D15" s="3" t="s">
        <v>5158</v>
      </c>
      <c r="E15" s="3"/>
      <c r="F15" s="19" t="s">
        <v>5149</v>
      </c>
      <c r="G15" s="3" t="s">
        <v>5117</v>
      </c>
    </row>
    <row r="16">
      <c r="A16" s="3" t="s">
        <v>5159</v>
      </c>
      <c r="B16" s="3">
        <v>6.1434579955E10</v>
      </c>
      <c r="C16" s="3" t="s">
        <v>5160</v>
      </c>
      <c r="D16" s="3" t="s">
        <v>5161</v>
      </c>
      <c r="E16" s="3"/>
      <c r="F16" s="19" t="s">
        <v>5149</v>
      </c>
      <c r="G16" s="3" t="s">
        <v>5117</v>
      </c>
    </row>
    <row r="17">
      <c r="A17" s="3" t="s">
        <v>5162</v>
      </c>
      <c r="B17" s="3">
        <v>6.14482536E10</v>
      </c>
      <c r="C17" s="3" t="s">
        <v>5163</v>
      </c>
      <c r="D17" s="3" t="s">
        <v>2287</v>
      </c>
      <c r="E17" s="3"/>
      <c r="F17" s="19" t="s">
        <v>5149</v>
      </c>
      <c r="G17" s="3" t="s">
        <v>5117</v>
      </c>
    </row>
    <row r="18">
      <c r="A18" s="3" t="s">
        <v>5164</v>
      </c>
      <c r="B18" s="3">
        <v>6.1414795601E10</v>
      </c>
      <c r="C18" s="3" t="s">
        <v>5165</v>
      </c>
      <c r="D18" s="3" t="s">
        <v>5166</v>
      </c>
      <c r="E18" s="3"/>
      <c r="F18" s="19" t="s">
        <v>5149</v>
      </c>
      <c r="G18" s="3" t="s">
        <v>5117</v>
      </c>
    </row>
    <row r="19">
      <c r="A19" s="3" t="s">
        <v>5167</v>
      </c>
      <c r="B19" s="3">
        <v>6.1499946088E10</v>
      </c>
      <c r="C19" s="3" t="s">
        <v>5168</v>
      </c>
      <c r="D19" s="3" t="s">
        <v>2398</v>
      </c>
      <c r="E19" s="3"/>
      <c r="F19" s="19" t="s">
        <v>5149</v>
      </c>
      <c r="G19" s="3" t="s">
        <v>5117</v>
      </c>
    </row>
    <row r="20">
      <c r="A20" s="3" t="s">
        <v>5169</v>
      </c>
      <c r="B20" s="3">
        <v>6.1412513315E10</v>
      </c>
      <c r="C20" s="3" t="s">
        <v>5170</v>
      </c>
      <c r="D20" s="3" t="s">
        <v>5171</v>
      </c>
      <c r="E20" s="3"/>
      <c r="F20" s="19" t="s">
        <v>5149</v>
      </c>
      <c r="G20" s="3" t="s">
        <v>5117</v>
      </c>
    </row>
    <row r="21">
      <c r="A21" s="3" t="s">
        <v>5172</v>
      </c>
      <c r="B21" s="3">
        <v>6.1419027807E10</v>
      </c>
      <c r="C21" s="3" t="s">
        <v>5173</v>
      </c>
      <c r="D21" s="3" t="s">
        <v>5174</v>
      </c>
      <c r="E21" s="3" t="s">
        <v>5175</v>
      </c>
      <c r="F21" s="19" t="s">
        <v>5176</v>
      </c>
      <c r="G21" s="3" t="s">
        <v>5117</v>
      </c>
    </row>
    <row r="22">
      <c r="A22" s="3" t="s">
        <v>5177</v>
      </c>
      <c r="B22" s="3">
        <v>6.1447347402E10</v>
      </c>
      <c r="C22" s="3" t="s">
        <v>5178</v>
      </c>
      <c r="D22" s="3" t="s">
        <v>5179</v>
      </c>
      <c r="E22" s="3"/>
      <c r="F22" s="19" t="s">
        <v>5176</v>
      </c>
      <c r="G22" s="3" t="s">
        <v>5117</v>
      </c>
    </row>
    <row r="23">
      <c r="A23" s="3" t="s">
        <v>5177</v>
      </c>
      <c r="B23" s="3">
        <v>6.1447347402E10</v>
      </c>
      <c r="C23" s="3" t="s">
        <v>5178</v>
      </c>
      <c r="D23" s="3" t="s">
        <v>5179</v>
      </c>
      <c r="E23" s="3"/>
      <c r="F23" s="19" t="s">
        <v>5176</v>
      </c>
      <c r="G23" s="3" t="s">
        <v>5180</v>
      </c>
    </row>
    <row r="24">
      <c r="A24" s="3" t="s">
        <v>5181</v>
      </c>
      <c r="B24" s="3">
        <v>6.1412584126E10</v>
      </c>
      <c r="C24" s="3" t="s">
        <v>5182</v>
      </c>
      <c r="D24" s="3">
        <v>2533.0</v>
      </c>
      <c r="E24" s="3"/>
      <c r="F24" s="19" t="s">
        <v>5176</v>
      </c>
      <c r="G24" s="3" t="s">
        <v>5117</v>
      </c>
    </row>
    <row r="25">
      <c r="A25" s="3" t="s">
        <v>5183</v>
      </c>
      <c r="B25" s="3">
        <v>6.1403981173E10</v>
      </c>
      <c r="C25" s="3" t="s">
        <v>5184</v>
      </c>
      <c r="D25" s="3" t="s">
        <v>5185</v>
      </c>
      <c r="E25" s="3"/>
      <c r="F25" s="19" t="s">
        <v>5176</v>
      </c>
      <c r="G25" s="3" t="s">
        <v>5117</v>
      </c>
    </row>
    <row r="26">
      <c r="A26" s="3" t="s">
        <v>5186</v>
      </c>
      <c r="B26" s="3">
        <v>6.1402287112E10</v>
      </c>
      <c r="C26" s="3" t="s">
        <v>5187</v>
      </c>
      <c r="D26" s="3" t="s">
        <v>5188</v>
      </c>
      <c r="E26" s="3"/>
      <c r="F26" s="19" t="s">
        <v>5176</v>
      </c>
      <c r="G26" s="3" t="s">
        <v>5117</v>
      </c>
    </row>
    <row r="27">
      <c r="A27" s="3" t="s">
        <v>5189</v>
      </c>
      <c r="B27" s="3">
        <v>6.1414345079E10</v>
      </c>
      <c r="C27" s="3" t="s">
        <v>5190</v>
      </c>
      <c r="D27" s="3" t="s">
        <v>5191</v>
      </c>
      <c r="E27" s="3"/>
      <c r="F27" s="19" t="s">
        <v>5176</v>
      </c>
      <c r="G27" s="3" t="s">
        <v>5117</v>
      </c>
    </row>
    <row r="28">
      <c r="A28" s="3" t="s">
        <v>5192</v>
      </c>
      <c r="B28" s="3">
        <v>6.1429641324E10</v>
      </c>
      <c r="C28" s="3" t="s">
        <v>5193</v>
      </c>
      <c r="D28" s="3" t="s">
        <v>820</v>
      </c>
      <c r="E28" s="3"/>
      <c r="F28" s="19" t="s">
        <v>5176</v>
      </c>
      <c r="G28" s="3" t="s">
        <v>5117</v>
      </c>
    </row>
    <row r="29">
      <c r="A29" s="3" t="s">
        <v>5194</v>
      </c>
      <c r="B29" s="3">
        <v>6.1411751955E10</v>
      </c>
      <c r="C29" s="3" t="s">
        <v>5195</v>
      </c>
      <c r="D29" s="3">
        <v>2352.0</v>
      </c>
      <c r="E29" s="3"/>
      <c r="F29" s="19" t="s">
        <v>5176</v>
      </c>
      <c r="G29" s="3" t="s">
        <v>5117</v>
      </c>
    </row>
    <row r="30">
      <c r="A30" s="3" t="s">
        <v>5196</v>
      </c>
      <c r="B30" s="3">
        <v>6.1419763136E10</v>
      </c>
      <c r="C30" s="3" t="s">
        <v>5197</v>
      </c>
      <c r="D30" s="3" t="s">
        <v>5198</v>
      </c>
      <c r="E30" s="3"/>
      <c r="F30" s="19" t="s">
        <v>5176</v>
      </c>
      <c r="G30" s="3" t="s">
        <v>5117</v>
      </c>
    </row>
    <row r="31">
      <c r="A31" s="3" t="s">
        <v>5199</v>
      </c>
      <c r="B31" s="3">
        <v>6.1497511262E10</v>
      </c>
      <c r="C31" s="3" t="s">
        <v>5200</v>
      </c>
      <c r="D31" s="3">
        <v>3223.0</v>
      </c>
      <c r="E31" s="3"/>
      <c r="F31" s="19" t="s">
        <v>1204</v>
      </c>
      <c r="G31" s="3" t="s">
        <v>5117</v>
      </c>
    </row>
    <row r="32">
      <c r="A32" s="3" t="s">
        <v>5201</v>
      </c>
      <c r="B32" s="3">
        <v>6.1468616004E10</v>
      </c>
      <c r="C32" s="3" t="s">
        <v>5202</v>
      </c>
      <c r="D32" s="3">
        <v>2450.0</v>
      </c>
      <c r="E32" s="3"/>
      <c r="F32" s="19" t="s">
        <v>1204</v>
      </c>
      <c r="G32" s="3" t="s">
        <v>5117</v>
      </c>
    </row>
    <row r="33">
      <c r="A33" s="3" t="s">
        <v>5203</v>
      </c>
      <c r="B33" s="3">
        <v>6.1430874601E10</v>
      </c>
      <c r="C33" s="3" t="s">
        <v>5204</v>
      </c>
      <c r="D33" s="3" t="s">
        <v>5205</v>
      </c>
      <c r="E33" s="3" t="s">
        <v>5206</v>
      </c>
      <c r="F33" s="19" t="s">
        <v>5207</v>
      </c>
      <c r="G33" s="3" t="s">
        <v>5117</v>
      </c>
    </row>
    <row r="34">
      <c r="A34" s="3" t="s">
        <v>5208</v>
      </c>
      <c r="B34" s="3">
        <v>6.1431148246E10</v>
      </c>
      <c r="C34" s="3" t="s">
        <v>5209</v>
      </c>
      <c r="D34" s="3" t="s">
        <v>5210</v>
      </c>
      <c r="E34" s="3" t="s">
        <v>5211</v>
      </c>
      <c r="F34" s="19" t="s">
        <v>5212</v>
      </c>
      <c r="G34" s="3" t="s">
        <v>5213</v>
      </c>
    </row>
    <row r="35">
      <c r="A35" s="3" t="s">
        <v>5214</v>
      </c>
      <c r="B35" s="3">
        <v>6.1411736891E10</v>
      </c>
      <c r="C35" s="3" t="s">
        <v>5215</v>
      </c>
      <c r="D35" s="3" t="s">
        <v>5216</v>
      </c>
      <c r="E35" s="3" t="s">
        <v>5217</v>
      </c>
      <c r="F35" s="19" t="s">
        <v>5212</v>
      </c>
      <c r="G35" s="3" t="s">
        <v>5213</v>
      </c>
    </row>
    <row r="36">
      <c r="A36" s="3" t="s">
        <v>5218</v>
      </c>
      <c r="B36" s="3">
        <v>6.1409355662E10</v>
      </c>
      <c r="C36" s="3" t="s">
        <v>5219</v>
      </c>
      <c r="D36" s="3" t="s">
        <v>2706</v>
      </c>
      <c r="E36" s="3" t="s">
        <v>5220</v>
      </c>
      <c r="F36" s="19" t="s">
        <v>5212</v>
      </c>
      <c r="G36" s="3" t="s">
        <v>5213</v>
      </c>
      <c r="I36" s="3" t="s">
        <v>5221</v>
      </c>
    </row>
    <row r="37">
      <c r="A37" s="3" t="s">
        <v>5222</v>
      </c>
      <c r="B37" s="3">
        <v>6.1425843027E10</v>
      </c>
      <c r="C37" s="3" t="s">
        <v>5223</v>
      </c>
      <c r="D37" s="3" t="s">
        <v>5224</v>
      </c>
      <c r="E37" s="3" t="s">
        <v>5225</v>
      </c>
      <c r="F37" s="19" t="s">
        <v>5212</v>
      </c>
      <c r="G37" s="3" t="s">
        <v>5117</v>
      </c>
    </row>
    <row r="38">
      <c r="A38" s="3" t="s">
        <v>5226</v>
      </c>
      <c r="B38" s="3">
        <v>6.1432305372E10</v>
      </c>
      <c r="C38" s="3" t="s">
        <v>5227</v>
      </c>
      <c r="D38" s="3" t="s">
        <v>5228</v>
      </c>
      <c r="E38" s="3" t="s">
        <v>5229</v>
      </c>
      <c r="F38" s="19" t="s">
        <v>5212</v>
      </c>
      <c r="G38" s="3" t="s">
        <v>5213</v>
      </c>
    </row>
    <row r="39">
      <c r="A39" s="3" t="s">
        <v>5230</v>
      </c>
      <c r="B39" s="3">
        <v>6.1428386771E10</v>
      </c>
      <c r="C39" s="3" t="s">
        <v>5231</v>
      </c>
      <c r="D39" s="3" t="s">
        <v>5232</v>
      </c>
      <c r="E39" s="3" t="s">
        <v>5233</v>
      </c>
      <c r="F39" s="19" t="s">
        <v>5212</v>
      </c>
      <c r="G39" s="3" t="s">
        <v>5213</v>
      </c>
    </row>
    <row r="40">
      <c r="A40" s="3" t="s">
        <v>5234</v>
      </c>
      <c r="B40" s="3">
        <v>6.1427076476E10</v>
      </c>
      <c r="C40" s="3" t="s">
        <v>5235</v>
      </c>
      <c r="D40" s="3" t="s">
        <v>2945</v>
      </c>
      <c r="E40" s="3" t="s">
        <v>5236</v>
      </c>
      <c r="F40" s="19" t="s">
        <v>5212</v>
      </c>
      <c r="G40" s="3" t="s">
        <v>5213</v>
      </c>
    </row>
    <row r="41">
      <c r="A41" s="3" t="s">
        <v>5237</v>
      </c>
      <c r="B41" s="3">
        <v>6.1403974059E10</v>
      </c>
      <c r="C41" s="3" t="s">
        <v>5238</v>
      </c>
      <c r="D41" s="3" t="s">
        <v>5239</v>
      </c>
      <c r="E41" s="3" t="s">
        <v>5240</v>
      </c>
      <c r="F41" s="19" t="s">
        <v>5241</v>
      </c>
      <c r="G41" s="3" t="s">
        <v>5213</v>
      </c>
    </row>
    <row r="42">
      <c r="A42" s="3" t="s">
        <v>5242</v>
      </c>
      <c r="B42" s="3">
        <v>6.141133042E10</v>
      </c>
      <c r="C42" s="3" t="s">
        <v>5243</v>
      </c>
      <c r="D42" s="3" t="s">
        <v>5244</v>
      </c>
      <c r="E42" s="3"/>
      <c r="F42" s="19" t="s">
        <v>5241</v>
      </c>
      <c r="G42" s="3" t="s">
        <v>5213</v>
      </c>
    </row>
    <row r="43">
      <c r="A43" s="3" t="s">
        <v>5245</v>
      </c>
      <c r="B43" s="3">
        <v>6.1412594228E10</v>
      </c>
      <c r="C43" s="3" t="s">
        <v>5246</v>
      </c>
      <c r="D43" s="3" t="s">
        <v>5247</v>
      </c>
      <c r="E43" s="3"/>
      <c r="F43" s="19" t="s">
        <v>5241</v>
      </c>
      <c r="G43" s="3" t="s">
        <v>5213</v>
      </c>
    </row>
    <row r="44">
      <c r="A44" s="3" t="s">
        <v>5248</v>
      </c>
      <c r="B44" s="3">
        <v>6.1437146402E10</v>
      </c>
      <c r="C44" s="3" t="s">
        <v>5249</v>
      </c>
      <c r="D44" s="3" t="s">
        <v>5250</v>
      </c>
      <c r="E44" s="3"/>
      <c r="F44" s="19" t="s">
        <v>5241</v>
      </c>
      <c r="G44" s="3" t="s">
        <v>5213</v>
      </c>
    </row>
    <row r="45">
      <c r="A45" s="3" t="s">
        <v>5251</v>
      </c>
      <c r="B45" s="3">
        <v>6.141485849E10</v>
      </c>
      <c r="C45" s="3" t="s">
        <v>5252</v>
      </c>
      <c r="D45" s="3" t="s">
        <v>5253</v>
      </c>
      <c r="E45" s="3" t="s">
        <v>5254</v>
      </c>
      <c r="F45" s="19" t="s">
        <v>5241</v>
      </c>
      <c r="G45" s="3" t="s">
        <v>5213</v>
      </c>
    </row>
    <row r="46">
      <c r="A46" s="3" t="s">
        <v>5255</v>
      </c>
      <c r="B46" s="3">
        <v>6.1410773628E10</v>
      </c>
      <c r="C46" s="3" t="s">
        <v>5256</v>
      </c>
      <c r="D46" s="3">
        <v>3984.0</v>
      </c>
      <c r="E46" s="3" t="s">
        <v>5257</v>
      </c>
      <c r="F46" s="19" t="s">
        <v>5241</v>
      </c>
      <c r="G46" s="3" t="s">
        <v>5258</v>
      </c>
    </row>
    <row r="47">
      <c r="A47" s="3" t="s">
        <v>5259</v>
      </c>
      <c r="B47" s="3">
        <v>6.1422282177E10</v>
      </c>
      <c r="C47" s="3" t="s">
        <v>5260</v>
      </c>
      <c r="D47" s="3">
        <v>2548.0</v>
      </c>
      <c r="E47" s="3" t="s">
        <v>5261</v>
      </c>
      <c r="F47" s="19" t="s">
        <v>1452</v>
      </c>
      <c r="G47" s="3" t="s">
        <v>5213</v>
      </c>
    </row>
    <row r="48">
      <c r="A48" s="3" t="s">
        <v>5262</v>
      </c>
      <c r="B48" s="3">
        <v>6.1447814443E10</v>
      </c>
      <c r="C48" s="3" t="s">
        <v>5263</v>
      </c>
      <c r="D48" s="3">
        <v>2550.0</v>
      </c>
      <c r="E48" s="3"/>
      <c r="F48" s="19" t="s">
        <v>1452</v>
      </c>
      <c r="G48" s="3" t="s">
        <v>5213</v>
      </c>
    </row>
    <row r="49">
      <c r="A49" s="3" t="s">
        <v>5264</v>
      </c>
      <c r="B49" s="3">
        <v>6.1412773919E10</v>
      </c>
      <c r="C49" s="3" t="s">
        <v>5265</v>
      </c>
      <c r="D49" s="3" t="s">
        <v>5266</v>
      </c>
      <c r="E49" s="3"/>
      <c r="F49" s="19" t="s">
        <v>1452</v>
      </c>
      <c r="G49" s="3" t="s">
        <v>5180</v>
      </c>
    </row>
    <row r="50">
      <c r="A50" s="3" t="s">
        <v>5267</v>
      </c>
      <c r="B50" s="3">
        <v>6.1404387513E10</v>
      </c>
      <c r="C50" s="3" t="s">
        <v>5268</v>
      </c>
      <c r="D50" s="3" t="s">
        <v>5269</v>
      </c>
      <c r="E50" s="3" t="s">
        <v>5270</v>
      </c>
      <c r="F50" s="19" t="s">
        <v>1452</v>
      </c>
      <c r="G50" s="3" t="s">
        <v>5213</v>
      </c>
    </row>
    <row r="51">
      <c r="A51" s="3" t="s">
        <v>5271</v>
      </c>
      <c r="B51" s="3">
        <v>6.1432898551E10</v>
      </c>
      <c r="C51" s="3" t="s">
        <v>5272</v>
      </c>
      <c r="D51" s="3" t="s">
        <v>5273</v>
      </c>
      <c r="E51" s="3" t="s">
        <v>5274</v>
      </c>
      <c r="F51" s="19" t="s">
        <v>1452</v>
      </c>
      <c r="G51" s="3" t="s">
        <v>5180</v>
      </c>
    </row>
    <row r="52">
      <c r="A52" s="3" t="s">
        <v>5275</v>
      </c>
      <c r="B52" s="3">
        <v>6.1439568508E10</v>
      </c>
      <c r="C52" s="3" t="s">
        <v>5276</v>
      </c>
      <c r="D52" s="3" t="s">
        <v>5277</v>
      </c>
      <c r="E52" s="3" t="s">
        <v>5278</v>
      </c>
      <c r="F52" s="19" t="s">
        <v>1452</v>
      </c>
      <c r="G52" s="3" t="s">
        <v>5213</v>
      </c>
    </row>
    <row r="53">
      <c r="A53" s="3" t="s">
        <v>5279</v>
      </c>
      <c r="B53" s="3">
        <v>6.1408911428E10</v>
      </c>
      <c r="C53" s="3" t="s">
        <v>5280</v>
      </c>
      <c r="D53" s="3" t="s">
        <v>5281</v>
      </c>
      <c r="E53" s="3" t="s">
        <v>5282</v>
      </c>
      <c r="F53" s="19" t="s">
        <v>1452</v>
      </c>
      <c r="G53" s="3" t="s">
        <v>5213</v>
      </c>
    </row>
    <row r="54">
      <c r="A54" s="3" t="s">
        <v>5283</v>
      </c>
      <c r="B54" s="3">
        <v>6.1433390655E10</v>
      </c>
      <c r="C54" s="3" t="s">
        <v>5284</v>
      </c>
      <c r="D54" s="3" t="s">
        <v>5285</v>
      </c>
      <c r="E54" s="3" t="s">
        <v>5286</v>
      </c>
      <c r="F54" s="19" t="s">
        <v>1452</v>
      </c>
      <c r="G54" s="3" t="s">
        <v>5213</v>
      </c>
    </row>
    <row r="55">
      <c r="A55" s="3" t="s">
        <v>5287</v>
      </c>
      <c r="B55" s="3">
        <v>6.1400707388E10</v>
      </c>
      <c r="C55" s="3" t="s">
        <v>5288</v>
      </c>
      <c r="D55" s="3" t="s">
        <v>5289</v>
      </c>
      <c r="E55" s="3" t="s">
        <v>5290</v>
      </c>
      <c r="F55" s="19" t="s">
        <v>1452</v>
      </c>
      <c r="G55" s="3" t="s">
        <v>5213</v>
      </c>
    </row>
    <row r="56">
      <c r="A56" s="3" t="s">
        <v>5291</v>
      </c>
      <c r="B56" s="3">
        <v>6.1411407469E10</v>
      </c>
      <c r="C56" s="3" t="s">
        <v>5292</v>
      </c>
      <c r="D56" s="3" t="s">
        <v>2689</v>
      </c>
      <c r="E56" s="3" t="s">
        <v>5293</v>
      </c>
      <c r="F56" s="19" t="s">
        <v>5294</v>
      </c>
      <c r="G56" s="3" t="s">
        <v>5213</v>
      </c>
    </row>
    <row r="57">
      <c r="A57" s="3" t="s">
        <v>5295</v>
      </c>
      <c r="B57" s="3">
        <v>6.1411393049E10</v>
      </c>
      <c r="C57" s="3" t="s">
        <v>5296</v>
      </c>
      <c r="D57" s="3">
        <v>3084.0</v>
      </c>
      <c r="E57" s="3" t="s">
        <v>5297</v>
      </c>
      <c r="F57" s="19" t="s">
        <v>5294</v>
      </c>
      <c r="G57" s="3" t="s">
        <v>5213</v>
      </c>
    </row>
    <row r="58">
      <c r="A58" s="3" t="s">
        <v>5298</v>
      </c>
      <c r="B58" s="3">
        <v>6.1402242329E10</v>
      </c>
      <c r="C58" s="3" t="s">
        <v>5299</v>
      </c>
      <c r="D58" s="3">
        <v>3034.0</v>
      </c>
      <c r="E58" s="3" t="s">
        <v>5300</v>
      </c>
      <c r="F58" s="19" t="s">
        <v>5294</v>
      </c>
      <c r="G58" s="3" t="s">
        <v>5213</v>
      </c>
    </row>
    <row r="59">
      <c r="A59" s="3" t="s">
        <v>5301</v>
      </c>
      <c r="B59" s="3">
        <v>6.1419007788E10</v>
      </c>
      <c r="C59" s="3" t="s">
        <v>5302</v>
      </c>
      <c r="D59" s="3" t="s">
        <v>5303</v>
      </c>
      <c r="E59" s="3" t="s">
        <v>5304</v>
      </c>
      <c r="F59" s="19" t="s">
        <v>5305</v>
      </c>
      <c r="G59" s="3" t="s">
        <v>5213</v>
      </c>
    </row>
    <row r="60">
      <c r="A60" s="3" t="s">
        <v>5306</v>
      </c>
      <c r="B60" s="3">
        <v>6.1402642382E10</v>
      </c>
      <c r="C60" s="3" t="s">
        <v>5307</v>
      </c>
      <c r="D60" s="3" t="s">
        <v>5308</v>
      </c>
      <c r="E60" s="3" t="s">
        <v>5309</v>
      </c>
      <c r="F60" s="19" t="s">
        <v>5305</v>
      </c>
      <c r="G60" s="3" t="s">
        <v>5213</v>
      </c>
    </row>
    <row r="61">
      <c r="A61" s="3" t="s">
        <v>5310</v>
      </c>
      <c r="B61" s="3">
        <v>6.1417991151E10</v>
      </c>
      <c r="C61" s="3" t="s">
        <v>5311</v>
      </c>
      <c r="D61" s="3" t="s">
        <v>1627</v>
      </c>
      <c r="E61" s="3" t="s">
        <v>5312</v>
      </c>
      <c r="F61" s="19" t="s">
        <v>5305</v>
      </c>
      <c r="G61" s="3" t="s">
        <v>5213</v>
      </c>
    </row>
    <row r="62">
      <c r="A62" s="3" t="s">
        <v>5313</v>
      </c>
      <c r="B62" s="3">
        <v>6.1404078384E10</v>
      </c>
      <c r="C62" s="3" t="s">
        <v>5314</v>
      </c>
      <c r="D62" s="3" t="s">
        <v>5315</v>
      </c>
      <c r="E62" s="3" t="s">
        <v>5316</v>
      </c>
      <c r="F62" s="19" t="s">
        <v>5305</v>
      </c>
      <c r="G62" s="3" t="s">
        <v>5213</v>
      </c>
    </row>
    <row r="63">
      <c r="A63" s="3" t="s">
        <v>5317</v>
      </c>
      <c r="B63" s="3">
        <v>6.1488148778E10</v>
      </c>
      <c r="C63" s="3" t="s">
        <v>5318</v>
      </c>
      <c r="D63" s="3" t="s">
        <v>5319</v>
      </c>
      <c r="E63" s="3"/>
      <c r="F63" s="19" t="s">
        <v>5305</v>
      </c>
      <c r="G63" s="3" t="s">
        <v>5213</v>
      </c>
    </row>
    <row r="64">
      <c r="A64" s="3" t="s">
        <v>5320</v>
      </c>
      <c r="B64" s="3">
        <v>6.1427802226E10</v>
      </c>
      <c r="C64" s="3" t="s">
        <v>5321</v>
      </c>
      <c r="D64" s="3" t="s">
        <v>5322</v>
      </c>
      <c r="E64" s="3" t="s">
        <v>5323</v>
      </c>
      <c r="F64" s="19" t="s">
        <v>5305</v>
      </c>
      <c r="G64" s="3" t="s">
        <v>5213</v>
      </c>
      <c r="I64" s="3" t="s">
        <v>5324</v>
      </c>
    </row>
    <row r="65">
      <c r="A65" s="3" t="s">
        <v>5325</v>
      </c>
      <c r="B65" s="3">
        <v>6.1417254565E10</v>
      </c>
      <c r="C65" s="3" t="s">
        <v>5326</v>
      </c>
      <c r="D65" s="3">
        <v>5051.0</v>
      </c>
      <c r="E65" s="3" t="s">
        <v>5327</v>
      </c>
      <c r="F65" s="19" t="s">
        <v>5305</v>
      </c>
      <c r="G65" s="3" t="s">
        <v>5213</v>
      </c>
    </row>
    <row r="66">
      <c r="A66" s="3" t="s">
        <v>5328</v>
      </c>
      <c r="B66" s="3">
        <v>6.1439818294E10</v>
      </c>
      <c r="C66" s="3" t="s">
        <v>5329</v>
      </c>
      <c r="D66" s="3" t="s">
        <v>5330</v>
      </c>
      <c r="E66" s="3" t="s">
        <v>5331</v>
      </c>
      <c r="F66" s="19" t="s">
        <v>1618</v>
      </c>
      <c r="G66" s="3" t="s">
        <v>5213</v>
      </c>
    </row>
    <row r="67">
      <c r="A67" s="3" t="s">
        <v>5332</v>
      </c>
      <c r="B67" s="3">
        <v>6.1407010548E10</v>
      </c>
      <c r="C67" s="3" t="s">
        <v>5333</v>
      </c>
      <c r="D67" s="3" t="s">
        <v>5334</v>
      </c>
      <c r="E67" s="3" t="s">
        <v>5335</v>
      </c>
      <c r="F67" s="19" t="s">
        <v>1618</v>
      </c>
      <c r="G67" s="3" t="s">
        <v>5213</v>
      </c>
    </row>
    <row r="68">
      <c r="A68" s="3" t="s">
        <v>5336</v>
      </c>
      <c r="B68" s="3">
        <v>6.1439813302E10</v>
      </c>
      <c r="C68" s="3" t="s">
        <v>5337</v>
      </c>
      <c r="D68" s="3" t="s">
        <v>1312</v>
      </c>
      <c r="E68" s="3" t="s">
        <v>5338</v>
      </c>
      <c r="F68" s="19" t="s">
        <v>1618</v>
      </c>
      <c r="G68" s="3" t="s">
        <v>5213</v>
      </c>
    </row>
    <row r="69">
      <c r="A69" s="3" t="s">
        <v>5339</v>
      </c>
      <c r="B69" s="3">
        <v>6.1411590007E10</v>
      </c>
      <c r="C69" s="3" t="s">
        <v>5340</v>
      </c>
      <c r="D69" s="3">
        <v>2070.0</v>
      </c>
      <c r="E69" s="3"/>
      <c r="F69" s="19" t="s">
        <v>1618</v>
      </c>
      <c r="G69" s="3" t="s">
        <v>5213</v>
      </c>
    </row>
    <row r="70">
      <c r="A70" s="3" t="s">
        <v>5341</v>
      </c>
      <c r="B70" s="3">
        <v>6.1421722833E10</v>
      </c>
      <c r="C70" s="3" t="s">
        <v>5342</v>
      </c>
      <c r="D70" s="3" t="s">
        <v>5343</v>
      </c>
      <c r="E70" s="3"/>
      <c r="F70" s="19" t="s">
        <v>1618</v>
      </c>
      <c r="G70" s="3" t="s">
        <v>5213</v>
      </c>
    </row>
    <row r="71">
      <c r="A71" s="3" t="s">
        <v>5344</v>
      </c>
      <c r="B71" s="3">
        <v>6.1448889228E10</v>
      </c>
      <c r="C71" s="3" t="s">
        <v>5345</v>
      </c>
      <c r="D71" s="3" t="s">
        <v>5346</v>
      </c>
      <c r="E71" s="3"/>
      <c r="F71" s="19" t="s">
        <v>1618</v>
      </c>
      <c r="G71" s="3" t="s">
        <v>5213</v>
      </c>
    </row>
    <row r="72">
      <c r="A72" s="3" t="s">
        <v>5347</v>
      </c>
      <c r="B72" s="3">
        <v>6.1406420406E10</v>
      </c>
      <c r="C72" s="3" t="s">
        <v>5348</v>
      </c>
      <c r="D72" s="3" t="s">
        <v>4104</v>
      </c>
      <c r="E72" s="3" t="s">
        <v>5349</v>
      </c>
      <c r="F72" s="19" t="s">
        <v>1618</v>
      </c>
      <c r="G72" s="3" t="s">
        <v>5213</v>
      </c>
    </row>
    <row r="73">
      <c r="A73" s="3" t="s">
        <v>5350</v>
      </c>
      <c r="B73" s="3">
        <v>6.1419400659E10</v>
      </c>
      <c r="C73" s="3" t="s">
        <v>5351</v>
      </c>
      <c r="D73" s="3" t="s">
        <v>5352</v>
      </c>
      <c r="E73" s="3"/>
      <c r="F73" s="19" t="s">
        <v>1618</v>
      </c>
      <c r="G73" s="3" t="s">
        <v>5213</v>
      </c>
    </row>
    <row r="74">
      <c r="A74" s="3" t="s">
        <v>5353</v>
      </c>
      <c r="B74" s="3">
        <v>6.1438789542E10</v>
      </c>
      <c r="C74" s="3" t="s">
        <v>5354</v>
      </c>
      <c r="D74" s="3" t="s">
        <v>5355</v>
      </c>
      <c r="E74" s="3" t="s">
        <v>5356</v>
      </c>
      <c r="F74" s="19" t="s">
        <v>1618</v>
      </c>
      <c r="G74" s="3" t="s">
        <v>5213</v>
      </c>
    </row>
    <row r="75">
      <c r="A75" s="3" t="s">
        <v>5357</v>
      </c>
      <c r="B75" s="3">
        <v>6.1437814097E10</v>
      </c>
      <c r="C75" s="3" t="s">
        <v>5358</v>
      </c>
      <c r="D75" s="3">
        <v>4740.0</v>
      </c>
      <c r="E75" s="3" t="s">
        <v>5359</v>
      </c>
      <c r="F75" s="19" t="s">
        <v>1618</v>
      </c>
      <c r="G75" s="3" t="s">
        <v>5213</v>
      </c>
    </row>
    <row r="76">
      <c r="A76" s="3" t="s">
        <v>5360</v>
      </c>
      <c r="B76" s="3">
        <v>6.14162375E10</v>
      </c>
      <c r="C76" s="3" t="s">
        <v>5361</v>
      </c>
      <c r="D76" s="3">
        <v>4212.0</v>
      </c>
      <c r="E76" s="3"/>
      <c r="F76" s="19" t="s">
        <v>1618</v>
      </c>
      <c r="G76" s="3" t="s">
        <v>5213</v>
      </c>
    </row>
    <row r="77">
      <c r="A77" s="3" t="s">
        <v>5362</v>
      </c>
      <c r="B77" s="3">
        <v>6.1400039765E10</v>
      </c>
      <c r="C77" s="3" t="s">
        <v>5363</v>
      </c>
      <c r="D77" s="3" t="s">
        <v>5364</v>
      </c>
      <c r="E77" s="3"/>
      <c r="F77" s="19" t="s">
        <v>1618</v>
      </c>
      <c r="G77" s="3" t="s">
        <v>5213</v>
      </c>
    </row>
    <row r="78">
      <c r="A78" s="3" t="s">
        <v>5365</v>
      </c>
      <c r="B78" s="3">
        <v>6.1424990094E10</v>
      </c>
      <c r="C78" s="3" t="s">
        <v>5366</v>
      </c>
      <c r="D78" s="3" t="s">
        <v>502</v>
      </c>
      <c r="E78" s="3"/>
      <c r="F78" s="19" t="s">
        <v>1618</v>
      </c>
      <c r="G78" s="3" t="s">
        <v>5213</v>
      </c>
    </row>
    <row r="79">
      <c r="A79" s="3" t="s">
        <v>5367</v>
      </c>
      <c r="B79" s="3">
        <v>6.1450734002E10</v>
      </c>
      <c r="C79" s="3" t="s">
        <v>5368</v>
      </c>
      <c r="D79" s="3" t="s">
        <v>5369</v>
      </c>
      <c r="E79" s="3"/>
      <c r="F79" s="19" t="s">
        <v>1618</v>
      </c>
      <c r="G79" s="3" t="s">
        <v>5213</v>
      </c>
    </row>
    <row r="80">
      <c r="A80" s="3" t="s">
        <v>5370</v>
      </c>
      <c r="B80" s="3">
        <v>6.1427843375E10</v>
      </c>
      <c r="C80" s="3" t="s">
        <v>5371</v>
      </c>
      <c r="D80" s="3">
        <v>5304.0</v>
      </c>
      <c r="E80" s="3"/>
      <c r="F80" s="19" t="s">
        <v>1618</v>
      </c>
      <c r="G80" s="3" t="s">
        <v>5213</v>
      </c>
    </row>
    <row r="81">
      <c r="A81" s="3" t="s">
        <v>5372</v>
      </c>
      <c r="B81" s="3">
        <v>6.1481246966E10</v>
      </c>
      <c r="C81" s="3" t="s">
        <v>5373</v>
      </c>
      <c r="D81" s="3">
        <v>2800.0</v>
      </c>
      <c r="E81" s="3" t="s">
        <v>5374</v>
      </c>
      <c r="F81" s="19" t="s">
        <v>1744</v>
      </c>
      <c r="G81" s="3" t="s">
        <v>5115</v>
      </c>
    </row>
    <row r="82">
      <c r="A82" s="3" t="s">
        <v>5375</v>
      </c>
      <c r="B82" s="3">
        <v>6.1455114594E10</v>
      </c>
      <c r="C82" s="3" t="s">
        <v>5376</v>
      </c>
      <c r="D82" s="3" t="s">
        <v>5377</v>
      </c>
      <c r="E82" s="3" t="s">
        <v>5378</v>
      </c>
      <c r="F82" s="19" t="s">
        <v>1744</v>
      </c>
      <c r="G82" s="3" t="s">
        <v>5213</v>
      </c>
    </row>
    <row r="83">
      <c r="A83" s="3" t="s">
        <v>5379</v>
      </c>
      <c r="B83" s="3">
        <v>6.1413123636E10</v>
      </c>
      <c r="C83" s="3" t="s">
        <v>5380</v>
      </c>
      <c r="D83" s="3" t="s">
        <v>5381</v>
      </c>
      <c r="E83" s="3" t="s">
        <v>5382</v>
      </c>
      <c r="F83" s="19" t="s">
        <v>1744</v>
      </c>
      <c r="G83" s="3" t="s">
        <v>5213</v>
      </c>
    </row>
    <row r="84">
      <c r="A84" s="3" t="s">
        <v>5383</v>
      </c>
      <c r="B84" s="3">
        <v>6.1432558728E10</v>
      </c>
      <c r="C84" s="3" t="s">
        <v>5384</v>
      </c>
      <c r="D84" s="3" t="s">
        <v>5385</v>
      </c>
      <c r="E84" s="3"/>
      <c r="F84" s="19" t="s">
        <v>1744</v>
      </c>
      <c r="G84" s="3" t="s">
        <v>5213</v>
      </c>
    </row>
    <row r="85">
      <c r="A85" s="3" t="s">
        <v>5386</v>
      </c>
      <c r="B85" s="3">
        <v>6.141572826E10</v>
      </c>
      <c r="C85" s="3" t="s">
        <v>5387</v>
      </c>
      <c r="D85" s="3" t="s">
        <v>5388</v>
      </c>
      <c r="E85" s="3" t="s">
        <v>5389</v>
      </c>
      <c r="F85" s="19" t="s">
        <v>1744</v>
      </c>
      <c r="G85" s="3" t="s">
        <v>5213</v>
      </c>
    </row>
    <row r="86">
      <c r="A86" s="3" t="s">
        <v>5390</v>
      </c>
      <c r="B86" s="3">
        <v>6.140969419E10</v>
      </c>
      <c r="C86" s="3" t="s">
        <v>5391</v>
      </c>
      <c r="D86" s="3" t="s">
        <v>5392</v>
      </c>
      <c r="E86" s="3" t="s">
        <v>5393</v>
      </c>
      <c r="F86" s="19" t="s">
        <v>1744</v>
      </c>
      <c r="G86" s="3" t="s">
        <v>5213</v>
      </c>
    </row>
    <row r="87">
      <c r="A87" s="3" t="s">
        <v>5394</v>
      </c>
      <c r="B87" s="3">
        <v>6.1413559016E10</v>
      </c>
      <c r="C87" s="3" t="s">
        <v>5395</v>
      </c>
      <c r="D87" s="3" t="s">
        <v>5396</v>
      </c>
      <c r="E87" s="3"/>
      <c r="F87" s="19" t="s">
        <v>1744</v>
      </c>
      <c r="G87" s="3" t="s">
        <v>5213</v>
      </c>
    </row>
    <row r="88">
      <c r="A88" s="3" t="s">
        <v>5397</v>
      </c>
      <c r="B88" s="3">
        <v>6.1414756931E10</v>
      </c>
      <c r="C88" s="3" t="s">
        <v>5398</v>
      </c>
      <c r="D88" s="3" t="s">
        <v>5399</v>
      </c>
      <c r="E88" s="3" t="s">
        <v>5400</v>
      </c>
      <c r="F88" s="19" t="s">
        <v>1744</v>
      </c>
      <c r="G88" s="3" t="s">
        <v>5213</v>
      </c>
    </row>
    <row r="89">
      <c r="A89" s="3" t="s">
        <v>5401</v>
      </c>
      <c r="B89" s="3">
        <v>6.1499894801E10</v>
      </c>
      <c r="C89" s="3" t="s">
        <v>5402</v>
      </c>
      <c r="D89" s="3" t="s">
        <v>5403</v>
      </c>
      <c r="E89" s="3"/>
      <c r="F89" s="19" t="s">
        <v>1744</v>
      </c>
      <c r="G89" s="3" t="s">
        <v>5213</v>
      </c>
    </row>
    <row r="90">
      <c r="A90" s="3" t="s">
        <v>5404</v>
      </c>
      <c r="B90" s="3">
        <v>6.1434132494E10</v>
      </c>
      <c r="C90" s="3" t="s">
        <v>5405</v>
      </c>
      <c r="D90" s="3" t="s">
        <v>5406</v>
      </c>
      <c r="E90" s="3"/>
      <c r="F90" s="19" t="s">
        <v>5407</v>
      </c>
      <c r="G90" s="3" t="s">
        <v>5213</v>
      </c>
    </row>
    <row r="91">
      <c r="A91" s="3" t="s">
        <v>5390</v>
      </c>
      <c r="B91" s="3">
        <v>6.140969419E10</v>
      </c>
      <c r="C91" s="3" t="s">
        <v>5391</v>
      </c>
      <c r="D91" s="3">
        <v>5290.0</v>
      </c>
      <c r="E91" s="3" t="s">
        <v>5408</v>
      </c>
      <c r="F91" s="19" t="s">
        <v>5407</v>
      </c>
      <c r="G91" s="3" t="s">
        <v>5115</v>
      </c>
    </row>
    <row r="92">
      <c r="A92" s="3" t="s">
        <v>5409</v>
      </c>
      <c r="B92" s="3">
        <v>6.1488147478E10</v>
      </c>
      <c r="C92" s="3" t="s">
        <v>5410</v>
      </c>
      <c r="D92" s="3" t="s">
        <v>146</v>
      </c>
      <c r="E92" s="3"/>
      <c r="F92" s="19" t="s">
        <v>5407</v>
      </c>
      <c r="G92" s="3" t="s">
        <v>5213</v>
      </c>
    </row>
    <row r="93">
      <c r="A93" s="3" t="s">
        <v>5411</v>
      </c>
      <c r="B93" s="3">
        <v>6.1438575285E10</v>
      </c>
      <c r="C93" s="3" t="s">
        <v>5412</v>
      </c>
      <c r="D93" s="3">
        <v>4820.0</v>
      </c>
      <c r="E93" s="3"/>
      <c r="F93" s="19" t="s">
        <v>5407</v>
      </c>
      <c r="G93" s="3" t="s">
        <v>5213</v>
      </c>
    </row>
    <row r="94">
      <c r="A94" s="3" t="s">
        <v>5353</v>
      </c>
      <c r="B94" s="3">
        <v>6.1438789542E10</v>
      </c>
      <c r="C94" s="3" t="s">
        <v>5413</v>
      </c>
      <c r="D94" s="3">
        <v>3226.0</v>
      </c>
      <c r="E94" s="3"/>
      <c r="F94" s="19" t="s">
        <v>5407</v>
      </c>
      <c r="G94" s="3" t="s">
        <v>5115</v>
      </c>
    </row>
    <row r="95">
      <c r="A95" s="3" t="s">
        <v>5414</v>
      </c>
      <c r="B95" s="3">
        <v>6.1478215029E10</v>
      </c>
      <c r="C95" s="3" t="s">
        <v>5415</v>
      </c>
      <c r="D95" s="3">
        <v>2579.0</v>
      </c>
      <c r="E95" s="3" t="s">
        <v>5416</v>
      </c>
      <c r="F95" s="19" t="s">
        <v>5407</v>
      </c>
      <c r="G95" s="3" t="s">
        <v>5115</v>
      </c>
    </row>
    <row r="96">
      <c r="A96" s="3" t="s">
        <v>5417</v>
      </c>
      <c r="B96" s="3">
        <v>6.1411295865E10</v>
      </c>
      <c r="C96" s="3" t="s">
        <v>5418</v>
      </c>
      <c r="D96" s="3" t="s">
        <v>5419</v>
      </c>
      <c r="E96" s="3"/>
      <c r="F96" s="19" t="s">
        <v>5407</v>
      </c>
      <c r="G96" s="3" t="s">
        <v>5213</v>
      </c>
    </row>
    <row r="97">
      <c r="A97" s="3" t="s">
        <v>5420</v>
      </c>
      <c r="B97" s="3">
        <v>6.1494077416E10</v>
      </c>
      <c r="C97" s="3" t="s">
        <v>5421</v>
      </c>
      <c r="D97" s="3" t="s">
        <v>75</v>
      </c>
      <c r="E97" s="3"/>
      <c r="F97" s="19" t="s">
        <v>5407</v>
      </c>
      <c r="G97" s="3" t="s">
        <v>5213</v>
      </c>
    </row>
    <row r="98">
      <c r="A98" s="3" t="s">
        <v>5422</v>
      </c>
      <c r="B98" s="3">
        <v>6.1414781313E10</v>
      </c>
      <c r="C98" s="3" t="s">
        <v>5423</v>
      </c>
      <c r="D98" s="3" t="s">
        <v>5424</v>
      </c>
      <c r="E98" s="3" t="s">
        <v>5425</v>
      </c>
      <c r="F98" s="19" t="s">
        <v>5407</v>
      </c>
      <c r="G98" s="3" t="s">
        <v>5213</v>
      </c>
    </row>
    <row r="99">
      <c r="A99" s="3" t="s">
        <v>5426</v>
      </c>
      <c r="B99" s="3">
        <v>6.1450193621E10</v>
      </c>
      <c r="C99" s="3" t="s">
        <v>5427</v>
      </c>
      <c r="D99" s="3" t="s">
        <v>5428</v>
      </c>
      <c r="E99" s="3"/>
      <c r="F99" s="19" t="s">
        <v>1878</v>
      </c>
      <c r="G99" s="3" t="s">
        <v>5213</v>
      </c>
    </row>
    <row r="100">
      <c r="A100" s="3" t="s">
        <v>5429</v>
      </c>
      <c r="B100" s="3">
        <v>6.1413534036E10</v>
      </c>
      <c r="C100" s="3" t="s">
        <v>5430</v>
      </c>
      <c r="D100" s="3" t="s">
        <v>5431</v>
      </c>
      <c r="E100" s="3" t="s">
        <v>5432</v>
      </c>
      <c r="F100" s="19" t="s">
        <v>1878</v>
      </c>
      <c r="G100" s="3" t="s">
        <v>5213</v>
      </c>
    </row>
    <row r="101">
      <c r="A101" s="3" t="s">
        <v>5433</v>
      </c>
      <c r="B101" s="3">
        <v>6.1407336809E10</v>
      </c>
      <c r="C101" s="3" t="s">
        <v>5434</v>
      </c>
      <c r="D101" s="3" t="s">
        <v>5435</v>
      </c>
      <c r="E101" s="3" t="s">
        <v>5436</v>
      </c>
      <c r="F101" s="19" t="s">
        <v>5437</v>
      </c>
      <c r="G101" s="3" t="s">
        <v>5213</v>
      </c>
    </row>
    <row r="102">
      <c r="A102" s="3" t="s">
        <v>5438</v>
      </c>
      <c r="B102" s="3">
        <v>6.1418313804E10</v>
      </c>
      <c r="C102" s="3" t="s">
        <v>5439</v>
      </c>
      <c r="D102" s="3" t="s">
        <v>1238</v>
      </c>
      <c r="E102" s="3" t="s">
        <v>5440</v>
      </c>
      <c r="F102" s="19" t="s">
        <v>5437</v>
      </c>
      <c r="G102" s="3" t="s">
        <v>5213</v>
      </c>
    </row>
    <row r="103">
      <c r="A103" s="3" t="s">
        <v>5441</v>
      </c>
      <c r="B103" s="3">
        <v>6.1418174616E10</v>
      </c>
      <c r="C103" s="3" t="s">
        <v>5442</v>
      </c>
      <c r="D103" s="3" t="s">
        <v>5443</v>
      </c>
      <c r="E103" s="3" t="s">
        <v>5444</v>
      </c>
      <c r="F103" s="19" t="s">
        <v>5437</v>
      </c>
      <c r="G103" s="3" t="s">
        <v>5213</v>
      </c>
    </row>
    <row r="104">
      <c r="A104" s="3" t="s">
        <v>5445</v>
      </c>
      <c r="B104" s="3">
        <v>6.1407938322E10</v>
      </c>
      <c r="C104" s="3" t="s">
        <v>5446</v>
      </c>
      <c r="D104" s="3" t="s">
        <v>5447</v>
      </c>
      <c r="E104" s="3" t="s">
        <v>5448</v>
      </c>
      <c r="F104" s="19" t="s">
        <v>5437</v>
      </c>
      <c r="G104" s="3" t="s">
        <v>5213</v>
      </c>
    </row>
    <row r="105">
      <c r="A105" s="3" t="s">
        <v>5449</v>
      </c>
      <c r="B105" s="3">
        <v>6.1411380267E10</v>
      </c>
      <c r="C105" s="3" t="s">
        <v>5450</v>
      </c>
      <c r="D105" s="3" t="s">
        <v>5451</v>
      </c>
      <c r="E105" s="3" t="s">
        <v>5452</v>
      </c>
      <c r="F105" s="19" t="s">
        <v>5437</v>
      </c>
      <c r="G105" s="3" t="s">
        <v>5213</v>
      </c>
    </row>
    <row r="106">
      <c r="A106" s="3" t="s">
        <v>5453</v>
      </c>
      <c r="B106" s="3">
        <v>6.1428398286E10</v>
      </c>
      <c r="C106" s="3" t="s">
        <v>5454</v>
      </c>
      <c r="D106" s="3">
        <v>4881.0</v>
      </c>
      <c r="E106" s="3" t="s">
        <v>5455</v>
      </c>
      <c r="F106" s="19" t="s">
        <v>5437</v>
      </c>
      <c r="G106" s="3" t="s">
        <v>5213</v>
      </c>
    </row>
    <row r="107">
      <c r="A107" s="3" t="s">
        <v>5456</v>
      </c>
      <c r="B107" s="3">
        <v>6.1427629552E10</v>
      </c>
      <c r="C107" s="3" t="s">
        <v>5457</v>
      </c>
      <c r="D107" s="3" t="s">
        <v>5458</v>
      </c>
      <c r="E107" s="3" t="s">
        <v>5459</v>
      </c>
      <c r="F107" s="19" t="s">
        <v>5437</v>
      </c>
      <c r="G107" s="3" t="s">
        <v>5213</v>
      </c>
    </row>
    <row r="108">
      <c r="A108" s="3" t="s">
        <v>5460</v>
      </c>
      <c r="B108" s="3">
        <v>6.1421051781E10</v>
      </c>
      <c r="C108" s="3" t="s">
        <v>5461</v>
      </c>
      <c r="D108" s="3">
        <v>2444.0</v>
      </c>
      <c r="E108" s="3"/>
      <c r="F108" s="19" t="s">
        <v>5437</v>
      </c>
      <c r="G108" s="3" t="s">
        <v>5213</v>
      </c>
    </row>
    <row r="109">
      <c r="A109" s="3" t="s">
        <v>5462</v>
      </c>
      <c r="B109" s="3">
        <v>6.1410424765E10</v>
      </c>
      <c r="C109" s="3" t="s">
        <v>5463</v>
      </c>
      <c r="D109" s="3">
        <v>3631.0</v>
      </c>
      <c r="E109" s="3" t="s">
        <v>5464</v>
      </c>
      <c r="F109" s="19" t="s">
        <v>5437</v>
      </c>
      <c r="G109" s="3" t="s">
        <v>5115</v>
      </c>
    </row>
    <row r="110">
      <c r="A110" s="3" t="s">
        <v>5465</v>
      </c>
      <c r="B110" s="3">
        <v>6.1481351533E10</v>
      </c>
      <c r="C110" s="3" t="s">
        <v>5466</v>
      </c>
      <c r="D110" s="3">
        <v>2600.0</v>
      </c>
      <c r="E110" s="3" t="s">
        <v>5467</v>
      </c>
      <c r="F110" s="19" t="s">
        <v>5468</v>
      </c>
      <c r="G110" s="3" t="s">
        <v>5115</v>
      </c>
    </row>
    <row r="111">
      <c r="A111" s="3" t="s">
        <v>5469</v>
      </c>
      <c r="B111" s="3">
        <v>6.141232882E10</v>
      </c>
      <c r="C111" s="3" t="s">
        <v>5470</v>
      </c>
      <c r="D111" s="3" t="s">
        <v>5471</v>
      </c>
      <c r="E111" s="3" t="s">
        <v>5472</v>
      </c>
      <c r="F111" s="19" t="s">
        <v>5468</v>
      </c>
      <c r="G111" s="3" t="s">
        <v>5213</v>
      </c>
    </row>
    <row r="112">
      <c r="A112" s="3" t="s">
        <v>5473</v>
      </c>
      <c r="B112" s="3">
        <v>6.1432296598E10</v>
      </c>
      <c r="C112" s="3" t="s">
        <v>5474</v>
      </c>
      <c r="D112" s="3" t="s">
        <v>5475</v>
      </c>
      <c r="E112" s="3" t="s">
        <v>5476</v>
      </c>
      <c r="F112" s="19" t="s">
        <v>5468</v>
      </c>
      <c r="G112" s="3" t="s">
        <v>5213</v>
      </c>
    </row>
    <row r="113">
      <c r="A113" s="3" t="s">
        <v>5477</v>
      </c>
      <c r="B113" s="3">
        <v>6.1400098038E10</v>
      </c>
      <c r="C113" s="3" t="s">
        <v>5478</v>
      </c>
      <c r="D113" s="3" t="s">
        <v>5148</v>
      </c>
      <c r="E113" s="3" t="s">
        <v>5479</v>
      </c>
      <c r="F113" s="19" t="s">
        <v>5468</v>
      </c>
      <c r="G113" s="3" t="s">
        <v>5213</v>
      </c>
    </row>
    <row r="114">
      <c r="A114" s="3" t="s">
        <v>5480</v>
      </c>
      <c r="B114" s="3">
        <v>6.140988024E10</v>
      </c>
      <c r="C114" s="3" t="s">
        <v>5481</v>
      </c>
      <c r="D114" s="3" t="s">
        <v>5482</v>
      </c>
      <c r="E114" s="3" t="s">
        <v>5483</v>
      </c>
      <c r="F114" s="19" t="s">
        <v>5468</v>
      </c>
      <c r="G114" s="3" t="s">
        <v>5213</v>
      </c>
    </row>
    <row r="115">
      <c r="A115" s="3" t="s">
        <v>5484</v>
      </c>
      <c r="B115" s="3">
        <v>6.1434587461E10</v>
      </c>
      <c r="C115" s="3" t="s">
        <v>5485</v>
      </c>
      <c r="D115" s="3" t="s">
        <v>5486</v>
      </c>
      <c r="E115" s="3" t="s">
        <v>5487</v>
      </c>
      <c r="F115" s="19" t="s">
        <v>5468</v>
      </c>
      <c r="G115" s="3" t="s">
        <v>5213</v>
      </c>
    </row>
    <row r="116">
      <c r="A116" s="3" t="s">
        <v>5488</v>
      </c>
      <c r="B116" s="3">
        <v>6.1425250529E10</v>
      </c>
      <c r="C116" s="3" t="s">
        <v>5489</v>
      </c>
      <c r="D116" s="3">
        <v>2228.0</v>
      </c>
      <c r="E116" s="3" t="s">
        <v>5490</v>
      </c>
      <c r="F116" s="19" t="s">
        <v>5468</v>
      </c>
      <c r="G116" s="3" t="s">
        <v>5213</v>
      </c>
    </row>
    <row r="117">
      <c r="A117" s="3" t="s">
        <v>5491</v>
      </c>
      <c r="B117" s="3">
        <v>6.1409906469E10</v>
      </c>
      <c r="C117" s="3" t="s">
        <v>5492</v>
      </c>
      <c r="D117" s="3" t="s">
        <v>5493</v>
      </c>
      <c r="E117" s="3"/>
      <c r="F117" s="19" t="s">
        <v>5468</v>
      </c>
      <c r="G117" s="3" t="s">
        <v>5213</v>
      </c>
    </row>
    <row r="118">
      <c r="A118" s="3" t="s">
        <v>105</v>
      </c>
      <c r="B118" s="3">
        <v>6.1412741274E10</v>
      </c>
      <c r="C118" s="3" t="s">
        <v>106</v>
      </c>
      <c r="D118" s="3" t="s">
        <v>5494</v>
      </c>
      <c r="E118" s="3"/>
      <c r="F118" s="19" t="s">
        <v>5468</v>
      </c>
      <c r="G118" s="3" t="s">
        <v>5213</v>
      </c>
    </row>
    <row r="119">
      <c r="A119" s="3" t="s">
        <v>5495</v>
      </c>
      <c r="B119" s="3">
        <v>6.1433058507E10</v>
      </c>
      <c r="C119" s="3" t="s">
        <v>5496</v>
      </c>
      <c r="D119" s="3" t="s">
        <v>918</v>
      </c>
      <c r="E119" s="3"/>
      <c r="F119" s="19" t="s">
        <v>5468</v>
      </c>
      <c r="G119" s="3" t="s">
        <v>5213</v>
      </c>
    </row>
    <row r="120">
      <c r="A120" s="3" t="s">
        <v>5497</v>
      </c>
      <c r="B120" s="3">
        <v>6.1404197874E10</v>
      </c>
      <c r="C120" s="3" t="s">
        <v>5498</v>
      </c>
      <c r="D120" s="3" t="s">
        <v>5499</v>
      </c>
      <c r="E120" s="3" t="s">
        <v>5500</v>
      </c>
      <c r="F120" s="19" t="s">
        <v>5468</v>
      </c>
      <c r="G120" s="3" t="s">
        <v>5213</v>
      </c>
    </row>
    <row r="121">
      <c r="A121" s="3" t="s">
        <v>5501</v>
      </c>
      <c r="B121" s="3">
        <v>6.140812368E10</v>
      </c>
      <c r="C121" s="3" t="s">
        <v>5502</v>
      </c>
      <c r="D121" s="3" t="s">
        <v>5503</v>
      </c>
      <c r="E121" s="3"/>
      <c r="F121" s="19" t="s">
        <v>5504</v>
      </c>
      <c r="G121" s="3" t="s">
        <v>5213</v>
      </c>
    </row>
    <row r="122">
      <c r="A122" s="3" t="s">
        <v>5505</v>
      </c>
      <c r="B122" s="3">
        <v>6.1407667734E10</v>
      </c>
      <c r="C122" s="3" t="s">
        <v>5506</v>
      </c>
      <c r="D122" s="3" t="s">
        <v>5507</v>
      </c>
      <c r="E122" s="3"/>
      <c r="F122" s="19" t="s">
        <v>5504</v>
      </c>
      <c r="G122" s="3" t="s">
        <v>5213</v>
      </c>
    </row>
    <row r="123">
      <c r="A123" s="3" t="s">
        <v>5508</v>
      </c>
      <c r="B123" s="3">
        <v>6.1419566895E10</v>
      </c>
      <c r="C123" s="3" t="s">
        <v>5509</v>
      </c>
      <c r="D123" s="3">
        <v>3434.0</v>
      </c>
      <c r="E123" s="3" t="s">
        <v>5510</v>
      </c>
      <c r="F123" s="19" t="s">
        <v>5504</v>
      </c>
      <c r="G123" s="3" t="s">
        <v>5115</v>
      </c>
    </row>
    <row r="124">
      <c r="A124" s="3" t="s">
        <v>5511</v>
      </c>
      <c r="B124" s="3">
        <v>6.1424454239E10</v>
      </c>
      <c r="C124" s="3" t="s">
        <v>5512</v>
      </c>
      <c r="D124" s="3">
        <v>2043.0</v>
      </c>
      <c r="E124" s="3" t="s">
        <v>5513</v>
      </c>
      <c r="F124" s="19" t="s">
        <v>5504</v>
      </c>
      <c r="G124" s="3" t="s">
        <v>5213</v>
      </c>
    </row>
    <row r="125">
      <c r="A125" s="3" t="s">
        <v>5514</v>
      </c>
      <c r="B125" s="3">
        <v>6.1438511543E10</v>
      </c>
      <c r="C125" s="3" t="s">
        <v>5515</v>
      </c>
      <c r="D125" s="3">
        <v>2779.0</v>
      </c>
      <c r="E125" s="3" t="s">
        <v>5516</v>
      </c>
      <c r="F125" s="19" t="s">
        <v>5504</v>
      </c>
      <c r="G125" s="3" t="s">
        <v>5213</v>
      </c>
    </row>
    <row r="126">
      <c r="A126" s="3" t="s">
        <v>5517</v>
      </c>
      <c r="B126" s="3">
        <v>6.1413666724E10</v>
      </c>
      <c r="C126" s="3" t="s">
        <v>5518</v>
      </c>
      <c r="D126" s="3" t="s">
        <v>5519</v>
      </c>
      <c r="E126" s="3"/>
      <c r="F126" s="19" t="s">
        <v>5504</v>
      </c>
      <c r="G126" s="3" t="s">
        <v>5213</v>
      </c>
    </row>
    <row r="127">
      <c r="A127" s="3" t="s">
        <v>5520</v>
      </c>
      <c r="B127" s="3">
        <v>6.1408721122E10</v>
      </c>
      <c r="C127" s="3" t="s">
        <v>5521</v>
      </c>
      <c r="D127" s="3" t="s">
        <v>2689</v>
      </c>
      <c r="E127" s="3"/>
      <c r="F127" s="19" t="s">
        <v>5522</v>
      </c>
      <c r="G127" s="3" t="s">
        <v>5213</v>
      </c>
    </row>
    <row r="128">
      <c r="A128" s="3" t="s">
        <v>5523</v>
      </c>
      <c r="B128" s="3">
        <v>6.1433921581E10</v>
      </c>
      <c r="C128" s="3" t="s">
        <v>5524</v>
      </c>
      <c r="D128" s="3" t="s">
        <v>5525</v>
      </c>
      <c r="E128" s="3" t="s">
        <v>5526</v>
      </c>
      <c r="F128" s="19" t="s">
        <v>5522</v>
      </c>
      <c r="G128" s="3" t="s">
        <v>5180</v>
      </c>
    </row>
    <row r="129">
      <c r="A129" s="3" t="s">
        <v>5527</v>
      </c>
      <c r="B129" s="3">
        <v>6.1413900436E10</v>
      </c>
      <c r="C129" s="3" t="s">
        <v>5528</v>
      </c>
      <c r="D129" s="3" t="s">
        <v>5529</v>
      </c>
      <c r="E129" s="3"/>
      <c r="F129" s="19" t="s">
        <v>5522</v>
      </c>
      <c r="G129" s="3" t="s">
        <v>5213</v>
      </c>
    </row>
    <row r="130">
      <c r="A130" s="3" t="s">
        <v>5530</v>
      </c>
      <c r="B130" s="3">
        <v>6.1400262982E10</v>
      </c>
      <c r="C130" s="3" t="s">
        <v>5531</v>
      </c>
      <c r="D130" s="3">
        <v>3735.0</v>
      </c>
      <c r="E130" s="3"/>
      <c r="F130" s="19" t="s">
        <v>5522</v>
      </c>
      <c r="G130" s="3" t="s">
        <v>5115</v>
      </c>
    </row>
    <row r="131">
      <c r="A131" s="3" t="s">
        <v>5532</v>
      </c>
      <c r="B131" s="3">
        <v>6.1421701304E10</v>
      </c>
      <c r="C131" s="3" t="s">
        <v>5533</v>
      </c>
      <c r="D131" s="3" t="s">
        <v>5534</v>
      </c>
      <c r="E131" s="3" t="s">
        <v>5535</v>
      </c>
      <c r="F131" s="19" t="s">
        <v>5522</v>
      </c>
      <c r="G131" s="3" t="s">
        <v>5213</v>
      </c>
    </row>
    <row r="132">
      <c r="A132" s="3" t="s">
        <v>5536</v>
      </c>
      <c r="B132" s="3">
        <v>6.1412962155E10</v>
      </c>
      <c r="C132" s="3" t="s">
        <v>5537</v>
      </c>
      <c r="D132" s="3" t="s">
        <v>959</v>
      </c>
      <c r="E132" s="3"/>
      <c r="F132" s="19" t="s">
        <v>5522</v>
      </c>
      <c r="G132" s="3" t="s">
        <v>5213</v>
      </c>
    </row>
    <row r="133">
      <c r="A133" s="3" t="s">
        <v>5538</v>
      </c>
      <c r="B133" s="3">
        <v>6.1408867517E10</v>
      </c>
      <c r="C133" s="3" t="s">
        <v>5539</v>
      </c>
      <c r="D133" s="3" t="s">
        <v>5540</v>
      </c>
      <c r="E133" s="3" t="s">
        <v>5541</v>
      </c>
      <c r="F133" s="19" t="s">
        <v>5522</v>
      </c>
      <c r="G133" s="3" t="s">
        <v>5213</v>
      </c>
    </row>
    <row r="134">
      <c r="A134" s="3" t="s">
        <v>5542</v>
      </c>
      <c r="B134" s="3">
        <v>6.1405440993E10</v>
      </c>
      <c r="C134" s="3" t="s">
        <v>5543</v>
      </c>
      <c r="D134" s="3">
        <v>5042.0</v>
      </c>
      <c r="E134" s="3" t="s">
        <v>5544</v>
      </c>
      <c r="F134" s="19" t="s">
        <v>5522</v>
      </c>
      <c r="G134" s="3" t="s">
        <v>5213</v>
      </c>
    </row>
    <row r="135">
      <c r="A135" s="3" t="s">
        <v>5545</v>
      </c>
      <c r="B135" s="3">
        <v>6.1419719527E10</v>
      </c>
      <c r="C135" s="3" t="s">
        <v>5546</v>
      </c>
      <c r="D135" s="3" t="s">
        <v>5547</v>
      </c>
      <c r="E135" s="3" t="s">
        <v>5548</v>
      </c>
      <c r="F135" s="19" t="s">
        <v>5522</v>
      </c>
      <c r="G135" s="3" t="s">
        <v>5213</v>
      </c>
    </row>
    <row r="136">
      <c r="A136" s="3" t="s">
        <v>5549</v>
      </c>
      <c r="B136" s="3">
        <v>6.143254072E10</v>
      </c>
      <c r="C136" s="3" t="s">
        <v>5550</v>
      </c>
      <c r="D136" s="3" t="s">
        <v>5551</v>
      </c>
      <c r="E136" s="3" t="s">
        <v>5552</v>
      </c>
      <c r="F136" s="19" t="s">
        <v>5522</v>
      </c>
      <c r="G136" s="3" t="s">
        <v>5213</v>
      </c>
    </row>
    <row r="137">
      <c r="A137" s="3" t="s">
        <v>5553</v>
      </c>
      <c r="B137" s="3">
        <v>6.1400661803E10</v>
      </c>
      <c r="C137" s="3" t="s">
        <v>5554</v>
      </c>
      <c r="D137" s="3">
        <v>2121.0</v>
      </c>
      <c r="E137" s="3" t="s">
        <v>5555</v>
      </c>
      <c r="F137" s="19" t="s">
        <v>5522</v>
      </c>
      <c r="G137" s="3" t="s">
        <v>5115</v>
      </c>
    </row>
    <row r="138">
      <c r="A138" s="3" t="s">
        <v>5556</v>
      </c>
      <c r="B138" s="3">
        <v>6.1478030535E10</v>
      </c>
      <c r="C138" s="3" t="s">
        <v>5557</v>
      </c>
      <c r="D138" s="3">
        <v>5155.0</v>
      </c>
      <c r="E138" s="3" t="s">
        <v>5558</v>
      </c>
      <c r="F138" s="19" t="s">
        <v>5522</v>
      </c>
      <c r="G138" s="3" t="s">
        <v>5213</v>
      </c>
    </row>
    <row r="139">
      <c r="A139" s="3" t="s">
        <v>5559</v>
      </c>
      <c r="B139" s="3">
        <v>6.1403746309E10</v>
      </c>
      <c r="C139" s="3" t="s">
        <v>5560</v>
      </c>
      <c r="D139" s="3" t="s">
        <v>5561</v>
      </c>
      <c r="E139" s="3" t="s">
        <v>5562</v>
      </c>
      <c r="F139" s="19" t="s">
        <v>5522</v>
      </c>
      <c r="G139" s="3" t="s">
        <v>5213</v>
      </c>
    </row>
    <row r="140">
      <c r="A140" s="3" t="s">
        <v>5563</v>
      </c>
      <c r="B140" s="3">
        <v>6.1423098315E10</v>
      </c>
      <c r="C140" s="3" t="s">
        <v>5564</v>
      </c>
      <c r="D140" s="3" t="s">
        <v>5565</v>
      </c>
      <c r="E140" s="3" t="s">
        <v>5566</v>
      </c>
      <c r="F140" s="19" t="s">
        <v>5522</v>
      </c>
      <c r="G140" s="3" t="s">
        <v>5213</v>
      </c>
    </row>
    <row r="141">
      <c r="A141" s="3" t="s">
        <v>5567</v>
      </c>
      <c r="B141" s="3">
        <v>6.1488564663E10</v>
      </c>
      <c r="C141" s="3" t="s">
        <v>5568</v>
      </c>
      <c r="D141" s="3" t="s">
        <v>5569</v>
      </c>
      <c r="E141" s="3" t="s">
        <v>5570</v>
      </c>
      <c r="F141" s="19" t="s">
        <v>5522</v>
      </c>
      <c r="G141" s="3" t="s">
        <v>5213</v>
      </c>
    </row>
    <row r="142">
      <c r="A142" s="3" t="s">
        <v>5571</v>
      </c>
      <c r="B142" s="3">
        <v>6.1404036136E10</v>
      </c>
      <c r="C142" s="3" t="s">
        <v>5572</v>
      </c>
      <c r="D142" s="3" t="s">
        <v>3169</v>
      </c>
      <c r="E142" s="3" t="s">
        <v>5573</v>
      </c>
      <c r="F142" s="19" t="s">
        <v>5574</v>
      </c>
      <c r="G142" s="3" t="s">
        <v>5213</v>
      </c>
    </row>
    <row r="143">
      <c r="A143" s="3" t="s">
        <v>5575</v>
      </c>
      <c r="B143" s="3">
        <v>6.1404696302E10</v>
      </c>
      <c r="C143" s="3" t="s">
        <v>5576</v>
      </c>
      <c r="D143" s="3" t="s">
        <v>5577</v>
      </c>
      <c r="E143" s="3"/>
      <c r="F143" s="19" t="s">
        <v>5574</v>
      </c>
      <c r="G143" s="3" t="s">
        <v>5180</v>
      </c>
    </row>
    <row r="144">
      <c r="A144" s="3" t="s">
        <v>5578</v>
      </c>
      <c r="B144" s="3">
        <v>6.1414383697E10</v>
      </c>
      <c r="C144" s="3" t="s">
        <v>5579</v>
      </c>
      <c r="D144" s="3">
        <v>6055.0</v>
      </c>
      <c r="E144" s="3"/>
      <c r="F144" s="19" t="s">
        <v>5574</v>
      </c>
      <c r="G144" s="3" t="s">
        <v>5115</v>
      </c>
    </row>
    <row r="145">
      <c r="A145" s="3" t="s">
        <v>5580</v>
      </c>
      <c r="B145" s="3">
        <v>6.1408337319E10</v>
      </c>
      <c r="C145" s="3" t="s">
        <v>5581</v>
      </c>
      <c r="D145" s="3" t="s">
        <v>5582</v>
      </c>
      <c r="E145" s="3"/>
      <c r="F145" s="19" t="s">
        <v>5574</v>
      </c>
      <c r="G145" s="3" t="s">
        <v>5213</v>
      </c>
    </row>
    <row r="146">
      <c r="A146" s="3" t="s">
        <v>5583</v>
      </c>
      <c r="B146" s="3">
        <v>6.1412655202E10</v>
      </c>
      <c r="C146" s="3" t="s">
        <v>5584</v>
      </c>
      <c r="D146" s="3" t="s">
        <v>419</v>
      </c>
      <c r="E146" s="3" t="s">
        <v>5585</v>
      </c>
      <c r="F146" s="19" t="s">
        <v>5574</v>
      </c>
      <c r="G146" s="3" t="s">
        <v>5213</v>
      </c>
    </row>
    <row r="147">
      <c r="A147" s="3" t="s">
        <v>5586</v>
      </c>
      <c r="B147" s="3">
        <v>6.1438917582E10</v>
      </c>
      <c r="C147" s="3" t="s">
        <v>5587</v>
      </c>
      <c r="D147" s="3" t="s">
        <v>5588</v>
      </c>
      <c r="E147" s="3" t="s">
        <v>5589</v>
      </c>
      <c r="F147" s="19" t="s">
        <v>5574</v>
      </c>
      <c r="G147" s="3" t="s">
        <v>5213</v>
      </c>
    </row>
    <row r="148">
      <c r="A148" s="3" t="s">
        <v>5590</v>
      </c>
      <c r="B148" s="3">
        <v>6.1417700129E10</v>
      </c>
      <c r="C148" s="3" t="s">
        <v>5591</v>
      </c>
      <c r="D148" s="3" t="s">
        <v>1579</v>
      </c>
      <c r="E148" s="3" t="s">
        <v>5592</v>
      </c>
      <c r="F148" s="19" t="s">
        <v>5574</v>
      </c>
      <c r="G148" s="3" t="s">
        <v>5213</v>
      </c>
    </row>
    <row r="149">
      <c r="A149" s="3" t="s">
        <v>5593</v>
      </c>
      <c r="B149" s="3">
        <v>6.1488561284E10</v>
      </c>
      <c r="C149" s="3" t="s">
        <v>5594</v>
      </c>
      <c r="D149" s="3">
        <v>3305.0</v>
      </c>
      <c r="E149" s="3" t="s">
        <v>5595</v>
      </c>
      <c r="F149" s="19" t="s">
        <v>5574</v>
      </c>
      <c r="G149" s="3" t="s">
        <v>5213</v>
      </c>
    </row>
    <row r="150">
      <c r="A150" s="3" t="s">
        <v>5596</v>
      </c>
      <c r="B150" s="3">
        <v>6.1427271342E10</v>
      </c>
      <c r="C150" s="3" t="s">
        <v>5597</v>
      </c>
      <c r="D150" s="3">
        <v>3749.0</v>
      </c>
      <c r="E150" s="3" t="s">
        <v>5598</v>
      </c>
      <c r="F150" s="19" t="s">
        <v>5599</v>
      </c>
      <c r="G150" s="3" t="s">
        <v>5213</v>
      </c>
    </row>
    <row r="151">
      <c r="A151" s="3" t="s">
        <v>5600</v>
      </c>
      <c r="B151" s="3">
        <v>6.1409027806E10</v>
      </c>
      <c r="C151" s="3" t="s">
        <v>5601</v>
      </c>
      <c r="D151" s="3" t="s">
        <v>5602</v>
      </c>
      <c r="E151" s="3" t="s">
        <v>5603</v>
      </c>
      <c r="F151" s="19" t="s">
        <v>5599</v>
      </c>
      <c r="G151" s="3" t="s">
        <v>5213</v>
      </c>
    </row>
    <row r="152">
      <c r="A152" s="3" t="s">
        <v>5604</v>
      </c>
      <c r="B152" s="3">
        <v>6.1406041909E10</v>
      </c>
      <c r="C152" s="3" t="s">
        <v>5605</v>
      </c>
      <c r="D152" s="3" t="s">
        <v>5606</v>
      </c>
      <c r="E152" s="3" t="s">
        <v>5607</v>
      </c>
      <c r="F152" s="19" t="s">
        <v>5599</v>
      </c>
      <c r="G152" s="3" t="s">
        <v>5213</v>
      </c>
    </row>
    <row r="153">
      <c r="A153" s="3" t="s">
        <v>5608</v>
      </c>
      <c r="B153" s="3">
        <v>6.1432774405E10</v>
      </c>
      <c r="C153" s="3" t="s">
        <v>5609</v>
      </c>
      <c r="D153" s="3">
        <v>4170.0</v>
      </c>
      <c r="E153" s="3" t="s">
        <v>5610</v>
      </c>
      <c r="F153" s="19" t="s">
        <v>5611</v>
      </c>
      <c r="G153" s="3" t="s">
        <v>5213</v>
      </c>
    </row>
    <row r="154">
      <c r="A154" s="3" t="s">
        <v>5612</v>
      </c>
      <c r="B154" s="3">
        <v>6.1428587893E10</v>
      </c>
      <c r="C154" s="3" t="s">
        <v>5613</v>
      </c>
      <c r="D154" s="3" t="s">
        <v>5614</v>
      </c>
      <c r="E154" s="3" t="s">
        <v>5615</v>
      </c>
      <c r="F154" s="19" t="s">
        <v>5611</v>
      </c>
      <c r="G154" s="3" t="s">
        <v>5213</v>
      </c>
    </row>
    <row r="155">
      <c r="A155" s="3" t="s">
        <v>5616</v>
      </c>
      <c r="B155" s="3">
        <v>6.1412386362E10</v>
      </c>
      <c r="C155" s="3" t="s">
        <v>5617</v>
      </c>
      <c r="D155" s="3">
        <v>3152.0</v>
      </c>
      <c r="E155" s="3" t="s">
        <v>5618</v>
      </c>
      <c r="F155" s="19" t="s">
        <v>5611</v>
      </c>
      <c r="G155" s="3" t="s">
        <v>5213</v>
      </c>
    </row>
    <row r="156">
      <c r="A156" s="3" t="s">
        <v>5619</v>
      </c>
      <c r="B156" s="3">
        <v>6.1437599887E10</v>
      </c>
      <c r="C156" s="3" t="s">
        <v>5620</v>
      </c>
      <c r="D156" s="3">
        <v>4750.0</v>
      </c>
      <c r="E156" s="3" t="s">
        <v>5621</v>
      </c>
      <c r="F156" s="19" t="s">
        <v>5611</v>
      </c>
      <c r="G156" s="3" t="s">
        <v>5213</v>
      </c>
    </row>
    <row r="157">
      <c r="A157" s="3" t="s">
        <v>5622</v>
      </c>
      <c r="B157" s="3">
        <v>6.1403166424E10</v>
      </c>
      <c r="C157" s="3" t="s">
        <v>5623</v>
      </c>
      <c r="D157" s="3" t="s">
        <v>428</v>
      </c>
      <c r="E157" s="3" t="s">
        <v>5624</v>
      </c>
      <c r="F157" s="19" t="s">
        <v>5611</v>
      </c>
      <c r="G157" s="3" t="s">
        <v>5213</v>
      </c>
    </row>
    <row r="158">
      <c r="A158" s="3" t="s">
        <v>5625</v>
      </c>
      <c r="B158" s="3">
        <v>6.1447120006E10</v>
      </c>
      <c r="C158" s="3" t="s">
        <v>5626</v>
      </c>
      <c r="D158" s="3" t="s">
        <v>5627</v>
      </c>
      <c r="E158" s="3" t="s">
        <v>5628</v>
      </c>
      <c r="F158" s="19" t="s">
        <v>5611</v>
      </c>
      <c r="G158" s="3" t="s">
        <v>5213</v>
      </c>
    </row>
    <row r="159">
      <c r="A159" s="3" t="s">
        <v>5629</v>
      </c>
      <c r="B159" s="3">
        <v>6.1418647722E10</v>
      </c>
      <c r="C159" s="3" t="s">
        <v>5630</v>
      </c>
      <c r="D159" s="3" t="s">
        <v>5631</v>
      </c>
      <c r="E159" s="3" t="s">
        <v>5632</v>
      </c>
      <c r="F159" s="19" t="s">
        <v>5611</v>
      </c>
      <c r="G159" s="3" t="s">
        <v>5213</v>
      </c>
    </row>
    <row r="160">
      <c r="A160" s="3" t="s">
        <v>5633</v>
      </c>
      <c r="B160" s="3">
        <v>6.1414740654E10</v>
      </c>
      <c r="C160" s="3" t="s">
        <v>5634</v>
      </c>
      <c r="D160" s="3" t="s">
        <v>881</v>
      </c>
      <c r="E160" s="3"/>
      <c r="F160" s="19" t="s">
        <v>2364</v>
      </c>
      <c r="G160" s="3" t="s">
        <v>5213</v>
      </c>
    </row>
    <row r="161">
      <c r="A161" s="3" t="s">
        <v>5635</v>
      </c>
      <c r="B161" s="3">
        <v>6.144971887E10</v>
      </c>
      <c r="C161" s="3" t="s">
        <v>5636</v>
      </c>
      <c r="D161" s="3">
        <v>6061.0</v>
      </c>
      <c r="E161" s="3" t="s">
        <v>5637</v>
      </c>
      <c r="F161" s="19" t="s">
        <v>2364</v>
      </c>
      <c r="G161" s="3" t="s">
        <v>5213</v>
      </c>
    </row>
    <row r="162">
      <c r="A162" s="3" t="s">
        <v>5638</v>
      </c>
      <c r="B162" s="3">
        <v>6.1411206207E10</v>
      </c>
      <c r="C162" s="3" t="s">
        <v>5639</v>
      </c>
      <c r="D162" s="3" t="s">
        <v>542</v>
      </c>
      <c r="E162" s="3"/>
      <c r="F162" s="19" t="s">
        <v>2364</v>
      </c>
      <c r="G162" s="3" t="s">
        <v>5213</v>
      </c>
    </row>
    <row r="163">
      <c r="A163" s="3" t="s">
        <v>5640</v>
      </c>
      <c r="B163" s="3">
        <v>6.1434256733E10</v>
      </c>
      <c r="C163" s="3" t="s">
        <v>5641</v>
      </c>
      <c r="D163" s="3" t="s">
        <v>5642</v>
      </c>
      <c r="E163" s="3" t="s">
        <v>5643</v>
      </c>
      <c r="F163" s="19" t="s">
        <v>2364</v>
      </c>
      <c r="G163" s="3" t="s">
        <v>5213</v>
      </c>
    </row>
    <row r="164">
      <c r="A164" s="3" t="s">
        <v>5644</v>
      </c>
      <c r="B164" s="3">
        <v>6.1427042497E10</v>
      </c>
      <c r="C164" s="3" t="s">
        <v>5645</v>
      </c>
      <c r="D164" s="3" t="s">
        <v>2129</v>
      </c>
      <c r="E164" s="3"/>
      <c r="F164" s="19" t="s">
        <v>2364</v>
      </c>
      <c r="G164" s="3" t="s">
        <v>5213</v>
      </c>
    </row>
    <row r="165">
      <c r="A165" s="3" t="s">
        <v>5646</v>
      </c>
      <c r="B165" s="3">
        <v>6.1400047651E10</v>
      </c>
      <c r="C165" s="3" t="s">
        <v>5647</v>
      </c>
      <c r="D165" s="3" t="s">
        <v>5648</v>
      </c>
      <c r="E165" s="3" t="s">
        <v>5649</v>
      </c>
      <c r="F165" s="19" t="s">
        <v>2364</v>
      </c>
      <c r="G165" s="3" t="s">
        <v>5213</v>
      </c>
    </row>
    <row r="166">
      <c r="A166" s="3" t="s">
        <v>5650</v>
      </c>
      <c r="B166" s="3">
        <v>6.1405500689E10</v>
      </c>
      <c r="C166" s="3" t="s">
        <v>5651</v>
      </c>
      <c r="D166" s="3" t="s">
        <v>5652</v>
      </c>
      <c r="E166" s="3"/>
      <c r="F166" s="19" t="s">
        <v>2364</v>
      </c>
      <c r="G166" s="3" t="s">
        <v>5213</v>
      </c>
    </row>
    <row r="167">
      <c r="A167" s="3" t="s">
        <v>5653</v>
      </c>
      <c r="B167" s="3">
        <v>6.1433604323E10</v>
      </c>
      <c r="C167" s="3" t="s">
        <v>5654</v>
      </c>
      <c r="D167" s="3">
        <v>4655.0</v>
      </c>
      <c r="E167" s="3" t="s">
        <v>5655</v>
      </c>
      <c r="F167" s="19" t="s">
        <v>2364</v>
      </c>
      <c r="G167" s="3" t="s">
        <v>5213</v>
      </c>
    </row>
    <row r="168">
      <c r="A168" s="3" t="s">
        <v>5656</v>
      </c>
      <c r="B168" s="3">
        <v>6.144717773E10</v>
      </c>
      <c r="C168" s="3" t="s">
        <v>5657</v>
      </c>
      <c r="D168" s="3" t="s">
        <v>5658</v>
      </c>
      <c r="E168" s="3" t="s">
        <v>5659</v>
      </c>
      <c r="F168" s="19" t="s">
        <v>2364</v>
      </c>
      <c r="G168" s="3" t="s">
        <v>5213</v>
      </c>
    </row>
    <row r="169">
      <c r="A169" s="3" t="s">
        <v>5660</v>
      </c>
      <c r="B169" s="3">
        <v>6.1400224401E10</v>
      </c>
      <c r="C169" s="3" t="s">
        <v>5661</v>
      </c>
      <c r="D169" s="3" t="s">
        <v>5662</v>
      </c>
      <c r="E169" s="3" t="s">
        <v>5663</v>
      </c>
      <c r="F169" s="19" t="s">
        <v>2364</v>
      </c>
      <c r="G169" s="3" t="s">
        <v>5213</v>
      </c>
    </row>
    <row r="170">
      <c r="A170" s="3" t="s">
        <v>5664</v>
      </c>
      <c r="B170" s="3">
        <v>6.1418943874E10</v>
      </c>
      <c r="C170" s="3" t="s">
        <v>5665</v>
      </c>
      <c r="D170" s="3" t="s">
        <v>5666</v>
      </c>
      <c r="E170" s="3" t="s">
        <v>5667</v>
      </c>
      <c r="F170" s="19" t="s">
        <v>2364</v>
      </c>
      <c r="G170" s="3" t="s">
        <v>5213</v>
      </c>
    </row>
    <row r="171">
      <c r="A171" s="3" t="s">
        <v>5668</v>
      </c>
      <c r="B171" s="3">
        <v>6.1434281635E10</v>
      </c>
      <c r="C171" s="3" t="s">
        <v>5669</v>
      </c>
      <c r="D171" s="3" t="s">
        <v>5670</v>
      </c>
      <c r="E171" s="3" t="s">
        <v>5671</v>
      </c>
      <c r="F171" s="19" t="s">
        <v>2364</v>
      </c>
      <c r="G171" s="3" t="s">
        <v>5213</v>
      </c>
    </row>
    <row r="172">
      <c r="A172" s="3" t="s">
        <v>5672</v>
      </c>
      <c r="B172" s="3">
        <v>6.1491970813E10</v>
      </c>
      <c r="C172" s="3" t="s">
        <v>5673</v>
      </c>
      <c r="D172" s="3" t="s">
        <v>1249</v>
      </c>
      <c r="E172" s="3"/>
      <c r="F172" s="19" t="s">
        <v>2364</v>
      </c>
      <c r="G172" s="3" t="s">
        <v>5213</v>
      </c>
    </row>
    <row r="173">
      <c r="A173" s="3" t="s">
        <v>5674</v>
      </c>
      <c r="B173" s="3">
        <v>6.1435504636E10</v>
      </c>
      <c r="C173" s="3" t="s">
        <v>5675</v>
      </c>
      <c r="D173" s="3">
        <v>3781.0</v>
      </c>
      <c r="E173" s="3" t="s">
        <v>5676</v>
      </c>
      <c r="F173" s="19" t="s">
        <v>2364</v>
      </c>
      <c r="G173" s="3" t="s">
        <v>5213</v>
      </c>
    </row>
    <row r="174">
      <c r="A174" s="3" t="s">
        <v>5677</v>
      </c>
      <c r="B174" s="3">
        <v>6.143883276E10</v>
      </c>
      <c r="C174" s="3" t="s">
        <v>5678</v>
      </c>
      <c r="D174" s="3" t="s">
        <v>5679</v>
      </c>
      <c r="E174" s="3"/>
      <c r="F174" s="19" t="s">
        <v>2364</v>
      </c>
      <c r="G174" s="3" t="s">
        <v>5213</v>
      </c>
    </row>
    <row r="175">
      <c r="A175" s="3" t="s">
        <v>5680</v>
      </c>
      <c r="B175" s="3">
        <v>6.1418197281E10</v>
      </c>
      <c r="C175" s="3" t="s">
        <v>5681</v>
      </c>
      <c r="D175" s="3" t="s">
        <v>5682</v>
      </c>
      <c r="E175" s="3" t="s">
        <v>5683</v>
      </c>
      <c r="F175" s="19" t="s">
        <v>2396</v>
      </c>
      <c r="G175" s="3" t="s">
        <v>5213</v>
      </c>
    </row>
    <row r="176">
      <c r="A176" s="3" t="s">
        <v>5684</v>
      </c>
      <c r="B176" s="3">
        <v>6.1403211974E10</v>
      </c>
      <c r="C176" s="3" t="s">
        <v>5685</v>
      </c>
      <c r="D176" s="3" t="s">
        <v>5686</v>
      </c>
      <c r="E176" s="3" t="s">
        <v>5687</v>
      </c>
      <c r="F176" s="19" t="s">
        <v>2396</v>
      </c>
      <c r="G176" s="3" t="s">
        <v>5213</v>
      </c>
    </row>
    <row r="177">
      <c r="A177" s="3" t="s">
        <v>5688</v>
      </c>
      <c r="B177" s="3">
        <v>6.1412021605E10</v>
      </c>
      <c r="C177" s="3" t="s">
        <v>5689</v>
      </c>
      <c r="D177" s="3" t="s">
        <v>5690</v>
      </c>
      <c r="E177" s="3" t="s">
        <v>5691</v>
      </c>
      <c r="F177" s="19" t="s">
        <v>2396</v>
      </c>
      <c r="G177" s="3" t="s">
        <v>5213</v>
      </c>
    </row>
    <row r="178">
      <c r="A178" s="3" t="s">
        <v>5692</v>
      </c>
      <c r="B178" s="3">
        <v>6.1403437773E10</v>
      </c>
      <c r="C178" s="3" t="s">
        <v>5693</v>
      </c>
      <c r="D178" s="3" t="s">
        <v>5694</v>
      </c>
      <c r="E178" s="3" t="s">
        <v>5695</v>
      </c>
      <c r="F178" s="19" t="s">
        <v>2396</v>
      </c>
      <c r="G178" s="3" t="s">
        <v>5213</v>
      </c>
    </row>
    <row r="179">
      <c r="A179" s="3" t="s">
        <v>5696</v>
      </c>
      <c r="B179" s="3">
        <v>6.1411136521E10</v>
      </c>
      <c r="C179" s="3" t="s">
        <v>5697</v>
      </c>
      <c r="D179" s="3">
        <v>5118.0</v>
      </c>
      <c r="E179" s="3" t="s">
        <v>5698</v>
      </c>
      <c r="F179" s="19" t="s">
        <v>2396</v>
      </c>
      <c r="G179" s="3" t="s">
        <v>5213</v>
      </c>
    </row>
    <row r="180">
      <c r="A180" s="3" t="s">
        <v>5699</v>
      </c>
      <c r="B180" s="3">
        <v>6.1422534503E10</v>
      </c>
      <c r="C180" s="3" t="s">
        <v>5700</v>
      </c>
      <c r="D180" s="3" t="s">
        <v>5701</v>
      </c>
      <c r="E180" s="3" t="s">
        <v>5702</v>
      </c>
      <c r="F180" s="19" t="s">
        <v>2396</v>
      </c>
      <c r="G180" s="3" t="s">
        <v>5213</v>
      </c>
    </row>
    <row r="181">
      <c r="A181" s="3" t="s">
        <v>5703</v>
      </c>
      <c r="B181" s="3">
        <v>6.1416007241E10</v>
      </c>
      <c r="C181" s="3" t="s">
        <v>5704</v>
      </c>
      <c r="D181" s="3" t="s">
        <v>5705</v>
      </c>
      <c r="E181" s="3" t="s">
        <v>5706</v>
      </c>
      <c r="F181" s="19" t="s">
        <v>2396</v>
      </c>
      <c r="G181" s="3" t="s">
        <v>5213</v>
      </c>
    </row>
    <row r="182">
      <c r="A182" s="3" t="s">
        <v>5707</v>
      </c>
      <c r="B182" s="3">
        <v>6.1421051371E10</v>
      </c>
      <c r="C182" s="3" t="s">
        <v>5708</v>
      </c>
      <c r="D182" s="3">
        <v>5109.0</v>
      </c>
      <c r="E182" s="3" t="s">
        <v>5709</v>
      </c>
      <c r="F182" s="19" t="s">
        <v>2396</v>
      </c>
      <c r="G182" s="3" t="s">
        <v>5213</v>
      </c>
    </row>
    <row r="183">
      <c r="A183" s="3" t="s">
        <v>5710</v>
      </c>
      <c r="B183" s="3">
        <v>6.1418841575E10</v>
      </c>
      <c r="C183" s="3" t="s">
        <v>5711</v>
      </c>
      <c r="D183" s="3" t="s">
        <v>5712</v>
      </c>
      <c r="E183" s="3" t="s">
        <v>5713</v>
      </c>
      <c r="F183" s="19" t="s">
        <v>2396</v>
      </c>
      <c r="G183" s="3" t="s">
        <v>5213</v>
      </c>
    </row>
    <row r="184">
      <c r="A184" s="3" t="s">
        <v>5714</v>
      </c>
      <c r="B184" s="3">
        <v>6.1414573206E10</v>
      </c>
      <c r="C184" s="3" t="s">
        <v>5715</v>
      </c>
      <c r="D184" s="3" t="s">
        <v>5716</v>
      </c>
      <c r="E184" s="3" t="s">
        <v>5717</v>
      </c>
      <c r="F184" s="19" t="s">
        <v>2396</v>
      </c>
      <c r="G184" s="3" t="s">
        <v>5213</v>
      </c>
    </row>
    <row r="185">
      <c r="A185" s="3" t="s">
        <v>5718</v>
      </c>
      <c r="B185" s="3">
        <v>6.1405993321E10</v>
      </c>
      <c r="C185" s="3" t="s">
        <v>5719</v>
      </c>
      <c r="D185" s="3" t="s">
        <v>5720</v>
      </c>
      <c r="E185" s="3" t="s">
        <v>5721</v>
      </c>
      <c r="F185" s="19" t="s">
        <v>2396</v>
      </c>
      <c r="G185" s="3" t="s">
        <v>5213</v>
      </c>
    </row>
    <row r="186">
      <c r="A186" s="3" t="s">
        <v>5722</v>
      </c>
      <c r="B186" s="3">
        <v>6.1424484246E10</v>
      </c>
      <c r="C186" s="3" t="s">
        <v>5723</v>
      </c>
      <c r="D186" s="3">
        <v>2487.0</v>
      </c>
      <c r="E186" s="3"/>
      <c r="F186" s="19" t="s">
        <v>2396</v>
      </c>
      <c r="G186" s="3" t="s">
        <v>5213</v>
      </c>
    </row>
    <row r="187">
      <c r="A187" s="3" t="s">
        <v>5724</v>
      </c>
      <c r="B187" s="3">
        <v>6.1467578859E10</v>
      </c>
      <c r="C187" s="3" t="s">
        <v>5725</v>
      </c>
      <c r="D187" s="3">
        <v>3149.0</v>
      </c>
      <c r="E187" s="3"/>
      <c r="F187" s="19" t="s">
        <v>2396</v>
      </c>
      <c r="G187" s="3" t="s">
        <v>5213</v>
      </c>
    </row>
    <row r="188">
      <c r="A188" s="3" t="s">
        <v>5726</v>
      </c>
      <c r="B188" s="3">
        <v>6.1419267998E10</v>
      </c>
      <c r="C188" s="3" t="s">
        <v>5727</v>
      </c>
      <c r="D188" s="3" t="s">
        <v>5728</v>
      </c>
      <c r="E188" s="3"/>
      <c r="F188" s="19" t="s">
        <v>2396</v>
      </c>
      <c r="G188" s="3" t="s">
        <v>5213</v>
      </c>
    </row>
    <row r="189">
      <c r="A189" s="3" t="s">
        <v>5729</v>
      </c>
      <c r="B189" s="3">
        <v>6.1438317E10</v>
      </c>
      <c r="C189" s="3" t="s">
        <v>5730</v>
      </c>
      <c r="D189" s="3" t="s">
        <v>1249</v>
      </c>
      <c r="E189" s="3"/>
      <c r="F189" s="19" t="s">
        <v>2396</v>
      </c>
      <c r="G189" s="3" t="s">
        <v>5213</v>
      </c>
    </row>
    <row r="190">
      <c r="A190" s="3" t="s">
        <v>5731</v>
      </c>
      <c r="B190" s="3">
        <v>6.149110156E10</v>
      </c>
      <c r="C190" s="3" t="s">
        <v>5732</v>
      </c>
      <c r="D190" s="3" t="s">
        <v>5733</v>
      </c>
      <c r="E190" s="3" t="s">
        <v>5734</v>
      </c>
      <c r="F190" s="19" t="s">
        <v>2448</v>
      </c>
      <c r="G190" s="3" t="s">
        <v>5213</v>
      </c>
    </row>
    <row r="191">
      <c r="A191" s="3" t="s">
        <v>5735</v>
      </c>
      <c r="B191" s="3">
        <v>6.1488117747E10</v>
      </c>
      <c r="C191" s="3" t="s">
        <v>5736</v>
      </c>
      <c r="D191" s="3" t="s">
        <v>5737</v>
      </c>
      <c r="E191" s="3" t="s">
        <v>5738</v>
      </c>
      <c r="F191" s="19" t="s">
        <v>2448</v>
      </c>
      <c r="G191" s="3" t="s">
        <v>5180</v>
      </c>
    </row>
    <row r="192">
      <c r="A192" s="3" t="s">
        <v>5739</v>
      </c>
      <c r="B192" s="3">
        <v>6.1408177611E10</v>
      </c>
      <c r="C192" s="3" t="s">
        <v>5740</v>
      </c>
      <c r="D192" s="3" t="s">
        <v>5741</v>
      </c>
      <c r="E192" s="3"/>
      <c r="F192" s="19" t="s">
        <v>2448</v>
      </c>
      <c r="G192" s="3" t="s">
        <v>5213</v>
      </c>
    </row>
    <row r="193">
      <c r="A193" s="3" t="s">
        <v>5742</v>
      </c>
      <c r="B193" s="3">
        <v>6.1418613215E10</v>
      </c>
      <c r="C193" s="3" t="s">
        <v>5743</v>
      </c>
      <c r="D193" s="3">
        <v>2484.0</v>
      </c>
      <c r="E193" s="3" t="s">
        <v>5744</v>
      </c>
      <c r="F193" s="19" t="s">
        <v>2480</v>
      </c>
      <c r="G193" s="3" t="s">
        <v>5115</v>
      </c>
    </row>
    <row r="194">
      <c r="A194" s="3" t="s">
        <v>5745</v>
      </c>
      <c r="B194" s="3">
        <v>6.140993213E10</v>
      </c>
      <c r="C194" s="3" t="s">
        <v>5746</v>
      </c>
      <c r="D194" s="3" t="s">
        <v>5747</v>
      </c>
      <c r="E194" s="3" t="s">
        <v>5748</v>
      </c>
      <c r="F194" s="19" t="s">
        <v>2480</v>
      </c>
      <c r="G194" s="3" t="s">
        <v>5213</v>
      </c>
    </row>
    <row r="195">
      <c r="A195" s="3" t="s">
        <v>5749</v>
      </c>
      <c r="B195" s="3">
        <v>6.1419223395E10</v>
      </c>
      <c r="C195" s="3" t="s">
        <v>5750</v>
      </c>
      <c r="D195" s="3" t="s">
        <v>5751</v>
      </c>
      <c r="E195" s="3" t="s">
        <v>5752</v>
      </c>
      <c r="F195" s="19" t="s">
        <v>2480</v>
      </c>
      <c r="G195" s="3" t="s">
        <v>5213</v>
      </c>
    </row>
    <row r="196">
      <c r="A196" s="3" t="s">
        <v>5753</v>
      </c>
      <c r="B196" s="3">
        <v>6.1416220956E10</v>
      </c>
      <c r="C196" s="3" t="s">
        <v>5754</v>
      </c>
      <c r="D196" s="3">
        <v>5024.0</v>
      </c>
      <c r="E196" s="3" t="s">
        <v>5755</v>
      </c>
      <c r="F196" s="19" t="s">
        <v>2568</v>
      </c>
      <c r="G196" s="3" t="s">
        <v>5115</v>
      </c>
    </row>
    <row r="197">
      <c r="A197" s="3" t="s">
        <v>5756</v>
      </c>
      <c r="B197" s="3">
        <v>6.1425822841E10</v>
      </c>
      <c r="C197" s="3" t="s">
        <v>5757</v>
      </c>
      <c r="D197" s="3" t="s">
        <v>5758</v>
      </c>
      <c r="E197" s="3" t="s">
        <v>5759</v>
      </c>
      <c r="F197" s="19" t="s">
        <v>2568</v>
      </c>
      <c r="G197" s="3" t="s">
        <v>5213</v>
      </c>
    </row>
    <row r="198">
      <c r="A198" s="3" t="s">
        <v>5760</v>
      </c>
      <c r="B198" s="3">
        <v>6.1418397787E10</v>
      </c>
      <c r="C198" s="3" t="s">
        <v>5761</v>
      </c>
      <c r="D198" s="3" t="s">
        <v>5762</v>
      </c>
      <c r="E198" s="3" t="s">
        <v>5763</v>
      </c>
      <c r="F198" s="19" t="s">
        <v>2568</v>
      </c>
      <c r="G198" s="3" t="s">
        <v>5213</v>
      </c>
    </row>
    <row r="199">
      <c r="A199" s="3" t="s">
        <v>5764</v>
      </c>
      <c r="B199" s="3">
        <v>6.1410885998E10</v>
      </c>
      <c r="C199" s="3" t="s">
        <v>5765</v>
      </c>
      <c r="D199" s="3">
        <v>4184.0</v>
      </c>
      <c r="E199" s="3" t="s">
        <v>5766</v>
      </c>
      <c r="F199" s="19" t="s">
        <v>2568</v>
      </c>
      <c r="G199" s="3" t="s">
        <v>5213</v>
      </c>
    </row>
    <row r="200">
      <c r="A200" s="3" t="s">
        <v>5767</v>
      </c>
      <c r="B200" s="3">
        <v>6.1407305128E10</v>
      </c>
      <c r="C200" s="3" t="s">
        <v>5768</v>
      </c>
      <c r="D200" s="3">
        <v>4550.0</v>
      </c>
      <c r="E200" s="3" t="s">
        <v>5769</v>
      </c>
      <c r="F200" s="19" t="s">
        <v>2568</v>
      </c>
      <c r="G200" s="3" t="s">
        <v>5213</v>
      </c>
    </row>
    <row r="201">
      <c r="A201" s="3" t="s">
        <v>5770</v>
      </c>
      <c r="B201" s="3">
        <v>6.1411017013E10</v>
      </c>
      <c r="C201" s="3" t="s">
        <v>5771</v>
      </c>
      <c r="D201" s="3">
        <v>4184.0</v>
      </c>
      <c r="E201" s="3" t="s">
        <v>5772</v>
      </c>
      <c r="F201" s="19" t="s">
        <v>2568</v>
      </c>
      <c r="G201" s="3" t="s">
        <v>5213</v>
      </c>
    </row>
    <row r="202">
      <c r="A202" s="3" t="s">
        <v>5773</v>
      </c>
      <c r="B202" s="3">
        <v>6.140711411E10</v>
      </c>
      <c r="C202" s="3" t="s">
        <v>5774</v>
      </c>
      <c r="D202" s="3" t="s">
        <v>5666</v>
      </c>
      <c r="E202" s="3" t="s">
        <v>5775</v>
      </c>
      <c r="F202" s="19" t="s">
        <v>2568</v>
      </c>
      <c r="G202" s="3" t="s">
        <v>5213</v>
      </c>
    </row>
    <row r="203">
      <c r="A203" s="3" t="s">
        <v>5776</v>
      </c>
      <c r="B203" s="3">
        <v>6.1411100565E10</v>
      </c>
      <c r="C203" s="3" t="s">
        <v>5777</v>
      </c>
      <c r="D203" s="3" t="s">
        <v>5778</v>
      </c>
      <c r="E203" s="3"/>
      <c r="F203" s="19" t="s">
        <v>2568</v>
      </c>
      <c r="G203" s="3" t="s">
        <v>5213</v>
      </c>
    </row>
    <row r="204">
      <c r="A204" s="3" t="s">
        <v>5779</v>
      </c>
      <c r="B204" s="3">
        <v>6.1413755744E10</v>
      </c>
      <c r="C204" s="3" t="s">
        <v>5780</v>
      </c>
      <c r="D204" s="3" t="s">
        <v>5781</v>
      </c>
      <c r="E204" s="3"/>
      <c r="F204" s="19" t="s">
        <v>2568</v>
      </c>
      <c r="G204" s="3" t="s">
        <v>5213</v>
      </c>
    </row>
    <row r="205">
      <c r="A205" s="3" t="s">
        <v>5782</v>
      </c>
      <c r="B205" s="3">
        <v>6.1401513993E10</v>
      </c>
      <c r="C205" s="3" t="s">
        <v>5783</v>
      </c>
      <c r="D205" s="3" t="s">
        <v>530</v>
      </c>
      <c r="E205" s="3" t="s">
        <v>5784</v>
      </c>
      <c r="F205" s="19" t="s">
        <v>2568</v>
      </c>
      <c r="G205" s="3" t="s">
        <v>5213</v>
      </c>
    </row>
    <row r="206">
      <c r="A206" s="3" t="s">
        <v>5785</v>
      </c>
      <c r="B206" s="3">
        <v>6.1428449326E10</v>
      </c>
      <c r="C206" s="3" t="s">
        <v>5786</v>
      </c>
      <c r="D206" s="3" t="s">
        <v>5787</v>
      </c>
      <c r="E206" s="3" t="s">
        <v>5788</v>
      </c>
      <c r="F206" s="19" t="s">
        <v>2568</v>
      </c>
      <c r="G206" s="3" t="s">
        <v>5213</v>
      </c>
    </row>
    <row r="207">
      <c r="A207" s="3" t="s">
        <v>5789</v>
      </c>
      <c r="B207" s="3">
        <v>6.1418324875E10</v>
      </c>
      <c r="C207" s="3" t="s">
        <v>5790</v>
      </c>
      <c r="D207" s="3" t="s">
        <v>1649</v>
      </c>
      <c r="E207" s="3"/>
      <c r="F207" s="19" t="s">
        <v>2568</v>
      </c>
      <c r="G207" s="3" t="s">
        <v>5213</v>
      </c>
    </row>
    <row r="208">
      <c r="A208" s="3" t="s">
        <v>5791</v>
      </c>
      <c r="B208" s="3">
        <v>6.140171176E10</v>
      </c>
      <c r="C208" s="3" t="s">
        <v>5792</v>
      </c>
      <c r="D208" s="3" t="s">
        <v>5793</v>
      </c>
      <c r="E208" s="3"/>
      <c r="F208" s="19" t="s">
        <v>2568</v>
      </c>
      <c r="G208" s="3" t="s">
        <v>5213</v>
      </c>
    </row>
    <row r="209">
      <c r="A209" s="3" t="s">
        <v>5794</v>
      </c>
      <c r="B209" s="3">
        <v>6.1432632667E10</v>
      </c>
      <c r="C209" s="3" t="s">
        <v>5795</v>
      </c>
      <c r="D209" s="3" t="s">
        <v>5796</v>
      </c>
      <c r="E209" s="3"/>
      <c r="F209" s="19" t="s">
        <v>2568</v>
      </c>
      <c r="G209" s="3" t="s">
        <v>5213</v>
      </c>
    </row>
    <row r="210">
      <c r="A210" s="3" t="s">
        <v>5797</v>
      </c>
      <c r="B210" s="3">
        <v>6.1409219124E10</v>
      </c>
      <c r="C210" s="3" t="s">
        <v>5798</v>
      </c>
      <c r="D210" s="3" t="s">
        <v>5799</v>
      </c>
      <c r="E210" s="3" t="s">
        <v>5800</v>
      </c>
      <c r="F210" s="19" t="s">
        <v>2637</v>
      </c>
      <c r="G210" s="3" t="s">
        <v>5213</v>
      </c>
    </row>
    <row r="211">
      <c r="A211" s="3" t="s">
        <v>5801</v>
      </c>
      <c r="B211" s="3">
        <v>6.1409629653E10</v>
      </c>
      <c r="C211" s="3" t="s">
        <v>5802</v>
      </c>
      <c r="D211" s="3" t="s">
        <v>5803</v>
      </c>
      <c r="E211" s="3" t="s">
        <v>5804</v>
      </c>
      <c r="F211" s="19" t="s">
        <v>2640</v>
      </c>
      <c r="G211" s="3" t="s">
        <v>5213</v>
      </c>
    </row>
    <row r="212">
      <c r="A212" s="3" t="s">
        <v>5805</v>
      </c>
      <c r="B212" s="3">
        <v>6.1447230696E10</v>
      </c>
      <c r="C212" s="3" t="s">
        <v>5806</v>
      </c>
      <c r="D212" s="3" t="s">
        <v>5807</v>
      </c>
      <c r="E212" s="3" t="s">
        <v>5808</v>
      </c>
      <c r="F212" s="19" t="s">
        <v>2640</v>
      </c>
      <c r="G212" s="3" t="s">
        <v>5213</v>
      </c>
    </row>
    <row r="213">
      <c r="A213" s="3" t="s">
        <v>5809</v>
      </c>
      <c r="B213" s="3">
        <v>6.1439118462E10</v>
      </c>
      <c r="C213" s="3" t="s">
        <v>5810</v>
      </c>
      <c r="D213" s="3" t="s">
        <v>5811</v>
      </c>
      <c r="E213" s="3" t="s">
        <v>5812</v>
      </c>
      <c r="F213" s="19" t="s">
        <v>2640</v>
      </c>
      <c r="G213" s="3" t="s">
        <v>5213</v>
      </c>
    </row>
    <row r="214">
      <c r="A214" s="3" t="s">
        <v>5813</v>
      </c>
      <c r="B214" s="3">
        <v>6.147814291E10</v>
      </c>
      <c r="C214" s="3" t="s">
        <v>5814</v>
      </c>
      <c r="D214" s="3" t="s">
        <v>193</v>
      </c>
      <c r="E214" s="3"/>
      <c r="F214" s="19" t="s">
        <v>2640</v>
      </c>
      <c r="G214" s="3" t="s">
        <v>5213</v>
      </c>
    </row>
    <row r="215">
      <c r="A215" s="3" t="s">
        <v>5815</v>
      </c>
      <c r="B215" s="3">
        <v>6.1417323961E10</v>
      </c>
      <c r="C215" s="3" t="s">
        <v>5816</v>
      </c>
      <c r="D215" s="3" t="s">
        <v>5817</v>
      </c>
      <c r="E215" s="3" t="s">
        <v>5818</v>
      </c>
      <c r="F215" s="19" t="s">
        <v>2640</v>
      </c>
      <c r="G215" s="3" t="s">
        <v>5213</v>
      </c>
    </row>
    <row r="216">
      <c r="A216" s="3" t="s">
        <v>5819</v>
      </c>
      <c r="B216" s="3">
        <v>6.1409000802E10</v>
      </c>
      <c r="C216" s="3" t="s">
        <v>5820</v>
      </c>
      <c r="D216" s="3" t="s">
        <v>5821</v>
      </c>
      <c r="E216" s="3" t="s">
        <v>5822</v>
      </c>
      <c r="F216" s="19" t="s">
        <v>2640</v>
      </c>
      <c r="G216" s="3" t="s">
        <v>5213</v>
      </c>
    </row>
    <row r="217">
      <c r="A217" s="3" t="s">
        <v>5823</v>
      </c>
      <c r="B217" s="3">
        <v>6.1418205448E10</v>
      </c>
      <c r="C217" s="3" t="s">
        <v>5824</v>
      </c>
      <c r="D217" s="3" t="s">
        <v>5825</v>
      </c>
      <c r="E217" s="3" t="s">
        <v>5826</v>
      </c>
      <c r="F217" s="19" t="s">
        <v>2640</v>
      </c>
      <c r="G217" s="3" t="s">
        <v>5213</v>
      </c>
    </row>
    <row r="218">
      <c r="A218" s="3" t="s">
        <v>5827</v>
      </c>
      <c r="B218" s="3">
        <v>6.1408689666E10</v>
      </c>
      <c r="C218" s="3" t="s">
        <v>5828</v>
      </c>
      <c r="D218" s="3" t="s">
        <v>414</v>
      </c>
      <c r="E218" s="3"/>
      <c r="F218" s="19" t="s">
        <v>2640</v>
      </c>
      <c r="G218" s="3" t="s">
        <v>5213</v>
      </c>
    </row>
    <row r="219">
      <c r="A219" s="3" t="s">
        <v>5829</v>
      </c>
      <c r="B219" s="3">
        <v>6.140821132E10</v>
      </c>
      <c r="C219" s="3" t="s">
        <v>5830</v>
      </c>
      <c r="D219" s="3" t="s">
        <v>5831</v>
      </c>
      <c r="E219" s="3" t="s">
        <v>5832</v>
      </c>
      <c r="F219" s="19" t="s">
        <v>2640</v>
      </c>
      <c r="G219" s="3" t="s">
        <v>5213</v>
      </c>
    </row>
    <row r="220">
      <c r="A220" s="3" t="s">
        <v>5833</v>
      </c>
      <c r="B220" s="3">
        <v>6.1478715588E10</v>
      </c>
      <c r="C220" s="3" t="s">
        <v>5834</v>
      </c>
      <c r="D220" s="3" t="s">
        <v>3219</v>
      </c>
      <c r="E220" s="3"/>
      <c r="F220" s="19" t="s">
        <v>2679</v>
      </c>
      <c r="G220" s="3" t="s">
        <v>5213</v>
      </c>
    </row>
    <row r="221">
      <c r="A221" s="3" t="s">
        <v>5835</v>
      </c>
      <c r="B221" s="3">
        <v>6.141608974E10</v>
      </c>
      <c r="C221" s="3" t="s">
        <v>5836</v>
      </c>
      <c r="D221" s="3" t="s">
        <v>5837</v>
      </c>
      <c r="E221" s="3" t="s">
        <v>5838</v>
      </c>
      <c r="F221" s="19" t="s">
        <v>2679</v>
      </c>
      <c r="G221" s="3" t="s">
        <v>5213</v>
      </c>
    </row>
    <row r="222">
      <c r="A222" s="3" t="s">
        <v>5839</v>
      </c>
      <c r="B222" s="3">
        <v>6.1407196253E10</v>
      </c>
      <c r="C222" s="3" t="s">
        <v>5840</v>
      </c>
      <c r="D222" s="3" t="s">
        <v>5841</v>
      </c>
      <c r="E222" s="3" t="s">
        <v>5842</v>
      </c>
      <c r="F222" s="19" t="s">
        <v>2679</v>
      </c>
      <c r="G222" s="3" t="s">
        <v>5213</v>
      </c>
    </row>
    <row r="223">
      <c r="A223" s="3" t="s">
        <v>5843</v>
      </c>
      <c r="B223" s="3">
        <v>6.1415388574E10</v>
      </c>
      <c r="C223" s="3" t="s">
        <v>5844</v>
      </c>
      <c r="D223" s="3" t="s">
        <v>3681</v>
      </c>
      <c r="E223" s="3"/>
      <c r="F223" s="19" t="s">
        <v>2679</v>
      </c>
      <c r="G223" s="3" t="s">
        <v>5213</v>
      </c>
    </row>
    <row r="224">
      <c r="A224" s="3" t="s">
        <v>5845</v>
      </c>
      <c r="B224" s="3">
        <v>6.1419488384E10</v>
      </c>
      <c r="C224" s="3" t="s">
        <v>5846</v>
      </c>
      <c r="D224" s="3" t="s">
        <v>5847</v>
      </c>
      <c r="E224" s="3"/>
      <c r="F224" s="19" t="s">
        <v>2679</v>
      </c>
      <c r="G224" s="3" t="s">
        <v>5213</v>
      </c>
    </row>
    <row r="225">
      <c r="A225" s="3" t="s">
        <v>5848</v>
      </c>
      <c r="B225" s="3">
        <v>6.1450811232E10</v>
      </c>
      <c r="C225" s="3" t="s">
        <v>5849</v>
      </c>
      <c r="D225" s="3" t="s">
        <v>446</v>
      </c>
      <c r="E225" s="3"/>
      <c r="F225" s="19" t="s">
        <v>2679</v>
      </c>
      <c r="G225" s="3" t="s">
        <v>5213</v>
      </c>
    </row>
    <row r="226">
      <c r="A226" s="3" t="s">
        <v>5850</v>
      </c>
      <c r="B226" s="3">
        <v>6.1472627575E10</v>
      </c>
      <c r="C226" s="3" t="s">
        <v>5851</v>
      </c>
      <c r="D226" s="3">
        <v>2480.0</v>
      </c>
      <c r="E226" s="3" t="s">
        <v>5852</v>
      </c>
      <c r="F226" s="19" t="s">
        <v>2679</v>
      </c>
      <c r="G226" s="3" t="s">
        <v>5213</v>
      </c>
    </row>
    <row r="227">
      <c r="A227" s="3" t="s">
        <v>5853</v>
      </c>
      <c r="B227" s="3">
        <v>6.1409050902E10</v>
      </c>
      <c r="C227" s="3" t="s">
        <v>5854</v>
      </c>
      <c r="D227" s="3" t="s">
        <v>5855</v>
      </c>
      <c r="E227" s="3" t="s">
        <v>5856</v>
      </c>
      <c r="F227" s="19" t="s">
        <v>2770</v>
      </c>
      <c r="G227" s="3" t="s">
        <v>5213</v>
      </c>
    </row>
    <row r="228">
      <c r="A228" s="3" t="s">
        <v>5857</v>
      </c>
      <c r="B228" s="3">
        <v>6.1409251526E10</v>
      </c>
      <c r="C228" s="3" t="s">
        <v>5858</v>
      </c>
      <c r="D228" s="3" t="s">
        <v>5859</v>
      </c>
      <c r="E228" s="3" t="s">
        <v>5860</v>
      </c>
      <c r="F228" s="19" t="s">
        <v>2770</v>
      </c>
      <c r="G228" s="3" t="s">
        <v>5213</v>
      </c>
    </row>
    <row r="229">
      <c r="A229" s="3" t="s">
        <v>5861</v>
      </c>
      <c r="B229" s="3">
        <v>6.141371507E10</v>
      </c>
      <c r="C229" s="3" t="s">
        <v>5862</v>
      </c>
      <c r="D229" s="3" t="s">
        <v>5863</v>
      </c>
      <c r="E229" s="3" t="s">
        <v>5864</v>
      </c>
      <c r="F229" s="19" t="s">
        <v>2770</v>
      </c>
      <c r="G229" s="3" t="s">
        <v>5213</v>
      </c>
    </row>
    <row r="230">
      <c r="A230" s="3" t="s">
        <v>5865</v>
      </c>
      <c r="B230" s="3">
        <v>6.1404669638E10</v>
      </c>
      <c r="C230" s="3" t="s">
        <v>5866</v>
      </c>
      <c r="D230" s="3" t="s">
        <v>1192</v>
      </c>
      <c r="E230" s="3"/>
      <c r="F230" s="19" t="s">
        <v>2770</v>
      </c>
      <c r="G230" s="3" t="s">
        <v>5213</v>
      </c>
    </row>
    <row r="231">
      <c r="A231" s="3" t="s">
        <v>5867</v>
      </c>
      <c r="B231" s="3">
        <v>6.1420315075E10</v>
      </c>
      <c r="C231" s="3" t="s">
        <v>5868</v>
      </c>
      <c r="D231" s="3" t="s">
        <v>5869</v>
      </c>
      <c r="E231" s="3" t="s">
        <v>5870</v>
      </c>
      <c r="F231" s="19" t="s">
        <v>2770</v>
      </c>
      <c r="G231" s="3" t="s">
        <v>5213</v>
      </c>
    </row>
    <row r="232">
      <c r="A232" s="3" t="s">
        <v>5871</v>
      </c>
      <c r="B232" s="3">
        <v>6.1439521414E10</v>
      </c>
      <c r="C232" s="3" t="s">
        <v>5872</v>
      </c>
      <c r="D232" s="3">
        <v>2450.0</v>
      </c>
      <c r="E232" s="3" t="s">
        <v>5873</v>
      </c>
      <c r="F232" s="19" t="s">
        <v>2770</v>
      </c>
      <c r="G232" s="3" t="s">
        <v>5213</v>
      </c>
    </row>
    <row r="233">
      <c r="A233" s="3" t="s">
        <v>5874</v>
      </c>
      <c r="B233" s="3">
        <v>6.1403195285E10</v>
      </c>
      <c r="C233" s="3" t="s">
        <v>5875</v>
      </c>
      <c r="D233" s="3" t="s">
        <v>5876</v>
      </c>
      <c r="E233" s="3" t="s">
        <v>5877</v>
      </c>
      <c r="F233" s="19" t="s">
        <v>2770</v>
      </c>
      <c r="G233" s="3" t="s">
        <v>5213</v>
      </c>
    </row>
    <row r="234">
      <c r="A234" s="3" t="s">
        <v>5878</v>
      </c>
      <c r="B234" s="3">
        <v>6.1416255357E10</v>
      </c>
      <c r="C234" s="3" t="s">
        <v>5879</v>
      </c>
      <c r="D234" s="3">
        <v>3087.0</v>
      </c>
      <c r="E234" s="3" t="s">
        <v>5880</v>
      </c>
      <c r="F234" s="19" t="s">
        <v>2770</v>
      </c>
      <c r="G234" s="3" t="s">
        <v>5213</v>
      </c>
    </row>
    <row r="235">
      <c r="A235" s="3" t="s">
        <v>5881</v>
      </c>
      <c r="B235" s="3">
        <v>6.1405196499E10</v>
      </c>
      <c r="C235" s="3" t="s">
        <v>5882</v>
      </c>
      <c r="D235" s="3" t="s">
        <v>5883</v>
      </c>
      <c r="E235" s="3" t="s">
        <v>5884</v>
      </c>
      <c r="F235" s="19" t="s">
        <v>2770</v>
      </c>
      <c r="G235" s="3" t="s">
        <v>5213</v>
      </c>
    </row>
    <row r="236">
      <c r="A236" s="3" t="s">
        <v>5845</v>
      </c>
      <c r="B236" s="3">
        <v>6.1419488384E10</v>
      </c>
      <c r="C236" s="3" t="s">
        <v>5846</v>
      </c>
      <c r="D236" s="3">
        <v>2111.0</v>
      </c>
      <c r="E236" s="3"/>
      <c r="F236" s="19" t="s">
        <v>2770</v>
      </c>
      <c r="G236" s="3" t="s">
        <v>5115</v>
      </c>
    </row>
    <row r="237">
      <c r="A237" s="3" t="s">
        <v>5885</v>
      </c>
      <c r="B237" s="3">
        <v>6.1478040599E10</v>
      </c>
      <c r="C237" s="3" t="s">
        <v>5886</v>
      </c>
      <c r="D237" s="3">
        <v>3500.0</v>
      </c>
      <c r="E237" s="3" t="s">
        <v>5887</v>
      </c>
      <c r="F237" s="19" t="s">
        <v>2770</v>
      </c>
      <c r="G237" s="3" t="s">
        <v>5213</v>
      </c>
    </row>
    <row r="238">
      <c r="A238" s="3" t="s">
        <v>5888</v>
      </c>
      <c r="B238" s="3">
        <v>6.1429466443E10</v>
      </c>
      <c r="C238" s="3" t="s">
        <v>5889</v>
      </c>
      <c r="D238" s="3">
        <v>2263.0</v>
      </c>
      <c r="E238" s="3" t="s">
        <v>5890</v>
      </c>
      <c r="F238" s="19" t="s">
        <v>2770</v>
      </c>
      <c r="G238" s="3" t="s">
        <v>5213</v>
      </c>
    </row>
    <row r="239">
      <c r="A239" s="3" t="s">
        <v>5891</v>
      </c>
      <c r="B239" s="3">
        <v>6.1419274118E10</v>
      </c>
      <c r="C239" s="3" t="s">
        <v>5892</v>
      </c>
      <c r="D239" s="3" t="s">
        <v>72</v>
      </c>
      <c r="E239" s="3" t="s">
        <v>5893</v>
      </c>
      <c r="F239" s="19" t="s">
        <v>2819</v>
      </c>
      <c r="G239" s="3" t="s">
        <v>5213</v>
      </c>
    </row>
    <row r="240">
      <c r="A240" s="3" t="s">
        <v>5894</v>
      </c>
      <c r="B240" s="3">
        <v>6.1466474944E10</v>
      </c>
      <c r="C240" s="3" t="s">
        <v>5895</v>
      </c>
      <c r="D240" s="3" t="s">
        <v>5896</v>
      </c>
      <c r="E240" s="3" t="s">
        <v>5897</v>
      </c>
      <c r="F240" s="19" t="s">
        <v>2819</v>
      </c>
      <c r="G240" s="3" t="s">
        <v>5213</v>
      </c>
    </row>
    <row r="241">
      <c r="A241" s="3" t="s">
        <v>5898</v>
      </c>
      <c r="B241" s="3">
        <v>6.1448475256E10</v>
      </c>
      <c r="C241" s="3" t="s">
        <v>5899</v>
      </c>
      <c r="D241" s="3" t="s">
        <v>2529</v>
      </c>
      <c r="E241" s="3"/>
      <c r="F241" s="19" t="s">
        <v>2859</v>
      </c>
      <c r="G241" s="3" t="s">
        <v>5213</v>
      </c>
    </row>
    <row r="242">
      <c r="A242" s="3" t="s">
        <v>5900</v>
      </c>
      <c r="B242" s="3">
        <v>6.140080202E10</v>
      </c>
      <c r="C242" s="3" t="s">
        <v>5901</v>
      </c>
      <c r="D242" s="3" t="s">
        <v>5902</v>
      </c>
      <c r="E242" s="3"/>
      <c r="F242" s="19" t="s">
        <v>2859</v>
      </c>
      <c r="G242" s="3" t="s">
        <v>5213</v>
      </c>
    </row>
    <row r="243">
      <c r="A243" s="3" t="s">
        <v>5903</v>
      </c>
      <c r="B243" s="3">
        <v>6.1426797706E10</v>
      </c>
      <c r="C243" s="3" t="s">
        <v>5904</v>
      </c>
      <c r="D243" s="3" t="s">
        <v>5905</v>
      </c>
      <c r="E243" s="3" t="s">
        <v>5906</v>
      </c>
      <c r="F243" s="19" t="s">
        <v>2859</v>
      </c>
      <c r="G243" s="3" t="s">
        <v>5213</v>
      </c>
    </row>
    <row r="244">
      <c r="A244" s="3" t="s">
        <v>5907</v>
      </c>
      <c r="B244" s="3">
        <v>6.1418472299E10</v>
      </c>
      <c r="C244" s="3" t="s">
        <v>5908</v>
      </c>
      <c r="D244" s="3" t="s">
        <v>5909</v>
      </c>
      <c r="E244" s="3"/>
      <c r="F244" s="19" t="s">
        <v>2951</v>
      </c>
      <c r="G244" s="3" t="s">
        <v>5213</v>
      </c>
    </row>
    <row r="245">
      <c r="A245" s="3" t="s">
        <v>5910</v>
      </c>
      <c r="B245" s="3">
        <v>6.1418329011E10</v>
      </c>
      <c r="C245" s="3" t="s">
        <v>5911</v>
      </c>
      <c r="D245" s="3" t="s">
        <v>5912</v>
      </c>
      <c r="E245" s="3"/>
      <c r="F245" s="19" t="s">
        <v>2951</v>
      </c>
      <c r="G245" s="3" t="s">
        <v>5213</v>
      </c>
    </row>
    <row r="246">
      <c r="A246" s="3" t="s">
        <v>5913</v>
      </c>
      <c r="B246" s="3">
        <v>6.1423487607E10</v>
      </c>
      <c r="C246" s="3" t="s">
        <v>5914</v>
      </c>
      <c r="D246" s="3" t="s">
        <v>5915</v>
      </c>
      <c r="E246" s="3" t="s">
        <v>5916</v>
      </c>
      <c r="F246" s="19" t="s">
        <v>2951</v>
      </c>
      <c r="G246" s="3" t="s">
        <v>5213</v>
      </c>
    </row>
    <row r="247">
      <c r="A247" s="3" t="s">
        <v>5917</v>
      </c>
      <c r="B247" s="3">
        <v>6.1427416922E10</v>
      </c>
      <c r="C247" s="3" t="s">
        <v>5918</v>
      </c>
      <c r="D247" s="3" t="s">
        <v>5919</v>
      </c>
      <c r="E247" s="3" t="s">
        <v>5920</v>
      </c>
      <c r="F247" s="19" t="s">
        <v>2951</v>
      </c>
      <c r="G247" s="3" t="s">
        <v>5213</v>
      </c>
    </row>
    <row r="248">
      <c r="A248" s="3" t="s">
        <v>5921</v>
      </c>
      <c r="B248" s="3">
        <v>6.1409563504E10</v>
      </c>
      <c r="C248" s="3" t="s">
        <v>5922</v>
      </c>
      <c r="D248" s="3" t="s">
        <v>5923</v>
      </c>
      <c r="E248" s="3" t="s">
        <v>5924</v>
      </c>
      <c r="F248" s="19" t="s">
        <v>2966</v>
      </c>
      <c r="G248" s="3" t="s">
        <v>5213</v>
      </c>
    </row>
    <row r="249">
      <c r="A249" s="3" t="s">
        <v>5925</v>
      </c>
      <c r="B249" s="3">
        <v>6.1418391977E10</v>
      </c>
      <c r="C249" s="3" t="s">
        <v>5926</v>
      </c>
      <c r="D249" s="3">
        <v>3193.0</v>
      </c>
      <c r="E249" s="3" t="s">
        <v>5927</v>
      </c>
      <c r="F249" s="19" t="s">
        <v>2966</v>
      </c>
      <c r="G249" s="3" t="s">
        <v>5213</v>
      </c>
    </row>
    <row r="250">
      <c r="A250" s="3" t="s">
        <v>5928</v>
      </c>
      <c r="B250" s="3">
        <v>6.1411106293E10</v>
      </c>
      <c r="C250" s="3" t="s">
        <v>5929</v>
      </c>
      <c r="D250" s="3" t="s">
        <v>5930</v>
      </c>
      <c r="E250" s="3" t="s">
        <v>5931</v>
      </c>
      <c r="F250" s="19" t="s">
        <v>2966</v>
      </c>
      <c r="G250" s="3" t="s">
        <v>5213</v>
      </c>
    </row>
    <row r="251">
      <c r="A251" s="3" t="s">
        <v>5932</v>
      </c>
      <c r="B251" s="3">
        <v>6.1432324051E10</v>
      </c>
      <c r="C251" s="3" t="s">
        <v>5933</v>
      </c>
      <c r="D251" s="3" t="s">
        <v>5934</v>
      </c>
      <c r="E251" s="3" t="s">
        <v>5935</v>
      </c>
      <c r="F251" s="19" t="s">
        <v>2966</v>
      </c>
      <c r="G251" s="3" t="s">
        <v>5213</v>
      </c>
    </row>
    <row r="252">
      <c r="A252" s="3" t="s">
        <v>5936</v>
      </c>
      <c r="B252" s="3">
        <v>6.1438170785E10</v>
      </c>
      <c r="C252" s="3" t="s">
        <v>5937</v>
      </c>
      <c r="D252" s="3" t="s">
        <v>5938</v>
      </c>
      <c r="E252" s="3"/>
      <c r="F252" s="19" t="s">
        <v>2966</v>
      </c>
      <c r="G252" s="3" t="s">
        <v>5213</v>
      </c>
    </row>
    <row r="253">
      <c r="A253" s="3" t="s">
        <v>5939</v>
      </c>
      <c r="B253" s="3">
        <v>6.1419816754E10</v>
      </c>
      <c r="C253" s="3" t="s">
        <v>5940</v>
      </c>
      <c r="D253" s="3">
        <v>6215.0</v>
      </c>
      <c r="E253" s="3"/>
      <c r="F253" s="19" t="s">
        <v>2966</v>
      </c>
      <c r="G253" s="3" t="s">
        <v>5115</v>
      </c>
    </row>
    <row r="254">
      <c r="A254" s="3" t="s">
        <v>5941</v>
      </c>
      <c r="B254" s="3">
        <v>6.1436525302E10</v>
      </c>
      <c r="C254" s="3" t="s">
        <v>5942</v>
      </c>
      <c r="D254" s="3" t="s">
        <v>515</v>
      </c>
      <c r="E254" s="3"/>
      <c r="F254" s="19" t="s">
        <v>5943</v>
      </c>
      <c r="G254" s="3" t="s">
        <v>5213</v>
      </c>
    </row>
    <row r="255">
      <c r="A255" s="3" t="s">
        <v>5944</v>
      </c>
      <c r="B255" s="3">
        <v>6.1439498093E10</v>
      </c>
      <c r="C255" s="3" t="s">
        <v>5945</v>
      </c>
      <c r="D255" s="3" t="s">
        <v>1917</v>
      </c>
      <c r="E255" s="3"/>
      <c r="F255" s="19" t="s">
        <v>5943</v>
      </c>
      <c r="G255" s="3" t="s">
        <v>5213</v>
      </c>
    </row>
    <row r="256">
      <c r="A256" s="3" t="s">
        <v>5946</v>
      </c>
      <c r="B256" s="3">
        <v>6.1429596559E10</v>
      </c>
      <c r="C256" s="3" t="s">
        <v>5947</v>
      </c>
      <c r="D256" s="3" t="s">
        <v>5948</v>
      </c>
      <c r="E256" s="3" t="s">
        <v>5949</v>
      </c>
      <c r="F256" s="19" t="s">
        <v>5943</v>
      </c>
      <c r="G256" s="3" t="s">
        <v>5213</v>
      </c>
    </row>
    <row r="257">
      <c r="A257" s="3" t="s">
        <v>5950</v>
      </c>
      <c r="B257" s="3">
        <v>6.1448838012E10</v>
      </c>
      <c r="C257" s="3" t="s">
        <v>5951</v>
      </c>
      <c r="D257" s="3" t="s">
        <v>5666</v>
      </c>
      <c r="E257" s="3" t="s">
        <v>5952</v>
      </c>
      <c r="F257" s="19" t="s">
        <v>5943</v>
      </c>
      <c r="G257" s="3" t="s">
        <v>5213</v>
      </c>
    </row>
    <row r="258">
      <c r="A258" s="3" t="s">
        <v>5953</v>
      </c>
      <c r="B258" s="3">
        <v>6.1459362158E10</v>
      </c>
      <c r="C258" s="3" t="s">
        <v>5954</v>
      </c>
      <c r="D258" s="3" t="s">
        <v>5955</v>
      </c>
      <c r="E258" s="3" t="s">
        <v>5956</v>
      </c>
      <c r="F258" s="19" t="s">
        <v>5943</v>
      </c>
      <c r="G258" s="3" t="s">
        <v>5213</v>
      </c>
    </row>
    <row r="259">
      <c r="A259" s="3" t="s">
        <v>5957</v>
      </c>
      <c r="B259" s="3">
        <v>6.1427553892E10</v>
      </c>
      <c r="C259" s="3" t="s">
        <v>5958</v>
      </c>
      <c r="D259" s="3" t="s">
        <v>5959</v>
      </c>
      <c r="E259" s="3" t="s">
        <v>5960</v>
      </c>
      <c r="F259" s="19" t="s">
        <v>5943</v>
      </c>
      <c r="G259" s="3" t="s">
        <v>5213</v>
      </c>
    </row>
    <row r="260">
      <c r="A260" s="3" t="s">
        <v>5961</v>
      </c>
      <c r="B260" s="3">
        <v>6.1427286486E10</v>
      </c>
      <c r="C260" s="3" t="s">
        <v>5962</v>
      </c>
      <c r="D260" s="3">
        <v>7000.0</v>
      </c>
      <c r="E260" s="3" t="s">
        <v>5963</v>
      </c>
      <c r="F260" s="19" t="s">
        <v>5943</v>
      </c>
      <c r="G260" s="3" t="s">
        <v>5213</v>
      </c>
    </row>
    <row r="261">
      <c r="A261" s="3" t="s">
        <v>5964</v>
      </c>
      <c r="B261" s="3">
        <v>6.143251494E10</v>
      </c>
      <c r="C261" s="3" t="s">
        <v>5965</v>
      </c>
      <c r="D261" s="3" t="s">
        <v>5966</v>
      </c>
      <c r="E261" s="3"/>
      <c r="F261" s="19" t="s">
        <v>5967</v>
      </c>
      <c r="G261" s="3" t="s">
        <v>5213</v>
      </c>
    </row>
    <row r="262">
      <c r="A262" s="3" t="s">
        <v>5968</v>
      </c>
      <c r="B262" s="3">
        <v>6.1411513071E10</v>
      </c>
      <c r="C262" s="3" t="s">
        <v>5969</v>
      </c>
      <c r="D262" s="3" t="s">
        <v>5970</v>
      </c>
      <c r="E262" s="3"/>
      <c r="F262" s="19" t="s">
        <v>5967</v>
      </c>
      <c r="G262" s="3" t="s">
        <v>5213</v>
      </c>
    </row>
    <row r="263">
      <c r="A263" s="3" t="s">
        <v>5971</v>
      </c>
      <c r="B263" s="3">
        <v>6.1411103977E10</v>
      </c>
      <c r="C263" s="3" t="s">
        <v>5972</v>
      </c>
      <c r="D263" s="3">
        <v>4568.0</v>
      </c>
      <c r="E263" s="3" t="s">
        <v>3067</v>
      </c>
      <c r="F263" s="19" t="s">
        <v>5967</v>
      </c>
      <c r="G263" s="3" t="s">
        <v>5115</v>
      </c>
    </row>
    <row r="264">
      <c r="A264" s="3" t="s">
        <v>5973</v>
      </c>
      <c r="B264" s="3">
        <v>6.1428727394E10</v>
      </c>
      <c r="C264" s="3" t="s">
        <v>5974</v>
      </c>
      <c r="D264" s="3">
        <v>4618.0</v>
      </c>
      <c r="E264" s="3"/>
      <c r="F264" s="19" t="s">
        <v>5967</v>
      </c>
      <c r="G264" s="3" t="s">
        <v>5213</v>
      </c>
    </row>
    <row r="265">
      <c r="A265" s="3" t="s">
        <v>5975</v>
      </c>
      <c r="B265" s="3">
        <v>6.14490345E10</v>
      </c>
      <c r="C265" s="3" t="s">
        <v>5976</v>
      </c>
      <c r="D265" s="3" t="s">
        <v>5977</v>
      </c>
      <c r="E265" s="3"/>
      <c r="F265" s="19" t="s">
        <v>5967</v>
      </c>
      <c r="G265" s="3" t="s">
        <v>5213</v>
      </c>
    </row>
    <row r="266">
      <c r="A266" s="3" t="s">
        <v>5978</v>
      </c>
      <c r="B266" s="3">
        <v>6.1427912411E10</v>
      </c>
      <c r="C266" s="3" t="s">
        <v>5979</v>
      </c>
      <c r="D266" s="3">
        <v>4570.0</v>
      </c>
      <c r="E266" s="3" t="s">
        <v>5980</v>
      </c>
      <c r="F266" s="19" t="s">
        <v>5967</v>
      </c>
      <c r="G266" s="3" t="s">
        <v>5115</v>
      </c>
    </row>
    <row r="267">
      <c r="A267" s="3" t="s">
        <v>5981</v>
      </c>
      <c r="B267" s="3">
        <v>6.1423465595E10</v>
      </c>
      <c r="C267" s="3" t="s">
        <v>5982</v>
      </c>
      <c r="D267" s="3" t="s">
        <v>5983</v>
      </c>
      <c r="E267" s="3" t="s">
        <v>5984</v>
      </c>
      <c r="F267" s="19" t="s">
        <v>5967</v>
      </c>
      <c r="G267" s="3" t="s">
        <v>5213</v>
      </c>
    </row>
    <row r="268">
      <c r="A268" s="3" t="s">
        <v>5985</v>
      </c>
      <c r="B268" s="3">
        <v>6.1414970104E10</v>
      </c>
      <c r="C268" s="3" t="s">
        <v>5986</v>
      </c>
      <c r="D268" s="3" t="s">
        <v>5987</v>
      </c>
      <c r="E268" s="3" t="s">
        <v>5988</v>
      </c>
      <c r="F268" s="19" t="s">
        <v>5967</v>
      </c>
      <c r="G268" s="3" t="s">
        <v>5213</v>
      </c>
    </row>
    <row r="269">
      <c r="A269" s="3" t="s">
        <v>5989</v>
      </c>
      <c r="B269" s="3">
        <v>6.1438399646E10</v>
      </c>
      <c r="C269" s="3" t="s">
        <v>5990</v>
      </c>
      <c r="D269" s="3" t="s">
        <v>5991</v>
      </c>
      <c r="E269" s="3"/>
      <c r="F269" s="19" t="s">
        <v>5967</v>
      </c>
      <c r="G269" s="3" t="s">
        <v>5213</v>
      </c>
    </row>
    <row r="270">
      <c r="A270" s="3" t="s">
        <v>5992</v>
      </c>
      <c r="B270" s="3">
        <v>6.141374336E10</v>
      </c>
      <c r="C270" s="3" t="s">
        <v>5993</v>
      </c>
      <c r="D270" s="3" t="s">
        <v>5994</v>
      </c>
      <c r="E270" s="3" t="s">
        <v>5995</v>
      </c>
      <c r="F270" s="19" t="s">
        <v>5967</v>
      </c>
      <c r="G270" s="3" t="s">
        <v>5213</v>
      </c>
    </row>
    <row r="271">
      <c r="A271" s="3" t="s">
        <v>5996</v>
      </c>
      <c r="B271" s="3">
        <v>6.1419684135E10</v>
      </c>
      <c r="C271" s="3" t="s">
        <v>5997</v>
      </c>
      <c r="D271" s="3" t="s">
        <v>5998</v>
      </c>
      <c r="E271" s="3"/>
      <c r="F271" s="19" t="s">
        <v>5999</v>
      </c>
      <c r="G271" s="3" t="s">
        <v>5213</v>
      </c>
    </row>
    <row r="272">
      <c r="A272" s="3" t="s">
        <v>6000</v>
      </c>
      <c r="B272" s="3">
        <v>6.1438158959E10</v>
      </c>
      <c r="C272" s="3" t="s">
        <v>6001</v>
      </c>
      <c r="D272" s="3">
        <v>2047.0</v>
      </c>
      <c r="E272" s="3"/>
      <c r="F272" s="19" t="s">
        <v>5999</v>
      </c>
      <c r="G272" s="3" t="s">
        <v>5115</v>
      </c>
    </row>
    <row r="273">
      <c r="A273" s="3" t="s">
        <v>6002</v>
      </c>
      <c r="B273" s="3">
        <v>6.1433672241E10</v>
      </c>
      <c r="C273" s="3" t="s">
        <v>6003</v>
      </c>
      <c r="D273" s="3" t="s">
        <v>6004</v>
      </c>
      <c r="E273" s="3" t="s">
        <v>6005</v>
      </c>
      <c r="F273" s="19" t="s">
        <v>5999</v>
      </c>
      <c r="G273" s="3" t="s">
        <v>5213</v>
      </c>
    </row>
    <row r="274">
      <c r="A274" s="3" t="s">
        <v>6006</v>
      </c>
      <c r="B274" s="3">
        <v>6.1412909632E10</v>
      </c>
      <c r="C274" s="3" t="s">
        <v>6007</v>
      </c>
      <c r="D274" s="3" t="s">
        <v>6008</v>
      </c>
      <c r="E274" s="3" t="s">
        <v>6009</v>
      </c>
      <c r="F274" s="19" t="s">
        <v>6010</v>
      </c>
      <c r="G274" s="3" t="s">
        <v>5213</v>
      </c>
    </row>
    <row r="275">
      <c r="A275" s="3" t="s">
        <v>6011</v>
      </c>
      <c r="B275" s="3">
        <v>6.1414183679E10</v>
      </c>
      <c r="C275" s="3" t="s">
        <v>6012</v>
      </c>
      <c r="D275" s="3" t="s">
        <v>6013</v>
      </c>
      <c r="E275" s="3" t="s">
        <v>6014</v>
      </c>
      <c r="F275" s="19" t="s">
        <v>6010</v>
      </c>
      <c r="G275" s="3" t="s">
        <v>5213</v>
      </c>
    </row>
    <row r="276">
      <c r="A276" s="3" t="s">
        <v>6015</v>
      </c>
      <c r="B276" s="3">
        <v>6.1428882745E10</v>
      </c>
      <c r="C276" s="3" t="s">
        <v>6016</v>
      </c>
      <c r="D276" s="3" t="s">
        <v>6017</v>
      </c>
      <c r="E276" s="3" t="s">
        <v>6018</v>
      </c>
      <c r="F276" s="19" t="s">
        <v>6010</v>
      </c>
      <c r="G276" s="3" t="s">
        <v>5213</v>
      </c>
    </row>
    <row r="277">
      <c r="A277" s="3" t="s">
        <v>6019</v>
      </c>
      <c r="B277" s="3">
        <v>6.1434575803E10</v>
      </c>
      <c r="C277" s="3" t="s">
        <v>6020</v>
      </c>
      <c r="D277" s="3" t="s">
        <v>6021</v>
      </c>
      <c r="E277" s="3" t="s">
        <v>6022</v>
      </c>
      <c r="F277" s="19" t="s">
        <v>6010</v>
      </c>
      <c r="G277" s="3" t="s">
        <v>5213</v>
      </c>
    </row>
    <row r="278">
      <c r="A278" s="3" t="s">
        <v>6023</v>
      </c>
      <c r="B278" s="3">
        <v>6.1447230174E10</v>
      </c>
      <c r="C278" s="3" t="s">
        <v>6024</v>
      </c>
      <c r="D278" s="3" t="s">
        <v>6025</v>
      </c>
      <c r="E278" s="3" t="s">
        <v>6026</v>
      </c>
      <c r="F278" s="19" t="s">
        <v>6010</v>
      </c>
      <c r="G278" s="3" t="s">
        <v>5213</v>
      </c>
    </row>
    <row r="279">
      <c r="A279" s="3" t="s">
        <v>6027</v>
      </c>
      <c r="B279" s="3">
        <v>6.143450629E10</v>
      </c>
      <c r="C279" s="3" t="s">
        <v>6028</v>
      </c>
      <c r="D279" s="3" t="s">
        <v>6029</v>
      </c>
      <c r="E279" s="3" t="s">
        <v>6030</v>
      </c>
      <c r="F279" s="19" t="s">
        <v>6010</v>
      </c>
      <c r="G279" s="3" t="s">
        <v>5213</v>
      </c>
    </row>
    <row r="280">
      <c r="A280" s="3" t="s">
        <v>6031</v>
      </c>
      <c r="B280" s="3">
        <v>6.1490272795E10</v>
      </c>
      <c r="C280" s="3" t="s">
        <v>6032</v>
      </c>
      <c r="D280" s="3" t="s">
        <v>6033</v>
      </c>
      <c r="E280" s="3" t="s">
        <v>6034</v>
      </c>
      <c r="F280" s="19" t="s">
        <v>6010</v>
      </c>
      <c r="G280" s="3" t="s">
        <v>5213</v>
      </c>
    </row>
    <row r="281">
      <c r="A281" s="3" t="s">
        <v>6035</v>
      </c>
      <c r="B281" s="3">
        <v>6.1407936673E10</v>
      </c>
      <c r="C281" s="3" t="s">
        <v>6036</v>
      </c>
      <c r="D281" s="3" t="s">
        <v>6037</v>
      </c>
      <c r="E281" s="3" t="s">
        <v>6038</v>
      </c>
      <c r="F281" s="19" t="s">
        <v>6039</v>
      </c>
      <c r="G281" s="3" t="s">
        <v>5213</v>
      </c>
    </row>
    <row r="282">
      <c r="A282" s="3" t="s">
        <v>6040</v>
      </c>
      <c r="B282" s="3">
        <v>6.1439709954E10</v>
      </c>
      <c r="C282" s="3" t="s">
        <v>6041</v>
      </c>
      <c r="D282" s="3">
        <v>7250.0</v>
      </c>
      <c r="E282" s="3" t="s">
        <v>6042</v>
      </c>
      <c r="F282" s="19" t="s">
        <v>6039</v>
      </c>
      <c r="G282" s="3" t="s">
        <v>5213</v>
      </c>
    </row>
    <row r="283">
      <c r="A283" s="3" t="s">
        <v>6043</v>
      </c>
      <c r="B283" s="3">
        <v>6.1468751019E10</v>
      </c>
      <c r="C283" s="3" t="s">
        <v>6044</v>
      </c>
      <c r="D283" s="3" t="s">
        <v>6045</v>
      </c>
      <c r="E283" s="3" t="s">
        <v>6046</v>
      </c>
      <c r="F283" s="19" t="s">
        <v>6039</v>
      </c>
      <c r="G283" s="3" t="s">
        <v>5213</v>
      </c>
    </row>
    <row r="284">
      <c r="A284" s="3" t="s">
        <v>6047</v>
      </c>
      <c r="B284" s="3">
        <v>6.1405126652E10</v>
      </c>
      <c r="C284" s="3" t="s">
        <v>6048</v>
      </c>
      <c r="D284" s="3">
        <v>6157.0</v>
      </c>
      <c r="E284" s="3" t="s">
        <v>6049</v>
      </c>
      <c r="F284" s="19" t="s">
        <v>6050</v>
      </c>
      <c r="G284" s="3" t="s">
        <v>5213</v>
      </c>
    </row>
    <row r="285">
      <c r="A285" s="3" t="s">
        <v>6051</v>
      </c>
      <c r="B285" s="3">
        <v>6.1409472643E10</v>
      </c>
      <c r="C285" s="3" t="s">
        <v>6052</v>
      </c>
      <c r="D285" s="3" t="s">
        <v>6053</v>
      </c>
      <c r="E285" s="3" t="s">
        <v>6054</v>
      </c>
      <c r="F285" s="19" t="s">
        <v>6050</v>
      </c>
      <c r="G285" s="3" t="s">
        <v>5213</v>
      </c>
    </row>
    <row r="286">
      <c r="A286" s="3" t="s">
        <v>6055</v>
      </c>
      <c r="B286" s="3" t="s">
        <v>5725</v>
      </c>
      <c r="C286" s="3" t="s">
        <v>5725</v>
      </c>
      <c r="D286" s="3" t="s">
        <v>6056</v>
      </c>
      <c r="E286" s="3" t="s">
        <v>6057</v>
      </c>
      <c r="F286" s="19" t="s">
        <v>3638</v>
      </c>
      <c r="G286" s="3" t="s">
        <v>5213</v>
      </c>
    </row>
    <row r="287">
      <c r="A287" s="3" t="s">
        <v>6058</v>
      </c>
      <c r="B287" s="3">
        <v>6.1438342358E10</v>
      </c>
      <c r="C287" s="3" t="s">
        <v>6059</v>
      </c>
      <c r="D287" s="3" t="s">
        <v>6060</v>
      </c>
      <c r="E287" s="3" t="s">
        <v>6061</v>
      </c>
      <c r="F287" s="19" t="s">
        <v>3638</v>
      </c>
      <c r="G287" s="3" t="s">
        <v>5213</v>
      </c>
    </row>
    <row r="288">
      <c r="A288" s="3" t="s">
        <v>6062</v>
      </c>
      <c r="B288" s="3">
        <v>6.1402313009E10</v>
      </c>
      <c r="C288" s="3" t="s">
        <v>6063</v>
      </c>
      <c r="D288" s="3" t="s">
        <v>6064</v>
      </c>
      <c r="E288" s="3" t="s">
        <v>6065</v>
      </c>
      <c r="F288" s="19" t="s">
        <v>3638</v>
      </c>
      <c r="G288" s="3" t="s">
        <v>5213</v>
      </c>
    </row>
    <row r="289">
      <c r="A289" s="3" t="s">
        <v>6066</v>
      </c>
      <c r="B289" s="3">
        <v>6.1409331333E10</v>
      </c>
      <c r="C289" s="3" t="s">
        <v>6067</v>
      </c>
      <c r="D289" s="3">
        <v>3612.0</v>
      </c>
      <c r="E289" s="3" t="s">
        <v>6068</v>
      </c>
      <c r="F289" s="19" t="s">
        <v>3638</v>
      </c>
      <c r="G289" s="3" t="s">
        <v>5213</v>
      </c>
    </row>
    <row r="290">
      <c r="A290" s="3" t="s">
        <v>6069</v>
      </c>
      <c r="B290" s="3">
        <v>6.1438183854E10</v>
      </c>
      <c r="C290" s="3" t="s">
        <v>6070</v>
      </c>
      <c r="D290" s="3" t="s">
        <v>6071</v>
      </c>
      <c r="E290" s="3" t="s">
        <v>6072</v>
      </c>
      <c r="F290" s="19" t="s">
        <v>3638</v>
      </c>
      <c r="G290" s="3" t="s">
        <v>5213</v>
      </c>
    </row>
    <row r="291">
      <c r="A291" s="3" t="s">
        <v>6073</v>
      </c>
      <c r="B291" s="3">
        <v>6.1407612304E10</v>
      </c>
      <c r="C291" s="3" t="s">
        <v>6074</v>
      </c>
      <c r="D291" s="3">
        <v>2480.0</v>
      </c>
      <c r="E291" s="3" t="s">
        <v>6075</v>
      </c>
      <c r="F291" s="19" t="s">
        <v>3638</v>
      </c>
      <c r="G291" s="3" t="s">
        <v>5213</v>
      </c>
    </row>
    <row r="292">
      <c r="A292" s="3" t="s">
        <v>6076</v>
      </c>
      <c r="B292" s="3">
        <v>6.1415539438E10</v>
      </c>
      <c r="C292" s="3" t="s">
        <v>6077</v>
      </c>
      <c r="D292" s="3" t="s">
        <v>6078</v>
      </c>
      <c r="E292" s="3"/>
      <c r="F292" s="19" t="s">
        <v>3638</v>
      </c>
      <c r="G292" s="3" t="s">
        <v>5213</v>
      </c>
    </row>
    <row r="293">
      <c r="A293" s="3" t="s">
        <v>6079</v>
      </c>
      <c r="B293" s="3">
        <v>6.1437775833E10</v>
      </c>
      <c r="C293" s="3" t="s">
        <v>6080</v>
      </c>
      <c r="D293" s="3" t="s">
        <v>6081</v>
      </c>
      <c r="E293" s="3" t="s">
        <v>6082</v>
      </c>
      <c r="F293" s="19" t="s">
        <v>3638</v>
      </c>
      <c r="G293" s="3" t="s">
        <v>5213</v>
      </c>
    </row>
    <row r="294">
      <c r="A294" s="3" t="s">
        <v>6083</v>
      </c>
      <c r="B294" s="3">
        <v>6.1423409693E10</v>
      </c>
      <c r="C294" s="3" t="s">
        <v>6084</v>
      </c>
      <c r="D294" s="3" t="s">
        <v>6085</v>
      </c>
      <c r="E294" s="3" t="s">
        <v>6086</v>
      </c>
      <c r="F294" s="19" t="s">
        <v>3638</v>
      </c>
      <c r="G294" s="3" t="s">
        <v>5213</v>
      </c>
    </row>
    <row r="295">
      <c r="A295" s="3" t="s">
        <v>6087</v>
      </c>
      <c r="B295" s="3">
        <v>6.1419293646E10</v>
      </c>
      <c r="C295" s="3" t="s">
        <v>6088</v>
      </c>
      <c r="D295" s="3" t="s">
        <v>6089</v>
      </c>
      <c r="E295" s="3" t="s">
        <v>6090</v>
      </c>
      <c r="F295" s="19" t="s">
        <v>3638</v>
      </c>
      <c r="G295" s="3" t="s">
        <v>5213</v>
      </c>
    </row>
    <row r="296">
      <c r="A296" s="3" t="s">
        <v>6091</v>
      </c>
      <c r="B296" s="3">
        <v>6.1468301033E10</v>
      </c>
      <c r="C296" s="3" t="s">
        <v>6092</v>
      </c>
      <c r="D296" s="3" t="s">
        <v>5346</v>
      </c>
      <c r="E296" s="3" t="s">
        <v>6093</v>
      </c>
      <c r="F296" s="19" t="s">
        <v>3638</v>
      </c>
      <c r="G296" s="3" t="s">
        <v>5213</v>
      </c>
    </row>
    <row r="297">
      <c r="A297" s="3" t="s">
        <v>6094</v>
      </c>
      <c r="B297" s="3">
        <v>6.1410830898E10</v>
      </c>
      <c r="C297" s="3" t="s">
        <v>6095</v>
      </c>
      <c r="D297" s="3">
        <v>2111.0</v>
      </c>
      <c r="E297" s="3" t="s">
        <v>6096</v>
      </c>
      <c r="F297" s="19" t="s">
        <v>3638</v>
      </c>
      <c r="G297" s="3" t="s">
        <v>5213</v>
      </c>
    </row>
    <row r="298">
      <c r="A298" s="3" t="s">
        <v>6097</v>
      </c>
      <c r="B298" s="3">
        <v>6.1423078555E10</v>
      </c>
      <c r="C298" s="3" t="s">
        <v>6098</v>
      </c>
      <c r="D298" s="3" t="s">
        <v>6099</v>
      </c>
      <c r="E298" s="3" t="s">
        <v>6100</v>
      </c>
      <c r="F298" s="19" t="s">
        <v>3638</v>
      </c>
      <c r="G298" s="3" t="s">
        <v>5213</v>
      </c>
    </row>
    <row r="299">
      <c r="A299" s="3" t="s">
        <v>6101</v>
      </c>
      <c r="B299" s="3">
        <v>6.140486749E10</v>
      </c>
      <c r="C299" s="3" t="s">
        <v>6102</v>
      </c>
      <c r="D299" s="3" t="s">
        <v>6103</v>
      </c>
      <c r="E299" s="3" t="s">
        <v>6104</v>
      </c>
      <c r="F299" s="19" t="s">
        <v>3638</v>
      </c>
      <c r="G299" s="3" t="s">
        <v>5213</v>
      </c>
    </row>
    <row r="300">
      <c r="A300" s="3" t="s">
        <v>6105</v>
      </c>
      <c r="B300" s="3">
        <v>6.1438223287E10</v>
      </c>
      <c r="C300" s="3" t="s">
        <v>6106</v>
      </c>
      <c r="D300" s="3">
        <v>3144.0</v>
      </c>
      <c r="E300" s="3"/>
      <c r="F300" s="19" t="s">
        <v>3638</v>
      </c>
      <c r="G300" s="3" t="s">
        <v>5213</v>
      </c>
    </row>
    <row r="301">
      <c r="A301" s="3" t="s">
        <v>6107</v>
      </c>
      <c r="B301" s="3">
        <v>6.1428921499E10</v>
      </c>
      <c r="C301" s="3" t="s">
        <v>6108</v>
      </c>
      <c r="D301" s="3" t="s">
        <v>2653</v>
      </c>
      <c r="E301" s="3" t="s">
        <v>6109</v>
      </c>
      <c r="F301" s="19" t="s">
        <v>3700</v>
      </c>
      <c r="G301" s="3" t="s">
        <v>5213</v>
      </c>
    </row>
    <row r="302">
      <c r="A302" s="3" t="s">
        <v>6110</v>
      </c>
      <c r="B302" s="3">
        <v>6.1421034528E10</v>
      </c>
      <c r="C302" s="3" t="s">
        <v>6111</v>
      </c>
      <c r="D302" s="3" t="s">
        <v>6112</v>
      </c>
      <c r="E302" s="3"/>
      <c r="F302" s="19" t="s">
        <v>3700</v>
      </c>
      <c r="G302" s="3" t="s">
        <v>5213</v>
      </c>
    </row>
    <row r="303">
      <c r="A303" s="3" t="s">
        <v>6113</v>
      </c>
      <c r="B303" s="3">
        <v>6.141144253E10</v>
      </c>
      <c r="C303" s="3" t="s">
        <v>6114</v>
      </c>
      <c r="D303" s="3" t="s">
        <v>6115</v>
      </c>
      <c r="E303" s="3" t="s">
        <v>6116</v>
      </c>
      <c r="F303" s="19" t="s">
        <v>3700</v>
      </c>
      <c r="G303" s="3" t="s">
        <v>5213</v>
      </c>
    </row>
    <row r="304">
      <c r="A304" s="3" t="s">
        <v>6117</v>
      </c>
      <c r="B304" s="3">
        <v>6.1412414706E10</v>
      </c>
      <c r="C304" s="3" t="s">
        <v>6118</v>
      </c>
      <c r="D304" s="3" t="s">
        <v>6119</v>
      </c>
      <c r="E304" s="3" t="s">
        <v>6120</v>
      </c>
      <c r="F304" s="19" t="s">
        <v>3700</v>
      </c>
      <c r="G304" s="3" t="s">
        <v>5213</v>
      </c>
    </row>
    <row r="305">
      <c r="A305" s="3" t="s">
        <v>6121</v>
      </c>
      <c r="B305" s="3">
        <v>6.1438895961E10</v>
      </c>
      <c r="C305" s="3" t="s">
        <v>6122</v>
      </c>
      <c r="D305" s="3" t="s">
        <v>6123</v>
      </c>
      <c r="E305" s="3"/>
      <c r="F305" s="19" t="s">
        <v>3700</v>
      </c>
      <c r="G305" s="3" t="s">
        <v>5213</v>
      </c>
    </row>
    <row r="306">
      <c r="A306" s="3" t="s">
        <v>6124</v>
      </c>
      <c r="B306" s="3">
        <v>6.1428676003E10</v>
      </c>
      <c r="C306" s="3" t="s">
        <v>6125</v>
      </c>
      <c r="D306" s="3" t="s">
        <v>1172</v>
      </c>
      <c r="E306" s="3"/>
      <c r="F306" s="19" t="s">
        <v>3700</v>
      </c>
      <c r="G306" s="3" t="s">
        <v>5213</v>
      </c>
    </row>
    <row r="307">
      <c r="A307" s="3" t="s">
        <v>6126</v>
      </c>
      <c r="B307" s="3">
        <v>6.1403222226E10</v>
      </c>
      <c r="C307" s="3" t="s">
        <v>6127</v>
      </c>
      <c r="D307" s="3" t="s">
        <v>6128</v>
      </c>
      <c r="E307" s="3" t="s">
        <v>6129</v>
      </c>
      <c r="F307" s="19" t="s">
        <v>3835</v>
      </c>
      <c r="G307" s="3" t="s">
        <v>5213</v>
      </c>
    </row>
    <row r="308">
      <c r="A308" s="3" t="s">
        <v>6130</v>
      </c>
      <c r="B308" s="3">
        <v>6.1400784507E10</v>
      </c>
      <c r="C308" s="3" t="s">
        <v>6131</v>
      </c>
      <c r="D308" s="3" t="s">
        <v>6132</v>
      </c>
      <c r="E308" s="3"/>
      <c r="F308" s="19" t="s">
        <v>3835</v>
      </c>
      <c r="G308" s="3" t="s">
        <v>5213</v>
      </c>
    </row>
    <row r="309">
      <c r="A309" s="3" t="s">
        <v>6133</v>
      </c>
      <c r="B309" s="3">
        <v>6.1400423924E10</v>
      </c>
      <c r="C309" s="3" t="s">
        <v>6134</v>
      </c>
      <c r="D309" s="3" t="s">
        <v>6135</v>
      </c>
      <c r="E309" s="3"/>
      <c r="F309" s="19" t="s">
        <v>3958</v>
      </c>
      <c r="G309" s="3" t="s">
        <v>5213</v>
      </c>
    </row>
    <row r="310">
      <c r="A310" s="3" t="s">
        <v>6136</v>
      </c>
      <c r="B310" s="3">
        <v>6.1418924586E10</v>
      </c>
      <c r="C310" s="3" t="s">
        <v>6137</v>
      </c>
      <c r="D310" s="3" t="s">
        <v>6138</v>
      </c>
      <c r="E310" s="3" t="s">
        <v>6139</v>
      </c>
      <c r="F310" s="19" t="s">
        <v>3958</v>
      </c>
      <c r="G310" s="3" t="s">
        <v>5213</v>
      </c>
    </row>
    <row r="311">
      <c r="A311" s="3" t="s">
        <v>6140</v>
      </c>
      <c r="B311" s="3">
        <v>6.1478570757E10</v>
      </c>
      <c r="C311" s="3" t="s">
        <v>6141</v>
      </c>
      <c r="D311" s="3" t="s">
        <v>6142</v>
      </c>
      <c r="E311" s="3" t="s">
        <v>6143</v>
      </c>
      <c r="F311" s="19" t="s">
        <v>3958</v>
      </c>
      <c r="G311" s="3" t="s">
        <v>5213</v>
      </c>
    </row>
    <row r="312">
      <c r="A312" s="3" t="s">
        <v>6144</v>
      </c>
      <c r="B312" s="3">
        <v>6.1409924724E10</v>
      </c>
      <c r="C312" s="3" t="s">
        <v>6145</v>
      </c>
      <c r="D312" s="3" t="s">
        <v>6146</v>
      </c>
      <c r="E312" s="3" t="s">
        <v>6147</v>
      </c>
      <c r="F312" s="19" t="s">
        <v>3958</v>
      </c>
      <c r="G312" s="3" t="s">
        <v>5213</v>
      </c>
    </row>
    <row r="313">
      <c r="A313" s="3" t="s">
        <v>6148</v>
      </c>
      <c r="B313" s="3">
        <v>6.1431633686E10</v>
      </c>
      <c r="C313" s="3" t="s">
        <v>6149</v>
      </c>
      <c r="D313" s="3" t="s">
        <v>6150</v>
      </c>
      <c r="E313" s="3" t="s">
        <v>6151</v>
      </c>
      <c r="F313" s="19" t="s">
        <v>3958</v>
      </c>
      <c r="G313" s="3" t="s">
        <v>5213</v>
      </c>
    </row>
    <row r="314">
      <c r="A314" s="3" t="s">
        <v>6152</v>
      </c>
      <c r="B314" s="3">
        <v>6.1402811269E10</v>
      </c>
      <c r="C314" s="3" t="s">
        <v>6153</v>
      </c>
      <c r="D314" s="3" t="s">
        <v>6154</v>
      </c>
      <c r="E314" s="3"/>
      <c r="F314" s="19" t="s">
        <v>3958</v>
      </c>
      <c r="G314" s="3" t="s">
        <v>5213</v>
      </c>
    </row>
    <row r="315">
      <c r="A315" s="3" t="s">
        <v>6155</v>
      </c>
      <c r="B315" s="3">
        <v>6.1413666911E10</v>
      </c>
      <c r="C315" s="3" t="s">
        <v>6156</v>
      </c>
      <c r="D315" s="3" t="s">
        <v>6157</v>
      </c>
      <c r="E315" s="3" t="s">
        <v>6158</v>
      </c>
      <c r="F315" s="19" t="s">
        <v>3958</v>
      </c>
      <c r="G315" s="3" t="s">
        <v>5213</v>
      </c>
    </row>
    <row r="316">
      <c r="A316" s="3" t="s">
        <v>4886</v>
      </c>
      <c r="B316" s="3">
        <v>6.1419843543E10</v>
      </c>
      <c r="C316" s="3" t="s">
        <v>6159</v>
      </c>
      <c r="D316" s="3" t="s">
        <v>6160</v>
      </c>
      <c r="E316" s="3" t="s">
        <v>6161</v>
      </c>
      <c r="F316" s="19" t="s">
        <v>3958</v>
      </c>
      <c r="G316" s="3" t="s">
        <v>5213</v>
      </c>
    </row>
    <row r="317">
      <c r="A317" s="3" t="s">
        <v>6162</v>
      </c>
      <c r="B317" s="3">
        <v>6.143367022E10</v>
      </c>
      <c r="C317" s="3" t="s">
        <v>6163</v>
      </c>
      <c r="D317" s="3" t="s">
        <v>6164</v>
      </c>
      <c r="E317" s="3" t="s">
        <v>6165</v>
      </c>
      <c r="F317" s="19" t="s">
        <v>3958</v>
      </c>
      <c r="G317" s="3" t="s">
        <v>5213</v>
      </c>
    </row>
    <row r="318">
      <c r="A318" s="3" t="s">
        <v>6166</v>
      </c>
      <c r="B318" s="3">
        <v>6.1438028305E10</v>
      </c>
      <c r="C318" s="3" t="s">
        <v>6167</v>
      </c>
      <c r="D318" s="3" t="s">
        <v>6168</v>
      </c>
      <c r="E318" s="3" t="s">
        <v>6169</v>
      </c>
      <c r="F318" s="19" t="s">
        <v>3958</v>
      </c>
      <c r="G318" s="3" t="s">
        <v>5213</v>
      </c>
    </row>
    <row r="319">
      <c r="A319" s="3" t="s">
        <v>6170</v>
      </c>
      <c r="B319" s="3">
        <v>6.1428112924E10</v>
      </c>
      <c r="C319" s="3" t="s">
        <v>6171</v>
      </c>
      <c r="D319" s="3" t="s">
        <v>6172</v>
      </c>
      <c r="E319" s="3"/>
      <c r="F319" s="19" t="s">
        <v>3958</v>
      </c>
      <c r="G319" s="3" t="s">
        <v>5213</v>
      </c>
    </row>
    <row r="320">
      <c r="A320" s="3" t="s">
        <v>6173</v>
      </c>
      <c r="B320" s="3">
        <v>6.1419746633E10</v>
      </c>
      <c r="C320" s="3" t="s">
        <v>6174</v>
      </c>
      <c r="D320" s="3" t="s">
        <v>6175</v>
      </c>
      <c r="E320" s="3"/>
      <c r="F320" s="19" t="s">
        <v>3958</v>
      </c>
      <c r="G320" s="3" t="s">
        <v>5213</v>
      </c>
    </row>
    <row r="321">
      <c r="A321" s="3" t="s">
        <v>5735</v>
      </c>
      <c r="B321" s="3">
        <v>6.1488117747E10</v>
      </c>
      <c r="C321" s="3" t="s">
        <v>5736</v>
      </c>
      <c r="D321" s="3" t="s">
        <v>5737</v>
      </c>
      <c r="E321" s="3" t="s">
        <v>5738</v>
      </c>
      <c r="F321" s="19" t="s">
        <v>4079</v>
      </c>
      <c r="G321" s="3" t="s">
        <v>5213</v>
      </c>
    </row>
    <row r="322">
      <c r="A322" s="3" t="s">
        <v>6176</v>
      </c>
      <c r="B322" s="3">
        <v>6.1407870762E10</v>
      </c>
      <c r="C322" s="3" t="s">
        <v>6177</v>
      </c>
      <c r="D322" s="3" t="s">
        <v>6178</v>
      </c>
      <c r="E322" s="3" t="s">
        <v>6179</v>
      </c>
      <c r="F322" s="19" t="s">
        <v>4079</v>
      </c>
      <c r="G322" s="3" t="s">
        <v>5213</v>
      </c>
    </row>
    <row r="323">
      <c r="A323" s="3" t="s">
        <v>6180</v>
      </c>
      <c r="B323" s="3">
        <v>6.1417778694E10</v>
      </c>
      <c r="C323" s="3" t="s">
        <v>6181</v>
      </c>
      <c r="D323" s="3" t="s">
        <v>6182</v>
      </c>
      <c r="E323" s="3" t="s">
        <v>6183</v>
      </c>
      <c r="F323" s="19" t="s">
        <v>4079</v>
      </c>
      <c r="G323" s="3" t="s">
        <v>5213</v>
      </c>
    </row>
    <row r="324">
      <c r="A324" s="3" t="s">
        <v>6184</v>
      </c>
      <c r="B324" s="3">
        <v>6.1417054568E10</v>
      </c>
      <c r="C324" s="3" t="s">
        <v>6185</v>
      </c>
      <c r="D324" s="3" t="s">
        <v>6186</v>
      </c>
      <c r="E324" s="3" t="s">
        <v>6187</v>
      </c>
      <c r="F324" s="19" t="s">
        <v>4079</v>
      </c>
      <c r="G324" s="3" t="s">
        <v>5213</v>
      </c>
    </row>
    <row r="325">
      <c r="A325" s="3" t="s">
        <v>322</v>
      </c>
      <c r="B325" s="3">
        <v>6.1418499836E10</v>
      </c>
      <c r="C325" s="3" t="s">
        <v>6188</v>
      </c>
      <c r="D325" s="3" t="s">
        <v>6189</v>
      </c>
      <c r="E325" s="3" t="s">
        <v>6190</v>
      </c>
      <c r="F325" s="19" t="s">
        <v>4142</v>
      </c>
      <c r="G325" s="3" t="s">
        <v>5213</v>
      </c>
    </row>
    <row r="326">
      <c r="A326" s="3" t="s">
        <v>6191</v>
      </c>
      <c r="B326" s="3">
        <v>6.140001091E10</v>
      </c>
      <c r="C326" s="3" t="s">
        <v>6192</v>
      </c>
      <c r="D326" s="3" t="s">
        <v>6193</v>
      </c>
      <c r="E326" s="3"/>
      <c r="F326" s="19" t="s">
        <v>4142</v>
      </c>
      <c r="G326" s="3" t="s">
        <v>5213</v>
      </c>
    </row>
    <row r="327">
      <c r="A327" s="3" t="s">
        <v>6194</v>
      </c>
      <c r="B327" s="3">
        <v>6.1412886715E10</v>
      </c>
      <c r="C327" s="3" t="s">
        <v>6195</v>
      </c>
      <c r="D327" s="3" t="s">
        <v>942</v>
      </c>
      <c r="E327" s="3" t="s">
        <v>6196</v>
      </c>
      <c r="F327" s="19" t="s">
        <v>4142</v>
      </c>
      <c r="G327" s="3" t="s">
        <v>5213</v>
      </c>
    </row>
    <row r="328">
      <c r="A328" s="3" t="s">
        <v>6197</v>
      </c>
      <c r="B328" s="3">
        <v>6.1417112405E10</v>
      </c>
      <c r="C328" s="3" t="s">
        <v>6198</v>
      </c>
      <c r="D328" s="3">
        <v>3101.0</v>
      </c>
      <c r="E328" s="3" t="s">
        <v>6199</v>
      </c>
      <c r="F328" s="19" t="s">
        <v>4142</v>
      </c>
      <c r="G328" s="3" t="s">
        <v>5213</v>
      </c>
    </row>
    <row r="329">
      <c r="A329" s="3" t="s">
        <v>6200</v>
      </c>
      <c r="B329" s="3">
        <v>6.1422792302E10</v>
      </c>
      <c r="C329" s="3" t="s">
        <v>6201</v>
      </c>
      <c r="D329" s="3" t="s">
        <v>1464</v>
      </c>
      <c r="E329" s="3" t="s">
        <v>6202</v>
      </c>
      <c r="F329" s="19" t="s">
        <v>4165</v>
      </c>
      <c r="G329" s="3" t="s">
        <v>5213</v>
      </c>
    </row>
    <row r="330">
      <c r="A330" s="3" t="s">
        <v>6203</v>
      </c>
      <c r="B330" s="3">
        <v>6.1416033527E10</v>
      </c>
      <c r="C330" s="3" t="s">
        <v>6204</v>
      </c>
      <c r="D330" s="3">
        <v>3111.0</v>
      </c>
      <c r="E330" s="3" t="s">
        <v>6205</v>
      </c>
      <c r="F330" s="19" t="s">
        <v>4165</v>
      </c>
      <c r="G330" s="3" t="s">
        <v>5213</v>
      </c>
    </row>
    <row r="331">
      <c r="A331" s="3" t="s">
        <v>6206</v>
      </c>
      <c r="B331" s="3">
        <v>6.1437863019E10</v>
      </c>
      <c r="C331" s="3" t="s">
        <v>6207</v>
      </c>
      <c r="D331" s="3" t="s">
        <v>6208</v>
      </c>
      <c r="E331" s="3" t="s">
        <v>6209</v>
      </c>
      <c r="F331" s="19" t="s">
        <v>4165</v>
      </c>
      <c r="G331" s="3" t="s">
        <v>5213</v>
      </c>
    </row>
    <row r="332">
      <c r="A332" s="3" t="s">
        <v>6210</v>
      </c>
      <c r="B332" s="3">
        <v>6.1488126125E10</v>
      </c>
      <c r="C332" s="3" t="s">
        <v>6211</v>
      </c>
      <c r="D332" s="3" t="s">
        <v>6212</v>
      </c>
      <c r="E332" s="3" t="s">
        <v>6213</v>
      </c>
      <c r="F332" s="19" t="s">
        <v>4165</v>
      </c>
      <c r="G332" s="3" t="s">
        <v>5213</v>
      </c>
    </row>
    <row r="333">
      <c r="A333" s="3" t="s">
        <v>4290</v>
      </c>
      <c r="B333" s="3">
        <v>6.1412261442E10</v>
      </c>
      <c r="C333" s="3" t="s">
        <v>4291</v>
      </c>
      <c r="D333" s="3" t="s">
        <v>4288</v>
      </c>
      <c r="E333" s="3"/>
      <c r="F333" s="19" t="s">
        <v>4293</v>
      </c>
      <c r="G333" s="3" t="s">
        <v>5213</v>
      </c>
    </row>
    <row r="334">
      <c r="A334" s="3" t="s">
        <v>6214</v>
      </c>
      <c r="B334" s="3">
        <v>6.1437602084E10</v>
      </c>
      <c r="C334" s="3" t="s">
        <v>6215</v>
      </c>
      <c r="D334" s="3" t="s">
        <v>6216</v>
      </c>
      <c r="E334" s="3" t="s">
        <v>6217</v>
      </c>
      <c r="F334" s="19" t="s">
        <v>4293</v>
      </c>
      <c r="G334" s="3" t="s">
        <v>5213</v>
      </c>
    </row>
    <row r="335">
      <c r="A335" s="3" t="s">
        <v>6218</v>
      </c>
      <c r="B335" s="3">
        <v>6.1402248339E10</v>
      </c>
      <c r="C335" s="3" t="s">
        <v>6219</v>
      </c>
      <c r="D335" s="3" t="s">
        <v>6220</v>
      </c>
      <c r="E335" s="3"/>
      <c r="F335" s="19" t="s">
        <v>4293</v>
      </c>
      <c r="G335" s="3" t="s">
        <v>5213</v>
      </c>
    </row>
    <row r="336">
      <c r="A336" s="3" t="s">
        <v>6221</v>
      </c>
      <c r="B336" s="3">
        <v>6.1407108959E10</v>
      </c>
      <c r="C336" s="3" t="s">
        <v>6222</v>
      </c>
      <c r="D336" s="3" t="s">
        <v>6223</v>
      </c>
      <c r="E336" s="3" t="s">
        <v>6224</v>
      </c>
      <c r="F336" s="19" t="s">
        <v>4293</v>
      </c>
      <c r="G336" s="3" t="s">
        <v>5213</v>
      </c>
    </row>
    <row r="337">
      <c r="A337" s="3" t="s">
        <v>6225</v>
      </c>
      <c r="B337" s="3">
        <v>6.1408328358E10</v>
      </c>
      <c r="C337" s="3" t="s">
        <v>6226</v>
      </c>
      <c r="D337" s="3" t="s">
        <v>955</v>
      </c>
      <c r="E337" s="3" t="s">
        <v>6227</v>
      </c>
      <c r="F337" s="19" t="s">
        <v>4293</v>
      </c>
      <c r="G337" s="3" t="s">
        <v>5213</v>
      </c>
    </row>
    <row r="338">
      <c r="A338" s="3" t="s">
        <v>6228</v>
      </c>
      <c r="B338" s="3">
        <v>6.14192702E10</v>
      </c>
      <c r="C338" s="3" t="s">
        <v>6229</v>
      </c>
      <c r="D338" s="3" t="s">
        <v>1187</v>
      </c>
      <c r="E338" s="3" t="s">
        <v>6230</v>
      </c>
      <c r="F338" s="19" t="s">
        <v>4293</v>
      </c>
      <c r="G338" s="3" t="s">
        <v>5213</v>
      </c>
    </row>
    <row r="339">
      <c r="A339" s="3" t="s">
        <v>6231</v>
      </c>
      <c r="B339" s="3">
        <v>6.1418515396E10</v>
      </c>
      <c r="C339" s="3" t="s">
        <v>6232</v>
      </c>
      <c r="D339" s="3">
        <v>3186.0</v>
      </c>
      <c r="E339" s="3" t="s">
        <v>6233</v>
      </c>
      <c r="F339" s="19" t="s">
        <v>4293</v>
      </c>
      <c r="G339" s="3" t="s">
        <v>5213</v>
      </c>
    </row>
    <row r="340">
      <c r="A340" s="3" t="s">
        <v>6234</v>
      </c>
      <c r="B340" s="3">
        <v>6.1418134394E10</v>
      </c>
      <c r="C340" s="3" t="s">
        <v>6235</v>
      </c>
      <c r="D340" s="3" t="s">
        <v>6236</v>
      </c>
      <c r="E340" s="3" t="s">
        <v>6237</v>
      </c>
      <c r="F340" s="19" t="s">
        <v>4293</v>
      </c>
      <c r="G340" s="3" t="s">
        <v>5213</v>
      </c>
    </row>
    <row r="341">
      <c r="A341" s="3" t="s">
        <v>6238</v>
      </c>
      <c r="B341" s="3">
        <v>6.1412974294E10</v>
      </c>
      <c r="C341" s="3" t="s">
        <v>6239</v>
      </c>
      <c r="D341" s="3" t="s">
        <v>6240</v>
      </c>
      <c r="E341" s="3" t="s">
        <v>6241</v>
      </c>
      <c r="F341" s="19" t="s">
        <v>4293</v>
      </c>
      <c r="G341" s="3" t="s">
        <v>5213</v>
      </c>
    </row>
    <row r="342">
      <c r="A342" s="3" t="s">
        <v>6242</v>
      </c>
      <c r="B342" s="3">
        <v>6.1417162569E10</v>
      </c>
      <c r="C342" s="3" t="s">
        <v>6243</v>
      </c>
      <c r="D342" s="3" t="s">
        <v>6244</v>
      </c>
      <c r="E342" s="3" t="s">
        <v>6245</v>
      </c>
      <c r="F342" s="19" t="s">
        <v>4293</v>
      </c>
      <c r="G342" s="3" t="s">
        <v>5213</v>
      </c>
    </row>
    <row r="343">
      <c r="A343" s="3" t="s">
        <v>6246</v>
      </c>
      <c r="B343" s="3">
        <v>6.1408371069E10</v>
      </c>
      <c r="C343" s="3" t="s">
        <v>6247</v>
      </c>
      <c r="D343" s="3">
        <v>2066.0</v>
      </c>
      <c r="E343" s="3" t="s">
        <v>6248</v>
      </c>
      <c r="F343" s="19" t="s">
        <v>4293</v>
      </c>
      <c r="G343" s="3" t="s">
        <v>5115</v>
      </c>
    </row>
    <row r="344">
      <c r="A344" s="3" t="s">
        <v>6249</v>
      </c>
      <c r="B344" s="3">
        <v>6.1407201104E10</v>
      </c>
      <c r="C344" s="3" t="s">
        <v>6250</v>
      </c>
      <c r="D344" s="3">
        <v>6069.0</v>
      </c>
      <c r="E344" s="3" t="s">
        <v>6251</v>
      </c>
      <c r="F344" s="19" t="s">
        <v>4371</v>
      </c>
      <c r="G344" s="3" t="s">
        <v>5115</v>
      </c>
    </row>
    <row r="345">
      <c r="A345" s="3" t="s">
        <v>6252</v>
      </c>
      <c r="B345" s="3">
        <v>6.1490521195E10</v>
      </c>
      <c r="C345" s="3" t="s">
        <v>6253</v>
      </c>
      <c r="D345" s="3">
        <v>4740.0</v>
      </c>
      <c r="E345" s="3" t="s">
        <v>6254</v>
      </c>
      <c r="F345" s="19" t="s">
        <v>4371</v>
      </c>
      <c r="G345" s="3" t="s">
        <v>5213</v>
      </c>
    </row>
    <row r="346">
      <c r="A346" s="3" t="s">
        <v>6255</v>
      </c>
      <c r="B346" s="3">
        <v>6.1400685094E10</v>
      </c>
      <c r="C346" s="3" t="s">
        <v>6256</v>
      </c>
      <c r="D346" s="3" t="s">
        <v>6257</v>
      </c>
      <c r="E346" s="3" t="s">
        <v>6258</v>
      </c>
      <c r="F346" s="19" t="s">
        <v>4371</v>
      </c>
      <c r="G346" s="3" t="s">
        <v>5213</v>
      </c>
    </row>
    <row r="347">
      <c r="A347" s="3" t="s">
        <v>6259</v>
      </c>
      <c r="B347" s="3">
        <v>6.1477301444E10</v>
      </c>
      <c r="C347" s="3" t="s">
        <v>6260</v>
      </c>
      <c r="D347" s="3" t="s">
        <v>6261</v>
      </c>
      <c r="E347" s="3" t="s">
        <v>6262</v>
      </c>
      <c r="F347" s="19" t="s">
        <v>4371</v>
      </c>
      <c r="G347" s="3" t="s">
        <v>5213</v>
      </c>
    </row>
    <row r="348">
      <c r="A348" s="3" t="s">
        <v>6263</v>
      </c>
      <c r="B348" s="3">
        <v>6.1477115222E10</v>
      </c>
      <c r="C348" s="3" t="s">
        <v>6264</v>
      </c>
      <c r="D348" s="3" t="s">
        <v>6265</v>
      </c>
      <c r="E348" s="3" t="s">
        <v>6266</v>
      </c>
      <c r="F348" s="19" t="s">
        <v>4371</v>
      </c>
      <c r="G348" s="3" t="s">
        <v>5213</v>
      </c>
    </row>
    <row r="349">
      <c r="A349" s="3" t="s">
        <v>6267</v>
      </c>
      <c r="B349" s="3">
        <v>6.1408281367E10</v>
      </c>
      <c r="C349" s="3" t="s">
        <v>6268</v>
      </c>
      <c r="D349" s="3" t="s">
        <v>6269</v>
      </c>
      <c r="E349" s="3" t="s">
        <v>6270</v>
      </c>
      <c r="F349" s="19" t="s">
        <v>4371</v>
      </c>
      <c r="G349" s="3" t="s">
        <v>5213</v>
      </c>
    </row>
    <row r="350">
      <c r="A350" s="3" t="s">
        <v>6271</v>
      </c>
      <c r="B350" s="3">
        <v>6.1422392388E10</v>
      </c>
      <c r="C350" s="3" t="s">
        <v>6272</v>
      </c>
      <c r="D350" s="3" t="s">
        <v>6273</v>
      </c>
      <c r="E350" s="3" t="s">
        <v>6274</v>
      </c>
      <c r="F350" s="19" t="s">
        <v>4493</v>
      </c>
      <c r="G350" s="3" t="s">
        <v>5213</v>
      </c>
    </row>
    <row r="351">
      <c r="A351" s="3" t="s">
        <v>6275</v>
      </c>
      <c r="B351" s="3">
        <v>6.1418686821E10</v>
      </c>
      <c r="C351" s="3" t="s">
        <v>6276</v>
      </c>
      <c r="D351" s="3" t="s">
        <v>6277</v>
      </c>
      <c r="E351" s="3" t="s">
        <v>6278</v>
      </c>
      <c r="F351" s="19" t="s">
        <v>4577</v>
      </c>
      <c r="G351" s="3" t="s">
        <v>5213</v>
      </c>
    </row>
    <row r="352">
      <c r="A352" s="3" t="s">
        <v>6279</v>
      </c>
      <c r="B352" s="3">
        <v>6.1411838158E10</v>
      </c>
      <c r="C352" s="3" t="s">
        <v>6280</v>
      </c>
      <c r="D352" s="3" t="s">
        <v>6281</v>
      </c>
      <c r="E352" s="3" t="s">
        <v>6282</v>
      </c>
      <c r="F352" s="19" t="s">
        <v>4577</v>
      </c>
      <c r="G352" s="3" t="s">
        <v>5213</v>
      </c>
    </row>
    <row r="353">
      <c r="A353" s="3" t="s">
        <v>6283</v>
      </c>
      <c r="B353" s="3">
        <v>6.1423038426E10</v>
      </c>
      <c r="C353" s="3" t="s">
        <v>6284</v>
      </c>
      <c r="D353" s="3" t="s">
        <v>6285</v>
      </c>
      <c r="E353" s="3"/>
      <c r="F353" s="19" t="s">
        <v>4577</v>
      </c>
      <c r="G353" s="3" t="s">
        <v>5213</v>
      </c>
    </row>
    <row r="354">
      <c r="A354" s="3" t="s">
        <v>6286</v>
      </c>
      <c r="B354" s="3">
        <v>6.1404693698E10</v>
      </c>
      <c r="C354" s="3" t="s">
        <v>6287</v>
      </c>
      <c r="D354" s="3" t="s">
        <v>2577</v>
      </c>
      <c r="E354" s="3"/>
      <c r="F354" s="19" t="s">
        <v>4577</v>
      </c>
      <c r="G354" s="3" t="s">
        <v>5213</v>
      </c>
    </row>
    <row r="355">
      <c r="A355" s="3" t="s">
        <v>6288</v>
      </c>
      <c r="B355" s="3">
        <v>6.140917214E10</v>
      </c>
      <c r="C355" s="3" t="s">
        <v>6289</v>
      </c>
      <c r="D355" s="3" t="s">
        <v>6290</v>
      </c>
      <c r="E355" s="3" t="s">
        <v>6291</v>
      </c>
      <c r="F355" s="19" t="s">
        <v>4577</v>
      </c>
      <c r="G355" s="3" t="s">
        <v>5213</v>
      </c>
    </row>
    <row r="356">
      <c r="A356" s="3" t="s">
        <v>6292</v>
      </c>
      <c r="B356" s="3">
        <v>6.1432650711E10</v>
      </c>
      <c r="C356" s="3" t="s">
        <v>6293</v>
      </c>
      <c r="D356" s="3" t="s">
        <v>6294</v>
      </c>
      <c r="E356" s="3" t="s">
        <v>6295</v>
      </c>
      <c r="F356" s="19" t="s">
        <v>4577</v>
      </c>
      <c r="G356" s="3" t="s">
        <v>5213</v>
      </c>
    </row>
    <row r="357">
      <c r="A357" s="3" t="s">
        <v>6296</v>
      </c>
      <c r="B357" s="3">
        <v>6.1439998375E10</v>
      </c>
      <c r="C357" s="3" t="s">
        <v>6297</v>
      </c>
      <c r="D357" s="3" t="s">
        <v>6298</v>
      </c>
      <c r="E357" s="3" t="s">
        <v>6299</v>
      </c>
      <c r="F357" s="19" t="s">
        <v>4577</v>
      </c>
      <c r="G357" s="3" t="s">
        <v>5213</v>
      </c>
    </row>
    <row r="358">
      <c r="A358" s="3" t="s">
        <v>6300</v>
      </c>
      <c r="B358" s="3">
        <v>6.1432051911E10</v>
      </c>
      <c r="C358" s="3" t="s">
        <v>6301</v>
      </c>
      <c r="D358" s="3" t="s">
        <v>6302</v>
      </c>
      <c r="E358" s="3"/>
      <c r="F358" s="19" t="s">
        <v>4577</v>
      </c>
      <c r="G358" s="3" t="s">
        <v>5213</v>
      </c>
    </row>
    <row r="359">
      <c r="A359" s="3" t="s">
        <v>6303</v>
      </c>
      <c r="B359" s="3">
        <v>6.144904196E10</v>
      </c>
      <c r="C359" s="3" t="s">
        <v>6304</v>
      </c>
      <c r="D359" s="3" t="s">
        <v>6305</v>
      </c>
      <c r="E359" s="3" t="s">
        <v>6306</v>
      </c>
      <c r="F359" s="19" t="s">
        <v>4577</v>
      </c>
      <c r="G359" s="3" t="s">
        <v>5213</v>
      </c>
    </row>
    <row r="360">
      <c r="A360" s="3" t="s">
        <v>6307</v>
      </c>
      <c r="B360" s="3">
        <v>6.1421010023E10</v>
      </c>
      <c r="C360" s="3" t="s">
        <v>6308</v>
      </c>
      <c r="D360" s="3" t="s">
        <v>78</v>
      </c>
      <c r="E360" s="3" t="s">
        <v>6309</v>
      </c>
      <c r="F360" s="19" t="s">
        <v>6310</v>
      </c>
      <c r="G360" s="3" t="s">
        <v>5213</v>
      </c>
    </row>
    <row r="361">
      <c r="A361" s="3" t="s">
        <v>6311</v>
      </c>
      <c r="B361" s="3">
        <v>6.1400531054E10</v>
      </c>
      <c r="C361" s="3" t="s">
        <v>6312</v>
      </c>
      <c r="D361" s="3" t="s">
        <v>6313</v>
      </c>
      <c r="E361" s="3" t="s">
        <v>6314</v>
      </c>
      <c r="F361" s="19" t="s">
        <v>6310</v>
      </c>
      <c r="G361" s="3" t="s">
        <v>5213</v>
      </c>
    </row>
    <row r="362">
      <c r="A362" s="3" t="s">
        <v>6315</v>
      </c>
      <c r="B362" s="3">
        <v>6.1427044745E10</v>
      </c>
      <c r="C362" s="3" t="s">
        <v>6316</v>
      </c>
      <c r="D362" s="3" t="s">
        <v>6317</v>
      </c>
      <c r="E362" s="3" t="s">
        <v>6318</v>
      </c>
      <c r="F362" s="19" t="s">
        <v>6310</v>
      </c>
      <c r="G362" s="3" t="s">
        <v>5213</v>
      </c>
    </row>
    <row r="363">
      <c r="A363" s="3" t="s">
        <v>6319</v>
      </c>
      <c r="B363" s="3">
        <v>6.1449101918E10</v>
      </c>
      <c r="C363" s="3" t="s">
        <v>6320</v>
      </c>
      <c r="D363" s="3" t="s">
        <v>6321</v>
      </c>
      <c r="E363" s="3" t="s">
        <v>6322</v>
      </c>
      <c r="F363" s="19" t="s">
        <v>6310</v>
      </c>
      <c r="G363" s="3" t="s">
        <v>5213</v>
      </c>
    </row>
    <row r="364">
      <c r="A364" s="3" t="s">
        <v>6323</v>
      </c>
      <c r="B364" s="3">
        <v>6.1422648416E10</v>
      </c>
      <c r="C364" s="3" t="s">
        <v>6324</v>
      </c>
      <c r="D364" s="3" t="s">
        <v>2868</v>
      </c>
      <c r="E364" s="3" t="s">
        <v>6325</v>
      </c>
      <c r="F364" s="19" t="s">
        <v>6310</v>
      </c>
      <c r="G364" s="3" t="s">
        <v>5213</v>
      </c>
    </row>
    <row r="365">
      <c r="A365" s="3" t="s">
        <v>6326</v>
      </c>
      <c r="B365" s="3">
        <v>6.1418496839E10</v>
      </c>
      <c r="C365" s="3" t="s">
        <v>6327</v>
      </c>
      <c r="D365" s="3" t="s">
        <v>6328</v>
      </c>
      <c r="E365" s="3" t="s">
        <v>6329</v>
      </c>
      <c r="F365" s="19" t="s">
        <v>6310</v>
      </c>
      <c r="G365" s="3" t="s">
        <v>5213</v>
      </c>
    </row>
    <row r="366">
      <c r="A366" s="3" t="s">
        <v>6330</v>
      </c>
      <c r="B366" s="3">
        <v>6.1418747661E10</v>
      </c>
      <c r="C366" s="3" t="s">
        <v>6331</v>
      </c>
      <c r="D366" s="3" t="s">
        <v>987</v>
      </c>
      <c r="E366" s="3" t="s">
        <v>6332</v>
      </c>
      <c r="F366" s="19" t="s">
        <v>6310</v>
      </c>
      <c r="G366" s="3" t="s">
        <v>5213</v>
      </c>
    </row>
    <row r="367">
      <c r="A367" s="3" t="s">
        <v>6333</v>
      </c>
      <c r="B367" s="3">
        <v>6.1473566117E10</v>
      </c>
      <c r="C367" s="3" t="s">
        <v>6334</v>
      </c>
      <c r="D367" s="3" t="s">
        <v>6335</v>
      </c>
      <c r="E367" s="3" t="s">
        <v>6336</v>
      </c>
      <c r="F367" s="19" t="s">
        <v>6310</v>
      </c>
      <c r="G367" s="3" t="s">
        <v>5213</v>
      </c>
    </row>
    <row r="368">
      <c r="A368" s="3" t="s">
        <v>6337</v>
      </c>
      <c r="B368" s="3">
        <v>6.1400033751E10</v>
      </c>
      <c r="C368" s="3" t="s">
        <v>6338</v>
      </c>
      <c r="D368" s="3">
        <v>3465.0</v>
      </c>
      <c r="E368" s="3" t="s">
        <v>6339</v>
      </c>
      <c r="F368" s="19" t="s">
        <v>6310</v>
      </c>
      <c r="G368" s="3" t="s">
        <v>5213</v>
      </c>
    </row>
    <row r="369">
      <c r="A369" s="3" t="s">
        <v>6340</v>
      </c>
      <c r="B369" s="3">
        <v>6.1411708344E10</v>
      </c>
      <c r="C369" s="3" t="s">
        <v>6341</v>
      </c>
      <c r="D369" s="3" t="s">
        <v>6342</v>
      </c>
      <c r="E369" s="3" t="s">
        <v>6343</v>
      </c>
      <c r="F369" s="19" t="s">
        <v>6310</v>
      </c>
      <c r="G369" s="3" t="s">
        <v>5213</v>
      </c>
    </row>
    <row r="370">
      <c r="A370" s="3" t="s">
        <v>6344</v>
      </c>
      <c r="B370" s="3">
        <v>6.1408458686E10</v>
      </c>
      <c r="C370" s="3" t="s">
        <v>6345</v>
      </c>
      <c r="D370" s="3" t="s">
        <v>6346</v>
      </c>
      <c r="E370" s="3" t="s">
        <v>6347</v>
      </c>
      <c r="F370" s="19" t="s">
        <v>6310</v>
      </c>
      <c r="G370" s="3" t="s">
        <v>5213</v>
      </c>
    </row>
    <row r="371">
      <c r="A371" s="3" t="s">
        <v>6348</v>
      </c>
      <c r="B371" s="3">
        <v>6.1417651584E10</v>
      </c>
      <c r="C371" s="3" t="s">
        <v>6349</v>
      </c>
      <c r="D371" s="3" t="s">
        <v>6350</v>
      </c>
      <c r="E371" s="3" t="s">
        <v>6351</v>
      </c>
      <c r="F371" s="19" t="s">
        <v>6310</v>
      </c>
      <c r="G371" s="3" t="s">
        <v>5213</v>
      </c>
    </row>
    <row r="372">
      <c r="A372" s="3" t="s">
        <v>6352</v>
      </c>
      <c r="B372" s="3">
        <v>6.1405654129E10</v>
      </c>
      <c r="C372" s="3" t="s">
        <v>6353</v>
      </c>
      <c r="D372" s="3" t="s">
        <v>6354</v>
      </c>
      <c r="E372" s="3" t="s">
        <v>6355</v>
      </c>
      <c r="F372" s="19" t="s">
        <v>6310</v>
      </c>
      <c r="G372" s="3" t="s">
        <v>5213</v>
      </c>
    </row>
    <row r="373">
      <c r="A373" s="3" t="s">
        <v>5429</v>
      </c>
      <c r="B373" s="3">
        <v>6.1413534036E10</v>
      </c>
      <c r="C373" s="3" t="s">
        <v>5430</v>
      </c>
      <c r="D373" s="3">
        <v>2335.0</v>
      </c>
      <c r="E373" s="3" t="s">
        <v>5432</v>
      </c>
      <c r="F373" s="19" t="s">
        <v>6310</v>
      </c>
      <c r="G373" s="3" t="s">
        <v>5115</v>
      </c>
    </row>
    <row r="374">
      <c r="A374" s="3" t="s">
        <v>6356</v>
      </c>
      <c r="B374" s="3">
        <v>6.1416388224E10</v>
      </c>
      <c r="C374" s="3" t="s">
        <v>6357</v>
      </c>
      <c r="D374" s="3" t="s">
        <v>6358</v>
      </c>
      <c r="E374" s="3" t="s">
        <v>6359</v>
      </c>
      <c r="F374" s="19" t="s">
        <v>6310</v>
      </c>
      <c r="G374" s="3" t="s">
        <v>5213</v>
      </c>
    </row>
    <row r="375">
      <c r="A375" s="3" t="s">
        <v>6360</v>
      </c>
      <c r="B375" s="3">
        <v>6.1414695217E10</v>
      </c>
      <c r="C375" s="3" t="s">
        <v>6361</v>
      </c>
      <c r="D375" s="3" t="s">
        <v>5507</v>
      </c>
      <c r="E375" s="3" t="s">
        <v>6362</v>
      </c>
      <c r="F375" s="19" t="s">
        <v>6310</v>
      </c>
      <c r="G375" s="3" t="s">
        <v>5213</v>
      </c>
    </row>
    <row r="376">
      <c r="A376" s="3" t="s">
        <v>6363</v>
      </c>
      <c r="B376" s="3">
        <v>6.1418824566E10</v>
      </c>
      <c r="C376" s="3" t="s">
        <v>6364</v>
      </c>
      <c r="D376" s="3" t="s">
        <v>6365</v>
      </c>
      <c r="E376" s="3" t="s">
        <v>6366</v>
      </c>
      <c r="F376" s="19" t="s">
        <v>6367</v>
      </c>
      <c r="G376" s="3" t="s">
        <v>5213</v>
      </c>
    </row>
    <row r="377">
      <c r="A377" s="3" t="s">
        <v>6368</v>
      </c>
      <c r="B377" s="3">
        <v>6.1448315316E10</v>
      </c>
      <c r="C377" s="3" t="s">
        <v>6369</v>
      </c>
      <c r="D377" s="3">
        <v>4207.0</v>
      </c>
      <c r="E377" s="3" t="s">
        <v>6370</v>
      </c>
      <c r="F377" s="19" t="s">
        <v>6367</v>
      </c>
      <c r="G377" s="3" t="s">
        <v>5115</v>
      </c>
    </row>
    <row r="378">
      <c r="A378" s="3" t="s">
        <v>6371</v>
      </c>
      <c r="B378" s="3">
        <v>6.1449062248E10</v>
      </c>
      <c r="C378" s="3" t="s">
        <v>6372</v>
      </c>
      <c r="D378" s="3" t="s">
        <v>6373</v>
      </c>
      <c r="E378" s="3" t="s">
        <v>6374</v>
      </c>
      <c r="F378" s="19" t="s">
        <v>6367</v>
      </c>
      <c r="G378" s="3" t="s">
        <v>5213</v>
      </c>
    </row>
    <row r="379">
      <c r="A379" s="3" t="s">
        <v>1390</v>
      </c>
      <c r="B379" s="3">
        <v>6.1411919521E10</v>
      </c>
      <c r="C379" s="3" t="s">
        <v>6375</v>
      </c>
      <c r="D379" s="3">
        <v>4714.0</v>
      </c>
      <c r="E379" s="3" t="s">
        <v>1389</v>
      </c>
      <c r="F379" s="19" t="s">
        <v>6376</v>
      </c>
      <c r="G379" s="3" t="s">
        <v>5213</v>
      </c>
    </row>
    <row r="380">
      <c r="A380" s="3" t="s">
        <v>6377</v>
      </c>
      <c r="B380" s="3">
        <v>6.149949053E10</v>
      </c>
      <c r="C380" s="3" t="s">
        <v>6378</v>
      </c>
      <c r="D380" s="3" t="s">
        <v>6379</v>
      </c>
      <c r="E380" s="3" t="s">
        <v>6380</v>
      </c>
      <c r="F380" s="19" t="s">
        <v>6376</v>
      </c>
      <c r="G380" s="3" t="s">
        <v>5213</v>
      </c>
    </row>
    <row r="381">
      <c r="A381" s="3" t="s">
        <v>6381</v>
      </c>
      <c r="B381" s="3">
        <v>6.1484077729E10</v>
      </c>
      <c r="C381" s="3" t="s">
        <v>6382</v>
      </c>
      <c r="D381" s="3">
        <v>6725.0</v>
      </c>
      <c r="E381" s="3" t="s">
        <v>6383</v>
      </c>
      <c r="F381" s="19" t="s">
        <v>6376</v>
      </c>
      <c r="G381" s="3" t="s">
        <v>5115</v>
      </c>
    </row>
    <row r="382">
      <c r="A382" s="3" t="s">
        <v>5301</v>
      </c>
      <c r="B382" s="3">
        <v>6.1419007788E10</v>
      </c>
      <c r="C382" s="3" t="s">
        <v>5302</v>
      </c>
      <c r="D382" s="3" t="s">
        <v>5303</v>
      </c>
      <c r="E382" s="3" t="s">
        <v>5304</v>
      </c>
      <c r="F382" s="19" t="s">
        <v>6376</v>
      </c>
      <c r="G382" s="3" t="s">
        <v>5180</v>
      </c>
    </row>
    <row r="383">
      <c r="A383" s="3" t="s">
        <v>6384</v>
      </c>
      <c r="B383" s="3">
        <v>6.1431231123E10</v>
      </c>
      <c r="C383" s="3" t="s">
        <v>4525</v>
      </c>
      <c r="D383" s="3">
        <v>4871.0</v>
      </c>
      <c r="E383" s="3" t="s">
        <v>4523</v>
      </c>
      <c r="F383" s="3" t="s">
        <v>6385</v>
      </c>
      <c r="G383" s="3" t="s">
        <v>5115</v>
      </c>
    </row>
    <row r="384">
      <c r="A384" s="3" t="s">
        <v>6386</v>
      </c>
      <c r="B384" s="3">
        <v>6.1409848747E10</v>
      </c>
      <c r="C384" s="3" t="s">
        <v>6387</v>
      </c>
      <c r="D384" s="3" t="s">
        <v>6388</v>
      </c>
      <c r="E384" s="3" t="s">
        <v>6389</v>
      </c>
      <c r="F384" s="3" t="s">
        <v>6390</v>
      </c>
      <c r="G384" s="3" t="s">
        <v>5213</v>
      </c>
    </row>
    <row r="385">
      <c r="A385" s="3" t="s">
        <v>6391</v>
      </c>
      <c r="B385" s="3">
        <v>6.1427922511E10</v>
      </c>
      <c r="C385" s="3" t="s">
        <v>6392</v>
      </c>
      <c r="D385" s="3" t="s">
        <v>6393</v>
      </c>
      <c r="E385" s="3" t="s">
        <v>6394</v>
      </c>
      <c r="F385" s="3" t="s">
        <v>6395</v>
      </c>
      <c r="G385" s="3" t="s">
        <v>5213</v>
      </c>
    </row>
    <row r="386">
      <c r="A386" s="3" t="s">
        <v>6396</v>
      </c>
      <c r="B386" s="3">
        <v>6.1412767996E10</v>
      </c>
      <c r="C386" s="3" t="s">
        <v>6397</v>
      </c>
      <c r="D386" s="3" t="s">
        <v>6398</v>
      </c>
      <c r="E386" s="3" t="s">
        <v>6399</v>
      </c>
      <c r="F386" s="3" t="s">
        <v>6400</v>
      </c>
      <c r="G386" s="3" t="s">
        <v>5213</v>
      </c>
    </row>
    <row r="387">
      <c r="A387" s="3" t="s">
        <v>4992</v>
      </c>
      <c r="B387" s="3">
        <v>6.145016924E10</v>
      </c>
      <c r="C387" s="3" t="s">
        <v>4993</v>
      </c>
      <c r="D387" s="3" t="s">
        <v>4990</v>
      </c>
      <c r="E387" s="3"/>
      <c r="F387" s="3" t="s">
        <v>6401</v>
      </c>
      <c r="G387" s="3" t="s">
        <v>5213</v>
      </c>
    </row>
    <row r="388">
      <c r="A388" s="3" t="s">
        <v>6402</v>
      </c>
      <c r="B388" s="3">
        <v>6.145852606E10</v>
      </c>
      <c r="C388" s="3" t="s">
        <v>6403</v>
      </c>
      <c r="D388" s="3" t="s">
        <v>5346</v>
      </c>
      <c r="E388" s="3" t="s">
        <v>6404</v>
      </c>
      <c r="F388" s="3" t="s">
        <v>6405</v>
      </c>
      <c r="G388" s="3" t="s">
        <v>5213</v>
      </c>
    </row>
    <row r="389">
      <c r="A389" s="3" t="s">
        <v>6406</v>
      </c>
      <c r="B389" s="3">
        <v>6.1488047153E10</v>
      </c>
      <c r="C389" s="3" t="s">
        <v>6407</v>
      </c>
      <c r="D389" s="3" t="s">
        <v>6408</v>
      </c>
      <c r="E389" s="3"/>
      <c r="F389" s="3" t="s">
        <v>6409</v>
      </c>
      <c r="G389" s="3" t="s">
        <v>5213</v>
      </c>
    </row>
    <row r="390">
      <c r="A390" s="3" t="s">
        <v>6410</v>
      </c>
      <c r="B390" s="3">
        <v>6.1457274519E10</v>
      </c>
      <c r="C390" s="3" t="s">
        <v>6411</v>
      </c>
      <c r="D390" s="3" t="s">
        <v>1700</v>
      </c>
      <c r="E390" s="3" t="s">
        <v>6412</v>
      </c>
      <c r="F390" s="3" t="s">
        <v>6413</v>
      </c>
      <c r="G390" s="3" t="s">
        <v>5213</v>
      </c>
    </row>
    <row r="391">
      <c r="A391" s="3" t="s">
        <v>6414</v>
      </c>
      <c r="B391" s="3">
        <v>6.1419772002E10</v>
      </c>
      <c r="C391" s="3" t="s">
        <v>6415</v>
      </c>
      <c r="D391" s="3">
        <v>3145.0</v>
      </c>
      <c r="E391" s="3"/>
      <c r="F391" s="3" t="s">
        <v>6416</v>
      </c>
      <c r="G391" s="3" t="s">
        <v>5213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3" max="3" width="15.13"/>
    <col customWidth="1" min="4" max="4" width="17.38"/>
    <col customWidth="1" min="6" max="6" width="14.63"/>
  </cols>
  <sheetData>
    <row r="1">
      <c r="A1" s="52" t="str">
        <f>IFERROR(__xludf.DUMMYFUNCTION("ARRAYFORMULA({QUERY({Sheet1!A2:A999,IF(LEN(Sheet1!A2:A999),1,0),N(REGEXMATCH(Sheet1!F2:F999,""(?i)(featured plus|plus|\+)"")),N(REGEXMATCH(Sheet1!F2:F999,""(?i)^free$"")),IFERROR(VALUE(Sheet1!F2:F999))},""select Col1,sum(Col2),sum(Col2)-sum(Col3)-sum(Col4"&amp;"),sum(Col3),sum(Col4),(avg(Col5)*10)/10 where Col1 is not null group by Col1 order by sum(Col2) desc label Col1 'Agent',sum(Col2) 'Total Leads',sum(Col2)-sum(Col3)-sum(Col4) 'Featured Leads',sum(Col3) 'Featured Plus Leads',sum(Col4) 'Free Leads',(avg(Col5"&amp;")*10)/10 'Avg Quality'"",0);{""Totals (""&amp;COUNTUNIQUE(FILTER(Sheet1!A2:A999,LEN(Sheet1!A2:A999)))&amp;"" agents)"",SUM(IF(LEN(Sheet1!A2:A999),1,0)),SUM(IF(LEN(Sheet1!A2:A999),1,0))-SUM(N(REGEXMATCH(TO_TEXT(Sheet1!F2:F999),""(?i)(featured plus|plus|\+)"")))-SU"&amp;"M(N(REGEXMATCH(TO_TEXT(Sheet1!F2:F999),""(?i)^free$""))),SUM(N(REGEXMATCH(TO_TEXT(Sheet1!F2:F999),""(?i)(featured plus|plus|\+)""))),SUM(N(REGEXMATCH(TO_TEXT(Sheet1!F2:F999),""(?i)^free$""))),ROUND(AVERAGE(FILTER(IFERROR(VALUE(Sheet1!F2:F999)),IFERROR(VAL"&amp;"UE(Sheet1!F2:F999))&gt;=5))*10)/10}})"),"#REF!")</f>
        <v>#REF!</v>
      </c>
      <c r="B1" s="52"/>
      <c r="C1" s="52"/>
      <c r="D1" s="52"/>
      <c r="E1" s="52"/>
      <c r="F1" s="53"/>
    </row>
    <row r="2">
      <c r="A2" s="54"/>
      <c r="B2" s="55"/>
      <c r="C2" s="55"/>
      <c r="D2" s="55"/>
      <c r="E2" s="55"/>
      <c r="F2" s="56"/>
    </row>
    <row r="3">
      <c r="A3" s="54"/>
      <c r="B3" s="55"/>
      <c r="C3" s="55"/>
      <c r="D3" s="55"/>
      <c r="E3" s="55"/>
      <c r="F3" s="56"/>
    </row>
    <row r="4">
      <c r="A4" s="55"/>
      <c r="B4" s="55"/>
      <c r="C4" s="55"/>
      <c r="D4" s="55"/>
      <c r="E4" s="55"/>
      <c r="F4" s="56"/>
    </row>
    <row r="5">
      <c r="A5" s="55"/>
      <c r="B5" s="55"/>
      <c r="C5" s="55"/>
      <c r="D5" s="55"/>
      <c r="E5" s="55"/>
      <c r="F5" s="56"/>
    </row>
    <row r="6">
      <c r="A6" s="55"/>
      <c r="B6" s="55"/>
      <c r="C6" s="55"/>
      <c r="D6" s="55"/>
      <c r="E6" s="55"/>
      <c r="F6" s="56"/>
    </row>
    <row r="7">
      <c r="A7" s="55"/>
      <c r="B7" s="55"/>
      <c r="C7" s="55"/>
      <c r="D7" s="55"/>
      <c r="E7" s="55"/>
      <c r="F7" s="56"/>
    </row>
    <row r="8">
      <c r="A8" s="55"/>
      <c r="B8" s="55"/>
      <c r="C8" s="55"/>
      <c r="D8" s="55"/>
      <c r="E8" s="55"/>
      <c r="F8" s="56"/>
    </row>
    <row r="9">
      <c r="A9" s="55"/>
      <c r="B9" s="55"/>
      <c r="C9" s="55"/>
      <c r="D9" s="55"/>
      <c r="E9" s="55"/>
      <c r="F9" s="56"/>
    </row>
    <row r="10">
      <c r="A10" s="55"/>
      <c r="B10" s="55"/>
      <c r="C10" s="55"/>
      <c r="D10" s="55"/>
      <c r="E10" s="55"/>
      <c r="F10" s="56"/>
    </row>
    <row r="11">
      <c r="A11" s="55"/>
      <c r="B11" s="55"/>
      <c r="C11" s="55"/>
      <c r="D11" s="55"/>
      <c r="E11" s="55"/>
      <c r="F11" s="56"/>
    </row>
    <row r="12">
      <c r="A12" s="55"/>
      <c r="B12" s="55"/>
      <c r="C12" s="55"/>
      <c r="D12" s="55"/>
      <c r="E12" s="55"/>
      <c r="F12" s="56"/>
    </row>
    <row r="13">
      <c r="A13" s="55"/>
      <c r="B13" s="55"/>
      <c r="C13" s="55"/>
      <c r="D13" s="55"/>
      <c r="E13" s="55"/>
      <c r="F13" s="56"/>
    </row>
    <row r="14">
      <c r="A14" s="55"/>
      <c r="B14" s="55"/>
      <c r="C14" s="55"/>
      <c r="D14" s="55"/>
      <c r="E14" s="55"/>
      <c r="F14" s="56"/>
    </row>
    <row r="15">
      <c r="A15" s="55"/>
      <c r="B15" s="55"/>
      <c r="C15" s="55"/>
      <c r="D15" s="55"/>
      <c r="E15" s="55"/>
      <c r="F15" s="56"/>
    </row>
    <row r="16">
      <c r="A16" s="55"/>
      <c r="B16" s="55"/>
      <c r="C16" s="55"/>
      <c r="D16" s="55"/>
      <c r="E16" s="55"/>
      <c r="F16" s="56"/>
    </row>
    <row r="17">
      <c r="A17" s="55"/>
      <c r="B17" s="55"/>
      <c r="C17" s="55"/>
      <c r="D17" s="55"/>
      <c r="E17" s="55"/>
      <c r="F17" s="56"/>
    </row>
    <row r="18">
      <c r="A18" s="55"/>
      <c r="B18" s="55"/>
      <c r="C18" s="55"/>
      <c r="D18" s="55"/>
      <c r="E18" s="55"/>
      <c r="F18" s="56"/>
    </row>
    <row r="19">
      <c r="A19" s="55"/>
      <c r="B19" s="55"/>
      <c r="C19" s="55"/>
      <c r="D19" s="55"/>
      <c r="E19" s="55"/>
      <c r="F19" s="56"/>
    </row>
    <row r="20">
      <c r="A20" s="55"/>
      <c r="B20" s="55"/>
      <c r="C20" s="55"/>
      <c r="D20" s="55"/>
      <c r="E20" s="55"/>
      <c r="F20" s="56"/>
    </row>
    <row r="21">
      <c r="A21" s="55"/>
      <c r="B21" s="55"/>
      <c r="C21" s="55"/>
      <c r="D21" s="55"/>
      <c r="E21" s="55"/>
      <c r="F21" s="56"/>
    </row>
    <row r="22">
      <c r="A22" s="55"/>
      <c r="B22" s="55"/>
      <c r="C22" s="55"/>
      <c r="D22" s="55"/>
      <c r="E22" s="55"/>
      <c r="F22" s="56"/>
    </row>
    <row r="23">
      <c r="A23" s="55"/>
      <c r="B23" s="55"/>
      <c r="C23" s="55"/>
      <c r="D23" s="55"/>
      <c r="E23" s="55"/>
      <c r="F23" s="56"/>
    </row>
    <row r="24">
      <c r="A24" s="55"/>
      <c r="B24" s="55"/>
      <c r="C24" s="55"/>
      <c r="D24" s="55"/>
      <c r="E24" s="55"/>
      <c r="F24" s="56"/>
    </row>
    <row r="25">
      <c r="A25" s="55"/>
      <c r="B25" s="55"/>
      <c r="C25" s="55"/>
      <c r="D25" s="55"/>
      <c r="E25" s="55"/>
      <c r="F25" s="56"/>
    </row>
    <row r="26">
      <c r="A26" s="55"/>
      <c r="B26" s="55"/>
      <c r="C26" s="55"/>
      <c r="D26" s="55"/>
      <c r="E26" s="55"/>
      <c r="F26" s="56"/>
    </row>
    <row r="27">
      <c r="A27" s="55"/>
      <c r="B27" s="55"/>
      <c r="C27" s="55"/>
      <c r="D27" s="55"/>
      <c r="E27" s="55"/>
      <c r="F27" s="56"/>
    </row>
    <row r="28">
      <c r="A28" s="55"/>
      <c r="B28" s="55"/>
      <c r="C28" s="55"/>
      <c r="D28" s="55"/>
      <c r="E28" s="55"/>
      <c r="F28" s="56"/>
    </row>
    <row r="29">
      <c r="A29" s="55"/>
      <c r="B29" s="55"/>
      <c r="C29" s="55"/>
      <c r="D29" s="55"/>
      <c r="E29" s="55"/>
      <c r="F29" s="56"/>
    </row>
    <row r="30">
      <c r="A30" s="55"/>
      <c r="B30" s="55"/>
      <c r="C30" s="55"/>
      <c r="D30" s="55"/>
      <c r="E30" s="55"/>
      <c r="F30" s="56"/>
    </row>
    <row r="31">
      <c r="A31" s="55"/>
      <c r="B31" s="55"/>
      <c r="C31" s="55"/>
      <c r="D31" s="55"/>
      <c r="E31" s="55"/>
      <c r="F31" s="56"/>
    </row>
    <row r="32">
      <c r="A32" s="55"/>
      <c r="B32" s="55"/>
      <c r="C32" s="55"/>
      <c r="D32" s="55"/>
      <c r="E32" s="55"/>
      <c r="F32" s="56"/>
    </row>
    <row r="33">
      <c r="A33" s="55"/>
      <c r="B33" s="55"/>
      <c r="C33" s="55"/>
      <c r="D33" s="55"/>
      <c r="E33" s="55"/>
      <c r="F33" s="56"/>
    </row>
    <row r="34">
      <c r="A34" s="55"/>
      <c r="B34" s="55"/>
      <c r="C34" s="55"/>
      <c r="D34" s="55"/>
      <c r="E34" s="55"/>
      <c r="F34" s="56"/>
    </row>
    <row r="35">
      <c r="A35" s="55"/>
      <c r="B35" s="55"/>
      <c r="C35" s="55"/>
      <c r="D35" s="55"/>
      <c r="E35" s="55"/>
      <c r="F35" s="56"/>
    </row>
    <row r="36">
      <c r="A36" s="55"/>
      <c r="B36" s="55"/>
      <c r="C36" s="55"/>
      <c r="D36" s="55"/>
      <c r="E36" s="55"/>
      <c r="F36" s="56"/>
    </row>
    <row r="37">
      <c r="A37" s="55"/>
      <c r="B37" s="55"/>
      <c r="C37" s="55"/>
      <c r="D37" s="55"/>
      <c r="E37" s="55"/>
      <c r="F37" s="56"/>
    </row>
    <row r="38">
      <c r="A38" s="55"/>
      <c r="B38" s="55"/>
      <c r="C38" s="55"/>
      <c r="D38" s="55"/>
      <c r="E38" s="55"/>
      <c r="F38" s="56"/>
    </row>
    <row r="39">
      <c r="A39" s="55"/>
      <c r="B39" s="55"/>
      <c r="C39" s="55"/>
      <c r="D39" s="55"/>
      <c r="E39" s="55"/>
      <c r="F39" s="56"/>
    </row>
    <row r="40">
      <c r="A40" s="55"/>
      <c r="B40" s="55"/>
      <c r="C40" s="55"/>
      <c r="D40" s="55"/>
      <c r="E40" s="55"/>
      <c r="F40" s="56"/>
    </row>
    <row r="41">
      <c r="A41" s="55"/>
      <c r="B41" s="55"/>
      <c r="C41" s="55"/>
      <c r="D41" s="55"/>
      <c r="E41" s="55"/>
      <c r="F41" s="56"/>
    </row>
    <row r="42">
      <c r="A42" s="55"/>
      <c r="B42" s="55"/>
      <c r="C42" s="55"/>
      <c r="D42" s="55"/>
      <c r="E42" s="55"/>
      <c r="F42" s="56"/>
    </row>
    <row r="43">
      <c r="A43" s="55"/>
      <c r="B43" s="55"/>
      <c r="C43" s="55"/>
      <c r="D43" s="55"/>
      <c r="E43" s="55"/>
      <c r="F43" s="56"/>
    </row>
    <row r="44">
      <c r="A44" s="55"/>
      <c r="B44" s="55"/>
      <c r="C44" s="55"/>
      <c r="D44" s="55"/>
      <c r="E44" s="55"/>
      <c r="F44" s="56"/>
    </row>
    <row r="45">
      <c r="A45" s="55"/>
      <c r="B45" s="55"/>
      <c r="C45" s="55"/>
      <c r="D45" s="55"/>
      <c r="E45" s="55"/>
      <c r="F45" s="56"/>
    </row>
    <row r="46">
      <c r="A46" s="55"/>
      <c r="B46" s="55"/>
      <c r="C46" s="55"/>
      <c r="D46" s="55"/>
      <c r="E46" s="55"/>
      <c r="F46" s="56"/>
    </row>
    <row r="47">
      <c r="A47" s="55"/>
      <c r="B47" s="55"/>
      <c r="C47" s="55"/>
      <c r="D47" s="55"/>
      <c r="E47" s="55"/>
      <c r="F47" s="56"/>
    </row>
    <row r="48">
      <c r="A48" s="55"/>
      <c r="B48" s="55"/>
      <c r="C48" s="55"/>
      <c r="D48" s="55"/>
      <c r="E48" s="55"/>
      <c r="F48" s="56"/>
    </row>
    <row r="49">
      <c r="A49" s="55"/>
      <c r="B49" s="55"/>
      <c r="C49" s="55"/>
      <c r="D49" s="55"/>
      <c r="E49" s="55"/>
      <c r="F49" s="56"/>
    </row>
    <row r="50">
      <c r="A50" s="55"/>
      <c r="B50" s="55"/>
      <c r="C50" s="55"/>
      <c r="D50" s="55"/>
      <c r="E50" s="55"/>
      <c r="F50" s="56"/>
    </row>
    <row r="51">
      <c r="A51" s="55"/>
      <c r="B51" s="55"/>
      <c r="C51" s="55"/>
      <c r="D51" s="55"/>
      <c r="E51" s="55"/>
      <c r="F51" s="56"/>
    </row>
    <row r="52">
      <c r="A52" s="55"/>
      <c r="B52" s="55"/>
      <c r="C52" s="55"/>
      <c r="D52" s="55"/>
      <c r="E52" s="55"/>
      <c r="F52" s="56"/>
    </row>
    <row r="53">
      <c r="A53" s="55"/>
      <c r="B53" s="55"/>
      <c r="C53" s="55"/>
      <c r="D53" s="55"/>
      <c r="E53" s="55"/>
      <c r="F53" s="56"/>
    </row>
    <row r="54">
      <c r="A54" s="55"/>
      <c r="B54" s="55"/>
      <c r="C54" s="55"/>
      <c r="D54" s="55"/>
      <c r="E54" s="55"/>
      <c r="F54" s="56"/>
    </row>
    <row r="55">
      <c r="A55" s="55"/>
      <c r="B55" s="55"/>
      <c r="C55" s="55"/>
      <c r="D55" s="55"/>
      <c r="E55" s="55"/>
      <c r="F55" s="56"/>
    </row>
    <row r="56">
      <c r="A56" s="55"/>
      <c r="B56" s="55"/>
      <c r="C56" s="55"/>
      <c r="D56" s="55"/>
      <c r="E56" s="55"/>
      <c r="F56" s="56"/>
    </row>
    <row r="57">
      <c r="A57" s="55"/>
      <c r="B57" s="55"/>
      <c r="C57" s="55"/>
      <c r="D57" s="55"/>
      <c r="E57" s="55"/>
      <c r="F57" s="56"/>
    </row>
    <row r="58">
      <c r="A58" s="55"/>
      <c r="B58" s="55"/>
      <c r="C58" s="55"/>
      <c r="D58" s="55"/>
      <c r="E58" s="55"/>
      <c r="F58" s="56"/>
    </row>
    <row r="59">
      <c r="A59" s="55"/>
      <c r="B59" s="55"/>
      <c r="C59" s="55"/>
      <c r="D59" s="55"/>
      <c r="E59" s="55"/>
      <c r="F59" s="56"/>
    </row>
    <row r="60">
      <c r="A60" s="55"/>
      <c r="B60" s="55"/>
      <c r="C60" s="55"/>
      <c r="D60" s="55"/>
      <c r="E60" s="55"/>
      <c r="F60" s="56"/>
    </row>
    <row r="61">
      <c r="A61" s="55"/>
      <c r="B61" s="55"/>
      <c r="C61" s="55"/>
      <c r="D61" s="55"/>
      <c r="E61" s="55"/>
      <c r="F61" s="56"/>
    </row>
    <row r="62">
      <c r="A62" s="55"/>
      <c r="B62" s="55"/>
      <c r="C62" s="55"/>
      <c r="D62" s="55"/>
      <c r="E62" s="55"/>
      <c r="F62" s="56"/>
    </row>
    <row r="63">
      <c r="A63" s="55"/>
      <c r="B63" s="55"/>
      <c r="C63" s="55"/>
      <c r="D63" s="55"/>
      <c r="E63" s="55"/>
      <c r="F63" s="56"/>
    </row>
    <row r="64">
      <c r="A64" s="55"/>
      <c r="B64" s="55"/>
      <c r="C64" s="55"/>
      <c r="D64" s="55"/>
      <c r="E64" s="55"/>
      <c r="F64" s="56"/>
    </row>
    <row r="65">
      <c r="A65" s="55"/>
      <c r="B65" s="55"/>
      <c r="C65" s="55"/>
      <c r="D65" s="55"/>
      <c r="E65" s="55"/>
      <c r="F65" s="56"/>
    </row>
    <row r="66">
      <c r="A66" s="55"/>
      <c r="B66" s="55"/>
      <c r="C66" s="55"/>
      <c r="D66" s="55"/>
      <c r="E66" s="55"/>
      <c r="F66" s="56"/>
    </row>
    <row r="67">
      <c r="A67" s="55"/>
      <c r="B67" s="55"/>
      <c r="C67" s="55"/>
      <c r="D67" s="55"/>
      <c r="E67" s="55"/>
      <c r="F67" s="56"/>
    </row>
    <row r="68">
      <c r="A68" s="55"/>
      <c r="B68" s="55"/>
      <c r="C68" s="55"/>
      <c r="D68" s="55"/>
      <c r="E68" s="55"/>
      <c r="F68" s="56"/>
    </row>
    <row r="69">
      <c r="A69" s="55"/>
      <c r="B69" s="55"/>
      <c r="C69" s="55"/>
      <c r="D69" s="55"/>
      <c r="E69" s="55"/>
      <c r="F69" s="56"/>
    </row>
    <row r="70">
      <c r="A70" s="55"/>
      <c r="B70" s="55"/>
      <c r="C70" s="55"/>
      <c r="D70" s="55"/>
      <c r="E70" s="55"/>
      <c r="F70" s="56"/>
    </row>
    <row r="71">
      <c r="A71" s="55"/>
      <c r="B71" s="55"/>
      <c r="C71" s="55"/>
      <c r="D71" s="55"/>
      <c r="E71" s="55"/>
      <c r="F71" s="56"/>
    </row>
    <row r="72">
      <c r="A72" s="55"/>
      <c r="B72" s="55"/>
      <c r="C72" s="55"/>
      <c r="D72" s="55"/>
      <c r="E72" s="55"/>
      <c r="F72" s="56"/>
    </row>
    <row r="73">
      <c r="A73" s="55"/>
      <c r="B73" s="55"/>
      <c r="C73" s="55"/>
      <c r="D73" s="55"/>
      <c r="E73" s="55"/>
      <c r="F73" s="56"/>
    </row>
    <row r="74">
      <c r="A74" s="55"/>
      <c r="B74" s="55"/>
      <c r="C74" s="55"/>
      <c r="D74" s="55"/>
      <c r="E74" s="55"/>
      <c r="F74" s="56"/>
    </row>
    <row r="75">
      <c r="A75" s="55"/>
      <c r="B75" s="55"/>
      <c r="C75" s="55"/>
      <c r="D75" s="55"/>
      <c r="E75" s="55"/>
      <c r="F75" s="56"/>
    </row>
    <row r="76">
      <c r="A76" s="55"/>
      <c r="B76" s="55"/>
      <c r="C76" s="55"/>
      <c r="D76" s="55"/>
      <c r="E76" s="55"/>
      <c r="F76" s="56"/>
    </row>
    <row r="77">
      <c r="A77" s="55"/>
      <c r="B77" s="55"/>
      <c r="C77" s="55"/>
      <c r="D77" s="55"/>
      <c r="E77" s="55"/>
      <c r="F77" s="56"/>
    </row>
    <row r="78">
      <c r="A78" s="55"/>
      <c r="B78" s="55"/>
      <c r="C78" s="55"/>
      <c r="D78" s="55"/>
      <c r="E78" s="55"/>
      <c r="F78" s="56"/>
    </row>
    <row r="79">
      <c r="A79" s="55"/>
      <c r="B79" s="55"/>
      <c r="C79" s="55"/>
      <c r="D79" s="55"/>
      <c r="E79" s="55"/>
      <c r="F79" s="56"/>
    </row>
    <row r="80">
      <c r="A80" s="55"/>
      <c r="B80" s="55"/>
      <c r="C80" s="55"/>
      <c r="D80" s="55"/>
      <c r="E80" s="55"/>
      <c r="F80" s="56"/>
    </row>
    <row r="81">
      <c r="A81" s="55"/>
      <c r="B81" s="55"/>
      <c r="C81" s="55"/>
      <c r="D81" s="55"/>
      <c r="E81" s="55"/>
      <c r="F81" s="56"/>
    </row>
    <row r="82">
      <c r="A82" s="55"/>
      <c r="B82" s="55"/>
      <c r="C82" s="55"/>
      <c r="D82" s="55"/>
      <c r="E82" s="55"/>
      <c r="F82" s="56"/>
    </row>
    <row r="83">
      <c r="A83" s="55"/>
      <c r="B83" s="55"/>
      <c r="C83" s="55"/>
      <c r="D83" s="55"/>
      <c r="E83" s="55"/>
      <c r="F83" s="56"/>
    </row>
    <row r="84">
      <c r="A84" s="55"/>
      <c r="B84" s="55"/>
      <c r="C84" s="55"/>
      <c r="D84" s="55"/>
      <c r="E84" s="55"/>
      <c r="F84" s="56"/>
    </row>
    <row r="85">
      <c r="A85" s="55"/>
      <c r="B85" s="55"/>
      <c r="C85" s="55"/>
      <c r="D85" s="55"/>
      <c r="E85" s="55"/>
      <c r="F85" s="56"/>
    </row>
    <row r="86">
      <c r="A86" s="55"/>
      <c r="B86" s="55"/>
      <c r="C86" s="55"/>
      <c r="D86" s="55"/>
      <c r="E86" s="55"/>
      <c r="F86" s="56"/>
    </row>
    <row r="87">
      <c r="A87" s="55"/>
      <c r="B87" s="55"/>
      <c r="C87" s="55"/>
      <c r="D87" s="55"/>
      <c r="E87" s="55"/>
      <c r="F87" s="56"/>
    </row>
    <row r="88">
      <c r="A88" s="55"/>
      <c r="B88" s="55"/>
      <c r="C88" s="55"/>
      <c r="D88" s="55"/>
      <c r="E88" s="55"/>
      <c r="F88" s="56"/>
    </row>
    <row r="89">
      <c r="A89" s="55"/>
      <c r="B89" s="55"/>
      <c r="C89" s="55"/>
      <c r="D89" s="55"/>
      <c r="E89" s="55"/>
      <c r="F89" s="56"/>
    </row>
    <row r="90">
      <c r="A90" s="55"/>
      <c r="B90" s="55"/>
      <c r="C90" s="55"/>
      <c r="D90" s="55"/>
      <c r="E90" s="55"/>
      <c r="F90" s="56"/>
    </row>
    <row r="91">
      <c r="A91" s="55"/>
      <c r="B91" s="55"/>
      <c r="C91" s="55"/>
      <c r="D91" s="55"/>
      <c r="E91" s="55"/>
      <c r="F91" s="56"/>
    </row>
    <row r="92">
      <c r="A92" s="55"/>
      <c r="B92" s="55"/>
      <c r="C92" s="55"/>
      <c r="D92" s="55"/>
      <c r="E92" s="55"/>
      <c r="F92" s="56"/>
    </row>
    <row r="93">
      <c r="A93" s="55"/>
      <c r="B93" s="55"/>
      <c r="C93" s="55"/>
      <c r="D93" s="55"/>
      <c r="E93" s="55"/>
      <c r="F93" s="56"/>
    </row>
    <row r="94">
      <c r="A94" s="55"/>
      <c r="B94" s="55"/>
      <c r="C94" s="55"/>
      <c r="D94" s="55"/>
      <c r="E94" s="55"/>
      <c r="F94" s="56"/>
    </row>
    <row r="95">
      <c r="A95" s="55"/>
      <c r="B95" s="55"/>
      <c r="C95" s="55"/>
      <c r="D95" s="55"/>
      <c r="E95" s="55"/>
      <c r="F95" s="56"/>
    </row>
    <row r="96">
      <c r="A96" s="55"/>
      <c r="B96" s="55"/>
      <c r="C96" s="55"/>
      <c r="D96" s="55"/>
      <c r="E96" s="55"/>
      <c r="F96" s="56"/>
    </row>
    <row r="97">
      <c r="A97" s="55"/>
      <c r="B97" s="55"/>
      <c r="C97" s="55"/>
      <c r="D97" s="55"/>
      <c r="E97" s="55"/>
      <c r="F97" s="56"/>
    </row>
    <row r="98">
      <c r="A98" s="55"/>
      <c r="B98" s="55"/>
      <c r="C98" s="55"/>
      <c r="D98" s="55"/>
      <c r="E98" s="55"/>
      <c r="F98" s="56"/>
    </row>
    <row r="99">
      <c r="A99" s="55"/>
      <c r="B99" s="55"/>
      <c r="C99" s="55"/>
      <c r="D99" s="55"/>
      <c r="E99" s="55"/>
      <c r="F99" s="56"/>
    </row>
    <row r="100">
      <c r="A100" s="55"/>
      <c r="B100" s="55"/>
      <c r="C100" s="55"/>
      <c r="D100" s="55"/>
      <c r="E100" s="55"/>
      <c r="F100" s="56"/>
    </row>
    <row r="101">
      <c r="A101" s="55"/>
      <c r="B101" s="55"/>
      <c r="C101" s="55"/>
      <c r="D101" s="55"/>
      <c r="E101" s="55"/>
      <c r="F101" s="56"/>
    </row>
    <row r="102">
      <c r="A102" s="55"/>
      <c r="B102" s="55"/>
      <c r="C102" s="55"/>
      <c r="D102" s="55"/>
      <c r="E102" s="55"/>
      <c r="F102" s="56"/>
    </row>
    <row r="103">
      <c r="A103" s="55"/>
      <c r="B103" s="55"/>
      <c r="C103" s="55"/>
      <c r="D103" s="55"/>
      <c r="E103" s="55"/>
      <c r="F103" s="56"/>
    </row>
    <row r="104">
      <c r="A104" s="55"/>
      <c r="B104" s="55"/>
      <c r="C104" s="55"/>
      <c r="D104" s="55"/>
      <c r="E104" s="55"/>
      <c r="F104" s="56"/>
    </row>
    <row r="105">
      <c r="A105" s="55"/>
      <c r="B105" s="55"/>
      <c r="C105" s="55"/>
      <c r="D105" s="55"/>
      <c r="E105" s="55"/>
      <c r="F105" s="56"/>
    </row>
    <row r="106">
      <c r="A106" s="55"/>
      <c r="B106" s="55"/>
      <c r="C106" s="55"/>
      <c r="D106" s="55"/>
      <c r="E106" s="55"/>
      <c r="F106" s="56"/>
    </row>
    <row r="107">
      <c r="A107" s="55"/>
      <c r="B107" s="55"/>
      <c r="C107" s="55"/>
      <c r="D107" s="55"/>
      <c r="E107" s="55"/>
      <c r="F107" s="56"/>
    </row>
    <row r="108">
      <c r="A108" s="55"/>
      <c r="B108" s="55"/>
      <c r="C108" s="55"/>
      <c r="D108" s="55"/>
      <c r="E108" s="55"/>
      <c r="F108" s="56"/>
    </row>
    <row r="109">
      <c r="A109" s="55"/>
      <c r="B109" s="55"/>
      <c r="C109" s="55"/>
      <c r="D109" s="55"/>
      <c r="E109" s="55"/>
      <c r="F109" s="56"/>
    </row>
    <row r="110">
      <c r="A110" s="55"/>
      <c r="B110" s="55"/>
      <c r="C110" s="55"/>
      <c r="D110" s="55"/>
      <c r="E110" s="55"/>
      <c r="F110" s="56"/>
    </row>
    <row r="111">
      <c r="A111" s="55"/>
      <c r="B111" s="55"/>
      <c r="C111" s="55"/>
      <c r="D111" s="55"/>
      <c r="E111" s="55"/>
      <c r="F111" s="56"/>
    </row>
    <row r="112">
      <c r="A112" s="55"/>
      <c r="B112" s="55"/>
      <c r="C112" s="55"/>
      <c r="D112" s="55"/>
      <c r="E112" s="55"/>
      <c r="F112" s="56"/>
    </row>
    <row r="113">
      <c r="A113" s="55"/>
      <c r="B113" s="55"/>
      <c r="C113" s="55"/>
      <c r="D113" s="55"/>
      <c r="E113" s="55"/>
      <c r="F113" s="56"/>
    </row>
    <row r="114">
      <c r="A114" s="55"/>
      <c r="B114" s="55"/>
      <c r="C114" s="55"/>
      <c r="D114" s="55"/>
      <c r="E114" s="55"/>
      <c r="F114" s="56"/>
    </row>
    <row r="115">
      <c r="A115" s="55"/>
      <c r="B115" s="55"/>
      <c r="C115" s="55"/>
      <c r="D115" s="55"/>
      <c r="E115" s="55"/>
      <c r="F115" s="56"/>
    </row>
    <row r="116">
      <c r="A116" s="55"/>
      <c r="B116" s="55"/>
      <c r="C116" s="55"/>
      <c r="D116" s="55"/>
      <c r="E116" s="55"/>
      <c r="F116" s="56"/>
    </row>
    <row r="117">
      <c r="A117" s="55"/>
      <c r="B117" s="55"/>
      <c r="C117" s="55"/>
      <c r="D117" s="55"/>
      <c r="E117" s="55"/>
      <c r="F117" s="56"/>
    </row>
    <row r="118">
      <c r="A118" s="55"/>
      <c r="B118" s="55"/>
      <c r="C118" s="55"/>
      <c r="D118" s="55"/>
      <c r="E118" s="55"/>
      <c r="F118" s="56"/>
    </row>
    <row r="119">
      <c r="A119" s="55"/>
      <c r="B119" s="55"/>
      <c r="C119" s="55"/>
      <c r="D119" s="55"/>
      <c r="E119" s="55"/>
      <c r="F119" s="56"/>
    </row>
    <row r="120">
      <c r="A120" s="55"/>
      <c r="B120" s="55"/>
      <c r="C120" s="55"/>
      <c r="D120" s="55"/>
      <c r="E120" s="55"/>
      <c r="F120" s="56"/>
    </row>
    <row r="121">
      <c r="A121" s="55"/>
      <c r="B121" s="55"/>
      <c r="C121" s="55"/>
      <c r="D121" s="55"/>
      <c r="E121" s="55"/>
      <c r="F121" s="56"/>
    </row>
    <row r="122">
      <c r="A122" s="55"/>
      <c r="B122" s="55"/>
      <c r="C122" s="55"/>
      <c r="D122" s="55"/>
      <c r="E122" s="55"/>
      <c r="F122" s="56"/>
    </row>
    <row r="123">
      <c r="A123" s="55"/>
      <c r="B123" s="55"/>
      <c r="C123" s="55"/>
      <c r="D123" s="55"/>
      <c r="E123" s="55"/>
      <c r="F123" s="56"/>
    </row>
    <row r="124">
      <c r="A124" s="55"/>
      <c r="B124" s="55"/>
      <c r="C124" s="55"/>
      <c r="D124" s="55"/>
      <c r="E124" s="55"/>
      <c r="F124" s="56"/>
    </row>
    <row r="125">
      <c r="A125" s="55"/>
      <c r="B125" s="55"/>
      <c r="C125" s="55"/>
      <c r="D125" s="55"/>
      <c r="E125" s="55"/>
      <c r="F125" s="57"/>
    </row>
    <row r="126">
      <c r="A126" s="19"/>
      <c r="B126" s="22" t="s">
        <v>1892</v>
      </c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F127" s="59"/>
    </row>
    <row r="128">
      <c r="F128" s="59"/>
    </row>
    <row r="129">
      <c r="F129" s="59"/>
    </row>
    <row r="130">
      <c r="F130" s="59"/>
    </row>
    <row r="131">
      <c r="F131" s="59"/>
    </row>
    <row r="132">
      <c r="F132" s="59"/>
    </row>
    <row r="133">
      <c r="F133" s="59"/>
    </row>
    <row r="134">
      <c r="F134" s="59"/>
    </row>
    <row r="135">
      <c r="F135" s="59"/>
    </row>
    <row r="136">
      <c r="F136" s="59"/>
    </row>
    <row r="137">
      <c r="F137" s="59"/>
    </row>
    <row r="138">
      <c r="F138" s="59"/>
    </row>
    <row r="139">
      <c r="F139" s="59"/>
    </row>
    <row r="140">
      <c r="F140" s="59"/>
    </row>
    <row r="141">
      <c r="F141" s="59"/>
    </row>
    <row r="142">
      <c r="F142" s="59"/>
    </row>
    <row r="143">
      <c r="F143" s="59"/>
    </row>
    <row r="144">
      <c r="F144" s="59"/>
    </row>
    <row r="145">
      <c r="F145" s="59"/>
    </row>
    <row r="146">
      <c r="F146" s="59"/>
    </row>
    <row r="147">
      <c r="F147" s="59"/>
    </row>
    <row r="148">
      <c r="F148" s="59"/>
    </row>
    <row r="149">
      <c r="F149" s="59"/>
    </row>
    <row r="150">
      <c r="F150" s="59"/>
    </row>
    <row r="151">
      <c r="F151" s="59"/>
    </row>
    <row r="152">
      <c r="F152" s="59"/>
    </row>
    <row r="153">
      <c r="F153" s="59"/>
    </row>
    <row r="154">
      <c r="F154" s="59"/>
    </row>
    <row r="155">
      <c r="F155" s="59"/>
    </row>
    <row r="156">
      <c r="F156" s="59"/>
    </row>
    <row r="157">
      <c r="F157" s="59"/>
    </row>
    <row r="158">
      <c r="F158" s="59"/>
    </row>
    <row r="159">
      <c r="F159" s="59"/>
    </row>
    <row r="160">
      <c r="F160" s="59"/>
    </row>
    <row r="161">
      <c r="F161" s="59"/>
    </row>
    <row r="162">
      <c r="F162" s="59"/>
    </row>
    <row r="163">
      <c r="F163" s="59"/>
    </row>
    <row r="164">
      <c r="F164" s="59"/>
    </row>
    <row r="165">
      <c r="F165" s="59"/>
    </row>
    <row r="166">
      <c r="F166" s="59"/>
    </row>
    <row r="167">
      <c r="F167" s="59"/>
    </row>
    <row r="168">
      <c r="F168" s="59"/>
    </row>
    <row r="169">
      <c r="F169" s="59"/>
    </row>
    <row r="170">
      <c r="F170" s="59"/>
    </row>
    <row r="171">
      <c r="F171" s="59"/>
    </row>
    <row r="172">
      <c r="F172" s="59"/>
    </row>
    <row r="173">
      <c r="F173" s="59"/>
    </row>
    <row r="174">
      <c r="F174" s="59"/>
    </row>
    <row r="175">
      <c r="F175" s="59"/>
    </row>
    <row r="176">
      <c r="F176" s="59"/>
    </row>
    <row r="177">
      <c r="F177" s="59"/>
    </row>
    <row r="178">
      <c r="F178" s="59"/>
    </row>
    <row r="179">
      <c r="F179" s="59"/>
    </row>
    <row r="180">
      <c r="F180" s="59"/>
    </row>
    <row r="181">
      <c r="F181" s="59"/>
    </row>
    <row r="182">
      <c r="F182" s="59"/>
    </row>
    <row r="183">
      <c r="F183" s="59"/>
    </row>
    <row r="184">
      <c r="F184" s="59"/>
    </row>
    <row r="185">
      <c r="F185" s="59"/>
    </row>
    <row r="186">
      <c r="F186" s="59"/>
    </row>
    <row r="187">
      <c r="F187" s="59"/>
    </row>
    <row r="188">
      <c r="F188" s="59"/>
    </row>
    <row r="189">
      <c r="F189" s="59"/>
    </row>
    <row r="190">
      <c r="F190" s="59"/>
    </row>
    <row r="191">
      <c r="F191" s="59"/>
    </row>
    <row r="192">
      <c r="F192" s="59"/>
    </row>
    <row r="193">
      <c r="F193" s="59"/>
    </row>
    <row r="194">
      <c r="F194" s="59"/>
    </row>
    <row r="195">
      <c r="F195" s="59"/>
    </row>
    <row r="196">
      <c r="F196" s="59"/>
    </row>
    <row r="197">
      <c r="F197" s="59"/>
    </row>
    <row r="198">
      <c r="F198" s="59"/>
    </row>
    <row r="199">
      <c r="F199" s="59"/>
    </row>
    <row r="200">
      <c r="F200" s="59"/>
    </row>
    <row r="201">
      <c r="F201" s="59"/>
    </row>
    <row r="202">
      <c r="F202" s="59"/>
    </row>
    <row r="203">
      <c r="F203" s="59"/>
    </row>
    <row r="204">
      <c r="F204" s="59"/>
    </row>
    <row r="205">
      <c r="F205" s="59"/>
    </row>
    <row r="206">
      <c r="F206" s="59"/>
    </row>
    <row r="207">
      <c r="F207" s="59"/>
    </row>
    <row r="208">
      <c r="F208" s="59"/>
    </row>
    <row r="209">
      <c r="F209" s="59"/>
    </row>
    <row r="210">
      <c r="F210" s="59"/>
    </row>
    <row r="211">
      <c r="F211" s="59"/>
    </row>
    <row r="212">
      <c r="F212" s="59"/>
    </row>
    <row r="213">
      <c r="F213" s="59"/>
    </row>
    <row r="214">
      <c r="F214" s="59"/>
    </row>
    <row r="215">
      <c r="F215" s="59"/>
    </row>
    <row r="216">
      <c r="F216" s="59"/>
    </row>
    <row r="217">
      <c r="F217" s="59"/>
    </row>
    <row r="218">
      <c r="F218" s="59"/>
    </row>
    <row r="219">
      <c r="F219" s="59"/>
    </row>
    <row r="220">
      <c r="F220" s="59"/>
    </row>
    <row r="221">
      <c r="F221" s="59"/>
    </row>
    <row r="222">
      <c r="F222" s="59"/>
    </row>
    <row r="223">
      <c r="F223" s="59"/>
    </row>
    <row r="224">
      <c r="F224" s="59"/>
    </row>
    <row r="225">
      <c r="F225" s="59"/>
    </row>
    <row r="226">
      <c r="F226" s="59"/>
    </row>
    <row r="227">
      <c r="F227" s="59"/>
    </row>
    <row r="228">
      <c r="F228" s="59"/>
    </row>
    <row r="229">
      <c r="F229" s="59"/>
    </row>
    <row r="230">
      <c r="F230" s="59"/>
    </row>
    <row r="231">
      <c r="F231" s="59"/>
    </row>
    <row r="232">
      <c r="F232" s="59"/>
    </row>
    <row r="233">
      <c r="F233" s="59"/>
    </row>
    <row r="234">
      <c r="F234" s="59"/>
    </row>
    <row r="235">
      <c r="F235" s="59"/>
    </row>
    <row r="236">
      <c r="F236" s="59"/>
    </row>
    <row r="237">
      <c r="F237" s="59"/>
    </row>
    <row r="238">
      <c r="F238" s="59"/>
    </row>
    <row r="239">
      <c r="F239" s="59"/>
    </row>
    <row r="240">
      <c r="F240" s="59"/>
    </row>
    <row r="241">
      <c r="F241" s="59"/>
    </row>
    <row r="242">
      <c r="F242" s="59"/>
    </row>
    <row r="243">
      <c r="F243" s="59"/>
    </row>
    <row r="244">
      <c r="F244" s="59"/>
    </row>
    <row r="245">
      <c r="F245" s="59"/>
    </row>
    <row r="246">
      <c r="F246" s="59"/>
    </row>
    <row r="247">
      <c r="F247" s="59"/>
    </row>
    <row r="248">
      <c r="F248" s="59"/>
    </row>
    <row r="249">
      <c r="F249" s="59"/>
    </row>
    <row r="250">
      <c r="F250" s="59"/>
    </row>
    <row r="251">
      <c r="F251" s="59"/>
    </row>
    <row r="252">
      <c r="F252" s="59"/>
    </row>
    <row r="253">
      <c r="F253" s="59"/>
    </row>
    <row r="254">
      <c r="F254" s="59"/>
    </row>
    <row r="255">
      <c r="F255" s="59"/>
    </row>
    <row r="256">
      <c r="F256" s="59"/>
    </row>
    <row r="257">
      <c r="F257" s="59"/>
    </row>
    <row r="258">
      <c r="F258" s="59"/>
    </row>
    <row r="259">
      <c r="F259" s="59"/>
    </row>
    <row r="260">
      <c r="F260" s="59"/>
    </row>
    <row r="261">
      <c r="F261" s="59"/>
    </row>
    <row r="262">
      <c r="F262" s="59"/>
    </row>
    <row r="263">
      <c r="F263" s="59"/>
    </row>
    <row r="264">
      <c r="F264" s="59"/>
    </row>
    <row r="265">
      <c r="F265" s="59"/>
    </row>
    <row r="266">
      <c r="F266" s="59"/>
    </row>
    <row r="267">
      <c r="F267" s="59"/>
    </row>
    <row r="268">
      <c r="F268" s="59"/>
    </row>
    <row r="269">
      <c r="F269" s="59"/>
    </row>
    <row r="270">
      <c r="F270" s="59"/>
    </row>
    <row r="271">
      <c r="F271" s="59"/>
    </row>
    <row r="272">
      <c r="F272" s="59"/>
    </row>
    <row r="273">
      <c r="F273" s="59"/>
    </row>
    <row r="274">
      <c r="F274" s="59"/>
    </row>
    <row r="275">
      <c r="F275" s="59"/>
    </row>
    <row r="276">
      <c r="F276" s="59"/>
    </row>
    <row r="277">
      <c r="F277" s="59"/>
    </row>
    <row r="278">
      <c r="F278" s="59"/>
    </row>
    <row r="279">
      <c r="F279" s="59"/>
    </row>
    <row r="280">
      <c r="F280" s="59"/>
    </row>
    <row r="281">
      <c r="F281" s="59"/>
    </row>
    <row r="282">
      <c r="F282" s="59"/>
    </row>
    <row r="283">
      <c r="F283" s="59"/>
    </row>
    <row r="284">
      <c r="F284" s="59"/>
    </row>
    <row r="285">
      <c r="F285" s="59"/>
    </row>
    <row r="286">
      <c r="F286" s="59"/>
    </row>
    <row r="287">
      <c r="F287" s="59"/>
    </row>
    <row r="288">
      <c r="F288" s="59"/>
    </row>
    <row r="289">
      <c r="F289" s="59"/>
    </row>
    <row r="290">
      <c r="F290" s="59"/>
    </row>
    <row r="291">
      <c r="F291" s="59"/>
    </row>
    <row r="292">
      <c r="F292" s="59"/>
    </row>
    <row r="293">
      <c r="F293" s="59"/>
    </row>
    <row r="294">
      <c r="F294" s="59"/>
    </row>
    <row r="295">
      <c r="F295" s="59"/>
    </row>
    <row r="296">
      <c r="F296" s="59"/>
    </row>
    <row r="297">
      <c r="F297" s="59"/>
    </row>
    <row r="298">
      <c r="F298" s="59"/>
    </row>
    <row r="299">
      <c r="F299" s="59"/>
    </row>
    <row r="300">
      <c r="F300" s="59"/>
    </row>
    <row r="301">
      <c r="F301" s="59"/>
    </row>
    <row r="302">
      <c r="F302" s="59"/>
    </row>
    <row r="303">
      <c r="F303" s="59"/>
    </row>
    <row r="304">
      <c r="F304" s="59"/>
    </row>
    <row r="305">
      <c r="F305" s="59"/>
    </row>
    <row r="306">
      <c r="F306" s="59"/>
    </row>
    <row r="307">
      <c r="F307" s="59"/>
    </row>
    <row r="308">
      <c r="F308" s="59"/>
    </row>
    <row r="309">
      <c r="F309" s="59"/>
    </row>
    <row r="310">
      <c r="F310" s="59"/>
    </row>
    <row r="311">
      <c r="F311" s="59"/>
    </row>
    <row r="312">
      <c r="F312" s="59"/>
    </row>
    <row r="313">
      <c r="F313" s="59"/>
    </row>
    <row r="314">
      <c r="F314" s="59"/>
    </row>
    <row r="315">
      <c r="F315" s="59"/>
    </row>
    <row r="316">
      <c r="F316" s="59"/>
    </row>
    <row r="317">
      <c r="F317" s="59"/>
    </row>
    <row r="318">
      <c r="F318" s="59"/>
    </row>
    <row r="319">
      <c r="F319" s="59"/>
    </row>
    <row r="320">
      <c r="F320" s="59"/>
    </row>
    <row r="321">
      <c r="F321" s="59"/>
    </row>
    <row r="322">
      <c r="F322" s="59"/>
    </row>
    <row r="323">
      <c r="F323" s="59"/>
    </row>
    <row r="324">
      <c r="F324" s="59"/>
    </row>
    <row r="325">
      <c r="F325" s="59"/>
    </row>
    <row r="326">
      <c r="F326" s="59"/>
    </row>
    <row r="327">
      <c r="F327" s="59"/>
    </row>
    <row r="328">
      <c r="F328" s="59"/>
    </row>
    <row r="329">
      <c r="F329" s="59"/>
    </row>
    <row r="330">
      <c r="F330" s="59"/>
    </row>
    <row r="331">
      <c r="F331" s="59"/>
    </row>
    <row r="332">
      <c r="F332" s="59"/>
    </row>
    <row r="333">
      <c r="F333" s="59"/>
    </row>
    <row r="334">
      <c r="F334" s="59"/>
    </row>
    <row r="335">
      <c r="F335" s="59"/>
    </row>
    <row r="336">
      <c r="F336" s="59"/>
    </row>
    <row r="337">
      <c r="F337" s="59"/>
    </row>
    <row r="338">
      <c r="F338" s="59"/>
    </row>
    <row r="339">
      <c r="F339" s="59"/>
    </row>
    <row r="340">
      <c r="F340" s="59"/>
    </row>
    <row r="341">
      <c r="F341" s="59"/>
    </row>
    <row r="342">
      <c r="F342" s="59"/>
    </row>
    <row r="343">
      <c r="F343" s="59"/>
    </row>
    <row r="344">
      <c r="F344" s="59"/>
    </row>
    <row r="345">
      <c r="F345" s="59"/>
    </row>
    <row r="346">
      <c r="F346" s="59"/>
    </row>
    <row r="347">
      <c r="F347" s="59"/>
    </row>
    <row r="348">
      <c r="F348" s="59"/>
    </row>
    <row r="349">
      <c r="F349" s="59"/>
    </row>
    <row r="350">
      <c r="F350" s="59"/>
    </row>
    <row r="351">
      <c r="F351" s="59"/>
    </row>
    <row r="352">
      <c r="F352" s="59"/>
    </row>
    <row r="353">
      <c r="F353" s="59"/>
    </row>
    <row r="354">
      <c r="F354" s="59"/>
    </row>
    <row r="355">
      <c r="F355" s="59"/>
    </row>
    <row r="356">
      <c r="F356" s="59"/>
    </row>
    <row r="357">
      <c r="F357" s="59"/>
    </row>
    <row r="358">
      <c r="F358" s="59"/>
    </row>
    <row r="359">
      <c r="F359" s="59"/>
    </row>
    <row r="360">
      <c r="F360" s="59"/>
    </row>
    <row r="361">
      <c r="F361" s="59"/>
    </row>
    <row r="362">
      <c r="F362" s="59"/>
    </row>
    <row r="363">
      <c r="F363" s="59"/>
    </row>
    <row r="364">
      <c r="F364" s="59"/>
    </row>
    <row r="365">
      <c r="F365" s="59"/>
    </row>
    <row r="366">
      <c r="F366" s="59"/>
    </row>
    <row r="367">
      <c r="F367" s="59"/>
    </row>
    <row r="368">
      <c r="F368" s="59"/>
    </row>
    <row r="369">
      <c r="F369" s="59"/>
    </row>
    <row r="370">
      <c r="F370" s="59"/>
    </row>
    <row r="371">
      <c r="F371" s="59"/>
    </row>
    <row r="372">
      <c r="F372" s="59"/>
    </row>
    <row r="373">
      <c r="F373" s="59"/>
    </row>
    <row r="374">
      <c r="F374" s="59"/>
    </row>
    <row r="375">
      <c r="F375" s="59"/>
    </row>
    <row r="376">
      <c r="F376" s="59"/>
    </row>
    <row r="377">
      <c r="F377" s="59"/>
    </row>
    <row r="378">
      <c r="F378" s="59"/>
    </row>
    <row r="379">
      <c r="F379" s="59"/>
    </row>
    <row r="380">
      <c r="F380" s="59"/>
    </row>
    <row r="381">
      <c r="F381" s="59"/>
    </row>
    <row r="382">
      <c r="F382" s="59"/>
    </row>
    <row r="383">
      <c r="F383" s="59"/>
    </row>
    <row r="384">
      <c r="F384" s="59"/>
    </row>
    <row r="385">
      <c r="F385" s="59"/>
    </row>
    <row r="386">
      <c r="F386" s="59"/>
    </row>
    <row r="387">
      <c r="F387" s="59"/>
    </row>
    <row r="388">
      <c r="F388" s="59"/>
    </row>
    <row r="389">
      <c r="F389" s="59"/>
    </row>
    <row r="390">
      <c r="F390" s="59"/>
    </row>
    <row r="391">
      <c r="F391" s="59"/>
    </row>
    <row r="392">
      <c r="F392" s="59"/>
    </row>
    <row r="393">
      <c r="F393" s="59"/>
    </row>
    <row r="394">
      <c r="F394" s="59"/>
    </row>
    <row r="395">
      <c r="F395" s="59"/>
    </row>
    <row r="396">
      <c r="F396" s="59"/>
    </row>
    <row r="397">
      <c r="F397" s="59"/>
    </row>
    <row r="398">
      <c r="F398" s="59"/>
    </row>
    <row r="399">
      <c r="F399" s="59"/>
    </row>
    <row r="400">
      <c r="F400" s="59"/>
    </row>
    <row r="401">
      <c r="F401" s="59"/>
    </row>
    <row r="402">
      <c r="F402" s="59"/>
    </row>
    <row r="403">
      <c r="F403" s="59"/>
    </row>
    <row r="404">
      <c r="F404" s="59"/>
    </row>
    <row r="405">
      <c r="F405" s="59"/>
    </row>
    <row r="406">
      <c r="F406" s="59"/>
    </row>
    <row r="407">
      <c r="F407" s="59"/>
    </row>
    <row r="408">
      <c r="F408" s="59"/>
    </row>
    <row r="409">
      <c r="F409" s="59"/>
    </row>
    <row r="410">
      <c r="F410" s="59"/>
    </row>
    <row r="411">
      <c r="F411" s="59"/>
    </row>
    <row r="412">
      <c r="F412" s="59"/>
    </row>
    <row r="413">
      <c r="F413" s="59"/>
    </row>
    <row r="414">
      <c r="F414" s="59"/>
    </row>
    <row r="415">
      <c r="F415" s="59"/>
    </row>
    <row r="416">
      <c r="F416" s="59"/>
    </row>
    <row r="417">
      <c r="F417" s="59"/>
    </row>
    <row r="418">
      <c r="F418" s="59"/>
    </row>
    <row r="419">
      <c r="F419" s="59"/>
    </row>
    <row r="420">
      <c r="F420" s="59"/>
    </row>
    <row r="421">
      <c r="F421" s="59"/>
    </row>
    <row r="422">
      <c r="F422" s="59"/>
    </row>
    <row r="423">
      <c r="F423" s="59"/>
    </row>
    <row r="424">
      <c r="F424" s="59"/>
    </row>
    <row r="425">
      <c r="F425" s="59"/>
    </row>
    <row r="426">
      <c r="F426" s="59"/>
    </row>
    <row r="427">
      <c r="F427" s="59"/>
    </row>
    <row r="428">
      <c r="F428" s="59"/>
    </row>
    <row r="429">
      <c r="F429" s="59"/>
    </row>
    <row r="430">
      <c r="F430" s="59"/>
    </row>
    <row r="431">
      <c r="F431" s="59"/>
    </row>
    <row r="432">
      <c r="F432" s="59"/>
    </row>
    <row r="433">
      <c r="F433" s="59"/>
    </row>
    <row r="434">
      <c r="F434" s="59"/>
    </row>
    <row r="435">
      <c r="F435" s="59"/>
    </row>
    <row r="436">
      <c r="F436" s="59"/>
    </row>
    <row r="437">
      <c r="F437" s="59"/>
    </row>
    <row r="438">
      <c r="F438" s="59"/>
    </row>
    <row r="439">
      <c r="F439" s="59"/>
    </row>
    <row r="440">
      <c r="F440" s="59"/>
    </row>
    <row r="441">
      <c r="F441" s="59"/>
    </row>
    <row r="442">
      <c r="F442" s="59"/>
    </row>
    <row r="443">
      <c r="F443" s="59"/>
    </row>
    <row r="444">
      <c r="F444" s="59"/>
    </row>
    <row r="445">
      <c r="F445" s="59"/>
    </row>
    <row r="446">
      <c r="F446" s="59"/>
    </row>
    <row r="447">
      <c r="F447" s="59"/>
    </row>
    <row r="448">
      <c r="F448" s="59"/>
    </row>
    <row r="449">
      <c r="F449" s="59"/>
    </row>
    <row r="450">
      <c r="F450" s="59"/>
    </row>
    <row r="451">
      <c r="F451" s="59"/>
    </row>
    <row r="452">
      <c r="F452" s="59"/>
    </row>
    <row r="453">
      <c r="F453" s="59"/>
    </row>
    <row r="454">
      <c r="F454" s="59"/>
    </row>
    <row r="455">
      <c r="F455" s="59"/>
    </row>
    <row r="456">
      <c r="F456" s="59"/>
    </row>
    <row r="457">
      <c r="F457" s="59"/>
    </row>
    <row r="458">
      <c r="F458" s="59"/>
    </row>
    <row r="459">
      <c r="F459" s="59"/>
    </row>
    <row r="460">
      <c r="F460" s="59"/>
    </row>
    <row r="461">
      <c r="F461" s="59"/>
    </row>
    <row r="462">
      <c r="F462" s="59"/>
    </row>
    <row r="463">
      <c r="F463" s="59"/>
    </row>
    <row r="464">
      <c r="F464" s="59"/>
    </row>
    <row r="465">
      <c r="F465" s="59"/>
    </row>
    <row r="466">
      <c r="F466" s="59"/>
    </row>
    <row r="467">
      <c r="F467" s="59"/>
    </row>
    <row r="468">
      <c r="F468" s="59"/>
    </row>
    <row r="469">
      <c r="F469" s="59"/>
    </row>
    <row r="470">
      <c r="F470" s="59"/>
    </row>
    <row r="471">
      <c r="F471" s="59"/>
    </row>
    <row r="472">
      <c r="F472" s="59"/>
    </row>
    <row r="473">
      <c r="F473" s="59"/>
    </row>
    <row r="474">
      <c r="F474" s="59"/>
    </row>
    <row r="475">
      <c r="F475" s="59"/>
    </row>
    <row r="476">
      <c r="F476" s="59"/>
    </row>
    <row r="477">
      <c r="F477" s="59"/>
    </row>
    <row r="478">
      <c r="F478" s="59"/>
    </row>
    <row r="479">
      <c r="F479" s="59"/>
    </row>
    <row r="480">
      <c r="F480" s="59"/>
    </row>
    <row r="481">
      <c r="F481" s="59"/>
    </row>
    <row r="482">
      <c r="F482" s="59"/>
    </row>
    <row r="483">
      <c r="F483" s="59"/>
    </row>
    <row r="484">
      <c r="F484" s="59"/>
    </row>
    <row r="485">
      <c r="F485" s="59"/>
    </row>
    <row r="486">
      <c r="F486" s="59"/>
    </row>
    <row r="487">
      <c r="F487" s="59"/>
    </row>
    <row r="488">
      <c r="F488" s="59"/>
    </row>
    <row r="489">
      <c r="F489" s="59"/>
    </row>
    <row r="490">
      <c r="F490" s="59"/>
    </row>
    <row r="491">
      <c r="F491" s="59"/>
    </row>
    <row r="492">
      <c r="F492" s="59"/>
    </row>
    <row r="493">
      <c r="F493" s="59"/>
    </row>
    <row r="494">
      <c r="F494" s="59"/>
    </row>
    <row r="495">
      <c r="F495" s="59"/>
    </row>
    <row r="496">
      <c r="F496" s="59"/>
    </row>
    <row r="497">
      <c r="F497" s="59"/>
    </row>
    <row r="498">
      <c r="F498" s="59"/>
    </row>
    <row r="499">
      <c r="F499" s="59"/>
    </row>
    <row r="500">
      <c r="F500" s="59"/>
    </row>
    <row r="501">
      <c r="F501" s="59"/>
    </row>
    <row r="502">
      <c r="F502" s="59"/>
    </row>
    <row r="503">
      <c r="F503" s="59"/>
    </row>
    <row r="504">
      <c r="F504" s="59"/>
    </row>
    <row r="505">
      <c r="F505" s="59"/>
    </row>
    <row r="506">
      <c r="F506" s="59"/>
    </row>
    <row r="507">
      <c r="F507" s="59"/>
    </row>
    <row r="508">
      <c r="F508" s="59"/>
    </row>
    <row r="509">
      <c r="F509" s="59"/>
    </row>
    <row r="510">
      <c r="F510" s="59"/>
    </row>
    <row r="511">
      <c r="F511" s="59"/>
    </row>
    <row r="512">
      <c r="F512" s="59"/>
    </row>
    <row r="513">
      <c r="F513" s="59"/>
    </row>
    <row r="514">
      <c r="F514" s="59"/>
    </row>
    <row r="515">
      <c r="F515" s="59"/>
    </row>
    <row r="516">
      <c r="F516" s="59"/>
    </row>
    <row r="517">
      <c r="F517" s="59"/>
    </row>
    <row r="518">
      <c r="F518" s="59"/>
    </row>
    <row r="519">
      <c r="F519" s="59"/>
    </row>
    <row r="520">
      <c r="F520" s="59"/>
    </row>
    <row r="521">
      <c r="F521" s="59"/>
    </row>
    <row r="522">
      <c r="F522" s="59"/>
    </row>
    <row r="523">
      <c r="F523" s="59"/>
    </row>
    <row r="524">
      <c r="F524" s="59"/>
    </row>
    <row r="525">
      <c r="F525" s="59"/>
    </row>
    <row r="526">
      <c r="F526" s="59"/>
    </row>
    <row r="527">
      <c r="F527" s="59"/>
    </row>
    <row r="528">
      <c r="F528" s="59"/>
    </row>
    <row r="529">
      <c r="F529" s="59"/>
    </row>
    <row r="530">
      <c r="F530" s="59"/>
    </row>
    <row r="531">
      <c r="F531" s="59"/>
    </row>
    <row r="532">
      <c r="F532" s="59"/>
    </row>
    <row r="533">
      <c r="F533" s="59"/>
    </row>
    <row r="534">
      <c r="F534" s="59"/>
    </row>
    <row r="535">
      <c r="F535" s="59"/>
    </row>
    <row r="536">
      <c r="F536" s="59"/>
    </row>
    <row r="537">
      <c r="F537" s="59"/>
    </row>
    <row r="538">
      <c r="F538" s="59"/>
    </row>
    <row r="539">
      <c r="F539" s="59"/>
    </row>
    <row r="540">
      <c r="F540" s="59"/>
    </row>
    <row r="541">
      <c r="F541" s="59"/>
    </row>
    <row r="542">
      <c r="F542" s="59"/>
    </row>
    <row r="543">
      <c r="F543" s="59"/>
    </row>
    <row r="544">
      <c r="F544" s="59"/>
    </row>
    <row r="545">
      <c r="F545" s="59"/>
    </row>
    <row r="546">
      <c r="F546" s="59"/>
    </row>
    <row r="547">
      <c r="F547" s="59"/>
    </row>
    <row r="548">
      <c r="F548" s="59"/>
    </row>
    <row r="549">
      <c r="F549" s="59"/>
    </row>
    <row r="550">
      <c r="F550" s="59"/>
    </row>
    <row r="551">
      <c r="F551" s="59"/>
    </row>
    <row r="552">
      <c r="F552" s="59"/>
    </row>
    <row r="553">
      <c r="F553" s="59"/>
    </row>
    <row r="554">
      <c r="F554" s="59"/>
    </row>
    <row r="555">
      <c r="F555" s="59"/>
    </row>
    <row r="556">
      <c r="F556" s="59"/>
    </row>
    <row r="557">
      <c r="F557" s="59"/>
    </row>
    <row r="558">
      <c r="F558" s="59"/>
    </row>
    <row r="559">
      <c r="F559" s="59"/>
    </row>
    <row r="560">
      <c r="F560" s="59"/>
    </row>
    <row r="561">
      <c r="F561" s="59"/>
    </row>
    <row r="562">
      <c r="F562" s="59"/>
    </row>
    <row r="563">
      <c r="F563" s="59"/>
    </row>
    <row r="564">
      <c r="F564" s="59"/>
    </row>
    <row r="565">
      <c r="F565" s="59"/>
    </row>
    <row r="566">
      <c r="F566" s="59"/>
    </row>
    <row r="567">
      <c r="F567" s="59"/>
    </row>
    <row r="568">
      <c r="F568" s="59"/>
    </row>
    <row r="569">
      <c r="F569" s="59"/>
    </row>
    <row r="570">
      <c r="F570" s="59"/>
    </row>
    <row r="571">
      <c r="F571" s="59"/>
    </row>
    <row r="572">
      <c r="F572" s="59"/>
    </row>
    <row r="573">
      <c r="F573" s="59"/>
    </row>
    <row r="574">
      <c r="F574" s="59"/>
    </row>
    <row r="575">
      <c r="F575" s="59"/>
    </row>
    <row r="576">
      <c r="F576" s="59"/>
    </row>
    <row r="577">
      <c r="F577" s="59"/>
    </row>
    <row r="578">
      <c r="F578" s="59"/>
    </row>
    <row r="579">
      <c r="F579" s="59"/>
    </row>
    <row r="580">
      <c r="F580" s="59"/>
    </row>
    <row r="581">
      <c r="F581" s="59"/>
    </row>
    <row r="582">
      <c r="F582" s="59"/>
    </row>
    <row r="583">
      <c r="F583" s="59"/>
    </row>
    <row r="584">
      <c r="F584" s="59"/>
    </row>
    <row r="585">
      <c r="F585" s="59"/>
    </row>
    <row r="586">
      <c r="F586" s="59"/>
    </row>
    <row r="587">
      <c r="F587" s="59"/>
    </row>
    <row r="588">
      <c r="F588" s="59"/>
    </row>
    <row r="589">
      <c r="F589" s="59"/>
    </row>
    <row r="590">
      <c r="F590" s="59"/>
    </row>
    <row r="591">
      <c r="F591" s="59"/>
    </row>
    <row r="592">
      <c r="F592" s="59"/>
    </row>
    <row r="593">
      <c r="F593" s="59"/>
    </row>
    <row r="594">
      <c r="F594" s="59"/>
    </row>
    <row r="595">
      <c r="F595" s="59"/>
    </row>
    <row r="596">
      <c r="F596" s="59"/>
    </row>
    <row r="597">
      <c r="F597" s="59"/>
    </row>
    <row r="598">
      <c r="F598" s="59"/>
    </row>
    <row r="599">
      <c r="F599" s="59"/>
    </row>
    <row r="600">
      <c r="F600" s="59"/>
    </row>
    <row r="601">
      <c r="F601" s="59"/>
    </row>
    <row r="602">
      <c r="F602" s="59"/>
    </row>
    <row r="603">
      <c r="F603" s="59"/>
    </row>
    <row r="604">
      <c r="F604" s="59"/>
    </row>
    <row r="605">
      <c r="F605" s="59"/>
    </row>
    <row r="606">
      <c r="F606" s="59"/>
    </row>
    <row r="607">
      <c r="F607" s="59"/>
    </row>
    <row r="608">
      <c r="F608" s="59"/>
    </row>
    <row r="609">
      <c r="F609" s="59"/>
    </row>
    <row r="610">
      <c r="F610" s="59"/>
    </row>
    <row r="611">
      <c r="F611" s="59"/>
    </row>
    <row r="612">
      <c r="F612" s="59"/>
    </row>
    <row r="613">
      <c r="F613" s="59"/>
    </row>
    <row r="614">
      <c r="F614" s="59"/>
    </row>
    <row r="615">
      <c r="F615" s="59"/>
    </row>
    <row r="616">
      <c r="F616" s="59"/>
    </row>
    <row r="617">
      <c r="F617" s="59"/>
    </row>
    <row r="618">
      <c r="F618" s="59"/>
    </row>
    <row r="619">
      <c r="F619" s="59"/>
    </row>
    <row r="620">
      <c r="F620" s="59"/>
    </row>
    <row r="621">
      <c r="F621" s="59"/>
    </row>
    <row r="622">
      <c r="F622" s="59"/>
    </row>
    <row r="623">
      <c r="F623" s="59"/>
    </row>
    <row r="624">
      <c r="F624" s="59"/>
    </row>
    <row r="625">
      <c r="F625" s="59"/>
    </row>
    <row r="626">
      <c r="F626" s="59"/>
    </row>
    <row r="627">
      <c r="F627" s="59"/>
    </row>
    <row r="628">
      <c r="F628" s="59"/>
    </row>
    <row r="629">
      <c r="F629" s="59"/>
    </row>
    <row r="630">
      <c r="F630" s="59"/>
    </row>
    <row r="631">
      <c r="F631" s="59"/>
    </row>
    <row r="632">
      <c r="F632" s="59"/>
    </row>
    <row r="633">
      <c r="F633" s="59"/>
    </row>
    <row r="634">
      <c r="F634" s="59"/>
    </row>
    <row r="635">
      <c r="F635" s="59"/>
    </row>
    <row r="636">
      <c r="F636" s="59"/>
    </row>
    <row r="637">
      <c r="F637" s="59"/>
    </row>
    <row r="638">
      <c r="F638" s="59"/>
    </row>
    <row r="639">
      <c r="F639" s="59"/>
    </row>
    <row r="640">
      <c r="F640" s="59"/>
    </row>
    <row r="641">
      <c r="F641" s="59"/>
    </row>
    <row r="642">
      <c r="F642" s="59"/>
    </row>
    <row r="643">
      <c r="F643" s="59"/>
    </row>
    <row r="644">
      <c r="F644" s="59"/>
    </row>
    <row r="645">
      <c r="F645" s="59"/>
    </row>
    <row r="646">
      <c r="F646" s="59"/>
    </row>
    <row r="647">
      <c r="F647" s="59"/>
    </row>
    <row r="648">
      <c r="F648" s="59"/>
    </row>
    <row r="649">
      <c r="F649" s="59"/>
    </row>
    <row r="650">
      <c r="F650" s="59"/>
    </row>
    <row r="651">
      <c r="F651" s="59"/>
    </row>
    <row r="652">
      <c r="F652" s="59"/>
    </row>
    <row r="653">
      <c r="F653" s="59"/>
    </row>
    <row r="654">
      <c r="F654" s="59"/>
    </row>
    <row r="655">
      <c r="F655" s="59"/>
    </row>
    <row r="656">
      <c r="F656" s="59"/>
    </row>
    <row r="657">
      <c r="F657" s="59"/>
    </row>
    <row r="658">
      <c r="F658" s="59"/>
    </row>
    <row r="659">
      <c r="F659" s="59"/>
    </row>
    <row r="660">
      <c r="F660" s="59"/>
    </row>
    <row r="661">
      <c r="F661" s="59"/>
    </row>
    <row r="662">
      <c r="F662" s="59"/>
    </row>
    <row r="663">
      <c r="F663" s="59"/>
    </row>
    <row r="664">
      <c r="F664" s="59"/>
    </row>
    <row r="665">
      <c r="F665" s="59"/>
    </row>
    <row r="666">
      <c r="F666" s="59"/>
    </row>
    <row r="667">
      <c r="F667" s="59"/>
    </row>
    <row r="668">
      <c r="F668" s="59"/>
    </row>
    <row r="669">
      <c r="F669" s="59"/>
    </row>
    <row r="670">
      <c r="F670" s="59"/>
    </row>
    <row r="671">
      <c r="F671" s="59"/>
    </row>
    <row r="672">
      <c r="F672" s="59"/>
    </row>
    <row r="673">
      <c r="F673" s="59"/>
    </row>
    <row r="674">
      <c r="F674" s="59"/>
    </row>
    <row r="675">
      <c r="F675" s="59"/>
    </row>
    <row r="676">
      <c r="F676" s="59"/>
    </row>
    <row r="677">
      <c r="F677" s="59"/>
    </row>
    <row r="678">
      <c r="F678" s="59"/>
    </row>
    <row r="679">
      <c r="F679" s="59"/>
    </row>
    <row r="680">
      <c r="F680" s="59"/>
    </row>
    <row r="681">
      <c r="F681" s="59"/>
    </row>
    <row r="682">
      <c r="F682" s="59"/>
    </row>
    <row r="683">
      <c r="F683" s="59"/>
    </row>
    <row r="684">
      <c r="F684" s="59"/>
    </row>
    <row r="685">
      <c r="F685" s="59"/>
    </row>
    <row r="686">
      <c r="F686" s="59"/>
    </row>
    <row r="687">
      <c r="F687" s="59"/>
    </row>
    <row r="688">
      <c r="F688" s="59"/>
    </row>
    <row r="689">
      <c r="F689" s="59"/>
    </row>
    <row r="690">
      <c r="F690" s="59"/>
    </row>
    <row r="691">
      <c r="F691" s="59"/>
    </row>
    <row r="692">
      <c r="F692" s="59"/>
    </row>
    <row r="693">
      <c r="F693" s="59"/>
    </row>
    <row r="694">
      <c r="F694" s="59"/>
    </row>
    <row r="695">
      <c r="F695" s="59"/>
    </row>
    <row r="696">
      <c r="F696" s="59"/>
    </row>
    <row r="697">
      <c r="F697" s="59"/>
    </row>
    <row r="698">
      <c r="F698" s="59"/>
    </row>
    <row r="699">
      <c r="F699" s="59"/>
    </row>
    <row r="700">
      <c r="F700" s="59"/>
    </row>
    <row r="701">
      <c r="F701" s="59"/>
    </row>
    <row r="702">
      <c r="F702" s="59"/>
    </row>
    <row r="703">
      <c r="F703" s="59"/>
    </row>
    <row r="704">
      <c r="F704" s="59"/>
    </row>
    <row r="705">
      <c r="F705" s="59"/>
    </row>
    <row r="706">
      <c r="F706" s="59"/>
    </row>
    <row r="707">
      <c r="F707" s="59"/>
    </row>
    <row r="708">
      <c r="F708" s="59"/>
    </row>
    <row r="709">
      <c r="F709" s="59"/>
    </row>
    <row r="710">
      <c r="F710" s="59"/>
    </row>
    <row r="711">
      <c r="F711" s="59"/>
    </row>
    <row r="712">
      <c r="F712" s="59"/>
    </row>
    <row r="713">
      <c r="F713" s="59"/>
    </row>
    <row r="714">
      <c r="F714" s="59"/>
    </row>
    <row r="715">
      <c r="F715" s="59"/>
    </row>
    <row r="716">
      <c r="F716" s="59"/>
    </row>
    <row r="717">
      <c r="F717" s="59"/>
    </row>
    <row r="718">
      <c r="F718" s="59"/>
    </row>
    <row r="719">
      <c r="F719" s="59"/>
    </row>
    <row r="720">
      <c r="F720" s="59"/>
    </row>
    <row r="721">
      <c r="F721" s="59"/>
    </row>
    <row r="722">
      <c r="F722" s="59"/>
    </row>
    <row r="723">
      <c r="F723" s="59"/>
    </row>
    <row r="724">
      <c r="F724" s="59"/>
    </row>
    <row r="725">
      <c r="F725" s="59"/>
    </row>
    <row r="726">
      <c r="F726" s="59"/>
    </row>
    <row r="727">
      <c r="F727" s="59"/>
    </row>
    <row r="728">
      <c r="F728" s="59"/>
    </row>
    <row r="729">
      <c r="F729" s="59"/>
    </row>
    <row r="730">
      <c r="F730" s="59"/>
    </row>
    <row r="731">
      <c r="F731" s="59"/>
    </row>
    <row r="732">
      <c r="F732" s="59"/>
    </row>
    <row r="733">
      <c r="F733" s="59"/>
    </row>
    <row r="734">
      <c r="F734" s="59"/>
    </row>
    <row r="735">
      <c r="F735" s="59"/>
    </row>
    <row r="736">
      <c r="F736" s="59"/>
    </row>
    <row r="737">
      <c r="F737" s="59"/>
    </row>
    <row r="738">
      <c r="F738" s="59"/>
    </row>
    <row r="739">
      <c r="F739" s="59"/>
    </row>
    <row r="740">
      <c r="F740" s="59"/>
    </row>
    <row r="741">
      <c r="F741" s="59"/>
    </row>
    <row r="742">
      <c r="F742" s="59"/>
    </row>
    <row r="743">
      <c r="F743" s="59"/>
    </row>
    <row r="744">
      <c r="F744" s="59"/>
    </row>
    <row r="745">
      <c r="F745" s="59"/>
    </row>
    <row r="746">
      <c r="F746" s="59"/>
    </row>
    <row r="747">
      <c r="F747" s="59"/>
    </row>
    <row r="748">
      <c r="F748" s="59"/>
    </row>
    <row r="749">
      <c r="F749" s="59"/>
    </row>
    <row r="750">
      <c r="F750" s="59"/>
    </row>
    <row r="751">
      <c r="F751" s="59"/>
    </row>
    <row r="752">
      <c r="F752" s="59"/>
    </row>
    <row r="753">
      <c r="F753" s="59"/>
    </row>
    <row r="754">
      <c r="F754" s="59"/>
    </row>
    <row r="755">
      <c r="F755" s="59"/>
    </row>
    <row r="756">
      <c r="F756" s="59"/>
    </row>
    <row r="757">
      <c r="F757" s="59"/>
    </row>
    <row r="758">
      <c r="F758" s="59"/>
    </row>
    <row r="759">
      <c r="F759" s="59"/>
    </row>
    <row r="760">
      <c r="F760" s="59"/>
    </row>
    <row r="761">
      <c r="F761" s="59"/>
    </row>
    <row r="762">
      <c r="F762" s="59"/>
    </row>
    <row r="763">
      <c r="F763" s="59"/>
    </row>
    <row r="764">
      <c r="F764" s="59"/>
    </row>
    <row r="765">
      <c r="F765" s="59"/>
    </row>
    <row r="766">
      <c r="F766" s="59"/>
    </row>
    <row r="767">
      <c r="F767" s="59"/>
    </row>
    <row r="768">
      <c r="F768" s="59"/>
    </row>
    <row r="769">
      <c r="F769" s="59"/>
    </row>
    <row r="770">
      <c r="F770" s="59"/>
    </row>
    <row r="771">
      <c r="F771" s="59"/>
    </row>
    <row r="772">
      <c r="F772" s="59"/>
    </row>
    <row r="773">
      <c r="F773" s="59"/>
    </row>
    <row r="774">
      <c r="F774" s="59"/>
    </row>
    <row r="775">
      <c r="F775" s="59"/>
    </row>
    <row r="776">
      <c r="F776" s="59"/>
    </row>
    <row r="777">
      <c r="F777" s="59"/>
    </row>
    <row r="778">
      <c r="F778" s="59"/>
    </row>
    <row r="779">
      <c r="F779" s="59"/>
    </row>
    <row r="780">
      <c r="F780" s="59"/>
    </row>
    <row r="781">
      <c r="F781" s="59"/>
    </row>
    <row r="782">
      <c r="F782" s="59"/>
    </row>
    <row r="783">
      <c r="F783" s="59"/>
    </row>
    <row r="784">
      <c r="F784" s="59"/>
    </row>
    <row r="785">
      <c r="F785" s="59"/>
    </row>
    <row r="786">
      <c r="F786" s="59"/>
    </row>
    <row r="787">
      <c r="F787" s="59"/>
    </row>
    <row r="788">
      <c r="F788" s="59"/>
    </row>
    <row r="789">
      <c r="F789" s="59"/>
    </row>
    <row r="790">
      <c r="F790" s="59"/>
    </row>
    <row r="791">
      <c r="F791" s="59"/>
    </row>
    <row r="792">
      <c r="F792" s="59"/>
    </row>
    <row r="793">
      <c r="F793" s="59"/>
    </row>
    <row r="794">
      <c r="F794" s="59"/>
    </row>
    <row r="795">
      <c r="F795" s="59"/>
    </row>
    <row r="796">
      <c r="F796" s="59"/>
    </row>
    <row r="797">
      <c r="F797" s="59"/>
    </row>
    <row r="798">
      <c r="F798" s="59"/>
    </row>
    <row r="799">
      <c r="F799" s="59"/>
    </row>
    <row r="800">
      <c r="F800" s="59"/>
    </row>
    <row r="801">
      <c r="F801" s="59"/>
    </row>
    <row r="802">
      <c r="F802" s="59"/>
    </row>
    <row r="803">
      <c r="F803" s="59"/>
    </row>
    <row r="804">
      <c r="F804" s="59"/>
    </row>
    <row r="805">
      <c r="F805" s="59"/>
    </row>
    <row r="806">
      <c r="F806" s="59"/>
    </row>
    <row r="807">
      <c r="F807" s="59"/>
    </row>
    <row r="808">
      <c r="F808" s="59"/>
    </row>
    <row r="809">
      <c r="F809" s="59"/>
    </row>
    <row r="810">
      <c r="F810" s="59"/>
    </row>
    <row r="811">
      <c r="F811" s="59"/>
    </row>
    <row r="812">
      <c r="F812" s="59"/>
    </row>
    <row r="813">
      <c r="F813" s="59"/>
    </row>
    <row r="814">
      <c r="F814" s="59"/>
    </row>
    <row r="815">
      <c r="F815" s="59"/>
    </row>
    <row r="816">
      <c r="F816" s="59"/>
    </row>
    <row r="817">
      <c r="F817" s="59"/>
    </row>
    <row r="818">
      <c r="F818" s="59"/>
    </row>
    <row r="819">
      <c r="F819" s="59"/>
    </row>
    <row r="820">
      <c r="F820" s="59"/>
    </row>
    <row r="821">
      <c r="F821" s="59"/>
    </row>
    <row r="822">
      <c r="F822" s="59"/>
    </row>
    <row r="823">
      <c r="F823" s="59"/>
    </row>
    <row r="824">
      <c r="F824" s="59"/>
    </row>
    <row r="825">
      <c r="F825" s="59"/>
    </row>
    <row r="826">
      <c r="F826" s="59"/>
    </row>
    <row r="827">
      <c r="F827" s="59"/>
    </row>
    <row r="828">
      <c r="F828" s="59"/>
    </row>
    <row r="829">
      <c r="F829" s="59"/>
    </row>
    <row r="830">
      <c r="F830" s="59"/>
    </row>
    <row r="831">
      <c r="F831" s="59"/>
    </row>
    <row r="832">
      <c r="F832" s="59"/>
    </row>
    <row r="833">
      <c r="F833" s="59"/>
    </row>
    <row r="834">
      <c r="F834" s="59"/>
    </row>
    <row r="835">
      <c r="F835" s="59"/>
    </row>
    <row r="836">
      <c r="F836" s="59"/>
    </row>
    <row r="837">
      <c r="F837" s="59"/>
    </row>
    <row r="838">
      <c r="F838" s="59"/>
    </row>
    <row r="839">
      <c r="F839" s="59"/>
    </row>
    <row r="840">
      <c r="F840" s="59"/>
    </row>
    <row r="841">
      <c r="F841" s="59"/>
    </row>
    <row r="842">
      <c r="F842" s="59"/>
    </row>
    <row r="843">
      <c r="F843" s="59"/>
    </row>
    <row r="844">
      <c r="F844" s="59"/>
    </row>
    <row r="845">
      <c r="F845" s="59"/>
    </row>
    <row r="846">
      <c r="F846" s="59"/>
    </row>
    <row r="847">
      <c r="F847" s="59"/>
    </row>
    <row r="848">
      <c r="F848" s="59"/>
    </row>
    <row r="849">
      <c r="F849" s="59"/>
    </row>
    <row r="850">
      <c r="F850" s="59"/>
    </row>
    <row r="851">
      <c r="F851" s="59"/>
    </row>
    <row r="852">
      <c r="F852" s="59"/>
    </row>
    <row r="853">
      <c r="F853" s="59"/>
    </row>
    <row r="854">
      <c r="F854" s="59"/>
    </row>
    <row r="855">
      <c r="F855" s="59"/>
    </row>
    <row r="856">
      <c r="F856" s="59"/>
    </row>
    <row r="857">
      <c r="F857" s="59"/>
    </row>
    <row r="858">
      <c r="F858" s="59"/>
    </row>
    <row r="859">
      <c r="F859" s="59"/>
    </row>
    <row r="860">
      <c r="F860" s="59"/>
    </row>
    <row r="861">
      <c r="F861" s="59"/>
    </row>
    <row r="862">
      <c r="F862" s="59"/>
    </row>
    <row r="863">
      <c r="F863" s="59"/>
    </row>
    <row r="864">
      <c r="F864" s="59"/>
    </row>
    <row r="865">
      <c r="F865" s="59"/>
    </row>
    <row r="866">
      <c r="F866" s="59"/>
    </row>
    <row r="867">
      <c r="F867" s="59"/>
    </row>
    <row r="868">
      <c r="F868" s="59"/>
    </row>
    <row r="869">
      <c r="F869" s="59"/>
    </row>
    <row r="870">
      <c r="F870" s="59"/>
    </row>
    <row r="871">
      <c r="F871" s="59"/>
    </row>
    <row r="872">
      <c r="F872" s="59"/>
    </row>
    <row r="873">
      <c r="F873" s="59"/>
    </row>
    <row r="874">
      <c r="F874" s="59"/>
    </row>
    <row r="875">
      <c r="F875" s="59"/>
    </row>
    <row r="876">
      <c r="F876" s="59"/>
    </row>
    <row r="877">
      <c r="F877" s="59"/>
    </row>
    <row r="878">
      <c r="F878" s="59"/>
    </row>
    <row r="879">
      <c r="F879" s="59"/>
    </row>
    <row r="880">
      <c r="F880" s="59"/>
    </row>
    <row r="881">
      <c r="F881" s="59"/>
    </row>
    <row r="882">
      <c r="F882" s="59"/>
    </row>
    <row r="883">
      <c r="F883" s="59"/>
    </row>
    <row r="884">
      <c r="F884" s="59"/>
    </row>
    <row r="885">
      <c r="F885" s="59"/>
    </row>
    <row r="886">
      <c r="F886" s="59"/>
    </row>
    <row r="887">
      <c r="F887" s="59"/>
    </row>
    <row r="888">
      <c r="F888" s="59"/>
    </row>
    <row r="889">
      <c r="F889" s="59"/>
    </row>
    <row r="890">
      <c r="F890" s="59"/>
    </row>
    <row r="891">
      <c r="F891" s="59"/>
    </row>
    <row r="892">
      <c r="F892" s="59"/>
    </row>
    <row r="893">
      <c r="F893" s="59"/>
    </row>
    <row r="894">
      <c r="F894" s="59"/>
    </row>
    <row r="895">
      <c r="F895" s="59"/>
    </row>
    <row r="896">
      <c r="F896" s="59"/>
    </row>
    <row r="897">
      <c r="F897" s="59"/>
    </row>
    <row r="898">
      <c r="F898" s="59"/>
    </row>
    <row r="899">
      <c r="F899" s="59"/>
    </row>
    <row r="900">
      <c r="F900" s="59"/>
    </row>
    <row r="901">
      <c r="F901" s="59"/>
    </row>
    <row r="902">
      <c r="F902" s="59"/>
    </row>
    <row r="903">
      <c r="F903" s="59"/>
    </row>
    <row r="904">
      <c r="F904" s="59"/>
    </row>
    <row r="905">
      <c r="F905" s="59"/>
    </row>
    <row r="906">
      <c r="F906" s="59"/>
    </row>
    <row r="907">
      <c r="F907" s="59"/>
    </row>
    <row r="908">
      <c r="F908" s="59"/>
    </row>
    <row r="909">
      <c r="F909" s="59"/>
    </row>
    <row r="910">
      <c r="F910" s="59"/>
    </row>
    <row r="911">
      <c r="F911" s="59"/>
    </row>
    <row r="912">
      <c r="F912" s="59"/>
    </row>
    <row r="913">
      <c r="F913" s="59"/>
    </row>
    <row r="914">
      <c r="F914" s="59"/>
    </row>
    <row r="915">
      <c r="F915" s="59"/>
    </row>
    <row r="916">
      <c r="F916" s="59"/>
    </row>
    <row r="917">
      <c r="F917" s="59"/>
    </row>
    <row r="918">
      <c r="F918" s="59"/>
    </row>
    <row r="919">
      <c r="F919" s="59"/>
    </row>
    <row r="920">
      <c r="F920" s="59"/>
    </row>
    <row r="921">
      <c r="F921" s="59"/>
    </row>
    <row r="922">
      <c r="F922" s="59"/>
    </row>
    <row r="923">
      <c r="F923" s="59"/>
    </row>
    <row r="924">
      <c r="F924" s="59"/>
    </row>
    <row r="925">
      <c r="F925" s="59"/>
    </row>
    <row r="926">
      <c r="F926" s="59"/>
    </row>
    <row r="927">
      <c r="F927" s="59"/>
    </row>
    <row r="928">
      <c r="F928" s="59"/>
    </row>
    <row r="929">
      <c r="F929" s="59"/>
    </row>
    <row r="930">
      <c r="F930" s="59"/>
    </row>
    <row r="931">
      <c r="F931" s="59"/>
    </row>
    <row r="932">
      <c r="F932" s="59"/>
    </row>
    <row r="933">
      <c r="F933" s="59"/>
    </row>
    <row r="934">
      <c r="F934" s="59"/>
    </row>
    <row r="935">
      <c r="F935" s="59"/>
    </row>
    <row r="936">
      <c r="F936" s="59"/>
    </row>
    <row r="937">
      <c r="F937" s="59"/>
    </row>
    <row r="938">
      <c r="F938" s="59"/>
    </row>
    <row r="939">
      <c r="F939" s="59"/>
    </row>
    <row r="940">
      <c r="F940" s="59"/>
    </row>
    <row r="941">
      <c r="F941" s="59"/>
    </row>
    <row r="942">
      <c r="F942" s="59"/>
    </row>
    <row r="943">
      <c r="F943" s="59"/>
    </row>
    <row r="944">
      <c r="F944" s="59"/>
    </row>
    <row r="945">
      <c r="F945" s="59"/>
    </row>
    <row r="946">
      <c r="F946" s="59"/>
    </row>
    <row r="947">
      <c r="F947" s="59"/>
    </row>
    <row r="948">
      <c r="F948" s="59"/>
    </row>
    <row r="949">
      <c r="F949" s="59"/>
    </row>
    <row r="950">
      <c r="F950" s="59"/>
    </row>
    <row r="951">
      <c r="F951" s="59"/>
    </row>
    <row r="952">
      <c r="F952" s="59"/>
    </row>
    <row r="953">
      <c r="F953" s="59"/>
    </row>
    <row r="954">
      <c r="F954" s="59"/>
    </row>
    <row r="955">
      <c r="F955" s="59"/>
    </row>
    <row r="956">
      <c r="F956" s="59"/>
    </row>
    <row r="957">
      <c r="F957" s="59"/>
    </row>
    <row r="958">
      <c r="F958" s="59"/>
    </row>
    <row r="959">
      <c r="F959" s="59"/>
    </row>
    <row r="960">
      <c r="F960" s="59"/>
    </row>
    <row r="961">
      <c r="F961" s="59"/>
    </row>
    <row r="962">
      <c r="F962" s="59"/>
    </row>
    <row r="963">
      <c r="F963" s="59"/>
    </row>
    <row r="964">
      <c r="F964" s="59"/>
    </row>
    <row r="965">
      <c r="F965" s="59"/>
    </row>
    <row r="966">
      <c r="F966" s="59"/>
    </row>
    <row r="967">
      <c r="F967" s="59"/>
    </row>
    <row r="968">
      <c r="F968" s="59"/>
    </row>
    <row r="969">
      <c r="F969" s="59"/>
    </row>
    <row r="970">
      <c r="F970" s="59"/>
    </row>
    <row r="971">
      <c r="F971" s="59"/>
    </row>
    <row r="972">
      <c r="F972" s="59"/>
    </row>
    <row r="973">
      <c r="F973" s="59"/>
    </row>
    <row r="974">
      <c r="F974" s="59"/>
    </row>
    <row r="975">
      <c r="F975" s="59"/>
    </row>
    <row r="976">
      <c r="F976" s="59"/>
    </row>
    <row r="977">
      <c r="F977" s="59"/>
    </row>
    <row r="978">
      <c r="F978" s="59"/>
    </row>
    <row r="979">
      <c r="F979" s="59"/>
    </row>
    <row r="980">
      <c r="F980" s="59"/>
    </row>
    <row r="981">
      <c r="F981" s="59"/>
    </row>
    <row r="982">
      <c r="F982" s="59"/>
    </row>
    <row r="983">
      <c r="F983" s="59"/>
    </row>
    <row r="984">
      <c r="F984" s="59"/>
    </row>
    <row r="985">
      <c r="F985" s="59"/>
    </row>
    <row r="986">
      <c r="F986" s="59"/>
    </row>
    <row r="987">
      <c r="F987" s="59"/>
    </row>
    <row r="988">
      <c r="F988" s="59"/>
    </row>
    <row r="989">
      <c r="F989" s="59"/>
    </row>
    <row r="990">
      <c r="F990" s="59"/>
    </row>
    <row r="991">
      <c r="F991" s="59"/>
    </row>
    <row r="992">
      <c r="F992" s="59"/>
    </row>
    <row r="993">
      <c r="F993" s="59"/>
    </row>
    <row r="994">
      <c r="F994" s="59"/>
    </row>
    <row r="995">
      <c r="F995" s="59"/>
    </row>
    <row r="996">
      <c r="F996" s="59"/>
    </row>
    <row r="997">
      <c r="F997" s="59"/>
    </row>
    <row r="998">
      <c r="F998" s="59"/>
    </row>
    <row r="999">
      <c r="F999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5.13"/>
    <col customWidth="1" min="3" max="3" width="32.5"/>
    <col customWidth="1" min="4" max="4" width="45.88"/>
    <col customWidth="1" min="7" max="7" width="21.0"/>
    <col customWidth="1" min="8" max="8" width="24.25"/>
    <col customWidth="1" min="9" max="9" width="18.75"/>
    <col customWidth="1" min="10" max="10" width="31.88"/>
  </cols>
  <sheetData>
    <row r="1">
      <c r="A1" s="60" t="str">
        <f>IFERROR(__xludf.DUMMYFUNCTION("ARRAYFORMULA(REDUCE({""Agent Name"",""State"",""Suburb"",""Address"",""Date Provided"",""Subscription"",""Owner Name"",""Owner Phone"",""Owner Email"",""Commission Discount""},SORT(UNIQUE(FILTER(Sheet1!A2:A2961,Sheet1!A2:A2961&lt;&gt;""""))),LAMBDA(acc,a,{acc;F"&amp;"ILTER(Sheet1!A2:J2961,Sheet1!A2:A2961=a);{"""","""","""","""","""","""","""","""","""","""";"""","""","""","""","""","""","""","""","""",""""}})))"),"Agent Name")</f>
        <v>Agent Name</v>
      </c>
      <c r="B1" s="60" t="str">
        <f>IFERROR(__xludf.DUMMYFUNCTION("""COMPUTED_VALUE"""),"State")</f>
        <v>State</v>
      </c>
      <c r="C1" s="61" t="str">
        <f>IFERROR(__xludf.DUMMYFUNCTION("""COMPUTED_VALUE"""),"Suburb")</f>
        <v>Suburb</v>
      </c>
      <c r="D1" s="61" t="str">
        <f>IFERROR(__xludf.DUMMYFUNCTION("""COMPUTED_VALUE"""),"Address")</f>
        <v>Address</v>
      </c>
      <c r="E1" s="61" t="str">
        <f>IFERROR(__xludf.DUMMYFUNCTION("""COMPUTED_VALUE"""),"Date Provided")</f>
        <v>Date Provided</v>
      </c>
      <c r="F1" s="61" t="str">
        <f>IFERROR(__xludf.DUMMYFUNCTION("""COMPUTED_VALUE"""),"Subscription")</f>
        <v>Subscription</v>
      </c>
      <c r="G1" s="19" t="str">
        <f>IFERROR(__xludf.DUMMYFUNCTION("""COMPUTED_VALUE"""),"Owner Name")</f>
        <v>Owner Name</v>
      </c>
      <c r="H1" s="19" t="str">
        <f>IFERROR(__xludf.DUMMYFUNCTION("""COMPUTED_VALUE"""),"Owner Phone")</f>
        <v>Owner Phone</v>
      </c>
      <c r="I1" s="62" t="str">
        <f>IFERROR(__xludf.DUMMYFUNCTION("""COMPUTED_VALUE"""),"Owner Email")</f>
        <v>Owner Email</v>
      </c>
      <c r="J1" s="19" t="str">
        <f>IFERROR(__xludf.DUMMYFUNCTION("""COMPUTED_VALUE"""),"Commission Discount")</f>
        <v>Commission Discount</v>
      </c>
    </row>
    <row r="2">
      <c r="A2" s="19" t="str">
        <f>IFERROR(__xludf.DUMMYFUNCTION("""COMPUTED_VALUE"""),"Aaron Woolard")</f>
        <v>Aaron Woolard</v>
      </c>
      <c r="B2" s="19" t="str">
        <f>IFERROR(__xludf.DUMMYFUNCTION("""COMPUTED_VALUE"""),"QLD")</f>
        <v>QLD</v>
      </c>
      <c r="C2" s="5" t="str">
        <f>IFERROR(__xludf.DUMMYFUNCTION("""COMPUTED_VALUE"""),"Teneriffe")</f>
        <v>Teneriffe</v>
      </c>
      <c r="D2" s="5" t="str">
        <f>IFERROR(__xludf.DUMMYFUNCTION("""COMPUTED_VALUE"""),"102/38 Helen Street Teneriffe QLD 4005")</f>
        <v>102/38 Helen Street Teneriffe QLD 4005</v>
      </c>
      <c r="E2" s="25">
        <f>IFERROR(__xludf.DUMMYFUNCTION("""COMPUTED_VALUE"""),45978.0)</f>
        <v>45978</v>
      </c>
      <c r="F2" s="5" t="str">
        <f>IFERROR(__xludf.DUMMYFUNCTION("""COMPUTED_VALUE"""),"Featured Plus")</f>
        <v>Featured Plus</v>
      </c>
      <c r="G2" s="19" t="str">
        <f>IFERROR(__xludf.DUMMYFUNCTION("""COMPUTED_VALUE"""),"Instant Forms")</f>
        <v>Instant Forms</v>
      </c>
      <c r="H2" s="19" t="str">
        <f>IFERROR(__xludf.DUMMYFUNCTION("""COMPUTED_VALUE"""),"Amanda Halsey")</f>
        <v>Amanda Halsey</v>
      </c>
      <c r="I2" s="62">
        <f>IFERROR(__xludf.DUMMYFUNCTION("""COMPUTED_VALUE"""),6.1451862529E10)</f>
        <v>61451862529</v>
      </c>
      <c r="J2" s="19" t="str">
        <f>IFERROR(__xludf.DUMMYFUNCTION("""COMPUTED_VALUE"""),"amandalhalsey@gmail.com")</f>
        <v>amandalhalsey@gmail.com</v>
      </c>
    </row>
    <row r="3">
      <c r="A3" s="19" t="str">
        <f>IFERROR(__xludf.DUMMYFUNCTION("""COMPUTED_VALUE"""),"")</f>
        <v/>
      </c>
      <c r="B3" s="19" t="str">
        <f>IFERROR(__xludf.DUMMYFUNCTION("""COMPUTED_VALUE"""),"")</f>
        <v/>
      </c>
      <c r="C3" s="5" t="str">
        <f>IFERROR(__xludf.DUMMYFUNCTION("""COMPUTED_VALUE"""),"")</f>
        <v/>
      </c>
      <c r="D3" s="5" t="str">
        <f>IFERROR(__xludf.DUMMYFUNCTION("""COMPUTED_VALUE"""),"")</f>
        <v/>
      </c>
      <c r="E3" s="5" t="str">
        <f>IFERROR(__xludf.DUMMYFUNCTION("""COMPUTED_VALUE"""),"")</f>
        <v/>
      </c>
      <c r="F3" s="5" t="str">
        <f>IFERROR(__xludf.DUMMYFUNCTION("""COMPUTED_VALUE"""),"")</f>
        <v/>
      </c>
      <c r="G3" s="19" t="str">
        <f>IFERROR(__xludf.DUMMYFUNCTION("""COMPUTED_VALUE"""),"")</f>
        <v/>
      </c>
      <c r="H3" s="19" t="str">
        <f>IFERROR(__xludf.DUMMYFUNCTION("""COMPUTED_VALUE"""),"")</f>
        <v/>
      </c>
      <c r="I3" s="62" t="str">
        <f>IFERROR(__xludf.DUMMYFUNCTION("""COMPUTED_VALUE"""),"")</f>
        <v/>
      </c>
      <c r="J3" s="19" t="str">
        <f>IFERROR(__xludf.DUMMYFUNCTION("""COMPUTED_VALUE"""),"")</f>
        <v/>
      </c>
    </row>
    <row r="4">
      <c r="A4" s="19" t="str">
        <f>IFERROR(__xludf.DUMMYFUNCTION("""COMPUTED_VALUE"""),"")</f>
        <v/>
      </c>
      <c r="B4" s="19" t="str">
        <f>IFERROR(__xludf.DUMMYFUNCTION("""COMPUTED_VALUE"""),"")</f>
        <v/>
      </c>
      <c r="C4" s="5" t="str">
        <f>IFERROR(__xludf.DUMMYFUNCTION("""COMPUTED_VALUE"""),"")</f>
        <v/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s="19" t="str">
        <f>IFERROR(__xludf.DUMMYFUNCTION("""COMPUTED_VALUE"""),"")</f>
        <v/>
      </c>
      <c r="H4" s="19" t="str">
        <f>IFERROR(__xludf.DUMMYFUNCTION("""COMPUTED_VALUE"""),"")</f>
        <v/>
      </c>
      <c r="I4" s="62" t="str">
        <f>IFERROR(__xludf.DUMMYFUNCTION("""COMPUTED_VALUE"""),"")</f>
        <v/>
      </c>
      <c r="J4" s="19" t="str">
        <f>IFERROR(__xludf.DUMMYFUNCTION("""COMPUTED_VALUE"""),"")</f>
        <v/>
      </c>
    </row>
    <row r="5">
      <c r="A5" s="19" t="str">
        <f>IFERROR(__xludf.DUMMYFUNCTION("""COMPUTED_VALUE"""),"Adam Blackmore")</f>
        <v>Adam Blackmore</v>
      </c>
      <c r="B5" s="19" t="str">
        <f>IFERROR(__xludf.DUMMYFUNCTION("""COMPUTED_VALUE"""),"NSW")</f>
        <v>NSW</v>
      </c>
      <c r="C5" s="5" t="str">
        <f>IFERROR(__xludf.DUMMYFUNCTION("""COMPUTED_VALUE"""),"Woonona")</f>
        <v>Woonona</v>
      </c>
      <c r="D5" s="5" t="str">
        <f>IFERROR(__xludf.DUMMYFUNCTION("""COMPUTED_VALUE"""),"41 Lawrence Street, Woonona, NSW, 2517, Australia")</f>
        <v>41 Lawrence Street, Woonona, NSW, 2517, Australia</v>
      </c>
      <c r="E5" s="27">
        <f>IFERROR(__xludf.DUMMYFUNCTION("""COMPUTED_VALUE"""),45722.0)</f>
        <v>45722</v>
      </c>
      <c r="F5" s="5" t="str">
        <f>IFERROR(__xludf.DUMMYFUNCTION("""COMPUTED_VALUE"""),"Featured")</f>
        <v>Featured</v>
      </c>
      <c r="G5" s="19"/>
      <c r="H5" s="19"/>
      <c r="I5" s="62"/>
      <c r="J5" s="19"/>
    </row>
    <row r="6">
      <c r="A6" s="19" t="str">
        <f>IFERROR(__xludf.DUMMYFUNCTION("""COMPUTED_VALUE"""),"Adam Blackmore")</f>
        <v>Adam Blackmore</v>
      </c>
      <c r="B6" s="19" t="str">
        <f>IFERROR(__xludf.DUMMYFUNCTION("""COMPUTED_VALUE"""),"NSW")</f>
        <v>NSW</v>
      </c>
      <c r="C6" s="5">
        <f>IFERROR(__xludf.DUMMYFUNCTION("""COMPUTED_VALUE"""),2519.0)</f>
        <v>2519</v>
      </c>
      <c r="D6" s="5"/>
      <c r="E6" s="63">
        <f>IFERROR(__xludf.DUMMYFUNCTION("""COMPUTED_VALUE"""),45838.5937037037)</f>
        <v>45838.5937</v>
      </c>
      <c r="F6" s="5" t="str">
        <f>IFERROR(__xludf.DUMMYFUNCTION("""COMPUTED_VALUE"""),"Featured")</f>
        <v>Featured</v>
      </c>
      <c r="G6" s="19" t="str">
        <f>IFERROR(__xludf.DUMMYFUNCTION("""COMPUTED_VALUE"""),"Instant Forms")</f>
        <v>Instant Forms</v>
      </c>
      <c r="H6" s="19"/>
      <c r="I6" s="62"/>
      <c r="J6" s="19"/>
    </row>
    <row r="7">
      <c r="A7" s="19" t="str">
        <f>IFERROR(__xludf.DUMMYFUNCTION("""COMPUTED_VALUE"""),"Adam Blackmore")</f>
        <v>Adam Blackmore</v>
      </c>
      <c r="B7" s="19" t="str">
        <f>IFERROR(__xludf.DUMMYFUNCTION("""COMPUTED_VALUE"""),"NSW")</f>
        <v>NSW</v>
      </c>
      <c r="C7" s="5">
        <f>IFERROR(__xludf.DUMMYFUNCTION("""COMPUTED_VALUE"""),2505.0)</f>
        <v>2505</v>
      </c>
      <c r="D7" s="5"/>
      <c r="E7" s="63">
        <f>IFERROR(__xludf.DUMMYFUNCTION("""COMPUTED_VALUE"""),45849.38359953704)</f>
        <v>45849.3836</v>
      </c>
      <c r="F7" s="5" t="str">
        <f>IFERROR(__xludf.DUMMYFUNCTION("""COMPUTED_VALUE"""),"Featured")</f>
        <v>Featured</v>
      </c>
      <c r="G7" s="19" t="str">
        <f>IFERROR(__xludf.DUMMYFUNCTION("""COMPUTED_VALUE"""),"Instant Forms")</f>
        <v>Instant Forms</v>
      </c>
      <c r="H7" s="19"/>
      <c r="I7" s="62"/>
      <c r="J7" s="19"/>
    </row>
    <row r="8">
      <c r="A8" s="19" t="str">
        <f>IFERROR(__xludf.DUMMYFUNCTION("""COMPUTED_VALUE"""),"Adam Blackmore")</f>
        <v>Adam Blackmore</v>
      </c>
      <c r="B8" s="19" t="str">
        <f>IFERROR(__xludf.DUMMYFUNCTION("""COMPUTED_VALUE"""),"NSW")</f>
        <v>NSW</v>
      </c>
      <c r="C8" s="5" t="str">
        <f>IFERROR(__xludf.DUMMYFUNCTION("""COMPUTED_VALUE"""),"Wollongong")</f>
        <v>Wollongong</v>
      </c>
      <c r="D8" s="5"/>
      <c r="E8" s="25">
        <f>IFERROR(__xludf.DUMMYFUNCTION("""COMPUTED_VALUE"""),45881.0)</f>
        <v>45881</v>
      </c>
      <c r="F8" s="5" t="str">
        <f>IFERROR(__xludf.DUMMYFUNCTION("""COMPUTED_VALUE"""),"Featured")</f>
        <v>Featured</v>
      </c>
      <c r="G8" s="19" t="str">
        <f>IFERROR(__xludf.DUMMYFUNCTION("""COMPUTED_VALUE"""),"Instant Forms")</f>
        <v>Instant Forms</v>
      </c>
      <c r="H8" s="19"/>
      <c r="I8" s="62"/>
      <c r="J8" s="19"/>
    </row>
    <row r="9">
      <c r="A9" s="19" t="str">
        <f>IFERROR(__xludf.DUMMYFUNCTION("""COMPUTED_VALUE"""),"Adam Blackmore")</f>
        <v>Adam Blackmore</v>
      </c>
      <c r="B9" s="19" t="str">
        <f>IFERROR(__xludf.DUMMYFUNCTION("""COMPUTED_VALUE"""),"NSW")</f>
        <v>NSW</v>
      </c>
      <c r="C9" s="5" t="str">
        <f>IFERROR(__xludf.DUMMYFUNCTION("""COMPUTED_VALUE"""),"Woonona")</f>
        <v>Woonona</v>
      </c>
      <c r="D9" s="5"/>
      <c r="E9" s="25">
        <f>IFERROR(__xludf.DUMMYFUNCTION("""COMPUTED_VALUE"""),45881.0)</f>
        <v>45881</v>
      </c>
      <c r="F9" s="5" t="str">
        <f>IFERROR(__xludf.DUMMYFUNCTION("""COMPUTED_VALUE"""),"Featured")</f>
        <v>Featured</v>
      </c>
      <c r="G9" s="19" t="str">
        <f>IFERROR(__xludf.DUMMYFUNCTION("""COMPUTED_VALUE"""),"Instant Forms")</f>
        <v>Instant Forms</v>
      </c>
      <c r="H9" s="19"/>
      <c r="I9" s="62"/>
      <c r="J9" s="19"/>
    </row>
    <row r="10">
      <c r="A10" s="19" t="str">
        <f>IFERROR(__xludf.DUMMYFUNCTION("""COMPUTED_VALUE"""),"Adam Blackmore")</f>
        <v>Adam Blackmore</v>
      </c>
      <c r="B10" s="19" t="str">
        <f>IFERROR(__xludf.DUMMYFUNCTION("""COMPUTED_VALUE"""),"NSW")</f>
        <v>NSW</v>
      </c>
      <c r="C10" s="5" t="str">
        <f>IFERROR(__xludf.DUMMYFUNCTION("""COMPUTED_VALUE"""),"Towradgi")</f>
        <v>Towradgi</v>
      </c>
      <c r="D10" s="5" t="str">
        <f>IFERROR(__xludf.DUMMYFUNCTION("""COMPUTED_VALUE"""),"56 Towradgi Road Towradgi NSW 2518")</f>
        <v>56 Towradgi Road Towradgi NSW 2518</v>
      </c>
      <c r="E10" s="25">
        <f>IFERROR(__xludf.DUMMYFUNCTION("""COMPUTED_VALUE"""),45883.0)</f>
        <v>45883</v>
      </c>
      <c r="F10" s="5" t="str">
        <f>IFERROR(__xludf.DUMMYFUNCTION("""COMPUTED_VALUE"""),"Featured")</f>
        <v>Featured</v>
      </c>
      <c r="G10" s="19" t="str">
        <f>IFERROR(__xludf.DUMMYFUNCTION("""COMPUTED_VALUE"""),"Instant Forms")</f>
        <v>Instant Forms</v>
      </c>
      <c r="H10" s="19"/>
      <c r="I10" s="62"/>
      <c r="J10" s="19"/>
    </row>
    <row r="11">
      <c r="A11" s="19" t="str">
        <f>IFERROR(__xludf.DUMMYFUNCTION("""COMPUTED_VALUE"""),"Adam Blackmore")</f>
        <v>Adam Blackmore</v>
      </c>
      <c r="B11" s="19" t="str">
        <f>IFERROR(__xludf.DUMMYFUNCTION("""COMPUTED_VALUE"""),"NSW")</f>
        <v>NSW</v>
      </c>
      <c r="C11" s="5" t="str">
        <f>IFERROR(__xludf.DUMMYFUNCTION("""COMPUTED_VALUE"""),"Bulli")</f>
        <v>Bulli</v>
      </c>
      <c r="D11" s="5" t="str">
        <f>IFERROR(__xludf.DUMMYFUNCTION("""COMPUTED_VALUE"""),"64 Organs Road Bulli NSW 2516")</f>
        <v>64 Organs Road Bulli NSW 2516</v>
      </c>
      <c r="E11" s="25">
        <f>IFERROR(__xludf.DUMMYFUNCTION("""COMPUTED_VALUE"""),45901.0)</f>
        <v>45901</v>
      </c>
      <c r="F11" s="5" t="str">
        <f>IFERROR(__xludf.DUMMYFUNCTION("""COMPUTED_VALUE"""),"Featured")</f>
        <v>Featured</v>
      </c>
      <c r="G11" s="19" t="str">
        <f>IFERROR(__xludf.DUMMYFUNCTION("""COMPUTED_VALUE"""),"Instant Forms")</f>
        <v>Instant Forms</v>
      </c>
      <c r="H11" s="19"/>
      <c r="I11" s="62"/>
      <c r="J11" s="19"/>
    </row>
    <row r="12">
      <c r="A12" s="19" t="str">
        <f>IFERROR(__xludf.DUMMYFUNCTION("""COMPUTED_VALUE"""),"Adam Blackmore")</f>
        <v>Adam Blackmore</v>
      </c>
      <c r="B12" s="19" t="str">
        <f>IFERROR(__xludf.DUMMYFUNCTION("""COMPUTED_VALUE"""),"NSW")</f>
        <v>NSW</v>
      </c>
      <c r="C12" s="5" t="str">
        <f>IFERROR(__xludf.DUMMYFUNCTION("""COMPUTED_VALUE"""),"Woonona")</f>
        <v>Woonona</v>
      </c>
      <c r="D12" s="5" t="str">
        <f>IFERROR(__xludf.DUMMYFUNCTION("""COMPUTED_VALUE"""),"42 Popes Road Woonona NSW 2517")</f>
        <v>42 Popes Road Woonona NSW 2517</v>
      </c>
      <c r="E12" s="25">
        <f>IFERROR(__xludf.DUMMYFUNCTION("""COMPUTED_VALUE"""),45904.0)</f>
        <v>45904</v>
      </c>
      <c r="F12" s="5" t="str">
        <f>IFERROR(__xludf.DUMMYFUNCTION("""COMPUTED_VALUE"""),"Free")</f>
        <v>Free</v>
      </c>
      <c r="G12" s="19" t="str">
        <f>IFERROR(__xludf.DUMMYFUNCTION("""COMPUTED_VALUE"""),"Instant Forms")</f>
        <v>Instant Forms</v>
      </c>
      <c r="H12" s="19"/>
      <c r="I12" s="62"/>
      <c r="J12" s="19"/>
    </row>
    <row r="13">
      <c r="A13" s="19" t="str">
        <f>IFERROR(__xludf.DUMMYFUNCTION("""COMPUTED_VALUE"""),"Adam Blackmore")</f>
        <v>Adam Blackmore</v>
      </c>
      <c r="B13" s="19" t="str">
        <f>IFERROR(__xludf.DUMMYFUNCTION("""COMPUTED_VALUE"""),"NSW")</f>
        <v>NSW</v>
      </c>
      <c r="C13" s="5" t="str">
        <f>IFERROR(__xludf.DUMMYFUNCTION("""COMPUTED_VALUE"""),"Thirroul")</f>
        <v>Thirroul</v>
      </c>
      <c r="D13" s="5" t="str">
        <f>IFERROR(__xludf.DUMMYFUNCTION("""COMPUTED_VALUE"""),"3/9-11 Newbold Close Thirroul NSW 2515")</f>
        <v>3/9-11 Newbold Close Thirroul NSW 2515</v>
      </c>
      <c r="E13" s="25">
        <f>IFERROR(__xludf.DUMMYFUNCTION("""COMPUTED_VALUE"""),45904.0)</f>
        <v>45904</v>
      </c>
      <c r="F13" s="5" t="str">
        <f>IFERROR(__xludf.DUMMYFUNCTION("""COMPUTED_VALUE"""),"Featured")</f>
        <v>Featured</v>
      </c>
      <c r="G13" s="19" t="str">
        <f>IFERROR(__xludf.DUMMYFUNCTION("""COMPUTED_VALUE"""),"Instant Forms")</f>
        <v>Instant Forms</v>
      </c>
      <c r="H13" s="19"/>
      <c r="I13" s="62"/>
      <c r="J13" s="19"/>
    </row>
    <row r="14">
      <c r="A14" s="19" t="str">
        <f>IFERROR(__xludf.DUMMYFUNCTION("""COMPUTED_VALUE"""),"Adam Blackmore")</f>
        <v>Adam Blackmore</v>
      </c>
      <c r="B14" s="19" t="str">
        <f>IFERROR(__xludf.DUMMYFUNCTION("""COMPUTED_VALUE"""),"NSW")</f>
        <v>NSW</v>
      </c>
      <c r="C14" s="5" t="str">
        <f>IFERROR(__xludf.DUMMYFUNCTION("""COMPUTED_VALUE"""),"Wollongong")</f>
        <v>Wollongong</v>
      </c>
      <c r="D14" s="5" t="str">
        <f>IFERROR(__xludf.DUMMYFUNCTION("""COMPUTED_VALUE"""),"1/21-25 Wilson Street Wollongong NSW 2500")</f>
        <v>1/21-25 Wilson Street Wollongong NSW 2500</v>
      </c>
      <c r="E14" s="25">
        <f>IFERROR(__xludf.DUMMYFUNCTION("""COMPUTED_VALUE"""),45907.0)</f>
        <v>45907</v>
      </c>
      <c r="F14" s="5" t="str">
        <f>IFERROR(__xludf.DUMMYFUNCTION("""COMPUTED_VALUE"""),"Featured")</f>
        <v>Featured</v>
      </c>
      <c r="G14" s="19" t="str">
        <f>IFERROR(__xludf.DUMMYFUNCTION("""COMPUTED_VALUE"""),"Instant Forms")</f>
        <v>Instant Forms</v>
      </c>
      <c r="H14" s="19"/>
      <c r="I14" s="62"/>
      <c r="J14" s="19"/>
    </row>
    <row r="15">
      <c r="A15" s="19" t="str">
        <f>IFERROR(__xludf.DUMMYFUNCTION("""COMPUTED_VALUE"""),"Adam Blackmore")</f>
        <v>Adam Blackmore</v>
      </c>
      <c r="B15" s="19" t="str">
        <f>IFERROR(__xludf.DUMMYFUNCTION("""COMPUTED_VALUE"""),"NSW")</f>
        <v>NSW</v>
      </c>
      <c r="C15" s="5" t="str">
        <f>IFERROR(__xludf.DUMMYFUNCTION("""COMPUTED_VALUE"""),"Helensburgh")</f>
        <v>Helensburgh</v>
      </c>
      <c r="D15" s="5" t="str">
        <f>IFERROR(__xludf.DUMMYFUNCTION("""COMPUTED_VALUE"""),"10 Chippendale Place Helensburgh NSW 2508")</f>
        <v>10 Chippendale Place Helensburgh NSW 2508</v>
      </c>
      <c r="E15" s="25">
        <f>IFERROR(__xludf.DUMMYFUNCTION("""COMPUTED_VALUE"""),45908.0)</f>
        <v>45908</v>
      </c>
      <c r="F15" s="5" t="str">
        <f>IFERROR(__xludf.DUMMYFUNCTION("""COMPUTED_VALUE"""),"Featured")</f>
        <v>Featured</v>
      </c>
      <c r="G15" s="19" t="str">
        <f>IFERROR(__xludf.DUMMYFUNCTION("""COMPUTED_VALUE"""),"Instant Forms")</f>
        <v>Instant Forms</v>
      </c>
      <c r="H15" s="19"/>
      <c r="I15" s="62"/>
      <c r="J15" s="19"/>
    </row>
    <row r="16">
      <c r="A16" s="19" t="str">
        <f>IFERROR(__xludf.DUMMYFUNCTION("""COMPUTED_VALUE"""),"Adam Blackmore")</f>
        <v>Adam Blackmore</v>
      </c>
      <c r="B16" s="19" t="str">
        <f>IFERROR(__xludf.DUMMYFUNCTION("""COMPUTED_VALUE"""),"NSW")</f>
        <v>NSW</v>
      </c>
      <c r="C16" s="5" t="str">
        <f>IFERROR(__xludf.DUMMYFUNCTION("""COMPUTED_VALUE"""),"Fairy Measow")</f>
        <v>Fairy Measow</v>
      </c>
      <c r="D16" s="5" t="str">
        <f>IFERROR(__xludf.DUMMYFUNCTION("""COMPUTED_VALUE"""),"8 Winton Place Fairy Meadow NSW 2519")</f>
        <v>8 Winton Place Fairy Meadow NSW 2519</v>
      </c>
      <c r="E16" s="25">
        <f>IFERROR(__xludf.DUMMYFUNCTION("""COMPUTED_VALUE"""),45908.0)</f>
        <v>45908</v>
      </c>
      <c r="F16" s="5" t="str">
        <f>IFERROR(__xludf.DUMMYFUNCTION("""COMPUTED_VALUE"""),"Featured")</f>
        <v>Featured</v>
      </c>
      <c r="G16" s="19" t="str">
        <f>IFERROR(__xludf.DUMMYFUNCTION("""COMPUTED_VALUE"""),"Instant Forms")</f>
        <v>Instant Forms</v>
      </c>
      <c r="H16" s="19"/>
      <c r="I16" s="62"/>
      <c r="J16" s="19"/>
    </row>
    <row r="17">
      <c r="A17" s="19" t="str">
        <f>IFERROR(__xludf.DUMMYFUNCTION("""COMPUTED_VALUE"""),"Adam Blackmore")</f>
        <v>Adam Blackmore</v>
      </c>
      <c r="B17" s="19" t="str">
        <f>IFERROR(__xludf.DUMMYFUNCTION("""COMPUTED_VALUE"""),"NSW")</f>
        <v>NSW</v>
      </c>
      <c r="C17" s="5" t="str">
        <f>IFERROR(__xludf.DUMMYFUNCTION("""COMPUTED_VALUE"""),"Unanderra")</f>
        <v>Unanderra</v>
      </c>
      <c r="D17" s="5" t="str">
        <f>IFERROR(__xludf.DUMMYFUNCTION("""COMPUTED_VALUE"""),"18 Beveles Avenue Unanderra NSW 2526")</f>
        <v>18 Beveles Avenue Unanderra NSW 2526</v>
      </c>
      <c r="E17" s="25">
        <f>IFERROR(__xludf.DUMMYFUNCTION("""COMPUTED_VALUE"""),45908.0)</f>
        <v>45908</v>
      </c>
      <c r="F17" s="5" t="str">
        <f>IFERROR(__xludf.DUMMYFUNCTION("""COMPUTED_VALUE"""),"Featured")</f>
        <v>Featured</v>
      </c>
      <c r="G17" s="19" t="str">
        <f>IFERROR(__xludf.DUMMYFUNCTION("""COMPUTED_VALUE"""),"Instant Forms")</f>
        <v>Instant Forms</v>
      </c>
      <c r="H17" s="19"/>
      <c r="I17" s="62"/>
      <c r="J17" s="19"/>
    </row>
    <row r="18">
      <c r="A18" s="19" t="str">
        <f>IFERROR(__xludf.DUMMYFUNCTION("""COMPUTED_VALUE"""),"Adam Blackmore")</f>
        <v>Adam Blackmore</v>
      </c>
      <c r="B18" s="19" t="str">
        <f>IFERROR(__xludf.DUMMYFUNCTION("""COMPUTED_VALUE"""),"NSW")</f>
        <v>NSW</v>
      </c>
      <c r="C18" s="5" t="str">
        <f>IFERROR(__xludf.DUMMYFUNCTION("""COMPUTED_VALUE"""),"Figtree")</f>
        <v>Figtree</v>
      </c>
      <c r="D18" s="5" t="str">
        <f>IFERROR(__xludf.DUMMYFUNCTION("""COMPUTED_VALUE"""),"52 Risley Road Figtree NSW 2525")</f>
        <v>52 Risley Road Figtree NSW 2525</v>
      </c>
      <c r="E18" s="25">
        <f>IFERROR(__xludf.DUMMYFUNCTION("""COMPUTED_VALUE"""),45910.0)</f>
        <v>45910</v>
      </c>
      <c r="F18" s="5">
        <f>IFERROR(__xludf.DUMMYFUNCTION("""COMPUTED_VALUE"""),8.0)</f>
        <v>8</v>
      </c>
      <c r="G18" s="19" t="str">
        <f>IFERROR(__xludf.DUMMYFUNCTION("""COMPUTED_VALUE"""),"Instant Forms")</f>
        <v>Instant Forms</v>
      </c>
      <c r="H18" s="19" t="str">
        <f>IFERROR(__xludf.DUMMYFUNCTION("""COMPUTED_VALUE"""),"Mark Blackmore")</f>
        <v>Mark Blackmore</v>
      </c>
      <c r="I18" s="62"/>
      <c r="J18" s="19"/>
    </row>
    <row r="19">
      <c r="A19" s="19" t="str">
        <f>IFERROR(__xludf.DUMMYFUNCTION("""COMPUTED_VALUE"""),"Adam Blackmore")</f>
        <v>Adam Blackmore</v>
      </c>
      <c r="B19" s="19" t="str">
        <f>IFERROR(__xludf.DUMMYFUNCTION("""COMPUTED_VALUE"""),"NSW")</f>
        <v>NSW</v>
      </c>
      <c r="C19" s="5">
        <f>IFERROR(__xludf.DUMMYFUNCTION("""COMPUTED_VALUE"""),2526.0)</f>
        <v>2526</v>
      </c>
      <c r="D19" s="5"/>
      <c r="E19" s="25">
        <f>IFERROR(__xludf.DUMMYFUNCTION("""COMPUTED_VALUE"""),45911.0)</f>
        <v>45911</v>
      </c>
      <c r="F19" s="5">
        <f>IFERROR(__xludf.DUMMYFUNCTION("""COMPUTED_VALUE"""),5.0)</f>
        <v>5</v>
      </c>
      <c r="G19" s="19" t="str">
        <f>IFERROR(__xludf.DUMMYFUNCTION("""COMPUTED_VALUE"""),"Instant Forms")</f>
        <v>Instant Forms</v>
      </c>
      <c r="H19" s="19" t="str">
        <f>IFERROR(__xludf.DUMMYFUNCTION("""COMPUTED_VALUE"""),"Ian Brown")</f>
        <v>Ian Brown</v>
      </c>
      <c r="I19" s="62"/>
      <c r="J19" s="19"/>
    </row>
    <row r="20">
      <c r="A20" s="19" t="str">
        <f>IFERROR(__xludf.DUMMYFUNCTION("""COMPUTED_VALUE"""),"Adam Blackmore")</f>
        <v>Adam Blackmore</v>
      </c>
      <c r="B20" s="19" t="str">
        <f>IFERROR(__xludf.DUMMYFUNCTION("""COMPUTED_VALUE"""),"NSW")</f>
        <v>NSW</v>
      </c>
      <c r="C20" s="5" t="str">
        <f>IFERROR(__xludf.DUMMYFUNCTION("""COMPUTED_VALUE"""),"Bellambi")</f>
        <v>Bellambi</v>
      </c>
      <c r="D20" s="5" t="str">
        <f>IFERROR(__xludf.DUMMYFUNCTION("""COMPUTED_VALUE"""),"40 Carr Street Towradgi NSW 2518 (Low confidence in this address)")</f>
        <v>40 Carr Street Towradgi NSW 2518 (Low confidence in this address)</v>
      </c>
      <c r="E20" s="25">
        <f>IFERROR(__xludf.DUMMYFUNCTION("""COMPUTED_VALUE"""),45912.0)</f>
        <v>45912</v>
      </c>
      <c r="F20" s="5">
        <f>IFERROR(__xludf.DUMMYFUNCTION("""COMPUTED_VALUE"""),6.0)</f>
        <v>6</v>
      </c>
      <c r="G20" s="19" t="str">
        <f>IFERROR(__xludf.DUMMYFUNCTION("""COMPUTED_VALUE"""),"Instant Forms")</f>
        <v>Instant Forms</v>
      </c>
      <c r="H20" s="19" t="str">
        <f>IFERROR(__xludf.DUMMYFUNCTION("""COMPUTED_VALUE"""),"Penny Claiborne")</f>
        <v>Penny Claiborne</v>
      </c>
      <c r="I20" s="62"/>
      <c r="J20" s="19"/>
    </row>
    <row r="21">
      <c r="A21" s="19" t="str">
        <f>IFERROR(__xludf.DUMMYFUNCTION("""COMPUTED_VALUE"""),"Adam Blackmore")</f>
        <v>Adam Blackmore</v>
      </c>
      <c r="B21" s="19" t="str">
        <f>IFERROR(__xludf.DUMMYFUNCTION("""COMPUTED_VALUE"""),"NSW")</f>
        <v>NSW</v>
      </c>
      <c r="C21" s="5">
        <f>IFERROR(__xludf.DUMMYFUNCTION("""COMPUTED_VALUE"""),2530.0)</f>
        <v>2530</v>
      </c>
      <c r="D21" s="5"/>
      <c r="E21" s="25">
        <f>IFERROR(__xludf.DUMMYFUNCTION("""COMPUTED_VALUE"""),45918.0)</f>
        <v>45918</v>
      </c>
      <c r="F21" s="5">
        <f>IFERROR(__xludf.DUMMYFUNCTION("""COMPUTED_VALUE"""),6.0)</f>
        <v>6</v>
      </c>
      <c r="G21" s="19" t="str">
        <f>IFERROR(__xludf.DUMMYFUNCTION("""COMPUTED_VALUE"""),"Instant Forms")</f>
        <v>Instant Forms</v>
      </c>
      <c r="H21" s="19" t="str">
        <f>IFERROR(__xludf.DUMMYFUNCTION("""COMPUTED_VALUE"""),"Joel Robinson")</f>
        <v>Joel Robinson</v>
      </c>
      <c r="I21" s="62"/>
      <c r="J21" s="19"/>
    </row>
    <row r="22">
      <c r="A22" s="19" t="str">
        <f>IFERROR(__xludf.DUMMYFUNCTION("""COMPUTED_VALUE"""),"Adam Blackmore")</f>
        <v>Adam Blackmore</v>
      </c>
      <c r="B22" s="19" t="str">
        <f>IFERROR(__xludf.DUMMYFUNCTION("""COMPUTED_VALUE"""),"NSW")</f>
        <v>NSW</v>
      </c>
      <c r="C22" s="5" t="str">
        <f>IFERROR(__xludf.DUMMYFUNCTION("""COMPUTED_VALUE"""),"Primbee")</f>
        <v>Primbee</v>
      </c>
      <c r="D22" s="5" t="str">
        <f>IFERROR(__xludf.DUMMYFUNCTION("""COMPUTED_VALUE"""),"17 Illowra Parkway Primbee NSW 2502")</f>
        <v>17 Illowra Parkway Primbee NSW 2502</v>
      </c>
      <c r="E22" s="25">
        <f>IFERROR(__xludf.DUMMYFUNCTION("""COMPUTED_VALUE"""),45922.0)</f>
        <v>45922</v>
      </c>
      <c r="F22" s="5">
        <f>IFERROR(__xludf.DUMMYFUNCTION("""COMPUTED_VALUE"""),8.0)</f>
        <v>8</v>
      </c>
      <c r="G22" s="19" t="str">
        <f>IFERROR(__xludf.DUMMYFUNCTION("""COMPUTED_VALUE"""),"Instant Forms")</f>
        <v>Instant Forms</v>
      </c>
      <c r="H22" s="19" t="str">
        <f>IFERROR(__xludf.DUMMYFUNCTION("""COMPUTED_VALUE"""),"Dave Borg")</f>
        <v>Dave Borg</v>
      </c>
      <c r="I22" s="62"/>
      <c r="J22" s="19"/>
    </row>
    <row r="23">
      <c r="A23" s="19" t="str">
        <f>IFERROR(__xludf.DUMMYFUNCTION("""COMPUTED_VALUE"""),"Adam Blackmore")</f>
        <v>Adam Blackmore</v>
      </c>
      <c r="B23" s="19" t="str">
        <f>IFERROR(__xludf.DUMMYFUNCTION("""COMPUTED_VALUE"""),"NSW")</f>
        <v>NSW</v>
      </c>
      <c r="C23" s="5" t="str">
        <f>IFERROR(__xludf.DUMMYFUNCTION("""COMPUTED_VALUE"""),"mount pleasant")</f>
        <v>mount pleasant</v>
      </c>
      <c r="D23" s="5" t="str">
        <f>IFERROR(__xludf.DUMMYFUNCTION("""COMPUTED_VALUE"""),"85 New Mount Pleasant Road Mount Pleasant NSW 2519")</f>
        <v>85 New Mount Pleasant Road Mount Pleasant NSW 2519</v>
      </c>
      <c r="E23" s="25">
        <f>IFERROR(__xludf.DUMMYFUNCTION("""COMPUTED_VALUE"""),45928.0)</f>
        <v>45928</v>
      </c>
      <c r="F23" s="5">
        <f>IFERROR(__xludf.DUMMYFUNCTION("""COMPUTED_VALUE"""),6.0)</f>
        <v>6</v>
      </c>
      <c r="G23" s="19" t="str">
        <f>IFERROR(__xludf.DUMMYFUNCTION("""COMPUTED_VALUE"""),"Instant Forms")</f>
        <v>Instant Forms</v>
      </c>
      <c r="H23" s="19" t="str">
        <f>IFERROR(__xludf.DUMMYFUNCTION("""COMPUTED_VALUE"""),"Mike Dowd")</f>
        <v>Mike Dowd</v>
      </c>
      <c r="I23" s="62"/>
      <c r="J23" s="19"/>
    </row>
    <row r="24">
      <c r="A24" s="19" t="str">
        <f>IFERROR(__xludf.DUMMYFUNCTION("""COMPUTED_VALUE"""),"Adam Blackmore")</f>
        <v>Adam Blackmore</v>
      </c>
      <c r="B24" s="19" t="str">
        <f>IFERROR(__xludf.DUMMYFUNCTION("""COMPUTED_VALUE"""),"NSW")</f>
        <v>NSW</v>
      </c>
      <c r="C24" s="5">
        <f>IFERROR(__xludf.DUMMYFUNCTION("""COMPUTED_VALUE"""),4217.0)</f>
        <v>4217</v>
      </c>
      <c r="D24" s="5" t="str">
        <f>IFERROR(__xludf.DUMMYFUNCTION("""COMPUTED_VALUE"""),"11 Colleen grove Wollongong")</f>
        <v>11 Colleen grove Wollongong</v>
      </c>
      <c r="E24" s="25">
        <f>IFERROR(__xludf.DUMMYFUNCTION("""COMPUTED_VALUE"""),45928.0)</f>
        <v>45928</v>
      </c>
      <c r="F24" s="5" t="str">
        <f>IFERROR(__xludf.DUMMYFUNCTION("""COMPUTED_VALUE"""),"Featured")</f>
        <v>Featured</v>
      </c>
      <c r="G24" s="19" t="str">
        <f>IFERROR(__xludf.DUMMYFUNCTION("""COMPUTED_VALUE"""),"Commission Comparison")</f>
        <v>Commission Comparison</v>
      </c>
      <c r="H24" s="19"/>
      <c r="I24" s="62"/>
      <c r="J24" s="19"/>
    </row>
    <row r="25">
      <c r="A25" s="19" t="str">
        <f>IFERROR(__xludf.DUMMYFUNCTION("""COMPUTED_VALUE"""),"Adam Blackmore")</f>
        <v>Adam Blackmore</v>
      </c>
      <c r="B25" s="19" t="str">
        <f>IFERROR(__xludf.DUMMYFUNCTION("""COMPUTED_VALUE"""),"NSW")</f>
        <v>NSW</v>
      </c>
      <c r="C25" s="5" t="str">
        <f>IFERROR(__xludf.DUMMYFUNCTION("""COMPUTED_VALUE"""),"Bulli")</f>
        <v>Bulli</v>
      </c>
      <c r="D25" s="5" t="str">
        <f>IFERROR(__xludf.DUMMYFUNCTION("""COMPUTED_VALUE"""),"64 Organs Road Bulli NSW 2516")</f>
        <v>64 Organs Road Bulli NSW 2516</v>
      </c>
      <c r="E25" s="25">
        <f>IFERROR(__xludf.DUMMYFUNCTION("""COMPUTED_VALUE"""),45931.0)</f>
        <v>45931</v>
      </c>
      <c r="F25" s="5">
        <f>IFERROR(__xludf.DUMMYFUNCTION("""COMPUTED_VALUE"""),8.0)</f>
        <v>8</v>
      </c>
      <c r="G25" s="19" t="str">
        <f>IFERROR(__xludf.DUMMYFUNCTION("""COMPUTED_VALUE"""),"Instant Forms")</f>
        <v>Instant Forms</v>
      </c>
      <c r="H25" s="19" t="str">
        <f>IFERROR(__xludf.DUMMYFUNCTION("""COMPUTED_VALUE"""),"Veena Gollop - Model and Exercise Scientist")</f>
        <v>Veena Gollop - Model and Exercise Scientist</v>
      </c>
      <c r="I25" s="62"/>
      <c r="J25" s="19"/>
    </row>
    <row r="26">
      <c r="A26" s="19" t="str">
        <f>IFERROR(__xludf.DUMMYFUNCTION("""COMPUTED_VALUE"""),"Adam Blackmore")</f>
        <v>Adam Blackmore</v>
      </c>
      <c r="B26" s="19" t="str">
        <f>IFERROR(__xludf.DUMMYFUNCTION("""COMPUTED_VALUE"""),"NSW")</f>
        <v>NSW</v>
      </c>
      <c r="C26" s="5" t="str">
        <f>IFERROR(__xludf.DUMMYFUNCTION("""COMPUTED_VALUE"""),"Figtree")</f>
        <v>Figtree</v>
      </c>
      <c r="D26" s="5" t="str">
        <f>IFERROR(__xludf.DUMMYFUNCTION("""COMPUTED_VALUE"""),"45 Bellevue Road Figtree NSW 2525")</f>
        <v>45 Bellevue Road Figtree NSW 2525</v>
      </c>
      <c r="E26" s="25">
        <f>IFERROR(__xludf.DUMMYFUNCTION("""COMPUTED_VALUE"""),45936.0)</f>
        <v>45936</v>
      </c>
      <c r="F26" s="5">
        <f>IFERROR(__xludf.DUMMYFUNCTION("""COMPUTED_VALUE"""),8.0)</f>
        <v>8</v>
      </c>
      <c r="G26" s="19" t="str">
        <f>IFERROR(__xludf.DUMMYFUNCTION("""COMPUTED_VALUE"""),"Instant Forms")</f>
        <v>Instant Forms</v>
      </c>
      <c r="H26" s="19" t="str">
        <f>IFERROR(__xludf.DUMMYFUNCTION("""COMPUTED_VALUE"""),"Andrew Byron")</f>
        <v>Andrew Byron</v>
      </c>
      <c r="I26" s="62"/>
      <c r="J26" s="19"/>
    </row>
    <row r="27">
      <c r="A27" s="19" t="str">
        <f>IFERROR(__xludf.DUMMYFUNCTION("""COMPUTED_VALUE"""),"Adam Blackmore")</f>
        <v>Adam Blackmore</v>
      </c>
      <c r="B27" s="19" t="str">
        <f>IFERROR(__xludf.DUMMYFUNCTION("""COMPUTED_VALUE"""),"NSW")</f>
        <v>NSW</v>
      </c>
      <c r="C27" s="5" t="str">
        <f>IFERROR(__xludf.DUMMYFUNCTION("""COMPUTED_VALUE"""),"Figtree")</f>
        <v>Figtree</v>
      </c>
      <c r="D27" s="5" t="str">
        <f>IFERROR(__xludf.DUMMYFUNCTION("""COMPUTED_VALUE"""),"6 Dalmeny Avenue Figtree NSW 2525")</f>
        <v>6 Dalmeny Avenue Figtree NSW 2525</v>
      </c>
      <c r="E27" s="25">
        <f>IFERROR(__xludf.DUMMYFUNCTION("""COMPUTED_VALUE"""),45938.0)</f>
        <v>45938</v>
      </c>
      <c r="F27" s="5" t="str">
        <f>IFERROR(__xludf.DUMMYFUNCTION("""COMPUTED_VALUE"""),"Featured")</f>
        <v>Featured</v>
      </c>
      <c r="G27" s="19" t="str">
        <f>IFERROR(__xludf.DUMMYFUNCTION("""COMPUTED_VALUE"""),"Commission Comparison")</f>
        <v>Commission Comparison</v>
      </c>
      <c r="H27" s="19"/>
      <c r="I27" s="62"/>
      <c r="J27" s="19"/>
    </row>
    <row r="28">
      <c r="A28" s="19" t="str">
        <f>IFERROR(__xludf.DUMMYFUNCTION("""COMPUTED_VALUE"""),"Adam Blackmore")</f>
        <v>Adam Blackmore</v>
      </c>
      <c r="B28" s="19" t="str">
        <f>IFERROR(__xludf.DUMMYFUNCTION("""COMPUTED_VALUE"""),"NSW")</f>
        <v>NSW</v>
      </c>
      <c r="C28" s="5" t="str">
        <f>IFERROR(__xludf.DUMMYFUNCTION("""COMPUTED_VALUE"""),"Thirroul")</f>
        <v>Thirroul</v>
      </c>
      <c r="D28" s="5" t="str">
        <f>IFERROR(__xludf.DUMMYFUNCTION("""COMPUTED_VALUE"""),"18 Woodland Avenue Thirroul NSW 2515")</f>
        <v>18 Woodland Avenue Thirroul NSW 2515</v>
      </c>
      <c r="E28" s="25">
        <f>IFERROR(__xludf.DUMMYFUNCTION("""COMPUTED_VALUE"""),45938.0)</f>
        <v>45938</v>
      </c>
      <c r="F28" s="5">
        <f>IFERROR(__xludf.DUMMYFUNCTION("""COMPUTED_VALUE"""),6.0)</f>
        <v>6</v>
      </c>
      <c r="G28" s="19" t="str">
        <f>IFERROR(__xludf.DUMMYFUNCTION("""COMPUTED_VALUE"""),"Instant Forms")</f>
        <v>Instant Forms</v>
      </c>
      <c r="H28" s="19"/>
      <c r="I28" s="62"/>
      <c r="J28" s="19"/>
    </row>
    <row r="29">
      <c r="A29" s="19" t="str">
        <f>IFERROR(__xludf.DUMMYFUNCTION("""COMPUTED_VALUE"""),"Adam Blackmore")</f>
        <v>Adam Blackmore</v>
      </c>
      <c r="B29" s="19" t="str">
        <f>IFERROR(__xludf.DUMMYFUNCTION("""COMPUTED_VALUE"""),"NSW")</f>
        <v>NSW</v>
      </c>
      <c r="C29" s="5" t="str">
        <f>IFERROR(__xludf.DUMMYFUNCTION("""COMPUTED_VALUE"""),"west wollongong")</f>
        <v>west wollongong</v>
      </c>
      <c r="D29" s="5" t="str">
        <f>IFERROR(__xludf.DUMMYFUNCTION("""COMPUTED_VALUE"""),"24 Therry Street West Wollongong NSW 2500")</f>
        <v>24 Therry Street West Wollongong NSW 2500</v>
      </c>
      <c r="E29" s="25">
        <f>IFERROR(__xludf.DUMMYFUNCTION("""COMPUTED_VALUE"""),45938.0)</f>
        <v>45938</v>
      </c>
      <c r="F29" s="5">
        <f>IFERROR(__xludf.DUMMYFUNCTION("""COMPUTED_VALUE"""),8.0)</f>
        <v>8</v>
      </c>
      <c r="G29" s="19" t="str">
        <f>IFERROR(__xludf.DUMMYFUNCTION("""COMPUTED_VALUE"""),"Instant Forms")</f>
        <v>Instant Forms</v>
      </c>
      <c r="H29" s="19"/>
      <c r="I29" s="62"/>
      <c r="J29" s="19"/>
    </row>
    <row r="30">
      <c r="A30" s="19" t="str">
        <f>IFERROR(__xludf.DUMMYFUNCTION("""COMPUTED_VALUE"""),"Adam Blackmore")</f>
        <v>Adam Blackmore</v>
      </c>
      <c r="B30" s="19" t="str">
        <f>IFERROR(__xludf.DUMMYFUNCTION("""COMPUTED_VALUE"""),"NSW")</f>
        <v>NSW</v>
      </c>
      <c r="C30" s="5" t="str">
        <f>IFERROR(__xludf.DUMMYFUNCTION("""COMPUTED_VALUE"""),"Towradgi")</f>
        <v>Towradgi</v>
      </c>
      <c r="D30" s="5" t="str">
        <f>IFERROR(__xludf.DUMMYFUNCTION("""COMPUTED_VALUE"""),"456 Princes Highway Towradgi NSW 2518")</f>
        <v>456 Princes Highway Towradgi NSW 2518</v>
      </c>
      <c r="E30" s="25">
        <f>IFERROR(__xludf.DUMMYFUNCTION("""COMPUTED_VALUE"""),45945.0)</f>
        <v>45945</v>
      </c>
      <c r="F30" s="5">
        <f>IFERROR(__xludf.DUMMYFUNCTION("""COMPUTED_VALUE"""),8.0)</f>
        <v>8</v>
      </c>
      <c r="G30" s="19" t="str">
        <f>IFERROR(__xludf.DUMMYFUNCTION("""COMPUTED_VALUE"""),"Instant Forms")</f>
        <v>Instant Forms</v>
      </c>
      <c r="H30" s="19" t="str">
        <f>IFERROR(__xludf.DUMMYFUNCTION("""COMPUTED_VALUE"""),"Nathan Funnell")</f>
        <v>Nathan Funnell</v>
      </c>
      <c r="I30" s="62"/>
      <c r="J30" s="19"/>
    </row>
    <row r="31">
      <c r="A31" s="19" t="str">
        <f>IFERROR(__xludf.DUMMYFUNCTION("""COMPUTED_VALUE"""),"Adam Blackmore")</f>
        <v>Adam Blackmore</v>
      </c>
      <c r="B31" s="19" t="str">
        <f>IFERROR(__xludf.DUMMYFUNCTION("""COMPUTED_VALUE"""),"NSW")</f>
        <v>NSW</v>
      </c>
      <c r="C31" s="5" t="str">
        <f>IFERROR(__xludf.DUMMYFUNCTION("""COMPUTED_VALUE"""),"Woonona")</f>
        <v>Woonona</v>
      </c>
      <c r="D31" s="5" t="str">
        <f>IFERROR(__xludf.DUMMYFUNCTION("""COMPUTED_VALUE"""),"92 Duke Street WOONONA NSW 2517")</f>
        <v>92 Duke Street WOONONA NSW 2517</v>
      </c>
      <c r="E31" s="25">
        <f>IFERROR(__xludf.DUMMYFUNCTION("""COMPUTED_VALUE"""),45946.0)</f>
        <v>45946</v>
      </c>
      <c r="F31" s="5">
        <f>IFERROR(__xludf.DUMMYFUNCTION("""COMPUTED_VALUE"""),8.0)</f>
        <v>8</v>
      </c>
      <c r="G31" s="19" t="str">
        <f>IFERROR(__xludf.DUMMYFUNCTION("""COMPUTED_VALUE"""),"Instant Forms")</f>
        <v>Instant Forms</v>
      </c>
      <c r="H31" s="19"/>
      <c r="I31" s="62"/>
      <c r="J31" s="19"/>
    </row>
    <row r="32">
      <c r="A32" s="19" t="str">
        <f>IFERROR(__xludf.DUMMYFUNCTION("""COMPUTED_VALUE"""),"Adam Blackmore")</f>
        <v>Adam Blackmore</v>
      </c>
      <c r="B32" s="19" t="str">
        <f>IFERROR(__xludf.DUMMYFUNCTION("""COMPUTED_VALUE"""),"NSW")</f>
        <v>NSW</v>
      </c>
      <c r="C32" s="5" t="str">
        <f>IFERROR(__xludf.DUMMYFUNCTION("""COMPUTED_VALUE"""),"Woonona")</f>
        <v>Woonona</v>
      </c>
      <c r="D32" s="5" t="str">
        <f>IFERROR(__xludf.DUMMYFUNCTION("""COMPUTED_VALUE"""),"2 / 64 Beach Drive Woonona NSW 2517")</f>
        <v>2 / 64 Beach Drive Woonona NSW 2517</v>
      </c>
      <c r="E32" s="25">
        <f>IFERROR(__xludf.DUMMYFUNCTION("""COMPUTED_VALUE"""),45947.0)</f>
        <v>45947</v>
      </c>
      <c r="F32" s="5">
        <f>IFERROR(__xludf.DUMMYFUNCTION("""COMPUTED_VALUE"""),6.0)</f>
        <v>6</v>
      </c>
      <c r="G32" s="19" t="str">
        <f>IFERROR(__xludf.DUMMYFUNCTION("""COMPUTED_VALUE"""),"Instant Forms")</f>
        <v>Instant Forms</v>
      </c>
      <c r="H32" s="19"/>
      <c r="I32" s="62"/>
      <c r="J32" s="19"/>
    </row>
    <row r="33">
      <c r="A33" s="19" t="str">
        <f>IFERROR(__xludf.DUMMYFUNCTION("""COMPUTED_VALUE"""),"Adam Blackmore")</f>
        <v>Adam Blackmore</v>
      </c>
      <c r="B33" s="19" t="str">
        <f>IFERROR(__xludf.DUMMYFUNCTION("""COMPUTED_VALUE"""),"NSW")</f>
        <v>NSW</v>
      </c>
      <c r="C33" s="5" t="str">
        <f>IFERROR(__xludf.DUMMYFUNCTION("""COMPUTED_VALUE"""),"Woonona")</f>
        <v>Woonona</v>
      </c>
      <c r="D33" s="5" t="str">
        <f>IFERROR(__xludf.DUMMYFUNCTION("""COMPUTED_VALUE"""),"50 Popes Road Woonona NSW 2517")</f>
        <v>50 Popes Road Woonona NSW 2517</v>
      </c>
      <c r="E33" s="25">
        <f>IFERROR(__xludf.DUMMYFUNCTION("""COMPUTED_VALUE"""),45947.0)</f>
        <v>45947</v>
      </c>
      <c r="F33" s="5">
        <f>IFERROR(__xludf.DUMMYFUNCTION("""COMPUTED_VALUE"""),6.0)</f>
        <v>6</v>
      </c>
      <c r="G33" s="19" t="str">
        <f>IFERROR(__xludf.DUMMYFUNCTION("""COMPUTED_VALUE"""),"Instant Forms")</f>
        <v>Instant Forms</v>
      </c>
      <c r="H33" s="19"/>
      <c r="I33" s="62"/>
      <c r="J33" s="19"/>
    </row>
    <row r="34">
      <c r="A34" s="19" t="str">
        <f>IFERROR(__xludf.DUMMYFUNCTION("""COMPUTED_VALUE"""),"Adam Blackmore")</f>
        <v>Adam Blackmore</v>
      </c>
      <c r="B34" s="19" t="str">
        <f>IFERROR(__xludf.DUMMYFUNCTION("""COMPUTED_VALUE"""),"NSW")</f>
        <v>NSW</v>
      </c>
      <c r="C34" s="5">
        <f>IFERROR(__xludf.DUMMYFUNCTION("""COMPUTED_VALUE"""),2500.0)</f>
        <v>2500</v>
      </c>
      <c r="D34" s="5"/>
      <c r="E34" s="25">
        <f>IFERROR(__xludf.DUMMYFUNCTION("""COMPUTED_VALUE"""),45950.0)</f>
        <v>45950</v>
      </c>
      <c r="F34" s="5">
        <f>IFERROR(__xludf.DUMMYFUNCTION("""COMPUTED_VALUE"""),5.0)</f>
        <v>5</v>
      </c>
      <c r="G34" s="19" t="str">
        <f>IFERROR(__xludf.DUMMYFUNCTION("""COMPUTED_VALUE"""),"Instant Forms")</f>
        <v>Instant Forms</v>
      </c>
      <c r="H34" s="19"/>
      <c r="I34" s="62"/>
      <c r="J34" s="19"/>
    </row>
    <row r="35">
      <c r="A35" s="19" t="str">
        <f>IFERROR(__xludf.DUMMYFUNCTION("""COMPUTED_VALUE"""),"Adam Blackmore")</f>
        <v>Adam Blackmore</v>
      </c>
      <c r="B35" s="19" t="str">
        <f>IFERROR(__xludf.DUMMYFUNCTION("""COMPUTED_VALUE"""),"NSW")</f>
        <v>NSW</v>
      </c>
      <c r="C35" s="5" t="str">
        <f>IFERROR(__xludf.DUMMYFUNCTION("""COMPUTED_VALUE"""),"Unanderra")</f>
        <v>Unanderra</v>
      </c>
      <c r="D35" s="5" t="str">
        <f>IFERROR(__xludf.DUMMYFUNCTION("""COMPUTED_VALUE"""),"2 Thornbury Avenue Unanderra NSW 2526")</f>
        <v>2 Thornbury Avenue Unanderra NSW 2526</v>
      </c>
      <c r="E35" s="25">
        <f>IFERROR(__xludf.DUMMYFUNCTION("""COMPUTED_VALUE"""),45951.0)</f>
        <v>45951</v>
      </c>
      <c r="F35" s="5">
        <f>IFERROR(__xludf.DUMMYFUNCTION("""COMPUTED_VALUE"""),8.0)</f>
        <v>8</v>
      </c>
      <c r="G35" s="19" t="str">
        <f>IFERROR(__xludf.DUMMYFUNCTION("""COMPUTED_VALUE"""),"Instant Forms")</f>
        <v>Instant Forms</v>
      </c>
      <c r="H35" s="19"/>
      <c r="I35" s="62"/>
      <c r="J35" s="19"/>
    </row>
    <row r="36">
      <c r="A36" s="19" t="str">
        <f>IFERROR(__xludf.DUMMYFUNCTION("""COMPUTED_VALUE"""),"Adam Blackmore")</f>
        <v>Adam Blackmore</v>
      </c>
      <c r="B36" s="19" t="str">
        <f>IFERROR(__xludf.DUMMYFUNCTION("""COMPUTED_VALUE"""),"NSW")</f>
        <v>NSW</v>
      </c>
      <c r="C36" s="5" t="str">
        <f>IFERROR(__xludf.DUMMYFUNCTION("""COMPUTED_VALUE"""),"Woonona")</f>
        <v>Woonona</v>
      </c>
      <c r="D36" s="5" t="str">
        <f>IFERROR(__xludf.DUMMYFUNCTION("""COMPUTED_VALUE"""),"10 Red Ash Drive Woonona NSW 2517")</f>
        <v>10 Red Ash Drive Woonona NSW 2517</v>
      </c>
      <c r="E36" s="25">
        <f>IFERROR(__xludf.DUMMYFUNCTION("""COMPUTED_VALUE"""),45953.0)</f>
        <v>45953</v>
      </c>
      <c r="F36" s="5">
        <f>IFERROR(__xludf.DUMMYFUNCTION("""COMPUTED_VALUE"""),8.0)</f>
        <v>8</v>
      </c>
      <c r="G36" s="19" t="str">
        <f>IFERROR(__xludf.DUMMYFUNCTION("""COMPUTED_VALUE"""),"Instant Forms")</f>
        <v>Instant Forms</v>
      </c>
      <c r="H36" s="19"/>
      <c r="I36" s="62"/>
      <c r="J36" s="19"/>
    </row>
    <row r="37">
      <c r="A37" s="19" t="str">
        <f>IFERROR(__xludf.DUMMYFUNCTION("""COMPUTED_VALUE"""),"Adam Blackmore")</f>
        <v>Adam Blackmore</v>
      </c>
      <c r="B37" s="19" t="str">
        <f>IFERROR(__xludf.DUMMYFUNCTION("""COMPUTED_VALUE"""),"NSW")</f>
        <v>NSW</v>
      </c>
      <c r="C37" s="5" t="str">
        <f>IFERROR(__xludf.DUMMYFUNCTION("""COMPUTED_VALUE"""),"Corrimal")</f>
        <v>Corrimal</v>
      </c>
      <c r="D37" s="5" t="str">
        <f>IFERROR(__xludf.DUMMYFUNCTION("""COMPUTED_VALUE"""),"unit 1 39-41 Cross Street Corrimal NSW, Corrimal, 2518")</f>
        <v>unit 1 39-41 Cross Street Corrimal NSW, Corrimal, 2518</v>
      </c>
      <c r="E37" s="25" t="str">
        <f>IFERROR(__xludf.DUMMYFUNCTION("""COMPUTED_VALUE"""),"26/10/2025")</f>
        <v>26/10/2025</v>
      </c>
      <c r="F37" s="5" t="str">
        <f>IFERROR(__xludf.DUMMYFUNCTION("""COMPUTED_VALUE"""),"Featured")</f>
        <v>Featured</v>
      </c>
      <c r="G37" s="19" t="str">
        <f>IFERROR(__xludf.DUMMYFUNCTION("""COMPUTED_VALUE"""),"Meta Commission Report")</f>
        <v>Meta Commission Report</v>
      </c>
      <c r="H37" s="19" t="str">
        <f>IFERROR(__xludf.DUMMYFUNCTION("""COMPUTED_VALUE"""),"Tony Ianni")</f>
        <v>Tony Ianni</v>
      </c>
      <c r="I37" s="62"/>
      <c r="J37" s="19"/>
    </row>
    <row r="38">
      <c r="A38" s="19" t="str">
        <f>IFERROR(__xludf.DUMMYFUNCTION("""COMPUTED_VALUE"""),"Adam Blackmore")</f>
        <v>Adam Blackmore</v>
      </c>
      <c r="B38" s="19" t="str">
        <f>IFERROR(__xludf.DUMMYFUNCTION("""COMPUTED_VALUE"""),"NSW")</f>
        <v>NSW</v>
      </c>
      <c r="C38" s="5" t="str">
        <f>IFERROR(__xludf.DUMMYFUNCTION("""COMPUTED_VALUE"""),"Wollongong")</f>
        <v>Wollongong</v>
      </c>
      <c r="D38" s="5"/>
      <c r="E38" s="25">
        <f>IFERROR(__xludf.DUMMYFUNCTION("""COMPUTED_VALUE"""),45975.0)</f>
        <v>45975</v>
      </c>
      <c r="F38" s="5">
        <f>IFERROR(__xludf.DUMMYFUNCTION("""COMPUTED_VALUE"""),5.0)</f>
        <v>5</v>
      </c>
      <c r="G38" s="19" t="str">
        <f>IFERROR(__xludf.DUMMYFUNCTION("""COMPUTED_VALUE"""),"Instant Forms")</f>
        <v>Instant Forms</v>
      </c>
      <c r="H38" s="19" t="str">
        <f>IFERROR(__xludf.DUMMYFUNCTION("""COMPUTED_VALUE"""),"Stephanie Perez")</f>
        <v>Stephanie Perez</v>
      </c>
      <c r="I38" s="62">
        <f>IFERROR(__xludf.DUMMYFUNCTION("""COMPUTED_VALUE"""),6.144996839E10)</f>
        <v>61449968390</v>
      </c>
      <c r="J38" s="19" t="str">
        <f>IFERROR(__xludf.DUMMYFUNCTION("""COMPUTED_VALUE"""),"stephanieperez803@gmail.com")</f>
        <v>stephanieperez803@gmail.com</v>
      </c>
    </row>
    <row r="39">
      <c r="A39" s="19" t="str">
        <f>IFERROR(__xludf.DUMMYFUNCTION("""COMPUTED_VALUE"""),"Adam Blackmore")</f>
        <v>Adam Blackmore</v>
      </c>
      <c r="B39" s="19" t="str">
        <f>IFERROR(__xludf.DUMMYFUNCTION("""COMPUTED_VALUE"""),"NSW")</f>
        <v>NSW</v>
      </c>
      <c r="C39" s="5" t="str">
        <f>IFERROR(__xludf.DUMMYFUNCTION("""COMPUTED_VALUE"""),"Woonona")</f>
        <v>Woonona</v>
      </c>
      <c r="D39" s="5" t="str">
        <f>IFERROR(__xludf.DUMMYFUNCTION("""COMPUTED_VALUE"""),"57 Joseph Street Woonona NSW 2517")</f>
        <v>57 Joseph Street Woonona NSW 2517</v>
      </c>
      <c r="E39" s="25">
        <f>IFERROR(__xludf.DUMMYFUNCTION("""COMPUTED_VALUE"""),45977.0)</f>
        <v>45977</v>
      </c>
      <c r="F39" s="5">
        <f>IFERROR(__xludf.DUMMYFUNCTION("""COMPUTED_VALUE"""),8.0)</f>
        <v>8</v>
      </c>
      <c r="G39" s="19" t="str">
        <f>IFERROR(__xludf.DUMMYFUNCTION("""COMPUTED_VALUE"""),"Instant Forms")</f>
        <v>Instant Forms</v>
      </c>
      <c r="H39" s="19" t="str">
        <f>IFERROR(__xludf.DUMMYFUNCTION("""COMPUTED_VALUE"""),"Paul Murray")</f>
        <v>Paul Murray</v>
      </c>
      <c r="I39" s="62">
        <f>IFERROR(__xludf.DUMMYFUNCTION("""COMPUTED_VALUE"""),6.1409607567E10)</f>
        <v>61409607567</v>
      </c>
      <c r="J39" s="19" t="str">
        <f>IFERROR(__xludf.DUMMYFUNCTION("""COMPUTED_VALUE"""),"mpd@westnet.com.au")</f>
        <v>mpd@westnet.com.au</v>
      </c>
    </row>
    <row r="40">
      <c r="A40" s="19" t="str">
        <f>IFERROR(__xludf.DUMMYFUNCTION("""COMPUTED_VALUE"""),"Adam Blackmore")</f>
        <v>Adam Blackmore</v>
      </c>
      <c r="B40" s="19" t="str">
        <f>IFERROR(__xludf.DUMMYFUNCTION("""COMPUTED_VALUE"""),"NSW")</f>
        <v>NSW</v>
      </c>
      <c r="C40" s="5" t="str">
        <f>IFERROR(__xludf.DUMMYFUNCTION("""COMPUTED_VALUE"""),"Keiraville")</f>
        <v>Keiraville</v>
      </c>
      <c r="D40" s="5" t="str">
        <f>IFERROR(__xludf.DUMMYFUNCTION("""COMPUTED_VALUE"""),"10 Cedar Grove Keiraville NSW 2500")</f>
        <v>10 Cedar Grove Keiraville NSW 2500</v>
      </c>
      <c r="E40" s="25">
        <f>IFERROR(__xludf.DUMMYFUNCTION("""COMPUTED_VALUE"""),45977.0)</f>
        <v>45977</v>
      </c>
      <c r="F40" s="5">
        <f>IFERROR(__xludf.DUMMYFUNCTION("""COMPUTED_VALUE"""),8.0)</f>
        <v>8</v>
      </c>
      <c r="G40" s="19" t="str">
        <f>IFERROR(__xludf.DUMMYFUNCTION("""COMPUTED_VALUE"""),"Instant Forms")</f>
        <v>Instant Forms</v>
      </c>
      <c r="H40" s="19" t="str">
        <f>IFERROR(__xludf.DUMMYFUNCTION("""COMPUTED_VALUE"""),"Andrew Reveley")</f>
        <v>Andrew Reveley</v>
      </c>
      <c r="I40" s="62">
        <f>IFERROR(__xludf.DUMMYFUNCTION("""COMPUTED_VALUE"""),6.1414691851E10)</f>
        <v>61414691851</v>
      </c>
      <c r="J40" s="19" t="str">
        <f>IFERROR(__xludf.DUMMYFUNCTION("""COMPUTED_VALUE"""),"andrew@wiseeyes.com.au")</f>
        <v>andrew@wiseeyes.com.au</v>
      </c>
    </row>
    <row r="41">
      <c r="A41" s="19" t="str">
        <f>IFERROR(__xludf.DUMMYFUNCTION("""COMPUTED_VALUE"""),"Adam Blackmore")</f>
        <v>Adam Blackmore</v>
      </c>
      <c r="B41" s="19" t="str">
        <f>IFERROR(__xludf.DUMMYFUNCTION("""COMPUTED_VALUE"""),"NSW")</f>
        <v>NSW</v>
      </c>
      <c r="C41" s="5" t="str">
        <f>IFERROR(__xludf.DUMMYFUNCTION("""COMPUTED_VALUE"""),"Bulli")</f>
        <v>Bulli</v>
      </c>
      <c r="D41" s="5" t="str">
        <f>IFERROR(__xludf.DUMMYFUNCTION("""COMPUTED_VALUE"""),"42D Aragan Circuit, Bulli, New South Wales")</f>
        <v>42D Aragan Circuit, Bulli, New South Wales</v>
      </c>
      <c r="E41" s="5" t="str">
        <f>IFERROR(__xludf.DUMMYFUNCTION("""COMPUTED_VALUE"""),"29/11/2025")</f>
        <v>29/11/2025</v>
      </c>
      <c r="F41" s="64">
        <f>IFERROR(__xludf.DUMMYFUNCTION("""COMPUTED_VALUE"""),0.2)</f>
        <v>0.2</v>
      </c>
      <c r="G41" s="19" t="str">
        <f>IFERROR(__xludf.DUMMYFUNCTION("""COMPUTED_VALUE"""),"Commission Comparison")</f>
        <v>Commission Comparison</v>
      </c>
      <c r="H41" s="19" t="str">
        <f>IFERROR(__xludf.DUMMYFUNCTION("""COMPUTED_VALUE"""),"Mannie Santos")</f>
        <v>Mannie Santos</v>
      </c>
      <c r="I41" s="62">
        <f>IFERROR(__xludf.DUMMYFUNCTION("""COMPUTED_VALUE"""),6.10419266424E11)</f>
        <v>610419266424</v>
      </c>
      <c r="J41" s="19" t="str">
        <f>IFERROR(__xludf.DUMMYFUNCTION("""COMPUTED_VALUE"""),"emanuel_dos_santos@telstra.com")</f>
        <v>emanuel_dos_santos@telstra.com</v>
      </c>
    </row>
    <row r="42">
      <c r="A42" s="19" t="str">
        <f>IFERROR(__xludf.DUMMYFUNCTION("""COMPUTED_VALUE"""),"")</f>
        <v/>
      </c>
      <c r="B42" s="19" t="str">
        <f>IFERROR(__xludf.DUMMYFUNCTION("""COMPUTED_VALUE"""),"")</f>
        <v/>
      </c>
      <c r="C42" s="5" t="str">
        <f>IFERROR(__xludf.DUMMYFUNCTION("""COMPUTED_VALUE"""),"")</f>
        <v/>
      </c>
      <c r="D42" s="5" t="str">
        <f>IFERROR(__xludf.DUMMYFUNCTION("""COMPUTED_VALUE"""),"")</f>
        <v/>
      </c>
      <c r="E42" s="5" t="str">
        <f>IFERROR(__xludf.DUMMYFUNCTION("""COMPUTED_VALUE"""),"")</f>
        <v/>
      </c>
      <c r="F42" s="5" t="str">
        <f>IFERROR(__xludf.DUMMYFUNCTION("""COMPUTED_VALUE"""),"")</f>
        <v/>
      </c>
      <c r="G42" s="19" t="str">
        <f>IFERROR(__xludf.DUMMYFUNCTION("""COMPUTED_VALUE"""),"")</f>
        <v/>
      </c>
      <c r="H42" s="19" t="str">
        <f>IFERROR(__xludf.DUMMYFUNCTION("""COMPUTED_VALUE"""),"")</f>
        <v/>
      </c>
      <c r="I42" s="62" t="str">
        <f>IFERROR(__xludf.DUMMYFUNCTION("""COMPUTED_VALUE"""),"")</f>
        <v/>
      </c>
      <c r="J42" s="19" t="str">
        <f>IFERROR(__xludf.DUMMYFUNCTION("""COMPUTED_VALUE"""),"")</f>
        <v/>
      </c>
    </row>
    <row r="43">
      <c r="A43" s="19" t="str">
        <f>IFERROR(__xludf.DUMMYFUNCTION("""COMPUTED_VALUE"""),"")</f>
        <v/>
      </c>
      <c r="B43" s="19" t="str">
        <f>IFERROR(__xludf.DUMMYFUNCTION("""COMPUTED_VALUE"""),"")</f>
        <v/>
      </c>
      <c r="C43" s="5" t="str">
        <f>IFERROR(__xludf.DUMMYFUNCTION("""COMPUTED_VALUE"""),"")</f>
        <v/>
      </c>
      <c r="D43" s="5" t="str">
        <f>IFERROR(__xludf.DUMMYFUNCTION("""COMPUTED_VALUE"""),"")</f>
        <v/>
      </c>
      <c r="E43" s="5" t="str">
        <f>IFERROR(__xludf.DUMMYFUNCTION("""COMPUTED_VALUE"""),"")</f>
        <v/>
      </c>
      <c r="F43" s="5" t="str">
        <f>IFERROR(__xludf.DUMMYFUNCTION("""COMPUTED_VALUE"""),"")</f>
        <v/>
      </c>
      <c r="G43" s="19" t="str">
        <f>IFERROR(__xludf.DUMMYFUNCTION("""COMPUTED_VALUE"""),"")</f>
        <v/>
      </c>
      <c r="H43" s="19" t="str">
        <f>IFERROR(__xludf.DUMMYFUNCTION("""COMPUTED_VALUE"""),"")</f>
        <v/>
      </c>
      <c r="I43" s="62" t="str">
        <f>IFERROR(__xludf.DUMMYFUNCTION("""COMPUTED_VALUE"""),"")</f>
        <v/>
      </c>
      <c r="J43" s="19" t="str">
        <f>IFERROR(__xludf.DUMMYFUNCTION("""COMPUTED_VALUE"""),"")</f>
        <v/>
      </c>
    </row>
    <row r="44">
      <c r="A44" s="19" t="str">
        <f>IFERROR(__xludf.DUMMYFUNCTION("""COMPUTED_VALUE"""),"Adriaan Coetzee")</f>
        <v>Adriaan Coetzee</v>
      </c>
      <c r="B44" s="19" t="str">
        <f>IFERROR(__xludf.DUMMYFUNCTION("""COMPUTED_VALUE"""),"QLD")</f>
        <v>QLD</v>
      </c>
      <c r="C44" s="5" t="str">
        <f>IFERROR(__xludf.DUMMYFUNCTION("""COMPUTED_VALUE"""),"Nambour")</f>
        <v>Nambour</v>
      </c>
      <c r="D44" s="5" t="str">
        <f>IFERROR(__xludf.DUMMYFUNCTION("""COMPUTED_VALUE"""),"1 / 209 Windsor Road, Nambour, QLD, 4560, Australia")</f>
        <v>1 / 209 Windsor Road, Nambour, QLD, 4560, Australia</v>
      </c>
      <c r="E44" s="5" t="str">
        <f>IFERROR(__xludf.DUMMYFUNCTION("""COMPUTED_VALUE"""),"30/05/2025")</f>
        <v>30/05/2025</v>
      </c>
      <c r="F44" s="5" t="str">
        <f>IFERROR(__xludf.DUMMYFUNCTION("""COMPUTED_VALUE"""),"Featured")</f>
        <v>Featured</v>
      </c>
      <c r="G44" s="19"/>
      <c r="H44" s="19"/>
      <c r="I44" s="62"/>
      <c r="J44" s="19"/>
    </row>
    <row r="45">
      <c r="A45" s="19" t="str">
        <f>IFERROR(__xludf.DUMMYFUNCTION("""COMPUTED_VALUE"""),"Adriaan Coetzee")</f>
        <v>Adriaan Coetzee</v>
      </c>
      <c r="B45" s="19" t="str">
        <f>IFERROR(__xludf.DUMMYFUNCTION("""COMPUTED_VALUE"""),"QLD")</f>
        <v>QLD</v>
      </c>
      <c r="C45" s="5">
        <f>IFERROR(__xludf.DUMMYFUNCTION("""COMPUTED_VALUE"""),4560.0)</f>
        <v>4560</v>
      </c>
      <c r="D45" s="5"/>
      <c r="E45" s="63">
        <f>IFERROR(__xludf.DUMMYFUNCTION("""COMPUTED_VALUE"""),45838.59490740741)</f>
        <v>45838.59491</v>
      </c>
      <c r="F45" s="5" t="str">
        <f>IFERROR(__xludf.DUMMYFUNCTION("""COMPUTED_VALUE"""),"Featured")</f>
        <v>Featured</v>
      </c>
      <c r="G45" s="19" t="str">
        <f>IFERROR(__xludf.DUMMYFUNCTION("""COMPUTED_VALUE"""),"Instant Forms")</f>
        <v>Instant Forms</v>
      </c>
      <c r="H45" s="19"/>
      <c r="I45" s="62"/>
      <c r="J45" s="19"/>
    </row>
    <row r="46">
      <c r="A46" s="19" t="str">
        <f>IFERROR(__xludf.DUMMYFUNCTION("""COMPUTED_VALUE"""),"Adriaan Coetzee")</f>
        <v>Adriaan Coetzee</v>
      </c>
      <c r="B46" s="19" t="str">
        <f>IFERROR(__xludf.DUMMYFUNCTION("""COMPUTED_VALUE"""),"QLD")</f>
        <v>QLD</v>
      </c>
      <c r="C46" s="5" t="str">
        <f>IFERROR(__xludf.DUMMYFUNCTION("""COMPUTED_VALUE"""),"Yandina")</f>
        <v>Yandina</v>
      </c>
      <c r="D46" s="5" t="str">
        <f>IFERROR(__xludf.DUMMYFUNCTION("""COMPUTED_VALUE"""),"28 Skyring Street Yandina QLD 4561")</f>
        <v>28 Skyring Street Yandina QLD 4561</v>
      </c>
      <c r="E46" s="25">
        <f>IFERROR(__xludf.DUMMYFUNCTION("""COMPUTED_VALUE"""),45898.0)</f>
        <v>45898</v>
      </c>
      <c r="F46" s="5" t="str">
        <f>IFERROR(__xludf.DUMMYFUNCTION("""COMPUTED_VALUE"""),"Free")</f>
        <v>Free</v>
      </c>
      <c r="G46" s="19" t="str">
        <f>IFERROR(__xludf.DUMMYFUNCTION("""COMPUTED_VALUE"""),"Instant Forms")</f>
        <v>Instant Forms</v>
      </c>
      <c r="H46" s="19"/>
      <c r="I46" s="62"/>
      <c r="J46" s="19"/>
    </row>
    <row r="47">
      <c r="A47" s="19" t="str">
        <f>IFERROR(__xludf.DUMMYFUNCTION("""COMPUTED_VALUE"""),"Adriaan Coetzee")</f>
        <v>Adriaan Coetzee</v>
      </c>
      <c r="B47" s="19" t="str">
        <f>IFERROR(__xludf.DUMMYFUNCTION("""COMPUTED_VALUE"""),"QLD")</f>
        <v>QLD</v>
      </c>
      <c r="C47" s="5" t="str">
        <f>IFERROR(__xludf.DUMMYFUNCTION("""COMPUTED_VALUE"""),"Kiel Mountain")</f>
        <v>Kiel Mountain</v>
      </c>
      <c r="D47" s="5" t="str">
        <f>IFERROR(__xludf.DUMMYFUNCTION("""COMPUTED_VALUE"""),"145 Kiel Mountain Road Woombye QLD 4559")</f>
        <v>145 Kiel Mountain Road Woombye QLD 4559</v>
      </c>
      <c r="E47" s="25">
        <f>IFERROR(__xludf.DUMMYFUNCTION("""COMPUTED_VALUE"""),45904.0)</f>
        <v>45904</v>
      </c>
      <c r="F47" s="5" t="str">
        <f>IFERROR(__xludf.DUMMYFUNCTION("""COMPUTED_VALUE"""),"Featured")</f>
        <v>Featured</v>
      </c>
      <c r="G47" s="19" t="str">
        <f>IFERROR(__xludf.DUMMYFUNCTION("""COMPUTED_VALUE"""),"Instant Forms")</f>
        <v>Instant Forms</v>
      </c>
      <c r="H47" s="19"/>
      <c r="I47" s="62"/>
      <c r="J47" s="19"/>
    </row>
    <row r="48">
      <c r="A48" s="19" t="str">
        <f>IFERROR(__xludf.DUMMYFUNCTION("""COMPUTED_VALUE"""),"Adriaan Coetzee")</f>
        <v>Adriaan Coetzee</v>
      </c>
      <c r="B48" s="19" t="str">
        <f>IFERROR(__xludf.DUMMYFUNCTION("""COMPUTED_VALUE"""),"QLD")</f>
        <v>QLD</v>
      </c>
      <c r="C48" s="5" t="str">
        <f>IFERROR(__xludf.DUMMYFUNCTION("""COMPUTED_VALUE"""),"Maroochy river")</f>
        <v>Maroochy river</v>
      </c>
      <c r="D48" s="5" t="str">
        <f>IFERROR(__xludf.DUMMYFUNCTION("""COMPUTED_VALUE"""),"12 Kirra Road Maroochy River QLD 4561")</f>
        <v>12 Kirra Road Maroochy River QLD 4561</v>
      </c>
      <c r="E48" s="25">
        <f>IFERROR(__xludf.DUMMYFUNCTION("""COMPUTED_VALUE"""),45906.0)</f>
        <v>45906</v>
      </c>
      <c r="F48" s="5" t="str">
        <f>IFERROR(__xludf.DUMMYFUNCTION("""COMPUTED_VALUE"""),"Featured")</f>
        <v>Featured</v>
      </c>
      <c r="G48" s="19" t="str">
        <f>IFERROR(__xludf.DUMMYFUNCTION("""COMPUTED_VALUE"""),"Instant Forms")</f>
        <v>Instant Forms</v>
      </c>
      <c r="H48" s="19"/>
      <c r="I48" s="62"/>
      <c r="J48" s="19"/>
    </row>
    <row r="49">
      <c r="A49" s="19" t="str">
        <f>IFERROR(__xludf.DUMMYFUNCTION("""COMPUTED_VALUE"""),"Adriaan Coetzee")</f>
        <v>Adriaan Coetzee</v>
      </c>
      <c r="B49" s="19" t="str">
        <f>IFERROR(__xludf.DUMMYFUNCTION("""COMPUTED_VALUE"""),"QLD")</f>
        <v>QLD</v>
      </c>
      <c r="C49" s="5" t="str">
        <f>IFERROR(__xludf.DUMMYFUNCTION("""COMPUTED_VALUE"""),"Bli Bli QLD 4560")</f>
        <v>Bli Bli QLD 4560</v>
      </c>
      <c r="D49" s="5" t="str">
        <f>IFERROR(__xludf.DUMMYFUNCTION("""COMPUTED_VALUE"""),"4 Bellevue Street Bli Bli QLD 4560")</f>
        <v>4 Bellevue Street Bli Bli QLD 4560</v>
      </c>
      <c r="E49" s="25">
        <f>IFERROR(__xludf.DUMMYFUNCTION("""COMPUTED_VALUE"""),45923.0)</f>
        <v>45923</v>
      </c>
      <c r="F49" s="5">
        <f>IFERROR(__xludf.DUMMYFUNCTION("""COMPUTED_VALUE"""),8.0)</f>
        <v>8</v>
      </c>
      <c r="G49" s="19" t="str">
        <f>IFERROR(__xludf.DUMMYFUNCTION("""COMPUTED_VALUE"""),"Instant Forms")</f>
        <v>Instant Forms</v>
      </c>
      <c r="H49" s="19" t="str">
        <f>IFERROR(__xludf.DUMMYFUNCTION("""COMPUTED_VALUE"""),"Cat Upcroft")</f>
        <v>Cat Upcroft</v>
      </c>
      <c r="I49" s="62"/>
      <c r="J49" s="19"/>
    </row>
    <row r="50">
      <c r="A50" s="19" t="str">
        <f>IFERROR(__xludf.DUMMYFUNCTION("""COMPUTED_VALUE"""),"Adriaan Coetzee")</f>
        <v>Adriaan Coetzee</v>
      </c>
      <c r="B50" s="19" t="str">
        <f>IFERROR(__xludf.DUMMYFUNCTION("""COMPUTED_VALUE"""),"QLD")</f>
        <v>QLD</v>
      </c>
      <c r="C50" s="5" t="str">
        <f>IFERROR(__xludf.DUMMYFUNCTION("""COMPUTED_VALUE"""),"Nambour")</f>
        <v>Nambour</v>
      </c>
      <c r="D50" s="5"/>
      <c r="E50" s="25">
        <f>IFERROR(__xludf.DUMMYFUNCTION("""COMPUTED_VALUE"""),45928.0)</f>
        <v>45928</v>
      </c>
      <c r="F50" s="5">
        <f>IFERROR(__xludf.DUMMYFUNCTION("""COMPUTED_VALUE"""),6.0)</f>
        <v>6</v>
      </c>
      <c r="G50" s="19" t="str">
        <f>IFERROR(__xludf.DUMMYFUNCTION("""COMPUTED_VALUE"""),"Instant Forms")</f>
        <v>Instant Forms</v>
      </c>
      <c r="H50" s="19" t="str">
        <f>IFERROR(__xludf.DUMMYFUNCTION("""COMPUTED_VALUE"""),"Geoff Cutter")</f>
        <v>Geoff Cutter</v>
      </c>
      <c r="I50" s="62"/>
      <c r="J50" s="19"/>
    </row>
    <row r="51">
      <c r="A51" s="19" t="str">
        <f>IFERROR(__xludf.DUMMYFUNCTION("""COMPUTED_VALUE"""),"Adriaan Coetzee")</f>
        <v>Adriaan Coetzee</v>
      </c>
      <c r="B51" s="19" t="str">
        <f>IFERROR(__xludf.DUMMYFUNCTION("""COMPUTED_VALUE"""),"QLD")</f>
        <v>QLD</v>
      </c>
      <c r="C51" s="5" t="str">
        <f>IFERROR(__xludf.DUMMYFUNCTION("""COMPUTED_VALUE"""),"Highworth")</f>
        <v>Highworth</v>
      </c>
      <c r="D51" s="5" t="str">
        <f>IFERROR(__xludf.DUMMYFUNCTION("""COMPUTED_VALUE"""),"6 Yvonne Street, Highworth, QLD, 4560, Australia")</f>
        <v>6 Yvonne Street, Highworth, QLD, 4560, Australia</v>
      </c>
      <c r="E51" s="25">
        <f>IFERROR(__xludf.DUMMYFUNCTION("""COMPUTED_VALUE"""),45930.0)</f>
        <v>45930</v>
      </c>
      <c r="F51" s="5" t="str">
        <f>IFERROR(__xludf.DUMMYFUNCTION("""COMPUTED_VALUE"""),"Featured")</f>
        <v>Featured</v>
      </c>
      <c r="G51" s="19" t="str">
        <f>IFERROR(__xludf.DUMMYFUNCTION("""COMPUTED_VALUE"""),"Commission Comparison")</f>
        <v>Commission Comparison</v>
      </c>
      <c r="H51" s="19"/>
      <c r="I51" s="62"/>
      <c r="J51" s="19"/>
    </row>
    <row r="52">
      <c r="A52" s="19" t="str">
        <f>IFERROR(__xludf.DUMMYFUNCTION("""COMPUTED_VALUE"""),"Adriaan Coetzee")</f>
        <v>Adriaan Coetzee</v>
      </c>
      <c r="B52" s="19" t="str">
        <f>IFERROR(__xludf.DUMMYFUNCTION("""COMPUTED_VALUE"""),"QLD")</f>
        <v>QLD</v>
      </c>
      <c r="C52" s="5" t="str">
        <f>IFERROR(__xludf.DUMMYFUNCTION("""COMPUTED_VALUE"""),"Burnside")</f>
        <v>Burnside</v>
      </c>
      <c r="D52" s="5" t="str">
        <f>IFERROR(__xludf.DUMMYFUNCTION("""COMPUTED_VALUE"""),"163 Perwillowen Road, Burnside, QLD, 4560, Australia")</f>
        <v>163 Perwillowen Road, Burnside, QLD, 4560, Australia</v>
      </c>
      <c r="E52" s="27">
        <f>IFERROR(__xludf.DUMMYFUNCTION("""COMPUTED_VALUE"""),45787.0)</f>
        <v>45787</v>
      </c>
      <c r="F52" s="5" t="str">
        <f>IFERROR(__xludf.DUMMYFUNCTION("""COMPUTED_VALUE"""),"Featured")</f>
        <v>Featured</v>
      </c>
      <c r="G52" s="19"/>
      <c r="H52" s="19"/>
      <c r="I52" s="62"/>
      <c r="J52" s="19"/>
    </row>
    <row r="53">
      <c r="A53" s="19" t="str">
        <f>IFERROR(__xludf.DUMMYFUNCTION("""COMPUTED_VALUE"""),"Adriaan Coetzee")</f>
        <v>Adriaan Coetzee</v>
      </c>
      <c r="B53" s="19" t="str">
        <f>IFERROR(__xludf.DUMMYFUNCTION("""COMPUTED_VALUE"""),"QLD")</f>
        <v>QLD</v>
      </c>
      <c r="C53" s="5" t="str">
        <f>IFERROR(__xludf.DUMMYFUNCTION("""COMPUTED_VALUE"""),"Bli Bli ")</f>
        <v>Bli Bli </v>
      </c>
      <c r="D53" s="5" t="str">
        <f>IFERROR(__xludf.DUMMYFUNCTION("""COMPUTED_VALUE"""),"43 kingfisher drv")</f>
        <v>43 kingfisher drv</v>
      </c>
      <c r="E53" s="25">
        <f>IFERROR(__xludf.DUMMYFUNCTION("""COMPUTED_VALUE"""),45945.0)</f>
        <v>45945</v>
      </c>
      <c r="F53" s="5" t="str">
        <f>IFERROR(__xludf.DUMMYFUNCTION("""COMPUTED_VALUE"""),"Featured")</f>
        <v>Featured</v>
      </c>
      <c r="G53" s="19" t="str">
        <f>IFERROR(__xludf.DUMMYFUNCTION("""COMPUTED_VALUE"""),"Commission Comparison")</f>
        <v>Commission Comparison</v>
      </c>
      <c r="H53" s="19"/>
      <c r="I53" s="62"/>
      <c r="J53" s="19"/>
    </row>
    <row r="54">
      <c r="A54" s="19" t="str">
        <f>IFERROR(__xludf.DUMMYFUNCTION("""COMPUTED_VALUE"""),"Adriaan Coetzee")</f>
        <v>Adriaan Coetzee</v>
      </c>
      <c r="B54" s="19" t="str">
        <f>IFERROR(__xludf.DUMMYFUNCTION("""COMPUTED_VALUE"""),"QLD")</f>
        <v>QLD</v>
      </c>
      <c r="C54" s="5" t="str">
        <f>IFERROR(__xludf.DUMMYFUNCTION("""COMPUTED_VALUE"""),"Coes Creek")</f>
        <v>Coes Creek</v>
      </c>
      <c r="D54" s="5" t="str">
        <f>IFERROR(__xludf.DUMMYFUNCTION("""COMPUTED_VALUE"""),"12 Kerrs Lane Coes Creek QLD 4560")</f>
        <v>12 Kerrs Lane Coes Creek QLD 4560</v>
      </c>
      <c r="E54" s="25">
        <f>IFERROR(__xludf.DUMMYFUNCTION("""COMPUTED_VALUE"""),45952.0)</f>
        <v>45952</v>
      </c>
      <c r="F54" s="5">
        <f>IFERROR(__xludf.DUMMYFUNCTION("""COMPUTED_VALUE"""),8.0)</f>
        <v>8</v>
      </c>
      <c r="G54" s="19" t="str">
        <f>IFERROR(__xludf.DUMMYFUNCTION("""COMPUTED_VALUE"""),"Instant Forms")</f>
        <v>Instant Forms</v>
      </c>
      <c r="H54" s="19"/>
      <c r="I54" s="62"/>
      <c r="J54" s="19"/>
    </row>
    <row r="55">
      <c r="A55" s="19" t="str">
        <f>IFERROR(__xludf.DUMMYFUNCTION("""COMPUTED_VALUE"""),"Adriaan Coetzee")</f>
        <v>Adriaan Coetzee</v>
      </c>
      <c r="B55" s="19" t="str">
        <f>IFERROR(__xludf.DUMMYFUNCTION("""COMPUTED_VALUE"""),"QLD")</f>
        <v>QLD</v>
      </c>
      <c r="C55" s="5" t="str">
        <f>IFERROR(__xludf.DUMMYFUNCTION("""COMPUTED_VALUE"""),"Bli Bli")</f>
        <v>Bli Bli</v>
      </c>
      <c r="D55" s="5" t="str">
        <f>IFERROR(__xludf.DUMMYFUNCTION("""COMPUTED_VALUE"""),"Bli Bli QLD 4560")</f>
        <v>Bli Bli QLD 4560</v>
      </c>
      <c r="E55" s="25" t="str">
        <f>IFERROR(__xludf.DUMMYFUNCTION("""COMPUTED_VALUE"""),"28/10/2025")</f>
        <v>28/10/2025</v>
      </c>
      <c r="F55" s="5" t="str">
        <f>IFERROR(__xludf.DUMMYFUNCTION("""COMPUTED_VALUE"""),"Featured")</f>
        <v>Featured</v>
      </c>
      <c r="G55" s="19" t="str">
        <f>IFERROR(__xludf.DUMMYFUNCTION("""COMPUTED_VALUE"""),"Meta Commission Report")</f>
        <v>Meta Commission Report</v>
      </c>
      <c r="H55" s="19" t="str">
        <f>IFERROR(__xludf.DUMMYFUNCTION("""COMPUTED_VALUE"""),"Tony Timba")</f>
        <v>Tony Timba</v>
      </c>
      <c r="I55" s="62"/>
      <c r="J55" s="19"/>
    </row>
    <row r="56">
      <c r="A56" s="19" t="str">
        <f>IFERROR(__xludf.DUMMYFUNCTION("""COMPUTED_VALUE"""),"Adriaan Coetzee")</f>
        <v>Adriaan Coetzee</v>
      </c>
      <c r="B56" s="19" t="str">
        <f>IFERROR(__xludf.DUMMYFUNCTION("""COMPUTED_VALUE"""),"QLD")</f>
        <v>QLD</v>
      </c>
      <c r="C56" s="5" t="str">
        <f>IFERROR(__xludf.DUMMYFUNCTION("""COMPUTED_VALUE"""),"Bli Bli QLD 4560")</f>
        <v>Bli Bli QLD 4560</v>
      </c>
      <c r="D56" s="5" t="str">
        <f>IFERROR(__xludf.DUMMYFUNCTION("""COMPUTED_VALUE"""),"9 Lyra Court Bli Bli QLD 4560")</f>
        <v>9 Lyra Court Bli Bli QLD 4560</v>
      </c>
      <c r="E56" s="25">
        <f>IFERROR(__xludf.DUMMYFUNCTION("""COMPUTED_VALUE"""),45975.0)</f>
        <v>45975</v>
      </c>
      <c r="F56" s="5">
        <f>IFERROR(__xludf.DUMMYFUNCTION("""COMPUTED_VALUE"""),8.0)</f>
        <v>8</v>
      </c>
      <c r="G56" s="19" t="str">
        <f>IFERROR(__xludf.DUMMYFUNCTION("""COMPUTED_VALUE"""),"Instant Forms")</f>
        <v>Instant Forms</v>
      </c>
      <c r="H56" s="19" t="str">
        <f>IFERROR(__xludf.DUMMYFUNCTION("""COMPUTED_VALUE"""),"Erik Boonstra")</f>
        <v>Erik Boonstra</v>
      </c>
      <c r="I56" s="62">
        <f>IFERROR(__xludf.DUMMYFUNCTION("""COMPUTED_VALUE"""),6.1432032485E10)</f>
        <v>61432032485</v>
      </c>
      <c r="J56" s="19" t="str">
        <f>IFERROR(__xludf.DUMMYFUNCTION("""COMPUTED_VALUE"""),"erikjac26@yahoo.com.au")</f>
        <v>erikjac26@yahoo.com.au</v>
      </c>
    </row>
    <row r="57">
      <c r="A57" s="19" t="str">
        <f>IFERROR(__xludf.DUMMYFUNCTION("""COMPUTED_VALUE"""),"Adriaan Coetzee")</f>
        <v>Adriaan Coetzee</v>
      </c>
      <c r="B57" s="19" t="str">
        <f>IFERROR(__xludf.DUMMYFUNCTION("""COMPUTED_VALUE"""),"QLD")</f>
        <v>QLD</v>
      </c>
      <c r="C57" s="5" t="str">
        <f>IFERROR(__xludf.DUMMYFUNCTION("""COMPUTED_VALUE"""),"Bli Bli")</f>
        <v>Bli Bli</v>
      </c>
      <c r="D57" s="5" t="str">
        <f>IFERROR(__xludf.DUMMYFUNCTION("""COMPUTED_VALUE"""),"19 Wickerson Crescent Bli Bli QLD 4560, Bli Bli, 4560")</f>
        <v>19 Wickerson Crescent Bli Bli QLD 4560, Bli Bli, 4560</v>
      </c>
      <c r="E57" s="25" t="str">
        <f>IFERROR(__xludf.DUMMYFUNCTION("""COMPUTED_VALUE"""),"16/11/2025")</f>
        <v>16/11/2025</v>
      </c>
      <c r="F57" s="5" t="str">
        <f>IFERROR(__xludf.DUMMYFUNCTION("""COMPUTED_VALUE"""),"Featured")</f>
        <v>Featured</v>
      </c>
      <c r="G57" s="19" t="str">
        <f>IFERROR(__xludf.DUMMYFUNCTION("""COMPUTED_VALUE"""),"Meta Commission Report")</f>
        <v>Meta Commission Report</v>
      </c>
      <c r="H57" s="19" t="str">
        <f>IFERROR(__xludf.DUMMYFUNCTION("""COMPUTED_VALUE"""),"Matthew Vella")</f>
        <v>Matthew Vella</v>
      </c>
      <c r="I57" s="62">
        <f>IFERROR(__xludf.DUMMYFUNCTION("""COMPUTED_VALUE"""),6.1409460228E10)</f>
        <v>61409460228</v>
      </c>
      <c r="J57" s="19" t="str">
        <f>IFERROR(__xludf.DUMMYFUNCTION("""COMPUTED_VALUE"""),"mattvella65@gmail.com")</f>
        <v>mattvella65@gmail.com</v>
      </c>
    </row>
    <row r="58">
      <c r="A58" s="19" t="str">
        <f>IFERROR(__xludf.DUMMYFUNCTION("""COMPUTED_VALUE"""),"")</f>
        <v/>
      </c>
      <c r="B58" s="19" t="str">
        <f>IFERROR(__xludf.DUMMYFUNCTION("""COMPUTED_VALUE"""),"")</f>
        <v/>
      </c>
      <c r="C58" s="5" t="str">
        <f>IFERROR(__xludf.DUMMYFUNCTION("""COMPUTED_VALUE"""),"")</f>
        <v/>
      </c>
      <c r="D58" s="5" t="str">
        <f>IFERROR(__xludf.DUMMYFUNCTION("""COMPUTED_VALUE"""),"")</f>
        <v/>
      </c>
      <c r="E58" s="5" t="str">
        <f>IFERROR(__xludf.DUMMYFUNCTION("""COMPUTED_VALUE"""),"")</f>
        <v/>
      </c>
      <c r="F58" s="5" t="str">
        <f>IFERROR(__xludf.DUMMYFUNCTION("""COMPUTED_VALUE"""),"")</f>
        <v/>
      </c>
      <c r="G58" s="19" t="str">
        <f>IFERROR(__xludf.DUMMYFUNCTION("""COMPUTED_VALUE"""),"")</f>
        <v/>
      </c>
      <c r="H58" s="19" t="str">
        <f>IFERROR(__xludf.DUMMYFUNCTION("""COMPUTED_VALUE"""),"")</f>
        <v/>
      </c>
      <c r="I58" s="62" t="str">
        <f>IFERROR(__xludf.DUMMYFUNCTION("""COMPUTED_VALUE"""),"")</f>
        <v/>
      </c>
      <c r="J58" s="19" t="str">
        <f>IFERROR(__xludf.DUMMYFUNCTION("""COMPUTED_VALUE"""),"")</f>
        <v/>
      </c>
    </row>
    <row r="59">
      <c r="A59" s="19" t="str">
        <f>IFERROR(__xludf.DUMMYFUNCTION("""COMPUTED_VALUE"""),"")</f>
        <v/>
      </c>
      <c r="B59" s="19" t="str">
        <f>IFERROR(__xludf.DUMMYFUNCTION("""COMPUTED_VALUE"""),"")</f>
        <v/>
      </c>
      <c r="C59" s="5" t="str">
        <f>IFERROR(__xludf.DUMMYFUNCTION("""COMPUTED_VALUE"""),"")</f>
        <v/>
      </c>
      <c r="D59" s="5" t="str">
        <f>IFERROR(__xludf.DUMMYFUNCTION("""COMPUTED_VALUE"""),"")</f>
        <v/>
      </c>
      <c r="E59" s="5" t="str">
        <f>IFERROR(__xludf.DUMMYFUNCTION("""COMPUTED_VALUE"""),"")</f>
        <v/>
      </c>
      <c r="F59" s="5" t="str">
        <f>IFERROR(__xludf.DUMMYFUNCTION("""COMPUTED_VALUE"""),"")</f>
        <v/>
      </c>
      <c r="G59" s="19" t="str">
        <f>IFERROR(__xludf.DUMMYFUNCTION("""COMPUTED_VALUE"""),"")</f>
        <v/>
      </c>
      <c r="H59" s="19" t="str">
        <f>IFERROR(__xludf.DUMMYFUNCTION("""COMPUTED_VALUE"""),"")</f>
        <v/>
      </c>
      <c r="I59" s="62" t="str">
        <f>IFERROR(__xludf.DUMMYFUNCTION("""COMPUTED_VALUE"""),"")</f>
        <v/>
      </c>
      <c r="J59" s="19" t="str">
        <f>IFERROR(__xludf.DUMMYFUNCTION("""COMPUTED_VALUE"""),"")</f>
        <v/>
      </c>
    </row>
    <row r="60">
      <c r="A60" s="19" t="str">
        <f>IFERROR(__xludf.DUMMYFUNCTION("""COMPUTED_VALUE"""),"Adrian Venturi")</f>
        <v>Adrian Venturi</v>
      </c>
      <c r="B60" s="19" t="str">
        <f>IFERROR(__xludf.DUMMYFUNCTION("""COMPUTED_VALUE"""),"NSW")</f>
        <v>NSW</v>
      </c>
      <c r="C60" s="5" t="str">
        <f>IFERROR(__xludf.DUMMYFUNCTION("""COMPUTED_VALUE"""),"Bilgola Plateau")</f>
        <v>Bilgola Plateau</v>
      </c>
      <c r="D60" s="5" t="str">
        <f>IFERROR(__xludf.DUMMYFUNCTION("""COMPUTED_VALUE"""),"214 Lower Plateau Road Bilgola Plateau NSW 2107")</f>
        <v>214 Lower Plateau Road Bilgola Plateau NSW 2107</v>
      </c>
      <c r="E60" s="25">
        <f>IFERROR(__xludf.DUMMYFUNCTION("""COMPUTED_VALUE"""),45888.0)</f>
        <v>45888</v>
      </c>
      <c r="F60" s="5" t="str">
        <f>IFERROR(__xludf.DUMMYFUNCTION("""COMPUTED_VALUE"""),"Featured")</f>
        <v>Featured</v>
      </c>
      <c r="G60" s="19" t="str">
        <f>IFERROR(__xludf.DUMMYFUNCTION("""COMPUTED_VALUE"""),"Instant Forms")</f>
        <v>Instant Forms</v>
      </c>
      <c r="H60" s="19"/>
      <c r="I60" s="62"/>
      <c r="J60" s="19"/>
    </row>
    <row r="61">
      <c r="A61" s="19" t="str">
        <f>IFERROR(__xludf.DUMMYFUNCTION("""COMPUTED_VALUE"""),"")</f>
        <v/>
      </c>
      <c r="B61" s="19" t="str">
        <f>IFERROR(__xludf.DUMMYFUNCTION("""COMPUTED_VALUE"""),"")</f>
        <v/>
      </c>
      <c r="C61" s="5" t="str">
        <f>IFERROR(__xludf.DUMMYFUNCTION("""COMPUTED_VALUE"""),"")</f>
        <v/>
      </c>
      <c r="D61" s="5" t="str">
        <f>IFERROR(__xludf.DUMMYFUNCTION("""COMPUTED_VALUE"""),"")</f>
        <v/>
      </c>
      <c r="E61" s="5" t="str">
        <f>IFERROR(__xludf.DUMMYFUNCTION("""COMPUTED_VALUE"""),"")</f>
        <v/>
      </c>
      <c r="F61" s="5" t="str">
        <f>IFERROR(__xludf.DUMMYFUNCTION("""COMPUTED_VALUE"""),"")</f>
        <v/>
      </c>
      <c r="G61" s="19" t="str">
        <f>IFERROR(__xludf.DUMMYFUNCTION("""COMPUTED_VALUE"""),"")</f>
        <v/>
      </c>
      <c r="H61" s="19" t="str">
        <f>IFERROR(__xludf.DUMMYFUNCTION("""COMPUTED_VALUE"""),"")</f>
        <v/>
      </c>
      <c r="I61" s="62" t="str">
        <f>IFERROR(__xludf.DUMMYFUNCTION("""COMPUTED_VALUE"""),"")</f>
        <v/>
      </c>
      <c r="J61" s="19" t="str">
        <f>IFERROR(__xludf.DUMMYFUNCTION("""COMPUTED_VALUE"""),"")</f>
        <v/>
      </c>
    </row>
    <row r="62">
      <c r="A62" s="19" t="str">
        <f>IFERROR(__xludf.DUMMYFUNCTION("""COMPUTED_VALUE"""),"")</f>
        <v/>
      </c>
      <c r="B62" s="19" t="str">
        <f>IFERROR(__xludf.DUMMYFUNCTION("""COMPUTED_VALUE"""),"")</f>
        <v/>
      </c>
      <c r="C62" s="5" t="str">
        <f>IFERROR(__xludf.DUMMYFUNCTION("""COMPUTED_VALUE"""),"")</f>
        <v/>
      </c>
      <c r="D62" s="5" t="str">
        <f>IFERROR(__xludf.DUMMYFUNCTION("""COMPUTED_VALUE"""),"")</f>
        <v/>
      </c>
      <c r="E62" s="5" t="str">
        <f>IFERROR(__xludf.DUMMYFUNCTION("""COMPUTED_VALUE"""),"")</f>
        <v/>
      </c>
      <c r="F62" s="5" t="str">
        <f>IFERROR(__xludf.DUMMYFUNCTION("""COMPUTED_VALUE"""),"")</f>
        <v/>
      </c>
      <c r="G62" s="19" t="str">
        <f>IFERROR(__xludf.DUMMYFUNCTION("""COMPUTED_VALUE"""),"")</f>
        <v/>
      </c>
      <c r="H62" s="19" t="str">
        <f>IFERROR(__xludf.DUMMYFUNCTION("""COMPUTED_VALUE"""),"")</f>
        <v/>
      </c>
      <c r="I62" s="62" t="str">
        <f>IFERROR(__xludf.DUMMYFUNCTION("""COMPUTED_VALUE"""),"")</f>
        <v/>
      </c>
      <c r="J62" s="19" t="str">
        <f>IFERROR(__xludf.DUMMYFUNCTION("""COMPUTED_VALUE"""),"")</f>
        <v/>
      </c>
    </row>
    <row r="63">
      <c r="A63" s="19" t="str">
        <f>IFERROR(__xludf.DUMMYFUNCTION("""COMPUTED_VALUE"""),"AJ Pramod Moga")</f>
        <v>AJ Pramod Moga</v>
      </c>
      <c r="B63" s="19" t="str">
        <f>IFERROR(__xludf.DUMMYFUNCTION("""COMPUTED_VALUE"""),"VIC")</f>
        <v>VIC</v>
      </c>
      <c r="C63" s="5">
        <f>IFERROR(__xludf.DUMMYFUNCTION("""COMPUTED_VALUE"""),3757.0)</f>
        <v>3757</v>
      </c>
      <c r="D63" s="5"/>
      <c r="E63" s="63" t="str">
        <f>IFERROR(__xludf.DUMMYFUNCTION("""COMPUTED_VALUE"""),"31/07/2025")</f>
        <v>31/07/2025</v>
      </c>
      <c r="F63" s="5" t="str">
        <f>IFERROR(__xludf.DUMMYFUNCTION("""COMPUTED_VALUE"""),"Featured")</f>
        <v>Featured</v>
      </c>
      <c r="G63" s="19" t="str">
        <f>IFERROR(__xludf.DUMMYFUNCTION("""COMPUTED_VALUE"""),"Instant Forms")</f>
        <v>Instant Forms</v>
      </c>
      <c r="H63" s="19"/>
      <c r="I63" s="62"/>
      <c r="J63" s="19"/>
    </row>
    <row r="64">
      <c r="A64" s="19" t="str">
        <f>IFERROR(__xludf.DUMMYFUNCTION("""COMPUTED_VALUE"""),"AJ Pramod Moga")</f>
        <v>AJ Pramod Moga</v>
      </c>
      <c r="B64" s="19" t="str">
        <f>IFERROR(__xludf.DUMMYFUNCTION("""COMPUTED_VALUE"""),"VIC")</f>
        <v>VIC</v>
      </c>
      <c r="C64" s="5">
        <f>IFERROR(__xludf.DUMMYFUNCTION("""COMPUTED_VALUE"""),3049.0)</f>
        <v>3049</v>
      </c>
      <c r="D64" s="5"/>
      <c r="E64" s="25">
        <f>IFERROR(__xludf.DUMMYFUNCTION("""COMPUTED_VALUE"""),45874.0)</f>
        <v>45874</v>
      </c>
      <c r="F64" s="5" t="str">
        <f>IFERROR(__xludf.DUMMYFUNCTION("""COMPUTED_VALUE"""),"Featured")</f>
        <v>Featured</v>
      </c>
      <c r="G64" s="19" t="str">
        <f>IFERROR(__xludf.DUMMYFUNCTION("""COMPUTED_VALUE"""),"Instant Forms")</f>
        <v>Instant Forms</v>
      </c>
      <c r="H64" s="19"/>
      <c r="I64" s="62"/>
      <c r="J64" s="19"/>
    </row>
    <row r="65">
      <c r="A65" s="19" t="str">
        <f>IFERROR(__xludf.DUMMYFUNCTION("""COMPUTED_VALUE"""),"AJ Pramod Moga")</f>
        <v>AJ Pramod Moga</v>
      </c>
      <c r="B65" s="19" t="str">
        <f>IFERROR(__xludf.DUMMYFUNCTION("""COMPUTED_VALUE"""),"VIC")</f>
        <v>VIC</v>
      </c>
      <c r="C65" s="5">
        <f>IFERROR(__xludf.DUMMYFUNCTION("""COMPUTED_VALUE"""),3064.0)</f>
        <v>3064</v>
      </c>
      <c r="D65" s="5"/>
      <c r="E65" s="25">
        <f>IFERROR(__xludf.DUMMYFUNCTION("""COMPUTED_VALUE"""),45875.0)</f>
        <v>45875</v>
      </c>
      <c r="F65" s="5" t="str">
        <f>IFERROR(__xludf.DUMMYFUNCTION("""COMPUTED_VALUE"""),"Featured")</f>
        <v>Featured</v>
      </c>
      <c r="G65" s="19" t="str">
        <f>IFERROR(__xludf.DUMMYFUNCTION("""COMPUTED_VALUE"""),"Instant Forms")</f>
        <v>Instant Forms</v>
      </c>
      <c r="H65" s="19"/>
      <c r="I65" s="62"/>
      <c r="J65" s="19"/>
    </row>
    <row r="66">
      <c r="A66" s="19" t="str">
        <f>IFERROR(__xludf.DUMMYFUNCTION("""COMPUTED_VALUE"""),"AJ Pramod Moga")</f>
        <v>AJ Pramod Moga</v>
      </c>
      <c r="B66" s="19" t="str">
        <f>IFERROR(__xludf.DUMMYFUNCTION("""COMPUTED_VALUE"""),"VIC")</f>
        <v>VIC</v>
      </c>
      <c r="C66" s="5" t="str">
        <f>IFERROR(__xludf.DUMMYFUNCTION("""COMPUTED_VALUE"""),"Mickleham")</f>
        <v>Mickleham</v>
      </c>
      <c r="D66" s="5"/>
      <c r="E66" s="25">
        <f>IFERROR(__xludf.DUMMYFUNCTION("""COMPUTED_VALUE"""),45881.0)</f>
        <v>45881</v>
      </c>
      <c r="F66" s="5" t="str">
        <f>IFERROR(__xludf.DUMMYFUNCTION("""COMPUTED_VALUE"""),"Featured")</f>
        <v>Featured</v>
      </c>
      <c r="G66" s="19" t="str">
        <f>IFERROR(__xludf.DUMMYFUNCTION("""COMPUTED_VALUE"""),"Instant Forms")</f>
        <v>Instant Forms</v>
      </c>
      <c r="H66" s="19"/>
      <c r="I66" s="62"/>
      <c r="J66" s="19"/>
    </row>
    <row r="67">
      <c r="A67" s="19" t="str">
        <f>IFERROR(__xludf.DUMMYFUNCTION("""COMPUTED_VALUE"""),"AJ Pramod Moga")</f>
        <v>AJ Pramod Moga</v>
      </c>
      <c r="B67" s="19" t="str">
        <f>IFERROR(__xludf.DUMMYFUNCTION("""COMPUTED_VALUE"""),"VIC")</f>
        <v>VIC</v>
      </c>
      <c r="C67" s="5" t="str">
        <f>IFERROR(__xludf.DUMMYFUNCTION("""COMPUTED_VALUE"""),"moonee ponds")</f>
        <v>moonee ponds</v>
      </c>
      <c r="D67" s="5"/>
      <c r="E67" s="25">
        <f>IFERROR(__xludf.DUMMYFUNCTION("""COMPUTED_VALUE"""),45887.0)</f>
        <v>45887</v>
      </c>
      <c r="F67" s="5" t="str">
        <f>IFERROR(__xludf.DUMMYFUNCTION("""COMPUTED_VALUE"""),"Featured")</f>
        <v>Featured</v>
      </c>
      <c r="G67" s="19" t="str">
        <f>IFERROR(__xludf.DUMMYFUNCTION("""COMPUTED_VALUE"""),"Instant Forms")</f>
        <v>Instant Forms</v>
      </c>
      <c r="H67" s="19"/>
      <c r="I67" s="62"/>
      <c r="J67" s="19"/>
    </row>
    <row r="68">
      <c r="A68" s="19" t="str">
        <f>IFERROR(__xludf.DUMMYFUNCTION("""COMPUTED_VALUE"""),"AJ Pramod Moga")</f>
        <v>AJ Pramod Moga</v>
      </c>
      <c r="B68" s="19" t="str">
        <f>IFERROR(__xludf.DUMMYFUNCTION("""COMPUTED_VALUE"""),"VIC")</f>
        <v>VIC</v>
      </c>
      <c r="C68" s="5" t="str">
        <f>IFERROR(__xludf.DUMMYFUNCTION("""COMPUTED_VALUE"""),"Whittlesea")</f>
        <v>Whittlesea</v>
      </c>
      <c r="D68" s="5"/>
      <c r="E68" s="25">
        <f>IFERROR(__xludf.DUMMYFUNCTION("""COMPUTED_VALUE"""),45916.0)</f>
        <v>45916</v>
      </c>
      <c r="F68" s="5">
        <f>IFERROR(__xludf.DUMMYFUNCTION("""COMPUTED_VALUE"""),6.0)</f>
        <v>6</v>
      </c>
      <c r="G68" s="19" t="str">
        <f>IFERROR(__xludf.DUMMYFUNCTION("""COMPUTED_VALUE"""),"Instant Forms")</f>
        <v>Instant Forms</v>
      </c>
      <c r="H68" s="19" t="str">
        <f>IFERROR(__xludf.DUMMYFUNCTION("""COMPUTED_VALUE"""),"Jill Delisia McKeever")</f>
        <v>Jill Delisia McKeever</v>
      </c>
      <c r="I68" s="62"/>
      <c r="J68" s="19"/>
    </row>
    <row r="69">
      <c r="A69" s="19" t="str">
        <f>IFERROR(__xludf.DUMMYFUNCTION("""COMPUTED_VALUE"""),"AJ Pramod Moga")</f>
        <v>AJ Pramod Moga</v>
      </c>
      <c r="B69" s="19" t="str">
        <f>IFERROR(__xludf.DUMMYFUNCTION("""COMPUTED_VALUE"""),"VIC")</f>
        <v>VIC</v>
      </c>
      <c r="C69" s="5" t="str">
        <f>IFERROR(__xludf.DUMMYFUNCTION("""COMPUTED_VALUE"""),"Whittlesea")</f>
        <v>Whittlesea</v>
      </c>
      <c r="D69" s="5" t="str">
        <f>IFERROR(__xludf.DUMMYFUNCTION("""COMPUTED_VALUE"""),"115 Goding Court Whittlesea VIC 3757")</f>
        <v>115 Goding Court Whittlesea VIC 3757</v>
      </c>
      <c r="E69" s="25">
        <f>IFERROR(__xludf.DUMMYFUNCTION("""COMPUTED_VALUE"""),45918.0)</f>
        <v>45918</v>
      </c>
      <c r="F69" s="5">
        <f>IFERROR(__xludf.DUMMYFUNCTION("""COMPUTED_VALUE"""),7.0)</f>
        <v>7</v>
      </c>
      <c r="G69" s="19" t="str">
        <f>IFERROR(__xludf.DUMMYFUNCTION("""COMPUTED_VALUE"""),"Instant Forms")</f>
        <v>Instant Forms</v>
      </c>
      <c r="H69" s="19" t="str">
        <f>IFERROR(__xludf.DUMMYFUNCTION("""COMPUTED_VALUE"""),"Justin Stewart")</f>
        <v>Justin Stewart</v>
      </c>
      <c r="I69" s="62"/>
      <c r="J69" s="19"/>
    </row>
    <row r="70">
      <c r="A70" s="19" t="str">
        <f>IFERROR(__xludf.DUMMYFUNCTION("""COMPUTED_VALUE"""),"AJ Pramod Moga")</f>
        <v>AJ Pramod Moga</v>
      </c>
      <c r="B70" s="19" t="str">
        <f>IFERROR(__xludf.DUMMYFUNCTION("""COMPUTED_VALUE"""),"VIC")</f>
        <v>VIC</v>
      </c>
      <c r="C70" s="5" t="str">
        <f>IFERROR(__xludf.DUMMYFUNCTION("""COMPUTED_VALUE"""),"Mill park")</f>
        <v>Mill park</v>
      </c>
      <c r="D70" s="5" t="str">
        <f>IFERROR(__xludf.DUMMYFUNCTION("""COMPUTED_VALUE"""),"13 Randell Court Mill Park VIC 3082")</f>
        <v>13 Randell Court Mill Park VIC 3082</v>
      </c>
      <c r="E70" s="25">
        <f>IFERROR(__xludf.DUMMYFUNCTION("""COMPUTED_VALUE"""),45929.0)</f>
        <v>45929</v>
      </c>
      <c r="F70" s="5">
        <f>IFERROR(__xludf.DUMMYFUNCTION("""COMPUTED_VALUE"""),6.0)</f>
        <v>6</v>
      </c>
      <c r="G70" s="19" t="str">
        <f>IFERROR(__xludf.DUMMYFUNCTION("""COMPUTED_VALUE"""),"Instant Forms")</f>
        <v>Instant Forms</v>
      </c>
      <c r="H70" s="19" t="str">
        <f>IFERROR(__xludf.DUMMYFUNCTION("""COMPUTED_VALUE"""),"Ben Gloria")</f>
        <v>Ben Gloria</v>
      </c>
      <c r="I70" s="62"/>
      <c r="J70" s="19"/>
    </row>
    <row r="71">
      <c r="A71" s="19" t="str">
        <f>IFERROR(__xludf.DUMMYFUNCTION("""COMPUTED_VALUE"""),"AJ Pramod Moga")</f>
        <v>AJ Pramod Moga</v>
      </c>
      <c r="B71" s="19" t="str">
        <f>IFERROR(__xludf.DUMMYFUNCTION("""COMPUTED_VALUE"""),"VIC")</f>
        <v>VIC</v>
      </c>
      <c r="C71" s="5" t="str">
        <f>IFERROR(__xludf.DUMMYFUNCTION("""COMPUTED_VALUE"""),"Craigieburn")</f>
        <v>Craigieburn</v>
      </c>
      <c r="D71" s="5" t="str">
        <f>IFERROR(__xludf.DUMMYFUNCTION("""COMPUTED_VALUE"""),"16 Boyden Square Roxburgh Park VIC 3064")</f>
        <v>16 Boyden Square Roxburgh Park VIC 3064</v>
      </c>
      <c r="E71" s="25">
        <f>IFERROR(__xludf.DUMMYFUNCTION("""COMPUTED_VALUE"""),45930.0)</f>
        <v>45930</v>
      </c>
      <c r="F71" s="5">
        <f>IFERROR(__xludf.DUMMYFUNCTION("""COMPUTED_VALUE"""),6.0)</f>
        <v>6</v>
      </c>
      <c r="G71" s="19" t="str">
        <f>IFERROR(__xludf.DUMMYFUNCTION("""COMPUTED_VALUE"""),"Instant Forms")</f>
        <v>Instant Forms</v>
      </c>
      <c r="H71" s="19" t="str">
        <f>IFERROR(__xludf.DUMMYFUNCTION("""COMPUTED_VALUE"""),"Jill Rowley")</f>
        <v>Jill Rowley</v>
      </c>
      <c r="I71" s="62"/>
      <c r="J71" s="19"/>
    </row>
    <row r="72">
      <c r="A72" s="19" t="str">
        <f>IFERROR(__xludf.DUMMYFUNCTION("""COMPUTED_VALUE"""),"AJ Pramod Moga")</f>
        <v>AJ Pramod Moga</v>
      </c>
      <c r="B72" s="19" t="str">
        <f>IFERROR(__xludf.DUMMYFUNCTION("""COMPUTED_VALUE"""),"VIC")</f>
        <v>VIC</v>
      </c>
      <c r="C72" s="5" t="str">
        <f>IFERROR(__xludf.DUMMYFUNCTION("""COMPUTED_VALUE"""),"Doreen")</f>
        <v>Doreen</v>
      </c>
      <c r="D72" s="5"/>
      <c r="E72" s="25">
        <f>IFERROR(__xludf.DUMMYFUNCTION("""COMPUTED_VALUE"""),45931.0)</f>
        <v>45931</v>
      </c>
      <c r="F72" s="5">
        <f>IFERROR(__xludf.DUMMYFUNCTION("""COMPUTED_VALUE"""),5.0)</f>
        <v>5</v>
      </c>
      <c r="G72" s="19" t="str">
        <f>IFERROR(__xludf.DUMMYFUNCTION("""COMPUTED_VALUE"""),"Instant Forms")</f>
        <v>Instant Forms</v>
      </c>
      <c r="H72" s="19" t="str">
        <f>IFERROR(__xludf.DUMMYFUNCTION("""COMPUTED_VALUE"""),"Wendy Kelly")</f>
        <v>Wendy Kelly</v>
      </c>
      <c r="I72" s="62"/>
      <c r="J72" s="19"/>
    </row>
    <row r="73">
      <c r="A73" s="19" t="str">
        <f>IFERROR(__xludf.DUMMYFUNCTION("""COMPUTED_VALUE"""),"AJ Pramod Moga")</f>
        <v>AJ Pramod Moga</v>
      </c>
      <c r="B73" s="19" t="str">
        <f>IFERROR(__xludf.DUMMYFUNCTION("""COMPUTED_VALUE"""),"VIC")</f>
        <v>VIC</v>
      </c>
      <c r="C73" s="5" t="str">
        <f>IFERROR(__xludf.DUMMYFUNCTION("""COMPUTED_VALUE"""),"Greenvale")</f>
        <v>Greenvale</v>
      </c>
      <c r="D73" s="5" t="str">
        <f>IFERROR(__xludf.DUMMYFUNCTION("""COMPUTED_VALUE"""),"14 Castlehill Avenue Greenvale VIC 3059")</f>
        <v>14 Castlehill Avenue Greenvale VIC 3059</v>
      </c>
      <c r="E73" s="25">
        <f>IFERROR(__xludf.DUMMYFUNCTION("""COMPUTED_VALUE"""),45937.0)</f>
        <v>45937</v>
      </c>
      <c r="F73" s="5">
        <f>IFERROR(__xludf.DUMMYFUNCTION("""COMPUTED_VALUE"""),8.0)</f>
        <v>8</v>
      </c>
      <c r="G73" s="19" t="str">
        <f>IFERROR(__xludf.DUMMYFUNCTION("""COMPUTED_VALUE"""),"Instant Forms")</f>
        <v>Instant Forms</v>
      </c>
      <c r="H73" s="19" t="str">
        <f>IFERROR(__xludf.DUMMYFUNCTION("""COMPUTED_VALUE"""),"Anne Reilly")</f>
        <v>Anne Reilly</v>
      </c>
      <c r="I73" s="62"/>
      <c r="J73" s="19"/>
    </row>
    <row r="74">
      <c r="A74" s="19" t="str">
        <f>IFERROR(__xludf.DUMMYFUNCTION("""COMPUTED_VALUE"""),"AJ Pramod Moga")</f>
        <v>AJ Pramod Moga</v>
      </c>
      <c r="B74" s="19" t="str">
        <f>IFERROR(__xludf.DUMMYFUNCTION("""COMPUTED_VALUE"""),"VIC")</f>
        <v>VIC</v>
      </c>
      <c r="C74" s="5" t="str">
        <f>IFERROR(__xludf.DUMMYFUNCTION("""COMPUTED_VALUE"""),"wollert")</f>
        <v>wollert</v>
      </c>
      <c r="D74" s="5"/>
      <c r="E74" s="25">
        <f>IFERROR(__xludf.DUMMYFUNCTION("""COMPUTED_VALUE"""),45937.0)</f>
        <v>45937</v>
      </c>
      <c r="F74" s="5">
        <f>IFERROR(__xludf.DUMMYFUNCTION("""COMPUTED_VALUE"""),5.0)</f>
        <v>5</v>
      </c>
      <c r="G74" s="19" t="str">
        <f>IFERROR(__xludf.DUMMYFUNCTION("""COMPUTED_VALUE"""),"Instant Forms")</f>
        <v>Instant Forms</v>
      </c>
      <c r="H74" s="19" t="str">
        <f>IFERROR(__xludf.DUMMYFUNCTION("""COMPUTED_VALUE"""),"Haseeb Hashmi")</f>
        <v>Haseeb Hashmi</v>
      </c>
      <c r="I74" s="62"/>
      <c r="J74" s="19"/>
    </row>
    <row r="75">
      <c r="A75" s="19" t="str">
        <f>IFERROR(__xludf.DUMMYFUNCTION("""COMPUTED_VALUE"""),"AJ Pramod Moga")</f>
        <v>AJ Pramod Moga</v>
      </c>
      <c r="B75" s="19" t="str">
        <f>IFERROR(__xludf.DUMMYFUNCTION("""COMPUTED_VALUE"""),"VIC")</f>
        <v>VIC</v>
      </c>
      <c r="C75" s="5" t="str">
        <f>IFERROR(__xludf.DUMMYFUNCTION("""COMPUTED_VALUE"""),"Sunbury")</f>
        <v>Sunbury</v>
      </c>
      <c r="D75" s="5" t="str">
        <f>IFERROR(__xludf.DUMMYFUNCTION("""COMPUTED_VALUE"""),"38 The Avenue Sunbury VIC 3429")</f>
        <v>38 The Avenue Sunbury VIC 3429</v>
      </c>
      <c r="E75" s="25">
        <f>IFERROR(__xludf.DUMMYFUNCTION("""COMPUTED_VALUE"""),45943.0)</f>
        <v>45943</v>
      </c>
      <c r="F75" s="5">
        <f>IFERROR(__xludf.DUMMYFUNCTION("""COMPUTED_VALUE"""),6.0)</f>
        <v>6</v>
      </c>
      <c r="G75" s="19" t="str">
        <f>IFERROR(__xludf.DUMMYFUNCTION("""COMPUTED_VALUE"""),"Instant Forms")</f>
        <v>Instant Forms</v>
      </c>
      <c r="H75" s="19"/>
      <c r="I75" s="62"/>
      <c r="J75" s="19"/>
    </row>
    <row r="76">
      <c r="A76" s="19" t="str">
        <f>IFERROR(__xludf.DUMMYFUNCTION("""COMPUTED_VALUE"""),"AJ Pramod Moga")</f>
        <v>AJ Pramod Moga</v>
      </c>
      <c r="B76" s="19" t="str">
        <f>IFERROR(__xludf.DUMMYFUNCTION("""COMPUTED_VALUE"""),"VIC")</f>
        <v>VIC</v>
      </c>
      <c r="C76" s="5" t="str">
        <f>IFERROR(__xludf.DUMMYFUNCTION("""COMPUTED_VALUE"""),"Wallan")</f>
        <v>Wallan</v>
      </c>
      <c r="D76" s="5" t="str">
        <f>IFERROR(__xludf.DUMMYFUNCTION("""COMPUTED_VALUE"""),"100 wallara water bvd")</f>
        <v>100 wallara water bvd</v>
      </c>
      <c r="E76" s="25">
        <f>IFERROR(__xludf.DUMMYFUNCTION("""COMPUTED_VALUE"""),45959.0)</f>
        <v>45959</v>
      </c>
      <c r="F76" s="5" t="str">
        <f>IFERROR(__xludf.DUMMYFUNCTION("""COMPUTED_VALUE"""),"Featured")</f>
        <v>Featured</v>
      </c>
      <c r="G76" s="19" t="str">
        <f>IFERROR(__xludf.DUMMYFUNCTION("""COMPUTED_VALUE"""),"Commission Comparison")</f>
        <v>Commission Comparison</v>
      </c>
      <c r="H76" s="19"/>
      <c r="I76" s="62"/>
      <c r="J76" s="19"/>
    </row>
    <row r="77">
      <c r="A77" s="19" t="str">
        <f>IFERROR(__xludf.DUMMYFUNCTION("""COMPUTED_VALUE"""),"AJ Pramod Moga")</f>
        <v>AJ Pramod Moga</v>
      </c>
      <c r="B77" s="19" t="str">
        <f>IFERROR(__xludf.DUMMYFUNCTION("""COMPUTED_VALUE"""),"VIC")</f>
        <v>VIC</v>
      </c>
      <c r="C77" s="5" t="str">
        <f>IFERROR(__xludf.DUMMYFUNCTION("""COMPUTED_VALUE"""),"Kalkallo")</f>
        <v>Kalkallo</v>
      </c>
      <c r="D77" s="5" t="str">
        <f>IFERROR(__xludf.DUMMYFUNCTION("""COMPUTED_VALUE"""),"14 Camden Drive, Kalkallo, VIC, 3064, Australia")</f>
        <v>14 Camden Drive, Kalkallo, VIC, 3064, Australia</v>
      </c>
      <c r="E77" s="27">
        <f>IFERROR(__xludf.DUMMYFUNCTION("""COMPUTED_VALUE"""),45668.0)</f>
        <v>45668</v>
      </c>
      <c r="F77" s="5" t="str">
        <f>IFERROR(__xludf.DUMMYFUNCTION("""COMPUTED_VALUE"""),"Featured")</f>
        <v>Featured</v>
      </c>
      <c r="G77" s="19"/>
      <c r="H77" s="19"/>
      <c r="I77" s="62"/>
      <c r="J77" s="19"/>
    </row>
    <row r="78">
      <c r="A78" s="19" t="str">
        <f>IFERROR(__xludf.DUMMYFUNCTION("""COMPUTED_VALUE"""),"AJ Pramod Moga")</f>
        <v>AJ Pramod Moga</v>
      </c>
      <c r="B78" s="19" t="str">
        <f>IFERROR(__xludf.DUMMYFUNCTION("""COMPUTED_VALUE"""),"VIC")</f>
        <v>VIC</v>
      </c>
      <c r="C78" s="5" t="str">
        <f>IFERROR(__xludf.DUMMYFUNCTION("""COMPUTED_VALUE"""),"Donnybrook")</f>
        <v>Donnybrook</v>
      </c>
      <c r="D78" s="5" t="str">
        <f>IFERROR(__xludf.DUMMYFUNCTION("""COMPUTED_VALUE"""),"39 Cornhill Parkway, Donnybrook, Victoria, 3064, Australia")</f>
        <v>39 Cornhill Parkway, Donnybrook, Victoria, 3064, Australia</v>
      </c>
      <c r="E78" s="25">
        <f>IFERROR(__xludf.DUMMYFUNCTION("""COMPUTED_VALUE"""),45966.0)</f>
        <v>45966</v>
      </c>
      <c r="F78" s="5" t="str">
        <f>IFERROR(__xludf.DUMMYFUNCTION("""COMPUTED_VALUE"""),"Featured")</f>
        <v>Featured</v>
      </c>
      <c r="G78" s="19" t="str">
        <f>IFERROR(__xludf.DUMMYFUNCTION("""COMPUTED_VALUE"""),"Commission Comparison")</f>
        <v>Commission Comparison</v>
      </c>
      <c r="H78" s="19" t="str">
        <f>IFERROR(__xludf.DUMMYFUNCTION("""COMPUTED_VALUE"""),"Steven Russell")</f>
        <v>Steven Russell</v>
      </c>
      <c r="I78" s="62">
        <f>IFERROR(__xludf.DUMMYFUNCTION("""COMPUTED_VALUE"""),6.1402996799E10)</f>
        <v>61402996799</v>
      </c>
      <c r="J78" s="19" t="str">
        <f>IFERROR(__xludf.DUMMYFUNCTION("""COMPUTED_VALUE"""),"fcruzn@hotmail.com")</f>
        <v>fcruzn@hotmail.com</v>
      </c>
    </row>
    <row r="79">
      <c r="A79" s="19" t="str">
        <f>IFERROR(__xludf.DUMMYFUNCTION("""COMPUTED_VALUE"""),"AJ Pramod Moga")</f>
        <v>AJ Pramod Moga</v>
      </c>
      <c r="B79" s="19" t="str">
        <f>IFERROR(__xludf.DUMMYFUNCTION("""COMPUTED_VALUE"""),"VIC")</f>
        <v>VIC</v>
      </c>
      <c r="C79" s="5" t="str">
        <f>IFERROR(__xludf.DUMMYFUNCTION("""COMPUTED_VALUE"""),"Wollert")</f>
        <v>Wollert</v>
      </c>
      <c r="D79" s="5" t="str">
        <f>IFERROR(__xludf.DUMMYFUNCTION("""COMPUTED_VALUE"""),"15 st Patrick’s rise Wollert, Wollert, 3750")</f>
        <v>15 st Patrick’s rise Wollert, Wollert, 3750</v>
      </c>
      <c r="E79" s="27">
        <f>IFERROR(__xludf.DUMMYFUNCTION("""COMPUTED_VALUE"""),45849.0)</f>
        <v>45849</v>
      </c>
      <c r="F79" s="5" t="str">
        <f>IFERROR(__xludf.DUMMYFUNCTION("""COMPUTED_VALUE"""),"Featured")</f>
        <v>Featured</v>
      </c>
      <c r="G79" s="19" t="str">
        <f>IFERROR(__xludf.DUMMYFUNCTION("""COMPUTED_VALUE"""),"Meta Commission Report")</f>
        <v>Meta Commission Report</v>
      </c>
      <c r="H79" s="19" t="str">
        <f>IFERROR(__xludf.DUMMYFUNCTION("""COMPUTED_VALUE"""),"Mary Papas")</f>
        <v>Mary Papas</v>
      </c>
      <c r="I79" s="62">
        <f>IFERROR(__xludf.DUMMYFUNCTION("""COMPUTED_VALUE"""),6.1400504511E10)</f>
        <v>61400504511</v>
      </c>
      <c r="J79" s="19" t="str">
        <f>IFERROR(__xludf.DUMMYFUNCTION("""COMPUTED_VALUE"""),"mpapadatos511@gmail.com")</f>
        <v>mpapadatos511@gmail.com</v>
      </c>
    </row>
    <row r="80">
      <c r="A80" s="19" t="str">
        <f>IFERROR(__xludf.DUMMYFUNCTION("""COMPUTED_VALUE"""),"AJ Pramod Moga")</f>
        <v>AJ Pramod Moga</v>
      </c>
      <c r="B80" s="19" t="str">
        <f>IFERROR(__xludf.DUMMYFUNCTION("""COMPUTED_VALUE"""),"VIC")</f>
        <v>VIC</v>
      </c>
      <c r="C80" s="5" t="str">
        <f>IFERROR(__xludf.DUMMYFUNCTION("""COMPUTED_VALUE"""),"Wallan")</f>
        <v>Wallan</v>
      </c>
      <c r="D80" s="5" t="str">
        <f>IFERROR(__xludf.DUMMYFUNCTION("""COMPUTED_VALUE"""),"15 black Range Avenue Craigieburn, Wallan, 3064")</f>
        <v>15 black Range Avenue Craigieburn, Wallan, 3064</v>
      </c>
      <c r="E80" s="25" t="str">
        <f>IFERROR(__xludf.DUMMYFUNCTION("""COMPUTED_VALUE"""),"16/11/2025")</f>
        <v>16/11/2025</v>
      </c>
      <c r="F80" s="5" t="str">
        <f>IFERROR(__xludf.DUMMYFUNCTION("""COMPUTED_VALUE"""),"Featured")</f>
        <v>Featured</v>
      </c>
      <c r="G80" s="19" t="str">
        <f>IFERROR(__xludf.DUMMYFUNCTION("""COMPUTED_VALUE"""),"Meta Commission Report")</f>
        <v>Meta Commission Report</v>
      </c>
      <c r="H80" s="19" t="str">
        <f>IFERROR(__xludf.DUMMYFUNCTION("""COMPUTED_VALUE"""),"thomas Niutili-Schmidt")</f>
        <v>thomas Niutili-Schmidt</v>
      </c>
      <c r="I80" s="62">
        <f>IFERROR(__xludf.DUMMYFUNCTION("""COMPUTED_VALUE"""),6.1414619394E10)</f>
        <v>61414619394</v>
      </c>
      <c r="J80" s="19" t="str">
        <f>IFERROR(__xludf.DUMMYFUNCTION("""COMPUTED_VALUE"""),"Tniutilischmidt@hotmail.com")</f>
        <v>Tniutilischmidt@hotmail.com</v>
      </c>
    </row>
    <row r="81">
      <c r="A81" s="19" t="str">
        <f>IFERROR(__xludf.DUMMYFUNCTION("""COMPUTED_VALUE"""),"")</f>
        <v/>
      </c>
      <c r="B81" s="19" t="str">
        <f>IFERROR(__xludf.DUMMYFUNCTION("""COMPUTED_VALUE"""),"")</f>
        <v/>
      </c>
      <c r="C81" s="5" t="str">
        <f>IFERROR(__xludf.DUMMYFUNCTION("""COMPUTED_VALUE"""),"")</f>
        <v/>
      </c>
      <c r="D81" s="5" t="str">
        <f>IFERROR(__xludf.DUMMYFUNCTION("""COMPUTED_VALUE"""),"")</f>
        <v/>
      </c>
      <c r="E81" s="5" t="str">
        <f>IFERROR(__xludf.DUMMYFUNCTION("""COMPUTED_VALUE"""),"")</f>
        <v/>
      </c>
      <c r="F81" s="5" t="str">
        <f>IFERROR(__xludf.DUMMYFUNCTION("""COMPUTED_VALUE"""),"")</f>
        <v/>
      </c>
      <c r="G81" s="19" t="str">
        <f>IFERROR(__xludf.DUMMYFUNCTION("""COMPUTED_VALUE"""),"")</f>
        <v/>
      </c>
      <c r="H81" s="19" t="str">
        <f>IFERROR(__xludf.DUMMYFUNCTION("""COMPUTED_VALUE"""),"")</f>
        <v/>
      </c>
      <c r="I81" s="62" t="str">
        <f>IFERROR(__xludf.DUMMYFUNCTION("""COMPUTED_VALUE"""),"")</f>
        <v/>
      </c>
      <c r="J81" s="19" t="str">
        <f>IFERROR(__xludf.DUMMYFUNCTION("""COMPUTED_VALUE"""),"")</f>
        <v/>
      </c>
    </row>
    <row r="82">
      <c r="A82" s="19" t="str">
        <f>IFERROR(__xludf.DUMMYFUNCTION("""COMPUTED_VALUE"""),"")</f>
        <v/>
      </c>
      <c r="B82" s="19" t="str">
        <f>IFERROR(__xludf.DUMMYFUNCTION("""COMPUTED_VALUE"""),"")</f>
        <v/>
      </c>
      <c r="C82" s="5" t="str">
        <f>IFERROR(__xludf.DUMMYFUNCTION("""COMPUTED_VALUE"""),"")</f>
        <v/>
      </c>
      <c r="D82" s="5" t="str">
        <f>IFERROR(__xludf.DUMMYFUNCTION("""COMPUTED_VALUE"""),"")</f>
        <v/>
      </c>
      <c r="E82" s="5" t="str">
        <f>IFERROR(__xludf.DUMMYFUNCTION("""COMPUTED_VALUE"""),"")</f>
        <v/>
      </c>
      <c r="F82" s="5" t="str">
        <f>IFERROR(__xludf.DUMMYFUNCTION("""COMPUTED_VALUE"""),"")</f>
        <v/>
      </c>
      <c r="G82" s="19" t="str">
        <f>IFERROR(__xludf.DUMMYFUNCTION("""COMPUTED_VALUE"""),"")</f>
        <v/>
      </c>
      <c r="H82" s="19" t="str">
        <f>IFERROR(__xludf.DUMMYFUNCTION("""COMPUTED_VALUE"""),"")</f>
        <v/>
      </c>
      <c r="I82" s="62" t="str">
        <f>IFERROR(__xludf.DUMMYFUNCTION("""COMPUTED_VALUE"""),"")</f>
        <v/>
      </c>
      <c r="J82" s="19" t="str">
        <f>IFERROR(__xludf.DUMMYFUNCTION("""COMPUTED_VALUE"""),"")</f>
        <v/>
      </c>
    </row>
    <row r="83">
      <c r="A83" s="19" t="str">
        <f>IFERROR(__xludf.DUMMYFUNCTION("""COMPUTED_VALUE"""),"Alan Kuss")</f>
        <v>Alan Kuss</v>
      </c>
      <c r="B83" s="19" t="str">
        <f>IFERROR(__xludf.DUMMYFUNCTION("""COMPUTED_VALUE"""),"QLD")</f>
        <v>QLD</v>
      </c>
      <c r="C83" s="5" t="str">
        <f>IFERROR(__xludf.DUMMYFUNCTION("""COMPUTED_VALUE"""),"Canungra")</f>
        <v>Canungra</v>
      </c>
      <c r="D83" s="5" t="str">
        <f>IFERROR(__xludf.DUMMYFUNCTION("""COMPUTED_VALUE"""),"10 King Street Canungra QLD 4275")</f>
        <v>10 King Street Canungra QLD 4275</v>
      </c>
      <c r="E83" s="25">
        <f>IFERROR(__xludf.DUMMYFUNCTION("""COMPUTED_VALUE"""),45917.0)</f>
        <v>45917</v>
      </c>
      <c r="F83" s="5">
        <f>IFERROR(__xludf.DUMMYFUNCTION("""COMPUTED_VALUE"""),6.0)</f>
        <v>6</v>
      </c>
      <c r="G83" s="19" t="str">
        <f>IFERROR(__xludf.DUMMYFUNCTION("""COMPUTED_VALUE"""),"Instant Forms")</f>
        <v>Instant Forms</v>
      </c>
      <c r="H83" s="19" t="str">
        <f>IFERROR(__xludf.DUMMYFUNCTION("""COMPUTED_VALUE"""),"Courtney Leigh")</f>
        <v>Courtney Leigh</v>
      </c>
      <c r="I83" s="62"/>
      <c r="J83" s="19"/>
    </row>
    <row r="84">
      <c r="A84" s="19" t="str">
        <f>IFERROR(__xludf.DUMMYFUNCTION("""COMPUTED_VALUE"""),"Alan Kuss")</f>
        <v>Alan Kuss</v>
      </c>
      <c r="B84" s="19" t="str">
        <f>IFERROR(__xludf.DUMMYFUNCTION("""COMPUTED_VALUE"""),"QLD")</f>
        <v>QLD</v>
      </c>
      <c r="C84" s="5" t="str">
        <f>IFERROR(__xludf.DUMMYFUNCTION("""COMPUTED_VALUE"""),"Logan Reserve")</f>
        <v>Logan Reserve</v>
      </c>
      <c r="D84" s="5" t="str">
        <f>IFERROR(__xludf.DUMMYFUNCTION("""COMPUTED_VALUE"""),"14 Riparian Circuit Logan Reserve QLD 4133")</f>
        <v>14 Riparian Circuit Logan Reserve QLD 4133</v>
      </c>
      <c r="E84" s="25">
        <f>IFERROR(__xludf.DUMMYFUNCTION("""COMPUTED_VALUE"""),45920.0)</f>
        <v>45920</v>
      </c>
      <c r="F84" s="5">
        <f>IFERROR(__xludf.DUMMYFUNCTION("""COMPUTED_VALUE"""),6.0)</f>
        <v>6</v>
      </c>
      <c r="G84" s="19" t="str">
        <f>IFERROR(__xludf.DUMMYFUNCTION("""COMPUTED_VALUE"""),"Instant Forms")</f>
        <v>Instant Forms</v>
      </c>
      <c r="H84" s="19" t="str">
        <f>IFERROR(__xludf.DUMMYFUNCTION("""COMPUTED_VALUE"""),"Mareta Teinaki")</f>
        <v>Mareta Teinaki</v>
      </c>
      <c r="I84" s="62"/>
      <c r="J84" s="19"/>
    </row>
    <row r="85">
      <c r="A85" s="19" t="str">
        <f>IFERROR(__xludf.DUMMYFUNCTION("""COMPUTED_VALUE"""),"Alan Kuss")</f>
        <v>Alan Kuss</v>
      </c>
      <c r="B85" s="19" t="str">
        <f>IFERROR(__xludf.DUMMYFUNCTION("""COMPUTED_VALUE"""),"QLD")</f>
        <v>QLD</v>
      </c>
      <c r="C85" s="5" t="str">
        <f>IFERROR(__xludf.DUMMYFUNCTION("""COMPUTED_VALUE"""),"Park Ridge South")</f>
        <v>Park Ridge South</v>
      </c>
      <c r="D85" s="5" t="str">
        <f>IFERROR(__xludf.DUMMYFUNCTION("""COMPUTED_VALUE"""),"119-123 Sylvan Road")</f>
        <v>119-123 Sylvan Road</v>
      </c>
      <c r="E85" s="25">
        <f>IFERROR(__xludf.DUMMYFUNCTION("""COMPUTED_VALUE"""),45920.0)</f>
        <v>45920</v>
      </c>
      <c r="F85" s="5" t="str">
        <f>IFERROR(__xludf.DUMMYFUNCTION("""COMPUTED_VALUE"""),"Featured")</f>
        <v>Featured</v>
      </c>
      <c r="G85" s="19" t="str">
        <f>IFERROR(__xludf.DUMMYFUNCTION("""COMPUTED_VALUE"""),"Commission Comparison")</f>
        <v>Commission Comparison</v>
      </c>
      <c r="H85" s="19"/>
      <c r="I85" s="62"/>
      <c r="J85" s="19"/>
    </row>
    <row r="86">
      <c r="A86" s="19" t="str">
        <f>IFERROR(__xludf.DUMMYFUNCTION("""COMPUTED_VALUE"""),"Alan Kuss")</f>
        <v>Alan Kuss</v>
      </c>
      <c r="B86" s="19" t="str">
        <f>IFERROR(__xludf.DUMMYFUNCTION("""COMPUTED_VALUE"""),"QLD")</f>
        <v>QLD</v>
      </c>
      <c r="C86" s="5" t="str">
        <f>IFERROR(__xludf.DUMMYFUNCTION("""COMPUTED_VALUE"""),"Beaudesert")</f>
        <v>Beaudesert</v>
      </c>
      <c r="D86" s="5" t="str">
        <f>IFERROR(__xludf.DUMMYFUNCTION("""COMPUTED_VALUE"""),"33 Tequesta Drive Beaudesert QLD 4285")</f>
        <v>33 Tequesta Drive Beaudesert QLD 4285</v>
      </c>
      <c r="E86" s="25">
        <f>IFERROR(__xludf.DUMMYFUNCTION("""COMPUTED_VALUE"""),45929.0)</f>
        <v>45929</v>
      </c>
      <c r="F86" s="5">
        <f>IFERROR(__xludf.DUMMYFUNCTION("""COMPUTED_VALUE"""),8.0)</f>
        <v>8</v>
      </c>
      <c r="G86" s="19" t="str">
        <f>IFERROR(__xludf.DUMMYFUNCTION("""COMPUTED_VALUE"""),"Instant Forms")</f>
        <v>Instant Forms</v>
      </c>
      <c r="H86" s="19" t="str">
        <f>IFERROR(__xludf.DUMMYFUNCTION("""COMPUTED_VALUE"""),"Vivien Ouwerkerk")</f>
        <v>Vivien Ouwerkerk</v>
      </c>
      <c r="I86" s="62"/>
      <c r="J86" s="19"/>
    </row>
    <row r="87">
      <c r="A87" s="19" t="str">
        <f>IFERROR(__xludf.DUMMYFUNCTION("""COMPUTED_VALUE"""),"Alan Kuss")</f>
        <v>Alan Kuss</v>
      </c>
      <c r="B87" s="19" t="str">
        <f>IFERROR(__xludf.DUMMYFUNCTION("""COMPUTED_VALUE"""),"QLD")</f>
        <v>QLD</v>
      </c>
      <c r="C87" s="5" t="str">
        <f>IFERROR(__xludf.DUMMYFUNCTION("""COMPUTED_VALUE"""),"Beechmont")</f>
        <v>Beechmont</v>
      </c>
      <c r="D87" s="5" t="str">
        <f>IFERROR(__xludf.DUMMYFUNCTION("""COMPUTED_VALUE"""),"29 Farm Grove Road Beechmont QLD 4211")</f>
        <v>29 Farm Grove Road Beechmont QLD 4211</v>
      </c>
      <c r="E87" s="25">
        <f>IFERROR(__xludf.DUMMYFUNCTION("""COMPUTED_VALUE"""),45934.0)</f>
        <v>45934</v>
      </c>
      <c r="F87" s="5">
        <f>IFERROR(__xludf.DUMMYFUNCTION("""COMPUTED_VALUE"""),8.0)</f>
        <v>8</v>
      </c>
      <c r="G87" s="19" t="str">
        <f>IFERROR(__xludf.DUMMYFUNCTION("""COMPUTED_VALUE"""),"Instant Forms")</f>
        <v>Instant Forms</v>
      </c>
      <c r="H87" s="19" t="str">
        <f>IFERROR(__xludf.DUMMYFUNCTION("""COMPUTED_VALUE"""),"Tony Fishburn")</f>
        <v>Tony Fishburn</v>
      </c>
      <c r="I87" s="62"/>
      <c r="J87" s="19"/>
    </row>
    <row r="88">
      <c r="A88" s="19" t="str">
        <f>IFERROR(__xludf.DUMMYFUNCTION("""COMPUTED_VALUE"""),"Alan Kuss")</f>
        <v>Alan Kuss</v>
      </c>
      <c r="B88" s="19" t="str">
        <f>IFERROR(__xludf.DUMMYFUNCTION("""COMPUTED_VALUE"""),"QLD")</f>
        <v>QLD</v>
      </c>
      <c r="C88" s="5" t="str">
        <f>IFERROR(__xludf.DUMMYFUNCTION("""COMPUTED_VALUE"""),"Beechmont")</f>
        <v>Beechmont</v>
      </c>
      <c r="D88" s="5" t="str">
        <f>IFERROR(__xludf.DUMMYFUNCTION("""COMPUTED_VALUE"""),"24 &amp; 30 Binna Burra Road Beechmont QLD 4211")</f>
        <v>24 &amp; 30 Binna Burra Road Beechmont QLD 4211</v>
      </c>
      <c r="E88" s="25">
        <f>IFERROR(__xludf.DUMMYFUNCTION("""COMPUTED_VALUE"""),45939.0)</f>
        <v>45939</v>
      </c>
      <c r="F88" s="5">
        <f>IFERROR(__xludf.DUMMYFUNCTION("""COMPUTED_VALUE"""),6.0)</f>
        <v>6</v>
      </c>
      <c r="G88" s="19" t="str">
        <f>IFERROR(__xludf.DUMMYFUNCTION("""COMPUTED_VALUE"""),"Instant Forms")</f>
        <v>Instant Forms</v>
      </c>
      <c r="H88" s="19"/>
      <c r="I88" s="62"/>
      <c r="J88" s="19"/>
    </row>
    <row r="89">
      <c r="A89" s="19" t="str">
        <f>IFERROR(__xludf.DUMMYFUNCTION("""COMPUTED_VALUE"""),"Alan Kuss")</f>
        <v>Alan Kuss</v>
      </c>
      <c r="B89" s="19" t="str">
        <f>IFERROR(__xludf.DUMMYFUNCTION("""COMPUTED_VALUE"""),"QLD")</f>
        <v>QLD</v>
      </c>
      <c r="C89" s="5" t="str">
        <f>IFERROR(__xludf.DUMMYFUNCTION("""COMPUTED_VALUE"""),"Tamborine")</f>
        <v>Tamborine</v>
      </c>
      <c r="D89" s="5" t="str">
        <f>IFERROR(__xludf.DUMMYFUNCTION("""COMPUTED_VALUE"""),"40 Tuggerah Grove Tamborine QLD 4270")</f>
        <v>40 Tuggerah Grove Tamborine QLD 4270</v>
      </c>
      <c r="E89" s="25">
        <f>IFERROR(__xludf.DUMMYFUNCTION("""COMPUTED_VALUE"""),45949.0)</f>
        <v>45949</v>
      </c>
      <c r="F89" s="5">
        <f>IFERROR(__xludf.DUMMYFUNCTION("""COMPUTED_VALUE"""),6.0)</f>
        <v>6</v>
      </c>
      <c r="G89" s="19" t="str">
        <f>IFERROR(__xludf.DUMMYFUNCTION("""COMPUTED_VALUE"""),"Instant Forms")</f>
        <v>Instant Forms</v>
      </c>
      <c r="H89" s="19"/>
      <c r="I89" s="62"/>
      <c r="J89" s="19"/>
    </row>
    <row r="90">
      <c r="A90" s="19" t="str">
        <f>IFERROR(__xludf.DUMMYFUNCTION("""COMPUTED_VALUE"""),"Alan Kuss")</f>
        <v>Alan Kuss</v>
      </c>
      <c r="B90" s="19" t="str">
        <f>IFERROR(__xludf.DUMMYFUNCTION("""COMPUTED_VALUE"""),"QLD")</f>
        <v>QLD</v>
      </c>
      <c r="C90" s="5" t="str">
        <f>IFERROR(__xludf.DUMMYFUNCTION("""COMPUTED_VALUE"""),"Tamborine mt")</f>
        <v>Tamborine mt</v>
      </c>
      <c r="D90" s="5" t="str">
        <f>IFERROR(__xludf.DUMMYFUNCTION("""COMPUTED_VALUE"""),"12 Makalu Court Tamborine Mountain QLD 4272")</f>
        <v>12 Makalu Court Tamborine Mountain QLD 4272</v>
      </c>
      <c r="E90" s="25">
        <f>IFERROR(__xludf.DUMMYFUNCTION("""COMPUTED_VALUE"""),45954.0)</f>
        <v>45954</v>
      </c>
      <c r="F90" s="5">
        <f>IFERROR(__xludf.DUMMYFUNCTION("""COMPUTED_VALUE"""),6.0)</f>
        <v>6</v>
      </c>
      <c r="G90" s="19" t="str">
        <f>IFERROR(__xludf.DUMMYFUNCTION("""COMPUTED_VALUE"""),"Instant Forms")</f>
        <v>Instant Forms</v>
      </c>
      <c r="H90" s="19"/>
      <c r="I90" s="62"/>
      <c r="J90" s="19"/>
    </row>
    <row r="91">
      <c r="A91" s="19" t="str">
        <f>IFERROR(__xludf.DUMMYFUNCTION("""COMPUTED_VALUE"""),"Alan Kuss")</f>
        <v>Alan Kuss</v>
      </c>
      <c r="B91" s="19" t="str">
        <f>IFERROR(__xludf.DUMMYFUNCTION("""COMPUTED_VALUE"""),"QLD")</f>
        <v>QLD</v>
      </c>
      <c r="C91" s="5" t="str">
        <f>IFERROR(__xludf.DUMMYFUNCTION("""COMPUTED_VALUE"""),"Beaudesert")</f>
        <v>Beaudesert</v>
      </c>
      <c r="D91" s="5" t="str">
        <f>IFERROR(__xludf.DUMMYFUNCTION("""COMPUTED_VALUE"""),"39 arthur st, Beaudesert, 4285")</f>
        <v>39 arthur st, Beaudesert, 4285</v>
      </c>
      <c r="E91" s="25" t="str">
        <f>IFERROR(__xludf.DUMMYFUNCTION("""COMPUTED_VALUE"""),"28/10/2025")</f>
        <v>28/10/2025</v>
      </c>
      <c r="F91" s="5" t="str">
        <f>IFERROR(__xludf.DUMMYFUNCTION("""COMPUTED_VALUE"""),"Featured")</f>
        <v>Featured</v>
      </c>
      <c r="G91" s="19" t="str">
        <f>IFERROR(__xludf.DUMMYFUNCTION("""COMPUTED_VALUE"""),"Meta Commission Report")</f>
        <v>Meta Commission Report</v>
      </c>
      <c r="H91" s="19" t="str">
        <f>IFERROR(__xludf.DUMMYFUNCTION("""COMPUTED_VALUE"""),"Phil Wetheril")</f>
        <v>Phil Wetheril</v>
      </c>
      <c r="I91" s="62"/>
      <c r="J91" s="19"/>
    </row>
    <row r="92">
      <c r="A92" s="19" t="str">
        <f>IFERROR(__xludf.DUMMYFUNCTION("""COMPUTED_VALUE"""),"Alan Kuss")</f>
        <v>Alan Kuss</v>
      </c>
      <c r="B92" s="19" t="str">
        <f>IFERROR(__xludf.DUMMYFUNCTION("""COMPUTED_VALUE"""),"QLD")</f>
        <v>QLD</v>
      </c>
      <c r="C92" s="5" t="str">
        <f>IFERROR(__xludf.DUMMYFUNCTION("""COMPUTED_VALUE"""),"Beaudesert")</f>
        <v>Beaudesert</v>
      </c>
      <c r="D92" s="5" t="str">
        <f>IFERROR(__xludf.DUMMYFUNCTION("""COMPUTED_VALUE"""),"30 Albert Street Beaudesert QLD 4285")</f>
        <v>30 Albert Street Beaudesert QLD 4285</v>
      </c>
      <c r="E92" s="25">
        <f>IFERROR(__xludf.DUMMYFUNCTION("""COMPUTED_VALUE"""),45961.0)</f>
        <v>45961</v>
      </c>
      <c r="F92" s="5">
        <f>IFERROR(__xludf.DUMMYFUNCTION("""COMPUTED_VALUE"""),8.0)</f>
        <v>8</v>
      </c>
      <c r="G92" s="19" t="str">
        <f>IFERROR(__xludf.DUMMYFUNCTION("""COMPUTED_VALUE"""),"Instant Forms")</f>
        <v>Instant Forms</v>
      </c>
      <c r="H92" s="19"/>
      <c r="I92" s="62"/>
      <c r="J92" s="19"/>
    </row>
    <row r="93">
      <c r="A93" s="19" t="str">
        <f>IFERROR(__xludf.DUMMYFUNCTION("""COMPUTED_VALUE"""),"Alan Kuss")</f>
        <v>Alan Kuss</v>
      </c>
      <c r="B93" s="19" t="str">
        <f>IFERROR(__xludf.DUMMYFUNCTION("""COMPUTED_VALUE"""),"QLD")</f>
        <v>QLD</v>
      </c>
      <c r="C93" s="5" t="str">
        <f>IFERROR(__xludf.DUMMYFUNCTION("""COMPUTED_VALUE"""),"Clagiraba")</f>
        <v>Clagiraba</v>
      </c>
      <c r="D93" s="5" t="str">
        <f>IFERROR(__xludf.DUMMYFUNCTION("""COMPUTED_VALUE"""),"136 Henri Robert Drive Clagiraba QLD 4211")</f>
        <v>136 Henri Robert Drive Clagiraba QLD 4211</v>
      </c>
      <c r="E93" s="25">
        <f>IFERROR(__xludf.DUMMYFUNCTION("""COMPUTED_VALUE"""),45965.0)</f>
        <v>45965</v>
      </c>
      <c r="F93" s="5">
        <f>IFERROR(__xludf.DUMMYFUNCTION("""COMPUTED_VALUE"""),5.0)</f>
        <v>5</v>
      </c>
      <c r="G93" s="19" t="str">
        <f>IFERROR(__xludf.DUMMYFUNCTION("""COMPUTED_VALUE"""),"Instant Forms")</f>
        <v>Instant Forms</v>
      </c>
      <c r="H93" s="19" t="str">
        <f>IFERROR(__xludf.DUMMYFUNCTION("""COMPUTED_VALUE"""),"Lisa Pritchard")</f>
        <v>Lisa Pritchard</v>
      </c>
      <c r="I93" s="62">
        <f>IFERROR(__xludf.DUMMYFUNCTION("""COMPUTED_VALUE"""),6.1417442026E10)</f>
        <v>61417442026</v>
      </c>
      <c r="J93" s="19" t="str">
        <f>IFERROR(__xludf.DUMMYFUNCTION("""COMPUTED_VALUE"""),"Lisaprit3@gmail.com")</f>
        <v>Lisaprit3@gmail.com</v>
      </c>
    </row>
    <row r="94">
      <c r="A94" s="19" t="str">
        <f>IFERROR(__xludf.DUMMYFUNCTION("""COMPUTED_VALUE"""),"Alan Kuss")</f>
        <v>Alan Kuss</v>
      </c>
      <c r="B94" s="19" t="str">
        <f>IFERROR(__xludf.DUMMYFUNCTION("""COMPUTED_VALUE"""),"QLD")</f>
        <v>QLD</v>
      </c>
      <c r="C94" s="5" t="str">
        <f>IFERROR(__xludf.DUMMYFUNCTION("""COMPUTED_VALUE"""),"Tamborine")</f>
        <v>Tamborine</v>
      </c>
      <c r="D94" s="5" t="str">
        <f>IFERROR(__xludf.DUMMYFUNCTION("""COMPUTED_VALUE"""),"17-23 Wedge-Tail Court Tamborine QLD 4270")</f>
        <v>17-23 Wedge-Tail Court Tamborine QLD 4270</v>
      </c>
      <c r="E94" s="25">
        <f>IFERROR(__xludf.DUMMYFUNCTION("""COMPUTED_VALUE"""),45966.0)</f>
        <v>45966</v>
      </c>
      <c r="F94" s="5">
        <f>IFERROR(__xludf.DUMMYFUNCTION("""COMPUTED_VALUE"""),8.0)</f>
        <v>8</v>
      </c>
      <c r="G94" s="19" t="str">
        <f>IFERROR(__xludf.DUMMYFUNCTION("""COMPUTED_VALUE"""),"Instant Forms")</f>
        <v>Instant Forms</v>
      </c>
      <c r="H94" s="19" t="str">
        <f>IFERROR(__xludf.DUMMYFUNCTION("""COMPUTED_VALUE"""),"Cheryl Sawrey")</f>
        <v>Cheryl Sawrey</v>
      </c>
      <c r="I94" s="62">
        <f>IFERROR(__xludf.DUMMYFUNCTION("""COMPUTED_VALUE"""),6.1421136647E10)</f>
        <v>61421136647</v>
      </c>
      <c r="J94" s="19" t="str">
        <f>IFERROR(__xludf.DUMMYFUNCTION("""COMPUTED_VALUE"""),"cherloch@hotmail.com")</f>
        <v>cherloch@hotmail.com</v>
      </c>
    </row>
    <row r="95">
      <c r="A95" s="19" t="str">
        <f>IFERROR(__xludf.DUMMYFUNCTION("""COMPUTED_VALUE"""),"Alan Kuss")</f>
        <v>Alan Kuss</v>
      </c>
      <c r="B95" s="19" t="str">
        <f>IFERROR(__xludf.DUMMYFUNCTION("""COMPUTED_VALUE"""),"QLD")</f>
        <v>QLD</v>
      </c>
      <c r="C95" s="5" t="str">
        <f>IFERROR(__xludf.DUMMYFUNCTION("""COMPUTED_VALUE"""),"Woodhill")</f>
        <v>Woodhill</v>
      </c>
      <c r="D95" s="5" t="str">
        <f>IFERROR(__xludf.DUMMYFUNCTION("""COMPUTED_VALUE"""),"67-73 Mahoney Rd woodhill")</f>
        <v>67-73 Mahoney Rd woodhill</v>
      </c>
      <c r="E95" s="27">
        <f>IFERROR(__xludf.DUMMYFUNCTION("""COMPUTED_VALUE"""),45819.0)</f>
        <v>45819</v>
      </c>
      <c r="F95" s="5" t="str">
        <f>IFERROR(__xludf.DUMMYFUNCTION("""COMPUTED_VALUE"""),"Featured")</f>
        <v>Featured</v>
      </c>
      <c r="G95" s="19" t="str">
        <f>IFERROR(__xludf.DUMMYFUNCTION("""COMPUTED_VALUE"""),"Commission Comparison")</f>
        <v>Commission Comparison</v>
      </c>
      <c r="H95" s="19" t="str">
        <f>IFERROR(__xludf.DUMMYFUNCTION("""COMPUTED_VALUE"""),"Randall Lovell")</f>
        <v>Randall Lovell</v>
      </c>
      <c r="I95" s="62">
        <f>IFERROR(__xludf.DUMMYFUNCTION("""COMPUTED_VALUE"""),6.1487243781E10)</f>
        <v>61487243781</v>
      </c>
      <c r="J95" s="19" t="str">
        <f>IFERROR(__xludf.DUMMYFUNCTION("""COMPUTED_VALUE"""),"randalllovell1960@outlook.com")</f>
        <v>randalllovell1960@outlook.com</v>
      </c>
    </row>
    <row r="96">
      <c r="A96" s="19" t="str">
        <f>IFERROR(__xludf.DUMMYFUNCTION("""COMPUTED_VALUE"""),"Alan Kuss")</f>
        <v>Alan Kuss</v>
      </c>
      <c r="B96" s="19" t="str">
        <f>IFERROR(__xludf.DUMMYFUNCTION("""COMPUTED_VALUE"""),"QLD")</f>
        <v>QLD</v>
      </c>
      <c r="C96" s="5" t="str">
        <f>IFERROR(__xludf.DUMMYFUNCTION("""COMPUTED_VALUE"""),"Beaudesert")</f>
        <v>Beaudesert</v>
      </c>
      <c r="D96" s="5" t="str">
        <f>IFERROR(__xludf.DUMMYFUNCTION("""COMPUTED_VALUE"""),"4 Palm ct Beaudesert 4285, Beaudesert, 4285")</f>
        <v>4 Palm ct Beaudesert 4285, Beaudesert, 4285</v>
      </c>
      <c r="E96" s="25">
        <f>IFERROR(__xludf.DUMMYFUNCTION("""COMPUTED_VALUE"""),45941.0)</f>
        <v>45941</v>
      </c>
      <c r="F96" s="5" t="str">
        <f>IFERROR(__xludf.DUMMYFUNCTION("""COMPUTED_VALUE"""),"Featured")</f>
        <v>Featured</v>
      </c>
      <c r="G96" s="19" t="str">
        <f>IFERROR(__xludf.DUMMYFUNCTION("""COMPUTED_VALUE"""),"Meta Commission Report")</f>
        <v>Meta Commission Report</v>
      </c>
      <c r="H96" s="19" t="str">
        <f>IFERROR(__xludf.DUMMYFUNCTION("""COMPUTED_VALUE"""),"Eric Busby")</f>
        <v>Eric Busby</v>
      </c>
      <c r="I96" s="62">
        <f>IFERROR(__xludf.DUMMYFUNCTION("""COMPUTED_VALUE"""),6.1416007186E10)</f>
        <v>61416007186</v>
      </c>
      <c r="J96" s="19" t="str">
        <f>IFERROR(__xludf.DUMMYFUNCTION("""COMPUTED_VALUE"""),"busby@bigpond.net.au")</f>
        <v>busby@bigpond.net.au</v>
      </c>
    </row>
    <row r="97">
      <c r="A97" s="19" t="str">
        <f>IFERROR(__xludf.DUMMYFUNCTION("""COMPUTED_VALUE"""),"Alan Kuss")</f>
        <v>Alan Kuss</v>
      </c>
      <c r="B97" s="19" t="str">
        <f>IFERROR(__xludf.DUMMYFUNCTION("""COMPUTED_VALUE"""),"QLD")</f>
        <v>QLD</v>
      </c>
      <c r="C97" s="5" t="str">
        <f>IFERROR(__xludf.DUMMYFUNCTION("""COMPUTED_VALUE"""),"Beaudesert")</f>
        <v>Beaudesert</v>
      </c>
      <c r="D97" s="5" t="str">
        <f>IFERROR(__xludf.DUMMYFUNCTION("""COMPUTED_VALUE"""),"4 Emory Court Beaudesert QLD 4285")</f>
        <v>4 Emory Court Beaudesert QLD 4285</v>
      </c>
      <c r="E97" s="5" t="str">
        <f>IFERROR(__xludf.DUMMYFUNCTION("""COMPUTED_VALUE"""),"27/11/2025")</f>
        <v>27/11/2025</v>
      </c>
      <c r="F97" s="64">
        <f>IFERROR(__xludf.DUMMYFUNCTION("""COMPUTED_VALUE"""),0.2)</f>
        <v>0.2</v>
      </c>
      <c r="G97" s="19" t="str">
        <f>IFERROR(__xludf.DUMMYFUNCTION("""COMPUTED_VALUE"""),"Instant Forms")</f>
        <v>Instant Forms</v>
      </c>
      <c r="H97" s="19" t="str">
        <f>IFERROR(__xludf.DUMMYFUNCTION("""COMPUTED_VALUE"""),"Brett Cullen")</f>
        <v>Brett Cullen</v>
      </c>
      <c r="I97" s="62">
        <f>IFERROR(__xludf.DUMMYFUNCTION("""COMPUTED_VALUE"""),6.1499927719E10)</f>
        <v>61499927719</v>
      </c>
      <c r="J97" s="19" t="str">
        <f>IFERROR(__xludf.DUMMYFUNCTION("""COMPUTED_VALUE"""),"brettcullengnl@gmail.com")</f>
        <v>brettcullengnl@gmail.com</v>
      </c>
    </row>
    <row r="98">
      <c r="A98" s="19" t="str">
        <f>IFERROR(__xludf.DUMMYFUNCTION("""COMPUTED_VALUE"""),"")</f>
        <v/>
      </c>
      <c r="B98" s="19" t="str">
        <f>IFERROR(__xludf.DUMMYFUNCTION("""COMPUTED_VALUE"""),"")</f>
        <v/>
      </c>
      <c r="C98" s="5" t="str">
        <f>IFERROR(__xludf.DUMMYFUNCTION("""COMPUTED_VALUE"""),"")</f>
        <v/>
      </c>
      <c r="D98" s="5" t="str">
        <f>IFERROR(__xludf.DUMMYFUNCTION("""COMPUTED_VALUE"""),"")</f>
        <v/>
      </c>
      <c r="E98" s="5" t="str">
        <f>IFERROR(__xludf.DUMMYFUNCTION("""COMPUTED_VALUE"""),"")</f>
        <v/>
      </c>
      <c r="F98" s="5" t="str">
        <f>IFERROR(__xludf.DUMMYFUNCTION("""COMPUTED_VALUE"""),"")</f>
        <v/>
      </c>
      <c r="G98" s="19" t="str">
        <f>IFERROR(__xludf.DUMMYFUNCTION("""COMPUTED_VALUE"""),"")</f>
        <v/>
      </c>
      <c r="H98" s="19" t="str">
        <f>IFERROR(__xludf.DUMMYFUNCTION("""COMPUTED_VALUE"""),"")</f>
        <v/>
      </c>
      <c r="I98" s="62" t="str">
        <f>IFERROR(__xludf.DUMMYFUNCTION("""COMPUTED_VALUE"""),"")</f>
        <v/>
      </c>
      <c r="J98" s="19" t="str">
        <f>IFERROR(__xludf.DUMMYFUNCTION("""COMPUTED_VALUE"""),"")</f>
        <v/>
      </c>
    </row>
    <row r="99">
      <c r="A99" s="19" t="str">
        <f>IFERROR(__xludf.DUMMYFUNCTION("""COMPUTED_VALUE"""),"")</f>
        <v/>
      </c>
      <c r="B99" s="19" t="str">
        <f>IFERROR(__xludf.DUMMYFUNCTION("""COMPUTED_VALUE"""),"")</f>
        <v/>
      </c>
      <c r="C99" s="5" t="str">
        <f>IFERROR(__xludf.DUMMYFUNCTION("""COMPUTED_VALUE"""),"")</f>
        <v/>
      </c>
      <c r="D99" s="5" t="str">
        <f>IFERROR(__xludf.DUMMYFUNCTION("""COMPUTED_VALUE"""),"")</f>
        <v/>
      </c>
      <c r="E99" s="5" t="str">
        <f>IFERROR(__xludf.DUMMYFUNCTION("""COMPUTED_VALUE"""),"")</f>
        <v/>
      </c>
      <c r="F99" s="5" t="str">
        <f>IFERROR(__xludf.DUMMYFUNCTION("""COMPUTED_VALUE"""),"")</f>
        <v/>
      </c>
      <c r="G99" s="19" t="str">
        <f>IFERROR(__xludf.DUMMYFUNCTION("""COMPUTED_VALUE"""),"")</f>
        <v/>
      </c>
      <c r="H99" s="19" t="str">
        <f>IFERROR(__xludf.DUMMYFUNCTION("""COMPUTED_VALUE"""),"")</f>
        <v/>
      </c>
      <c r="I99" s="62" t="str">
        <f>IFERROR(__xludf.DUMMYFUNCTION("""COMPUTED_VALUE"""),"")</f>
        <v/>
      </c>
      <c r="J99" s="19" t="str">
        <f>IFERROR(__xludf.DUMMYFUNCTION("""COMPUTED_VALUE"""),"")</f>
        <v/>
      </c>
    </row>
    <row r="100">
      <c r="A100" s="19" t="str">
        <f>IFERROR(__xludf.DUMMYFUNCTION("""COMPUTED_VALUE"""),"Alan Wealleans")</f>
        <v>Alan Wealleans</v>
      </c>
      <c r="B100" s="19" t="str">
        <f>IFERROR(__xludf.DUMMYFUNCTION("""COMPUTED_VALUE"""),"NSW")</f>
        <v>NSW</v>
      </c>
      <c r="C100" s="5" t="str">
        <f>IFERROR(__xludf.DUMMYFUNCTION("""COMPUTED_VALUE"""),"Jacqui Plekan")</f>
        <v>Jacqui Plekan</v>
      </c>
      <c r="D100" s="5" t="str">
        <f>IFERROR(__xludf.DUMMYFUNCTION("""COMPUTED_VALUE"""),"Lake Conjola")</f>
        <v>Lake Conjola</v>
      </c>
      <c r="E100" s="25">
        <f>IFERROR(__xludf.DUMMYFUNCTION("""COMPUTED_VALUE"""),45922.0)</f>
        <v>45922</v>
      </c>
      <c r="F100" s="5">
        <f>IFERROR(__xludf.DUMMYFUNCTION("""COMPUTED_VALUE"""),6.0)</f>
        <v>6</v>
      </c>
      <c r="G100" s="19" t="str">
        <f>IFERROR(__xludf.DUMMYFUNCTION("""COMPUTED_VALUE"""),"Commission Comparison")</f>
        <v>Commission Comparison</v>
      </c>
      <c r="H100" s="19"/>
      <c r="I100" s="62"/>
      <c r="J100" s="19"/>
    </row>
    <row r="101">
      <c r="A101" s="19" t="str">
        <f>IFERROR(__xludf.DUMMYFUNCTION("""COMPUTED_VALUE"""),"")</f>
        <v/>
      </c>
      <c r="B101" s="19" t="str">
        <f>IFERROR(__xludf.DUMMYFUNCTION("""COMPUTED_VALUE"""),"")</f>
        <v/>
      </c>
      <c r="C101" s="5" t="str">
        <f>IFERROR(__xludf.DUMMYFUNCTION("""COMPUTED_VALUE"""),"")</f>
        <v/>
      </c>
      <c r="D101" s="5" t="str">
        <f>IFERROR(__xludf.DUMMYFUNCTION("""COMPUTED_VALUE"""),"")</f>
        <v/>
      </c>
      <c r="E101" s="5" t="str">
        <f>IFERROR(__xludf.DUMMYFUNCTION("""COMPUTED_VALUE"""),"")</f>
        <v/>
      </c>
      <c r="F101" s="5" t="str">
        <f>IFERROR(__xludf.DUMMYFUNCTION("""COMPUTED_VALUE"""),"")</f>
        <v/>
      </c>
      <c r="G101" s="19" t="str">
        <f>IFERROR(__xludf.DUMMYFUNCTION("""COMPUTED_VALUE"""),"")</f>
        <v/>
      </c>
      <c r="H101" s="19" t="str">
        <f>IFERROR(__xludf.DUMMYFUNCTION("""COMPUTED_VALUE"""),"")</f>
        <v/>
      </c>
      <c r="I101" s="62" t="str">
        <f>IFERROR(__xludf.DUMMYFUNCTION("""COMPUTED_VALUE"""),"")</f>
        <v/>
      </c>
      <c r="J101" s="19" t="str">
        <f>IFERROR(__xludf.DUMMYFUNCTION("""COMPUTED_VALUE"""),"")</f>
        <v/>
      </c>
    </row>
    <row r="102">
      <c r="A102" s="19" t="str">
        <f>IFERROR(__xludf.DUMMYFUNCTION("""COMPUTED_VALUE"""),"")</f>
        <v/>
      </c>
      <c r="B102" s="19" t="str">
        <f>IFERROR(__xludf.DUMMYFUNCTION("""COMPUTED_VALUE"""),"")</f>
        <v/>
      </c>
      <c r="C102" s="5" t="str">
        <f>IFERROR(__xludf.DUMMYFUNCTION("""COMPUTED_VALUE"""),"")</f>
        <v/>
      </c>
      <c r="D102" s="5" t="str">
        <f>IFERROR(__xludf.DUMMYFUNCTION("""COMPUTED_VALUE"""),"")</f>
        <v/>
      </c>
      <c r="E102" s="5" t="str">
        <f>IFERROR(__xludf.DUMMYFUNCTION("""COMPUTED_VALUE"""),"")</f>
        <v/>
      </c>
      <c r="F102" s="5" t="str">
        <f>IFERROR(__xludf.DUMMYFUNCTION("""COMPUTED_VALUE"""),"")</f>
        <v/>
      </c>
      <c r="G102" s="19" t="str">
        <f>IFERROR(__xludf.DUMMYFUNCTION("""COMPUTED_VALUE"""),"")</f>
        <v/>
      </c>
      <c r="H102" s="19" t="str">
        <f>IFERROR(__xludf.DUMMYFUNCTION("""COMPUTED_VALUE"""),"")</f>
        <v/>
      </c>
      <c r="I102" s="62" t="str">
        <f>IFERROR(__xludf.DUMMYFUNCTION("""COMPUTED_VALUE"""),"")</f>
        <v/>
      </c>
      <c r="J102" s="19" t="str">
        <f>IFERROR(__xludf.DUMMYFUNCTION("""COMPUTED_VALUE"""),"")</f>
        <v/>
      </c>
    </row>
    <row r="103">
      <c r="A103" s="19" t="str">
        <f>IFERROR(__xludf.DUMMYFUNCTION("""COMPUTED_VALUE"""),"Alec McEwan")</f>
        <v>Alec McEwan</v>
      </c>
      <c r="B103" s="19" t="str">
        <f>IFERROR(__xludf.DUMMYFUNCTION("""COMPUTED_VALUE"""),"QLD")</f>
        <v>QLD</v>
      </c>
      <c r="C103" s="5" t="str">
        <f>IFERROR(__xludf.DUMMYFUNCTION("""COMPUTED_VALUE"""),"Wynnum")</f>
        <v>Wynnum</v>
      </c>
      <c r="D103" s="5" t="str">
        <f>IFERROR(__xludf.DUMMYFUNCTION("""COMPUTED_VALUE"""),"35 Shepherd Street, Wynnum, QLD, 4178, Australia")</f>
        <v>35 Shepherd Street, Wynnum, QLD, 4178, Australia</v>
      </c>
      <c r="E103" s="25">
        <f>IFERROR(__xludf.DUMMYFUNCTION("""COMPUTED_VALUE"""),45939.0)</f>
        <v>45939</v>
      </c>
      <c r="F103" s="5" t="str">
        <f>IFERROR(__xludf.DUMMYFUNCTION("""COMPUTED_VALUE"""),"Featured")</f>
        <v>Featured</v>
      </c>
      <c r="G103" s="19" t="str">
        <f>IFERROR(__xludf.DUMMYFUNCTION("""COMPUTED_VALUE"""),"Commission Comparison")</f>
        <v>Commission Comparison</v>
      </c>
      <c r="H103" s="19"/>
      <c r="I103" s="62"/>
      <c r="J103" s="19"/>
    </row>
    <row r="104">
      <c r="A104" s="19" t="str">
        <f>IFERROR(__xludf.DUMMYFUNCTION("""COMPUTED_VALUE"""),"")</f>
        <v/>
      </c>
      <c r="B104" s="19" t="str">
        <f>IFERROR(__xludf.DUMMYFUNCTION("""COMPUTED_VALUE"""),"")</f>
        <v/>
      </c>
      <c r="C104" s="5" t="str">
        <f>IFERROR(__xludf.DUMMYFUNCTION("""COMPUTED_VALUE"""),"")</f>
        <v/>
      </c>
      <c r="D104" s="5" t="str">
        <f>IFERROR(__xludf.DUMMYFUNCTION("""COMPUTED_VALUE"""),"")</f>
        <v/>
      </c>
      <c r="E104" s="5" t="str">
        <f>IFERROR(__xludf.DUMMYFUNCTION("""COMPUTED_VALUE"""),"")</f>
        <v/>
      </c>
      <c r="F104" s="5" t="str">
        <f>IFERROR(__xludf.DUMMYFUNCTION("""COMPUTED_VALUE"""),"")</f>
        <v/>
      </c>
      <c r="G104" s="19" t="str">
        <f>IFERROR(__xludf.DUMMYFUNCTION("""COMPUTED_VALUE"""),"")</f>
        <v/>
      </c>
      <c r="H104" s="19" t="str">
        <f>IFERROR(__xludf.DUMMYFUNCTION("""COMPUTED_VALUE"""),"")</f>
        <v/>
      </c>
      <c r="I104" s="62" t="str">
        <f>IFERROR(__xludf.DUMMYFUNCTION("""COMPUTED_VALUE"""),"")</f>
        <v/>
      </c>
      <c r="J104" s="19" t="str">
        <f>IFERROR(__xludf.DUMMYFUNCTION("""COMPUTED_VALUE"""),"")</f>
        <v/>
      </c>
    </row>
    <row r="105">
      <c r="A105" s="19" t="str">
        <f>IFERROR(__xludf.DUMMYFUNCTION("""COMPUTED_VALUE"""),"")</f>
        <v/>
      </c>
      <c r="B105" s="19" t="str">
        <f>IFERROR(__xludf.DUMMYFUNCTION("""COMPUTED_VALUE"""),"")</f>
        <v/>
      </c>
      <c r="C105" s="5" t="str">
        <f>IFERROR(__xludf.DUMMYFUNCTION("""COMPUTED_VALUE"""),"")</f>
        <v/>
      </c>
      <c r="D105" s="5" t="str">
        <f>IFERROR(__xludf.DUMMYFUNCTION("""COMPUTED_VALUE"""),"")</f>
        <v/>
      </c>
      <c r="E105" s="5" t="str">
        <f>IFERROR(__xludf.DUMMYFUNCTION("""COMPUTED_VALUE"""),"")</f>
        <v/>
      </c>
      <c r="F105" s="5" t="str">
        <f>IFERROR(__xludf.DUMMYFUNCTION("""COMPUTED_VALUE"""),"")</f>
        <v/>
      </c>
      <c r="G105" s="19" t="str">
        <f>IFERROR(__xludf.DUMMYFUNCTION("""COMPUTED_VALUE"""),"")</f>
        <v/>
      </c>
      <c r="H105" s="19" t="str">
        <f>IFERROR(__xludf.DUMMYFUNCTION("""COMPUTED_VALUE"""),"")</f>
        <v/>
      </c>
      <c r="I105" s="62" t="str">
        <f>IFERROR(__xludf.DUMMYFUNCTION("""COMPUTED_VALUE"""),"")</f>
        <v/>
      </c>
      <c r="J105" s="19" t="str">
        <f>IFERROR(__xludf.DUMMYFUNCTION("""COMPUTED_VALUE"""),"")</f>
        <v/>
      </c>
    </row>
    <row r="106">
      <c r="A106" s="19" t="str">
        <f>IFERROR(__xludf.DUMMYFUNCTION("""COMPUTED_VALUE"""),"Alex Goodwin")</f>
        <v>Alex Goodwin</v>
      </c>
      <c r="B106" s="19" t="str">
        <f>IFERROR(__xludf.DUMMYFUNCTION("""COMPUTED_VALUE"""),"SA")</f>
        <v>SA</v>
      </c>
      <c r="C106" s="5">
        <f>IFERROR(__xludf.DUMMYFUNCTION("""COMPUTED_VALUE"""),5125.0)</f>
        <v>5125</v>
      </c>
      <c r="D106" s="5"/>
      <c r="E106" s="63">
        <f>IFERROR(__xludf.DUMMYFUNCTION("""COMPUTED_VALUE"""),45845.42542824074)</f>
        <v>45845.42543</v>
      </c>
      <c r="F106" s="5" t="str">
        <f>IFERROR(__xludf.DUMMYFUNCTION("""COMPUTED_VALUE"""),"Plus")</f>
        <v>Plus</v>
      </c>
      <c r="G106" s="19" t="str">
        <f>IFERROR(__xludf.DUMMYFUNCTION("""COMPUTED_VALUE"""),"Instant Forms")</f>
        <v>Instant Forms</v>
      </c>
      <c r="H106" s="19"/>
      <c r="I106" s="62"/>
      <c r="J106" s="19"/>
    </row>
    <row r="107">
      <c r="A107" s="19" t="str">
        <f>IFERROR(__xludf.DUMMYFUNCTION("""COMPUTED_VALUE"""),"Alex Goodwin")</f>
        <v>Alex Goodwin</v>
      </c>
      <c r="B107" s="19" t="str">
        <f>IFERROR(__xludf.DUMMYFUNCTION("""COMPUTED_VALUE"""),"SA")</f>
        <v>SA</v>
      </c>
      <c r="C107" s="5">
        <f>IFERROR(__xludf.DUMMYFUNCTION("""COMPUTED_VALUE"""),5011.0)</f>
        <v>5011</v>
      </c>
      <c r="D107" s="5"/>
      <c r="E107" s="63">
        <f>IFERROR(__xludf.DUMMYFUNCTION("""COMPUTED_VALUE"""),45849.38346064815)</f>
        <v>45849.38346</v>
      </c>
      <c r="F107" s="5" t="str">
        <f>IFERROR(__xludf.DUMMYFUNCTION("""COMPUTED_VALUE"""),"Plus")</f>
        <v>Plus</v>
      </c>
      <c r="G107" s="19" t="str">
        <f>IFERROR(__xludf.DUMMYFUNCTION("""COMPUTED_VALUE"""),"Instant Forms")</f>
        <v>Instant Forms</v>
      </c>
      <c r="H107" s="19"/>
      <c r="I107" s="62"/>
      <c r="J107" s="19"/>
    </row>
    <row r="108">
      <c r="A108" s="19" t="str">
        <f>IFERROR(__xludf.DUMMYFUNCTION("""COMPUTED_VALUE"""),"Alex Goodwin")</f>
        <v>Alex Goodwin</v>
      </c>
      <c r="B108" s="19" t="str">
        <f>IFERROR(__xludf.DUMMYFUNCTION("""COMPUTED_VALUE"""),"SA")</f>
        <v>SA</v>
      </c>
      <c r="C108" s="5">
        <f>IFERROR(__xludf.DUMMYFUNCTION("""COMPUTED_VALUE"""),5125.0)</f>
        <v>5125</v>
      </c>
      <c r="D108" s="5"/>
      <c r="E108" s="63">
        <f>IFERROR(__xludf.DUMMYFUNCTION("""COMPUTED_VALUE"""),45849.38574074074)</f>
        <v>45849.38574</v>
      </c>
      <c r="F108" s="5" t="str">
        <f>IFERROR(__xludf.DUMMYFUNCTION("""COMPUTED_VALUE"""),"Plus")</f>
        <v>Plus</v>
      </c>
      <c r="G108" s="19" t="str">
        <f>IFERROR(__xludf.DUMMYFUNCTION("""COMPUTED_VALUE"""),"Instant Forms")</f>
        <v>Instant Forms</v>
      </c>
      <c r="H108" s="19"/>
      <c r="I108" s="62"/>
      <c r="J108" s="19"/>
    </row>
    <row r="109">
      <c r="A109" s="19" t="str">
        <f>IFERROR(__xludf.DUMMYFUNCTION("""COMPUTED_VALUE"""),"Alex Goodwin")</f>
        <v>Alex Goodwin</v>
      </c>
      <c r="B109" s="19" t="str">
        <f>IFERROR(__xludf.DUMMYFUNCTION("""COMPUTED_VALUE"""),"SA")</f>
        <v>SA</v>
      </c>
      <c r="C109" s="5">
        <f>IFERROR(__xludf.DUMMYFUNCTION("""COMPUTED_VALUE"""),5074.0)</f>
        <v>5074</v>
      </c>
      <c r="D109" s="5"/>
      <c r="E109" s="63">
        <f>IFERROR(__xludf.DUMMYFUNCTION("""COMPUTED_VALUE"""),45850.4462037037)</f>
        <v>45850.4462</v>
      </c>
      <c r="F109" s="5" t="str">
        <f>IFERROR(__xludf.DUMMYFUNCTION("""COMPUTED_VALUE"""),"Plus")</f>
        <v>Plus</v>
      </c>
      <c r="G109" s="19" t="str">
        <f>IFERROR(__xludf.DUMMYFUNCTION("""COMPUTED_VALUE"""),"Instant Forms")</f>
        <v>Instant Forms</v>
      </c>
      <c r="H109" s="19"/>
      <c r="I109" s="62"/>
      <c r="J109" s="19"/>
    </row>
    <row r="110">
      <c r="A110" s="19" t="str">
        <f>IFERROR(__xludf.DUMMYFUNCTION("""COMPUTED_VALUE"""),"Alex Goodwin")</f>
        <v>Alex Goodwin</v>
      </c>
      <c r="B110" s="19" t="str">
        <f>IFERROR(__xludf.DUMMYFUNCTION("""COMPUTED_VALUE"""),"SA")</f>
        <v>SA</v>
      </c>
      <c r="C110" s="5">
        <f>IFERROR(__xludf.DUMMYFUNCTION("""COMPUTED_VALUE"""),5087.0)</f>
        <v>5087</v>
      </c>
      <c r="D110" s="5"/>
      <c r="E110" s="63">
        <f>IFERROR(__xludf.DUMMYFUNCTION("""COMPUTED_VALUE"""),45853.65851851852)</f>
        <v>45853.65852</v>
      </c>
      <c r="F110" s="5" t="str">
        <f>IFERROR(__xludf.DUMMYFUNCTION("""COMPUTED_VALUE"""),"Plus")</f>
        <v>Plus</v>
      </c>
      <c r="G110" s="19" t="str">
        <f>IFERROR(__xludf.DUMMYFUNCTION("""COMPUTED_VALUE"""),"Instant Forms")</f>
        <v>Instant Forms</v>
      </c>
      <c r="H110" s="19"/>
      <c r="I110" s="62"/>
      <c r="J110" s="19"/>
    </row>
    <row r="111">
      <c r="A111" s="19" t="str">
        <f>IFERROR(__xludf.DUMMYFUNCTION("""COMPUTED_VALUE"""),"Alex Goodwin")</f>
        <v>Alex Goodwin</v>
      </c>
      <c r="B111" s="19" t="str">
        <f>IFERROR(__xludf.DUMMYFUNCTION("""COMPUTED_VALUE"""),"SA")</f>
        <v>SA</v>
      </c>
      <c r="C111" s="5" t="str">
        <f>IFERROR(__xludf.DUMMYFUNCTION("""COMPUTED_VALUE"""),"Torrens Park")</f>
        <v>Torrens Park</v>
      </c>
      <c r="D111" s="5" t="str">
        <f>IFERROR(__xludf.DUMMYFUNCTION("""COMPUTED_VALUE"""),"2/4 Alton Avenue")</f>
        <v>2/4 Alton Avenue</v>
      </c>
      <c r="E111" s="63"/>
      <c r="F111" s="5" t="str">
        <f>IFERROR(__xludf.DUMMYFUNCTION("""COMPUTED_VALUE"""),"Plus")</f>
        <v>Plus</v>
      </c>
      <c r="G111" s="19" t="str">
        <f>IFERROR(__xludf.DUMMYFUNCTION("""COMPUTED_VALUE"""),"Commission Comparison")</f>
        <v>Commission Comparison</v>
      </c>
      <c r="H111" s="19"/>
      <c r="I111" s="62"/>
      <c r="J111" s="19"/>
    </row>
    <row r="112">
      <c r="A112" s="19" t="str">
        <f>IFERROR(__xludf.DUMMYFUNCTION("""COMPUTED_VALUE"""),"Alex Goodwin")</f>
        <v>Alex Goodwin</v>
      </c>
      <c r="B112" s="19" t="str">
        <f>IFERROR(__xludf.DUMMYFUNCTION("""COMPUTED_VALUE"""),"SA")</f>
        <v>SA</v>
      </c>
      <c r="C112" s="5" t="str">
        <f>IFERROR(__xludf.DUMMYFUNCTION("""COMPUTED_VALUE"""),"Hampstead Gardens")</f>
        <v>Hampstead Gardens</v>
      </c>
      <c r="D112" s="5" t="str">
        <f>IFERROR(__xludf.DUMMYFUNCTION("""COMPUTED_VALUE"""),"25 Ways Road")</f>
        <v>25 Ways Road</v>
      </c>
      <c r="E112" s="63"/>
      <c r="F112" s="5" t="str">
        <f>IFERROR(__xludf.DUMMYFUNCTION("""COMPUTED_VALUE"""),"Plus")</f>
        <v>Plus</v>
      </c>
      <c r="G112" s="19" t="str">
        <f>IFERROR(__xludf.DUMMYFUNCTION("""COMPUTED_VALUE"""),"Commission Comparison")</f>
        <v>Commission Comparison</v>
      </c>
      <c r="H112" s="19"/>
      <c r="I112" s="62"/>
      <c r="J112" s="19"/>
    </row>
    <row r="113">
      <c r="A113" s="19" t="str">
        <f>IFERROR(__xludf.DUMMYFUNCTION("""COMPUTED_VALUE"""),"Alex Goodwin")</f>
        <v>Alex Goodwin</v>
      </c>
      <c r="B113" s="19" t="str">
        <f>IFERROR(__xludf.DUMMYFUNCTION("""COMPUTED_VALUE"""),"SA")</f>
        <v>SA</v>
      </c>
      <c r="C113" s="5" t="str">
        <f>IFERROR(__xludf.DUMMYFUNCTION("""COMPUTED_VALUE"""),"Rostrevor")</f>
        <v>Rostrevor</v>
      </c>
      <c r="D113" s="5"/>
      <c r="E113" s="63" t="str">
        <f>IFERROR(__xludf.DUMMYFUNCTION("""COMPUTED_VALUE"""),"31/07/2025")</f>
        <v>31/07/2025</v>
      </c>
      <c r="F113" s="5" t="str">
        <f>IFERROR(__xludf.DUMMYFUNCTION("""COMPUTED_VALUE"""),"Plus")</f>
        <v>Plus</v>
      </c>
      <c r="G113" s="19" t="str">
        <f>IFERROR(__xludf.DUMMYFUNCTION("""COMPUTED_VALUE"""),"Instant Forms")</f>
        <v>Instant Forms</v>
      </c>
      <c r="H113" s="19"/>
      <c r="I113" s="62"/>
      <c r="J113" s="19"/>
    </row>
    <row r="114">
      <c r="A114" s="19" t="str">
        <f>IFERROR(__xludf.DUMMYFUNCTION("""COMPUTED_VALUE"""),"Alex Goodwin")</f>
        <v>Alex Goodwin</v>
      </c>
      <c r="B114" s="19" t="str">
        <f>IFERROR(__xludf.DUMMYFUNCTION("""COMPUTED_VALUE"""),"SA")</f>
        <v>SA</v>
      </c>
      <c r="C114" s="5" t="str">
        <f>IFERROR(__xludf.DUMMYFUNCTION("""COMPUTED_VALUE"""),"Enfield")</f>
        <v>Enfield</v>
      </c>
      <c r="D114" s="5"/>
      <c r="E114" s="25">
        <f>IFERROR(__xludf.DUMMYFUNCTION("""COMPUTED_VALUE"""),45904.0)</f>
        <v>45904</v>
      </c>
      <c r="F114" s="5" t="str">
        <f>IFERROR(__xludf.DUMMYFUNCTION("""COMPUTED_VALUE"""),"Free")</f>
        <v>Free</v>
      </c>
      <c r="G114" s="19" t="str">
        <f>IFERROR(__xludf.DUMMYFUNCTION("""COMPUTED_VALUE"""),"Instant Forms")</f>
        <v>Instant Forms</v>
      </c>
      <c r="H114" s="19"/>
      <c r="I114" s="62"/>
      <c r="J114" s="19"/>
    </row>
    <row r="115">
      <c r="A115" s="19" t="str">
        <f>IFERROR(__xludf.DUMMYFUNCTION("""COMPUTED_VALUE"""),"Alex Goodwin")</f>
        <v>Alex Goodwin</v>
      </c>
      <c r="B115" s="19" t="str">
        <f>IFERROR(__xludf.DUMMYFUNCTION("""COMPUTED_VALUE"""),"SA")</f>
        <v>SA</v>
      </c>
      <c r="C115" s="5" t="str">
        <f>IFERROR(__xludf.DUMMYFUNCTION("""COMPUTED_VALUE"""),"Enfield")</f>
        <v>Enfield</v>
      </c>
      <c r="D115" s="5" t="str">
        <f>IFERROR(__xludf.DUMMYFUNCTION("""COMPUTED_VALUE"""),"56 Warwick Street Enfield SA 5085")</f>
        <v>56 Warwick Street Enfield SA 5085</v>
      </c>
      <c r="E115" s="25">
        <f>IFERROR(__xludf.DUMMYFUNCTION("""COMPUTED_VALUE"""),45904.0)</f>
        <v>45904</v>
      </c>
      <c r="F115" s="5" t="str">
        <f>IFERROR(__xludf.DUMMYFUNCTION("""COMPUTED_VALUE"""),"Plus")</f>
        <v>Plus</v>
      </c>
      <c r="G115" s="19" t="str">
        <f>IFERROR(__xludf.DUMMYFUNCTION("""COMPUTED_VALUE"""),"Instant Forms")</f>
        <v>Instant Forms</v>
      </c>
      <c r="H115" s="19"/>
      <c r="I115" s="62"/>
      <c r="J115" s="19"/>
    </row>
    <row r="116">
      <c r="A116" s="19" t="str">
        <f>IFERROR(__xludf.DUMMYFUNCTION("""COMPUTED_VALUE"""),"Alex Goodwin")</f>
        <v>Alex Goodwin</v>
      </c>
      <c r="B116" s="19" t="str">
        <f>IFERROR(__xludf.DUMMYFUNCTION("""COMPUTED_VALUE"""),"SA")</f>
        <v>SA</v>
      </c>
      <c r="C116" s="5">
        <f>IFERROR(__xludf.DUMMYFUNCTION("""COMPUTED_VALUE"""),5085.0)</f>
        <v>5085</v>
      </c>
      <c r="D116" s="5"/>
      <c r="E116" s="25">
        <f>IFERROR(__xludf.DUMMYFUNCTION("""COMPUTED_VALUE"""),45905.0)</f>
        <v>45905</v>
      </c>
      <c r="F116" s="5" t="str">
        <f>IFERROR(__xludf.DUMMYFUNCTION("""COMPUTED_VALUE"""),"Plus")</f>
        <v>Plus</v>
      </c>
      <c r="G116" s="19" t="str">
        <f>IFERROR(__xludf.DUMMYFUNCTION("""COMPUTED_VALUE"""),"Instant Forms")</f>
        <v>Instant Forms</v>
      </c>
      <c r="H116" s="19"/>
      <c r="I116" s="62"/>
      <c r="J116" s="19"/>
    </row>
    <row r="117">
      <c r="A117" s="19" t="str">
        <f>IFERROR(__xludf.DUMMYFUNCTION("""COMPUTED_VALUE"""),"Alex Goodwin")</f>
        <v>Alex Goodwin</v>
      </c>
      <c r="B117" s="19" t="str">
        <f>IFERROR(__xludf.DUMMYFUNCTION("""COMPUTED_VALUE"""),"SA")</f>
        <v>SA</v>
      </c>
      <c r="C117" s="5" t="str">
        <f>IFERROR(__xludf.DUMMYFUNCTION("""COMPUTED_VALUE"""),"North Adelaide")</f>
        <v>North Adelaide</v>
      </c>
      <c r="D117" s="5" t="str">
        <f>IFERROR(__xludf.DUMMYFUNCTION("""COMPUTED_VALUE"""),"104 Old Street North Adelaide SA 5006")</f>
        <v>104 Old Street North Adelaide SA 5006</v>
      </c>
      <c r="E117" s="25">
        <f>IFERROR(__xludf.DUMMYFUNCTION("""COMPUTED_VALUE"""),45921.0)</f>
        <v>45921</v>
      </c>
      <c r="F117" s="5" t="str">
        <f>IFERROR(__xludf.DUMMYFUNCTION("""COMPUTED_VALUE"""),"Featured Plus")</f>
        <v>Featured Plus</v>
      </c>
      <c r="G117" s="19" t="str">
        <f>IFERROR(__xludf.DUMMYFUNCTION("""COMPUTED_VALUE"""),"Instant Forms")</f>
        <v>Instant Forms</v>
      </c>
      <c r="H117" s="19" t="str">
        <f>IFERROR(__xludf.DUMMYFUNCTION("""COMPUTED_VALUE"""),"Phyllis Purcell")</f>
        <v>Phyllis Purcell</v>
      </c>
      <c r="I117" s="62"/>
      <c r="J117" s="19"/>
    </row>
    <row r="118">
      <c r="A118" s="19" t="str">
        <f>IFERROR(__xludf.DUMMYFUNCTION("""COMPUTED_VALUE"""),"Alex Goodwin")</f>
        <v>Alex Goodwin</v>
      </c>
      <c r="B118" s="19" t="str">
        <f>IFERROR(__xludf.DUMMYFUNCTION("""COMPUTED_VALUE"""),"SA")</f>
        <v>SA</v>
      </c>
      <c r="C118" s="5" t="str">
        <f>IFERROR(__xludf.DUMMYFUNCTION("""COMPUTED_VALUE"""),"Enfield")</f>
        <v>Enfield</v>
      </c>
      <c r="D118" s="5" t="str">
        <f>IFERROR(__xludf.DUMMYFUNCTION("""COMPUTED_VALUE"""),"56 Warwick Street Enfield SA 5085")</f>
        <v>56 Warwick Street Enfield SA 5085</v>
      </c>
      <c r="E118" s="25">
        <f>IFERROR(__xludf.DUMMYFUNCTION("""COMPUTED_VALUE"""),45923.0)</f>
        <v>45923</v>
      </c>
      <c r="F118" s="5" t="str">
        <f>IFERROR(__xludf.DUMMYFUNCTION("""COMPUTED_VALUE"""),"Featured Plus")</f>
        <v>Featured Plus</v>
      </c>
      <c r="G118" s="19" t="str">
        <f>IFERROR(__xludf.DUMMYFUNCTION("""COMPUTED_VALUE"""),"Instant Forms")</f>
        <v>Instant Forms</v>
      </c>
      <c r="H118" s="19" t="str">
        <f>IFERROR(__xludf.DUMMYFUNCTION("""COMPUTED_VALUE"""),"Sue Mackie")</f>
        <v>Sue Mackie</v>
      </c>
      <c r="I118" s="62"/>
      <c r="J118" s="19"/>
    </row>
    <row r="119">
      <c r="A119" s="19" t="str">
        <f>IFERROR(__xludf.DUMMYFUNCTION("""COMPUTED_VALUE"""),"Alex Goodwin")</f>
        <v>Alex Goodwin</v>
      </c>
      <c r="B119" s="19" t="str">
        <f>IFERROR(__xludf.DUMMYFUNCTION("""COMPUTED_VALUE"""),"SA")</f>
        <v>SA</v>
      </c>
      <c r="C119" s="5" t="str">
        <f>IFERROR(__xludf.DUMMYFUNCTION("""COMPUTED_VALUE"""),"Clearview")</f>
        <v>Clearview</v>
      </c>
      <c r="D119" s="5" t="str">
        <f>IFERROR(__xludf.DUMMYFUNCTION("""COMPUTED_VALUE"""),"284 Hampstead Road Clearview SA 5085")</f>
        <v>284 Hampstead Road Clearview SA 5085</v>
      </c>
      <c r="E119" s="25">
        <f>IFERROR(__xludf.DUMMYFUNCTION("""COMPUTED_VALUE"""),45925.0)</f>
        <v>45925</v>
      </c>
      <c r="F119" s="5" t="str">
        <f>IFERROR(__xludf.DUMMYFUNCTION("""COMPUTED_VALUE"""),"Featured Plus")</f>
        <v>Featured Plus</v>
      </c>
      <c r="G119" s="19" t="str">
        <f>IFERROR(__xludf.DUMMYFUNCTION("""COMPUTED_VALUE"""),"Instant Forms")</f>
        <v>Instant Forms</v>
      </c>
      <c r="H119" s="19" t="str">
        <f>IFERROR(__xludf.DUMMYFUNCTION("""COMPUTED_VALUE"""),"Kamlesh (Mohit Sangwan)")</f>
        <v>Kamlesh (Mohit Sangwan)</v>
      </c>
      <c r="I119" s="62"/>
      <c r="J119" s="19"/>
    </row>
    <row r="120">
      <c r="A120" s="19" t="str">
        <f>IFERROR(__xludf.DUMMYFUNCTION("""COMPUTED_VALUE"""),"Alex Goodwin")</f>
        <v>Alex Goodwin</v>
      </c>
      <c r="B120" s="19" t="str">
        <f>IFERROR(__xludf.DUMMYFUNCTION("""COMPUTED_VALUE"""),"SA")</f>
        <v>SA</v>
      </c>
      <c r="C120" s="5" t="str">
        <f>IFERROR(__xludf.DUMMYFUNCTION("""COMPUTED_VALUE"""),"Dernancourt")</f>
        <v>Dernancourt</v>
      </c>
      <c r="D120" s="5" t="str">
        <f>IFERROR(__xludf.DUMMYFUNCTION("""COMPUTED_VALUE"""),"11 Birch Grove Dernancourt SA 5075")</f>
        <v>11 Birch Grove Dernancourt SA 5075</v>
      </c>
      <c r="E120" s="25">
        <f>IFERROR(__xludf.DUMMYFUNCTION("""COMPUTED_VALUE"""),45933.0)</f>
        <v>45933</v>
      </c>
      <c r="F120" s="5" t="str">
        <f>IFERROR(__xludf.DUMMYFUNCTION("""COMPUTED_VALUE"""),"Featured Plus")</f>
        <v>Featured Plus</v>
      </c>
      <c r="G120" s="19" t="str">
        <f>IFERROR(__xludf.DUMMYFUNCTION("""COMPUTED_VALUE"""),"Instant Forms")</f>
        <v>Instant Forms</v>
      </c>
      <c r="H120" s="19" t="str">
        <f>IFERROR(__xludf.DUMMYFUNCTION("""COMPUTED_VALUE"""),"Heather Bennett")</f>
        <v>Heather Bennett</v>
      </c>
      <c r="I120" s="62"/>
      <c r="J120" s="19"/>
    </row>
    <row r="121">
      <c r="A121" s="19" t="str">
        <f>IFERROR(__xludf.DUMMYFUNCTION("""COMPUTED_VALUE"""),"Alex Goodwin")</f>
        <v>Alex Goodwin</v>
      </c>
      <c r="B121" s="19" t="str">
        <f>IFERROR(__xludf.DUMMYFUNCTION("""COMPUTED_VALUE"""),"SA")</f>
        <v>SA</v>
      </c>
      <c r="C121" s="5" t="str">
        <f>IFERROR(__xludf.DUMMYFUNCTION("""COMPUTED_VALUE"""),"Gilberton")</f>
        <v>Gilberton</v>
      </c>
      <c r="D121" s="5"/>
      <c r="E121" s="25">
        <f>IFERROR(__xludf.DUMMYFUNCTION("""COMPUTED_VALUE"""),45937.0)</f>
        <v>45937</v>
      </c>
      <c r="F121" s="5" t="str">
        <f>IFERROR(__xludf.DUMMYFUNCTION("""COMPUTED_VALUE"""),"Featured Plus")</f>
        <v>Featured Plus</v>
      </c>
      <c r="G121" s="19" t="str">
        <f>IFERROR(__xludf.DUMMYFUNCTION("""COMPUTED_VALUE"""),"Instant Forms")</f>
        <v>Instant Forms</v>
      </c>
      <c r="H121" s="19" t="str">
        <f>IFERROR(__xludf.DUMMYFUNCTION("""COMPUTED_VALUE"""),"Augustine Dave")</f>
        <v>Augustine Dave</v>
      </c>
      <c r="I121" s="62"/>
      <c r="J121" s="19"/>
    </row>
    <row r="122">
      <c r="A122" s="19" t="str">
        <f>IFERROR(__xludf.DUMMYFUNCTION("""COMPUTED_VALUE"""),"Alex Goodwin")</f>
        <v>Alex Goodwin</v>
      </c>
      <c r="B122" s="19" t="str">
        <f>IFERROR(__xludf.DUMMYFUNCTION("""COMPUTED_VALUE"""),"SA")</f>
        <v>SA</v>
      </c>
      <c r="C122" s="5" t="str">
        <f>IFERROR(__xludf.DUMMYFUNCTION("""COMPUTED_VALUE"""),"Manningham")</f>
        <v>Manningham</v>
      </c>
      <c r="D122" s="5" t="str">
        <f>IFERROR(__xludf.DUMMYFUNCTION("""COMPUTED_VALUE"""),"10 Arthur Avenue Manningham SA 5086")</f>
        <v>10 Arthur Avenue Manningham SA 5086</v>
      </c>
      <c r="E122" s="25">
        <f>IFERROR(__xludf.DUMMYFUNCTION("""COMPUTED_VALUE"""),45949.0)</f>
        <v>45949</v>
      </c>
      <c r="F122" s="5" t="str">
        <f>IFERROR(__xludf.DUMMYFUNCTION("""COMPUTED_VALUE"""),"Featured Plus")</f>
        <v>Featured Plus</v>
      </c>
      <c r="G122" s="19" t="str">
        <f>IFERROR(__xludf.DUMMYFUNCTION("""COMPUTED_VALUE"""),"Instant Forms")</f>
        <v>Instant Forms</v>
      </c>
      <c r="H122" s="19"/>
      <c r="I122" s="62"/>
      <c r="J122" s="19"/>
    </row>
    <row r="123">
      <c r="A123" s="19" t="str">
        <f>IFERROR(__xludf.DUMMYFUNCTION("""COMPUTED_VALUE"""),"Alex Goodwin")</f>
        <v>Alex Goodwin</v>
      </c>
      <c r="B123" s="19" t="str">
        <f>IFERROR(__xludf.DUMMYFUNCTION("""COMPUTED_VALUE"""),"SA")</f>
        <v>SA</v>
      </c>
      <c r="C123" s="5" t="str">
        <f>IFERROR(__xludf.DUMMYFUNCTION("""COMPUTED_VALUE"""),"Para Hills")</f>
        <v>Para Hills</v>
      </c>
      <c r="D123" s="5" t="str">
        <f>IFERROR(__xludf.DUMMYFUNCTION("""COMPUTED_VALUE"""),"341 Nelson Road Para Hills SA 5096")</f>
        <v>341 Nelson Road Para Hills SA 5096</v>
      </c>
      <c r="E123" s="25">
        <f>IFERROR(__xludf.DUMMYFUNCTION("""COMPUTED_VALUE"""),45950.0)</f>
        <v>45950</v>
      </c>
      <c r="F123" s="5" t="str">
        <f>IFERROR(__xludf.DUMMYFUNCTION("""COMPUTED_VALUE"""),"Featured Plus")</f>
        <v>Featured Plus</v>
      </c>
      <c r="G123" s="19" t="str">
        <f>IFERROR(__xludf.DUMMYFUNCTION("""COMPUTED_VALUE"""),"Instant Forms")</f>
        <v>Instant Forms</v>
      </c>
      <c r="H123" s="19"/>
      <c r="I123" s="62"/>
      <c r="J123" s="19"/>
    </row>
    <row r="124">
      <c r="A124" s="19" t="str">
        <f>IFERROR(__xludf.DUMMYFUNCTION("""COMPUTED_VALUE"""),"Alex Goodwin")</f>
        <v>Alex Goodwin</v>
      </c>
      <c r="B124" s="19" t="str">
        <f>IFERROR(__xludf.DUMMYFUNCTION("""COMPUTED_VALUE"""),"SA")</f>
        <v>SA</v>
      </c>
      <c r="C124" s="5" t="str">
        <f>IFERROR(__xludf.DUMMYFUNCTION("""COMPUTED_VALUE"""),"Fairview Park")</f>
        <v>Fairview Park</v>
      </c>
      <c r="D124" s="5" t="str">
        <f>IFERROR(__xludf.DUMMYFUNCTION("""COMPUTED_VALUE"""),"15a Crampton St")</f>
        <v>15a Crampton St</v>
      </c>
      <c r="E124" s="25">
        <f>IFERROR(__xludf.DUMMYFUNCTION("""COMPUTED_VALUE"""),45950.0)</f>
        <v>45950</v>
      </c>
      <c r="F124" s="5" t="str">
        <f>IFERROR(__xludf.DUMMYFUNCTION("""COMPUTED_VALUE"""),"Plus")</f>
        <v>Plus</v>
      </c>
      <c r="G124" s="19" t="str">
        <f>IFERROR(__xludf.DUMMYFUNCTION("""COMPUTED_VALUE"""),"Commission Comparison")</f>
        <v>Commission Comparison</v>
      </c>
      <c r="H124" s="19"/>
      <c r="I124" s="62"/>
      <c r="J124" s="19"/>
    </row>
    <row r="125">
      <c r="A125" s="19" t="str">
        <f>IFERROR(__xludf.DUMMYFUNCTION("""COMPUTED_VALUE"""),"Alex Goodwin")</f>
        <v>Alex Goodwin</v>
      </c>
      <c r="B125" s="19" t="str">
        <f>IFERROR(__xludf.DUMMYFUNCTION("""COMPUTED_VALUE"""),"SA")</f>
        <v>SA</v>
      </c>
      <c r="C125" s="5" t="str">
        <f>IFERROR(__xludf.DUMMYFUNCTION("""COMPUTED_VALUE"""),"Fairview Park")</f>
        <v>Fairview Park</v>
      </c>
      <c r="D125" s="5" t="str">
        <f>IFERROR(__xludf.DUMMYFUNCTION("""COMPUTED_VALUE"""),"15a Crampton St")</f>
        <v>15a Crampton St</v>
      </c>
      <c r="E125" s="25">
        <f>IFERROR(__xludf.DUMMYFUNCTION("""COMPUTED_VALUE"""),45950.0)</f>
        <v>45950</v>
      </c>
      <c r="F125" s="5" t="str">
        <f>IFERROR(__xludf.DUMMYFUNCTION("""COMPUTED_VALUE"""),"Plus")</f>
        <v>Plus</v>
      </c>
      <c r="G125" s="19" t="str">
        <f>IFERROR(__xludf.DUMMYFUNCTION("""COMPUTED_VALUE"""),"Commission Comparison")</f>
        <v>Commission Comparison</v>
      </c>
      <c r="H125" s="19"/>
      <c r="I125" s="62"/>
      <c r="J125" s="19"/>
    </row>
    <row r="126">
      <c r="A126" s="19" t="str">
        <f>IFERROR(__xludf.DUMMYFUNCTION("""COMPUTED_VALUE"""),"Alex Goodwin")</f>
        <v>Alex Goodwin</v>
      </c>
      <c r="B126" s="19" t="str">
        <f>IFERROR(__xludf.DUMMYFUNCTION("""COMPUTED_VALUE"""),"SA")</f>
        <v>SA</v>
      </c>
      <c r="C126" s="5" t="str">
        <f>IFERROR(__xludf.DUMMYFUNCTION("""COMPUTED_VALUE"""),"Holden Hill")</f>
        <v>Holden Hill</v>
      </c>
      <c r="D126" s="5" t="str">
        <f>IFERROR(__xludf.DUMMYFUNCTION("""COMPUTED_VALUE"""),"32 Southern Terrace Holden Hill SA 5088")</f>
        <v>32 Southern Terrace Holden Hill SA 5088</v>
      </c>
      <c r="E126" s="25">
        <f>IFERROR(__xludf.DUMMYFUNCTION("""COMPUTED_VALUE"""),45953.0)</f>
        <v>45953</v>
      </c>
      <c r="F126" s="5" t="str">
        <f>IFERROR(__xludf.DUMMYFUNCTION("""COMPUTED_VALUE"""),"Featured Plus")</f>
        <v>Featured Plus</v>
      </c>
      <c r="G126" s="19" t="str">
        <f>IFERROR(__xludf.DUMMYFUNCTION("""COMPUTED_VALUE"""),"Instant Forms")</f>
        <v>Instant Forms</v>
      </c>
      <c r="H126" s="19"/>
      <c r="I126" s="62"/>
      <c r="J126" s="19"/>
    </row>
    <row r="127">
      <c r="A127" s="19" t="str">
        <f>IFERROR(__xludf.DUMMYFUNCTION("""COMPUTED_VALUE"""),"Alex Goodwin")</f>
        <v>Alex Goodwin</v>
      </c>
      <c r="B127" s="19" t="str">
        <f>IFERROR(__xludf.DUMMYFUNCTION("""COMPUTED_VALUE"""),"SA")</f>
        <v>SA</v>
      </c>
      <c r="C127" s="5" t="str">
        <f>IFERROR(__xludf.DUMMYFUNCTION("""COMPUTED_VALUE"""),"Glynde")</f>
        <v>Glynde</v>
      </c>
      <c r="D127" s="5" t="str">
        <f>IFERROR(__xludf.DUMMYFUNCTION("""COMPUTED_VALUE"""),"36 Castres Street Glynde 5070")</f>
        <v>36 Castres Street Glynde 5070</v>
      </c>
      <c r="E127" s="25">
        <f>IFERROR(__xludf.DUMMYFUNCTION("""COMPUTED_VALUE"""),45973.0)</f>
        <v>45973</v>
      </c>
      <c r="F127" s="5" t="str">
        <f>IFERROR(__xludf.DUMMYFUNCTION("""COMPUTED_VALUE"""),"Plus")</f>
        <v>Plus</v>
      </c>
      <c r="G127" s="19" t="str">
        <f>IFERROR(__xludf.DUMMYFUNCTION("""COMPUTED_VALUE"""),"Commission Comparison")</f>
        <v>Commission Comparison</v>
      </c>
      <c r="H127" s="19" t="str">
        <f>IFERROR(__xludf.DUMMYFUNCTION("""COMPUTED_VALUE"""),"Patricia Rossi-Grice")</f>
        <v>Patricia Rossi-Grice</v>
      </c>
      <c r="I127" s="62">
        <f>IFERROR(__xludf.DUMMYFUNCTION("""COMPUTED_VALUE"""),6.1414596087E10)</f>
        <v>61414596087</v>
      </c>
      <c r="J127" s="19" t="str">
        <f>IFERROR(__xludf.DUMMYFUNCTION("""COMPUTED_VALUE"""),"pat.grice@hotmail.com")</f>
        <v>pat.grice@hotmail.com</v>
      </c>
    </row>
    <row r="128">
      <c r="A128" s="19" t="str">
        <f>IFERROR(__xludf.DUMMYFUNCTION("""COMPUTED_VALUE"""),"")</f>
        <v/>
      </c>
      <c r="B128" s="19" t="str">
        <f>IFERROR(__xludf.DUMMYFUNCTION("""COMPUTED_VALUE"""),"")</f>
        <v/>
      </c>
      <c r="C128" s="5" t="str">
        <f>IFERROR(__xludf.DUMMYFUNCTION("""COMPUTED_VALUE"""),"")</f>
        <v/>
      </c>
      <c r="D128" s="5" t="str">
        <f>IFERROR(__xludf.DUMMYFUNCTION("""COMPUTED_VALUE"""),"")</f>
        <v/>
      </c>
      <c r="E128" s="5" t="str">
        <f>IFERROR(__xludf.DUMMYFUNCTION("""COMPUTED_VALUE"""),"")</f>
        <v/>
      </c>
      <c r="F128" s="5" t="str">
        <f>IFERROR(__xludf.DUMMYFUNCTION("""COMPUTED_VALUE"""),"")</f>
        <v/>
      </c>
      <c r="G128" s="19" t="str">
        <f>IFERROR(__xludf.DUMMYFUNCTION("""COMPUTED_VALUE"""),"")</f>
        <v/>
      </c>
      <c r="H128" s="19" t="str">
        <f>IFERROR(__xludf.DUMMYFUNCTION("""COMPUTED_VALUE"""),"")</f>
        <v/>
      </c>
      <c r="I128" s="62" t="str">
        <f>IFERROR(__xludf.DUMMYFUNCTION("""COMPUTED_VALUE"""),"")</f>
        <v/>
      </c>
      <c r="J128" s="19" t="str">
        <f>IFERROR(__xludf.DUMMYFUNCTION("""COMPUTED_VALUE"""),"")</f>
        <v/>
      </c>
    </row>
    <row r="129">
      <c r="A129" s="19" t="str">
        <f>IFERROR(__xludf.DUMMYFUNCTION("""COMPUTED_VALUE"""),"")</f>
        <v/>
      </c>
      <c r="B129" s="19" t="str">
        <f>IFERROR(__xludf.DUMMYFUNCTION("""COMPUTED_VALUE"""),"")</f>
        <v/>
      </c>
      <c r="C129" s="5" t="str">
        <f>IFERROR(__xludf.DUMMYFUNCTION("""COMPUTED_VALUE"""),"")</f>
        <v/>
      </c>
      <c r="D129" s="5" t="str">
        <f>IFERROR(__xludf.DUMMYFUNCTION("""COMPUTED_VALUE"""),"")</f>
        <v/>
      </c>
      <c r="E129" s="5" t="str">
        <f>IFERROR(__xludf.DUMMYFUNCTION("""COMPUTED_VALUE"""),"")</f>
        <v/>
      </c>
      <c r="F129" s="5" t="str">
        <f>IFERROR(__xludf.DUMMYFUNCTION("""COMPUTED_VALUE"""),"")</f>
        <v/>
      </c>
      <c r="G129" s="19" t="str">
        <f>IFERROR(__xludf.DUMMYFUNCTION("""COMPUTED_VALUE"""),"")</f>
        <v/>
      </c>
      <c r="H129" s="19" t="str">
        <f>IFERROR(__xludf.DUMMYFUNCTION("""COMPUTED_VALUE"""),"")</f>
        <v/>
      </c>
      <c r="I129" s="62" t="str">
        <f>IFERROR(__xludf.DUMMYFUNCTION("""COMPUTED_VALUE"""),"")</f>
        <v/>
      </c>
      <c r="J129" s="19" t="str">
        <f>IFERROR(__xludf.DUMMYFUNCTION("""COMPUTED_VALUE"""),"")</f>
        <v/>
      </c>
    </row>
    <row r="130">
      <c r="A130" s="19" t="str">
        <f>IFERROR(__xludf.DUMMYFUNCTION("""COMPUTED_VALUE"""),"Alex Millar")</f>
        <v>Alex Millar</v>
      </c>
      <c r="B130" s="19" t="str">
        <f>IFERROR(__xludf.DUMMYFUNCTION("""COMPUTED_VALUE"""),"QLD")</f>
        <v>QLD</v>
      </c>
      <c r="C130" s="5" t="str">
        <f>IFERROR(__xludf.DUMMYFUNCTION("""COMPUTED_VALUE"""),"Sippy Downs")</f>
        <v>Sippy Downs</v>
      </c>
      <c r="D130" s="5" t="str">
        <f>IFERROR(__xludf.DUMMYFUNCTION("""COMPUTED_VALUE"""),"25 Chancellor Village Boulevard, Sippy Downs, QLD, 4556, Australia")</f>
        <v>25 Chancellor Village Boulevard, Sippy Downs, QLD, 4556, Australia</v>
      </c>
      <c r="E130" s="5" t="str">
        <f>IFERROR(__xludf.DUMMYFUNCTION("""COMPUTED_VALUE"""),"16/05/2025")</f>
        <v>16/05/2025</v>
      </c>
      <c r="F130" s="5" t="str">
        <f>IFERROR(__xludf.DUMMYFUNCTION("""COMPUTED_VALUE"""),"Featured")</f>
        <v>Featured</v>
      </c>
      <c r="G130" s="19"/>
      <c r="H130" s="19" t="str">
        <f>IFERROR(__xludf.DUMMYFUNCTION("""COMPUTED_VALUE"""),"Pauline Crain")</f>
        <v>Pauline Crain</v>
      </c>
      <c r="I130" s="62">
        <f>IFERROR(__xludf.DUMMYFUNCTION("""COMPUTED_VALUE"""),6.10438149326E11)</f>
        <v>610438149326</v>
      </c>
      <c r="J130" s="65" t="str">
        <f>IFERROR(__xludf.DUMMYFUNCTION("""COMPUTED_VALUE"""),"33justbb@gmail.com")</f>
        <v>33justbb@gmail.com</v>
      </c>
    </row>
    <row r="131">
      <c r="A131" s="19" t="str">
        <f>IFERROR(__xludf.DUMMYFUNCTION("""COMPUTED_VALUE"""),"Alex Millar")</f>
        <v>Alex Millar</v>
      </c>
      <c r="B131" s="19" t="str">
        <f>IFERROR(__xludf.DUMMYFUNCTION("""COMPUTED_VALUE"""),"QLD")</f>
        <v>QLD</v>
      </c>
      <c r="C131" s="5" t="str">
        <f>IFERROR(__xludf.DUMMYFUNCTION("""COMPUTED_VALUE"""),"Maroochydore")</f>
        <v>Maroochydore</v>
      </c>
      <c r="D131" s="5" t="str">
        <f>IFERROR(__xludf.DUMMYFUNCTION("""COMPUTED_VALUE"""),"1 / 7 Kooringa Court, Maroochydore, QLD, 4558, Australia")</f>
        <v>1 / 7 Kooringa Court, Maroochydore, QLD, 4558, Australia</v>
      </c>
      <c r="E131" s="5" t="str">
        <f>IFERROR(__xludf.DUMMYFUNCTION("""COMPUTED_VALUE"""),"28/05/2025")</f>
        <v>28/05/2025</v>
      </c>
      <c r="F131" s="5" t="str">
        <f>IFERROR(__xludf.DUMMYFUNCTION("""COMPUTED_VALUE"""),"Featured")</f>
        <v>Featured</v>
      </c>
      <c r="G131" s="19"/>
      <c r="H131" s="19" t="str">
        <f>IFERROR(__xludf.DUMMYFUNCTION("""COMPUTED_VALUE"""),"Brittany May")</f>
        <v>Brittany May</v>
      </c>
      <c r="I131" s="62">
        <f>IFERROR(__xludf.DUMMYFUNCTION("""COMPUTED_VALUE"""),6.10472532818E11)</f>
        <v>610472532818</v>
      </c>
      <c r="J131" s="65" t="str">
        <f>IFERROR(__xludf.DUMMYFUNCTION("""COMPUTED_VALUE"""),"b.may93@hotmail.com")</f>
        <v>b.may93@hotmail.com</v>
      </c>
    </row>
    <row r="132">
      <c r="A132" s="19" t="str">
        <f>IFERROR(__xludf.DUMMYFUNCTION("""COMPUTED_VALUE"""),"Alex Millar")</f>
        <v>Alex Millar</v>
      </c>
      <c r="B132" s="19" t="str">
        <f>IFERROR(__xludf.DUMMYFUNCTION("""COMPUTED_VALUE"""),"QLD")</f>
        <v>QLD</v>
      </c>
      <c r="C132" s="5" t="str">
        <f>IFERROR(__xludf.DUMMYFUNCTION("""COMPUTED_VALUE"""),"Maroochydore")</f>
        <v>Maroochydore</v>
      </c>
      <c r="D132" s="5" t="str">
        <f>IFERROR(__xludf.DUMMYFUNCTION("""COMPUTED_VALUE"""),"36 / 20 Beach Road, Maroochydore, QLD, 4558, Australia")</f>
        <v>36 / 20 Beach Road, Maroochydore, QLD, 4558, Australia</v>
      </c>
      <c r="E132" s="27">
        <f>IFERROR(__xludf.DUMMYFUNCTION("""COMPUTED_VALUE"""),45694.0)</f>
        <v>45694</v>
      </c>
      <c r="F132" s="5" t="str">
        <f>IFERROR(__xludf.DUMMYFUNCTION("""COMPUTED_VALUE"""),"Featured")</f>
        <v>Featured</v>
      </c>
      <c r="G132" s="19"/>
      <c r="H132" s="19" t="str">
        <f>IFERROR(__xludf.DUMMYFUNCTION("""COMPUTED_VALUE"""),"Danny Lynch")</f>
        <v>Danny Lynch</v>
      </c>
      <c r="I132" s="62">
        <f>IFERROR(__xludf.DUMMYFUNCTION("""COMPUTED_VALUE"""),6.1409985835E10)</f>
        <v>61409985835</v>
      </c>
      <c r="J132" s="65" t="str">
        <f>IFERROR(__xludf.DUMMYFUNCTION("""COMPUTED_VALUE"""),"danieljames.lynch@bigpond.com")</f>
        <v>danieljames.lynch@bigpond.com</v>
      </c>
    </row>
    <row r="133">
      <c r="A133" s="19" t="str">
        <f>IFERROR(__xludf.DUMMYFUNCTION("""COMPUTED_VALUE"""),"Alex Millar")</f>
        <v>Alex Millar</v>
      </c>
      <c r="B133" s="19" t="str">
        <f>IFERROR(__xludf.DUMMYFUNCTION("""COMPUTED_VALUE"""),"QLD")</f>
        <v>QLD</v>
      </c>
      <c r="C133" s="5">
        <f>IFERROR(__xludf.DUMMYFUNCTION("""COMPUTED_VALUE"""),4558.0)</f>
        <v>4558</v>
      </c>
      <c r="D133" s="5" t="str">
        <f>IFERROR(__xludf.DUMMYFUNCTION("""COMPUTED_VALUE"""),"52 Buderim Street Battery Hill QLD 4551")</f>
        <v>52 Buderim Street Battery Hill QLD 4551</v>
      </c>
      <c r="E133" s="63">
        <f>IFERROR(__xludf.DUMMYFUNCTION("""COMPUTED_VALUE"""),45838.59483796296)</f>
        <v>45838.59484</v>
      </c>
      <c r="F133" s="5" t="str">
        <f>IFERROR(__xludf.DUMMYFUNCTION("""COMPUTED_VALUE"""),"Featured")</f>
        <v>Featured</v>
      </c>
      <c r="G133" s="19" t="str">
        <f>IFERROR(__xludf.DUMMYFUNCTION("""COMPUTED_VALUE"""),"Instant Forms")</f>
        <v>Instant Forms</v>
      </c>
      <c r="H133" s="19" t="str">
        <f>IFERROR(__xludf.DUMMYFUNCTION("""COMPUTED_VALUE"""),"Rebecca Hawson")</f>
        <v>Rebecca Hawson</v>
      </c>
      <c r="I133" s="62">
        <f>IFERROR(__xludf.DUMMYFUNCTION("""COMPUTED_VALUE"""),6.1421586336E10)</f>
        <v>61421586336</v>
      </c>
      <c r="J133" s="65" t="str">
        <f>IFERROR(__xludf.DUMMYFUNCTION("""COMPUTED_VALUE"""),"Rhawson@me.com")</f>
        <v>Rhawson@me.com</v>
      </c>
    </row>
    <row r="134">
      <c r="A134" s="19" t="str">
        <f>IFERROR(__xludf.DUMMYFUNCTION("""COMPUTED_VALUE"""),"Alex Millar")</f>
        <v>Alex Millar</v>
      </c>
      <c r="B134" s="19" t="str">
        <f>IFERROR(__xludf.DUMMYFUNCTION("""COMPUTED_VALUE"""),"QLD")</f>
        <v>QLD</v>
      </c>
      <c r="C134" s="5">
        <f>IFERROR(__xludf.DUMMYFUNCTION("""COMPUTED_VALUE"""),4556.0)</f>
        <v>4556</v>
      </c>
      <c r="D134" s="5"/>
      <c r="E134" s="63">
        <f>IFERROR(__xludf.DUMMYFUNCTION("""COMPUTED_VALUE"""),45853.65819444444)</f>
        <v>45853.65819</v>
      </c>
      <c r="F134" s="5" t="str">
        <f>IFERROR(__xludf.DUMMYFUNCTION("""COMPUTED_VALUE"""),"Featured")</f>
        <v>Featured</v>
      </c>
      <c r="G134" s="19" t="str">
        <f>IFERROR(__xludf.DUMMYFUNCTION("""COMPUTED_VALUE"""),"Instant Forms")</f>
        <v>Instant Forms</v>
      </c>
      <c r="H134" s="19" t="str">
        <f>IFERROR(__xludf.DUMMYFUNCTION("""COMPUTED_VALUE"""),"Robina Haaksma")</f>
        <v>Robina Haaksma</v>
      </c>
      <c r="I134" s="62">
        <f>IFERROR(__xludf.DUMMYFUNCTION("""COMPUTED_VALUE"""),6.1432549092E10)</f>
        <v>61432549092</v>
      </c>
      <c r="J134" s="65" t="str">
        <f>IFERROR(__xludf.DUMMYFUNCTION("""COMPUTED_VALUE"""),"robinah157@gmail.com")</f>
        <v>robinah157@gmail.com</v>
      </c>
    </row>
    <row r="135">
      <c r="A135" s="19" t="str">
        <f>IFERROR(__xludf.DUMMYFUNCTION("""COMPUTED_VALUE"""),"Alex Millar")</f>
        <v>Alex Millar</v>
      </c>
      <c r="B135" s="19" t="str">
        <f>IFERROR(__xludf.DUMMYFUNCTION("""COMPUTED_VALUE"""),"QLD")</f>
        <v>QLD</v>
      </c>
      <c r="C135" s="5">
        <f>IFERROR(__xludf.DUMMYFUNCTION("""COMPUTED_VALUE"""),4556.0)</f>
        <v>4556</v>
      </c>
      <c r="D135" s="5"/>
      <c r="E135" s="63" t="str">
        <f>IFERROR(__xludf.DUMMYFUNCTION("""COMPUTED_VALUE"""),"18/07/2025")</f>
        <v>18/07/2025</v>
      </c>
      <c r="F135" s="5" t="str">
        <f>IFERROR(__xludf.DUMMYFUNCTION("""COMPUTED_VALUE"""),"Featured")</f>
        <v>Featured</v>
      </c>
      <c r="G135" s="19" t="str">
        <f>IFERROR(__xludf.DUMMYFUNCTION("""COMPUTED_VALUE"""),"Instant Forms")</f>
        <v>Instant Forms</v>
      </c>
      <c r="H135" s="19" t="str">
        <f>IFERROR(__xludf.DUMMYFUNCTION("""COMPUTED_VALUE"""),"Christine Walton")</f>
        <v>Christine Walton</v>
      </c>
      <c r="I135" s="62">
        <f>IFERROR(__xludf.DUMMYFUNCTION("""COMPUTED_VALUE"""),6.1410501018E10)</f>
        <v>61410501018</v>
      </c>
      <c r="J135" s="65" t="str">
        <f>IFERROR(__xludf.DUMMYFUNCTION("""COMPUTED_VALUE"""),"Christinewalton87@gmail.com")</f>
        <v>Christinewalton87@gmail.com</v>
      </c>
    </row>
    <row r="136">
      <c r="A136" s="19" t="str">
        <f>IFERROR(__xludf.DUMMYFUNCTION("""COMPUTED_VALUE"""),"Alex Millar")</f>
        <v>Alex Millar</v>
      </c>
      <c r="B136" s="19" t="str">
        <f>IFERROR(__xludf.DUMMYFUNCTION("""COMPUTED_VALUE"""),"QLD")</f>
        <v>QLD</v>
      </c>
      <c r="C136" s="5" t="str">
        <f>IFERROR(__xludf.DUMMYFUNCTION("""COMPUTED_VALUE"""),"Sippy Downs")</f>
        <v>Sippy Downs</v>
      </c>
      <c r="D136" s="5" t="str">
        <f>IFERROR(__xludf.DUMMYFUNCTION("""COMPUTED_VALUE"""),"1 LAMANDRA LANE SIPPY DOWNS QLD 4556")</f>
        <v>1 LAMANDRA LANE SIPPY DOWNS QLD 4556</v>
      </c>
      <c r="E136" s="63" t="str">
        <f>IFERROR(__xludf.DUMMYFUNCTION("""COMPUTED_VALUE"""),"29/07/2025")</f>
        <v>29/07/2025</v>
      </c>
      <c r="F136" s="5" t="str">
        <f>IFERROR(__xludf.DUMMYFUNCTION("""COMPUTED_VALUE"""),"Featured")</f>
        <v>Featured</v>
      </c>
      <c r="G136" s="19" t="str">
        <f>IFERROR(__xludf.DUMMYFUNCTION("""COMPUTED_VALUE"""),"Instant Forms")</f>
        <v>Instant Forms</v>
      </c>
      <c r="H136" s="19" t="str">
        <f>IFERROR(__xludf.DUMMYFUNCTION("""COMPUTED_VALUE"""),"Bruce Nunn")</f>
        <v>Bruce Nunn</v>
      </c>
      <c r="I136" s="62">
        <f>IFERROR(__xludf.DUMMYFUNCTION("""COMPUTED_VALUE"""),6.1428870961E10)</f>
        <v>61428870961</v>
      </c>
      <c r="J136" s="65" t="str">
        <f>IFERROR(__xludf.DUMMYFUNCTION("""COMPUTED_VALUE"""),"bnun3212@bigpond.net.au")</f>
        <v>bnun3212@bigpond.net.au</v>
      </c>
    </row>
    <row r="137">
      <c r="A137" s="19" t="str">
        <f>IFERROR(__xludf.DUMMYFUNCTION("""COMPUTED_VALUE"""),"Alex Millar")</f>
        <v>Alex Millar</v>
      </c>
      <c r="B137" s="19" t="str">
        <f>IFERROR(__xludf.DUMMYFUNCTION("""COMPUTED_VALUE"""),"QLD")</f>
        <v>QLD</v>
      </c>
      <c r="C137" s="5" t="str">
        <f>IFERROR(__xludf.DUMMYFUNCTION("""COMPUTED_VALUE"""),"Currimundi")</f>
        <v>Currimundi</v>
      </c>
      <c r="D137" s="5" t="str">
        <f>IFERROR(__xludf.DUMMYFUNCTION("""COMPUTED_VALUE"""),"22 Birubi Street Currimundi QLD 4551 (Wasn't included originally, has been sourced from publicly available data points later)")</f>
        <v>22 Birubi Street Currimundi QLD 4551 (Wasn't included originally, has been sourced from publicly available data points later)</v>
      </c>
      <c r="E137" s="63" t="str">
        <f>IFERROR(__xludf.DUMMYFUNCTION("""COMPUTED_VALUE"""),"29/07/2025")</f>
        <v>29/07/2025</v>
      </c>
      <c r="F137" s="5" t="str">
        <f>IFERROR(__xludf.DUMMYFUNCTION("""COMPUTED_VALUE"""),"Featured")</f>
        <v>Featured</v>
      </c>
      <c r="G137" s="19" t="str">
        <f>IFERROR(__xludf.DUMMYFUNCTION("""COMPUTED_VALUE"""),"Instant Forms")</f>
        <v>Instant Forms</v>
      </c>
      <c r="H137" s="19" t="str">
        <f>IFERROR(__xludf.DUMMYFUNCTION("""COMPUTED_VALUE"""),"Margie Alexander (Details appeared fake, corrected details here: Jilly Cooper)")</f>
        <v>Margie Alexander (Details appeared fake, corrected details here: Jilly Cooper)</v>
      </c>
      <c r="I137" s="62">
        <f>IFERROR(__xludf.DUMMYFUNCTION("""COMPUTED_VALUE"""),6.1438722188E10)</f>
        <v>61438722188</v>
      </c>
      <c r="J137" s="65" t="str">
        <f>IFERROR(__xludf.DUMMYFUNCTION("""COMPUTED_VALUE"""),"tworunaways06@yahoo.com.au")</f>
        <v>tworunaways06@yahoo.com.au</v>
      </c>
    </row>
    <row r="138">
      <c r="A138" s="19" t="str">
        <f>IFERROR(__xludf.DUMMYFUNCTION("""COMPUTED_VALUE"""),"Alex Millar")</f>
        <v>Alex Millar</v>
      </c>
      <c r="B138" s="19" t="str">
        <f>IFERROR(__xludf.DUMMYFUNCTION("""COMPUTED_VALUE"""),"QLD")</f>
        <v>QLD</v>
      </c>
      <c r="C138" s="5" t="str">
        <f>IFERROR(__xludf.DUMMYFUNCTION("""COMPUTED_VALUE"""),"Buderim")</f>
        <v>Buderim</v>
      </c>
      <c r="D138" s="5" t="str">
        <f>IFERROR(__xludf.DUMMYFUNCTION("""COMPUTED_VALUE"""),"5 Clayworthy Court")</f>
        <v>5 Clayworthy Court</v>
      </c>
      <c r="E138" s="25">
        <f>IFERROR(__xludf.DUMMYFUNCTION("""COMPUTED_VALUE"""),45876.0)</f>
        <v>45876</v>
      </c>
      <c r="F138" s="5" t="str">
        <f>IFERROR(__xludf.DUMMYFUNCTION("""COMPUTED_VALUE"""),"Featured")</f>
        <v>Featured</v>
      </c>
      <c r="G138" s="19" t="str">
        <f>IFERROR(__xludf.DUMMYFUNCTION("""COMPUTED_VALUE"""),"Instant Forms")</f>
        <v>Instant Forms</v>
      </c>
      <c r="H138" s="19" t="str">
        <f>IFERROR(__xludf.DUMMYFUNCTION("""COMPUTED_VALUE"""),"Suzy Bateup")</f>
        <v>Suzy Bateup</v>
      </c>
      <c r="I138" s="62">
        <f>IFERROR(__xludf.DUMMYFUNCTION("""COMPUTED_VALUE"""),6.1439933063E10)</f>
        <v>61439933063</v>
      </c>
      <c r="J138" s="65" t="str">
        <f>IFERROR(__xludf.DUMMYFUNCTION("""COMPUTED_VALUE"""),"sbateupinvestments@gmail.com")</f>
        <v>sbateupinvestments@gmail.com</v>
      </c>
    </row>
    <row r="139">
      <c r="A139" s="19" t="str">
        <f>IFERROR(__xludf.DUMMYFUNCTION("""COMPUTED_VALUE"""),"Alex Millar")</f>
        <v>Alex Millar</v>
      </c>
      <c r="B139" s="19" t="str">
        <f>IFERROR(__xludf.DUMMYFUNCTION("""COMPUTED_VALUE"""),"QLD")</f>
        <v>QLD</v>
      </c>
      <c r="C139" s="5" t="str">
        <f>IFERROR(__xludf.DUMMYFUNCTION("""COMPUTED_VALUE"""),"Maroochydore")</f>
        <v>Maroochydore</v>
      </c>
      <c r="D139" s="5" t="str">
        <f>IFERROR(__xludf.DUMMYFUNCTION("""COMPUTED_VALUE"""),"19 Bungama Street Maroochydore QLD 4558")</f>
        <v>19 Bungama Street Maroochydore QLD 4558</v>
      </c>
      <c r="E139" s="25">
        <f>IFERROR(__xludf.DUMMYFUNCTION("""COMPUTED_VALUE"""),45889.0)</f>
        <v>45889</v>
      </c>
      <c r="F139" s="5" t="str">
        <f>IFERROR(__xludf.DUMMYFUNCTION("""COMPUTED_VALUE"""),"Featured")</f>
        <v>Featured</v>
      </c>
      <c r="G139" s="19" t="str">
        <f>IFERROR(__xludf.DUMMYFUNCTION("""COMPUTED_VALUE"""),"Instant Forms")</f>
        <v>Instant Forms</v>
      </c>
      <c r="H139" s="19" t="str">
        <f>IFERROR(__xludf.DUMMYFUNCTION("""COMPUTED_VALUE"""),"Glyn Bateup")</f>
        <v>Glyn Bateup</v>
      </c>
      <c r="I139" s="62">
        <f>IFERROR(__xludf.DUMMYFUNCTION("""COMPUTED_VALUE"""),6.1405290511E10)</f>
        <v>61405290511</v>
      </c>
      <c r="J139" s="65" t="str">
        <f>IFERROR(__xludf.DUMMYFUNCTION("""COMPUTED_VALUE"""),"podiatrytime@gmail.com")</f>
        <v>podiatrytime@gmail.com</v>
      </c>
    </row>
    <row r="140">
      <c r="A140" s="19" t="str">
        <f>IFERROR(__xludf.DUMMYFUNCTION("""COMPUTED_VALUE"""),"Alex Millar")</f>
        <v>Alex Millar</v>
      </c>
      <c r="B140" s="19" t="str">
        <f>IFERROR(__xludf.DUMMYFUNCTION("""COMPUTED_VALUE"""),"QLD")</f>
        <v>QLD</v>
      </c>
      <c r="C140" s="5" t="str">
        <f>IFERROR(__xludf.DUMMYFUNCTION("""COMPUTED_VALUE"""),"Mons")</f>
        <v>Mons</v>
      </c>
      <c r="D140" s="5" t="str">
        <f>IFERROR(__xludf.DUMMYFUNCTION("""COMPUTED_VALUE"""),"15 Topview Drive Mons QLD 4556")</f>
        <v>15 Topview Drive Mons QLD 4556</v>
      </c>
      <c r="E140" s="25">
        <f>IFERROR(__xludf.DUMMYFUNCTION("""COMPUTED_VALUE"""),45889.0)</f>
        <v>45889</v>
      </c>
      <c r="F140" s="5" t="str">
        <f>IFERROR(__xludf.DUMMYFUNCTION("""COMPUTED_VALUE"""),"Featured")</f>
        <v>Featured</v>
      </c>
      <c r="G140" s="19" t="str">
        <f>IFERROR(__xludf.DUMMYFUNCTION("""COMPUTED_VALUE"""),"Instant Forms")</f>
        <v>Instant Forms</v>
      </c>
      <c r="H140" s="19" t="str">
        <f>IFERROR(__xludf.DUMMYFUNCTION("""COMPUTED_VALUE"""),"Christine O'Reilly")</f>
        <v>Christine O'Reilly</v>
      </c>
      <c r="I140" s="62">
        <f>IFERROR(__xludf.DUMMYFUNCTION("""COMPUTED_VALUE"""),6.1408749718E10)</f>
        <v>61408749718</v>
      </c>
      <c r="J140" s="65" t="str">
        <f>IFERROR(__xludf.DUMMYFUNCTION("""COMPUTED_VALUE"""),"c.o.r@bigpond.net.au")</f>
        <v>c.o.r@bigpond.net.au</v>
      </c>
    </row>
    <row r="141">
      <c r="A141" s="19" t="str">
        <f>IFERROR(__xludf.DUMMYFUNCTION("""COMPUTED_VALUE"""),"Alex Millar")</f>
        <v>Alex Millar</v>
      </c>
      <c r="B141" s="19" t="str">
        <f>IFERROR(__xludf.DUMMYFUNCTION("""COMPUTED_VALUE"""),"QLD")</f>
        <v>QLD</v>
      </c>
      <c r="C141" s="5" t="str">
        <f>IFERROR(__xludf.DUMMYFUNCTION("""COMPUTED_VALUE"""),"Marcoola")</f>
        <v>Marcoola</v>
      </c>
      <c r="D141" s="5" t="str">
        <f>IFERROR(__xludf.DUMMYFUNCTION("""COMPUTED_VALUE"""),"4 Boronia Crescent Marcoola QLD 4564")</f>
        <v>4 Boronia Crescent Marcoola QLD 4564</v>
      </c>
      <c r="E141" s="25">
        <f>IFERROR(__xludf.DUMMYFUNCTION("""COMPUTED_VALUE"""),45889.0)</f>
        <v>45889</v>
      </c>
      <c r="F141" s="5" t="str">
        <f>IFERROR(__xludf.DUMMYFUNCTION("""COMPUTED_VALUE"""),"Featured")</f>
        <v>Featured</v>
      </c>
      <c r="G141" s="19" t="str">
        <f>IFERROR(__xludf.DUMMYFUNCTION("""COMPUTED_VALUE"""),"Instant Forms")</f>
        <v>Instant Forms</v>
      </c>
      <c r="H141" s="19" t="str">
        <f>IFERROR(__xludf.DUMMYFUNCTION("""COMPUTED_VALUE"""),"Leila Lau")</f>
        <v>Leila Lau</v>
      </c>
      <c r="I141" s="62">
        <f>IFERROR(__xludf.DUMMYFUNCTION("""COMPUTED_VALUE"""),6.1407100333E10)</f>
        <v>61407100333</v>
      </c>
      <c r="J141" s="65" t="str">
        <f>IFERROR(__xludf.DUMMYFUNCTION("""COMPUTED_VALUE"""),"Leila.lau@live.com.au")</f>
        <v>Leila.lau@live.com.au</v>
      </c>
    </row>
    <row r="142">
      <c r="A142" s="19" t="str">
        <f>IFERROR(__xludf.DUMMYFUNCTION("""COMPUTED_VALUE"""),"Alex Millar")</f>
        <v>Alex Millar</v>
      </c>
      <c r="B142" s="19" t="str">
        <f>IFERROR(__xludf.DUMMYFUNCTION("""COMPUTED_VALUE"""),"QLD")</f>
        <v>QLD</v>
      </c>
      <c r="C142" s="5" t="str">
        <f>IFERROR(__xludf.DUMMYFUNCTION("""COMPUTED_VALUE"""),"Maroochydore")</f>
        <v>Maroochydore</v>
      </c>
      <c r="D142" s="5" t="str">
        <f>IFERROR(__xludf.DUMMYFUNCTION("""COMPUTED_VALUE"""),"9 Sunpointe Street Maroochydore QLD 4558")</f>
        <v>9 Sunpointe Street Maroochydore QLD 4558</v>
      </c>
      <c r="E142" s="25">
        <f>IFERROR(__xludf.DUMMYFUNCTION("""COMPUTED_VALUE"""),45891.0)</f>
        <v>45891</v>
      </c>
      <c r="F142" s="5" t="str">
        <f>IFERROR(__xludf.DUMMYFUNCTION("""COMPUTED_VALUE"""),"Featured")</f>
        <v>Featured</v>
      </c>
      <c r="G142" s="19" t="str">
        <f>IFERROR(__xludf.DUMMYFUNCTION("""COMPUTED_VALUE"""),"Instant Forms")</f>
        <v>Instant Forms</v>
      </c>
      <c r="H142" s="19" t="str">
        <f>IFERROR(__xludf.DUMMYFUNCTION("""COMPUTED_VALUE"""),"Craig McBride")</f>
        <v>Craig McBride</v>
      </c>
      <c r="I142" s="62">
        <f>IFERROR(__xludf.DUMMYFUNCTION("""COMPUTED_VALUE"""),6.1466606578E10)</f>
        <v>61466606578</v>
      </c>
      <c r="J142" s="65" t="str">
        <f>IFERROR(__xludf.DUMMYFUNCTION("""COMPUTED_VALUE"""),"craig.s.mcbride@gmail.com")</f>
        <v>craig.s.mcbride@gmail.com</v>
      </c>
    </row>
    <row r="143">
      <c r="A143" s="19" t="str">
        <f>IFERROR(__xludf.DUMMYFUNCTION("""COMPUTED_VALUE"""),"Alex Millar")</f>
        <v>Alex Millar</v>
      </c>
      <c r="B143" s="19" t="str">
        <f>IFERROR(__xludf.DUMMYFUNCTION("""COMPUTED_VALUE"""),"QLD")</f>
        <v>QLD</v>
      </c>
      <c r="C143" s="5" t="str">
        <f>IFERROR(__xludf.DUMMYFUNCTION("""COMPUTED_VALUE"""),"Maroochydore")</f>
        <v>Maroochydore</v>
      </c>
      <c r="D143" s="5" t="str">
        <f>IFERROR(__xludf.DUMMYFUNCTION("""COMPUTED_VALUE"""),"10 Sugar Road North Maroochydore QLD 4558")</f>
        <v>10 Sugar Road North Maroochydore QLD 4558</v>
      </c>
      <c r="E143" s="25">
        <f>IFERROR(__xludf.DUMMYFUNCTION("""COMPUTED_VALUE"""),45891.0)</f>
        <v>45891</v>
      </c>
      <c r="F143" s="5" t="str">
        <f>IFERROR(__xludf.DUMMYFUNCTION("""COMPUTED_VALUE"""),"Featured")</f>
        <v>Featured</v>
      </c>
      <c r="G143" s="19" t="str">
        <f>IFERROR(__xludf.DUMMYFUNCTION("""COMPUTED_VALUE"""),"Instant Forms")</f>
        <v>Instant Forms</v>
      </c>
      <c r="H143" s="19" t="str">
        <f>IFERROR(__xludf.DUMMYFUNCTION("""COMPUTED_VALUE"""),"Maureen Tullio")</f>
        <v>Maureen Tullio</v>
      </c>
      <c r="I143" s="62">
        <f>IFERROR(__xludf.DUMMYFUNCTION("""COMPUTED_VALUE"""),6.1402153851E10)</f>
        <v>61402153851</v>
      </c>
      <c r="J143" s="65" t="str">
        <f>IFERROR(__xludf.DUMMYFUNCTION("""COMPUTED_VALUE"""),"maustullio@hotmail.com")</f>
        <v>maustullio@hotmail.com</v>
      </c>
    </row>
    <row r="144">
      <c r="A144" s="19" t="str">
        <f>IFERROR(__xludf.DUMMYFUNCTION("""COMPUTED_VALUE"""),"Alex Millar")</f>
        <v>Alex Millar</v>
      </c>
      <c r="B144" s="19" t="str">
        <f>IFERROR(__xludf.DUMMYFUNCTION("""COMPUTED_VALUE"""),"QLD")</f>
        <v>QLD</v>
      </c>
      <c r="C144" s="5" t="str">
        <f>IFERROR(__xludf.DUMMYFUNCTION("""COMPUTED_VALUE"""),"Mudjimba")</f>
        <v>Mudjimba</v>
      </c>
      <c r="D144" s="5" t="str">
        <f>IFERROR(__xludf.DUMMYFUNCTION("""COMPUTED_VALUE"""),"1/7 Suzanne Close Mudjimba QLD 4564")</f>
        <v>1/7 Suzanne Close Mudjimba QLD 4564</v>
      </c>
      <c r="E144" s="25">
        <f>IFERROR(__xludf.DUMMYFUNCTION("""COMPUTED_VALUE"""),45892.0)</f>
        <v>45892</v>
      </c>
      <c r="F144" s="5" t="str">
        <f>IFERROR(__xludf.DUMMYFUNCTION("""COMPUTED_VALUE"""),"Featured")</f>
        <v>Featured</v>
      </c>
      <c r="G144" s="19" t="str">
        <f>IFERROR(__xludf.DUMMYFUNCTION("""COMPUTED_VALUE"""),"Instant Forms")</f>
        <v>Instant Forms</v>
      </c>
      <c r="H144" s="19" t="str">
        <f>IFERROR(__xludf.DUMMYFUNCTION("""COMPUTED_VALUE"""),"Pauline Ryeland")</f>
        <v>Pauline Ryeland</v>
      </c>
      <c r="I144" s="62">
        <f>IFERROR(__xludf.DUMMYFUNCTION("""COMPUTED_VALUE"""),6.1403353077E10)</f>
        <v>61403353077</v>
      </c>
      <c r="J144" s="65" t="str">
        <f>IFERROR(__xludf.DUMMYFUNCTION("""COMPUTED_VALUE"""),"Pr.cool@hotmail.com")</f>
        <v>Pr.cool@hotmail.com</v>
      </c>
    </row>
    <row r="145">
      <c r="A145" s="19" t="str">
        <f>IFERROR(__xludf.DUMMYFUNCTION("""COMPUTED_VALUE"""),"Alex Millar")</f>
        <v>Alex Millar</v>
      </c>
      <c r="B145" s="19" t="str">
        <f>IFERROR(__xludf.DUMMYFUNCTION("""COMPUTED_VALUE"""),"QLD")</f>
        <v>QLD</v>
      </c>
      <c r="C145" s="5" t="str">
        <f>IFERROR(__xludf.DUMMYFUNCTION("""COMPUTED_VALUE"""),"Sippy Downs")</f>
        <v>Sippy Downs</v>
      </c>
      <c r="D145" s="5" t="str">
        <f>IFERROR(__xludf.DUMMYFUNCTION("""COMPUTED_VALUE"""),"8 Courtenay Place Sippy Downs QLD 4556")</f>
        <v>8 Courtenay Place Sippy Downs QLD 4556</v>
      </c>
      <c r="E145" s="25">
        <f>IFERROR(__xludf.DUMMYFUNCTION("""COMPUTED_VALUE"""),45898.0)</f>
        <v>45898</v>
      </c>
      <c r="F145" s="5" t="str">
        <f>IFERROR(__xludf.DUMMYFUNCTION("""COMPUTED_VALUE"""),"Featured")</f>
        <v>Featured</v>
      </c>
      <c r="G145" s="19" t="str">
        <f>IFERROR(__xludf.DUMMYFUNCTION("""COMPUTED_VALUE"""),"Instant Forms")</f>
        <v>Instant Forms</v>
      </c>
      <c r="H145" s="19" t="str">
        <f>IFERROR(__xludf.DUMMYFUNCTION("""COMPUTED_VALUE"""),"Mark Hoger")</f>
        <v>Mark Hoger</v>
      </c>
      <c r="I145" s="62">
        <f>IFERROR(__xludf.DUMMYFUNCTION("""COMPUTED_VALUE"""),6.1403315753E10)</f>
        <v>61403315753</v>
      </c>
      <c r="J145" s="65" t="str">
        <f>IFERROR(__xludf.DUMMYFUNCTION("""COMPUTED_VALUE"""),"whoger@hotmail.com")</f>
        <v>whoger@hotmail.com</v>
      </c>
    </row>
    <row r="146">
      <c r="A146" s="19" t="str">
        <f>IFERROR(__xludf.DUMMYFUNCTION("""COMPUTED_VALUE"""),"Alex Millar")</f>
        <v>Alex Millar</v>
      </c>
      <c r="B146" s="19" t="str">
        <f>IFERROR(__xludf.DUMMYFUNCTION("""COMPUTED_VALUE"""),"QLD")</f>
        <v>QLD</v>
      </c>
      <c r="C146" s="5" t="str">
        <f>IFERROR(__xludf.DUMMYFUNCTION("""COMPUTED_VALUE"""),"Twin Waters")</f>
        <v>Twin Waters</v>
      </c>
      <c r="D146" s="5" t="str">
        <f>IFERROR(__xludf.DUMMYFUNCTION("""COMPUTED_VALUE"""),"3 Grady Street Twin Waters QLD 4564")</f>
        <v>3 Grady Street Twin Waters QLD 4564</v>
      </c>
      <c r="E146" s="25">
        <f>IFERROR(__xludf.DUMMYFUNCTION("""COMPUTED_VALUE"""),45899.0)</f>
        <v>45899</v>
      </c>
      <c r="F146" s="5" t="str">
        <f>IFERROR(__xludf.DUMMYFUNCTION("""COMPUTED_VALUE"""),"Featured")</f>
        <v>Featured</v>
      </c>
      <c r="G146" s="19" t="str">
        <f>IFERROR(__xludf.DUMMYFUNCTION("""COMPUTED_VALUE"""),"Instant Forms")</f>
        <v>Instant Forms</v>
      </c>
      <c r="H146" s="19" t="str">
        <f>IFERROR(__xludf.DUMMYFUNCTION("""COMPUTED_VALUE"""),"Adrian Langmaid")</f>
        <v>Adrian Langmaid</v>
      </c>
      <c r="I146" s="62">
        <f>IFERROR(__xludf.DUMMYFUNCTION("""COMPUTED_VALUE"""),6.1402474166E10)</f>
        <v>61402474166</v>
      </c>
      <c r="J146" s="65" t="str">
        <f>IFERROR(__xludf.DUMMYFUNCTION("""COMPUTED_VALUE"""),"arlang9@bigpond.com")</f>
        <v>arlang9@bigpond.com</v>
      </c>
    </row>
    <row r="147">
      <c r="A147" s="19" t="str">
        <f>IFERROR(__xludf.DUMMYFUNCTION("""COMPUTED_VALUE"""),"Alex Millar")</f>
        <v>Alex Millar</v>
      </c>
      <c r="B147" s="19" t="str">
        <f>IFERROR(__xludf.DUMMYFUNCTION("""COMPUTED_VALUE"""),"QLD")</f>
        <v>QLD</v>
      </c>
      <c r="C147" s="5" t="str">
        <f>IFERROR(__xludf.DUMMYFUNCTION("""COMPUTED_VALUE"""),"MAROOCHYDORE")</f>
        <v>MAROOCHYDORE</v>
      </c>
      <c r="D147" s="5" t="str">
        <f>IFERROR(__xludf.DUMMYFUNCTION("""COMPUTED_VALUE"""),"428/223 BROADWATER AVENUE WEST MAROOCHYDORE QLD 4558")</f>
        <v>428/223 BROADWATER AVENUE WEST MAROOCHYDORE QLD 4558</v>
      </c>
      <c r="E147" s="25">
        <f>IFERROR(__xludf.DUMMYFUNCTION("""COMPUTED_VALUE"""),45901.0)</f>
        <v>45901</v>
      </c>
      <c r="F147" s="5" t="str">
        <f>IFERROR(__xludf.DUMMYFUNCTION("""COMPUTED_VALUE"""),"Free")</f>
        <v>Free</v>
      </c>
      <c r="G147" s="19" t="str">
        <f>IFERROR(__xludf.DUMMYFUNCTION("""COMPUTED_VALUE"""),"Instant Forms")</f>
        <v>Instant Forms</v>
      </c>
      <c r="H147" s="19" t="str">
        <f>IFERROR(__xludf.DUMMYFUNCTION("""COMPUTED_VALUE"""),"Jimina Taylor")</f>
        <v>Jimina Taylor</v>
      </c>
      <c r="I147" s="62">
        <f>IFERROR(__xludf.DUMMYFUNCTION("""COMPUTED_VALUE"""),6.1400711304E10)</f>
        <v>61400711304</v>
      </c>
      <c r="J147" s="65" t="str">
        <f>IFERROR(__xludf.DUMMYFUNCTION("""COMPUTED_VALUE"""),"jimina7@gmail.com")</f>
        <v>jimina7@gmail.com</v>
      </c>
    </row>
    <row r="148">
      <c r="A148" s="19" t="str">
        <f>IFERROR(__xludf.DUMMYFUNCTION("""COMPUTED_VALUE"""),"Alex Millar")</f>
        <v>Alex Millar</v>
      </c>
      <c r="B148" s="19" t="str">
        <f>IFERROR(__xludf.DUMMYFUNCTION("""COMPUTED_VALUE"""),"QLD")</f>
        <v>QLD</v>
      </c>
      <c r="C148" s="5" t="str">
        <f>IFERROR(__xludf.DUMMYFUNCTION("""COMPUTED_VALUE"""),"MAROOCHYDORE")</f>
        <v>MAROOCHYDORE</v>
      </c>
      <c r="D148" s="5" t="str">
        <f>IFERROR(__xludf.DUMMYFUNCTION("""COMPUTED_VALUE"""),"428 PARADISE CIRCUIT MAROOCHYDORE QLD 4558")</f>
        <v>428 PARADISE CIRCUIT MAROOCHYDORE QLD 4558</v>
      </c>
      <c r="E148" s="25">
        <f>IFERROR(__xludf.DUMMYFUNCTION("""COMPUTED_VALUE"""),45901.0)</f>
        <v>45901</v>
      </c>
      <c r="F148" s="5" t="str">
        <f>IFERROR(__xludf.DUMMYFUNCTION("""COMPUTED_VALUE"""),"Free")</f>
        <v>Free</v>
      </c>
      <c r="G148" s="19" t="str">
        <f>IFERROR(__xludf.DUMMYFUNCTION("""COMPUTED_VALUE"""),"Instant Forms")</f>
        <v>Instant Forms</v>
      </c>
      <c r="H148" s="19" t="str">
        <f>IFERROR(__xludf.DUMMYFUNCTION("""COMPUTED_VALUE"""),"Jimina Taylor")</f>
        <v>Jimina Taylor</v>
      </c>
      <c r="I148" s="62">
        <f>IFERROR(__xludf.DUMMYFUNCTION("""COMPUTED_VALUE"""),6.1400711304E10)</f>
        <v>61400711304</v>
      </c>
      <c r="J148" s="65" t="str">
        <f>IFERROR(__xludf.DUMMYFUNCTION("""COMPUTED_VALUE"""),"jimina7@gmail.com")</f>
        <v>jimina7@gmail.com</v>
      </c>
    </row>
    <row r="149">
      <c r="A149" s="19" t="str">
        <f>IFERROR(__xludf.DUMMYFUNCTION("""COMPUTED_VALUE"""),"Alex Millar")</f>
        <v>Alex Millar</v>
      </c>
      <c r="B149" s="19" t="str">
        <f>IFERROR(__xludf.DUMMYFUNCTION("""COMPUTED_VALUE"""),"QLD")</f>
        <v>QLD</v>
      </c>
      <c r="C149" s="5" t="str">
        <f>IFERROR(__xludf.DUMMYFUNCTION("""COMPUTED_VALUE"""),"Maroochy")</f>
        <v>Maroochy</v>
      </c>
      <c r="D149" s="5"/>
      <c r="E149" s="25">
        <f>IFERROR(__xludf.DUMMYFUNCTION("""COMPUTED_VALUE"""),45901.0)</f>
        <v>45901</v>
      </c>
      <c r="F149" s="5" t="str">
        <f>IFERROR(__xludf.DUMMYFUNCTION("""COMPUTED_VALUE"""),"Free")</f>
        <v>Free</v>
      </c>
      <c r="G149" s="19" t="str">
        <f>IFERROR(__xludf.DUMMYFUNCTION("""COMPUTED_VALUE"""),"Instant Forms")</f>
        <v>Instant Forms</v>
      </c>
      <c r="H149" s="19" t="str">
        <f>IFERROR(__xludf.DUMMYFUNCTION("""COMPUTED_VALUE"""),"Bev McPhee")</f>
        <v>Bev McPhee</v>
      </c>
      <c r="I149" s="62">
        <f>IFERROR(__xludf.DUMMYFUNCTION("""COMPUTED_VALUE"""),6.141113369E10)</f>
        <v>61411133690</v>
      </c>
      <c r="J149" s="65" t="str">
        <f>IFERROR(__xludf.DUMMYFUNCTION("""COMPUTED_VALUE"""),"bevan_mc@hotmail.com")</f>
        <v>bevan_mc@hotmail.com</v>
      </c>
    </row>
    <row r="150">
      <c r="A150" s="19" t="str">
        <f>IFERROR(__xludf.DUMMYFUNCTION("""COMPUTED_VALUE"""),"Alex Millar")</f>
        <v>Alex Millar</v>
      </c>
      <c r="B150" s="19" t="str">
        <f>IFERROR(__xludf.DUMMYFUNCTION("""COMPUTED_VALUE"""),"QLD")</f>
        <v>QLD</v>
      </c>
      <c r="C150" s="5" t="str">
        <f>IFERROR(__xludf.DUMMYFUNCTION("""COMPUTED_VALUE"""),"pacific paradise")</f>
        <v>pacific paradise</v>
      </c>
      <c r="D150" s="5" t="str">
        <f>IFERROR(__xludf.DUMMYFUNCTION("""COMPUTED_VALUE"""),"9 Whitsunday Drive Pacific Paradise QLD 4564")</f>
        <v>9 Whitsunday Drive Pacific Paradise QLD 4564</v>
      </c>
      <c r="E150" s="25">
        <f>IFERROR(__xludf.DUMMYFUNCTION("""COMPUTED_VALUE"""),45902.0)</f>
        <v>45902</v>
      </c>
      <c r="F150" s="5" t="str">
        <f>IFERROR(__xludf.DUMMYFUNCTION("""COMPUTED_VALUE"""),"Featured")</f>
        <v>Featured</v>
      </c>
      <c r="G150" s="19" t="str">
        <f>IFERROR(__xludf.DUMMYFUNCTION("""COMPUTED_VALUE"""),"Instant Forms")</f>
        <v>Instant Forms</v>
      </c>
      <c r="H150" s="19" t="str">
        <f>IFERROR(__xludf.DUMMYFUNCTION("""COMPUTED_VALUE"""),"Rhonda Dayman")</f>
        <v>Rhonda Dayman</v>
      </c>
      <c r="I150" s="62">
        <f>IFERROR(__xludf.DUMMYFUNCTION("""COMPUTED_VALUE"""),6.1412720923E10)</f>
        <v>61412720923</v>
      </c>
      <c r="J150" s="65" t="str">
        <f>IFERROR(__xludf.DUMMYFUNCTION("""COMPUTED_VALUE"""),"paradiselady56@hotmail.com")</f>
        <v>paradiselady56@hotmail.com</v>
      </c>
    </row>
    <row r="151">
      <c r="A151" s="19" t="str">
        <f>IFERROR(__xludf.DUMMYFUNCTION("""COMPUTED_VALUE"""),"Alex Millar")</f>
        <v>Alex Millar</v>
      </c>
      <c r="B151" s="19" t="str">
        <f>IFERROR(__xludf.DUMMYFUNCTION("""COMPUTED_VALUE"""),"QLD")</f>
        <v>QLD</v>
      </c>
      <c r="C151" s="5" t="str">
        <f>IFERROR(__xludf.DUMMYFUNCTION("""COMPUTED_VALUE"""),"Buderim")</f>
        <v>Buderim</v>
      </c>
      <c r="D151" s="5" t="str">
        <f>IFERROR(__xludf.DUMMYFUNCTION("""COMPUTED_VALUE"""),"18 Lara Drive Buderim QLD 4556")</f>
        <v>18 Lara Drive Buderim QLD 4556</v>
      </c>
      <c r="E151" s="25">
        <f>IFERROR(__xludf.DUMMYFUNCTION("""COMPUTED_VALUE"""),45918.0)</f>
        <v>45918</v>
      </c>
      <c r="F151" s="5">
        <f>IFERROR(__xludf.DUMMYFUNCTION("""COMPUTED_VALUE"""),6.0)</f>
        <v>6</v>
      </c>
      <c r="G151" s="19" t="str">
        <f>IFERROR(__xludf.DUMMYFUNCTION("""COMPUTED_VALUE"""),"Instant Forms")</f>
        <v>Instant Forms</v>
      </c>
      <c r="H151" s="19" t="str">
        <f>IFERROR(__xludf.DUMMYFUNCTION("""COMPUTED_VALUE"""),"Sandy Forster")</f>
        <v>Sandy Forster</v>
      </c>
      <c r="I151" s="62">
        <f>IFERROR(__xludf.DUMMYFUNCTION("""COMPUTED_VALUE"""),6.1414639891E10)</f>
        <v>61414639891</v>
      </c>
      <c r="J151" s="65" t="str">
        <f>IFERROR(__xludf.DUMMYFUNCTION("""COMPUTED_VALUE"""),"Sandy@wildlywealthy.com")</f>
        <v>Sandy@wildlywealthy.com</v>
      </c>
    </row>
    <row r="152">
      <c r="A152" s="19" t="str">
        <f>IFERROR(__xludf.DUMMYFUNCTION("""COMPUTED_VALUE"""),"Alex Millar")</f>
        <v>Alex Millar</v>
      </c>
      <c r="B152" s="19" t="str">
        <f>IFERROR(__xludf.DUMMYFUNCTION("""COMPUTED_VALUE"""),"QLD")</f>
        <v>QLD</v>
      </c>
      <c r="C152" s="5" t="str">
        <f>IFERROR(__xludf.DUMMYFUNCTION("""COMPUTED_VALUE"""),"Buderim")</f>
        <v>Buderim</v>
      </c>
      <c r="D152" s="5" t="str">
        <f>IFERROR(__xludf.DUMMYFUNCTION("""COMPUTED_VALUE"""),"8 Melinda Court Buderim QLD 4556")</f>
        <v>8 Melinda Court Buderim QLD 4556</v>
      </c>
      <c r="E152" s="25">
        <f>IFERROR(__xludf.DUMMYFUNCTION("""COMPUTED_VALUE"""),45918.0)</f>
        <v>45918</v>
      </c>
      <c r="F152" s="5">
        <f>IFERROR(__xludf.DUMMYFUNCTION("""COMPUTED_VALUE"""),8.0)</f>
        <v>8</v>
      </c>
      <c r="G152" s="19" t="str">
        <f>IFERROR(__xludf.DUMMYFUNCTION("""COMPUTED_VALUE"""),"Instant Forms")</f>
        <v>Instant Forms</v>
      </c>
      <c r="H152" s="19" t="str">
        <f>IFERROR(__xludf.DUMMYFUNCTION("""COMPUTED_VALUE"""),"Karen Maddock")</f>
        <v>Karen Maddock</v>
      </c>
      <c r="I152" s="62">
        <f>IFERROR(__xludf.DUMMYFUNCTION("""COMPUTED_VALUE"""),6.1422833603E10)</f>
        <v>61422833603</v>
      </c>
      <c r="J152" s="65" t="str">
        <f>IFERROR(__xludf.DUMMYFUNCTION("""COMPUTED_VALUE"""),"karenlavinia@hotmail.com")</f>
        <v>karenlavinia@hotmail.com</v>
      </c>
    </row>
    <row r="153">
      <c r="A153" s="19" t="str">
        <f>IFERROR(__xludf.DUMMYFUNCTION("""COMPUTED_VALUE"""),"Alex Millar")</f>
        <v>Alex Millar</v>
      </c>
      <c r="B153" s="19" t="str">
        <f>IFERROR(__xludf.DUMMYFUNCTION("""COMPUTED_VALUE"""),"QLD")</f>
        <v>QLD</v>
      </c>
      <c r="C153" s="5" t="str">
        <f>IFERROR(__xludf.DUMMYFUNCTION("""COMPUTED_VALUE"""),"Ridgewood")</f>
        <v>Ridgewood</v>
      </c>
      <c r="D153" s="5" t="str">
        <f>IFERROR(__xludf.DUMMYFUNCTION("""COMPUTED_VALUE"""),"55 Happy Jack Creek Road Ridgewood QLD 4563")</f>
        <v>55 Happy Jack Creek Road Ridgewood QLD 4563</v>
      </c>
      <c r="E153" s="25">
        <f>IFERROR(__xludf.DUMMYFUNCTION("""COMPUTED_VALUE"""),45920.0)</f>
        <v>45920</v>
      </c>
      <c r="F153" s="5">
        <f>IFERROR(__xludf.DUMMYFUNCTION("""COMPUTED_VALUE"""),10.0)</f>
        <v>10</v>
      </c>
      <c r="G153" s="19" t="str">
        <f>IFERROR(__xludf.DUMMYFUNCTION("""COMPUTED_VALUE"""),"Instant Forms")</f>
        <v>Instant Forms</v>
      </c>
      <c r="H153" s="19" t="str">
        <f>IFERROR(__xludf.DUMMYFUNCTION("""COMPUTED_VALUE"""),"Anthony Gillman")</f>
        <v>Anthony Gillman</v>
      </c>
      <c r="I153" s="62">
        <f>IFERROR(__xludf.DUMMYFUNCTION("""COMPUTED_VALUE"""),6.1478926777E10)</f>
        <v>61478926777</v>
      </c>
      <c r="J153" s="65" t="str">
        <f>IFERROR(__xludf.DUMMYFUNCTION("""COMPUTED_VALUE"""),"anthonygillman1@gmail.com")</f>
        <v>anthonygillman1@gmail.com</v>
      </c>
    </row>
    <row r="154">
      <c r="A154" s="19" t="str">
        <f>IFERROR(__xludf.DUMMYFUNCTION("""COMPUTED_VALUE"""),"Alex Millar")</f>
        <v>Alex Millar</v>
      </c>
      <c r="B154" s="19" t="str">
        <f>IFERROR(__xludf.DUMMYFUNCTION("""COMPUTED_VALUE"""),"QLD")</f>
        <v>QLD</v>
      </c>
      <c r="C154" s="5" t="str">
        <f>IFERROR(__xludf.DUMMYFUNCTION("""COMPUTED_VALUE"""),"Pacific Paradise")</f>
        <v>Pacific Paradise</v>
      </c>
      <c r="D154" s="5" t="str">
        <f>IFERROR(__xludf.DUMMYFUNCTION("""COMPUTED_VALUE"""),"35 Wywong Street Pacific Paradise QLD 4564")</f>
        <v>35 Wywong Street Pacific Paradise QLD 4564</v>
      </c>
      <c r="E154" s="25">
        <f>IFERROR(__xludf.DUMMYFUNCTION("""COMPUTED_VALUE"""),45922.0)</f>
        <v>45922</v>
      </c>
      <c r="F154" s="5">
        <f>IFERROR(__xludf.DUMMYFUNCTION("""COMPUTED_VALUE"""),8.0)</f>
        <v>8</v>
      </c>
      <c r="G154" s="19" t="str">
        <f>IFERROR(__xludf.DUMMYFUNCTION("""COMPUTED_VALUE"""),"Instant Forms")</f>
        <v>Instant Forms</v>
      </c>
      <c r="H154" s="19" t="str">
        <f>IFERROR(__xludf.DUMMYFUNCTION("""COMPUTED_VALUE"""),"Donna Johnston")</f>
        <v>Donna Johnston</v>
      </c>
      <c r="I154" s="62">
        <f>IFERROR(__xludf.DUMMYFUNCTION("""COMPUTED_VALUE"""),6.143487955E10)</f>
        <v>61434879550</v>
      </c>
      <c r="J154" s="65" t="str">
        <f>IFERROR(__xludf.DUMMYFUNCTION("""COMPUTED_VALUE"""),"deelee.johnston98@gmail.com")</f>
        <v>deelee.johnston98@gmail.com</v>
      </c>
    </row>
    <row r="155">
      <c r="A155" s="19" t="str">
        <f>IFERROR(__xludf.DUMMYFUNCTION("""COMPUTED_VALUE"""),"Alex Millar")</f>
        <v>Alex Millar</v>
      </c>
      <c r="B155" s="19" t="str">
        <f>IFERROR(__xludf.DUMMYFUNCTION("""COMPUTED_VALUE"""),"QLD")</f>
        <v>QLD</v>
      </c>
      <c r="C155" s="5" t="str">
        <f>IFERROR(__xludf.DUMMYFUNCTION("""COMPUTED_VALUE"""),"Mount Coolum")</f>
        <v>Mount Coolum</v>
      </c>
      <c r="D155" s="5" t="str">
        <f>IFERROR(__xludf.DUMMYFUNCTION("""COMPUTED_VALUE"""),"12 Lagoda Drive, Mount Coolum, QLD, 4573, Australia")</f>
        <v>12 Lagoda Drive, Mount Coolum, QLD, 4573, Australia</v>
      </c>
      <c r="E155" s="25">
        <f>IFERROR(__xludf.DUMMYFUNCTION("""COMPUTED_VALUE"""),45925.0)</f>
        <v>45925</v>
      </c>
      <c r="F155" s="5" t="str">
        <f>IFERROR(__xludf.DUMMYFUNCTION("""COMPUTED_VALUE"""),"Featured")</f>
        <v>Featured</v>
      </c>
      <c r="G155" s="19" t="str">
        <f>IFERROR(__xludf.DUMMYFUNCTION("""COMPUTED_VALUE"""),"Commission Comparison")</f>
        <v>Commission Comparison</v>
      </c>
      <c r="H155" s="19" t="str">
        <f>IFERROR(__xludf.DUMMYFUNCTION("""COMPUTED_VALUE"""),"Allyson Lameree")</f>
        <v>Allyson Lameree</v>
      </c>
      <c r="I155" s="62">
        <f>IFERROR(__xludf.DUMMYFUNCTION("""COMPUTED_VALUE"""),6.1042158124E11)</f>
        <v>610421581240</v>
      </c>
      <c r="J155" s="65" t="str">
        <f>IFERROR(__xludf.DUMMYFUNCTION("""COMPUTED_VALUE"""),"blackallykat@gmail.com")</f>
        <v>blackallykat@gmail.com</v>
      </c>
    </row>
    <row r="156">
      <c r="A156" s="19" t="str">
        <f>IFERROR(__xludf.DUMMYFUNCTION("""COMPUTED_VALUE"""),"Alex Millar")</f>
        <v>Alex Millar</v>
      </c>
      <c r="B156" s="19" t="str">
        <f>IFERROR(__xludf.DUMMYFUNCTION("""COMPUTED_VALUE"""),"QLD")</f>
        <v>QLD</v>
      </c>
      <c r="C156" s="5" t="str">
        <f>IFERROR(__xludf.DUMMYFUNCTION("""COMPUTED_VALUE"""),"maroochydore")</f>
        <v>maroochydore</v>
      </c>
      <c r="D156" s="5" t="str">
        <f>IFERROR(__xludf.DUMMYFUNCTION("""COMPUTED_VALUE"""),"14 Hazeltine Court Maroochydore QLD 4558")</f>
        <v>14 Hazeltine Court Maroochydore QLD 4558</v>
      </c>
      <c r="E156" s="25">
        <f>IFERROR(__xludf.DUMMYFUNCTION("""COMPUTED_VALUE"""),45933.0)</f>
        <v>45933</v>
      </c>
      <c r="F156" s="5">
        <f>IFERROR(__xludf.DUMMYFUNCTION("""COMPUTED_VALUE"""),6.0)</f>
        <v>6</v>
      </c>
      <c r="G156" s="19" t="str">
        <f>IFERROR(__xludf.DUMMYFUNCTION("""COMPUTED_VALUE"""),"Instant Forms")</f>
        <v>Instant Forms</v>
      </c>
      <c r="H156" s="19" t="str">
        <f>IFERROR(__xludf.DUMMYFUNCTION("""COMPUTED_VALUE"""),"Bill Harris")</f>
        <v>Bill Harris</v>
      </c>
      <c r="I156" s="62">
        <f>IFERROR(__xludf.DUMMYFUNCTION("""COMPUTED_VALUE"""),6.1418788291E10)</f>
        <v>61418788291</v>
      </c>
      <c r="J156" s="65" t="str">
        <f>IFERROR(__xludf.DUMMYFUNCTION("""COMPUTED_VALUE"""),"billsphone65@gmail.com")</f>
        <v>billsphone65@gmail.com</v>
      </c>
    </row>
    <row r="157">
      <c r="A157" s="19" t="str">
        <f>IFERROR(__xludf.DUMMYFUNCTION("""COMPUTED_VALUE"""),"Alex Millar")</f>
        <v>Alex Millar</v>
      </c>
      <c r="B157" s="19" t="str">
        <f>IFERROR(__xludf.DUMMYFUNCTION("""COMPUTED_VALUE"""),"QLD")</f>
        <v>QLD</v>
      </c>
      <c r="C157" s="5" t="str">
        <f>IFERROR(__xludf.DUMMYFUNCTION("""COMPUTED_VALUE"""),"Maroochydore")</f>
        <v>Maroochydore</v>
      </c>
      <c r="D157" s="5" t="str">
        <f>IFERROR(__xludf.DUMMYFUNCTION("""COMPUTED_VALUE"""),"64/62-66 Sixth Avenue Maroochydore QLD 4558")</f>
        <v>64/62-66 Sixth Avenue Maroochydore QLD 4558</v>
      </c>
      <c r="E157" s="25">
        <f>IFERROR(__xludf.DUMMYFUNCTION("""COMPUTED_VALUE"""),45936.0)</f>
        <v>45936</v>
      </c>
      <c r="F157" s="5">
        <f>IFERROR(__xludf.DUMMYFUNCTION("""COMPUTED_VALUE"""),8.0)</f>
        <v>8</v>
      </c>
      <c r="G157" s="19" t="str">
        <f>IFERROR(__xludf.DUMMYFUNCTION("""COMPUTED_VALUE"""),"Instant Forms")</f>
        <v>Instant Forms</v>
      </c>
      <c r="H157" s="19" t="str">
        <f>IFERROR(__xludf.DUMMYFUNCTION("""COMPUTED_VALUE"""),"Lyn Cheetham")</f>
        <v>Lyn Cheetham</v>
      </c>
      <c r="I157" s="62">
        <f>IFERROR(__xludf.DUMMYFUNCTION("""COMPUTED_VALUE"""),6.1481198164E10)</f>
        <v>61481198164</v>
      </c>
      <c r="J157" s="65" t="str">
        <f>IFERROR(__xludf.DUMMYFUNCTION("""COMPUTED_VALUE"""),"cheetham852@gmail.com")</f>
        <v>cheetham852@gmail.com</v>
      </c>
    </row>
    <row r="158">
      <c r="A158" s="19" t="str">
        <f>IFERROR(__xludf.DUMMYFUNCTION("""COMPUTED_VALUE"""),"Alex Millar")</f>
        <v>Alex Millar</v>
      </c>
      <c r="B158" s="19" t="str">
        <f>IFERROR(__xludf.DUMMYFUNCTION("""COMPUTED_VALUE"""),"QLD")</f>
        <v>QLD</v>
      </c>
      <c r="C158" s="5" t="str">
        <f>IFERROR(__xludf.DUMMYFUNCTION("""COMPUTED_VALUE"""),"Little Mountain")</f>
        <v>Little Mountain</v>
      </c>
      <c r="D158" s="5" t="str">
        <f>IFERROR(__xludf.DUMMYFUNCTION("""COMPUTED_VALUE"""),"24 High Park Crescent Little Mountain QLD 4551")</f>
        <v>24 High Park Crescent Little Mountain QLD 4551</v>
      </c>
      <c r="E158" s="25">
        <f>IFERROR(__xludf.DUMMYFUNCTION("""COMPUTED_VALUE"""),45945.0)</f>
        <v>45945</v>
      </c>
      <c r="F158" s="5">
        <f>IFERROR(__xludf.DUMMYFUNCTION("""COMPUTED_VALUE"""),8.0)</f>
        <v>8</v>
      </c>
      <c r="G158" s="19" t="str">
        <f>IFERROR(__xludf.DUMMYFUNCTION("""COMPUTED_VALUE"""),"Instant Forms")</f>
        <v>Instant Forms</v>
      </c>
      <c r="H158" s="19" t="str">
        <f>IFERROR(__xludf.DUMMYFUNCTION("""COMPUTED_VALUE"""),"Simon Ewing")</f>
        <v>Simon Ewing</v>
      </c>
      <c r="I158" s="62">
        <f>IFERROR(__xludf.DUMMYFUNCTION("""COMPUTED_VALUE"""),6.1408409406E10)</f>
        <v>61408409406</v>
      </c>
      <c r="J158" s="65" t="str">
        <f>IFERROR(__xludf.DUMMYFUNCTION("""COMPUTED_VALUE"""),"smnewing@gmail.com")</f>
        <v>smnewing@gmail.com</v>
      </c>
    </row>
    <row r="159">
      <c r="A159" s="19" t="str">
        <f>IFERROR(__xludf.DUMMYFUNCTION("""COMPUTED_VALUE"""),"Alex Millar")</f>
        <v>Alex Millar</v>
      </c>
      <c r="B159" s="19" t="str">
        <f>IFERROR(__xludf.DUMMYFUNCTION("""COMPUTED_VALUE"""),"QLD")</f>
        <v>QLD</v>
      </c>
      <c r="C159" s="5" t="str">
        <f>IFERROR(__xludf.DUMMYFUNCTION("""COMPUTED_VALUE"""),"Woombye")</f>
        <v>Woombye</v>
      </c>
      <c r="D159" s="5" t="str">
        <f>IFERROR(__xludf.DUMMYFUNCTION("""COMPUTED_VALUE"""),"68 Taintons Road Woombye QLD 4559")</f>
        <v>68 Taintons Road Woombye QLD 4559</v>
      </c>
      <c r="E159" s="25">
        <f>IFERROR(__xludf.DUMMYFUNCTION("""COMPUTED_VALUE"""),45947.0)</f>
        <v>45947</v>
      </c>
      <c r="F159" s="5">
        <f>IFERROR(__xludf.DUMMYFUNCTION("""COMPUTED_VALUE"""),8.0)</f>
        <v>8</v>
      </c>
      <c r="G159" s="19" t="str">
        <f>IFERROR(__xludf.DUMMYFUNCTION("""COMPUTED_VALUE"""),"Instant Forms")</f>
        <v>Instant Forms</v>
      </c>
      <c r="H159" s="19" t="str">
        <f>IFERROR(__xludf.DUMMYFUNCTION("""COMPUTED_VALUE"""),"Gerry Geltch")</f>
        <v>Gerry Geltch</v>
      </c>
      <c r="I159" s="62">
        <f>IFERROR(__xludf.DUMMYFUNCTION("""COMPUTED_VALUE"""),6.1428619412E10)</f>
        <v>61428619412</v>
      </c>
      <c r="J159" s="65" t="str">
        <f>IFERROR(__xludf.DUMMYFUNCTION("""COMPUTED_VALUE"""),"gerry@airfraserisland.com.au")</f>
        <v>gerry@airfraserisland.com.au</v>
      </c>
    </row>
    <row r="160">
      <c r="A160" s="19" t="str">
        <f>IFERROR(__xludf.DUMMYFUNCTION("""COMPUTED_VALUE"""),"Alex Millar")</f>
        <v>Alex Millar</v>
      </c>
      <c r="B160" s="19" t="str">
        <f>IFERROR(__xludf.DUMMYFUNCTION("""COMPUTED_VALUE"""),"QLD")</f>
        <v>QLD</v>
      </c>
      <c r="C160" s="5" t="str">
        <f>IFERROR(__xludf.DUMMYFUNCTION("""COMPUTED_VALUE"""),"Buderim")</f>
        <v>Buderim</v>
      </c>
      <c r="D160" s="5" t="str">
        <f>IFERROR(__xludf.DUMMYFUNCTION("""COMPUTED_VALUE"""),"16 McLaren Place Buderim QLD 4556")</f>
        <v>16 McLaren Place Buderim QLD 4556</v>
      </c>
      <c r="E160" s="25">
        <f>IFERROR(__xludf.DUMMYFUNCTION("""COMPUTED_VALUE"""),45952.0)</f>
        <v>45952</v>
      </c>
      <c r="F160" s="5">
        <f>IFERROR(__xludf.DUMMYFUNCTION("""COMPUTED_VALUE"""),8.0)</f>
        <v>8</v>
      </c>
      <c r="G160" s="19" t="str">
        <f>IFERROR(__xludf.DUMMYFUNCTION("""COMPUTED_VALUE"""),"Instant Forms")</f>
        <v>Instant Forms</v>
      </c>
      <c r="H160" s="19" t="str">
        <f>IFERROR(__xludf.DUMMYFUNCTION("""COMPUTED_VALUE"""),"Steven Simjanovic")</f>
        <v>Steven Simjanovic</v>
      </c>
      <c r="I160" s="62">
        <f>IFERROR(__xludf.DUMMYFUNCTION("""COMPUTED_VALUE"""),6.1421002E10)</f>
        <v>61421002000</v>
      </c>
      <c r="J160" s="65" t="str">
        <f>IFERROR(__xludf.DUMMYFUNCTION("""COMPUTED_VALUE"""),"stevesimjanovic@bigpond.com")</f>
        <v>stevesimjanovic@bigpond.com</v>
      </c>
    </row>
    <row r="161">
      <c r="A161" s="19" t="str">
        <f>IFERROR(__xludf.DUMMYFUNCTION("""COMPUTED_VALUE"""),"Alex Millar")</f>
        <v>Alex Millar</v>
      </c>
      <c r="B161" s="19" t="str">
        <f>IFERROR(__xludf.DUMMYFUNCTION("""COMPUTED_VALUE"""),"QLD")</f>
        <v>QLD</v>
      </c>
      <c r="C161" s="5" t="str">
        <f>IFERROR(__xludf.DUMMYFUNCTION("""COMPUTED_VALUE"""),"Buderim")</f>
        <v>Buderim</v>
      </c>
      <c r="D161" s="5"/>
      <c r="E161" s="25">
        <f>IFERROR(__xludf.DUMMYFUNCTION("""COMPUTED_VALUE"""),45953.0)</f>
        <v>45953</v>
      </c>
      <c r="F161" s="5">
        <f>IFERROR(__xludf.DUMMYFUNCTION("""COMPUTED_VALUE"""),5.0)</f>
        <v>5</v>
      </c>
      <c r="G161" s="19" t="str">
        <f>IFERROR(__xludf.DUMMYFUNCTION("""COMPUTED_VALUE"""),"Instant Forms")</f>
        <v>Instant Forms</v>
      </c>
      <c r="H161" s="19" t="str">
        <f>IFERROR(__xludf.DUMMYFUNCTION("""COMPUTED_VALUE"""),"Mal Forman")</f>
        <v>Mal Forman</v>
      </c>
      <c r="I161" s="62">
        <f>IFERROR(__xludf.DUMMYFUNCTION("""COMPUTED_VALUE"""),6.1418797007E10)</f>
        <v>61418797007</v>
      </c>
      <c r="J161" s="65" t="str">
        <f>IFERROR(__xludf.DUMMYFUNCTION("""COMPUTED_VALUE"""),"malforman@bigpond.com")</f>
        <v>malforman@bigpond.com</v>
      </c>
    </row>
    <row r="162">
      <c r="A162" s="19" t="str">
        <f>IFERROR(__xludf.DUMMYFUNCTION("""COMPUTED_VALUE"""),"Alex Millar")</f>
        <v>Alex Millar</v>
      </c>
      <c r="B162" s="19" t="str">
        <f>IFERROR(__xludf.DUMMYFUNCTION("""COMPUTED_VALUE"""),"QLD")</f>
        <v>QLD</v>
      </c>
      <c r="C162" s="5" t="str">
        <f>IFERROR(__xludf.DUMMYFUNCTION("""COMPUTED_VALUE"""),"Kuluin")</f>
        <v>Kuluin</v>
      </c>
      <c r="D162" s="5"/>
      <c r="E162" s="25">
        <f>IFERROR(__xludf.DUMMYFUNCTION("""COMPUTED_VALUE"""),45957.0)</f>
        <v>45957</v>
      </c>
      <c r="F162" s="5">
        <f>IFERROR(__xludf.DUMMYFUNCTION("""COMPUTED_VALUE"""),5.0)</f>
        <v>5</v>
      </c>
      <c r="G162" s="19" t="str">
        <f>IFERROR(__xludf.DUMMYFUNCTION("""COMPUTED_VALUE"""),"Instant Forms")</f>
        <v>Instant Forms</v>
      </c>
      <c r="H162" s="19" t="str">
        <f>IFERROR(__xludf.DUMMYFUNCTION("""COMPUTED_VALUE"""),"Jacinta Sutton")</f>
        <v>Jacinta Sutton</v>
      </c>
      <c r="I162" s="62">
        <f>IFERROR(__xludf.DUMMYFUNCTION("""COMPUTED_VALUE"""),6.1467712E10)</f>
        <v>61467712000</v>
      </c>
      <c r="J162" s="65" t="str">
        <f>IFERROR(__xludf.DUMMYFUNCTION("""COMPUTED_VALUE"""),"sutton.jacinta@gmail.com")</f>
        <v>sutton.jacinta@gmail.com</v>
      </c>
    </row>
    <row r="163">
      <c r="A163" s="19" t="str">
        <f>IFERROR(__xludf.DUMMYFUNCTION("""COMPUTED_VALUE"""),"Alex Millar")</f>
        <v>Alex Millar</v>
      </c>
      <c r="B163" s="19" t="str">
        <f>IFERROR(__xludf.DUMMYFUNCTION("""COMPUTED_VALUE"""),"QLD")</f>
        <v>QLD</v>
      </c>
      <c r="C163" s="5" t="str">
        <f>IFERROR(__xludf.DUMMYFUNCTION("""COMPUTED_VALUE"""),"Sippy Downs")</f>
        <v>Sippy Downs</v>
      </c>
      <c r="D163" s="5" t="str">
        <f>IFERROR(__xludf.DUMMYFUNCTION("""COMPUTED_VALUE"""),"4 creekside drive sippy downs 4556, Sippy Downs, 4556")</f>
        <v>4 creekside drive sippy downs 4556, Sippy Downs, 4556</v>
      </c>
      <c r="E163" s="25" t="str">
        <f>IFERROR(__xludf.DUMMYFUNCTION("""COMPUTED_VALUE"""),"28/10/2025")</f>
        <v>28/10/2025</v>
      </c>
      <c r="F163" s="5" t="str">
        <f>IFERROR(__xludf.DUMMYFUNCTION("""COMPUTED_VALUE"""),"Featured")</f>
        <v>Featured</v>
      </c>
      <c r="G163" s="19" t="str">
        <f>IFERROR(__xludf.DUMMYFUNCTION("""COMPUTED_VALUE"""),"Meta Commission Report")</f>
        <v>Meta Commission Report</v>
      </c>
      <c r="H163" s="19" t="str">
        <f>IFERROR(__xludf.DUMMYFUNCTION("""COMPUTED_VALUE"""),"Paul Sawyers")</f>
        <v>Paul Sawyers</v>
      </c>
      <c r="I163" s="62">
        <f>IFERROR(__xludf.DUMMYFUNCTION("""COMPUTED_VALUE"""),6.1417738225E10)</f>
        <v>61417738225</v>
      </c>
      <c r="J163" s="65" t="str">
        <f>IFERROR(__xludf.DUMMYFUNCTION("""COMPUTED_VALUE"""),"p.m.sawyers68@gmail.com")</f>
        <v>p.m.sawyers68@gmail.com</v>
      </c>
    </row>
    <row r="164">
      <c r="A164" s="19" t="str">
        <f>IFERROR(__xludf.DUMMYFUNCTION("""COMPUTED_VALUE"""),"Alex Millar")</f>
        <v>Alex Millar</v>
      </c>
      <c r="B164" s="19" t="str">
        <f>IFERROR(__xludf.DUMMYFUNCTION("""COMPUTED_VALUE"""),"QLD")</f>
        <v>QLD</v>
      </c>
      <c r="C164" s="5" t="str">
        <f>IFERROR(__xludf.DUMMYFUNCTION("""COMPUTED_VALUE"""),"Mons")</f>
        <v>Mons</v>
      </c>
      <c r="D164" s="5" t="str">
        <f>IFERROR(__xludf.DUMMYFUNCTION("""COMPUTED_VALUE"""),"18 Saint Anton Drive Mons QLD 4556")</f>
        <v>18 Saint Anton Drive Mons QLD 4556</v>
      </c>
      <c r="E164" s="25">
        <f>IFERROR(__xludf.DUMMYFUNCTION("""COMPUTED_VALUE"""),45962.0)</f>
        <v>45962</v>
      </c>
      <c r="F164" s="5">
        <f>IFERROR(__xludf.DUMMYFUNCTION("""COMPUTED_VALUE"""),8.0)</f>
        <v>8</v>
      </c>
      <c r="G164" s="19" t="str">
        <f>IFERROR(__xludf.DUMMYFUNCTION("""COMPUTED_VALUE"""),"Instant Forms")</f>
        <v>Instant Forms</v>
      </c>
      <c r="H164" s="19" t="str">
        <f>IFERROR(__xludf.DUMMYFUNCTION("""COMPUTED_VALUE"""),"Donna Orton")</f>
        <v>Donna Orton</v>
      </c>
      <c r="I164" s="62">
        <f>IFERROR(__xludf.DUMMYFUNCTION("""COMPUTED_VALUE"""),6.1405767975E10)</f>
        <v>61405767975</v>
      </c>
      <c r="J164" s="65" t="str">
        <f>IFERROR(__xludf.DUMMYFUNCTION("""COMPUTED_VALUE"""),"donnalarchorton100@gmail.com")</f>
        <v>donnalarchorton100@gmail.com</v>
      </c>
    </row>
    <row r="165">
      <c r="A165" s="19" t="str">
        <f>IFERROR(__xludf.DUMMYFUNCTION("""COMPUTED_VALUE"""),"Alex Millar")</f>
        <v>Alex Millar</v>
      </c>
      <c r="B165" s="19" t="str">
        <f>IFERROR(__xludf.DUMMYFUNCTION("""COMPUTED_VALUE"""),"QLD")</f>
        <v>QLD</v>
      </c>
      <c r="C165" s="5" t="str">
        <f>IFERROR(__xludf.DUMMYFUNCTION("""COMPUTED_VALUE"""),"Mudjimba")</f>
        <v>Mudjimba</v>
      </c>
      <c r="D165" s="5" t="str">
        <f>IFERROR(__xludf.DUMMYFUNCTION("""COMPUTED_VALUE"""),"46 Kawanna Street Mudjimba QLD 4564")</f>
        <v>46 Kawanna Street Mudjimba QLD 4564</v>
      </c>
      <c r="E165" s="25">
        <f>IFERROR(__xludf.DUMMYFUNCTION("""COMPUTED_VALUE"""),45963.0)</f>
        <v>45963</v>
      </c>
      <c r="F165" s="5">
        <f>IFERROR(__xludf.DUMMYFUNCTION("""COMPUTED_VALUE"""),8.0)</f>
        <v>8</v>
      </c>
      <c r="G165" s="19" t="str">
        <f>IFERROR(__xludf.DUMMYFUNCTION("""COMPUTED_VALUE"""),"Instant Forms")</f>
        <v>Instant Forms</v>
      </c>
      <c r="H165" s="19" t="str">
        <f>IFERROR(__xludf.DUMMYFUNCTION("""COMPUTED_VALUE"""),"Rowan Stanley")</f>
        <v>Rowan Stanley</v>
      </c>
      <c r="I165" s="62">
        <f>IFERROR(__xludf.DUMMYFUNCTION("""COMPUTED_VALUE"""),6.1415587616E10)</f>
        <v>61415587616</v>
      </c>
      <c r="J165" s="65" t="str">
        <f>IFERROR(__xludf.DUMMYFUNCTION("""COMPUTED_VALUE"""),"rowans1@westnet.com.au")</f>
        <v>rowans1@westnet.com.au</v>
      </c>
    </row>
    <row r="166">
      <c r="A166" s="19" t="str">
        <f>IFERROR(__xludf.DUMMYFUNCTION("""COMPUTED_VALUE"""),"Alex Millar")</f>
        <v>Alex Millar</v>
      </c>
      <c r="B166" s="19" t="str">
        <f>IFERROR(__xludf.DUMMYFUNCTION("""COMPUTED_VALUE"""),"QLD")</f>
        <v>QLD</v>
      </c>
      <c r="C166" s="5" t="str">
        <f>IFERROR(__xludf.DUMMYFUNCTION("""COMPUTED_VALUE"""),"Flaxton")</f>
        <v>Flaxton</v>
      </c>
      <c r="D166" s="5" t="str">
        <f>IFERROR(__xludf.DUMMYFUNCTION("""COMPUTED_VALUE"""),"239-253 Flaxton Drive Flaxton QLD 4560")</f>
        <v>239-253 Flaxton Drive Flaxton QLD 4560</v>
      </c>
      <c r="E166" s="25">
        <f>IFERROR(__xludf.DUMMYFUNCTION("""COMPUTED_VALUE"""),45964.0)</f>
        <v>45964</v>
      </c>
      <c r="F166" s="5">
        <f>IFERROR(__xludf.DUMMYFUNCTION("""COMPUTED_VALUE"""),6.0)</f>
        <v>6</v>
      </c>
      <c r="G166" s="19" t="str">
        <f>IFERROR(__xludf.DUMMYFUNCTION("""COMPUTED_VALUE"""),"Instant Forms")</f>
        <v>Instant Forms</v>
      </c>
      <c r="H166" s="19" t="str">
        <f>IFERROR(__xludf.DUMMYFUNCTION("""COMPUTED_VALUE"""),"Sandy Doble")</f>
        <v>Sandy Doble</v>
      </c>
      <c r="I166" s="62">
        <f>IFERROR(__xludf.DUMMYFUNCTION("""COMPUTED_VALUE"""),6.1400235481E10)</f>
        <v>61400235481</v>
      </c>
      <c r="J166" s="65" t="str">
        <f>IFERROR(__xludf.DUMMYFUNCTION("""COMPUTED_VALUE"""),"sandy_doble@outlook.com")</f>
        <v>sandy_doble@outlook.com</v>
      </c>
    </row>
    <row r="167">
      <c r="A167" s="19" t="str">
        <f>IFERROR(__xludf.DUMMYFUNCTION("""COMPUTED_VALUE"""),"Alex Millar")</f>
        <v>Alex Millar</v>
      </c>
      <c r="B167" s="19" t="str">
        <f>IFERROR(__xludf.DUMMYFUNCTION("""COMPUTED_VALUE"""),"QLD")</f>
        <v>QLD</v>
      </c>
      <c r="C167" s="5" t="str">
        <f>IFERROR(__xludf.DUMMYFUNCTION("""COMPUTED_VALUE"""),"Maroochydore")</f>
        <v>Maroochydore</v>
      </c>
      <c r="D167" s="5" t="str">
        <f>IFERROR(__xludf.DUMMYFUNCTION("""COMPUTED_VALUE"""),"915/12 South Sea Islander Way Maroochydore QLD 4558")</f>
        <v>915/12 South Sea Islander Way Maroochydore QLD 4558</v>
      </c>
      <c r="E167" s="25">
        <f>IFERROR(__xludf.DUMMYFUNCTION("""COMPUTED_VALUE"""),45964.0)</f>
        <v>45964</v>
      </c>
      <c r="F167" s="5">
        <f>IFERROR(__xludf.DUMMYFUNCTION("""COMPUTED_VALUE"""),5.0)</f>
        <v>5</v>
      </c>
      <c r="G167" s="19" t="str">
        <f>IFERROR(__xludf.DUMMYFUNCTION("""COMPUTED_VALUE"""),"Instant Forms")</f>
        <v>Instant Forms</v>
      </c>
      <c r="H167" s="19" t="str">
        <f>IFERROR(__xludf.DUMMYFUNCTION("""COMPUTED_VALUE"""),"Gail Denyer")</f>
        <v>Gail Denyer</v>
      </c>
      <c r="I167" s="62">
        <f>IFERROR(__xludf.DUMMYFUNCTION("""COMPUTED_VALUE"""),6.1416780068E10)</f>
        <v>61416780068</v>
      </c>
      <c r="J167" s="65" t="str">
        <f>IFERROR(__xludf.DUMMYFUNCTION("""COMPUTED_VALUE"""),"gail.denyer@gmail.com")</f>
        <v>gail.denyer@gmail.com</v>
      </c>
    </row>
    <row r="168">
      <c r="A168" s="19" t="str">
        <f>IFERROR(__xludf.DUMMYFUNCTION("""COMPUTED_VALUE"""),"Alex Millar")</f>
        <v>Alex Millar</v>
      </c>
      <c r="B168" s="19" t="str">
        <f>IFERROR(__xludf.DUMMYFUNCTION("""COMPUTED_VALUE"""),"QLD")</f>
        <v>QLD</v>
      </c>
      <c r="C168" s="5" t="str">
        <f>IFERROR(__xludf.DUMMYFUNCTION("""COMPUTED_VALUE"""),"SIPPY DOWNS")</f>
        <v>SIPPY DOWNS</v>
      </c>
      <c r="D168" s="5" t="str">
        <f>IFERROR(__xludf.DUMMYFUNCTION("""COMPUTED_VALUE"""),"14 Franklin Place SIPPY DOWNS QLD 4556")</f>
        <v>14 Franklin Place SIPPY DOWNS QLD 4556</v>
      </c>
      <c r="E168" s="25">
        <f>IFERROR(__xludf.DUMMYFUNCTION("""COMPUTED_VALUE"""),45970.0)</f>
        <v>45970</v>
      </c>
      <c r="F168" s="5">
        <f>IFERROR(__xludf.DUMMYFUNCTION("""COMPUTED_VALUE"""),8.0)</f>
        <v>8</v>
      </c>
      <c r="G168" s="19" t="str">
        <f>IFERROR(__xludf.DUMMYFUNCTION("""COMPUTED_VALUE"""),"Instant Forms")</f>
        <v>Instant Forms</v>
      </c>
      <c r="H168" s="19" t="str">
        <f>IFERROR(__xludf.DUMMYFUNCTION("""COMPUTED_VALUE"""),"Rita Rumler")</f>
        <v>Rita Rumler</v>
      </c>
      <c r="I168" s="62">
        <f>IFERROR(__xludf.DUMMYFUNCTION("""COMPUTED_VALUE"""),6.1418719278E10)</f>
        <v>61418719278</v>
      </c>
      <c r="J168" s="19" t="str">
        <f>IFERROR(__xludf.DUMMYFUNCTION("""COMPUTED_VALUE"""),"rita.rumler14@gmail.com")</f>
        <v>rita.rumler14@gmail.com</v>
      </c>
    </row>
    <row r="169">
      <c r="A169" s="19" t="str">
        <f>IFERROR(__xludf.DUMMYFUNCTION("""COMPUTED_VALUE"""),"Alex Millar")</f>
        <v>Alex Millar</v>
      </c>
      <c r="B169" s="19" t="str">
        <f>IFERROR(__xludf.DUMMYFUNCTION("""COMPUTED_VALUE"""),"QLD")</f>
        <v>QLD</v>
      </c>
      <c r="C169" s="5" t="str">
        <f>IFERROR(__xludf.DUMMYFUNCTION("""COMPUTED_VALUE"""),"Sippy Downs")</f>
        <v>Sippy Downs</v>
      </c>
      <c r="D169" s="5" t="str">
        <f>IFERROR(__xludf.DUMMYFUNCTION("""COMPUTED_VALUE"""),"19/2 Springhill Drive Sippy Downs QLD 4556")</f>
        <v>19/2 Springhill Drive Sippy Downs QLD 4556</v>
      </c>
      <c r="E169" s="25">
        <f>IFERROR(__xludf.DUMMYFUNCTION("""COMPUTED_VALUE"""),45974.0)</f>
        <v>45974</v>
      </c>
      <c r="F169" s="5">
        <f>IFERROR(__xludf.DUMMYFUNCTION("""COMPUTED_VALUE"""),6.0)</f>
        <v>6</v>
      </c>
      <c r="G169" s="19" t="str">
        <f>IFERROR(__xludf.DUMMYFUNCTION("""COMPUTED_VALUE"""),"Instant Forms")</f>
        <v>Instant Forms</v>
      </c>
      <c r="H169" s="19" t="str">
        <f>IFERROR(__xludf.DUMMYFUNCTION("""COMPUTED_VALUE"""),"Tracy Lee")</f>
        <v>Tracy Lee</v>
      </c>
      <c r="I169" s="62">
        <f>IFERROR(__xludf.DUMMYFUNCTION("""COMPUTED_VALUE"""),6.1448405556E10)</f>
        <v>61448405556</v>
      </c>
      <c r="J169" s="19" t="str">
        <f>IFERROR(__xludf.DUMMYFUNCTION("""COMPUTED_VALUE"""),"tracy.mooloolaba@gmail.com")</f>
        <v>tracy.mooloolaba@gmail.com</v>
      </c>
    </row>
    <row r="170">
      <c r="A170" s="19" t="str">
        <f>IFERROR(__xludf.DUMMYFUNCTION("""COMPUTED_VALUE"""),"Alex Millar")</f>
        <v>Alex Millar</v>
      </c>
      <c r="B170" s="19" t="str">
        <f>IFERROR(__xludf.DUMMYFUNCTION("""COMPUTED_VALUE"""),"QLD")</f>
        <v>QLD</v>
      </c>
      <c r="C170" s="5" t="str">
        <f>IFERROR(__xludf.DUMMYFUNCTION("""COMPUTED_VALUE"""),"Mudjimba")</f>
        <v>Mudjimba</v>
      </c>
      <c r="D170" s="5" t="str">
        <f>IFERROR(__xludf.DUMMYFUNCTION("""COMPUTED_VALUE"""),"1/21 Catalina Drive Mudjimba QLD 4564")</f>
        <v>1/21 Catalina Drive Mudjimba QLD 4564</v>
      </c>
      <c r="E170" s="25">
        <f>IFERROR(__xludf.DUMMYFUNCTION("""COMPUTED_VALUE"""),45974.0)</f>
        <v>45974</v>
      </c>
      <c r="F170" s="5">
        <f>IFERROR(__xludf.DUMMYFUNCTION("""COMPUTED_VALUE"""),8.0)</f>
        <v>8</v>
      </c>
      <c r="G170" s="19" t="str">
        <f>IFERROR(__xludf.DUMMYFUNCTION("""COMPUTED_VALUE"""),"Instant Forms")</f>
        <v>Instant Forms</v>
      </c>
      <c r="H170" s="19" t="str">
        <f>IFERROR(__xludf.DUMMYFUNCTION("""COMPUTED_VALUE"""),"Chris Thompson")</f>
        <v>Chris Thompson</v>
      </c>
      <c r="I170" s="62">
        <f>IFERROR(__xludf.DUMMYFUNCTION("""COMPUTED_VALUE"""),6.1438754294E10)</f>
        <v>61438754294</v>
      </c>
      <c r="J170" s="19" t="str">
        <f>IFERROR(__xludf.DUMMYFUNCTION("""COMPUTED_VALUE"""),"christhompsoninchina@yahoo.com")</f>
        <v>christhompsoninchina@yahoo.com</v>
      </c>
    </row>
    <row r="171">
      <c r="A171" s="19" t="str">
        <f>IFERROR(__xludf.DUMMYFUNCTION("""COMPUTED_VALUE"""),"Alex Millar")</f>
        <v>Alex Millar</v>
      </c>
      <c r="B171" s="19" t="str">
        <f>IFERROR(__xludf.DUMMYFUNCTION("""COMPUTED_VALUE"""),"QLD")</f>
        <v>QLD</v>
      </c>
      <c r="C171" s="5" t="str">
        <f>IFERROR(__xludf.DUMMYFUNCTION("""COMPUTED_VALUE"""),"Buderim")</f>
        <v>Buderim</v>
      </c>
      <c r="D171" s="5" t="str">
        <f>IFERROR(__xludf.DUMMYFUNCTION("""COMPUTED_VALUE"""),"54 Eckersley Avenue BUDERIM QLD 4556")</f>
        <v>54 Eckersley Avenue BUDERIM QLD 4556</v>
      </c>
      <c r="E171" s="25">
        <f>IFERROR(__xludf.DUMMYFUNCTION("""COMPUTED_VALUE"""),45974.0)</f>
        <v>45974</v>
      </c>
      <c r="F171" s="5">
        <f>IFERROR(__xludf.DUMMYFUNCTION("""COMPUTED_VALUE"""),9.0)</f>
        <v>9</v>
      </c>
      <c r="G171" s="19" t="str">
        <f>IFERROR(__xludf.DUMMYFUNCTION("""COMPUTED_VALUE"""),"Instant Forms")</f>
        <v>Instant Forms</v>
      </c>
      <c r="H171" s="19" t="str">
        <f>IFERROR(__xludf.DUMMYFUNCTION("""COMPUTED_VALUE"""),"Paul Bevan")</f>
        <v>Paul Bevan</v>
      </c>
      <c r="I171" s="62">
        <f>IFERROR(__xludf.DUMMYFUNCTION("""COMPUTED_VALUE"""),6.141392498E10)</f>
        <v>61413924980</v>
      </c>
      <c r="J171" s="19" t="str">
        <f>IFERROR(__xludf.DUMMYFUNCTION("""COMPUTED_VALUE"""),"bevo_42@hotmail.com")</f>
        <v>bevo_42@hotmail.com</v>
      </c>
    </row>
    <row r="172">
      <c r="A172" s="19" t="str">
        <f>IFERROR(__xludf.DUMMYFUNCTION("""COMPUTED_VALUE"""),"Alex Millar")</f>
        <v>Alex Millar</v>
      </c>
      <c r="B172" s="19" t="str">
        <f>IFERROR(__xludf.DUMMYFUNCTION("""COMPUTED_VALUE"""),"QLD")</f>
        <v>QLD</v>
      </c>
      <c r="C172" s="5" t="str">
        <f>IFERROR(__xludf.DUMMYFUNCTION("""COMPUTED_VALUE"""),"Maroochydore")</f>
        <v>Maroochydore</v>
      </c>
      <c r="D172" s="5" t="str">
        <f>IFERROR(__xludf.DUMMYFUNCTION("""COMPUTED_VALUE"""),"35 Boongala Terrace, Maroochydore, QLD, 4558, Australia")</f>
        <v>35 Boongala Terrace, Maroochydore, QLD, 4558, Australia</v>
      </c>
      <c r="E172" s="25" t="str">
        <f>IFERROR(__xludf.DUMMYFUNCTION("""COMPUTED_VALUE"""),"15/11/2025")</f>
        <v>15/11/2025</v>
      </c>
      <c r="F172" s="5" t="str">
        <f>IFERROR(__xludf.DUMMYFUNCTION("""COMPUTED_VALUE"""),"Featured")</f>
        <v>Featured</v>
      </c>
      <c r="G172" s="19" t="str">
        <f>IFERROR(__xludf.DUMMYFUNCTION("""COMPUTED_VALUE"""),"Commission Comparison")</f>
        <v>Commission Comparison</v>
      </c>
      <c r="H172" s="19" t="str">
        <f>IFERROR(__xludf.DUMMYFUNCTION("""COMPUTED_VALUE"""),"Brittany May")</f>
        <v>Brittany May</v>
      </c>
      <c r="I172" s="62">
        <f>IFERROR(__xludf.DUMMYFUNCTION("""COMPUTED_VALUE"""),6.10472532818E11)</f>
        <v>610472532818</v>
      </c>
      <c r="J172" s="19" t="str">
        <f>IFERROR(__xludf.DUMMYFUNCTION("""COMPUTED_VALUE"""),"b.may93@hotmail.com")</f>
        <v>b.may93@hotmail.com</v>
      </c>
    </row>
    <row r="173">
      <c r="A173" s="19" t="str">
        <f>IFERROR(__xludf.DUMMYFUNCTION("""COMPUTED_VALUE"""),"Alex Millar")</f>
        <v>Alex Millar</v>
      </c>
      <c r="B173" s="19" t="str">
        <f>IFERROR(__xludf.DUMMYFUNCTION("""COMPUTED_VALUE"""),"QLD")</f>
        <v>QLD</v>
      </c>
      <c r="C173" s="5" t="str">
        <f>IFERROR(__xludf.DUMMYFUNCTION("""COMPUTED_VALUE"""),"Sunshine Coast")</f>
        <v>Sunshine Coast</v>
      </c>
      <c r="D173" s="5" t="str">
        <f>IFERROR(__xludf.DUMMYFUNCTION("""COMPUTED_VALUE"""),"12 Cavalry Way Sippy Downs QLD 4556")</f>
        <v>12 Cavalry Way Sippy Downs QLD 4556</v>
      </c>
      <c r="E173" s="25">
        <f>IFERROR(__xludf.DUMMYFUNCTION("""COMPUTED_VALUE"""),45977.0)</f>
        <v>45977</v>
      </c>
      <c r="F173" s="5">
        <f>IFERROR(__xludf.DUMMYFUNCTION("""COMPUTED_VALUE"""),8.0)</f>
        <v>8</v>
      </c>
      <c r="G173" s="19" t="str">
        <f>IFERROR(__xludf.DUMMYFUNCTION("""COMPUTED_VALUE"""),"Instant Forms")</f>
        <v>Instant Forms</v>
      </c>
      <c r="H173" s="19" t="str">
        <f>IFERROR(__xludf.DUMMYFUNCTION("""COMPUTED_VALUE"""),"Kevin Meyland")</f>
        <v>Kevin Meyland</v>
      </c>
      <c r="I173" s="62">
        <f>IFERROR(__xludf.DUMMYFUNCTION("""COMPUTED_VALUE"""),6.1424901828E10)</f>
        <v>61424901828</v>
      </c>
      <c r="J173" s="19" t="str">
        <f>IFERROR(__xludf.DUMMYFUNCTION("""COMPUTED_VALUE"""),"kevin.meyland@yahoo.com.au")</f>
        <v>kevin.meyland@yahoo.com.au</v>
      </c>
    </row>
    <row r="174">
      <c r="A174" s="19" t="str">
        <f>IFERROR(__xludf.DUMMYFUNCTION("""COMPUTED_VALUE"""),"Alex Millar")</f>
        <v>Alex Millar</v>
      </c>
      <c r="B174" s="19" t="str">
        <f>IFERROR(__xludf.DUMMYFUNCTION("""COMPUTED_VALUE"""),"QLD")</f>
        <v>QLD</v>
      </c>
      <c r="C174" s="5">
        <f>IFERROR(__xludf.DUMMYFUNCTION("""COMPUTED_VALUE"""),4564.0)</f>
        <v>4564</v>
      </c>
      <c r="D174" s="5" t="str">
        <f>IFERROR(__xludf.DUMMYFUNCTION("""COMPUTED_VALUE"""),"76/21 Baywater Drive Twin Waters QLD 4564")</f>
        <v>76/21 Baywater Drive Twin Waters QLD 4564</v>
      </c>
      <c r="E174" s="25">
        <f>IFERROR(__xludf.DUMMYFUNCTION("""COMPUTED_VALUE"""),45977.0)</f>
        <v>45977</v>
      </c>
      <c r="F174" s="5">
        <f>IFERROR(__xludf.DUMMYFUNCTION("""COMPUTED_VALUE"""),9.0)</f>
        <v>9</v>
      </c>
      <c r="G174" s="19" t="str">
        <f>IFERROR(__xludf.DUMMYFUNCTION("""COMPUTED_VALUE"""),"Instant Forms")</f>
        <v>Instant Forms</v>
      </c>
      <c r="H174" s="19" t="str">
        <f>IFERROR(__xludf.DUMMYFUNCTION("""COMPUTED_VALUE"""),"Chris Thompson")</f>
        <v>Chris Thompson</v>
      </c>
      <c r="I174" s="62">
        <f>IFERROR(__xludf.DUMMYFUNCTION("""COMPUTED_VALUE"""),6.1438754294E10)</f>
        <v>61438754294</v>
      </c>
      <c r="J174" s="19" t="str">
        <f>IFERROR(__xludf.DUMMYFUNCTION("""COMPUTED_VALUE"""),"christhompsoninchina@yahoo.com")</f>
        <v>christhompsoninchina@yahoo.com</v>
      </c>
    </row>
    <row r="175">
      <c r="A175" s="19" t="str">
        <f>IFERROR(__xludf.DUMMYFUNCTION("""COMPUTED_VALUE"""),"Alex Millar")</f>
        <v>Alex Millar</v>
      </c>
      <c r="B175" s="19" t="str">
        <f>IFERROR(__xludf.DUMMYFUNCTION("""COMPUTED_VALUE"""),"QLD")</f>
        <v>QLD</v>
      </c>
      <c r="C175" s="5" t="str">
        <f>IFERROR(__xludf.DUMMYFUNCTION("""COMPUTED_VALUE"""),"Wurtulla")</f>
        <v>Wurtulla</v>
      </c>
      <c r="D175" s="5"/>
      <c r="E175" s="25">
        <f>IFERROR(__xludf.DUMMYFUNCTION("""COMPUTED_VALUE"""),45977.0)</f>
        <v>45977</v>
      </c>
      <c r="F175" s="5">
        <f>IFERROR(__xludf.DUMMYFUNCTION("""COMPUTED_VALUE"""),5.0)</f>
        <v>5</v>
      </c>
      <c r="G175" s="19" t="str">
        <f>IFERROR(__xludf.DUMMYFUNCTION("""COMPUTED_VALUE"""),"Instant Forms")</f>
        <v>Instant Forms</v>
      </c>
      <c r="H175" s="19" t="str">
        <f>IFERROR(__xludf.DUMMYFUNCTION("""COMPUTED_VALUE"""),"Megan Knight")</f>
        <v>Megan Knight</v>
      </c>
      <c r="I175" s="62">
        <f>IFERROR(__xludf.DUMMYFUNCTION("""COMPUTED_VALUE"""),6.1401950934E10)</f>
        <v>61401950934</v>
      </c>
      <c r="J175" s="19" t="str">
        <f>IFERROR(__xludf.DUMMYFUNCTION("""COMPUTED_VALUE"""),"megmax74@gmail.com")</f>
        <v>megmax74@gmail.com</v>
      </c>
    </row>
    <row r="176">
      <c r="A176" s="19" t="str">
        <f>IFERROR(__xludf.DUMMYFUNCTION("""COMPUTED_VALUE"""),"Alex Millar")</f>
        <v>Alex Millar</v>
      </c>
      <c r="B176" s="19" t="str">
        <f>IFERROR(__xludf.DUMMYFUNCTION("""COMPUTED_VALUE"""),"QLD")</f>
        <v>QLD</v>
      </c>
      <c r="C176" s="5" t="str">
        <f>IFERROR(__xludf.DUMMYFUNCTION("""COMPUTED_VALUE"""),"Maleny")</f>
        <v>Maleny</v>
      </c>
      <c r="D176" s="5" t="str">
        <f>IFERROR(__xludf.DUMMYFUNCTION("""COMPUTED_VALUE"""),"82 Treehaven Way Maleny QLD 4552")</f>
        <v>82 Treehaven Way Maleny QLD 4552</v>
      </c>
      <c r="E176" s="25">
        <f>IFERROR(__xludf.DUMMYFUNCTION("""COMPUTED_VALUE"""),45978.0)</f>
        <v>45978</v>
      </c>
      <c r="F176" s="5">
        <f>IFERROR(__xludf.DUMMYFUNCTION("""COMPUTED_VALUE"""),6.0)</f>
        <v>6</v>
      </c>
      <c r="G176" s="19" t="str">
        <f>IFERROR(__xludf.DUMMYFUNCTION("""COMPUTED_VALUE"""),"Instant Forms")</f>
        <v>Instant Forms</v>
      </c>
      <c r="H176" s="19" t="str">
        <f>IFERROR(__xludf.DUMMYFUNCTION("""COMPUTED_VALUE"""),"Jen Kirby (Sorry mate this one's miles away feel free to let go to keeper)")</f>
        <v>Jen Kirby (Sorry mate this one's miles away feel free to let go to keeper)</v>
      </c>
      <c r="I176" s="62">
        <f>IFERROR(__xludf.DUMMYFUNCTION("""COMPUTED_VALUE"""),6.145889052E10)</f>
        <v>61458890520</v>
      </c>
      <c r="J176" s="19" t="str">
        <f>IFERROR(__xludf.DUMMYFUNCTION("""COMPUTED_VALUE"""),"jennykirby8@gmail.com")</f>
        <v>jennykirby8@gmail.com</v>
      </c>
    </row>
    <row r="177">
      <c r="A177" s="19" t="str">
        <f>IFERROR(__xludf.DUMMYFUNCTION("""COMPUTED_VALUE"""),"Alex Millar")</f>
        <v>Alex Millar</v>
      </c>
      <c r="B177" s="19" t="str">
        <f>IFERROR(__xludf.DUMMYFUNCTION("""COMPUTED_VALUE"""),"QLD")</f>
        <v>QLD</v>
      </c>
      <c r="C177" s="5" t="str">
        <f>IFERROR(__xludf.DUMMYFUNCTION("""COMPUTED_VALUE"""),"Maleny")</f>
        <v>Maleny</v>
      </c>
      <c r="D177" s="5" t="str">
        <f>IFERROR(__xludf.DUMMYFUNCTION("""COMPUTED_VALUE"""),"107 Obi Vale North Maleny QLD 4552")</f>
        <v>107 Obi Vale North Maleny QLD 4552</v>
      </c>
      <c r="E177" s="25">
        <f>IFERROR(__xludf.DUMMYFUNCTION("""COMPUTED_VALUE"""),45978.0)</f>
        <v>45978</v>
      </c>
      <c r="F177" s="5">
        <f>IFERROR(__xludf.DUMMYFUNCTION("""COMPUTED_VALUE"""),6.0)</f>
        <v>6</v>
      </c>
      <c r="G177" s="19" t="str">
        <f>IFERROR(__xludf.DUMMYFUNCTION("""COMPUTED_VALUE"""),"Instant Forms")</f>
        <v>Instant Forms</v>
      </c>
      <c r="H177" s="19" t="str">
        <f>IFERROR(__xludf.DUMMYFUNCTION("""COMPUTED_VALUE"""),"John Hillman (And this one's even further!)")</f>
        <v>John Hillman (And this one's even further!)</v>
      </c>
      <c r="I177" s="62">
        <f>IFERROR(__xludf.DUMMYFUNCTION("""COMPUTED_VALUE"""),6.1493291957E10)</f>
        <v>61493291957</v>
      </c>
      <c r="J177" s="19" t="str">
        <f>IFERROR(__xludf.DUMMYFUNCTION("""COMPUTED_VALUE"""),"jhillman_h@hotmail.com")</f>
        <v>jhillman_h@hotmail.com</v>
      </c>
    </row>
    <row r="178">
      <c r="A178" s="19" t="str">
        <f>IFERROR(__xludf.DUMMYFUNCTION("""COMPUTED_VALUE"""),"Alex Millar")</f>
        <v>Alex Millar</v>
      </c>
      <c r="B178" s="19" t="str">
        <f>IFERROR(__xludf.DUMMYFUNCTION("""COMPUTED_VALUE"""),"QLD")</f>
        <v>QLD</v>
      </c>
      <c r="C178" s="5" t="str">
        <f>IFERROR(__xludf.DUMMYFUNCTION("""COMPUTED_VALUE"""),"Maroochydore")</f>
        <v>Maroochydore</v>
      </c>
      <c r="D178" s="5" t="str">
        <f>IFERROR(__xludf.DUMMYFUNCTION("""COMPUTED_VALUE"""),"915/12 South Sea Islander Way Maroochydore, Maroochydore, 4558")</f>
        <v>915/12 South Sea Islander Way Maroochydore, Maroochydore, 4558</v>
      </c>
      <c r="E178" s="5" t="str">
        <f>IFERROR(__xludf.DUMMYFUNCTION("""COMPUTED_VALUE"""),"18/11/2025")</f>
        <v>18/11/2025</v>
      </c>
      <c r="F178" s="5" t="str">
        <f>IFERROR(__xludf.DUMMYFUNCTION("""COMPUTED_VALUE"""),"Featured")</f>
        <v>Featured</v>
      </c>
      <c r="G178" s="19" t="str">
        <f>IFERROR(__xludf.DUMMYFUNCTION("""COMPUTED_VALUE"""),"Meta Commission Report")</f>
        <v>Meta Commission Report</v>
      </c>
      <c r="H178" s="19" t="str">
        <f>IFERROR(__xludf.DUMMYFUNCTION("""COMPUTED_VALUE"""),"Gail Denyer")</f>
        <v>Gail Denyer</v>
      </c>
      <c r="I178" s="62">
        <f>IFERROR(__xludf.DUMMYFUNCTION("""COMPUTED_VALUE"""),6.1416780068E10)</f>
        <v>61416780068</v>
      </c>
      <c r="J178" s="19" t="str">
        <f>IFERROR(__xludf.DUMMYFUNCTION("""COMPUTED_VALUE"""),"gail.denyer@gmail.com")</f>
        <v>gail.denyer@gmail.com</v>
      </c>
    </row>
    <row r="179">
      <c r="A179" s="19" t="str">
        <f>IFERROR(__xludf.DUMMYFUNCTION("""COMPUTED_VALUE"""),"Alex Millar")</f>
        <v>Alex Millar</v>
      </c>
      <c r="B179" s="19" t="str">
        <f>IFERROR(__xludf.DUMMYFUNCTION("""COMPUTED_VALUE"""),"QLD")</f>
        <v>QLD</v>
      </c>
      <c r="C179" s="5" t="str">
        <f>IFERROR(__xludf.DUMMYFUNCTION("""COMPUTED_VALUE"""),"Bokarina")</f>
        <v>Bokarina</v>
      </c>
      <c r="D179" s="5" t="str">
        <f>IFERROR(__xludf.DUMMYFUNCTION("""COMPUTED_VALUE"""),"2207/19 Kombi Street Bokarina QLD 4575")</f>
        <v>2207/19 Kombi Street Bokarina QLD 4575</v>
      </c>
      <c r="E179" s="5" t="str">
        <f>IFERROR(__xludf.DUMMYFUNCTION("""COMPUTED_VALUE"""),"28/11/2025")</f>
        <v>28/11/2025</v>
      </c>
      <c r="F179" s="64">
        <f>IFERROR(__xludf.DUMMYFUNCTION("""COMPUTED_VALUE"""),0.2)</f>
        <v>0.2</v>
      </c>
      <c r="G179" s="19" t="str">
        <f>IFERROR(__xludf.DUMMYFUNCTION("""COMPUTED_VALUE"""),"Instant Forms")</f>
        <v>Instant Forms</v>
      </c>
      <c r="H179" s="19" t="str">
        <f>IFERROR(__xludf.DUMMYFUNCTION("""COMPUTED_VALUE"""),"Catherine Ford")</f>
        <v>Catherine Ford</v>
      </c>
      <c r="I179" s="62">
        <f>IFERROR(__xludf.DUMMYFUNCTION("""COMPUTED_VALUE"""),6.1418601192E10)</f>
        <v>61418601192</v>
      </c>
      <c r="J179" s="19" t="str">
        <f>IFERROR(__xludf.DUMMYFUNCTION("""COMPUTED_VALUE"""),"Cathihana@gmail.com")</f>
        <v>Cathihana@gmail.com</v>
      </c>
    </row>
    <row r="180">
      <c r="A180" s="19" t="str">
        <f>IFERROR(__xludf.DUMMYFUNCTION("""COMPUTED_VALUE"""),"Alex Millar")</f>
        <v>Alex Millar</v>
      </c>
      <c r="B180" s="19" t="str">
        <f>IFERROR(__xludf.DUMMYFUNCTION("""COMPUTED_VALUE"""),"QLD")</f>
        <v>QLD</v>
      </c>
      <c r="C180" s="5" t="str">
        <f>IFERROR(__xludf.DUMMYFUNCTION("""COMPUTED_VALUE"""),"Maroochydore")</f>
        <v>Maroochydore</v>
      </c>
      <c r="D180" s="5" t="str">
        <f>IFERROR(__xludf.DUMMYFUNCTION("""COMPUTED_VALUE"""),"2/16 Glenlea Drive Maroochydore 4558, 4558")</f>
        <v>2/16 Glenlea Drive Maroochydore 4558, 4558</v>
      </c>
      <c r="E180" s="27">
        <f>IFERROR(__xludf.DUMMYFUNCTION("""COMPUTED_VALUE"""),45669.0)</f>
        <v>45669</v>
      </c>
      <c r="F180" s="64">
        <f>IFERROR(__xludf.DUMMYFUNCTION("""COMPUTED_VALUE"""),0.2)</f>
        <v>0.2</v>
      </c>
      <c r="G180" s="19" t="str">
        <f>IFERROR(__xludf.DUMMYFUNCTION("""COMPUTED_VALUE"""),"Meta Commission Report")</f>
        <v>Meta Commission Report</v>
      </c>
      <c r="H180" s="19" t="str">
        <f>IFERROR(__xludf.DUMMYFUNCTION("""COMPUTED_VALUE"""),"Jean-Claude Boulenaz")</f>
        <v>Jean-Claude Boulenaz</v>
      </c>
      <c r="I180" s="62">
        <f>IFERROR(__xludf.DUMMYFUNCTION("""COMPUTED_VALUE"""),6.1417648267E10)</f>
        <v>61417648267</v>
      </c>
      <c r="J180" s="19" t="str">
        <f>IFERROR(__xludf.DUMMYFUNCTION("""COMPUTED_VALUE"""),"jean-claude48@hotmail.com")</f>
        <v>jean-claude48@hotmail.com</v>
      </c>
    </row>
    <row r="181">
      <c r="A181" s="19" t="str">
        <f>IFERROR(__xludf.DUMMYFUNCTION("""COMPUTED_VALUE"""),"Alex Millar")</f>
        <v>Alex Millar</v>
      </c>
      <c r="B181" s="19" t="str">
        <f>IFERROR(__xludf.DUMMYFUNCTION("""COMPUTED_VALUE"""),"QLD")</f>
        <v>QLD</v>
      </c>
      <c r="C181" s="5" t="str">
        <f>IFERROR(__xludf.DUMMYFUNCTION("""COMPUTED_VALUE"""),"Parrearra")</f>
        <v>Parrearra</v>
      </c>
      <c r="D181" s="5" t="str">
        <f>IFERROR(__xludf.DUMMYFUNCTION("""COMPUTED_VALUE"""),"11 Sanibel Court Parrearra QLD 4575")</f>
        <v>11 Sanibel Court Parrearra QLD 4575</v>
      </c>
      <c r="E181" s="27">
        <f>IFERROR(__xludf.DUMMYFUNCTION("""COMPUTED_VALUE"""),45669.0)</f>
        <v>45669</v>
      </c>
      <c r="F181" s="64">
        <f>IFERROR(__xludf.DUMMYFUNCTION("""COMPUTED_VALUE"""),0.2)</f>
        <v>0.2</v>
      </c>
      <c r="G181" s="19" t="str">
        <f>IFERROR(__xludf.DUMMYFUNCTION("""COMPUTED_VALUE"""),"Instant Forms")</f>
        <v>Instant Forms</v>
      </c>
      <c r="H181" s="19" t="str">
        <f>IFERROR(__xludf.DUMMYFUNCTION("""COMPUTED_VALUE"""),"Narelle Ruth Houston")</f>
        <v>Narelle Ruth Houston</v>
      </c>
      <c r="I181" s="62">
        <f>IFERROR(__xludf.DUMMYFUNCTION("""COMPUTED_VALUE"""),6.148134519E10)</f>
        <v>61481345190</v>
      </c>
      <c r="J181" s="19" t="str">
        <f>IFERROR(__xludf.DUMMYFUNCTION("""COMPUTED_VALUE"""),"narellehouston48@gmail.com")</f>
        <v>narellehouston48@gmail.com</v>
      </c>
    </row>
    <row r="182">
      <c r="A182" s="19" t="str">
        <f>IFERROR(__xludf.DUMMYFUNCTION("""COMPUTED_VALUE"""),"Alex Millar")</f>
        <v>Alex Millar</v>
      </c>
      <c r="B182" s="19" t="str">
        <f>IFERROR(__xludf.DUMMYFUNCTION("""COMPUTED_VALUE"""),"QLD")</f>
        <v>QLD</v>
      </c>
      <c r="C182" s="5" t="str">
        <f>IFERROR(__xludf.DUMMYFUNCTION("""COMPUTED_VALUE"""),"replace(replace(replace(trim(249-259 Lindsay Road Buderim QLD 4556);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replace(replace(replace(trim(249-259 Lindsay Road Buderim QLD 4556);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82" s="5" t="str">
        <f>IFERROR(__xludf.DUMMYFUNCTION("""COMPUTED_VALUE"""),"249-259 Lindsay Road Buderim QLD 4556")</f>
        <v>249-259 Lindsay Road Buderim QLD 4556</v>
      </c>
      <c r="E182" s="27">
        <f>IFERROR(__xludf.DUMMYFUNCTION("""COMPUTED_VALUE"""),45728.0)</f>
        <v>45728</v>
      </c>
      <c r="F182" s="64">
        <f>IFERROR(__xludf.DUMMYFUNCTION("""COMPUTED_VALUE"""),0.2)</f>
        <v>0.2</v>
      </c>
      <c r="G182" s="19" t="str">
        <f>IFERROR(__xludf.DUMMYFUNCTION("""COMPUTED_VALUE"""),"Instant Forms")</f>
        <v>Instant Forms</v>
      </c>
      <c r="H182" s="19" t="str">
        <f>IFERROR(__xludf.DUMMYFUNCTION("""COMPUTED_VALUE"""),"Carol Fuller")</f>
        <v>Carol Fuller</v>
      </c>
      <c r="I182" s="62">
        <f>IFERROR(__xludf.DUMMYFUNCTION("""COMPUTED_VALUE"""),6.147606927E10)</f>
        <v>61476069270</v>
      </c>
      <c r="J182" s="19" t="str">
        <f>IFERROR(__xludf.DUMMYFUNCTION("""COMPUTED_VALUE"""),"malcarolf@gmail.com")</f>
        <v>malcarolf@gmail.com</v>
      </c>
    </row>
    <row r="183">
      <c r="A183" s="19" t="str">
        <f>IFERROR(__xludf.DUMMYFUNCTION("""COMPUTED_VALUE"""),"Alex Millar")</f>
        <v>Alex Millar</v>
      </c>
      <c r="B183" s="19" t="str">
        <f>IFERROR(__xludf.DUMMYFUNCTION("""COMPUTED_VALUE"""),"QLD")</f>
        <v>QLD</v>
      </c>
      <c r="C183" s="5" t="str">
        <f>IFERROR(__xludf.DUMMYFUNCTION("""COMPUTED_VALUE"""),"1/9 Forest Sound Place Palmwoods QLD 4555")</f>
        <v>1/9 Forest Sound Place Palmwoods QLD 4555</v>
      </c>
      <c r="D183" s="5" t="str">
        <f>IFERROR(__xludf.DUMMYFUNCTION("""COMPUTED_VALUE"""),"1/9 Forest Sound Place Palmwoods QLD 4555")</f>
        <v>1/9 Forest Sound Place Palmwoods QLD 4555</v>
      </c>
      <c r="E183" s="27">
        <f>IFERROR(__xludf.DUMMYFUNCTION("""COMPUTED_VALUE"""),45789.0)</f>
        <v>45789</v>
      </c>
      <c r="F183" s="64">
        <f>IFERROR(__xludf.DUMMYFUNCTION("""COMPUTED_VALUE"""),0.2)</f>
        <v>0.2</v>
      </c>
      <c r="G183" s="19" t="str">
        <f>IFERROR(__xludf.DUMMYFUNCTION("""COMPUTED_VALUE"""),"Instant Forms")</f>
        <v>Instant Forms</v>
      </c>
      <c r="H183" s="19" t="str">
        <f>IFERROR(__xludf.DUMMYFUNCTION("""COMPUTED_VALUE"""),"Lauren Anne")</f>
        <v>Lauren Anne</v>
      </c>
      <c r="I183" s="62">
        <f>IFERROR(__xludf.DUMMYFUNCTION("""COMPUTED_VALUE"""),6.1422937811E10)</f>
        <v>61422937811</v>
      </c>
      <c r="J183" s="19" t="str">
        <f>IFERROR(__xludf.DUMMYFUNCTION("""COMPUTED_VALUE"""),"laurenelms@hotmail.com")</f>
        <v>laurenelms@hotmail.com</v>
      </c>
    </row>
    <row r="184">
      <c r="A184" s="19" t="str">
        <f>IFERROR(__xludf.DUMMYFUNCTION("""COMPUTED_VALUE"""),"")</f>
        <v/>
      </c>
      <c r="B184" s="19" t="str">
        <f>IFERROR(__xludf.DUMMYFUNCTION("""COMPUTED_VALUE"""),"")</f>
        <v/>
      </c>
      <c r="C184" s="5" t="str">
        <f>IFERROR(__xludf.DUMMYFUNCTION("""COMPUTED_VALUE"""),"")</f>
        <v/>
      </c>
      <c r="D184" s="5" t="str">
        <f>IFERROR(__xludf.DUMMYFUNCTION("""COMPUTED_VALUE"""),"")</f>
        <v/>
      </c>
      <c r="E184" s="5" t="str">
        <f>IFERROR(__xludf.DUMMYFUNCTION("""COMPUTED_VALUE"""),"")</f>
        <v/>
      </c>
      <c r="F184" s="5" t="str">
        <f>IFERROR(__xludf.DUMMYFUNCTION("""COMPUTED_VALUE"""),"")</f>
        <v/>
      </c>
      <c r="G184" s="19" t="str">
        <f>IFERROR(__xludf.DUMMYFUNCTION("""COMPUTED_VALUE"""),"")</f>
        <v/>
      </c>
      <c r="H184" s="19" t="str">
        <f>IFERROR(__xludf.DUMMYFUNCTION("""COMPUTED_VALUE"""),"")</f>
        <v/>
      </c>
      <c r="I184" s="62" t="str">
        <f>IFERROR(__xludf.DUMMYFUNCTION("""COMPUTED_VALUE"""),"")</f>
        <v/>
      </c>
      <c r="J184" s="19" t="str">
        <f>IFERROR(__xludf.DUMMYFUNCTION("""COMPUTED_VALUE"""),"")</f>
        <v/>
      </c>
    </row>
    <row r="185">
      <c r="A185" s="19" t="str">
        <f>IFERROR(__xludf.DUMMYFUNCTION("""COMPUTED_VALUE"""),"")</f>
        <v/>
      </c>
      <c r="B185" s="19" t="str">
        <f>IFERROR(__xludf.DUMMYFUNCTION("""COMPUTED_VALUE"""),"")</f>
        <v/>
      </c>
      <c r="C185" s="5" t="str">
        <f>IFERROR(__xludf.DUMMYFUNCTION("""COMPUTED_VALUE"""),"")</f>
        <v/>
      </c>
      <c r="D185" s="5" t="str">
        <f>IFERROR(__xludf.DUMMYFUNCTION("""COMPUTED_VALUE"""),"")</f>
        <v/>
      </c>
      <c r="E185" s="5" t="str">
        <f>IFERROR(__xludf.DUMMYFUNCTION("""COMPUTED_VALUE"""),"")</f>
        <v/>
      </c>
      <c r="F185" s="5" t="str">
        <f>IFERROR(__xludf.DUMMYFUNCTION("""COMPUTED_VALUE"""),"")</f>
        <v/>
      </c>
      <c r="G185" s="19" t="str">
        <f>IFERROR(__xludf.DUMMYFUNCTION("""COMPUTED_VALUE"""),"")</f>
        <v/>
      </c>
      <c r="H185" s="19" t="str">
        <f>IFERROR(__xludf.DUMMYFUNCTION("""COMPUTED_VALUE"""),"")</f>
        <v/>
      </c>
      <c r="I185" s="62" t="str">
        <f>IFERROR(__xludf.DUMMYFUNCTION("""COMPUTED_VALUE"""),"")</f>
        <v/>
      </c>
      <c r="J185" s="19" t="str">
        <f>IFERROR(__xludf.DUMMYFUNCTION("""COMPUTED_VALUE"""),"")</f>
        <v/>
      </c>
    </row>
    <row r="186">
      <c r="A186" s="19" t="str">
        <f>IFERROR(__xludf.DUMMYFUNCTION("""COMPUTED_VALUE"""),"Alex Sparrow")</f>
        <v>Alex Sparrow</v>
      </c>
      <c r="B186" s="19" t="str">
        <f>IFERROR(__xludf.DUMMYFUNCTION("""COMPUTED_VALUE"""),"QLD")</f>
        <v>QLD</v>
      </c>
      <c r="C186" s="5" t="str">
        <f>IFERROR(__xludf.DUMMYFUNCTION("""COMPUTED_VALUE"""),"Sadliers Crossing")</f>
        <v>Sadliers Crossing</v>
      </c>
      <c r="D186" s="5" t="str">
        <f>IFERROR(__xludf.DUMMYFUNCTION("""COMPUTED_VALUE"""),"1 Tallon Street Sadliers Crossing QLD 4305")</f>
        <v>1 Tallon Street Sadliers Crossing QLD 4305</v>
      </c>
      <c r="E186" s="25">
        <f>IFERROR(__xludf.DUMMYFUNCTION("""COMPUTED_VALUE"""),45890.0)</f>
        <v>45890</v>
      </c>
      <c r="F186" s="5" t="str">
        <f>IFERROR(__xludf.DUMMYFUNCTION("""COMPUTED_VALUE"""),"Featured")</f>
        <v>Featured</v>
      </c>
      <c r="G186" s="19" t="str">
        <f>IFERROR(__xludf.DUMMYFUNCTION("""COMPUTED_VALUE"""),"Instant Forms")</f>
        <v>Instant Forms</v>
      </c>
      <c r="H186" s="19"/>
      <c r="I186" s="62"/>
      <c r="J186" s="19"/>
    </row>
    <row r="187">
      <c r="A187" s="19" t="str">
        <f>IFERROR(__xludf.DUMMYFUNCTION("""COMPUTED_VALUE"""),"Alex Sparrow")</f>
        <v>Alex Sparrow</v>
      </c>
      <c r="B187" s="19" t="str">
        <f>IFERROR(__xludf.DUMMYFUNCTION("""COMPUTED_VALUE"""),"QLD")</f>
        <v>QLD</v>
      </c>
      <c r="C187" s="5" t="str">
        <f>IFERROR(__xludf.DUMMYFUNCTION("""COMPUTED_VALUE"""),"north ipswich")</f>
        <v>north ipswich</v>
      </c>
      <c r="D187" s="5" t="str">
        <f>IFERROR(__xludf.DUMMYFUNCTION("""COMPUTED_VALUE"""),"56 Edith Drive North Ipswich QLD 4305")</f>
        <v>56 Edith Drive North Ipswich QLD 4305</v>
      </c>
      <c r="E187" s="25">
        <f>IFERROR(__xludf.DUMMYFUNCTION("""COMPUTED_VALUE"""),45898.0)</f>
        <v>45898</v>
      </c>
      <c r="F187" s="5" t="str">
        <f>IFERROR(__xludf.DUMMYFUNCTION("""COMPUTED_VALUE"""),"Featured")</f>
        <v>Featured</v>
      </c>
      <c r="G187" s="19" t="str">
        <f>IFERROR(__xludf.DUMMYFUNCTION("""COMPUTED_VALUE"""),"Instant Forms")</f>
        <v>Instant Forms</v>
      </c>
      <c r="H187" s="19"/>
      <c r="I187" s="62"/>
      <c r="J187" s="19"/>
    </row>
    <row r="188">
      <c r="A188" s="19" t="str">
        <f>IFERROR(__xludf.DUMMYFUNCTION("""COMPUTED_VALUE"""),"Alex Sparrow")</f>
        <v>Alex Sparrow</v>
      </c>
      <c r="B188" s="19" t="str">
        <f>IFERROR(__xludf.DUMMYFUNCTION("""COMPUTED_VALUE"""),"QLD")</f>
        <v>QLD</v>
      </c>
      <c r="C188" s="5" t="str">
        <f>IFERROR(__xludf.DUMMYFUNCTION("""COMPUTED_VALUE"""),"Silkstone")</f>
        <v>Silkstone</v>
      </c>
      <c r="D188" s="5" t="str">
        <f>IFERROR(__xludf.DUMMYFUNCTION("""COMPUTED_VALUE"""),"17 Loveanius Street Silkstone QLD 4304")</f>
        <v>17 Loveanius Street Silkstone QLD 4304</v>
      </c>
      <c r="E188" s="25">
        <f>IFERROR(__xludf.DUMMYFUNCTION("""COMPUTED_VALUE"""),45899.0)</f>
        <v>45899</v>
      </c>
      <c r="F188" s="5" t="str">
        <f>IFERROR(__xludf.DUMMYFUNCTION("""COMPUTED_VALUE"""),"Featured")</f>
        <v>Featured</v>
      </c>
      <c r="G188" s="19" t="str">
        <f>IFERROR(__xludf.DUMMYFUNCTION("""COMPUTED_VALUE"""),"Instant Forms")</f>
        <v>Instant Forms</v>
      </c>
      <c r="H188" s="19"/>
      <c r="I188" s="62"/>
      <c r="J188" s="19"/>
    </row>
    <row r="189">
      <c r="A189" s="19" t="str">
        <f>IFERROR(__xludf.DUMMYFUNCTION("""COMPUTED_VALUE"""),"Alex Sparrow")</f>
        <v>Alex Sparrow</v>
      </c>
      <c r="B189" s="19" t="str">
        <f>IFERROR(__xludf.DUMMYFUNCTION("""COMPUTED_VALUE"""),"QLD")</f>
        <v>QLD</v>
      </c>
      <c r="C189" s="5" t="str">
        <f>IFERROR(__xludf.DUMMYFUNCTION("""COMPUTED_VALUE"""),"Brassall")</f>
        <v>Brassall</v>
      </c>
      <c r="D189" s="5" t="str">
        <f>IFERROR(__xludf.DUMMYFUNCTION("""COMPUTED_VALUE"""),"2/15 Workshops Street Brassall QLD 4305")</f>
        <v>2/15 Workshops Street Brassall QLD 4305</v>
      </c>
      <c r="E189" s="25">
        <f>IFERROR(__xludf.DUMMYFUNCTION("""COMPUTED_VALUE"""),45899.0)</f>
        <v>45899</v>
      </c>
      <c r="F189" s="5" t="str">
        <f>IFERROR(__xludf.DUMMYFUNCTION("""COMPUTED_VALUE"""),"Featured")</f>
        <v>Featured</v>
      </c>
      <c r="G189" s="19" t="str">
        <f>IFERROR(__xludf.DUMMYFUNCTION("""COMPUTED_VALUE"""),"Instant Forms")</f>
        <v>Instant Forms</v>
      </c>
      <c r="H189" s="19"/>
      <c r="I189" s="62"/>
      <c r="J189" s="19"/>
    </row>
    <row r="190">
      <c r="A190" s="19" t="str">
        <f>IFERROR(__xludf.DUMMYFUNCTION("""COMPUTED_VALUE"""),"Alex Sparrow")</f>
        <v>Alex Sparrow</v>
      </c>
      <c r="B190" s="19" t="str">
        <f>IFERROR(__xludf.DUMMYFUNCTION("""COMPUTED_VALUE"""),"QLD")</f>
        <v>QLD</v>
      </c>
      <c r="C190" s="5" t="str">
        <f>IFERROR(__xludf.DUMMYFUNCTION("""COMPUTED_VALUE"""),"Ipswich")</f>
        <v>Ipswich</v>
      </c>
      <c r="D190" s="5"/>
      <c r="E190" s="25">
        <f>IFERROR(__xludf.DUMMYFUNCTION("""COMPUTED_VALUE"""),45901.0)</f>
        <v>45901</v>
      </c>
      <c r="F190" s="5" t="str">
        <f>IFERROR(__xludf.DUMMYFUNCTION("""COMPUTED_VALUE"""),"Free")</f>
        <v>Free</v>
      </c>
      <c r="G190" s="19" t="str">
        <f>IFERROR(__xludf.DUMMYFUNCTION("""COMPUTED_VALUE"""),"Instant Forms")</f>
        <v>Instant Forms</v>
      </c>
      <c r="H190" s="19"/>
      <c r="I190" s="62"/>
      <c r="J190" s="19"/>
    </row>
    <row r="191">
      <c r="A191" s="19" t="str">
        <f>IFERROR(__xludf.DUMMYFUNCTION("""COMPUTED_VALUE"""),"Alex Sparrow")</f>
        <v>Alex Sparrow</v>
      </c>
      <c r="B191" s="19" t="str">
        <f>IFERROR(__xludf.DUMMYFUNCTION("""COMPUTED_VALUE"""),"QLD")</f>
        <v>QLD</v>
      </c>
      <c r="C191" s="5" t="str">
        <f>IFERROR(__xludf.DUMMYFUNCTION("""COMPUTED_VALUE"""),"Chuwar")</f>
        <v>Chuwar</v>
      </c>
      <c r="D191" s="5"/>
      <c r="E191" s="25">
        <f>IFERROR(__xludf.DUMMYFUNCTION("""COMPUTED_VALUE"""),45901.0)</f>
        <v>45901</v>
      </c>
      <c r="F191" s="5" t="str">
        <f>IFERROR(__xludf.DUMMYFUNCTION("""COMPUTED_VALUE"""),"Free")</f>
        <v>Free</v>
      </c>
      <c r="G191" s="19" t="str">
        <f>IFERROR(__xludf.DUMMYFUNCTION("""COMPUTED_VALUE"""),"Instant Forms")</f>
        <v>Instant Forms</v>
      </c>
      <c r="H191" s="19"/>
      <c r="I191" s="62"/>
      <c r="J191" s="19"/>
    </row>
    <row r="192">
      <c r="A192" s="19" t="str">
        <f>IFERROR(__xludf.DUMMYFUNCTION("""COMPUTED_VALUE"""),"Alex Sparrow")</f>
        <v>Alex Sparrow</v>
      </c>
      <c r="B192" s="19" t="str">
        <f>IFERROR(__xludf.DUMMYFUNCTION("""COMPUTED_VALUE"""),"QLD")</f>
        <v>QLD</v>
      </c>
      <c r="C192" s="5" t="str">
        <f>IFERROR(__xludf.DUMMYFUNCTION("""COMPUTED_VALUE"""),"Karalee")</f>
        <v>Karalee</v>
      </c>
      <c r="D192" s="5"/>
      <c r="E192" s="25">
        <f>IFERROR(__xludf.DUMMYFUNCTION("""COMPUTED_VALUE"""),45901.0)</f>
        <v>45901</v>
      </c>
      <c r="F192" s="5" t="str">
        <f>IFERROR(__xludf.DUMMYFUNCTION("""COMPUTED_VALUE"""),"Free")</f>
        <v>Free</v>
      </c>
      <c r="G192" s="19" t="str">
        <f>IFERROR(__xludf.DUMMYFUNCTION("""COMPUTED_VALUE"""),"Instant Forms")</f>
        <v>Instant Forms</v>
      </c>
      <c r="H192" s="19"/>
      <c r="I192" s="62"/>
      <c r="J192" s="19"/>
    </row>
    <row r="193">
      <c r="A193" s="19" t="str">
        <f>IFERROR(__xludf.DUMMYFUNCTION("""COMPUTED_VALUE"""),"Alex Sparrow")</f>
        <v>Alex Sparrow</v>
      </c>
      <c r="B193" s="19" t="str">
        <f>IFERROR(__xludf.DUMMYFUNCTION("""COMPUTED_VALUE"""),"QLD")</f>
        <v>QLD</v>
      </c>
      <c r="C193" s="5" t="str">
        <f>IFERROR(__xludf.DUMMYFUNCTION("""COMPUTED_VALUE"""),"Ipswich")</f>
        <v>Ipswich</v>
      </c>
      <c r="D193" s="5"/>
      <c r="E193" s="25">
        <f>IFERROR(__xludf.DUMMYFUNCTION("""COMPUTED_VALUE"""),45901.0)</f>
        <v>45901</v>
      </c>
      <c r="F193" s="5" t="str">
        <f>IFERROR(__xludf.DUMMYFUNCTION("""COMPUTED_VALUE"""),"Free")</f>
        <v>Free</v>
      </c>
      <c r="G193" s="19" t="str">
        <f>IFERROR(__xludf.DUMMYFUNCTION("""COMPUTED_VALUE"""),"Instant Forms")</f>
        <v>Instant Forms</v>
      </c>
      <c r="H193" s="19"/>
      <c r="I193" s="62"/>
      <c r="J193" s="19"/>
    </row>
    <row r="194">
      <c r="A194" s="19" t="str">
        <f>IFERROR(__xludf.DUMMYFUNCTION("""COMPUTED_VALUE"""),"Alex Sparrow")</f>
        <v>Alex Sparrow</v>
      </c>
      <c r="B194" s="19" t="str">
        <f>IFERROR(__xludf.DUMMYFUNCTION("""COMPUTED_VALUE"""),"QLD")</f>
        <v>QLD</v>
      </c>
      <c r="C194" s="5" t="str">
        <f>IFERROR(__xludf.DUMMYFUNCTION("""COMPUTED_VALUE"""),"Barellan Point")</f>
        <v>Barellan Point</v>
      </c>
      <c r="D194" s="5" t="str">
        <f>IFERROR(__xludf.DUMMYFUNCTION("""COMPUTED_VALUE"""),"8-10 Stuart Street Barellan Point QLD 4306 &amp; 52-60 Mitchell Street Barellan Point QLD 4306")</f>
        <v>8-10 Stuart Street Barellan Point QLD 4306 &amp; 52-60 Mitchell Street Barellan Point QLD 4306</v>
      </c>
      <c r="E194" s="25">
        <f>IFERROR(__xludf.DUMMYFUNCTION("""COMPUTED_VALUE"""),45903.0)</f>
        <v>45903</v>
      </c>
      <c r="F194" s="5" t="str">
        <f>IFERROR(__xludf.DUMMYFUNCTION("""COMPUTED_VALUE"""),"Featured")</f>
        <v>Featured</v>
      </c>
      <c r="G194" s="19" t="str">
        <f>IFERROR(__xludf.DUMMYFUNCTION("""COMPUTED_VALUE"""),"Instant Forms")</f>
        <v>Instant Forms</v>
      </c>
      <c r="H194" s="19"/>
      <c r="I194" s="62"/>
      <c r="J194" s="19"/>
    </row>
    <row r="195">
      <c r="A195" s="19" t="str">
        <f>IFERROR(__xludf.DUMMYFUNCTION("""COMPUTED_VALUE"""),"Alex Sparrow")</f>
        <v>Alex Sparrow</v>
      </c>
      <c r="B195" s="19" t="str">
        <f>IFERROR(__xludf.DUMMYFUNCTION("""COMPUTED_VALUE"""),"QLD")</f>
        <v>QLD</v>
      </c>
      <c r="C195" s="5" t="str">
        <f>IFERROR(__xludf.DUMMYFUNCTION("""COMPUTED_VALUE"""),"Karalee")</f>
        <v>Karalee</v>
      </c>
      <c r="D195" s="5" t="str">
        <f>IFERROR(__xludf.DUMMYFUNCTION("""COMPUTED_VALUE"""),"29 Voyager Drive, Karalee, QLD, 4306, Australia")</f>
        <v>29 Voyager Drive, Karalee, QLD, 4306, Australia</v>
      </c>
      <c r="E195" s="25">
        <f>IFERROR(__xludf.DUMMYFUNCTION("""COMPUTED_VALUE"""),45908.0)</f>
        <v>45908</v>
      </c>
      <c r="F195" s="5" t="str">
        <f>IFERROR(__xludf.DUMMYFUNCTION("""COMPUTED_VALUE"""),"Featured")</f>
        <v>Featured</v>
      </c>
      <c r="G195" s="19" t="str">
        <f>IFERROR(__xludf.DUMMYFUNCTION("""COMPUTED_VALUE"""),"Commission Comparison")</f>
        <v>Commission Comparison</v>
      </c>
      <c r="H195" s="19"/>
      <c r="I195" s="62"/>
      <c r="J195" s="19"/>
    </row>
    <row r="196">
      <c r="A196" s="19" t="str">
        <f>IFERROR(__xludf.DUMMYFUNCTION("""COMPUTED_VALUE"""),"Alex Sparrow")</f>
        <v>Alex Sparrow</v>
      </c>
      <c r="B196" s="19" t="str">
        <f>IFERROR(__xludf.DUMMYFUNCTION("""COMPUTED_VALUE"""),"QLD")</f>
        <v>QLD</v>
      </c>
      <c r="C196" s="5" t="str">
        <f>IFERROR(__xludf.DUMMYFUNCTION("""COMPUTED_VALUE"""),"Ipswich")</f>
        <v>Ipswich</v>
      </c>
      <c r="D196" s="5" t="str">
        <f>IFERROR(__xludf.DUMMYFUNCTION("""COMPUTED_VALUE"""),"64 Reif Street Flinders View QLD 4305")</f>
        <v>64 Reif Street Flinders View QLD 4305</v>
      </c>
      <c r="E196" s="25">
        <f>IFERROR(__xludf.DUMMYFUNCTION("""COMPUTED_VALUE"""),45910.0)</f>
        <v>45910</v>
      </c>
      <c r="F196" s="5">
        <f>IFERROR(__xludf.DUMMYFUNCTION("""COMPUTED_VALUE"""),8.0)</f>
        <v>8</v>
      </c>
      <c r="G196" s="19" t="str">
        <f>IFERROR(__xludf.DUMMYFUNCTION("""COMPUTED_VALUE"""),"Instant Forms")</f>
        <v>Instant Forms</v>
      </c>
      <c r="H196" s="19" t="str">
        <f>IFERROR(__xludf.DUMMYFUNCTION("""COMPUTED_VALUE"""),"Tania Burrows")</f>
        <v>Tania Burrows</v>
      </c>
      <c r="I196" s="62"/>
      <c r="J196" s="19"/>
    </row>
    <row r="197">
      <c r="A197" s="19" t="str">
        <f>IFERROR(__xludf.DUMMYFUNCTION("""COMPUTED_VALUE"""),"Alex Sparrow")</f>
        <v>Alex Sparrow</v>
      </c>
      <c r="B197" s="19" t="str">
        <f>IFERROR(__xludf.DUMMYFUNCTION("""COMPUTED_VALUE"""),"QLD")</f>
        <v>QLD</v>
      </c>
      <c r="C197" s="5" t="str">
        <f>IFERROR(__xludf.DUMMYFUNCTION("""COMPUTED_VALUE"""),"Raceview")</f>
        <v>Raceview</v>
      </c>
      <c r="D197" s="5" t="str">
        <f>IFERROR(__xludf.DUMMYFUNCTION("""COMPUTED_VALUE"""),"14 Petaine Street Raceview QLD 4305")</f>
        <v>14 Petaine Street Raceview QLD 4305</v>
      </c>
      <c r="E197" s="25">
        <f>IFERROR(__xludf.DUMMYFUNCTION("""COMPUTED_VALUE"""),45916.0)</f>
        <v>45916</v>
      </c>
      <c r="F197" s="5">
        <f>IFERROR(__xludf.DUMMYFUNCTION("""COMPUTED_VALUE"""),8.0)</f>
        <v>8</v>
      </c>
      <c r="G197" s="19" t="str">
        <f>IFERROR(__xludf.DUMMYFUNCTION("""COMPUTED_VALUE"""),"Instant Forms")</f>
        <v>Instant Forms</v>
      </c>
      <c r="H197" s="19" t="str">
        <f>IFERROR(__xludf.DUMMYFUNCTION("""COMPUTED_VALUE"""),"Anthony Standen")</f>
        <v>Anthony Standen</v>
      </c>
      <c r="I197" s="62"/>
      <c r="J197" s="19"/>
    </row>
    <row r="198">
      <c r="A198" s="19" t="str">
        <f>IFERROR(__xludf.DUMMYFUNCTION("""COMPUTED_VALUE"""),"Alex Sparrow")</f>
        <v>Alex Sparrow</v>
      </c>
      <c r="B198" s="19" t="str">
        <f>IFERROR(__xludf.DUMMYFUNCTION("""COMPUTED_VALUE"""),"QLD")</f>
        <v>QLD</v>
      </c>
      <c r="C198" s="5">
        <f>IFERROR(__xludf.DUMMYFUNCTION("""COMPUTED_VALUE"""),4305.0)</f>
        <v>4305</v>
      </c>
      <c r="D198" s="5"/>
      <c r="E198" s="25">
        <f>IFERROR(__xludf.DUMMYFUNCTION("""COMPUTED_VALUE"""),45916.0)</f>
        <v>45916</v>
      </c>
      <c r="F198" s="5">
        <f>IFERROR(__xludf.DUMMYFUNCTION("""COMPUTED_VALUE"""),6.0)</f>
        <v>6</v>
      </c>
      <c r="G198" s="19" t="str">
        <f>IFERROR(__xludf.DUMMYFUNCTION("""COMPUTED_VALUE"""),"Instant Forms")</f>
        <v>Instant Forms</v>
      </c>
      <c r="H198" s="19" t="str">
        <f>IFERROR(__xludf.DUMMYFUNCTION("""COMPUTED_VALUE"""),"Cherie Marshall")</f>
        <v>Cherie Marshall</v>
      </c>
      <c r="I198" s="62"/>
      <c r="J198" s="19"/>
    </row>
    <row r="199">
      <c r="A199" s="19" t="str">
        <f>IFERROR(__xludf.DUMMYFUNCTION("""COMPUTED_VALUE"""),"Alex Sparrow")</f>
        <v>Alex Sparrow</v>
      </c>
      <c r="B199" s="19" t="str">
        <f>IFERROR(__xludf.DUMMYFUNCTION("""COMPUTED_VALUE"""),"QLD")</f>
        <v>QLD</v>
      </c>
      <c r="C199" s="5" t="str">
        <f>IFERROR(__xludf.DUMMYFUNCTION("""COMPUTED_VALUE"""),"Raceview, QLD")</f>
        <v>Raceview, QLD</v>
      </c>
      <c r="D199" s="5" t="str">
        <f>IFERROR(__xludf.DUMMYFUNCTION("""COMPUTED_VALUE"""),"26 Ironbark Crescent Raceview QLD 4305")</f>
        <v>26 Ironbark Crescent Raceview QLD 4305</v>
      </c>
      <c r="E199" s="25">
        <f>IFERROR(__xludf.DUMMYFUNCTION("""COMPUTED_VALUE"""),45916.0)</f>
        <v>45916</v>
      </c>
      <c r="F199" s="5">
        <f>IFERROR(__xludf.DUMMYFUNCTION("""COMPUTED_VALUE"""),8.0)</f>
        <v>8</v>
      </c>
      <c r="G199" s="19" t="str">
        <f>IFERROR(__xludf.DUMMYFUNCTION("""COMPUTED_VALUE"""),"Instant Forms")</f>
        <v>Instant Forms</v>
      </c>
      <c r="H199" s="19" t="str">
        <f>IFERROR(__xludf.DUMMYFUNCTION("""COMPUTED_VALUE"""),"Sharon Bakens")</f>
        <v>Sharon Bakens</v>
      </c>
      <c r="I199" s="62"/>
      <c r="J199" s="19"/>
    </row>
    <row r="200">
      <c r="A200" s="19" t="str">
        <f>IFERROR(__xludf.DUMMYFUNCTION("""COMPUTED_VALUE"""),"Alex Sparrow")</f>
        <v>Alex Sparrow</v>
      </c>
      <c r="B200" s="19" t="str">
        <f>IFERROR(__xludf.DUMMYFUNCTION("""COMPUTED_VALUE"""),"QLD")</f>
        <v>QLD</v>
      </c>
      <c r="C200" s="5" t="str">
        <f>IFERROR(__xludf.DUMMYFUNCTION("""COMPUTED_VALUE"""),"Yamanto")</f>
        <v>Yamanto</v>
      </c>
      <c r="D200" s="5" t="str">
        <f>IFERROR(__xludf.DUMMYFUNCTION("""COMPUTED_VALUE"""),"86 Sandalwood Drive Yamanto QLD 4305")</f>
        <v>86 Sandalwood Drive Yamanto QLD 4305</v>
      </c>
      <c r="E200" s="25">
        <f>IFERROR(__xludf.DUMMYFUNCTION("""COMPUTED_VALUE"""),45917.0)</f>
        <v>45917</v>
      </c>
      <c r="F200" s="5">
        <f>IFERROR(__xludf.DUMMYFUNCTION("""COMPUTED_VALUE"""),8.0)</f>
        <v>8</v>
      </c>
      <c r="G200" s="19" t="str">
        <f>IFERROR(__xludf.DUMMYFUNCTION("""COMPUTED_VALUE"""),"Instant Forms")</f>
        <v>Instant Forms</v>
      </c>
      <c r="H200" s="19" t="str">
        <f>IFERROR(__xludf.DUMMYFUNCTION("""COMPUTED_VALUE"""),"Sue Ford")</f>
        <v>Sue Ford</v>
      </c>
      <c r="I200" s="62"/>
      <c r="J200" s="19"/>
    </row>
    <row r="201">
      <c r="A201" s="19" t="str">
        <f>IFERROR(__xludf.DUMMYFUNCTION("""COMPUTED_VALUE"""),"Alex Sparrow")</f>
        <v>Alex Sparrow</v>
      </c>
      <c r="B201" s="19" t="str">
        <f>IFERROR(__xludf.DUMMYFUNCTION("""COMPUTED_VALUE"""),"QLD")</f>
        <v>QLD</v>
      </c>
      <c r="C201" s="5" t="str">
        <f>IFERROR(__xludf.DUMMYFUNCTION("""COMPUTED_VALUE"""),"North Ipswich")</f>
        <v>North Ipswich</v>
      </c>
      <c r="D201" s="5" t="str">
        <f>IFERROR(__xludf.DUMMYFUNCTION("""COMPUTED_VALUE"""),"56 Edith Dv North Ipswich Qld")</f>
        <v>56 Edith Dv North Ipswich Qld</v>
      </c>
      <c r="E201" s="25">
        <f>IFERROR(__xludf.DUMMYFUNCTION("""COMPUTED_VALUE"""),45920.0)</f>
        <v>45920</v>
      </c>
      <c r="F201" s="5" t="str">
        <f>IFERROR(__xludf.DUMMYFUNCTION("""COMPUTED_VALUE"""),"Featured")</f>
        <v>Featured</v>
      </c>
      <c r="G201" s="19" t="str">
        <f>IFERROR(__xludf.DUMMYFUNCTION("""COMPUTED_VALUE"""),"Commission Comparison")</f>
        <v>Commission Comparison</v>
      </c>
      <c r="H201" s="19"/>
      <c r="I201" s="62"/>
      <c r="J201" s="19"/>
    </row>
    <row r="202">
      <c r="A202" s="19" t="str">
        <f>IFERROR(__xludf.DUMMYFUNCTION("""COMPUTED_VALUE"""),"Alex Sparrow")</f>
        <v>Alex Sparrow</v>
      </c>
      <c r="B202" s="19" t="str">
        <f>IFERROR(__xludf.DUMMYFUNCTION("""COMPUTED_VALUE"""),"QLD")</f>
        <v>QLD</v>
      </c>
      <c r="C202" s="5" t="str">
        <f>IFERROR(__xludf.DUMMYFUNCTION("""COMPUTED_VALUE"""),"forest hill")</f>
        <v>forest hill</v>
      </c>
      <c r="D202" s="5" t="str">
        <f>IFERROR(__xludf.DUMMYFUNCTION("""COMPUTED_VALUE"""),"24 forest hill fernvale road forest hill")</f>
        <v>24 forest hill fernvale road forest hill</v>
      </c>
      <c r="E202" s="25">
        <f>IFERROR(__xludf.DUMMYFUNCTION("""COMPUTED_VALUE"""),45923.0)</f>
        <v>45923</v>
      </c>
      <c r="F202" s="5" t="str">
        <f>IFERROR(__xludf.DUMMYFUNCTION("""COMPUTED_VALUE"""),"Featured")</f>
        <v>Featured</v>
      </c>
      <c r="G202" s="19" t="str">
        <f>IFERROR(__xludf.DUMMYFUNCTION("""COMPUTED_VALUE"""),"Commission Comparison")</f>
        <v>Commission Comparison</v>
      </c>
      <c r="H202" s="19"/>
      <c r="I202" s="62"/>
      <c r="J202" s="19"/>
    </row>
    <row r="203">
      <c r="A203" s="19" t="str">
        <f>IFERROR(__xludf.DUMMYFUNCTION("""COMPUTED_VALUE"""),"Alex Sparrow")</f>
        <v>Alex Sparrow</v>
      </c>
      <c r="B203" s="19" t="str">
        <f>IFERROR(__xludf.DUMMYFUNCTION("""COMPUTED_VALUE"""),"QLD")</f>
        <v>QLD</v>
      </c>
      <c r="C203" s="5" t="str">
        <f>IFERROR(__xludf.DUMMYFUNCTION("""COMPUTED_VALUE"""),"Mount Crosby")</f>
        <v>Mount Crosby</v>
      </c>
      <c r="D203" s="5" t="str">
        <f>IFERROR(__xludf.DUMMYFUNCTION("""COMPUTED_VALUE"""),"37 Swensons Road Mount Crosby QLD 4306")</f>
        <v>37 Swensons Road Mount Crosby QLD 4306</v>
      </c>
      <c r="E203" s="25">
        <f>IFERROR(__xludf.DUMMYFUNCTION("""COMPUTED_VALUE"""),45923.0)</f>
        <v>45923</v>
      </c>
      <c r="F203" s="5">
        <f>IFERROR(__xludf.DUMMYFUNCTION("""COMPUTED_VALUE"""),8.0)</f>
        <v>8</v>
      </c>
      <c r="G203" s="19" t="str">
        <f>IFERROR(__xludf.DUMMYFUNCTION("""COMPUTED_VALUE"""),"Instant Forms")</f>
        <v>Instant Forms</v>
      </c>
      <c r="H203" s="19" t="str">
        <f>IFERROR(__xludf.DUMMYFUNCTION("""COMPUTED_VALUE"""),"Averill Quinton")</f>
        <v>Averill Quinton</v>
      </c>
      <c r="I203" s="62"/>
      <c r="J203" s="19"/>
    </row>
    <row r="204">
      <c r="A204" s="19" t="str">
        <f>IFERROR(__xludf.DUMMYFUNCTION("""COMPUTED_VALUE"""),"Alex Sparrow")</f>
        <v>Alex Sparrow</v>
      </c>
      <c r="B204" s="19" t="str">
        <f>IFERROR(__xludf.DUMMYFUNCTION("""COMPUTED_VALUE"""),"QLD")</f>
        <v>QLD</v>
      </c>
      <c r="C204" s="5" t="str">
        <f>IFERROR(__xludf.DUMMYFUNCTION("""COMPUTED_VALUE"""),"Brassall")</f>
        <v>Brassall</v>
      </c>
      <c r="D204" s="5" t="str">
        <f>IFERROR(__xludf.DUMMYFUNCTION("""COMPUTED_VALUE"""),"14 Ross Street, Brassall, QLD, 4305, Australia")</f>
        <v>14 Ross Street, Brassall, QLD, 4305, Australia</v>
      </c>
      <c r="E204" s="25">
        <f>IFERROR(__xludf.DUMMYFUNCTION("""COMPUTED_VALUE"""),45924.0)</f>
        <v>45924</v>
      </c>
      <c r="F204" s="5" t="str">
        <f>IFERROR(__xludf.DUMMYFUNCTION("""COMPUTED_VALUE"""),"Featured")</f>
        <v>Featured</v>
      </c>
      <c r="G204" s="19" t="str">
        <f>IFERROR(__xludf.DUMMYFUNCTION("""COMPUTED_VALUE"""),"Commission Comparison")</f>
        <v>Commission Comparison</v>
      </c>
      <c r="H204" s="19"/>
      <c r="I204" s="62"/>
      <c r="J204" s="19"/>
    </row>
    <row r="205">
      <c r="A205" s="19" t="str">
        <f>IFERROR(__xludf.DUMMYFUNCTION("""COMPUTED_VALUE"""),"Alex Sparrow")</f>
        <v>Alex Sparrow</v>
      </c>
      <c r="B205" s="19" t="str">
        <f>IFERROR(__xludf.DUMMYFUNCTION("""COMPUTED_VALUE"""),"QLD")</f>
        <v>QLD</v>
      </c>
      <c r="C205" s="5" t="str">
        <f>IFERROR(__xludf.DUMMYFUNCTION("""COMPUTED_VALUE"""),"One Mile Qld")</f>
        <v>One Mile Qld</v>
      </c>
      <c r="D205" s="5" t="str">
        <f>IFERROR(__xludf.DUMMYFUNCTION("""COMPUTED_VALUE"""),"14 Ronayne Circle One Mile QLD 4305")</f>
        <v>14 Ronayne Circle One Mile QLD 4305</v>
      </c>
      <c r="E205" s="25">
        <f>IFERROR(__xludf.DUMMYFUNCTION("""COMPUTED_VALUE"""),45925.0)</f>
        <v>45925</v>
      </c>
      <c r="F205" s="5">
        <f>IFERROR(__xludf.DUMMYFUNCTION("""COMPUTED_VALUE"""),8.0)</f>
        <v>8</v>
      </c>
      <c r="G205" s="19" t="str">
        <f>IFERROR(__xludf.DUMMYFUNCTION("""COMPUTED_VALUE"""),"Instant Forms")</f>
        <v>Instant Forms</v>
      </c>
      <c r="H205" s="19" t="str">
        <f>IFERROR(__xludf.DUMMYFUNCTION("""COMPUTED_VALUE"""),"Sue Cooper Pavitt")</f>
        <v>Sue Cooper Pavitt</v>
      </c>
      <c r="I205" s="62"/>
      <c r="J205" s="19"/>
    </row>
    <row r="206">
      <c r="A206" s="19" t="str">
        <f>IFERROR(__xludf.DUMMYFUNCTION("""COMPUTED_VALUE"""),"Alex Sparrow")</f>
        <v>Alex Sparrow</v>
      </c>
      <c r="B206" s="19" t="str">
        <f>IFERROR(__xludf.DUMMYFUNCTION("""COMPUTED_VALUE"""),"QLD")</f>
        <v>QLD</v>
      </c>
      <c r="C206" s="5" t="str">
        <f>IFERROR(__xludf.DUMMYFUNCTION("""COMPUTED_VALUE"""),"Leichhardt")</f>
        <v>Leichhardt</v>
      </c>
      <c r="D206" s="5" t="str">
        <f>IFERROR(__xludf.DUMMYFUNCTION("""COMPUTED_VALUE"""),"22 Neumann Place Leichhardt QLD 4305")</f>
        <v>22 Neumann Place Leichhardt QLD 4305</v>
      </c>
      <c r="E206" s="25">
        <f>IFERROR(__xludf.DUMMYFUNCTION("""COMPUTED_VALUE"""),45931.0)</f>
        <v>45931</v>
      </c>
      <c r="F206" s="5">
        <f>IFERROR(__xludf.DUMMYFUNCTION("""COMPUTED_VALUE"""),6.0)</f>
        <v>6</v>
      </c>
      <c r="G206" s="19" t="str">
        <f>IFERROR(__xludf.DUMMYFUNCTION("""COMPUTED_VALUE"""),"Instant Forms")</f>
        <v>Instant Forms</v>
      </c>
      <c r="H206" s="19" t="str">
        <f>IFERROR(__xludf.DUMMYFUNCTION("""COMPUTED_VALUE"""),"Bev Palfrey")</f>
        <v>Bev Palfrey</v>
      </c>
      <c r="I206" s="62"/>
      <c r="J206" s="19"/>
    </row>
    <row r="207">
      <c r="A207" s="19" t="str">
        <f>IFERROR(__xludf.DUMMYFUNCTION("""COMPUTED_VALUE"""),"Alex Sparrow")</f>
        <v>Alex Sparrow</v>
      </c>
      <c r="B207" s="19" t="str">
        <f>IFERROR(__xludf.DUMMYFUNCTION("""COMPUTED_VALUE"""),"QLD")</f>
        <v>QLD</v>
      </c>
      <c r="C207" s="5" t="str">
        <f>IFERROR(__xludf.DUMMYFUNCTION("""COMPUTED_VALUE"""),"One Mile")</f>
        <v>One Mile</v>
      </c>
      <c r="D207" s="5" t="str">
        <f>IFERROR(__xludf.DUMMYFUNCTION("""COMPUTED_VALUE"""),"14 Ronayne Circle, One Mile, QLD, 4305, Australia")</f>
        <v>14 Ronayne Circle, One Mile, QLD, 4305, Australia</v>
      </c>
      <c r="E207" s="25">
        <f>IFERROR(__xludf.DUMMYFUNCTION("""COMPUTED_VALUE"""),45932.0)</f>
        <v>45932</v>
      </c>
      <c r="F207" s="5" t="str">
        <f>IFERROR(__xludf.DUMMYFUNCTION("""COMPUTED_VALUE"""),"Featured")</f>
        <v>Featured</v>
      </c>
      <c r="G207" s="19" t="str">
        <f>IFERROR(__xludf.DUMMYFUNCTION("""COMPUTED_VALUE"""),"Commission Comparison")</f>
        <v>Commission Comparison</v>
      </c>
      <c r="H207" s="19"/>
      <c r="I207" s="62"/>
      <c r="J207" s="19"/>
    </row>
    <row r="208">
      <c r="A208" s="19" t="str">
        <f>IFERROR(__xludf.DUMMYFUNCTION("""COMPUTED_VALUE"""),"Alex Sparrow")</f>
        <v>Alex Sparrow</v>
      </c>
      <c r="B208" s="19" t="str">
        <f>IFERROR(__xludf.DUMMYFUNCTION("""COMPUTED_VALUE"""),"QLD")</f>
        <v>QLD</v>
      </c>
      <c r="C208" s="5" t="str">
        <f>IFERROR(__xludf.DUMMYFUNCTION("""COMPUTED_VALUE"""),"booval")</f>
        <v>booval</v>
      </c>
      <c r="D208" s="5" t="str">
        <f>IFERROR(__xludf.DUMMYFUNCTION("""COMPUTED_VALUE"""),"8 Booval Street Booval QLD 4304")</f>
        <v>8 Booval Street Booval QLD 4304</v>
      </c>
      <c r="E208" s="25">
        <f>IFERROR(__xludf.DUMMYFUNCTION("""COMPUTED_VALUE"""),45936.0)</f>
        <v>45936</v>
      </c>
      <c r="F208" s="5">
        <f>IFERROR(__xludf.DUMMYFUNCTION("""COMPUTED_VALUE"""),8.0)</f>
        <v>8</v>
      </c>
      <c r="G208" s="19" t="str">
        <f>IFERROR(__xludf.DUMMYFUNCTION("""COMPUTED_VALUE"""),"Instant Forms")</f>
        <v>Instant Forms</v>
      </c>
      <c r="H208" s="19" t="str">
        <f>IFERROR(__xludf.DUMMYFUNCTION("""COMPUTED_VALUE"""),"StJohn Ernest Hawkes")</f>
        <v>StJohn Ernest Hawkes</v>
      </c>
      <c r="I208" s="62"/>
      <c r="J208" s="19"/>
    </row>
    <row r="209">
      <c r="A209" s="19" t="str">
        <f>IFERROR(__xludf.DUMMYFUNCTION("""COMPUTED_VALUE"""),"Alex Sparrow")</f>
        <v>Alex Sparrow</v>
      </c>
      <c r="B209" s="19" t="str">
        <f>IFERROR(__xludf.DUMMYFUNCTION("""COMPUTED_VALUE"""),"QLD")</f>
        <v>QLD</v>
      </c>
      <c r="C209" s="5" t="str">
        <f>IFERROR(__xludf.DUMMYFUNCTION("""COMPUTED_VALUE"""),"Laidley")</f>
        <v>Laidley</v>
      </c>
      <c r="D209" s="5" t="str">
        <f>IFERROR(__xludf.DUMMYFUNCTION("""COMPUTED_VALUE"""),"21 Mountain Road Laidley QLD 4341")</f>
        <v>21 Mountain Road Laidley QLD 4341</v>
      </c>
      <c r="E209" s="25">
        <f>IFERROR(__xludf.DUMMYFUNCTION("""COMPUTED_VALUE"""),45939.0)</f>
        <v>45939</v>
      </c>
      <c r="F209" s="5">
        <f>IFERROR(__xludf.DUMMYFUNCTION("""COMPUTED_VALUE"""),8.0)</f>
        <v>8</v>
      </c>
      <c r="G209" s="19" t="str">
        <f>IFERROR(__xludf.DUMMYFUNCTION("""COMPUTED_VALUE"""),"Instant Forms")</f>
        <v>Instant Forms</v>
      </c>
      <c r="H209" s="19"/>
      <c r="I209" s="62"/>
      <c r="J209" s="19"/>
    </row>
    <row r="210">
      <c r="A210" s="19" t="str">
        <f>IFERROR(__xludf.DUMMYFUNCTION("""COMPUTED_VALUE"""),"Alex Sparrow")</f>
        <v>Alex Sparrow</v>
      </c>
      <c r="B210" s="19" t="str">
        <f>IFERROR(__xludf.DUMMYFUNCTION("""COMPUTED_VALUE"""),"QLD")</f>
        <v>QLD</v>
      </c>
      <c r="C210" s="5" t="str">
        <f>IFERROR(__xludf.DUMMYFUNCTION("""COMPUTED_VALUE"""),"Rosewood")</f>
        <v>Rosewood</v>
      </c>
      <c r="D210" s="5" t="str">
        <f>IFERROR(__xludf.DUMMYFUNCTION("""COMPUTED_VALUE"""),"9 just st rosewood")</f>
        <v>9 just st rosewood</v>
      </c>
      <c r="E210" s="25">
        <f>IFERROR(__xludf.DUMMYFUNCTION("""COMPUTED_VALUE"""),45945.0)</f>
        <v>45945</v>
      </c>
      <c r="F210" s="5" t="str">
        <f>IFERROR(__xludf.DUMMYFUNCTION("""COMPUTED_VALUE"""),"Featured")</f>
        <v>Featured</v>
      </c>
      <c r="G210" s="19" t="str">
        <f>IFERROR(__xludf.DUMMYFUNCTION("""COMPUTED_VALUE"""),"Commission Comparison")</f>
        <v>Commission Comparison</v>
      </c>
      <c r="H210" s="19"/>
      <c r="I210" s="62"/>
      <c r="J210" s="19"/>
    </row>
    <row r="211">
      <c r="A211" s="19" t="str">
        <f>IFERROR(__xludf.DUMMYFUNCTION("""COMPUTED_VALUE"""),"Alex Sparrow")</f>
        <v>Alex Sparrow</v>
      </c>
      <c r="B211" s="19" t="str">
        <f>IFERROR(__xludf.DUMMYFUNCTION("""COMPUTED_VALUE"""),"QLD")</f>
        <v>QLD</v>
      </c>
      <c r="C211" s="5" t="str">
        <f>IFERROR(__xludf.DUMMYFUNCTION("""COMPUTED_VALUE"""),"One Mile")</f>
        <v>One Mile</v>
      </c>
      <c r="D211" s="5" t="str">
        <f>IFERROR(__xludf.DUMMYFUNCTION("""COMPUTED_VALUE"""),"14 Ronayne Circle One Mile QLD 4305")</f>
        <v>14 Ronayne Circle One Mile QLD 4305</v>
      </c>
      <c r="E211" s="25">
        <f>IFERROR(__xludf.DUMMYFUNCTION("""COMPUTED_VALUE"""),45945.0)</f>
        <v>45945</v>
      </c>
      <c r="F211" s="5">
        <f>IFERROR(__xludf.DUMMYFUNCTION("""COMPUTED_VALUE"""),8.0)</f>
        <v>8</v>
      </c>
      <c r="G211" s="19" t="str">
        <f>IFERROR(__xludf.DUMMYFUNCTION("""COMPUTED_VALUE"""),"Instant Forms")</f>
        <v>Instant Forms</v>
      </c>
      <c r="H211" s="19"/>
      <c r="I211" s="62"/>
      <c r="J211" s="19"/>
    </row>
    <row r="212">
      <c r="A212" s="19" t="str">
        <f>IFERROR(__xludf.DUMMYFUNCTION("""COMPUTED_VALUE"""),"Alex Sparrow")</f>
        <v>Alex Sparrow</v>
      </c>
      <c r="B212" s="19" t="str">
        <f>IFERROR(__xludf.DUMMYFUNCTION("""COMPUTED_VALUE"""),"QLD")</f>
        <v>QLD</v>
      </c>
      <c r="C212" s="5" t="str">
        <f>IFERROR(__xludf.DUMMYFUNCTION("""COMPUTED_VALUE"""),"Coleyville")</f>
        <v>Coleyville</v>
      </c>
      <c r="D212" s="5" t="str">
        <f>IFERROR(__xludf.DUMMYFUNCTION("""COMPUTED_VALUE"""),"93 Kruger Road Coleyville QLD 4307")</f>
        <v>93 Kruger Road Coleyville QLD 4307</v>
      </c>
      <c r="E212" s="25">
        <f>IFERROR(__xludf.DUMMYFUNCTION("""COMPUTED_VALUE"""),45946.0)</f>
        <v>45946</v>
      </c>
      <c r="F212" s="5">
        <f>IFERROR(__xludf.DUMMYFUNCTION("""COMPUTED_VALUE"""),6.0)</f>
        <v>6</v>
      </c>
      <c r="G212" s="19" t="str">
        <f>IFERROR(__xludf.DUMMYFUNCTION("""COMPUTED_VALUE"""),"Instant Forms")</f>
        <v>Instant Forms</v>
      </c>
      <c r="H212" s="19"/>
      <c r="I212" s="62"/>
      <c r="J212" s="19"/>
    </row>
    <row r="213">
      <c r="A213" s="19" t="str">
        <f>IFERROR(__xludf.DUMMYFUNCTION("""COMPUTED_VALUE"""),"Alex Sparrow")</f>
        <v>Alex Sparrow</v>
      </c>
      <c r="B213" s="19" t="str">
        <f>IFERROR(__xludf.DUMMYFUNCTION("""COMPUTED_VALUE"""),"QLD")</f>
        <v>QLD</v>
      </c>
      <c r="C213" s="5" t="str">
        <f>IFERROR(__xludf.DUMMYFUNCTION("""COMPUTED_VALUE"""),"One Mile")</f>
        <v>One Mile</v>
      </c>
      <c r="D213" s="5" t="str">
        <f>IFERROR(__xludf.DUMMYFUNCTION("""COMPUTED_VALUE"""),"14 Ronayne Circle, One Mile, QLD, 4305, Australia")</f>
        <v>14 Ronayne Circle, One Mile, QLD, 4305, Australia</v>
      </c>
      <c r="E213" s="25">
        <f>IFERROR(__xludf.DUMMYFUNCTION("""COMPUTED_VALUE"""),45947.0)</f>
        <v>45947</v>
      </c>
      <c r="F213" s="5" t="str">
        <f>IFERROR(__xludf.DUMMYFUNCTION("""COMPUTED_VALUE"""),"Featured")</f>
        <v>Featured</v>
      </c>
      <c r="G213" s="19" t="str">
        <f>IFERROR(__xludf.DUMMYFUNCTION("""COMPUTED_VALUE"""),"Commission Comparison")</f>
        <v>Commission Comparison</v>
      </c>
      <c r="H213" s="19"/>
      <c r="I213" s="62"/>
      <c r="J213" s="19"/>
    </row>
    <row r="214">
      <c r="A214" s="19" t="str">
        <f>IFERROR(__xludf.DUMMYFUNCTION("""COMPUTED_VALUE"""),"Alex Sparrow")</f>
        <v>Alex Sparrow</v>
      </c>
      <c r="B214" s="19" t="str">
        <f>IFERROR(__xludf.DUMMYFUNCTION("""COMPUTED_VALUE"""),"QLD")</f>
        <v>QLD</v>
      </c>
      <c r="C214" s="5" t="str">
        <f>IFERROR(__xludf.DUMMYFUNCTION("""COMPUTED_VALUE"""),"East Ipswich")</f>
        <v>East Ipswich</v>
      </c>
      <c r="D214" s="5"/>
      <c r="E214" s="25">
        <f>IFERROR(__xludf.DUMMYFUNCTION("""COMPUTED_VALUE"""),45948.0)</f>
        <v>45948</v>
      </c>
      <c r="F214" s="5">
        <f>IFERROR(__xludf.DUMMYFUNCTION("""COMPUTED_VALUE"""),5.0)</f>
        <v>5</v>
      </c>
      <c r="G214" s="19" t="str">
        <f>IFERROR(__xludf.DUMMYFUNCTION("""COMPUTED_VALUE"""),"Instant Forms")</f>
        <v>Instant Forms</v>
      </c>
      <c r="H214" s="19"/>
      <c r="I214" s="62"/>
      <c r="J214" s="19"/>
    </row>
    <row r="215">
      <c r="A215" s="19" t="str">
        <f>IFERROR(__xludf.DUMMYFUNCTION("""COMPUTED_VALUE"""),"Alex Sparrow")</f>
        <v>Alex Sparrow</v>
      </c>
      <c r="B215" s="19" t="str">
        <f>IFERROR(__xludf.DUMMYFUNCTION("""COMPUTED_VALUE"""),"QLD")</f>
        <v>QLD</v>
      </c>
      <c r="C215" s="5" t="str">
        <f>IFERROR(__xludf.DUMMYFUNCTION("""COMPUTED_VALUE"""),"North Booval")</f>
        <v>North Booval</v>
      </c>
      <c r="D215" s="5" t="str">
        <f>IFERROR(__xludf.DUMMYFUNCTION("""COMPUTED_VALUE"""),"14 bickle Place")</f>
        <v>14 bickle Place</v>
      </c>
      <c r="E215" s="25">
        <f>IFERROR(__xludf.DUMMYFUNCTION("""COMPUTED_VALUE"""),45951.0)</f>
        <v>45951</v>
      </c>
      <c r="F215" s="5" t="str">
        <f>IFERROR(__xludf.DUMMYFUNCTION("""COMPUTED_VALUE"""),"Featured")</f>
        <v>Featured</v>
      </c>
      <c r="G215" s="19" t="str">
        <f>IFERROR(__xludf.DUMMYFUNCTION("""COMPUTED_VALUE"""),"Commission Comparison")</f>
        <v>Commission Comparison</v>
      </c>
      <c r="H215" s="19"/>
      <c r="I215" s="62"/>
      <c r="J215" s="19"/>
    </row>
    <row r="216">
      <c r="A216" s="19" t="str">
        <f>IFERROR(__xludf.DUMMYFUNCTION("""COMPUTED_VALUE"""),"Alex Sparrow")</f>
        <v>Alex Sparrow</v>
      </c>
      <c r="B216" s="19" t="str">
        <f>IFERROR(__xludf.DUMMYFUNCTION("""COMPUTED_VALUE"""),"QLD")</f>
        <v>QLD</v>
      </c>
      <c r="C216" s="5" t="str">
        <f>IFERROR(__xludf.DUMMYFUNCTION("""COMPUTED_VALUE"""),"fernvale")</f>
        <v>fernvale</v>
      </c>
      <c r="D216" s="5" t="str">
        <f>IFERROR(__xludf.DUMMYFUNCTION("""COMPUTED_VALUE"""),"10 brightwood")</f>
        <v>10 brightwood</v>
      </c>
      <c r="E216" s="25">
        <f>IFERROR(__xludf.DUMMYFUNCTION("""COMPUTED_VALUE"""),45953.0)</f>
        <v>45953</v>
      </c>
      <c r="F216" s="5" t="str">
        <f>IFERROR(__xludf.DUMMYFUNCTION("""COMPUTED_VALUE"""),"Featured")</f>
        <v>Featured</v>
      </c>
      <c r="G216" s="19" t="str">
        <f>IFERROR(__xludf.DUMMYFUNCTION("""COMPUTED_VALUE"""),"Commission Comparison")</f>
        <v>Commission Comparison</v>
      </c>
      <c r="H216" s="19"/>
      <c r="I216" s="62"/>
      <c r="J216" s="19"/>
    </row>
    <row r="217">
      <c r="A217" s="19" t="str">
        <f>IFERROR(__xludf.DUMMYFUNCTION("""COMPUTED_VALUE"""),"Alex Sparrow")</f>
        <v>Alex Sparrow</v>
      </c>
      <c r="B217" s="19" t="str">
        <f>IFERROR(__xludf.DUMMYFUNCTION("""COMPUTED_VALUE"""),"QLD")</f>
        <v>QLD</v>
      </c>
      <c r="C217" s="5" t="str">
        <f>IFERROR(__xludf.DUMMYFUNCTION("""COMPUTED_VALUE"""),"Barellan Point")</f>
        <v>Barellan Point</v>
      </c>
      <c r="D217" s="5" t="str">
        <f>IFERROR(__xludf.DUMMYFUNCTION("""COMPUTED_VALUE"""),"41-43 Mitchell Street Barellan Point QLD 4306")</f>
        <v>41-43 Mitchell Street Barellan Point QLD 4306</v>
      </c>
      <c r="E217" s="25">
        <f>IFERROR(__xludf.DUMMYFUNCTION("""COMPUTED_VALUE"""),45961.0)</f>
        <v>45961</v>
      </c>
      <c r="F217" s="5">
        <f>IFERROR(__xludf.DUMMYFUNCTION("""COMPUTED_VALUE"""),8.0)</f>
        <v>8</v>
      </c>
      <c r="G217" s="19" t="str">
        <f>IFERROR(__xludf.DUMMYFUNCTION("""COMPUTED_VALUE"""),"Instant Forms")</f>
        <v>Instant Forms</v>
      </c>
      <c r="H217" s="19"/>
      <c r="I217" s="62"/>
      <c r="J217" s="19"/>
    </row>
    <row r="218">
      <c r="A218" s="19" t="str">
        <f>IFERROR(__xludf.DUMMYFUNCTION("""COMPUTED_VALUE"""),"Alex Sparrow")</f>
        <v>Alex Sparrow</v>
      </c>
      <c r="B218" s="19" t="str">
        <f>IFERROR(__xludf.DUMMYFUNCTION("""COMPUTED_VALUE"""),"QLD")</f>
        <v>QLD</v>
      </c>
      <c r="C218" s="5" t="str">
        <f>IFERROR(__xludf.DUMMYFUNCTION("""COMPUTED_VALUE"""),"Regency Downs")</f>
        <v>Regency Downs</v>
      </c>
      <c r="D218" s="5" t="str">
        <f>IFERROR(__xludf.DUMMYFUNCTION("""COMPUTED_VALUE"""),"4 ridgevale Dr")</f>
        <v>4 ridgevale Dr</v>
      </c>
      <c r="E218" s="25">
        <f>IFERROR(__xludf.DUMMYFUNCTION("""COMPUTED_VALUE"""),45964.0)</f>
        <v>45964</v>
      </c>
      <c r="F218" s="5" t="str">
        <f>IFERROR(__xludf.DUMMYFUNCTION("""COMPUTED_VALUE"""),"Featured")</f>
        <v>Featured</v>
      </c>
      <c r="G218" s="19" t="str">
        <f>IFERROR(__xludf.DUMMYFUNCTION("""COMPUTED_VALUE"""),"Commission Comparison")</f>
        <v>Commission Comparison</v>
      </c>
      <c r="H218" s="19"/>
      <c r="I218" s="62"/>
      <c r="J218" s="19"/>
    </row>
    <row r="219">
      <c r="A219" s="19" t="str">
        <f>IFERROR(__xludf.DUMMYFUNCTION("""COMPUTED_VALUE"""),"Alex Sparrow")</f>
        <v>Alex Sparrow</v>
      </c>
      <c r="B219" s="19" t="str">
        <f>IFERROR(__xludf.DUMMYFUNCTION("""COMPUTED_VALUE"""),"QLD")</f>
        <v>QLD</v>
      </c>
      <c r="C219" s="5" t="str">
        <f>IFERROR(__xludf.DUMMYFUNCTION("""COMPUTED_VALUE"""),"Woodend")</f>
        <v>Woodend</v>
      </c>
      <c r="D219" s="5" t="str">
        <f>IFERROR(__xludf.DUMMYFUNCTION("""COMPUTED_VALUE"""),"5 Campbell Street Woodend QLD 4305")</f>
        <v>5 Campbell Street Woodend QLD 4305</v>
      </c>
      <c r="E219" s="25">
        <f>IFERROR(__xludf.DUMMYFUNCTION("""COMPUTED_VALUE"""),45970.0)</f>
        <v>45970</v>
      </c>
      <c r="F219" s="5">
        <f>IFERROR(__xludf.DUMMYFUNCTION("""COMPUTED_VALUE"""),8.0)</f>
        <v>8</v>
      </c>
      <c r="G219" s="19" t="str">
        <f>IFERROR(__xludf.DUMMYFUNCTION("""COMPUTED_VALUE"""),"Instant Forms")</f>
        <v>Instant Forms</v>
      </c>
      <c r="H219" s="19" t="str">
        <f>IFERROR(__xludf.DUMMYFUNCTION("""COMPUTED_VALUE"""),"Amy McDowell")</f>
        <v>Amy McDowell</v>
      </c>
      <c r="I219" s="62">
        <f>IFERROR(__xludf.DUMMYFUNCTION("""COMPUTED_VALUE"""),6.145982344E10)</f>
        <v>61459823440</v>
      </c>
      <c r="J219" s="19" t="str">
        <f>IFERROR(__xludf.DUMMYFUNCTION("""COMPUTED_VALUE"""),"amysway@hotmail.com")</f>
        <v>amysway@hotmail.com</v>
      </c>
    </row>
    <row r="220">
      <c r="A220" s="19" t="str">
        <f>IFERROR(__xludf.DUMMYFUNCTION("""COMPUTED_VALUE"""),"Alex Sparrow")</f>
        <v>Alex Sparrow</v>
      </c>
      <c r="B220" s="19" t="str">
        <f>IFERROR(__xludf.DUMMYFUNCTION("""COMPUTED_VALUE"""),"QLD")</f>
        <v>QLD</v>
      </c>
      <c r="C220" s="5" t="str">
        <f>IFERROR(__xludf.DUMMYFUNCTION("""COMPUTED_VALUE"""),"Flinders View")</f>
        <v>Flinders View</v>
      </c>
      <c r="D220" s="5" t="str">
        <f>IFERROR(__xludf.DUMMYFUNCTION("""COMPUTED_VALUE"""),"3 Boettcher Avenue Flinders View QLD 4305")</f>
        <v>3 Boettcher Avenue Flinders View QLD 4305</v>
      </c>
      <c r="E220" s="25">
        <f>IFERROR(__xludf.DUMMYFUNCTION("""COMPUTED_VALUE"""),45978.0)</f>
        <v>45978</v>
      </c>
      <c r="F220" s="5">
        <f>IFERROR(__xludf.DUMMYFUNCTION("""COMPUTED_VALUE"""),8.0)</f>
        <v>8</v>
      </c>
      <c r="G220" s="19" t="str">
        <f>IFERROR(__xludf.DUMMYFUNCTION("""COMPUTED_VALUE"""),"Instant Forms")</f>
        <v>Instant Forms</v>
      </c>
      <c r="H220" s="19" t="str">
        <f>IFERROR(__xludf.DUMMYFUNCTION("""COMPUTED_VALUE"""),"Pamela Boughen")</f>
        <v>Pamela Boughen</v>
      </c>
      <c r="I220" s="62">
        <f>IFERROR(__xludf.DUMMYFUNCTION("""COMPUTED_VALUE"""),6.1416229006E10)</f>
        <v>61416229006</v>
      </c>
      <c r="J220" s="19" t="str">
        <f>IFERROR(__xludf.DUMMYFUNCTION("""COMPUTED_VALUE"""),"pamboughen@outlook.com")</f>
        <v>pamboughen@outlook.com</v>
      </c>
    </row>
    <row r="221">
      <c r="A221" s="19" t="str">
        <f>IFERROR(__xludf.DUMMYFUNCTION("""COMPUTED_VALUE"""),"Alex Sparrow")</f>
        <v>Alex Sparrow</v>
      </c>
      <c r="B221" s="19" t="str">
        <f>IFERROR(__xludf.DUMMYFUNCTION("""COMPUTED_VALUE"""),"QLD")</f>
        <v>QLD</v>
      </c>
      <c r="C221" s="5" t="str">
        <f>IFERROR(__xludf.DUMMYFUNCTION("""COMPUTED_VALUE"""),"North Ipswich")</f>
        <v>North Ipswich</v>
      </c>
      <c r="D221" s="5" t="str">
        <f>IFERROR(__xludf.DUMMYFUNCTION("""COMPUTED_VALUE"""),"50 Albert Street North Ipswich QLD 4305")</f>
        <v>50 Albert Street North Ipswich QLD 4305</v>
      </c>
      <c r="E221" s="25">
        <f>IFERROR(__xludf.DUMMYFUNCTION("""COMPUTED_VALUE"""),45978.0)</f>
        <v>45978</v>
      </c>
      <c r="F221" s="5">
        <f>IFERROR(__xludf.DUMMYFUNCTION("""COMPUTED_VALUE"""),8.0)</f>
        <v>8</v>
      </c>
      <c r="G221" s="19" t="str">
        <f>IFERROR(__xludf.DUMMYFUNCTION("""COMPUTED_VALUE"""),"Instant Forms")</f>
        <v>Instant Forms</v>
      </c>
      <c r="H221" s="19" t="str">
        <f>IFERROR(__xludf.DUMMYFUNCTION("""COMPUTED_VALUE"""),"Emma Paff")</f>
        <v>Emma Paff</v>
      </c>
      <c r="I221" s="62">
        <f>IFERROR(__xludf.DUMMYFUNCTION("""COMPUTED_VALUE"""),6.141120255E10)</f>
        <v>61411202550</v>
      </c>
      <c r="J221" s="19" t="str">
        <f>IFERROR(__xludf.DUMMYFUNCTION("""COMPUTED_VALUE"""),"dev.emma@gmail.com")</f>
        <v>dev.emma@gmail.com</v>
      </c>
    </row>
    <row r="222">
      <c r="A222" s="19" t="str">
        <f>IFERROR(__xludf.DUMMYFUNCTION("""COMPUTED_VALUE"""),"Alex Sparrow")</f>
        <v>Alex Sparrow</v>
      </c>
      <c r="B222" s="19" t="str">
        <f>IFERROR(__xludf.DUMMYFUNCTION("""COMPUTED_VALUE"""),"QLD")</f>
        <v>QLD</v>
      </c>
      <c r="C222" s="5" t="str">
        <f>IFERROR(__xludf.DUMMYFUNCTION("""COMPUTED_VALUE"""),"Basin Pocket")</f>
        <v>Basin Pocket</v>
      </c>
      <c r="D222" s="5" t="str">
        <f>IFERROR(__xludf.DUMMYFUNCTION("""COMPUTED_VALUE"""),"142 Chermside Road Basin Pocket QLD 4305")</f>
        <v>142 Chermside Road Basin Pocket QLD 4305</v>
      </c>
      <c r="E222" s="5" t="str">
        <f>IFERROR(__xludf.DUMMYFUNCTION("""COMPUTED_VALUE"""),"21/11/2025")</f>
        <v>21/11/2025</v>
      </c>
      <c r="F222" s="5">
        <f>IFERROR(__xludf.DUMMYFUNCTION("""COMPUTED_VALUE"""),8.0)</f>
        <v>8</v>
      </c>
      <c r="G222" s="19" t="str">
        <f>IFERROR(__xludf.DUMMYFUNCTION("""COMPUTED_VALUE"""),"Instant Forms")</f>
        <v>Instant Forms</v>
      </c>
      <c r="H222" s="19" t="str">
        <f>IFERROR(__xludf.DUMMYFUNCTION("""COMPUTED_VALUE"""),"Gary Noble")</f>
        <v>Gary Noble</v>
      </c>
      <c r="I222" s="62">
        <f>IFERROR(__xludf.DUMMYFUNCTION("""COMPUTED_VALUE"""),6.1425108359E10)</f>
        <v>61425108359</v>
      </c>
      <c r="J222" s="19" t="str">
        <f>IFERROR(__xludf.DUMMYFUNCTION("""COMPUTED_VALUE"""),"ganoble58@gmail.com")</f>
        <v>ganoble58@gmail.com</v>
      </c>
    </row>
    <row r="223">
      <c r="A223" s="19" t="str">
        <f>IFERROR(__xludf.DUMMYFUNCTION("""COMPUTED_VALUE"""),"Alex Sparrow")</f>
        <v>Alex Sparrow</v>
      </c>
      <c r="B223" s="19" t="str">
        <f>IFERROR(__xludf.DUMMYFUNCTION("""COMPUTED_VALUE"""),"QLD")</f>
        <v>QLD</v>
      </c>
      <c r="C223" s="5" t="str">
        <f>IFERROR(__xludf.DUMMYFUNCTION("""COMPUTED_VALUE"""),"Eastern Heights")</f>
        <v>Eastern Heights</v>
      </c>
      <c r="D223" s="5" t="str">
        <f>IFERROR(__xludf.DUMMYFUNCTION("""COMPUTED_VALUE"""),"16 Hannant St, Eastern Heights, 4305")</f>
        <v>16 Hannant St, Eastern Heights, 4305</v>
      </c>
      <c r="E223" s="5" t="str">
        <f>IFERROR(__xludf.DUMMYFUNCTION("""COMPUTED_VALUE"""),"21/11/2025")</f>
        <v>21/11/2025</v>
      </c>
      <c r="F223" s="5" t="str">
        <f>IFERROR(__xludf.DUMMYFUNCTION("""COMPUTED_VALUE"""),"Featured")</f>
        <v>Featured</v>
      </c>
      <c r="G223" s="19" t="str">
        <f>IFERROR(__xludf.DUMMYFUNCTION("""COMPUTED_VALUE"""),"Meta Commission Report")</f>
        <v>Meta Commission Report</v>
      </c>
      <c r="H223" s="19" t="str">
        <f>IFERROR(__xludf.DUMMYFUNCTION("""COMPUTED_VALUE"""),"Paul Setch")</f>
        <v>Paul Setch</v>
      </c>
      <c r="I223" s="62">
        <f>IFERROR(__xludf.DUMMYFUNCTION("""COMPUTED_VALUE"""),6.1439426199E10)</f>
        <v>61439426199</v>
      </c>
      <c r="J223" s="19" t="str">
        <f>IFERROR(__xludf.DUMMYFUNCTION("""COMPUTED_VALUE"""),"psetch77@gmail.com")</f>
        <v>psetch77@gmail.com</v>
      </c>
    </row>
    <row r="224">
      <c r="A224" s="19" t="str">
        <f>IFERROR(__xludf.DUMMYFUNCTION("""COMPUTED_VALUE"""),"Alex Sparrow")</f>
        <v>Alex Sparrow</v>
      </c>
      <c r="B224" s="19" t="str">
        <f>IFERROR(__xludf.DUMMYFUNCTION("""COMPUTED_VALUE"""),"QLD")</f>
        <v>QLD</v>
      </c>
      <c r="C224" s="5" t="str">
        <f>IFERROR(__xludf.DUMMYFUNCTION("""COMPUTED_VALUE"""),"Ipswich")</f>
        <v>Ipswich</v>
      </c>
      <c r="D224" s="5" t="str">
        <f>IFERROR(__xludf.DUMMYFUNCTION("""COMPUTED_VALUE"""),"2 Macalister St")</f>
        <v>2 Macalister St</v>
      </c>
      <c r="E224" s="5" t="str">
        <f>IFERROR(__xludf.DUMMYFUNCTION("""COMPUTED_VALUE"""),"21/11/2025")</f>
        <v>21/11/2025</v>
      </c>
      <c r="F224" s="5" t="str">
        <f>IFERROR(__xludf.DUMMYFUNCTION("""COMPUTED_VALUE"""),"Featured")</f>
        <v>Featured</v>
      </c>
      <c r="G224" s="19" t="str">
        <f>IFERROR(__xludf.DUMMYFUNCTION("""COMPUTED_VALUE"""),"Commission Comparison")</f>
        <v>Commission Comparison</v>
      </c>
      <c r="H224" s="19" t="str">
        <f>IFERROR(__xludf.DUMMYFUNCTION("""COMPUTED_VALUE"""),"Judy Clifton")</f>
        <v>Judy Clifton</v>
      </c>
      <c r="I224" s="62">
        <f>IFERROR(__xludf.DUMMYFUNCTION("""COMPUTED_VALUE"""),6.1431120926E10)</f>
        <v>61431120926</v>
      </c>
      <c r="J224" s="19" t="str">
        <f>IFERROR(__xludf.DUMMYFUNCTION("""COMPUTED_VALUE"""),"juudc@icloud.com")</f>
        <v>juudc@icloud.com</v>
      </c>
    </row>
    <row r="225">
      <c r="A225" s="19" t="str">
        <f>IFERROR(__xludf.DUMMYFUNCTION("""COMPUTED_VALUE"""),"Alex Sparrow")</f>
        <v>Alex Sparrow</v>
      </c>
      <c r="B225" s="19" t="str">
        <f>IFERROR(__xludf.DUMMYFUNCTION("""COMPUTED_VALUE"""),"QLD")</f>
        <v>QLD</v>
      </c>
      <c r="C225" s="5" t="str">
        <f>IFERROR(__xludf.DUMMYFUNCTION("""COMPUTED_VALUE"""),"Karalee")</f>
        <v>Karalee</v>
      </c>
      <c r="D225" s="5" t="str">
        <f>IFERROR(__xludf.DUMMYFUNCTION("""COMPUTED_VALUE"""),"10 Gurners Lane Karalee QLD 4306, Karalee, 4306")</f>
        <v>10 Gurners Lane Karalee QLD 4306, Karalee, 4306</v>
      </c>
      <c r="E225" s="5" t="str">
        <f>IFERROR(__xludf.DUMMYFUNCTION("""COMPUTED_VALUE"""),"22/11/2025")</f>
        <v>22/11/2025</v>
      </c>
      <c r="F225" s="5" t="str">
        <f>IFERROR(__xludf.DUMMYFUNCTION("""COMPUTED_VALUE"""),"Featured")</f>
        <v>Featured</v>
      </c>
      <c r="G225" s="19" t="str">
        <f>IFERROR(__xludf.DUMMYFUNCTION("""COMPUTED_VALUE"""),"Meta Commission Report")</f>
        <v>Meta Commission Report</v>
      </c>
      <c r="H225" s="19" t="str">
        <f>IFERROR(__xludf.DUMMYFUNCTION("""COMPUTED_VALUE"""),"Pearl Frances Fong")</f>
        <v>Pearl Frances Fong</v>
      </c>
      <c r="I225" s="62">
        <f>IFERROR(__xludf.DUMMYFUNCTION("""COMPUTED_VALUE"""),6.140873994E10)</f>
        <v>61408739940</v>
      </c>
      <c r="J225" s="19" t="str">
        <f>IFERROR(__xludf.DUMMYFUNCTION("""COMPUTED_VALUE"""),"pearlfong@internode.on.net")</f>
        <v>pearlfong@internode.on.net</v>
      </c>
    </row>
    <row r="226">
      <c r="A226" s="19" t="str">
        <f>IFERROR(__xludf.DUMMYFUNCTION("""COMPUTED_VALUE"""),"Alex Sparrow")</f>
        <v>Alex Sparrow</v>
      </c>
      <c r="B226" s="19" t="str">
        <f>IFERROR(__xludf.DUMMYFUNCTION("""COMPUTED_VALUE"""),"QLD")</f>
        <v>QLD</v>
      </c>
      <c r="C226" s="5" t="str">
        <f>IFERROR(__xludf.DUMMYFUNCTION("""COMPUTED_VALUE"""),"North Ipswich")</f>
        <v>North Ipswich</v>
      </c>
      <c r="D226" s="5" t="str">
        <f>IFERROR(__xludf.DUMMYFUNCTION("""COMPUTED_VALUE"""),"1180 Mt Tully Rd Eukey QLD, 4380, North Ipswich")</f>
        <v>1180 Mt Tully Rd Eukey QLD, 4380, North Ipswich</v>
      </c>
      <c r="E226" s="5" t="str">
        <f>IFERROR(__xludf.DUMMYFUNCTION("""COMPUTED_VALUE"""),"23/11/2025")</f>
        <v>23/11/2025</v>
      </c>
      <c r="F226" s="5" t="str">
        <f>IFERROR(__xludf.DUMMYFUNCTION("""COMPUTED_VALUE"""),"Featured")</f>
        <v>Featured</v>
      </c>
      <c r="G226" s="19" t="str">
        <f>IFERROR(__xludf.DUMMYFUNCTION("""COMPUTED_VALUE"""),"Meta Commission Report")</f>
        <v>Meta Commission Report</v>
      </c>
      <c r="H226" s="19" t="str">
        <f>IFERROR(__xludf.DUMMYFUNCTION("""COMPUTED_VALUE"""),"Chris Blake")</f>
        <v>Chris Blake</v>
      </c>
      <c r="I226" s="62">
        <f>IFERROR(__xludf.DUMMYFUNCTION("""COMPUTED_VALUE"""),6.1408456764E10)</f>
        <v>61408456764</v>
      </c>
      <c r="J226" s="19" t="str">
        <f>IFERROR(__xludf.DUMMYFUNCTION("""COMPUTED_VALUE"""),"ccblake57@gmail.com")</f>
        <v>ccblake57@gmail.com</v>
      </c>
    </row>
    <row r="227">
      <c r="A227" s="19" t="str">
        <f>IFERROR(__xludf.DUMMYFUNCTION("""COMPUTED_VALUE"""),"Alex Sparrow")</f>
        <v>Alex Sparrow</v>
      </c>
      <c r="B227" s="19" t="str">
        <f>IFERROR(__xludf.DUMMYFUNCTION("""COMPUTED_VALUE"""),"QLD")</f>
        <v>QLD</v>
      </c>
      <c r="C227" s="5" t="str">
        <f>IFERROR(__xludf.DUMMYFUNCTION("""COMPUTED_VALUE"""),"Eastern Heights")</f>
        <v>Eastern Heights</v>
      </c>
      <c r="D227" s="5" t="str">
        <f>IFERROR(__xludf.DUMMYFUNCTION("""COMPUTED_VALUE"""),"4 france street, Eastern heights, 4305")</f>
        <v>4 france street, Eastern heights, 4305</v>
      </c>
      <c r="E227" s="5" t="str">
        <f>IFERROR(__xludf.DUMMYFUNCTION("""COMPUTED_VALUE"""),"25/11/2025")</f>
        <v>25/11/2025</v>
      </c>
      <c r="F227" s="5" t="str">
        <f>IFERROR(__xludf.DUMMYFUNCTION("""COMPUTED_VALUE"""),"Featured")</f>
        <v>Featured</v>
      </c>
      <c r="G227" s="19" t="str">
        <f>IFERROR(__xludf.DUMMYFUNCTION("""COMPUTED_VALUE"""),"Meta Commission Report")</f>
        <v>Meta Commission Report</v>
      </c>
      <c r="H227" s="19" t="str">
        <f>IFERROR(__xludf.DUMMYFUNCTION("""COMPUTED_VALUE"""),"Karen Nipperess")</f>
        <v>Karen Nipperess</v>
      </c>
      <c r="I227" s="62">
        <f>IFERROR(__xludf.DUMMYFUNCTION("""COMPUTED_VALUE"""),6.1435873254E10)</f>
        <v>61435873254</v>
      </c>
      <c r="J227" s="19" t="str">
        <f>IFERROR(__xludf.DUMMYFUNCTION("""COMPUTED_VALUE"""),"knipperess01@gmail.com")</f>
        <v>knipperess01@gmail.com</v>
      </c>
    </row>
    <row r="228">
      <c r="A228" s="19" t="str">
        <f>IFERROR(__xludf.DUMMYFUNCTION("""COMPUTED_VALUE"""),"Alex Sparrow")</f>
        <v>Alex Sparrow</v>
      </c>
      <c r="B228" s="19" t="str">
        <f>IFERROR(__xludf.DUMMYFUNCTION("""COMPUTED_VALUE"""),"QLD")</f>
        <v>QLD</v>
      </c>
      <c r="C228" s="5" t="str">
        <f>IFERROR(__xludf.DUMMYFUNCTION("""COMPUTED_VALUE"""),"Ripley")</f>
        <v>Ripley</v>
      </c>
      <c r="D228" s="5" t="str">
        <f>IFERROR(__xludf.DUMMYFUNCTION("""COMPUTED_VALUE"""),"40 Gonula Cres")</f>
        <v>40 Gonula Cres</v>
      </c>
      <c r="E228" s="5" t="str">
        <f>IFERROR(__xludf.DUMMYFUNCTION("""COMPUTED_VALUE"""),"27/11/2025")</f>
        <v>27/11/2025</v>
      </c>
      <c r="F228" s="64">
        <f>IFERROR(__xludf.DUMMYFUNCTION("""COMPUTED_VALUE"""),0.2)</f>
        <v>0.2</v>
      </c>
      <c r="G228" s="19" t="str">
        <f>IFERROR(__xludf.DUMMYFUNCTION("""COMPUTED_VALUE"""),"Commission Comparison")</f>
        <v>Commission Comparison</v>
      </c>
      <c r="H228" s="19" t="str">
        <f>IFERROR(__xludf.DUMMYFUNCTION("""COMPUTED_VALUE"""),"Glenn Manning")</f>
        <v>Glenn Manning</v>
      </c>
      <c r="I228" s="62">
        <f>IFERROR(__xludf.DUMMYFUNCTION("""COMPUTED_VALUE"""),6.1417826661E10)</f>
        <v>61417826661</v>
      </c>
      <c r="J228" s="19" t="str">
        <f>IFERROR(__xludf.DUMMYFUNCTION("""COMPUTED_VALUE"""),"manno36@hotmail.com")</f>
        <v>manno36@hotmail.com</v>
      </c>
    </row>
    <row r="229">
      <c r="A229" s="19" t="str">
        <f>IFERROR(__xludf.DUMMYFUNCTION("""COMPUTED_VALUE"""),"Alex Sparrow")</f>
        <v>Alex Sparrow</v>
      </c>
      <c r="B229" s="19" t="str">
        <f>IFERROR(__xludf.DUMMYFUNCTION("""COMPUTED_VALUE"""),"QLD")</f>
        <v>QLD</v>
      </c>
      <c r="C229" s="5" t="str">
        <f>IFERROR(__xludf.DUMMYFUNCTION("""COMPUTED_VALUE"""),"Basin Pocket")</f>
        <v>Basin Pocket</v>
      </c>
      <c r="D229" s="5" t="str">
        <f>IFERROR(__xludf.DUMMYFUNCTION("""COMPUTED_VALUE"""),"10 Deacon Street Basin Pocket QLD 4305")</f>
        <v>10 Deacon Street Basin Pocket QLD 4305</v>
      </c>
      <c r="E229" s="5" t="str">
        <f>IFERROR(__xludf.DUMMYFUNCTION("""COMPUTED_VALUE"""),"28/11/2025")</f>
        <v>28/11/2025</v>
      </c>
      <c r="F229" s="64">
        <f>IFERROR(__xludf.DUMMYFUNCTION("""COMPUTED_VALUE"""),0.1)</f>
        <v>0.1</v>
      </c>
      <c r="G229" s="19" t="str">
        <f>IFERROR(__xludf.DUMMYFUNCTION("""COMPUTED_VALUE"""),"Instant Forms")</f>
        <v>Instant Forms</v>
      </c>
      <c r="H229" s="19" t="str">
        <f>IFERROR(__xludf.DUMMYFUNCTION("""COMPUTED_VALUE"""),"Kubda Brown")</f>
        <v>Kubda Brown</v>
      </c>
      <c r="I229" s="62">
        <f>IFERROR(__xludf.DUMMYFUNCTION("""COMPUTED_VALUE"""),6.1407640229E10)</f>
        <v>61407640229</v>
      </c>
      <c r="J229" s="19" t="str">
        <f>IFERROR(__xludf.DUMMYFUNCTION("""COMPUTED_VALUE"""),"Kubda@hotmail.com")</f>
        <v>Kubda@hotmail.com</v>
      </c>
    </row>
    <row r="230">
      <c r="A230" s="19" t="str">
        <f>IFERROR(__xludf.DUMMYFUNCTION("""COMPUTED_VALUE"""),"Alex Sparrow")</f>
        <v>Alex Sparrow</v>
      </c>
      <c r="B230" s="19" t="str">
        <f>IFERROR(__xludf.DUMMYFUNCTION("""COMPUTED_VALUE"""),"QLD")</f>
        <v>QLD</v>
      </c>
      <c r="C230" s="5" t="str">
        <f>IFERROR(__xludf.DUMMYFUNCTION("""COMPUTED_VALUE"""),"Pine Mountain")</f>
        <v>Pine Mountain</v>
      </c>
      <c r="D230" s="5" t="str">
        <f>IFERROR(__xludf.DUMMYFUNCTION("""COMPUTED_VALUE"""),"80 Glen Ross Dr Pine Mountain")</f>
        <v>80 Glen Ross Dr Pine Mountain</v>
      </c>
      <c r="E230" s="5" t="str">
        <f>IFERROR(__xludf.DUMMYFUNCTION("""COMPUTED_VALUE"""),"28/11/2025")</f>
        <v>28/11/2025</v>
      </c>
      <c r="F230" s="64">
        <f>IFERROR(__xludf.DUMMYFUNCTION("""COMPUTED_VALUE"""),0.2)</f>
        <v>0.2</v>
      </c>
      <c r="G230" s="19" t="str">
        <f>IFERROR(__xludf.DUMMYFUNCTION("""COMPUTED_VALUE"""),"Commission Comparison")</f>
        <v>Commission Comparison</v>
      </c>
      <c r="H230" s="19" t="str">
        <f>IFERROR(__xludf.DUMMYFUNCTION("""COMPUTED_VALUE"""),"Garry Francis")</f>
        <v>Garry Francis</v>
      </c>
      <c r="I230" s="62">
        <f>IFERROR(__xludf.DUMMYFUNCTION("""COMPUTED_VALUE"""),6.1413114735E10)</f>
        <v>61413114735</v>
      </c>
      <c r="J230" s="19" t="str">
        <f>IFERROR(__xludf.DUMMYFUNCTION("""COMPUTED_VALUE"""),"francisgkl@yahoo.com")</f>
        <v>francisgkl@yahoo.com</v>
      </c>
    </row>
    <row r="231">
      <c r="A231" s="19" t="str">
        <f>IFERROR(__xludf.DUMMYFUNCTION("""COMPUTED_VALUE"""),"Alex Sparrow")</f>
        <v>Alex Sparrow</v>
      </c>
      <c r="B231" s="19" t="str">
        <f>IFERROR(__xludf.DUMMYFUNCTION("""COMPUTED_VALUE"""),"QLD")</f>
        <v>QLD</v>
      </c>
      <c r="C231" s="5" t="str">
        <f>IFERROR(__xludf.DUMMYFUNCTION("""COMPUTED_VALUE"""),"Woodend")</f>
        <v>Woodend</v>
      </c>
      <c r="D231" s="5" t="str">
        <f>IFERROR(__xludf.DUMMYFUNCTION("""COMPUTED_VALUE"""),"8 Mary St, Woodend, 4305")</f>
        <v>8 Mary St, Woodend, 4305</v>
      </c>
      <c r="E231" s="27">
        <f>IFERROR(__xludf.DUMMYFUNCTION("""COMPUTED_VALUE"""),45700.0)</f>
        <v>45700</v>
      </c>
      <c r="F231" s="64">
        <f>IFERROR(__xludf.DUMMYFUNCTION("""COMPUTED_VALUE"""),0.2)</f>
        <v>0.2</v>
      </c>
      <c r="G231" s="19" t="str">
        <f>IFERROR(__xludf.DUMMYFUNCTION("""COMPUTED_VALUE"""),"Meta Commission Report")</f>
        <v>Meta Commission Report</v>
      </c>
      <c r="H231" s="19" t="str">
        <f>IFERROR(__xludf.DUMMYFUNCTION("""COMPUTED_VALUE"""),"Michael Anthony Geoghegan")</f>
        <v>Michael Anthony Geoghegan</v>
      </c>
      <c r="I231" s="62">
        <f>IFERROR(__xludf.DUMMYFUNCTION("""COMPUTED_VALUE"""),6.1432302991E10)</f>
        <v>61432302991</v>
      </c>
      <c r="J231" s="19" t="str">
        <f>IFERROR(__xludf.DUMMYFUNCTION("""COMPUTED_VALUE"""),"leixlip_588@hotmail.com")</f>
        <v>leixlip_588@hotmail.com</v>
      </c>
    </row>
    <row r="232">
      <c r="A232" s="19" t="str">
        <f>IFERROR(__xludf.DUMMYFUNCTION("""COMPUTED_VALUE"""),"Alex Sparrow")</f>
        <v>Alex Sparrow</v>
      </c>
      <c r="B232" s="19" t="str">
        <f>IFERROR(__xludf.DUMMYFUNCTION("""COMPUTED_VALUE"""),"QLD")</f>
        <v>QLD</v>
      </c>
      <c r="C232" s="5" t="str">
        <f>IFERROR(__xludf.DUMMYFUNCTION("""COMPUTED_VALUE"""),"Dinmore")</f>
        <v>Dinmore</v>
      </c>
      <c r="D232" s="5" t="str">
        <f>IFERROR(__xludf.DUMMYFUNCTION("""COMPUTED_VALUE"""),"37 Earl Street")</f>
        <v>37 Earl Street</v>
      </c>
      <c r="E232" s="27">
        <f>IFERROR(__xludf.DUMMYFUNCTION("""COMPUTED_VALUE"""),45820.0)</f>
        <v>45820</v>
      </c>
      <c r="F232" s="64">
        <f>IFERROR(__xludf.DUMMYFUNCTION("""COMPUTED_VALUE"""),0.2)</f>
        <v>0.2</v>
      </c>
      <c r="G232" s="19" t="str">
        <f>IFERROR(__xludf.DUMMYFUNCTION("""COMPUTED_VALUE"""),"Commission Comparison")</f>
        <v>Commission Comparison</v>
      </c>
      <c r="H232" s="19" t="str">
        <f>IFERROR(__xludf.DUMMYFUNCTION("""COMPUTED_VALUE"""),"Russell Muller")</f>
        <v>Russell Muller</v>
      </c>
      <c r="I232" s="62">
        <f>IFERROR(__xludf.DUMMYFUNCTION("""COMPUTED_VALUE"""),6.1431381646E10)</f>
        <v>61431381646</v>
      </c>
      <c r="J232" s="19" t="str">
        <f>IFERROR(__xludf.DUMMYFUNCTION("""COMPUTED_VALUE"""),"russmuller63@gmail.com")</f>
        <v>russmuller63@gmail.com</v>
      </c>
    </row>
    <row r="233">
      <c r="A233" s="19" t="str">
        <f>IFERROR(__xludf.DUMMYFUNCTION("""COMPUTED_VALUE"""),"")</f>
        <v/>
      </c>
      <c r="B233" s="19" t="str">
        <f>IFERROR(__xludf.DUMMYFUNCTION("""COMPUTED_VALUE"""),"")</f>
        <v/>
      </c>
      <c r="C233" s="5" t="str">
        <f>IFERROR(__xludf.DUMMYFUNCTION("""COMPUTED_VALUE"""),"")</f>
        <v/>
      </c>
      <c r="D233" s="5" t="str">
        <f>IFERROR(__xludf.DUMMYFUNCTION("""COMPUTED_VALUE"""),"")</f>
        <v/>
      </c>
      <c r="E233" s="5" t="str">
        <f>IFERROR(__xludf.DUMMYFUNCTION("""COMPUTED_VALUE"""),"")</f>
        <v/>
      </c>
      <c r="F233" s="5" t="str">
        <f>IFERROR(__xludf.DUMMYFUNCTION("""COMPUTED_VALUE"""),"")</f>
        <v/>
      </c>
      <c r="G233" s="19" t="str">
        <f>IFERROR(__xludf.DUMMYFUNCTION("""COMPUTED_VALUE"""),"")</f>
        <v/>
      </c>
      <c r="H233" s="19" t="str">
        <f>IFERROR(__xludf.DUMMYFUNCTION("""COMPUTED_VALUE"""),"")</f>
        <v/>
      </c>
      <c r="I233" s="62" t="str">
        <f>IFERROR(__xludf.DUMMYFUNCTION("""COMPUTED_VALUE"""),"")</f>
        <v/>
      </c>
      <c r="J233" s="19" t="str">
        <f>IFERROR(__xludf.DUMMYFUNCTION("""COMPUTED_VALUE"""),"")</f>
        <v/>
      </c>
    </row>
    <row r="234">
      <c r="A234" s="19" t="str">
        <f>IFERROR(__xludf.DUMMYFUNCTION("""COMPUTED_VALUE"""),"")</f>
        <v/>
      </c>
      <c r="B234" s="19" t="str">
        <f>IFERROR(__xludf.DUMMYFUNCTION("""COMPUTED_VALUE"""),"")</f>
        <v/>
      </c>
      <c r="C234" s="5" t="str">
        <f>IFERROR(__xludf.DUMMYFUNCTION("""COMPUTED_VALUE"""),"")</f>
        <v/>
      </c>
      <c r="D234" s="5" t="str">
        <f>IFERROR(__xludf.DUMMYFUNCTION("""COMPUTED_VALUE"""),"")</f>
        <v/>
      </c>
      <c r="E234" s="5" t="str">
        <f>IFERROR(__xludf.DUMMYFUNCTION("""COMPUTED_VALUE"""),"")</f>
        <v/>
      </c>
      <c r="F234" s="5" t="str">
        <f>IFERROR(__xludf.DUMMYFUNCTION("""COMPUTED_VALUE"""),"")</f>
        <v/>
      </c>
      <c r="G234" s="19" t="str">
        <f>IFERROR(__xludf.DUMMYFUNCTION("""COMPUTED_VALUE"""),"")</f>
        <v/>
      </c>
      <c r="H234" s="19" t="str">
        <f>IFERROR(__xludf.DUMMYFUNCTION("""COMPUTED_VALUE"""),"")</f>
        <v/>
      </c>
      <c r="I234" s="62" t="str">
        <f>IFERROR(__xludf.DUMMYFUNCTION("""COMPUTED_VALUE"""),"")</f>
        <v/>
      </c>
      <c r="J234" s="19" t="str">
        <f>IFERROR(__xludf.DUMMYFUNCTION("""COMPUTED_VALUE"""),"")</f>
        <v/>
      </c>
    </row>
    <row r="235">
      <c r="A235" s="19" t="str">
        <f>IFERROR(__xludf.DUMMYFUNCTION("""COMPUTED_VALUE"""),"Aman Singh")</f>
        <v>Aman Singh</v>
      </c>
      <c r="B235" s="19" t="str">
        <f>IFERROR(__xludf.DUMMYFUNCTION("""COMPUTED_VALUE"""),"QLD")</f>
        <v>QLD</v>
      </c>
      <c r="C235" s="5" t="str">
        <f>IFERROR(__xludf.DUMMYFUNCTION("""COMPUTED_VALUE"""),"Wavell Heights")</f>
        <v>Wavell Heights</v>
      </c>
      <c r="D235" s="5" t="str">
        <f>IFERROR(__xludf.DUMMYFUNCTION("""COMPUTED_VALUE"""),"37 Watcombe Street Wavell Heights QLD 4012")</f>
        <v>37 Watcombe Street Wavell Heights QLD 4012</v>
      </c>
      <c r="E235" s="25">
        <f>IFERROR(__xludf.DUMMYFUNCTION("""COMPUTED_VALUE"""),45946.0)</f>
        <v>45946</v>
      </c>
      <c r="F235" s="5">
        <f>IFERROR(__xludf.DUMMYFUNCTION("""COMPUTED_VALUE"""),8.0)</f>
        <v>8</v>
      </c>
      <c r="G235" s="19" t="str">
        <f>IFERROR(__xludf.DUMMYFUNCTION("""COMPUTED_VALUE"""),"Instant Forms")</f>
        <v>Instant Forms</v>
      </c>
      <c r="H235" s="19"/>
      <c r="I235" s="62"/>
      <c r="J235" s="19"/>
    </row>
    <row r="236">
      <c r="A236" s="19" t="str">
        <f>IFERROR(__xludf.DUMMYFUNCTION("""COMPUTED_VALUE"""),"Aman Singh")</f>
        <v>Aman Singh</v>
      </c>
      <c r="B236" s="19" t="str">
        <f>IFERROR(__xludf.DUMMYFUNCTION("""COMPUTED_VALUE"""),"QLD")</f>
        <v>QLD</v>
      </c>
      <c r="C236" s="5" t="str">
        <f>IFERROR(__xludf.DUMMYFUNCTION("""COMPUTED_VALUE"""),"Boondall")</f>
        <v>Boondall</v>
      </c>
      <c r="D236" s="5" t="str">
        <f>IFERROR(__xludf.DUMMYFUNCTION("""COMPUTED_VALUE"""),"2188 Sandgate Road, Boondall, QLD, 4034, Australia")</f>
        <v>2188 Sandgate Road, Boondall, QLD, 4034, Australia</v>
      </c>
      <c r="E236" s="25" t="str">
        <f>IFERROR(__xludf.DUMMYFUNCTION("""COMPUTED_VALUE"""),"17/10/2025")</f>
        <v>17/10/2025</v>
      </c>
      <c r="F236" s="5" t="str">
        <f>IFERROR(__xludf.DUMMYFUNCTION("""COMPUTED_VALUE"""),"Featured")</f>
        <v>Featured</v>
      </c>
      <c r="G236" s="19"/>
      <c r="H236" s="19"/>
      <c r="I236" s="62"/>
      <c r="J236" s="19"/>
    </row>
    <row r="237">
      <c r="A237" s="19" t="str">
        <f>IFERROR(__xludf.DUMMYFUNCTION("""COMPUTED_VALUE"""),"Aman Singh")</f>
        <v>Aman Singh</v>
      </c>
      <c r="B237" s="19" t="str">
        <f>IFERROR(__xludf.DUMMYFUNCTION("""COMPUTED_VALUE"""),"QLD")</f>
        <v>QLD</v>
      </c>
      <c r="C237" s="5" t="str">
        <f>IFERROR(__xludf.DUMMYFUNCTION("""COMPUTED_VALUE"""),"Boondall")</f>
        <v>Boondall</v>
      </c>
      <c r="D237" s="5" t="str">
        <f>IFERROR(__xludf.DUMMYFUNCTION("""COMPUTED_VALUE"""),"2188 Sandgate Road, Boondall, QLD, 4034, Australia")</f>
        <v>2188 Sandgate Road, Boondall, QLD, 4034, Australia</v>
      </c>
      <c r="E237" s="25" t="str">
        <f>IFERROR(__xludf.DUMMYFUNCTION("""COMPUTED_VALUE"""),"17/10/2025")</f>
        <v>17/10/2025</v>
      </c>
      <c r="F237" s="5" t="str">
        <f>IFERROR(__xludf.DUMMYFUNCTION("""COMPUTED_VALUE"""),"Featured")</f>
        <v>Featured</v>
      </c>
      <c r="G237" s="19"/>
      <c r="H237" s="19"/>
      <c r="I237" s="62"/>
      <c r="J237" s="19"/>
    </row>
    <row r="238">
      <c r="A238" s="19" t="str">
        <f>IFERROR(__xludf.DUMMYFUNCTION("""COMPUTED_VALUE"""),"Aman Singh")</f>
        <v>Aman Singh</v>
      </c>
      <c r="B238" s="19" t="str">
        <f>IFERROR(__xludf.DUMMYFUNCTION("""COMPUTED_VALUE"""),"QLD")</f>
        <v>QLD</v>
      </c>
      <c r="C238" s="5" t="str">
        <f>IFERROR(__xludf.DUMMYFUNCTION("""COMPUTED_VALUE"""),"Boondall")</f>
        <v>Boondall</v>
      </c>
      <c r="D238" s="5" t="str">
        <f>IFERROR(__xludf.DUMMYFUNCTION("""COMPUTED_VALUE"""),"34 Keppel Street Boondall QLD 4034")</f>
        <v>34 Keppel Street Boondall QLD 4034</v>
      </c>
      <c r="E238" s="25">
        <f>IFERROR(__xludf.DUMMYFUNCTION("""COMPUTED_VALUE"""),45960.0)</f>
        <v>45960</v>
      </c>
      <c r="F238" s="5">
        <f>IFERROR(__xludf.DUMMYFUNCTION("""COMPUTED_VALUE"""),6.0)</f>
        <v>6</v>
      </c>
      <c r="G238" s="19" t="str">
        <f>IFERROR(__xludf.DUMMYFUNCTION("""COMPUTED_VALUE"""),"Instant Forms")</f>
        <v>Instant Forms</v>
      </c>
      <c r="H238" s="19"/>
      <c r="I238" s="62"/>
      <c r="J238" s="19"/>
    </row>
    <row r="239">
      <c r="A239" s="19" t="str">
        <f>IFERROR(__xludf.DUMMYFUNCTION("""COMPUTED_VALUE"""),"Aman Singh")</f>
        <v>Aman Singh</v>
      </c>
      <c r="B239" s="19" t="str">
        <f>IFERROR(__xludf.DUMMYFUNCTION("""COMPUTED_VALUE"""),"QLD")</f>
        <v>QLD</v>
      </c>
      <c r="C239" s="5" t="str">
        <f>IFERROR(__xludf.DUMMYFUNCTION("""COMPUTED_VALUE"""),"Boondall")</f>
        <v>Boondall</v>
      </c>
      <c r="D239" s="5" t="str">
        <f>IFERROR(__xludf.DUMMYFUNCTION("""COMPUTED_VALUE"""),"84a stanworth  road  boondall, boondall, 4034")</f>
        <v>84a stanworth  road  boondall, boondall, 4034</v>
      </c>
      <c r="E239" s="25" t="str">
        <f>IFERROR(__xludf.DUMMYFUNCTION("""COMPUTED_VALUE"""),"30/10/2025")</f>
        <v>30/10/2025</v>
      </c>
      <c r="F239" s="5" t="str">
        <f>IFERROR(__xludf.DUMMYFUNCTION("""COMPUTED_VALUE"""),"Featured")</f>
        <v>Featured</v>
      </c>
      <c r="G239" s="19" t="str">
        <f>IFERROR(__xludf.DUMMYFUNCTION("""COMPUTED_VALUE"""),"Meta Commission Report")</f>
        <v>Meta Commission Report</v>
      </c>
      <c r="H239" s="19" t="str">
        <f>IFERROR(__xludf.DUMMYFUNCTION("""COMPUTED_VALUE"""),"Julie Marin")</f>
        <v>Julie Marin</v>
      </c>
      <c r="I239" s="62"/>
      <c r="J239" s="19"/>
    </row>
    <row r="240">
      <c r="A240" s="19" t="str">
        <f>IFERROR(__xludf.DUMMYFUNCTION("""COMPUTED_VALUE"""),"Aman Singh")</f>
        <v>Aman Singh</v>
      </c>
      <c r="B240" s="19" t="str">
        <f>IFERROR(__xludf.DUMMYFUNCTION("""COMPUTED_VALUE"""),"QLD")</f>
        <v>QLD</v>
      </c>
      <c r="C240" s="5" t="str">
        <f>IFERROR(__xludf.DUMMYFUNCTION("""COMPUTED_VALUE"""),"Bracken Ridge")</f>
        <v>Bracken Ridge</v>
      </c>
      <c r="D240" s="5" t="str">
        <f>IFERROR(__xludf.DUMMYFUNCTION("""COMPUTED_VALUE"""),"4/174 Norris Road Bracken Ridge QLD 4017")</f>
        <v>4/174 Norris Road Bracken Ridge QLD 4017</v>
      </c>
      <c r="E240" s="25">
        <f>IFERROR(__xludf.DUMMYFUNCTION("""COMPUTED_VALUE"""),45961.0)</f>
        <v>45961</v>
      </c>
      <c r="F240" s="5">
        <f>IFERROR(__xludf.DUMMYFUNCTION("""COMPUTED_VALUE"""),8.0)</f>
        <v>8</v>
      </c>
      <c r="G240" s="19" t="str">
        <f>IFERROR(__xludf.DUMMYFUNCTION("""COMPUTED_VALUE"""),"Instant Forms")</f>
        <v>Instant Forms</v>
      </c>
      <c r="H240" s="19"/>
      <c r="I240" s="62"/>
      <c r="J240" s="19"/>
    </row>
    <row r="241">
      <c r="A241" s="19" t="str">
        <f>IFERROR(__xludf.DUMMYFUNCTION("""COMPUTED_VALUE"""),"Aman Singh")</f>
        <v>Aman Singh</v>
      </c>
      <c r="B241" s="19" t="str">
        <f>IFERROR(__xludf.DUMMYFUNCTION("""COMPUTED_VALUE"""),"QLD")</f>
        <v>QLD</v>
      </c>
      <c r="C241" s="5">
        <f>IFERROR(__xludf.DUMMYFUNCTION("""COMPUTED_VALUE"""),4014.0)</f>
        <v>4014</v>
      </c>
      <c r="D241" s="5"/>
      <c r="E241" s="25">
        <f>IFERROR(__xludf.DUMMYFUNCTION("""COMPUTED_VALUE"""),45966.0)</f>
        <v>45966</v>
      </c>
      <c r="F241" s="5">
        <f>IFERROR(__xludf.DUMMYFUNCTION("""COMPUTED_VALUE"""),5.0)</f>
        <v>5</v>
      </c>
      <c r="G241" s="19" t="str">
        <f>IFERROR(__xludf.DUMMYFUNCTION("""COMPUTED_VALUE"""),"Instant Forms")</f>
        <v>Instant Forms</v>
      </c>
      <c r="H241" s="19" t="str">
        <f>IFERROR(__xludf.DUMMYFUNCTION("""COMPUTED_VALUE"""),"Pauline Hanlon")</f>
        <v>Pauline Hanlon</v>
      </c>
      <c r="I241" s="62">
        <f>IFERROR(__xludf.DUMMYFUNCTION("""COMPUTED_VALUE"""),6.1415594668E10)</f>
        <v>61415594668</v>
      </c>
      <c r="J241" s="19" t="str">
        <f>IFERROR(__xludf.DUMMYFUNCTION("""COMPUTED_VALUE"""),"paulinehanlon48@gmail.com")</f>
        <v>paulinehanlon48@gmail.com</v>
      </c>
    </row>
    <row r="242">
      <c r="A242" s="19" t="str">
        <f>IFERROR(__xludf.DUMMYFUNCTION("""COMPUTED_VALUE"""),"Aman Singh")</f>
        <v>Aman Singh</v>
      </c>
      <c r="B242" s="19" t="str">
        <f>IFERROR(__xludf.DUMMYFUNCTION("""COMPUTED_VALUE"""),"QLD")</f>
        <v>QLD</v>
      </c>
      <c r="C242" s="5" t="str">
        <f>IFERROR(__xludf.DUMMYFUNCTION("""COMPUTED_VALUE"""),"Carseldine")</f>
        <v>Carseldine</v>
      </c>
      <c r="D242" s="5"/>
      <c r="E242" s="25">
        <f>IFERROR(__xludf.DUMMYFUNCTION("""COMPUTED_VALUE"""),45974.0)</f>
        <v>45974</v>
      </c>
      <c r="F242" s="5">
        <f>IFERROR(__xludf.DUMMYFUNCTION("""COMPUTED_VALUE"""),5.0)</f>
        <v>5</v>
      </c>
      <c r="G242" s="19" t="str">
        <f>IFERROR(__xludf.DUMMYFUNCTION("""COMPUTED_VALUE"""),"Instant Forms")</f>
        <v>Instant Forms</v>
      </c>
      <c r="H242" s="19" t="str">
        <f>IFERROR(__xludf.DUMMYFUNCTION("""COMPUTED_VALUE"""),"Coral White")</f>
        <v>Coral White</v>
      </c>
      <c r="I242" s="62">
        <f>IFERROR(__xludf.DUMMYFUNCTION("""COMPUTED_VALUE"""),6.1439746396E10)</f>
        <v>61439746396</v>
      </c>
      <c r="J242" s="19" t="str">
        <f>IFERROR(__xludf.DUMMYFUNCTION("""COMPUTED_VALUE"""),"coralieps1986@gmail.com")</f>
        <v>coralieps1986@gmail.com</v>
      </c>
    </row>
    <row r="243">
      <c r="A243" s="19" t="str">
        <f>IFERROR(__xludf.DUMMYFUNCTION("""COMPUTED_VALUE"""),"Aman Singh")</f>
        <v>Aman Singh</v>
      </c>
      <c r="B243" s="19" t="str">
        <f>IFERROR(__xludf.DUMMYFUNCTION("""COMPUTED_VALUE"""),"QLD")</f>
        <v>QLD</v>
      </c>
      <c r="C243" s="5" t="str">
        <f>IFERROR(__xludf.DUMMYFUNCTION("""COMPUTED_VALUE"""),"Bracken Ridge")</f>
        <v>Bracken Ridge</v>
      </c>
      <c r="D243" s="5" t="str">
        <f>IFERROR(__xludf.DUMMYFUNCTION("""COMPUTED_VALUE"""),"30 Tallara Street Bracken Ridge QLD 4017")</f>
        <v>30 Tallara Street Bracken Ridge QLD 4017</v>
      </c>
      <c r="E243" s="5" t="str">
        <f>IFERROR(__xludf.DUMMYFUNCTION("""COMPUTED_VALUE"""),"23/11/2025")</f>
        <v>23/11/2025</v>
      </c>
      <c r="F243" s="5">
        <f>IFERROR(__xludf.DUMMYFUNCTION("""COMPUTED_VALUE"""),8.0)</f>
        <v>8</v>
      </c>
      <c r="G243" s="19" t="str">
        <f>IFERROR(__xludf.DUMMYFUNCTION("""COMPUTED_VALUE"""),"Instant Forms")</f>
        <v>Instant Forms</v>
      </c>
      <c r="H243" s="19" t="str">
        <f>IFERROR(__xludf.DUMMYFUNCTION("""COMPUTED_VALUE"""),"Doug Harper")</f>
        <v>Doug Harper</v>
      </c>
      <c r="I243" s="62">
        <f>IFERROR(__xludf.DUMMYFUNCTION("""COMPUTED_VALUE"""),6.1416256707E10)</f>
        <v>61416256707</v>
      </c>
      <c r="J243" s="19" t="str">
        <f>IFERROR(__xludf.DUMMYFUNCTION("""COMPUTED_VALUE"""),"dugharper@outlook.com")</f>
        <v>dugharper@outlook.com</v>
      </c>
    </row>
    <row r="244">
      <c r="A244" s="19" t="str">
        <f>IFERROR(__xludf.DUMMYFUNCTION("""COMPUTED_VALUE"""),"Aman Singh")</f>
        <v>Aman Singh</v>
      </c>
      <c r="B244" s="19" t="str">
        <f>IFERROR(__xludf.DUMMYFUNCTION("""COMPUTED_VALUE"""),"QLD")</f>
        <v>QLD</v>
      </c>
      <c r="C244" s="5" t="str">
        <f>IFERROR(__xludf.DUMMYFUNCTION("""COMPUTED_VALUE"""),"Boondall")</f>
        <v>Boondall</v>
      </c>
      <c r="D244" s="5" t="str">
        <f>IFERROR(__xludf.DUMMYFUNCTION("""COMPUTED_VALUE"""),"Boondall, Boondall, 4212")</f>
        <v>Boondall, Boondall, 4212</v>
      </c>
      <c r="E244" s="27">
        <f>IFERROR(__xludf.DUMMYFUNCTION("""COMPUTED_VALUE"""),45728.0)</f>
        <v>45728</v>
      </c>
      <c r="F244" s="64">
        <f>IFERROR(__xludf.DUMMYFUNCTION("""COMPUTED_VALUE"""),0.2)</f>
        <v>0.2</v>
      </c>
      <c r="G244" s="19" t="str">
        <f>IFERROR(__xludf.DUMMYFUNCTION("""COMPUTED_VALUE"""),"Meta Commission Report")</f>
        <v>Meta Commission Report</v>
      </c>
      <c r="H244" s="19" t="str">
        <f>IFERROR(__xludf.DUMMYFUNCTION("""COMPUTED_VALUE"""),"Jean Claude Spagna")</f>
        <v>Jean Claude Spagna</v>
      </c>
      <c r="I244" s="62">
        <f>IFERROR(__xludf.DUMMYFUNCTION("""COMPUTED_VALUE"""),6.143353998E10)</f>
        <v>61433539980</v>
      </c>
      <c r="J244" s="19" t="str">
        <f>IFERROR(__xludf.DUMMYFUNCTION("""COMPUTED_VALUE"""),"jcspagna@hotmail.com")</f>
        <v>jcspagna@hotmail.com</v>
      </c>
    </row>
    <row r="245">
      <c r="A245" s="19" t="str">
        <f>IFERROR(__xludf.DUMMYFUNCTION("""COMPUTED_VALUE"""),"")</f>
        <v/>
      </c>
      <c r="B245" s="19" t="str">
        <f>IFERROR(__xludf.DUMMYFUNCTION("""COMPUTED_VALUE"""),"")</f>
        <v/>
      </c>
      <c r="C245" s="5" t="str">
        <f>IFERROR(__xludf.DUMMYFUNCTION("""COMPUTED_VALUE"""),"")</f>
        <v/>
      </c>
      <c r="D245" s="5" t="str">
        <f>IFERROR(__xludf.DUMMYFUNCTION("""COMPUTED_VALUE"""),"")</f>
        <v/>
      </c>
      <c r="E245" s="5" t="str">
        <f>IFERROR(__xludf.DUMMYFUNCTION("""COMPUTED_VALUE"""),"")</f>
        <v/>
      </c>
      <c r="F245" s="5" t="str">
        <f>IFERROR(__xludf.DUMMYFUNCTION("""COMPUTED_VALUE"""),"")</f>
        <v/>
      </c>
      <c r="G245" s="19" t="str">
        <f>IFERROR(__xludf.DUMMYFUNCTION("""COMPUTED_VALUE"""),"")</f>
        <v/>
      </c>
      <c r="H245" s="19" t="str">
        <f>IFERROR(__xludf.DUMMYFUNCTION("""COMPUTED_VALUE"""),"")</f>
        <v/>
      </c>
      <c r="I245" s="62" t="str">
        <f>IFERROR(__xludf.DUMMYFUNCTION("""COMPUTED_VALUE"""),"")</f>
        <v/>
      </c>
      <c r="J245" s="19" t="str">
        <f>IFERROR(__xludf.DUMMYFUNCTION("""COMPUTED_VALUE"""),"")</f>
        <v/>
      </c>
    </row>
    <row r="246">
      <c r="A246" s="19" t="str">
        <f>IFERROR(__xludf.DUMMYFUNCTION("""COMPUTED_VALUE"""),"")</f>
        <v/>
      </c>
      <c r="B246" s="19" t="str">
        <f>IFERROR(__xludf.DUMMYFUNCTION("""COMPUTED_VALUE"""),"")</f>
        <v/>
      </c>
      <c r="C246" s="5" t="str">
        <f>IFERROR(__xludf.DUMMYFUNCTION("""COMPUTED_VALUE"""),"")</f>
        <v/>
      </c>
      <c r="D246" s="5" t="str">
        <f>IFERROR(__xludf.DUMMYFUNCTION("""COMPUTED_VALUE"""),"")</f>
        <v/>
      </c>
      <c r="E246" s="5" t="str">
        <f>IFERROR(__xludf.DUMMYFUNCTION("""COMPUTED_VALUE"""),"")</f>
        <v/>
      </c>
      <c r="F246" s="5" t="str">
        <f>IFERROR(__xludf.DUMMYFUNCTION("""COMPUTED_VALUE"""),"")</f>
        <v/>
      </c>
      <c r="G246" s="19" t="str">
        <f>IFERROR(__xludf.DUMMYFUNCTION("""COMPUTED_VALUE"""),"")</f>
        <v/>
      </c>
      <c r="H246" s="19" t="str">
        <f>IFERROR(__xludf.DUMMYFUNCTION("""COMPUTED_VALUE"""),"")</f>
        <v/>
      </c>
      <c r="I246" s="62" t="str">
        <f>IFERROR(__xludf.DUMMYFUNCTION("""COMPUTED_VALUE"""),"")</f>
        <v/>
      </c>
      <c r="J246" s="19" t="str">
        <f>IFERROR(__xludf.DUMMYFUNCTION("""COMPUTED_VALUE"""),"")</f>
        <v/>
      </c>
    </row>
    <row r="247">
      <c r="A247" s="19" t="str">
        <f>IFERROR(__xludf.DUMMYFUNCTION("""COMPUTED_VALUE"""),"Amber Werchon")</f>
        <v>Amber Werchon</v>
      </c>
      <c r="B247" s="19" t="str">
        <f>IFERROR(__xludf.DUMMYFUNCTION("""COMPUTED_VALUE"""),"QLD")</f>
        <v>QLD</v>
      </c>
      <c r="C247" s="5" t="str">
        <f>IFERROR(__xludf.DUMMYFUNCTION("""COMPUTED_VALUE"""),"Caloundra")</f>
        <v>Caloundra</v>
      </c>
      <c r="D247" s="5" t="str">
        <f>IFERROR(__xludf.DUMMYFUNCTION("""COMPUTED_VALUE"""),"6 Cooroora Street Dicky Beach QLD 4551")</f>
        <v>6 Cooroora Street Dicky Beach QLD 4551</v>
      </c>
      <c r="E247" s="25">
        <f>IFERROR(__xludf.DUMMYFUNCTION("""COMPUTED_VALUE"""),45931.0)</f>
        <v>45931</v>
      </c>
      <c r="F247" s="5">
        <f>IFERROR(__xludf.DUMMYFUNCTION("""COMPUTED_VALUE"""),8.0)</f>
        <v>8</v>
      </c>
      <c r="G247" s="19" t="str">
        <f>IFERROR(__xludf.DUMMYFUNCTION("""COMPUTED_VALUE"""),"Instant Forms")</f>
        <v>Instant Forms</v>
      </c>
      <c r="H247" s="19" t="str">
        <f>IFERROR(__xludf.DUMMYFUNCTION("""COMPUTED_VALUE"""),"Deb Smith")</f>
        <v>Deb Smith</v>
      </c>
      <c r="I247" s="62"/>
      <c r="J247" s="19"/>
    </row>
    <row r="248">
      <c r="A248" s="19" t="str">
        <f>IFERROR(__xludf.DUMMYFUNCTION("""COMPUTED_VALUE"""),"Amber Werchon")</f>
        <v>Amber Werchon</v>
      </c>
      <c r="B248" s="19" t="str">
        <f>IFERROR(__xludf.DUMMYFUNCTION("""COMPUTED_VALUE"""),"QLD")</f>
        <v>QLD</v>
      </c>
      <c r="C248" s="5" t="str">
        <f>IFERROR(__xludf.DUMMYFUNCTION("""COMPUTED_VALUE"""),"Kings Beach")</f>
        <v>Kings Beach</v>
      </c>
      <c r="D248" s="5" t="str">
        <f>IFERROR(__xludf.DUMMYFUNCTION("""COMPUTED_VALUE"""),"2/7 Warne Terrace Kings Beach QLD 4551")</f>
        <v>2/7 Warne Terrace Kings Beach QLD 4551</v>
      </c>
      <c r="E248" s="25">
        <f>IFERROR(__xludf.DUMMYFUNCTION("""COMPUTED_VALUE"""),45933.0)</f>
        <v>45933</v>
      </c>
      <c r="F248" s="5">
        <f>IFERROR(__xludf.DUMMYFUNCTION("""COMPUTED_VALUE"""),6.0)</f>
        <v>6</v>
      </c>
      <c r="G248" s="19" t="str">
        <f>IFERROR(__xludf.DUMMYFUNCTION("""COMPUTED_VALUE"""),"Instant Forms")</f>
        <v>Instant Forms</v>
      </c>
      <c r="H248" s="19" t="str">
        <f>IFERROR(__xludf.DUMMYFUNCTION("""COMPUTED_VALUE"""),"Cassy Impey")</f>
        <v>Cassy Impey</v>
      </c>
      <c r="I248" s="62"/>
      <c r="J248" s="19"/>
    </row>
    <row r="249">
      <c r="A249" s="19" t="str">
        <f>IFERROR(__xludf.DUMMYFUNCTION("""COMPUTED_VALUE"""),"Amber Werchon")</f>
        <v>Amber Werchon</v>
      </c>
      <c r="B249" s="19" t="str">
        <f>IFERROR(__xludf.DUMMYFUNCTION("""COMPUTED_VALUE"""),"QLD")</f>
        <v>QLD</v>
      </c>
      <c r="C249" s="5" t="str">
        <f>IFERROR(__xludf.DUMMYFUNCTION("""COMPUTED_VALUE"""),"Baringa")</f>
        <v>Baringa</v>
      </c>
      <c r="D249" s="5" t="str">
        <f>IFERROR(__xludf.DUMMYFUNCTION("""COMPUTED_VALUE"""),"41 hart crescent bells creek, Baringa, 4551")</f>
        <v>41 hart crescent bells creek, Baringa, 4551</v>
      </c>
      <c r="E249" s="25">
        <f>IFERROR(__xludf.DUMMYFUNCTION("""COMPUTED_VALUE"""),45787.0)</f>
        <v>45787</v>
      </c>
      <c r="F249" s="5" t="str">
        <f>IFERROR(__xludf.DUMMYFUNCTION("""COMPUTED_VALUE"""),"Featured")</f>
        <v>Featured</v>
      </c>
      <c r="G249" s="19" t="str">
        <f>IFERROR(__xludf.DUMMYFUNCTION("""COMPUTED_VALUE"""),"Meta Commission Report")</f>
        <v>Meta Commission Report</v>
      </c>
      <c r="H249" s="19" t="str">
        <f>IFERROR(__xludf.DUMMYFUNCTION("""COMPUTED_VALUE"""),"Scott Miller")</f>
        <v>Scott Miller</v>
      </c>
      <c r="I249" s="62"/>
      <c r="J249" s="19"/>
    </row>
    <row r="250">
      <c r="A250" s="19" t="str">
        <f>IFERROR(__xludf.DUMMYFUNCTION("""COMPUTED_VALUE"""),"Amber Werchon")</f>
        <v>Amber Werchon</v>
      </c>
      <c r="B250" s="19" t="str">
        <f>IFERROR(__xludf.DUMMYFUNCTION("""COMPUTED_VALUE"""),"QLD")</f>
        <v>QLD</v>
      </c>
      <c r="C250" s="5" t="str">
        <f>IFERROR(__xludf.DUMMYFUNCTION("""COMPUTED_VALUE"""),"Caloundra West")</f>
        <v>Caloundra West</v>
      </c>
      <c r="D250" s="5" t="str">
        <f>IFERROR(__xludf.DUMMYFUNCTION("""COMPUTED_VALUE"""),"43 Cobalt Crescent, Caloundra West, QLD, 4551, Australia")</f>
        <v>43 Cobalt Crescent, Caloundra West, QLD, 4551, Australia</v>
      </c>
      <c r="E250" s="27">
        <f>IFERROR(__xludf.DUMMYFUNCTION("""COMPUTED_VALUE"""),45848.0)</f>
        <v>45848</v>
      </c>
      <c r="F250" s="5" t="str">
        <f>IFERROR(__xludf.DUMMYFUNCTION("""COMPUTED_VALUE"""),"Featured")</f>
        <v>Featured</v>
      </c>
      <c r="G250" s="19"/>
      <c r="H250" s="19"/>
      <c r="I250" s="62"/>
      <c r="J250" s="19"/>
    </row>
    <row r="251">
      <c r="A251" s="19" t="str">
        <f>IFERROR(__xludf.DUMMYFUNCTION("""COMPUTED_VALUE"""),"Amber Werchon")</f>
        <v>Amber Werchon</v>
      </c>
      <c r="B251" s="19" t="str">
        <f>IFERROR(__xludf.DUMMYFUNCTION("""COMPUTED_VALUE"""),"QLD")</f>
        <v>QLD</v>
      </c>
      <c r="C251" s="5">
        <f>IFERROR(__xludf.DUMMYFUNCTION("""COMPUTED_VALUE"""),4551.0)</f>
        <v>4551</v>
      </c>
      <c r="D251" s="5" t="str">
        <f>IFERROR(__xludf.DUMMYFUNCTION("""COMPUTED_VALUE"""),"43 cobalt crescent")</f>
        <v>43 cobalt crescent</v>
      </c>
      <c r="E251" s="25">
        <f>IFERROR(__xludf.DUMMYFUNCTION("""COMPUTED_VALUE"""),45937.0)</f>
        <v>45937</v>
      </c>
      <c r="F251" s="5" t="str">
        <f>IFERROR(__xludf.DUMMYFUNCTION("""COMPUTED_VALUE"""),"Featured")</f>
        <v>Featured</v>
      </c>
      <c r="G251" s="19" t="str">
        <f>IFERROR(__xludf.DUMMYFUNCTION("""COMPUTED_VALUE"""),"Commission Comparison")</f>
        <v>Commission Comparison</v>
      </c>
      <c r="H251" s="19"/>
      <c r="I251" s="62"/>
      <c r="J251" s="19"/>
    </row>
    <row r="252">
      <c r="A252" s="19" t="str">
        <f>IFERROR(__xludf.DUMMYFUNCTION("""COMPUTED_VALUE"""),"")</f>
        <v/>
      </c>
      <c r="B252" s="19" t="str">
        <f>IFERROR(__xludf.DUMMYFUNCTION("""COMPUTED_VALUE"""),"")</f>
        <v/>
      </c>
      <c r="C252" s="5" t="str">
        <f>IFERROR(__xludf.DUMMYFUNCTION("""COMPUTED_VALUE"""),"")</f>
        <v/>
      </c>
      <c r="D252" s="5" t="str">
        <f>IFERROR(__xludf.DUMMYFUNCTION("""COMPUTED_VALUE"""),"")</f>
        <v/>
      </c>
      <c r="E252" s="5" t="str">
        <f>IFERROR(__xludf.DUMMYFUNCTION("""COMPUTED_VALUE"""),"")</f>
        <v/>
      </c>
      <c r="F252" s="5" t="str">
        <f>IFERROR(__xludf.DUMMYFUNCTION("""COMPUTED_VALUE"""),"")</f>
        <v/>
      </c>
      <c r="G252" s="19" t="str">
        <f>IFERROR(__xludf.DUMMYFUNCTION("""COMPUTED_VALUE"""),"")</f>
        <v/>
      </c>
      <c r="H252" s="19" t="str">
        <f>IFERROR(__xludf.DUMMYFUNCTION("""COMPUTED_VALUE"""),"")</f>
        <v/>
      </c>
      <c r="I252" s="62" t="str">
        <f>IFERROR(__xludf.DUMMYFUNCTION("""COMPUTED_VALUE"""),"")</f>
        <v/>
      </c>
      <c r="J252" s="19" t="str">
        <f>IFERROR(__xludf.DUMMYFUNCTION("""COMPUTED_VALUE"""),"")</f>
        <v/>
      </c>
    </row>
    <row r="253">
      <c r="A253" s="19" t="str">
        <f>IFERROR(__xludf.DUMMYFUNCTION("""COMPUTED_VALUE"""),"")</f>
        <v/>
      </c>
      <c r="B253" s="19" t="str">
        <f>IFERROR(__xludf.DUMMYFUNCTION("""COMPUTED_VALUE"""),"")</f>
        <v/>
      </c>
      <c r="C253" s="5" t="str">
        <f>IFERROR(__xludf.DUMMYFUNCTION("""COMPUTED_VALUE"""),"")</f>
        <v/>
      </c>
      <c r="D253" s="5" t="str">
        <f>IFERROR(__xludf.DUMMYFUNCTION("""COMPUTED_VALUE"""),"")</f>
        <v/>
      </c>
      <c r="E253" s="5" t="str">
        <f>IFERROR(__xludf.DUMMYFUNCTION("""COMPUTED_VALUE"""),"")</f>
        <v/>
      </c>
      <c r="F253" s="5" t="str">
        <f>IFERROR(__xludf.DUMMYFUNCTION("""COMPUTED_VALUE"""),"")</f>
        <v/>
      </c>
      <c r="G253" s="19" t="str">
        <f>IFERROR(__xludf.DUMMYFUNCTION("""COMPUTED_VALUE"""),"")</f>
        <v/>
      </c>
      <c r="H253" s="19" t="str">
        <f>IFERROR(__xludf.DUMMYFUNCTION("""COMPUTED_VALUE"""),"")</f>
        <v/>
      </c>
      <c r="I253" s="62" t="str">
        <f>IFERROR(__xludf.DUMMYFUNCTION("""COMPUTED_VALUE"""),"")</f>
        <v/>
      </c>
      <c r="J253" s="19" t="str">
        <f>IFERROR(__xludf.DUMMYFUNCTION("""COMPUTED_VALUE"""),"")</f>
        <v/>
      </c>
    </row>
    <row r="254">
      <c r="A254" s="19" t="str">
        <f>IFERROR(__xludf.DUMMYFUNCTION("""COMPUTED_VALUE"""),"Ami Russell")</f>
        <v>Ami Russell</v>
      </c>
      <c r="B254" s="19" t="str">
        <f>IFERROR(__xludf.DUMMYFUNCTION("""COMPUTED_VALUE"""),"VIC")</f>
        <v>VIC</v>
      </c>
      <c r="C254" s="5" t="str">
        <f>IFERROR(__xludf.DUMMYFUNCTION("""COMPUTED_VALUE"""),"Sandringham")</f>
        <v>Sandringham</v>
      </c>
      <c r="D254" s="5" t="str">
        <f>IFERROR(__xludf.DUMMYFUNCTION("""COMPUTED_VALUE"""),"Harold Street Sandringham VIC 3191")</f>
        <v>Harold Street Sandringham VIC 3191</v>
      </c>
      <c r="E254" s="25">
        <f>IFERROR(__xludf.DUMMYFUNCTION("""COMPUTED_VALUE"""),45918.0)</f>
        <v>45918</v>
      </c>
      <c r="F254" s="5">
        <f>IFERROR(__xludf.DUMMYFUNCTION("""COMPUTED_VALUE"""),6.0)</f>
        <v>6</v>
      </c>
      <c r="G254" s="19" t="str">
        <f>IFERROR(__xludf.DUMMYFUNCTION("""COMPUTED_VALUE"""),"Instant Forms")</f>
        <v>Instant Forms</v>
      </c>
      <c r="H254" s="19" t="str">
        <f>IFERROR(__xludf.DUMMYFUNCTION("""COMPUTED_VALUE"""),"Nick Milat")</f>
        <v>Nick Milat</v>
      </c>
      <c r="I254" s="62"/>
      <c r="J254" s="19"/>
    </row>
    <row r="255">
      <c r="A255" s="19" t="str">
        <f>IFERROR(__xludf.DUMMYFUNCTION("""COMPUTED_VALUE"""),"")</f>
        <v/>
      </c>
      <c r="B255" s="19" t="str">
        <f>IFERROR(__xludf.DUMMYFUNCTION("""COMPUTED_VALUE"""),"")</f>
        <v/>
      </c>
      <c r="C255" s="5" t="str">
        <f>IFERROR(__xludf.DUMMYFUNCTION("""COMPUTED_VALUE"""),"")</f>
        <v/>
      </c>
      <c r="D255" s="5" t="str">
        <f>IFERROR(__xludf.DUMMYFUNCTION("""COMPUTED_VALUE"""),"")</f>
        <v/>
      </c>
      <c r="E255" s="5" t="str">
        <f>IFERROR(__xludf.DUMMYFUNCTION("""COMPUTED_VALUE"""),"")</f>
        <v/>
      </c>
      <c r="F255" s="5" t="str">
        <f>IFERROR(__xludf.DUMMYFUNCTION("""COMPUTED_VALUE"""),"")</f>
        <v/>
      </c>
      <c r="G255" s="19" t="str">
        <f>IFERROR(__xludf.DUMMYFUNCTION("""COMPUTED_VALUE"""),"")</f>
        <v/>
      </c>
      <c r="H255" s="19" t="str">
        <f>IFERROR(__xludf.DUMMYFUNCTION("""COMPUTED_VALUE"""),"")</f>
        <v/>
      </c>
      <c r="I255" s="62" t="str">
        <f>IFERROR(__xludf.DUMMYFUNCTION("""COMPUTED_VALUE"""),"")</f>
        <v/>
      </c>
      <c r="J255" s="19" t="str">
        <f>IFERROR(__xludf.DUMMYFUNCTION("""COMPUTED_VALUE"""),"")</f>
        <v/>
      </c>
    </row>
    <row r="256">
      <c r="A256" s="19" t="str">
        <f>IFERROR(__xludf.DUMMYFUNCTION("""COMPUTED_VALUE"""),"")</f>
        <v/>
      </c>
      <c r="B256" s="19" t="str">
        <f>IFERROR(__xludf.DUMMYFUNCTION("""COMPUTED_VALUE"""),"")</f>
        <v/>
      </c>
      <c r="C256" s="5" t="str">
        <f>IFERROR(__xludf.DUMMYFUNCTION("""COMPUTED_VALUE"""),"")</f>
        <v/>
      </c>
      <c r="D256" s="5" t="str">
        <f>IFERROR(__xludf.DUMMYFUNCTION("""COMPUTED_VALUE"""),"")</f>
        <v/>
      </c>
      <c r="E256" s="5" t="str">
        <f>IFERROR(__xludf.DUMMYFUNCTION("""COMPUTED_VALUE"""),"")</f>
        <v/>
      </c>
      <c r="F256" s="5" t="str">
        <f>IFERROR(__xludf.DUMMYFUNCTION("""COMPUTED_VALUE"""),"")</f>
        <v/>
      </c>
      <c r="G256" s="19" t="str">
        <f>IFERROR(__xludf.DUMMYFUNCTION("""COMPUTED_VALUE"""),"")</f>
        <v/>
      </c>
      <c r="H256" s="19" t="str">
        <f>IFERROR(__xludf.DUMMYFUNCTION("""COMPUTED_VALUE"""),"")</f>
        <v/>
      </c>
      <c r="I256" s="62" t="str">
        <f>IFERROR(__xludf.DUMMYFUNCTION("""COMPUTED_VALUE"""),"")</f>
        <v/>
      </c>
      <c r="J256" s="19" t="str">
        <f>IFERROR(__xludf.DUMMYFUNCTION("""COMPUTED_VALUE"""),"")</f>
        <v/>
      </c>
    </row>
    <row r="257">
      <c r="A257" s="19" t="str">
        <f>IFERROR(__xludf.DUMMYFUNCTION("""COMPUTED_VALUE"""),"Amit Shrestha")</f>
        <v>Amit Shrestha</v>
      </c>
      <c r="B257" s="19" t="str">
        <f>IFERROR(__xludf.DUMMYFUNCTION("""COMPUTED_VALUE"""),"NSW")</f>
        <v>NSW</v>
      </c>
      <c r="C257" s="5" t="str">
        <f>IFERROR(__xludf.DUMMYFUNCTION("""COMPUTED_VALUE"""),"Baulkham Hills")</f>
        <v>Baulkham Hills</v>
      </c>
      <c r="D257" s="5" t="str">
        <f>IFERROR(__xludf.DUMMYFUNCTION("""COMPUTED_VALUE"""),"3 Valda Place Baulkham Hills NSW 2153")</f>
        <v>3 Valda Place Baulkham Hills NSW 2153</v>
      </c>
      <c r="E257" s="25">
        <f>IFERROR(__xludf.DUMMYFUNCTION("""COMPUTED_VALUE"""),45924.0)</f>
        <v>45924</v>
      </c>
      <c r="F257" s="5">
        <f>IFERROR(__xludf.DUMMYFUNCTION("""COMPUTED_VALUE"""),8.0)</f>
        <v>8</v>
      </c>
      <c r="G257" s="19" t="str">
        <f>IFERROR(__xludf.DUMMYFUNCTION("""COMPUTED_VALUE"""),"Instant Forms")</f>
        <v>Instant Forms</v>
      </c>
      <c r="H257" s="19" t="str">
        <f>IFERROR(__xludf.DUMMYFUNCTION("""COMPUTED_VALUE"""),"Anthony Dean")</f>
        <v>Anthony Dean</v>
      </c>
      <c r="I257" s="62"/>
      <c r="J257" s="19"/>
    </row>
    <row r="258">
      <c r="A258" s="19" t="str">
        <f>IFERROR(__xludf.DUMMYFUNCTION("""COMPUTED_VALUE"""),"Amit Shrestha")</f>
        <v>Amit Shrestha</v>
      </c>
      <c r="B258" s="19" t="str">
        <f>IFERROR(__xludf.DUMMYFUNCTION("""COMPUTED_VALUE"""),"NSW")</f>
        <v>NSW</v>
      </c>
      <c r="C258" s="5" t="str">
        <f>IFERROR(__xludf.DUMMYFUNCTION("""COMPUTED_VALUE"""),"castle hill nsw")</f>
        <v>castle hill nsw</v>
      </c>
      <c r="D258" s="5" t="str">
        <f>IFERROR(__xludf.DUMMYFUNCTION("""COMPUTED_VALUE"""),"3 Capra Place Castle Hill NSW 2154")</f>
        <v>3 Capra Place Castle Hill NSW 2154</v>
      </c>
      <c r="E258" s="25">
        <f>IFERROR(__xludf.DUMMYFUNCTION("""COMPUTED_VALUE"""),45924.0)</f>
        <v>45924</v>
      </c>
      <c r="F258" s="5">
        <f>IFERROR(__xludf.DUMMYFUNCTION("""COMPUTED_VALUE"""),8.0)</f>
        <v>8</v>
      </c>
      <c r="G258" s="19" t="str">
        <f>IFERROR(__xludf.DUMMYFUNCTION("""COMPUTED_VALUE"""),"Instant Forms")</f>
        <v>Instant Forms</v>
      </c>
      <c r="H258" s="19" t="str">
        <f>IFERROR(__xludf.DUMMYFUNCTION("""COMPUTED_VALUE"""),"Maria Ibarra")</f>
        <v>Maria Ibarra</v>
      </c>
      <c r="I258" s="62"/>
      <c r="J258" s="19"/>
    </row>
    <row r="259">
      <c r="A259" s="19" t="str">
        <f>IFERROR(__xludf.DUMMYFUNCTION("""COMPUTED_VALUE"""),"Amit Shrestha")</f>
        <v>Amit Shrestha</v>
      </c>
      <c r="B259" s="19" t="str">
        <f>IFERROR(__xludf.DUMMYFUNCTION("""COMPUTED_VALUE"""),"NSW")</f>
        <v>NSW</v>
      </c>
      <c r="C259" s="5" t="str">
        <f>IFERROR(__xludf.DUMMYFUNCTION("""COMPUTED_VALUE"""),"Glenwood")</f>
        <v>Glenwood</v>
      </c>
      <c r="D259" s="5"/>
      <c r="E259" s="25">
        <f>IFERROR(__xludf.DUMMYFUNCTION("""COMPUTED_VALUE"""),45925.0)</f>
        <v>45925</v>
      </c>
      <c r="F259" s="5">
        <f>IFERROR(__xludf.DUMMYFUNCTION("""COMPUTED_VALUE"""),5.0)</f>
        <v>5</v>
      </c>
      <c r="G259" s="19" t="str">
        <f>IFERROR(__xludf.DUMMYFUNCTION("""COMPUTED_VALUE"""),"Instant Forms")</f>
        <v>Instant Forms</v>
      </c>
      <c r="H259" s="19" t="str">
        <f>IFERROR(__xludf.DUMMYFUNCTION("""COMPUTED_VALUE"""),"Linda Debattista")</f>
        <v>Linda Debattista</v>
      </c>
      <c r="I259" s="62"/>
      <c r="J259" s="19"/>
    </row>
    <row r="260">
      <c r="A260" s="19" t="str">
        <f>IFERROR(__xludf.DUMMYFUNCTION("""COMPUTED_VALUE"""),"Amit Shrestha")</f>
        <v>Amit Shrestha</v>
      </c>
      <c r="B260" s="19" t="str">
        <f>IFERROR(__xludf.DUMMYFUNCTION("""COMPUTED_VALUE"""),"NSW")</f>
        <v>NSW</v>
      </c>
      <c r="C260" s="5" t="str">
        <f>IFERROR(__xludf.DUMMYFUNCTION("""COMPUTED_VALUE"""),"Baulkham Hills")</f>
        <v>Baulkham Hills</v>
      </c>
      <c r="D260" s="5" t="str">
        <f>IFERROR(__xludf.DUMMYFUNCTION("""COMPUTED_VALUE"""),"57 Luculia Avenue Baulkham Hills NSW 2153")</f>
        <v>57 Luculia Avenue Baulkham Hills NSW 2153</v>
      </c>
      <c r="E260" s="25">
        <f>IFERROR(__xludf.DUMMYFUNCTION("""COMPUTED_VALUE"""),45925.0)</f>
        <v>45925</v>
      </c>
      <c r="F260" s="5">
        <f>IFERROR(__xludf.DUMMYFUNCTION("""COMPUTED_VALUE"""),8.0)</f>
        <v>8</v>
      </c>
      <c r="G260" s="19" t="str">
        <f>IFERROR(__xludf.DUMMYFUNCTION("""COMPUTED_VALUE"""),"Instant Forms")</f>
        <v>Instant Forms</v>
      </c>
      <c r="H260" s="19" t="str">
        <f>IFERROR(__xludf.DUMMYFUNCTION("""COMPUTED_VALUE"""),"Graeme Colman")</f>
        <v>Graeme Colman</v>
      </c>
      <c r="I260" s="62"/>
      <c r="J260" s="19"/>
    </row>
    <row r="261">
      <c r="A261" s="19" t="str">
        <f>IFERROR(__xludf.DUMMYFUNCTION("""COMPUTED_VALUE"""),"Amit Shrestha")</f>
        <v>Amit Shrestha</v>
      </c>
      <c r="B261" s="19" t="str">
        <f>IFERROR(__xludf.DUMMYFUNCTION("""COMPUTED_VALUE"""),"NSW")</f>
        <v>NSW</v>
      </c>
      <c r="C261" s="5" t="str">
        <f>IFERROR(__xludf.DUMMYFUNCTION("""COMPUTED_VALUE"""),"Stanhope Gardens")</f>
        <v>Stanhope Gardens</v>
      </c>
      <c r="D261" s="5" t="str">
        <f>IFERROR(__xludf.DUMMYFUNCTION("""COMPUTED_VALUE"""),"7 Elmstree Road Stanhope Gardens NSW 2768")</f>
        <v>7 Elmstree Road Stanhope Gardens NSW 2768</v>
      </c>
      <c r="E261" s="25">
        <f>IFERROR(__xludf.DUMMYFUNCTION("""COMPUTED_VALUE"""),45925.0)</f>
        <v>45925</v>
      </c>
      <c r="F261" s="5">
        <f>IFERROR(__xludf.DUMMYFUNCTION("""COMPUTED_VALUE"""),6.0)</f>
        <v>6</v>
      </c>
      <c r="G261" s="19" t="str">
        <f>IFERROR(__xludf.DUMMYFUNCTION("""COMPUTED_VALUE"""),"Instant Forms")</f>
        <v>Instant Forms</v>
      </c>
      <c r="H261" s="19" t="str">
        <f>IFERROR(__xludf.DUMMYFUNCTION("""COMPUTED_VALUE"""),"Nel Sen")</f>
        <v>Nel Sen</v>
      </c>
      <c r="I261" s="62"/>
      <c r="J261" s="19"/>
    </row>
    <row r="262">
      <c r="A262" s="19" t="str">
        <f>IFERROR(__xludf.DUMMYFUNCTION("""COMPUTED_VALUE"""),"Amit Shrestha")</f>
        <v>Amit Shrestha</v>
      </c>
      <c r="B262" s="19" t="str">
        <f>IFERROR(__xludf.DUMMYFUNCTION("""COMPUTED_VALUE"""),"NSW")</f>
        <v>NSW</v>
      </c>
      <c r="C262" s="5" t="str">
        <f>IFERROR(__xludf.DUMMYFUNCTION("""COMPUTED_VALUE"""),"seven Hills")</f>
        <v>seven Hills</v>
      </c>
      <c r="D262" s="5" t="str">
        <f>IFERROR(__xludf.DUMMYFUNCTION("""COMPUTED_VALUE"""),"2A Johnson Avenue Seven Hills NSW 2147")</f>
        <v>2A Johnson Avenue Seven Hills NSW 2147</v>
      </c>
      <c r="E262" s="25">
        <f>IFERROR(__xludf.DUMMYFUNCTION("""COMPUTED_VALUE"""),45925.0)</f>
        <v>45925</v>
      </c>
      <c r="F262" s="5">
        <f>IFERROR(__xludf.DUMMYFUNCTION("""COMPUTED_VALUE"""),6.0)</f>
        <v>6</v>
      </c>
      <c r="G262" s="19" t="str">
        <f>IFERROR(__xludf.DUMMYFUNCTION("""COMPUTED_VALUE"""),"Instant Forms")</f>
        <v>Instant Forms</v>
      </c>
      <c r="H262" s="19" t="str">
        <f>IFERROR(__xludf.DUMMYFUNCTION("""COMPUTED_VALUE"""),"Christopher Rayfield")</f>
        <v>Christopher Rayfield</v>
      </c>
      <c r="I262" s="62"/>
      <c r="J262" s="19"/>
    </row>
    <row r="263">
      <c r="A263" s="19" t="str">
        <f>IFERROR(__xludf.DUMMYFUNCTION("""COMPUTED_VALUE"""),"Amit Shrestha")</f>
        <v>Amit Shrestha</v>
      </c>
      <c r="B263" s="19" t="str">
        <f>IFERROR(__xludf.DUMMYFUNCTION("""COMPUTED_VALUE"""),"NSW")</f>
        <v>NSW</v>
      </c>
      <c r="C263" s="5" t="str">
        <f>IFERROR(__xludf.DUMMYFUNCTION("""COMPUTED_VALUE"""),"Glenwood")</f>
        <v>Glenwood</v>
      </c>
      <c r="D263" s="5" t="str">
        <f>IFERROR(__xludf.DUMMYFUNCTION("""COMPUTED_VALUE"""),"39 Sharrock Avenue Glenwood NSW 2768")</f>
        <v>39 Sharrock Avenue Glenwood NSW 2768</v>
      </c>
      <c r="E263" s="25">
        <f>IFERROR(__xludf.DUMMYFUNCTION("""COMPUTED_VALUE"""),45926.0)</f>
        <v>45926</v>
      </c>
      <c r="F263" s="5">
        <f>IFERROR(__xludf.DUMMYFUNCTION("""COMPUTED_VALUE"""),8.0)</f>
        <v>8</v>
      </c>
      <c r="G263" s="19" t="str">
        <f>IFERROR(__xludf.DUMMYFUNCTION("""COMPUTED_VALUE"""),"Instant Forms")</f>
        <v>Instant Forms</v>
      </c>
      <c r="H263" s="19" t="str">
        <f>IFERROR(__xludf.DUMMYFUNCTION("""COMPUTED_VALUE"""),"Glenn Walker-Stanley")</f>
        <v>Glenn Walker-Stanley</v>
      </c>
      <c r="I263" s="62"/>
      <c r="J263" s="19"/>
    </row>
    <row r="264">
      <c r="A264" s="19" t="str">
        <f>IFERROR(__xludf.DUMMYFUNCTION("""COMPUTED_VALUE"""),"Amit Shrestha")</f>
        <v>Amit Shrestha</v>
      </c>
      <c r="B264" s="19" t="str">
        <f>IFERROR(__xludf.DUMMYFUNCTION("""COMPUTED_VALUE"""),"NSW")</f>
        <v>NSW</v>
      </c>
      <c r="C264" s="5" t="str">
        <f>IFERROR(__xludf.DUMMYFUNCTION("""COMPUTED_VALUE"""),"Acacia Gardens")</f>
        <v>Acacia Gardens</v>
      </c>
      <c r="D264" s="5" t="str">
        <f>IFERROR(__xludf.DUMMYFUNCTION("""COMPUTED_VALUE"""),"30 Sciarra Crescent Acacia Gardens NSW 2763")</f>
        <v>30 Sciarra Crescent Acacia Gardens NSW 2763</v>
      </c>
      <c r="E264" s="25">
        <f>IFERROR(__xludf.DUMMYFUNCTION("""COMPUTED_VALUE"""),45928.0)</f>
        <v>45928</v>
      </c>
      <c r="F264" s="5">
        <f>IFERROR(__xludf.DUMMYFUNCTION("""COMPUTED_VALUE"""),8.0)</f>
        <v>8</v>
      </c>
      <c r="G264" s="19" t="str">
        <f>IFERROR(__xludf.DUMMYFUNCTION("""COMPUTED_VALUE"""),"Instant Forms")</f>
        <v>Instant Forms</v>
      </c>
      <c r="H264" s="19" t="str">
        <f>IFERROR(__xludf.DUMMYFUNCTION("""COMPUTED_VALUE"""),"A G Menendez")</f>
        <v>A G Menendez</v>
      </c>
      <c r="I264" s="62"/>
      <c r="J264" s="19"/>
    </row>
    <row r="265">
      <c r="A265" s="19" t="str">
        <f>IFERROR(__xludf.DUMMYFUNCTION("""COMPUTED_VALUE"""),"Amit Shrestha")</f>
        <v>Amit Shrestha</v>
      </c>
      <c r="B265" s="19" t="str">
        <f>IFERROR(__xludf.DUMMYFUNCTION("""COMPUTED_VALUE"""),"NSW")</f>
        <v>NSW</v>
      </c>
      <c r="C265" s="5" t="str">
        <f>IFERROR(__xludf.DUMMYFUNCTION("""COMPUTED_VALUE"""),"Box Hill")</f>
        <v>Box Hill</v>
      </c>
      <c r="D265" s="5" t="str">
        <f>IFERROR(__xludf.DUMMYFUNCTION("""COMPUTED_VALUE"""),"271 Terry Road Box Hill NSW 2765")</f>
        <v>271 Terry Road Box Hill NSW 2765</v>
      </c>
      <c r="E265" s="25">
        <f>IFERROR(__xludf.DUMMYFUNCTION("""COMPUTED_VALUE"""),45928.0)</f>
        <v>45928</v>
      </c>
      <c r="F265" s="5">
        <f>IFERROR(__xludf.DUMMYFUNCTION("""COMPUTED_VALUE"""),6.0)</f>
        <v>6</v>
      </c>
      <c r="G265" s="19" t="str">
        <f>IFERROR(__xludf.DUMMYFUNCTION("""COMPUTED_VALUE"""),"Instant Forms")</f>
        <v>Instant Forms</v>
      </c>
      <c r="H265" s="19" t="str">
        <f>IFERROR(__xludf.DUMMYFUNCTION("""COMPUTED_VALUE"""),"Maureen Tan Pelaez")</f>
        <v>Maureen Tan Pelaez</v>
      </c>
      <c r="I265" s="62"/>
      <c r="J265" s="19"/>
    </row>
    <row r="266">
      <c r="A266" s="19" t="str">
        <f>IFERROR(__xludf.DUMMYFUNCTION("""COMPUTED_VALUE"""),"Amit Shrestha")</f>
        <v>Amit Shrestha</v>
      </c>
      <c r="B266" s="19" t="str">
        <f>IFERROR(__xludf.DUMMYFUNCTION("""COMPUTED_VALUE"""),"NSW")</f>
        <v>NSW</v>
      </c>
      <c r="C266" s="5" t="str">
        <f>IFERROR(__xludf.DUMMYFUNCTION("""COMPUTED_VALUE"""),"Baulkham hills")</f>
        <v>Baulkham hills</v>
      </c>
      <c r="D266" s="5"/>
      <c r="E266" s="25">
        <f>IFERROR(__xludf.DUMMYFUNCTION("""COMPUTED_VALUE"""),45928.0)</f>
        <v>45928</v>
      </c>
      <c r="F266" s="5">
        <f>IFERROR(__xludf.DUMMYFUNCTION("""COMPUTED_VALUE"""),6.0)</f>
        <v>6</v>
      </c>
      <c r="G266" s="19" t="str">
        <f>IFERROR(__xludf.DUMMYFUNCTION("""COMPUTED_VALUE"""),"Instant Forms")</f>
        <v>Instant Forms</v>
      </c>
      <c r="H266" s="19" t="str">
        <f>IFERROR(__xludf.DUMMYFUNCTION("""COMPUTED_VALUE"""),"Janie Didd")</f>
        <v>Janie Didd</v>
      </c>
      <c r="I266" s="62"/>
      <c r="J266" s="19"/>
    </row>
    <row r="267">
      <c r="A267" s="19" t="str">
        <f>IFERROR(__xludf.DUMMYFUNCTION("""COMPUTED_VALUE"""),"Amit Shrestha")</f>
        <v>Amit Shrestha</v>
      </c>
      <c r="B267" s="19" t="str">
        <f>IFERROR(__xludf.DUMMYFUNCTION("""COMPUTED_VALUE"""),"NSW")</f>
        <v>NSW</v>
      </c>
      <c r="C267" s="5" t="str">
        <f>IFERROR(__xludf.DUMMYFUNCTION("""COMPUTED_VALUE"""),"Kellyville")</f>
        <v>Kellyville</v>
      </c>
      <c r="D267" s="5"/>
      <c r="E267" s="25">
        <f>IFERROR(__xludf.DUMMYFUNCTION("""COMPUTED_VALUE"""),45929.0)</f>
        <v>45929</v>
      </c>
      <c r="F267" s="5">
        <f>IFERROR(__xludf.DUMMYFUNCTION("""COMPUTED_VALUE"""),5.0)</f>
        <v>5</v>
      </c>
      <c r="G267" s="19" t="str">
        <f>IFERROR(__xludf.DUMMYFUNCTION("""COMPUTED_VALUE"""),"Instant Forms")</f>
        <v>Instant Forms</v>
      </c>
      <c r="H267" s="19" t="str">
        <f>IFERROR(__xludf.DUMMYFUNCTION("""COMPUTED_VALUE"""),"Steve Jackson (Believe his name may be Brendon Wallace based off the phone number and email provided. Low Quality Data)")</f>
        <v>Steve Jackson (Believe his name may be Brendon Wallace based off the phone number and email provided. Low Quality Data)</v>
      </c>
      <c r="I267" s="62"/>
      <c r="J267" s="19"/>
    </row>
    <row r="268">
      <c r="A268" s="19" t="str">
        <f>IFERROR(__xludf.DUMMYFUNCTION("""COMPUTED_VALUE"""),"Amit Shrestha")</f>
        <v>Amit Shrestha</v>
      </c>
      <c r="B268" s="19" t="str">
        <f>IFERROR(__xludf.DUMMYFUNCTION("""COMPUTED_VALUE"""),"NSW")</f>
        <v>NSW</v>
      </c>
      <c r="C268" s="5" t="str">
        <f>IFERROR(__xludf.DUMMYFUNCTION("""COMPUTED_VALUE"""),"Kellyville")</f>
        <v>Kellyville</v>
      </c>
      <c r="D268" s="5" t="str">
        <f>IFERROR(__xludf.DUMMYFUNCTION("""COMPUTED_VALUE"""),"10 Honeysuckle Place Kellyville NSW 2155")</f>
        <v>10 Honeysuckle Place Kellyville NSW 2155</v>
      </c>
      <c r="E268" s="25">
        <f>IFERROR(__xludf.DUMMYFUNCTION("""COMPUTED_VALUE"""),45929.0)</f>
        <v>45929</v>
      </c>
      <c r="F268" s="5">
        <f>IFERROR(__xludf.DUMMYFUNCTION("""COMPUTED_VALUE"""),8.0)</f>
        <v>8</v>
      </c>
      <c r="G268" s="19" t="str">
        <f>IFERROR(__xludf.DUMMYFUNCTION("""COMPUTED_VALUE"""),"Instant Forms")</f>
        <v>Instant Forms</v>
      </c>
      <c r="H268" s="19" t="str">
        <f>IFERROR(__xludf.DUMMYFUNCTION("""COMPUTED_VALUE"""),"Neala Fraser")</f>
        <v>Neala Fraser</v>
      </c>
      <c r="I268" s="62"/>
      <c r="J268" s="19"/>
    </row>
    <row r="269">
      <c r="A269" s="19" t="str">
        <f>IFERROR(__xludf.DUMMYFUNCTION("""COMPUTED_VALUE"""),"Amit Shrestha")</f>
        <v>Amit Shrestha</v>
      </c>
      <c r="B269" s="19" t="str">
        <f>IFERROR(__xludf.DUMMYFUNCTION("""COMPUTED_VALUE"""),"NSW")</f>
        <v>NSW</v>
      </c>
      <c r="C269" s="5" t="str">
        <f>IFERROR(__xludf.DUMMYFUNCTION("""COMPUTED_VALUE"""),"Baulkham Hills")</f>
        <v>Baulkham Hills</v>
      </c>
      <c r="D269" s="5" t="str">
        <f>IFERROR(__xludf.DUMMYFUNCTION("""COMPUTED_VALUE"""),"47 Canyon Road Baulkham Hills NSW 2153")</f>
        <v>47 Canyon Road Baulkham Hills NSW 2153</v>
      </c>
      <c r="E269" s="25">
        <f>IFERROR(__xludf.DUMMYFUNCTION("""COMPUTED_VALUE"""),45929.0)</f>
        <v>45929</v>
      </c>
      <c r="F269" s="5">
        <f>IFERROR(__xludf.DUMMYFUNCTION("""COMPUTED_VALUE"""),8.0)</f>
        <v>8</v>
      </c>
      <c r="G269" s="19" t="str">
        <f>IFERROR(__xludf.DUMMYFUNCTION("""COMPUTED_VALUE"""),"Instant Forms")</f>
        <v>Instant Forms</v>
      </c>
      <c r="H269" s="19" t="str">
        <f>IFERROR(__xludf.DUMMYFUNCTION("""COMPUTED_VALUE"""),"Russ Whitley")</f>
        <v>Russ Whitley</v>
      </c>
      <c r="I269" s="62"/>
      <c r="J269" s="19"/>
    </row>
    <row r="270">
      <c r="A270" s="19" t="str">
        <f>IFERROR(__xludf.DUMMYFUNCTION("""COMPUTED_VALUE"""),"Amit Shrestha")</f>
        <v>Amit Shrestha</v>
      </c>
      <c r="B270" s="19" t="str">
        <f>IFERROR(__xludf.DUMMYFUNCTION("""COMPUTED_VALUE"""),"NSW")</f>
        <v>NSW</v>
      </c>
      <c r="C270" s="5" t="str">
        <f>IFERROR(__xludf.DUMMYFUNCTION("""COMPUTED_VALUE"""),"seven Hills")</f>
        <v>seven Hills</v>
      </c>
      <c r="D270" s="5" t="str">
        <f>IFERROR(__xludf.DUMMYFUNCTION("""COMPUTED_VALUE"""),"2a Johnson ave seven Hills")</f>
        <v>2a Johnson ave seven Hills</v>
      </c>
      <c r="E270" s="25">
        <f>IFERROR(__xludf.DUMMYFUNCTION("""COMPUTED_VALUE"""),45929.0)</f>
        <v>45929</v>
      </c>
      <c r="F270" s="5" t="str">
        <f>IFERROR(__xludf.DUMMYFUNCTION("""COMPUTED_VALUE"""),"Featured")</f>
        <v>Featured</v>
      </c>
      <c r="G270" s="19" t="str">
        <f>IFERROR(__xludf.DUMMYFUNCTION("""COMPUTED_VALUE"""),"Commission Comparison")</f>
        <v>Commission Comparison</v>
      </c>
      <c r="H270" s="19"/>
      <c r="I270" s="62"/>
      <c r="J270" s="19"/>
    </row>
    <row r="271">
      <c r="A271" s="19" t="str">
        <f>IFERROR(__xludf.DUMMYFUNCTION("""COMPUTED_VALUE"""),"Amit Shrestha")</f>
        <v>Amit Shrestha</v>
      </c>
      <c r="B271" s="19" t="str">
        <f>IFERROR(__xludf.DUMMYFUNCTION("""COMPUTED_VALUE"""),"NSW")</f>
        <v>NSW</v>
      </c>
      <c r="C271" s="5" t="str">
        <f>IFERROR(__xludf.DUMMYFUNCTION("""COMPUTED_VALUE"""),"North Kellyville")</f>
        <v>North Kellyville</v>
      </c>
      <c r="D271" s="5" t="str">
        <f>IFERROR(__xludf.DUMMYFUNCTION("""COMPUTED_VALUE"""),"4 Mount Scott Way North Kellyville NSW 2155")</f>
        <v>4 Mount Scott Way North Kellyville NSW 2155</v>
      </c>
      <c r="E271" s="25">
        <f>IFERROR(__xludf.DUMMYFUNCTION("""COMPUTED_VALUE"""),45931.0)</f>
        <v>45931</v>
      </c>
      <c r="F271" s="5">
        <f>IFERROR(__xludf.DUMMYFUNCTION("""COMPUTED_VALUE"""),8.0)</f>
        <v>8</v>
      </c>
      <c r="G271" s="19" t="str">
        <f>IFERROR(__xludf.DUMMYFUNCTION("""COMPUTED_VALUE"""),"Instant Forms")</f>
        <v>Instant Forms</v>
      </c>
      <c r="H271" s="19" t="str">
        <f>IFERROR(__xludf.DUMMYFUNCTION("""COMPUTED_VALUE"""),"Ian Bosen")</f>
        <v>Ian Bosen</v>
      </c>
      <c r="I271" s="62"/>
      <c r="J271" s="19"/>
    </row>
    <row r="272">
      <c r="A272" s="19" t="str">
        <f>IFERROR(__xludf.DUMMYFUNCTION("""COMPUTED_VALUE"""),"Amit Shrestha")</f>
        <v>Amit Shrestha</v>
      </c>
      <c r="B272" s="19" t="str">
        <f>IFERROR(__xludf.DUMMYFUNCTION("""COMPUTED_VALUE"""),"NSW")</f>
        <v>NSW</v>
      </c>
      <c r="C272" s="5" t="str">
        <f>IFERROR(__xludf.DUMMYFUNCTION("""COMPUTED_VALUE"""),"Stanhope Gardens")</f>
        <v>Stanhope Gardens</v>
      </c>
      <c r="D272" s="5" t="str">
        <f>IFERROR(__xludf.DUMMYFUNCTION("""COMPUTED_VALUE"""),"7 Elmstree Road Stanhope Gardens NSW 2768")</f>
        <v>7 Elmstree Road Stanhope Gardens NSW 2768</v>
      </c>
      <c r="E272" s="25">
        <f>IFERROR(__xludf.DUMMYFUNCTION("""COMPUTED_VALUE"""),45933.0)</f>
        <v>45933</v>
      </c>
      <c r="F272" s="5">
        <f>IFERROR(__xludf.DUMMYFUNCTION("""COMPUTED_VALUE"""),6.0)</f>
        <v>6</v>
      </c>
      <c r="G272" s="19" t="str">
        <f>IFERROR(__xludf.DUMMYFUNCTION("""COMPUTED_VALUE"""),"Instant Forms")</f>
        <v>Instant Forms</v>
      </c>
      <c r="H272" s="19" t="str">
        <f>IFERROR(__xludf.DUMMYFUNCTION("""COMPUTED_VALUE"""),"Nel Sen")</f>
        <v>Nel Sen</v>
      </c>
      <c r="I272" s="62"/>
      <c r="J272" s="19"/>
    </row>
    <row r="273">
      <c r="A273" s="19" t="str">
        <f>IFERROR(__xludf.DUMMYFUNCTION("""COMPUTED_VALUE"""),"Amit Shrestha")</f>
        <v>Amit Shrestha</v>
      </c>
      <c r="B273" s="19" t="str">
        <f>IFERROR(__xludf.DUMMYFUNCTION("""COMPUTED_VALUE"""),"NSW")</f>
        <v>NSW</v>
      </c>
      <c r="C273" s="5" t="str">
        <f>IFERROR(__xludf.DUMMYFUNCTION("""COMPUTED_VALUE"""),"Castle hill")</f>
        <v>Castle hill</v>
      </c>
      <c r="D273" s="5" t="str">
        <f>IFERROR(__xludf.DUMMYFUNCTION("""COMPUTED_VALUE"""),"23 Tristan Court Castle Hill NSW 2154")</f>
        <v>23 Tristan Court Castle Hill NSW 2154</v>
      </c>
      <c r="E273" s="25">
        <f>IFERROR(__xludf.DUMMYFUNCTION("""COMPUTED_VALUE"""),45933.0)</f>
        <v>45933</v>
      </c>
      <c r="F273" s="5">
        <f>IFERROR(__xludf.DUMMYFUNCTION("""COMPUTED_VALUE"""),8.0)</f>
        <v>8</v>
      </c>
      <c r="G273" s="19" t="str">
        <f>IFERROR(__xludf.DUMMYFUNCTION("""COMPUTED_VALUE"""),"Instant Forms")</f>
        <v>Instant Forms</v>
      </c>
      <c r="H273" s="19" t="str">
        <f>IFERROR(__xludf.DUMMYFUNCTION("""COMPUTED_VALUE"""),"Wendy Kusmenko")</f>
        <v>Wendy Kusmenko</v>
      </c>
      <c r="I273" s="62"/>
      <c r="J273" s="19"/>
    </row>
    <row r="274">
      <c r="A274" s="19" t="str">
        <f>IFERROR(__xludf.DUMMYFUNCTION("""COMPUTED_VALUE"""),"Amit Shrestha")</f>
        <v>Amit Shrestha</v>
      </c>
      <c r="B274" s="19" t="str">
        <f>IFERROR(__xludf.DUMMYFUNCTION("""COMPUTED_VALUE"""),"NSW")</f>
        <v>NSW</v>
      </c>
      <c r="C274" s="5" t="str">
        <f>IFERROR(__xludf.DUMMYFUNCTION("""COMPUTED_VALUE"""),"Baylkham hills")</f>
        <v>Baylkham hills</v>
      </c>
      <c r="D274" s="5" t="str">
        <f>IFERROR(__xludf.DUMMYFUNCTION("""COMPUTED_VALUE"""),"10 Alysse Close Baulkham Hills NSW 2153")</f>
        <v>10 Alysse Close Baulkham Hills NSW 2153</v>
      </c>
      <c r="E274" s="25">
        <f>IFERROR(__xludf.DUMMYFUNCTION("""COMPUTED_VALUE"""),45934.0)</f>
        <v>45934</v>
      </c>
      <c r="F274" s="5">
        <f>IFERROR(__xludf.DUMMYFUNCTION("""COMPUTED_VALUE"""),8.0)</f>
        <v>8</v>
      </c>
      <c r="G274" s="19" t="str">
        <f>IFERROR(__xludf.DUMMYFUNCTION("""COMPUTED_VALUE"""),"Instant Forms")</f>
        <v>Instant Forms</v>
      </c>
      <c r="H274" s="19" t="str">
        <f>IFERROR(__xludf.DUMMYFUNCTION("""COMPUTED_VALUE"""),"Wendy De Audney")</f>
        <v>Wendy De Audney</v>
      </c>
      <c r="I274" s="62"/>
      <c r="J274" s="19"/>
    </row>
    <row r="275">
      <c r="A275" s="19" t="str">
        <f>IFERROR(__xludf.DUMMYFUNCTION("""COMPUTED_VALUE"""),"Amit Shrestha")</f>
        <v>Amit Shrestha</v>
      </c>
      <c r="B275" s="19" t="str">
        <f>IFERROR(__xludf.DUMMYFUNCTION("""COMPUTED_VALUE"""),"NSW")</f>
        <v>NSW</v>
      </c>
      <c r="C275" s="5" t="str">
        <f>IFERROR(__xludf.DUMMYFUNCTION("""COMPUTED_VALUE"""),"North Kellyville")</f>
        <v>North Kellyville</v>
      </c>
      <c r="D275" s="5" t="str">
        <f>IFERROR(__xludf.DUMMYFUNCTION("""COMPUTED_VALUE"""),"4 Mount Scott Way North Kellyville NSW 2155")</f>
        <v>4 Mount Scott Way North Kellyville NSW 2155</v>
      </c>
      <c r="E275" s="25">
        <f>IFERROR(__xludf.DUMMYFUNCTION("""COMPUTED_VALUE"""),45934.0)</f>
        <v>45934</v>
      </c>
      <c r="F275" s="5">
        <f>IFERROR(__xludf.DUMMYFUNCTION("""COMPUTED_VALUE"""),8.0)</f>
        <v>8</v>
      </c>
      <c r="G275" s="19" t="str">
        <f>IFERROR(__xludf.DUMMYFUNCTION("""COMPUTED_VALUE"""),"Instant Forms")</f>
        <v>Instant Forms</v>
      </c>
      <c r="H275" s="19" t="str">
        <f>IFERROR(__xludf.DUMMYFUNCTION("""COMPUTED_VALUE"""),"Ian Bosen")</f>
        <v>Ian Bosen</v>
      </c>
      <c r="I275" s="62"/>
      <c r="J275" s="19"/>
    </row>
    <row r="276">
      <c r="A276" s="19" t="str">
        <f>IFERROR(__xludf.DUMMYFUNCTION("""COMPUTED_VALUE"""),"Amit Shrestha")</f>
        <v>Amit Shrestha</v>
      </c>
      <c r="B276" s="19" t="str">
        <f>IFERROR(__xludf.DUMMYFUNCTION("""COMPUTED_VALUE"""),"NSW")</f>
        <v>NSW</v>
      </c>
      <c r="C276" s="5" t="str">
        <f>IFERROR(__xludf.DUMMYFUNCTION("""COMPUTED_VALUE"""),"kellyville")</f>
        <v>kellyville</v>
      </c>
      <c r="D276" s="5" t="str">
        <f>IFERROR(__xludf.DUMMYFUNCTION("""COMPUTED_VALUE"""),"11/115 Cattai Creek Drive Kellyville NSW 2155")</f>
        <v>11/115 Cattai Creek Drive Kellyville NSW 2155</v>
      </c>
      <c r="E276" s="25">
        <f>IFERROR(__xludf.DUMMYFUNCTION("""COMPUTED_VALUE"""),45934.0)</f>
        <v>45934</v>
      </c>
      <c r="F276" s="5">
        <f>IFERROR(__xludf.DUMMYFUNCTION("""COMPUTED_VALUE"""),8.0)</f>
        <v>8</v>
      </c>
      <c r="G276" s="19" t="str">
        <f>IFERROR(__xludf.DUMMYFUNCTION("""COMPUTED_VALUE"""),"Instant Forms")</f>
        <v>Instant Forms</v>
      </c>
      <c r="H276" s="19" t="str">
        <f>IFERROR(__xludf.DUMMYFUNCTION("""COMPUTED_VALUE"""),"Wayne West")</f>
        <v>Wayne West</v>
      </c>
      <c r="I276" s="62"/>
      <c r="J276" s="19"/>
    </row>
    <row r="277">
      <c r="A277" s="19" t="str">
        <f>IFERROR(__xludf.DUMMYFUNCTION("""COMPUTED_VALUE"""),"Amit Shrestha")</f>
        <v>Amit Shrestha</v>
      </c>
      <c r="B277" s="19" t="str">
        <f>IFERROR(__xludf.DUMMYFUNCTION("""COMPUTED_VALUE"""),"NSW")</f>
        <v>NSW</v>
      </c>
      <c r="C277" s="5" t="str">
        <f>IFERROR(__xludf.DUMMYFUNCTION("""COMPUTED_VALUE"""),"North Kellyville")</f>
        <v>North Kellyville</v>
      </c>
      <c r="D277" s="5" t="str">
        <f>IFERROR(__xludf.DUMMYFUNCTION("""COMPUTED_VALUE"""),"6 Napoli Way North Kellyville NSW 2155")</f>
        <v>6 Napoli Way North Kellyville NSW 2155</v>
      </c>
      <c r="E277" s="25">
        <f>IFERROR(__xludf.DUMMYFUNCTION("""COMPUTED_VALUE"""),45937.0)</f>
        <v>45937</v>
      </c>
      <c r="F277" s="5">
        <f>IFERROR(__xludf.DUMMYFUNCTION("""COMPUTED_VALUE"""),8.0)</f>
        <v>8</v>
      </c>
      <c r="G277" s="19" t="str">
        <f>IFERROR(__xludf.DUMMYFUNCTION("""COMPUTED_VALUE"""),"Instant Forms")</f>
        <v>Instant Forms</v>
      </c>
      <c r="H277" s="19" t="str">
        <f>IFERROR(__xludf.DUMMYFUNCTION("""COMPUTED_VALUE"""),"Melanie Cowie")</f>
        <v>Melanie Cowie</v>
      </c>
      <c r="I277" s="62"/>
      <c r="J277" s="19"/>
    </row>
    <row r="278">
      <c r="A278" s="19" t="str">
        <f>IFERROR(__xludf.DUMMYFUNCTION("""COMPUTED_VALUE"""),"Amit Shrestha")</f>
        <v>Amit Shrestha</v>
      </c>
      <c r="B278" s="19" t="str">
        <f>IFERROR(__xludf.DUMMYFUNCTION("""COMPUTED_VALUE"""),"NSW")</f>
        <v>NSW</v>
      </c>
      <c r="C278" s="5" t="str">
        <f>IFERROR(__xludf.DUMMYFUNCTION("""COMPUTED_VALUE"""),"Baulkham Hills")</f>
        <v>Baulkham Hills</v>
      </c>
      <c r="D278" s="5" t="str">
        <f>IFERROR(__xludf.DUMMYFUNCTION("""COMPUTED_VALUE"""),"7 Yallambee Court Baulkham Hills NSW 2153")</f>
        <v>7 Yallambee Court Baulkham Hills NSW 2153</v>
      </c>
      <c r="E278" s="25">
        <f>IFERROR(__xludf.DUMMYFUNCTION("""COMPUTED_VALUE"""),45938.0)</f>
        <v>45938</v>
      </c>
      <c r="F278" s="5">
        <f>IFERROR(__xludf.DUMMYFUNCTION("""COMPUTED_VALUE"""),8.0)</f>
        <v>8</v>
      </c>
      <c r="G278" s="19" t="str">
        <f>IFERROR(__xludf.DUMMYFUNCTION("""COMPUTED_VALUE"""),"Instant Forms")</f>
        <v>Instant Forms</v>
      </c>
      <c r="H278" s="19"/>
      <c r="I278" s="62"/>
      <c r="J278" s="19"/>
    </row>
    <row r="279">
      <c r="A279" s="19" t="str">
        <f>IFERROR(__xludf.DUMMYFUNCTION("""COMPUTED_VALUE"""),"Amit Shrestha")</f>
        <v>Amit Shrestha</v>
      </c>
      <c r="B279" s="19" t="str">
        <f>IFERROR(__xludf.DUMMYFUNCTION("""COMPUTED_VALUE"""),"NSW")</f>
        <v>NSW</v>
      </c>
      <c r="C279" s="5" t="str">
        <f>IFERROR(__xludf.DUMMYFUNCTION("""COMPUTED_VALUE"""),"Winston Hills")</f>
        <v>Winston Hills</v>
      </c>
      <c r="D279" s="5" t="str">
        <f>IFERROR(__xludf.DUMMYFUNCTION("""COMPUTED_VALUE"""),"83 Caroline Chisholm Dr")</f>
        <v>83 Caroline Chisholm Dr</v>
      </c>
      <c r="E279" s="25">
        <f>IFERROR(__xludf.DUMMYFUNCTION("""COMPUTED_VALUE"""),45939.0)</f>
        <v>45939</v>
      </c>
      <c r="F279" s="5" t="str">
        <f>IFERROR(__xludf.DUMMYFUNCTION("""COMPUTED_VALUE"""),"Featured")</f>
        <v>Featured</v>
      </c>
      <c r="G279" s="19" t="str">
        <f>IFERROR(__xludf.DUMMYFUNCTION("""COMPUTED_VALUE"""),"Commission Comparison")</f>
        <v>Commission Comparison</v>
      </c>
      <c r="H279" s="19"/>
      <c r="I279" s="62"/>
      <c r="J279" s="19"/>
    </row>
    <row r="280">
      <c r="A280" s="19" t="str">
        <f>IFERROR(__xludf.DUMMYFUNCTION("""COMPUTED_VALUE"""),"Amit Shrestha")</f>
        <v>Amit Shrestha</v>
      </c>
      <c r="B280" s="19" t="str">
        <f>IFERROR(__xludf.DUMMYFUNCTION("""COMPUTED_VALUE"""),"NSW")</f>
        <v>NSW</v>
      </c>
      <c r="C280" s="5" t="str">
        <f>IFERROR(__xludf.DUMMYFUNCTION("""COMPUTED_VALUE"""),"Baulkham Hills")</f>
        <v>Baulkham Hills</v>
      </c>
      <c r="D280" s="5" t="str">
        <f>IFERROR(__xludf.DUMMYFUNCTION("""COMPUTED_VALUE"""),"33 Quintana Avenue Baulkham Hills NSW 2153")</f>
        <v>33 Quintana Avenue Baulkham Hills NSW 2153</v>
      </c>
      <c r="E280" s="25">
        <f>IFERROR(__xludf.DUMMYFUNCTION("""COMPUTED_VALUE"""),45945.0)</f>
        <v>45945</v>
      </c>
      <c r="F280" s="5">
        <f>IFERROR(__xludf.DUMMYFUNCTION("""COMPUTED_VALUE"""),8.0)</f>
        <v>8</v>
      </c>
      <c r="G280" s="19" t="str">
        <f>IFERROR(__xludf.DUMMYFUNCTION("""COMPUTED_VALUE"""),"Instant Forms")</f>
        <v>Instant Forms</v>
      </c>
      <c r="H280" s="19"/>
      <c r="I280" s="62"/>
      <c r="J280" s="19"/>
    </row>
    <row r="281">
      <c r="A281" s="19" t="str">
        <f>IFERROR(__xludf.DUMMYFUNCTION("""COMPUTED_VALUE"""),"Amit Shrestha")</f>
        <v>Amit Shrestha</v>
      </c>
      <c r="B281" s="19" t="str">
        <f>IFERROR(__xludf.DUMMYFUNCTION("""COMPUTED_VALUE"""),"NSW")</f>
        <v>NSW</v>
      </c>
      <c r="C281" s="5" t="str">
        <f>IFERROR(__xludf.DUMMYFUNCTION("""COMPUTED_VALUE"""),"Pendle Hill")</f>
        <v>Pendle Hill</v>
      </c>
      <c r="D281" s="5"/>
      <c r="E281" s="25">
        <f>IFERROR(__xludf.DUMMYFUNCTION("""COMPUTED_VALUE"""),45945.0)</f>
        <v>45945</v>
      </c>
      <c r="F281" s="5">
        <f>IFERROR(__xludf.DUMMYFUNCTION("""COMPUTED_VALUE"""),6.0)</f>
        <v>6</v>
      </c>
      <c r="G281" s="19" t="str">
        <f>IFERROR(__xludf.DUMMYFUNCTION("""COMPUTED_VALUE"""),"Instant Forms")</f>
        <v>Instant Forms</v>
      </c>
      <c r="H281" s="19"/>
      <c r="I281" s="62"/>
      <c r="J281" s="19"/>
    </row>
    <row r="282">
      <c r="A282" s="19" t="str">
        <f>IFERROR(__xludf.DUMMYFUNCTION("""COMPUTED_VALUE"""),"Amit Shrestha")</f>
        <v>Amit Shrestha</v>
      </c>
      <c r="B282" s="19" t="str">
        <f>IFERROR(__xludf.DUMMYFUNCTION("""COMPUTED_VALUE"""),"NSW")</f>
        <v>NSW</v>
      </c>
      <c r="C282" s="5" t="str">
        <f>IFERROR(__xludf.DUMMYFUNCTION("""COMPUTED_VALUE"""),"Kellyville")</f>
        <v>Kellyville</v>
      </c>
      <c r="D282" s="5"/>
      <c r="E282" s="25">
        <f>IFERROR(__xludf.DUMMYFUNCTION("""COMPUTED_VALUE"""),45950.0)</f>
        <v>45950</v>
      </c>
      <c r="F282" s="5">
        <f>IFERROR(__xludf.DUMMYFUNCTION("""COMPUTED_VALUE"""),5.0)</f>
        <v>5</v>
      </c>
      <c r="G282" s="19" t="str">
        <f>IFERROR(__xludf.DUMMYFUNCTION("""COMPUTED_VALUE"""),"Instant Forms")</f>
        <v>Instant Forms</v>
      </c>
      <c r="H282" s="19"/>
      <c r="I282" s="62"/>
      <c r="J282" s="19"/>
    </row>
    <row r="283">
      <c r="A283" s="19" t="str">
        <f>IFERROR(__xludf.DUMMYFUNCTION("""COMPUTED_VALUE"""),"Amit Shrestha")</f>
        <v>Amit Shrestha</v>
      </c>
      <c r="B283" s="19" t="str">
        <f>IFERROR(__xludf.DUMMYFUNCTION("""COMPUTED_VALUE"""),"NSW")</f>
        <v>NSW</v>
      </c>
      <c r="C283" s="5" t="str">
        <f>IFERROR(__xludf.DUMMYFUNCTION("""COMPUTED_VALUE"""),"Kellyville")</f>
        <v>Kellyville</v>
      </c>
      <c r="D283" s="5" t="str">
        <f>IFERROR(__xludf.DUMMYFUNCTION("""COMPUTED_VALUE"""),"10 lowan Place, Kellyville, 2155")</f>
        <v>10 lowan Place, Kellyville, 2155</v>
      </c>
      <c r="E283" s="25" t="str">
        <f>IFERROR(__xludf.DUMMYFUNCTION("""COMPUTED_VALUE"""),"24/10/2025")</f>
        <v>24/10/2025</v>
      </c>
      <c r="F283" s="5" t="str">
        <f>IFERROR(__xludf.DUMMYFUNCTION("""COMPUTED_VALUE"""),"Featured")</f>
        <v>Featured</v>
      </c>
      <c r="G283" s="19" t="str">
        <f>IFERROR(__xludf.DUMMYFUNCTION("""COMPUTED_VALUE"""),"Meta Commission Report")</f>
        <v>Meta Commission Report</v>
      </c>
      <c r="H283" s="19" t="str">
        <f>IFERROR(__xludf.DUMMYFUNCTION("""COMPUTED_VALUE"""),"Hendry Liebenberg")</f>
        <v>Hendry Liebenberg</v>
      </c>
      <c r="I283" s="62"/>
      <c r="J283" s="19"/>
    </row>
    <row r="284">
      <c r="A284" s="19" t="str">
        <f>IFERROR(__xludf.DUMMYFUNCTION("""COMPUTED_VALUE"""),"Amit Shrestha")</f>
        <v>Amit Shrestha</v>
      </c>
      <c r="B284" s="19" t="str">
        <f>IFERROR(__xludf.DUMMYFUNCTION("""COMPUTED_VALUE"""),"NSW")</f>
        <v>NSW</v>
      </c>
      <c r="C284" s="5" t="str">
        <f>IFERROR(__xludf.DUMMYFUNCTION("""COMPUTED_VALUE"""),"Rouse Hill")</f>
        <v>Rouse Hill</v>
      </c>
      <c r="D284" s="5" t="str">
        <f>IFERROR(__xludf.DUMMYFUNCTION("""COMPUTED_VALUE"""),"6 Ponsford Avenue Rouse Hill NSW 2155")</f>
        <v>6 Ponsford Avenue Rouse Hill NSW 2155</v>
      </c>
      <c r="E284" s="25">
        <f>IFERROR(__xludf.DUMMYFUNCTION("""COMPUTED_VALUE"""),45955.0)</f>
        <v>45955</v>
      </c>
      <c r="F284" s="5">
        <f>IFERROR(__xludf.DUMMYFUNCTION("""COMPUTED_VALUE"""),10.0)</f>
        <v>10</v>
      </c>
      <c r="G284" s="19" t="str">
        <f>IFERROR(__xludf.DUMMYFUNCTION("""COMPUTED_VALUE"""),"Instant Forms")</f>
        <v>Instant Forms</v>
      </c>
      <c r="H284" s="19"/>
      <c r="I284" s="62"/>
      <c r="J284" s="19"/>
    </row>
    <row r="285">
      <c r="A285" s="19" t="str">
        <f>IFERROR(__xludf.DUMMYFUNCTION("""COMPUTED_VALUE"""),"Amit Shrestha")</f>
        <v>Amit Shrestha</v>
      </c>
      <c r="B285" s="19" t="str">
        <f>IFERROR(__xludf.DUMMYFUNCTION("""COMPUTED_VALUE"""),"NSW")</f>
        <v>NSW</v>
      </c>
      <c r="C285" s="5" t="str">
        <f>IFERROR(__xludf.DUMMYFUNCTION("""COMPUTED_VALUE"""),"Kellyville")</f>
        <v>Kellyville</v>
      </c>
      <c r="D285" s="5" t="str">
        <f>IFERROR(__xludf.DUMMYFUNCTION("""COMPUTED_VALUE"""),"Unit412 E / 3 Gerbera Place, Kellyville 2155, Kellyville, 2155")</f>
        <v>Unit412 E / 3 Gerbera Place, Kellyville 2155, Kellyville, 2155</v>
      </c>
      <c r="E285" s="25" t="str">
        <f>IFERROR(__xludf.DUMMYFUNCTION("""COMPUTED_VALUE"""),"26/10/2025")</f>
        <v>26/10/2025</v>
      </c>
      <c r="F285" s="5" t="str">
        <f>IFERROR(__xludf.DUMMYFUNCTION("""COMPUTED_VALUE"""),"Featured")</f>
        <v>Featured</v>
      </c>
      <c r="G285" s="19" t="str">
        <f>IFERROR(__xludf.DUMMYFUNCTION("""COMPUTED_VALUE"""),"Meta Commission Report")</f>
        <v>Meta Commission Report</v>
      </c>
      <c r="H285" s="19" t="str">
        <f>IFERROR(__xludf.DUMMYFUNCTION("""COMPUTED_VALUE"""),"Terry Toomey")</f>
        <v>Terry Toomey</v>
      </c>
      <c r="I285" s="62"/>
      <c r="J285" s="19"/>
    </row>
    <row r="286">
      <c r="A286" s="19" t="str">
        <f>IFERROR(__xludf.DUMMYFUNCTION("""COMPUTED_VALUE"""),"Amit Shrestha")</f>
        <v>Amit Shrestha</v>
      </c>
      <c r="B286" s="19" t="str">
        <f>IFERROR(__xludf.DUMMYFUNCTION("""COMPUTED_VALUE"""),"NSW")</f>
        <v>NSW</v>
      </c>
      <c r="C286" s="5" t="str">
        <f>IFERROR(__xludf.DUMMYFUNCTION("""COMPUTED_VALUE"""),"Castle Hill")</f>
        <v>Castle Hill</v>
      </c>
      <c r="D286" s="5" t="str">
        <f>IFERROR(__xludf.DUMMYFUNCTION("""COMPUTED_VALUE"""),"142 Ridgecrop Dr, Castle Hill, 2154")</f>
        <v>142 Ridgecrop Dr, Castle Hill, 2154</v>
      </c>
      <c r="E286" s="25" t="str">
        <f>IFERROR(__xludf.DUMMYFUNCTION("""COMPUTED_VALUE"""),"31/10/2025")</f>
        <v>31/10/2025</v>
      </c>
      <c r="F286" s="5" t="str">
        <f>IFERROR(__xludf.DUMMYFUNCTION("""COMPUTED_VALUE"""),"Featured")</f>
        <v>Featured</v>
      </c>
      <c r="G286" s="19" t="str">
        <f>IFERROR(__xludf.DUMMYFUNCTION("""COMPUTED_VALUE"""),"Meta Commission Report")</f>
        <v>Meta Commission Report</v>
      </c>
      <c r="H286" s="19" t="str">
        <f>IFERROR(__xludf.DUMMYFUNCTION("""COMPUTED_VALUE"""),"John Tymmons")</f>
        <v>John Tymmons</v>
      </c>
      <c r="I286" s="62"/>
      <c r="J286" s="19"/>
    </row>
    <row r="287">
      <c r="A287" s="19" t="str">
        <f>IFERROR(__xludf.DUMMYFUNCTION("""COMPUTED_VALUE"""),"Amit Shrestha")</f>
        <v>Amit Shrestha</v>
      </c>
      <c r="B287" s="19" t="str">
        <f>IFERROR(__xludf.DUMMYFUNCTION("""COMPUTED_VALUE"""),"NSW")</f>
        <v>NSW</v>
      </c>
      <c r="C287" s="5" t="str">
        <f>IFERROR(__xludf.DUMMYFUNCTION("""COMPUTED_VALUE"""),"Rouse Hill")</f>
        <v>Rouse Hill</v>
      </c>
      <c r="D287" s="5" t="str">
        <f>IFERROR(__xludf.DUMMYFUNCTION("""COMPUTED_VALUE"""),"9 Glen Abbey Street Rouse Hill NSW 2155")</f>
        <v>9 Glen Abbey Street Rouse Hill NSW 2155</v>
      </c>
      <c r="E287" s="25">
        <f>IFERROR(__xludf.DUMMYFUNCTION("""COMPUTED_VALUE"""),45963.0)</f>
        <v>45963</v>
      </c>
      <c r="F287" s="5">
        <f>IFERROR(__xludf.DUMMYFUNCTION("""COMPUTED_VALUE"""),8.0)</f>
        <v>8</v>
      </c>
      <c r="G287" s="19" t="str">
        <f>IFERROR(__xludf.DUMMYFUNCTION("""COMPUTED_VALUE"""),"Instant Forms")</f>
        <v>Instant Forms</v>
      </c>
      <c r="H287" s="19"/>
      <c r="I287" s="62"/>
      <c r="J287" s="19"/>
    </row>
    <row r="288">
      <c r="A288" s="19" t="str">
        <f>IFERROR(__xludf.DUMMYFUNCTION("""COMPUTED_VALUE"""),"Amit Shrestha")</f>
        <v>Amit Shrestha</v>
      </c>
      <c r="B288" s="19" t="str">
        <f>IFERROR(__xludf.DUMMYFUNCTION("""COMPUTED_VALUE"""),"NSW")</f>
        <v>NSW</v>
      </c>
      <c r="C288" s="5" t="str">
        <f>IFERROR(__xludf.DUMMYFUNCTION("""COMPUTED_VALUE"""),"North Kellyville")</f>
        <v>North Kellyville</v>
      </c>
      <c r="D288" s="5" t="str">
        <f>IFERROR(__xludf.DUMMYFUNCTION("""COMPUTED_VALUE"""),"8 Timbarra Avenue, North Kellyville, 2155")</f>
        <v>8 Timbarra Avenue, North Kellyville, 2155</v>
      </c>
      <c r="E288" s="27">
        <f>IFERROR(__xludf.DUMMYFUNCTION("""COMPUTED_VALUE"""),45819.0)</f>
        <v>45819</v>
      </c>
      <c r="F288" s="5" t="str">
        <f>IFERROR(__xludf.DUMMYFUNCTION("""COMPUTED_VALUE"""),"Featured")</f>
        <v>Featured</v>
      </c>
      <c r="G288" s="19" t="str">
        <f>IFERROR(__xludf.DUMMYFUNCTION("""COMPUTED_VALUE"""),"Meta Commission Report")</f>
        <v>Meta Commission Report</v>
      </c>
      <c r="H288" s="19" t="str">
        <f>IFERROR(__xludf.DUMMYFUNCTION("""COMPUTED_VALUE"""),"Sylvia Alicia Frost")</f>
        <v>Sylvia Alicia Frost</v>
      </c>
      <c r="I288" s="62">
        <f>IFERROR(__xludf.DUMMYFUNCTION("""COMPUTED_VALUE"""),6.1414257508E10)</f>
        <v>61414257508</v>
      </c>
      <c r="J288" s="19" t="str">
        <f>IFERROR(__xludf.DUMMYFUNCTION("""COMPUTED_VALUE"""),"sylviaalicia6@hotmail.com")</f>
        <v>sylviaalicia6@hotmail.com</v>
      </c>
    </row>
    <row r="289">
      <c r="A289" s="19" t="str">
        <f>IFERROR(__xludf.DUMMYFUNCTION("""COMPUTED_VALUE"""),"Amit Shrestha")</f>
        <v>Amit Shrestha</v>
      </c>
      <c r="B289" s="19" t="str">
        <f>IFERROR(__xludf.DUMMYFUNCTION("""COMPUTED_VALUE"""),"NSW")</f>
        <v>NSW</v>
      </c>
      <c r="C289" s="5" t="str">
        <f>IFERROR(__xludf.DUMMYFUNCTION("""COMPUTED_VALUE"""),"Willmot")</f>
        <v>Willmot</v>
      </c>
      <c r="D289" s="5" t="str">
        <f>IFERROR(__xludf.DUMMYFUNCTION("""COMPUTED_VALUE"""),"33 Resolution Avenue Willmot NSW 2770")</f>
        <v>33 Resolution Avenue Willmot NSW 2770</v>
      </c>
      <c r="E289" s="25">
        <f>IFERROR(__xludf.DUMMYFUNCTION("""COMPUTED_VALUE"""),45971.0)</f>
        <v>45971</v>
      </c>
      <c r="F289" s="5">
        <f>IFERROR(__xludf.DUMMYFUNCTION("""COMPUTED_VALUE"""),8.0)</f>
        <v>8</v>
      </c>
      <c r="G289" s="19" t="str">
        <f>IFERROR(__xludf.DUMMYFUNCTION("""COMPUTED_VALUE"""),"Instant Forms")</f>
        <v>Instant Forms</v>
      </c>
      <c r="H289" s="19" t="str">
        <f>IFERROR(__xludf.DUMMYFUNCTION("""COMPUTED_VALUE"""),"Leslie Gaskin")</f>
        <v>Leslie Gaskin</v>
      </c>
      <c r="I289" s="62">
        <f>IFERROR(__xludf.DUMMYFUNCTION("""COMPUTED_VALUE"""),6.1412148235E10)</f>
        <v>61412148235</v>
      </c>
      <c r="J289" s="19" t="str">
        <f>IFERROR(__xludf.DUMMYFUNCTION("""COMPUTED_VALUE"""),"les_gaskin@yahoo.com.au")</f>
        <v>les_gaskin@yahoo.com.au</v>
      </c>
    </row>
    <row r="290">
      <c r="A290" s="19" t="str">
        <f>IFERROR(__xludf.DUMMYFUNCTION("""COMPUTED_VALUE"""),"Amit Shrestha")</f>
        <v>Amit Shrestha</v>
      </c>
      <c r="B290" s="19" t="str">
        <f>IFERROR(__xludf.DUMMYFUNCTION("""COMPUTED_VALUE"""),"NSW")</f>
        <v>NSW</v>
      </c>
      <c r="C290" s="5" t="str">
        <f>IFERROR(__xludf.DUMMYFUNCTION("""COMPUTED_VALUE"""),"Castle Hill")</f>
        <v>Castle Hill</v>
      </c>
      <c r="D290" s="5" t="str">
        <f>IFERROR(__xludf.DUMMYFUNCTION("""COMPUTED_VALUE"""),"35 Francis Street Castle Hill NSW 2154")</f>
        <v>35 Francis Street Castle Hill NSW 2154</v>
      </c>
      <c r="E290" s="25">
        <f>IFERROR(__xludf.DUMMYFUNCTION("""COMPUTED_VALUE"""),45971.0)</f>
        <v>45971</v>
      </c>
      <c r="F290" s="5">
        <f>IFERROR(__xludf.DUMMYFUNCTION("""COMPUTED_VALUE"""),8.0)</f>
        <v>8</v>
      </c>
      <c r="G290" s="19" t="str">
        <f>IFERROR(__xludf.DUMMYFUNCTION("""COMPUTED_VALUE"""),"Instant Forms")</f>
        <v>Instant Forms</v>
      </c>
      <c r="H290" s="19" t="str">
        <f>IFERROR(__xludf.DUMMYFUNCTION("""COMPUTED_VALUE"""),"Janette Crawford")</f>
        <v>Janette Crawford</v>
      </c>
      <c r="I290" s="62">
        <f>IFERROR(__xludf.DUMMYFUNCTION("""COMPUTED_VALUE"""),6.1423571954E10)</f>
        <v>61423571954</v>
      </c>
      <c r="J290" s="19" t="str">
        <f>IFERROR(__xludf.DUMMYFUNCTION("""COMPUTED_VALUE"""),"janette_crawford@yahoo.com.au")</f>
        <v>janette_crawford@yahoo.com.au</v>
      </c>
    </row>
    <row r="291">
      <c r="A291" s="19" t="str">
        <f>IFERROR(__xludf.DUMMYFUNCTION("""COMPUTED_VALUE"""),"Amit Shrestha")</f>
        <v>Amit Shrestha</v>
      </c>
      <c r="B291" s="19" t="str">
        <f>IFERROR(__xludf.DUMMYFUNCTION("""COMPUTED_VALUE"""),"NSW")</f>
        <v>NSW</v>
      </c>
      <c r="C291" s="5" t="str">
        <f>IFERROR(__xludf.DUMMYFUNCTION("""COMPUTED_VALUE"""),"Bella Vista")</f>
        <v>Bella Vista</v>
      </c>
      <c r="D291" s="5" t="str">
        <f>IFERROR(__xludf.DUMMYFUNCTION("""COMPUTED_VALUE"""),"7 Flagstone Grove Bella Vista NSW 2153")</f>
        <v>7 Flagstone Grove Bella Vista NSW 2153</v>
      </c>
      <c r="E291" s="25">
        <f>IFERROR(__xludf.DUMMYFUNCTION("""COMPUTED_VALUE"""),45975.0)</f>
        <v>45975</v>
      </c>
      <c r="F291" s="5">
        <f>IFERROR(__xludf.DUMMYFUNCTION("""COMPUTED_VALUE"""),8.0)</f>
        <v>8</v>
      </c>
      <c r="G291" s="19" t="str">
        <f>IFERROR(__xludf.DUMMYFUNCTION("""COMPUTED_VALUE"""),"Instant Forms")</f>
        <v>Instant Forms</v>
      </c>
      <c r="H291" s="19" t="str">
        <f>IFERROR(__xludf.DUMMYFUNCTION("""COMPUTED_VALUE"""),"John Neal")</f>
        <v>John Neal</v>
      </c>
      <c r="I291" s="62">
        <f>IFERROR(__xludf.DUMMYFUNCTION("""COMPUTED_VALUE"""),6.1404829277E10)</f>
        <v>61404829277</v>
      </c>
      <c r="J291" s="19" t="str">
        <f>IFERROR(__xludf.DUMMYFUNCTION("""COMPUTED_VALUE"""),"jnealsnr@gmail.com")</f>
        <v>jnealsnr@gmail.com</v>
      </c>
    </row>
    <row r="292">
      <c r="A292" s="19" t="str">
        <f>IFERROR(__xludf.DUMMYFUNCTION("""COMPUTED_VALUE"""),"Amit Shrestha")</f>
        <v>Amit Shrestha</v>
      </c>
      <c r="B292" s="19" t="str">
        <f>IFERROR(__xludf.DUMMYFUNCTION("""COMPUTED_VALUE"""),"NSW")</f>
        <v>NSW</v>
      </c>
      <c r="C292" s="5" t="str">
        <f>IFERROR(__xludf.DUMMYFUNCTION("""COMPUTED_VALUE"""),"Baulkham hills")</f>
        <v>Baulkham hills</v>
      </c>
      <c r="D292" s="5" t="str">
        <f>IFERROR(__xludf.DUMMYFUNCTION("""COMPUTED_VALUE"""),"11 Hodgson Crescent Baulkham Hills NSW 2153")</f>
        <v>11 Hodgson Crescent Baulkham Hills NSW 2153</v>
      </c>
      <c r="E292" s="25">
        <f>IFERROR(__xludf.DUMMYFUNCTION("""COMPUTED_VALUE"""),45977.0)</f>
        <v>45977</v>
      </c>
      <c r="F292" s="5">
        <f>IFERROR(__xludf.DUMMYFUNCTION("""COMPUTED_VALUE"""),8.0)</f>
        <v>8</v>
      </c>
      <c r="G292" s="19" t="str">
        <f>IFERROR(__xludf.DUMMYFUNCTION("""COMPUTED_VALUE"""),"Instant Forms")</f>
        <v>Instant Forms</v>
      </c>
      <c r="H292" s="19" t="str">
        <f>IFERROR(__xludf.DUMMYFUNCTION("""COMPUTED_VALUE"""),"Denis McManus")</f>
        <v>Denis McManus</v>
      </c>
      <c r="I292" s="62">
        <f>IFERROR(__xludf.DUMMYFUNCTION("""COMPUTED_VALUE"""),6.1412566462E10)</f>
        <v>61412566462</v>
      </c>
      <c r="J292" s="19" t="str">
        <f>IFERROR(__xludf.DUMMYFUNCTION("""COMPUTED_VALUE"""),"Firstresponse2@bigpond.com")</f>
        <v>Firstresponse2@bigpond.com</v>
      </c>
    </row>
    <row r="293">
      <c r="A293" s="19" t="str">
        <f>IFERROR(__xludf.DUMMYFUNCTION("""COMPUTED_VALUE"""),"Amit Shrestha")</f>
        <v>Amit Shrestha</v>
      </c>
      <c r="B293" s="19" t="str">
        <f>IFERROR(__xludf.DUMMYFUNCTION("""COMPUTED_VALUE"""),"NSW")</f>
        <v>NSW</v>
      </c>
      <c r="C293" s="5" t="str">
        <f>IFERROR(__xludf.DUMMYFUNCTION("""COMPUTED_VALUE"""),"Baulkham hills")</f>
        <v>Baulkham hills</v>
      </c>
      <c r="D293" s="5" t="str">
        <f>IFERROR(__xludf.DUMMYFUNCTION("""COMPUTED_VALUE"""),"4 Billeroy Avenue Baulkham Hills NSW 2153")</f>
        <v>4 Billeroy Avenue Baulkham Hills NSW 2153</v>
      </c>
      <c r="E293" s="25">
        <f>IFERROR(__xludf.DUMMYFUNCTION("""COMPUTED_VALUE"""),45978.0)</f>
        <v>45978</v>
      </c>
      <c r="F293" s="5">
        <f>IFERROR(__xludf.DUMMYFUNCTION("""COMPUTED_VALUE"""),8.0)</f>
        <v>8</v>
      </c>
      <c r="G293" s="19" t="str">
        <f>IFERROR(__xludf.DUMMYFUNCTION("""COMPUTED_VALUE"""),"Instant Forms")</f>
        <v>Instant Forms</v>
      </c>
      <c r="H293" s="19" t="str">
        <f>IFERROR(__xludf.DUMMYFUNCTION("""COMPUTED_VALUE"""),"Mal Currey")</f>
        <v>Mal Currey</v>
      </c>
      <c r="I293" s="62">
        <f>IFERROR(__xludf.DUMMYFUNCTION("""COMPUTED_VALUE"""),6.1407885508E10)</f>
        <v>61407885508</v>
      </c>
      <c r="J293" s="19" t="str">
        <f>IFERROR(__xludf.DUMMYFUNCTION("""COMPUTED_VALUE"""),"mcurrey03@gmail.com")</f>
        <v>mcurrey03@gmail.com</v>
      </c>
    </row>
    <row r="294">
      <c r="A294" s="19" t="str">
        <f>IFERROR(__xludf.DUMMYFUNCTION("""COMPUTED_VALUE"""),"Amit Shrestha")</f>
        <v>Amit Shrestha</v>
      </c>
      <c r="B294" s="19" t="str">
        <f>IFERROR(__xludf.DUMMYFUNCTION("""COMPUTED_VALUE"""),"NSW")</f>
        <v>NSW</v>
      </c>
      <c r="C294" s="5" t="str">
        <f>IFERROR(__xludf.DUMMYFUNCTION("""COMPUTED_VALUE"""),"Kellyville")</f>
        <v>Kellyville</v>
      </c>
      <c r="D294" s="5" t="str">
        <f>IFERROR(__xludf.DUMMYFUNCTION("""COMPUTED_VALUE"""),"Address data unsubstanitaed")</f>
        <v>Address data unsubstanitaed</v>
      </c>
      <c r="E294" s="5" t="str">
        <f>IFERROR(__xludf.DUMMYFUNCTION("""COMPUTED_VALUE"""),"18/11/2025")</f>
        <v>18/11/2025</v>
      </c>
      <c r="F294" s="5" t="str">
        <f>IFERROR(__xludf.DUMMYFUNCTION("""COMPUTED_VALUE"""),"Featured")</f>
        <v>Featured</v>
      </c>
      <c r="G294" s="19" t="str">
        <f>IFERROR(__xludf.DUMMYFUNCTION("""COMPUTED_VALUE"""),"Commission Comparison")</f>
        <v>Commission Comparison</v>
      </c>
      <c r="H294" s="19" t="str">
        <f>IFERROR(__xludf.DUMMYFUNCTION("""COMPUTED_VALUE"""),"Derrick 'Jakes' Jacobs")</f>
        <v>Derrick 'Jakes' Jacobs</v>
      </c>
      <c r="I294" s="62">
        <f>IFERROR(__xludf.DUMMYFUNCTION("""COMPUTED_VALUE"""),6.1418989631E10)</f>
        <v>61418989631</v>
      </c>
      <c r="J294" s="19" t="str">
        <f>IFERROR(__xludf.DUMMYFUNCTION("""COMPUTED_VALUE"""),"derrickpjacobs@hotmail.com")</f>
        <v>derrickpjacobs@hotmail.com</v>
      </c>
    </row>
    <row r="295">
      <c r="A295" s="19" t="str">
        <f>IFERROR(__xludf.DUMMYFUNCTION("""COMPUTED_VALUE"""),"Amit Shrestha")</f>
        <v>Amit Shrestha</v>
      </c>
      <c r="B295" s="19" t="str">
        <f>IFERROR(__xludf.DUMMYFUNCTION("""COMPUTED_VALUE"""),"NSW")</f>
        <v>NSW</v>
      </c>
      <c r="C295" s="5" t="str">
        <f>IFERROR(__xludf.DUMMYFUNCTION("""COMPUTED_VALUE"""),"Box Hill")</f>
        <v>Box Hill</v>
      </c>
      <c r="D295" s="5"/>
      <c r="E295" s="5" t="str">
        <f>IFERROR(__xludf.DUMMYFUNCTION("""COMPUTED_VALUE"""),"20/11/2025")</f>
        <v>20/11/2025</v>
      </c>
      <c r="F295" s="5">
        <f>IFERROR(__xludf.DUMMYFUNCTION("""COMPUTED_VALUE"""),5.0)</f>
        <v>5</v>
      </c>
      <c r="G295" s="19" t="str">
        <f>IFERROR(__xludf.DUMMYFUNCTION("""COMPUTED_VALUE"""),"Instant Forms")</f>
        <v>Instant Forms</v>
      </c>
      <c r="H295" s="19" t="str">
        <f>IFERROR(__xludf.DUMMYFUNCTION("""COMPUTED_VALUE"""),"Emanuele Cappello")</f>
        <v>Emanuele Cappello</v>
      </c>
      <c r="I295" s="62">
        <f>IFERROR(__xludf.DUMMYFUNCTION("""COMPUTED_VALUE"""),6.1410449622E10)</f>
        <v>61410449622</v>
      </c>
      <c r="J295" s="19" t="str">
        <f>IFERROR(__xludf.DUMMYFUNCTION("""COMPUTED_VALUE"""),"danieltraveller@outlook.com")</f>
        <v>danieltraveller@outlook.com</v>
      </c>
    </row>
    <row r="296">
      <c r="A296" s="19" t="str">
        <f>IFERROR(__xludf.DUMMYFUNCTION("""COMPUTED_VALUE"""),"Amit Shrestha")</f>
        <v>Amit Shrestha</v>
      </c>
      <c r="B296" s="19" t="str">
        <f>IFERROR(__xludf.DUMMYFUNCTION("""COMPUTED_VALUE"""),"NSW")</f>
        <v>NSW</v>
      </c>
      <c r="C296" s="5" t="str">
        <f>IFERROR(__xludf.DUMMYFUNCTION("""COMPUTED_VALUE"""),"Kellyville")</f>
        <v>Kellyville</v>
      </c>
      <c r="D296" s="5" t="str">
        <f>IFERROR(__xludf.DUMMYFUNCTION("""COMPUTED_VALUE"""),"9 Kinarra Ave Kellyville 2155, Kellyville, 2155")</f>
        <v>9 Kinarra Ave Kellyville 2155, Kellyville, 2155</v>
      </c>
      <c r="E296" s="5" t="str">
        <f>IFERROR(__xludf.DUMMYFUNCTION("""COMPUTED_VALUE"""),"26/11/2025")</f>
        <v>26/11/2025</v>
      </c>
      <c r="F296" s="5" t="str">
        <f>IFERROR(__xludf.DUMMYFUNCTION("""COMPUTED_VALUE"""),"Featured")</f>
        <v>Featured</v>
      </c>
      <c r="G296" s="19" t="str">
        <f>IFERROR(__xludf.DUMMYFUNCTION("""COMPUTED_VALUE"""),"Meta Commission Report")</f>
        <v>Meta Commission Report</v>
      </c>
      <c r="H296" s="19" t="str">
        <f>IFERROR(__xludf.DUMMYFUNCTION("""COMPUTED_VALUE"""),"Marion Barrie")</f>
        <v>Marion Barrie</v>
      </c>
      <c r="I296" s="62">
        <f>IFERROR(__xludf.DUMMYFUNCTION("""COMPUTED_VALUE"""),6.1408966705E10)</f>
        <v>61408966705</v>
      </c>
      <c r="J296" s="19" t="str">
        <f>IFERROR(__xludf.DUMMYFUNCTION("""COMPUTED_VALUE"""),"marionbarrie@optusnet.com.au")</f>
        <v>marionbarrie@optusnet.com.au</v>
      </c>
    </row>
    <row r="297">
      <c r="A297" s="19" t="str">
        <f>IFERROR(__xludf.DUMMYFUNCTION("""COMPUTED_VALUE"""),"")</f>
        <v/>
      </c>
      <c r="B297" s="19" t="str">
        <f>IFERROR(__xludf.DUMMYFUNCTION("""COMPUTED_VALUE"""),"")</f>
        <v/>
      </c>
      <c r="C297" s="5" t="str">
        <f>IFERROR(__xludf.DUMMYFUNCTION("""COMPUTED_VALUE"""),"")</f>
        <v/>
      </c>
      <c r="D297" s="5" t="str">
        <f>IFERROR(__xludf.DUMMYFUNCTION("""COMPUTED_VALUE"""),"")</f>
        <v/>
      </c>
      <c r="E297" s="5" t="str">
        <f>IFERROR(__xludf.DUMMYFUNCTION("""COMPUTED_VALUE"""),"")</f>
        <v/>
      </c>
      <c r="F297" s="5" t="str">
        <f>IFERROR(__xludf.DUMMYFUNCTION("""COMPUTED_VALUE"""),"")</f>
        <v/>
      </c>
      <c r="G297" s="19" t="str">
        <f>IFERROR(__xludf.DUMMYFUNCTION("""COMPUTED_VALUE"""),"")</f>
        <v/>
      </c>
      <c r="H297" s="19" t="str">
        <f>IFERROR(__xludf.DUMMYFUNCTION("""COMPUTED_VALUE"""),"")</f>
        <v/>
      </c>
      <c r="I297" s="62" t="str">
        <f>IFERROR(__xludf.DUMMYFUNCTION("""COMPUTED_VALUE"""),"")</f>
        <v/>
      </c>
      <c r="J297" s="19" t="str">
        <f>IFERROR(__xludf.DUMMYFUNCTION("""COMPUTED_VALUE"""),"")</f>
        <v/>
      </c>
    </row>
    <row r="298">
      <c r="A298" s="19" t="str">
        <f>IFERROR(__xludf.DUMMYFUNCTION("""COMPUTED_VALUE"""),"")</f>
        <v/>
      </c>
      <c r="B298" s="19" t="str">
        <f>IFERROR(__xludf.DUMMYFUNCTION("""COMPUTED_VALUE"""),"")</f>
        <v/>
      </c>
      <c r="C298" s="5" t="str">
        <f>IFERROR(__xludf.DUMMYFUNCTION("""COMPUTED_VALUE"""),"")</f>
        <v/>
      </c>
      <c r="D298" s="5" t="str">
        <f>IFERROR(__xludf.DUMMYFUNCTION("""COMPUTED_VALUE"""),"")</f>
        <v/>
      </c>
      <c r="E298" s="5" t="str">
        <f>IFERROR(__xludf.DUMMYFUNCTION("""COMPUTED_VALUE"""),"")</f>
        <v/>
      </c>
      <c r="F298" s="5" t="str">
        <f>IFERROR(__xludf.DUMMYFUNCTION("""COMPUTED_VALUE"""),"")</f>
        <v/>
      </c>
      <c r="G298" s="19" t="str">
        <f>IFERROR(__xludf.DUMMYFUNCTION("""COMPUTED_VALUE"""),"")</f>
        <v/>
      </c>
      <c r="H298" s="19" t="str">
        <f>IFERROR(__xludf.DUMMYFUNCTION("""COMPUTED_VALUE"""),"")</f>
        <v/>
      </c>
      <c r="I298" s="62" t="str">
        <f>IFERROR(__xludf.DUMMYFUNCTION("""COMPUTED_VALUE"""),"")</f>
        <v/>
      </c>
      <c r="J298" s="19" t="str">
        <f>IFERROR(__xludf.DUMMYFUNCTION("""COMPUTED_VALUE"""),"")</f>
        <v/>
      </c>
    </row>
    <row r="299">
      <c r="A299" s="19" t="str">
        <f>IFERROR(__xludf.DUMMYFUNCTION("""COMPUTED_VALUE"""),"Andre Sherman ")</f>
        <v>Andre Sherman </v>
      </c>
      <c r="B299" s="19" t="str">
        <f>IFERROR(__xludf.DUMMYFUNCTION("""COMPUTED_VALUE"""),"QLD")</f>
        <v>QLD</v>
      </c>
      <c r="C299" s="5" t="str">
        <f>IFERROR(__xludf.DUMMYFUNCTION("""COMPUTED_VALUE"""),"buderim")</f>
        <v>buderim</v>
      </c>
      <c r="D299" s="5"/>
      <c r="E299" s="25">
        <f>IFERROR(__xludf.DUMMYFUNCTION("""COMPUTED_VALUE"""),45873.0)</f>
        <v>45873</v>
      </c>
      <c r="F299" s="5" t="str">
        <f>IFERROR(__xludf.DUMMYFUNCTION("""COMPUTED_VALUE"""),"Featured")</f>
        <v>Featured</v>
      </c>
      <c r="G299" s="19" t="str">
        <f>IFERROR(__xludf.DUMMYFUNCTION("""COMPUTED_VALUE"""),"Instant Forms")</f>
        <v>Instant Forms</v>
      </c>
      <c r="H299" s="19"/>
      <c r="I299" s="62"/>
      <c r="J299" s="19"/>
    </row>
    <row r="300">
      <c r="A300" s="19" t="str">
        <f>IFERROR(__xludf.DUMMYFUNCTION("""COMPUTED_VALUE"""),"Andre Sherman ")</f>
        <v>Andre Sherman </v>
      </c>
      <c r="B300" s="19" t="str">
        <f>IFERROR(__xludf.DUMMYFUNCTION("""COMPUTED_VALUE"""),"QLD")</f>
        <v>QLD</v>
      </c>
      <c r="C300" s="5" t="str">
        <f>IFERROR(__xludf.DUMMYFUNCTION("""COMPUTED_VALUE"""),"Buderim")</f>
        <v>Buderim</v>
      </c>
      <c r="D300" s="5"/>
      <c r="E300" s="25">
        <f>IFERROR(__xludf.DUMMYFUNCTION("""COMPUTED_VALUE"""),45891.0)</f>
        <v>45891</v>
      </c>
      <c r="F300" s="5" t="str">
        <f>IFERROR(__xludf.DUMMYFUNCTION("""COMPUTED_VALUE"""),"Free")</f>
        <v>Free</v>
      </c>
      <c r="G300" s="19" t="str">
        <f>IFERROR(__xludf.DUMMYFUNCTION("""COMPUTED_VALUE"""),"Instant Forms")</f>
        <v>Instant Forms</v>
      </c>
      <c r="H300" s="19"/>
      <c r="I300" s="62"/>
      <c r="J300" s="19"/>
    </row>
    <row r="301">
      <c r="A301" s="19" t="str">
        <f>IFERROR(__xludf.DUMMYFUNCTION("""COMPUTED_VALUE"""),"Andre Sherman ")</f>
        <v>Andre Sherman </v>
      </c>
      <c r="B301" s="19" t="str">
        <f>IFERROR(__xludf.DUMMYFUNCTION("""COMPUTED_VALUE"""),"QLD")</f>
        <v>QLD</v>
      </c>
      <c r="C301" s="5" t="str">
        <f>IFERROR(__xludf.DUMMYFUNCTION("""COMPUTED_VALUE"""),"buderim")</f>
        <v>buderim</v>
      </c>
      <c r="D301" s="5"/>
      <c r="E301" s="25">
        <f>IFERROR(__xludf.DUMMYFUNCTION("""COMPUTED_VALUE"""),45905.0)</f>
        <v>45905</v>
      </c>
      <c r="F301" s="5" t="str">
        <f>IFERROR(__xludf.DUMMYFUNCTION("""COMPUTED_VALUE"""),"Featured")</f>
        <v>Featured</v>
      </c>
      <c r="G301" s="19" t="str">
        <f>IFERROR(__xludf.DUMMYFUNCTION("""COMPUTED_VALUE"""),"Instant Forms")</f>
        <v>Instant Forms</v>
      </c>
      <c r="H301" s="19"/>
      <c r="I301" s="62"/>
      <c r="J301" s="19"/>
    </row>
    <row r="302">
      <c r="A302" s="19" t="str">
        <f>IFERROR(__xludf.DUMMYFUNCTION("""COMPUTED_VALUE"""),"Andre Sherman ")</f>
        <v>Andre Sherman </v>
      </c>
      <c r="B302" s="19" t="str">
        <f>IFERROR(__xludf.DUMMYFUNCTION("""COMPUTED_VALUE"""),"QLD")</f>
        <v>QLD</v>
      </c>
      <c r="C302" s="5"/>
      <c r="D302" s="5" t="str">
        <f>IFERROR(__xludf.DUMMYFUNCTION("""COMPUTED_VALUE""")," , , QLD, 4209, Australia")</f>
        <v> , , QLD, 4209, Australia</v>
      </c>
      <c r="E302" s="25" t="str">
        <f>IFERROR(__xludf.DUMMYFUNCTION("""COMPUTED_VALUE"""),"21/09/2025")</f>
        <v>21/09/2025</v>
      </c>
      <c r="F302" s="5" t="str">
        <f>IFERROR(__xludf.DUMMYFUNCTION("""COMPUTED_VALUE"""),"Featured")</f>
        <v>Featured</v>
      </c>
      <c r="G302" s="19"/>
      <c r="H302" s="19"/>
      <c r="I302" s="62"/>
      <c r="J302" s="19"/>
    </row>
    <row r="303">
      <c r="A303" s="19" t="str">
        <f>IFERROR(__xludf.DUMMYFUNCTION("""COMPUTED_VALUE"""),"")</f>
        <v/>
      </c>
      <c r="B303" s="19" t="str">
        <f>IFERROR(__xludf.DUMMYFUNCTION("""COMPUTED_VALUE"""),"")</f>
        <v/>
      </c>
      <c r="C303" s="5" t="str">
        <f>IFERROR(__xludf.DUMMYFUNCTION("""COMPUTED_VALUE"""),"")</f>
        <v/>
      </c>
      <c r="D303" s="5" t="str">
        <f>IFERROR(__xludf.DUMMYFUNCTION("""COMPUTED_VALUE"""),"")</f>
        <v/>
      </c>
      <c r="E303" s="5" t="str">
        <f>IFERROR(__xludf.DUMMYFUNCTION("""COMPUTED_VALUE"""),"")</f>
        <v/>
      </c>
      <c r="F303" s="5" t="str">
        <f>IFERROR(__xludf.DUMMYFUNCTION("""COMPUTED_VALUE"""),"")</f>
        <v/>
      </c>
      <c r="G303" s="19" t="str">
        <f>IFERROR(__xludf.DUMMYFUNCTION("""COMPUTED_VALUE"""),"")</f>
        <v/>
      </c>
      <c r="H303" s="19" t="str">
        <f>IFERROR(__xludf.DUMMYFUNCTION("""COMPUTED_VALUE"""),"")</f>
        <v/>
      </c>
      <c r="I303" s="62" t="str">
        <f>IFERROR(__xludf.DUMMYFUNCTION("""COMPUTED_VALUE"""),"")</f>
        <v/>
      </c>
      <c r="J303" s="19" t="str">
        <f>IFERROR(__xludf.DUMMYFUNCTION("""COMPUTED_VALUE"""),"")</f>
        <v/>
      </c>
    </row>
    <row r="304">
      <c r="A304" s="19" t="str">
        <f>IFERROR(__xludf.DUMMYFUNCTION("""COMPUTED_VALUE"""),"")</f>
        <v/>
      </c>
      <c r="B304" s="19" t="str">
        <f>IFERROR(__xludf.DUMMYFUNCTION("""COMPUTED_VALUE"""),"")</f>
        <v/>
      </c>
      <c r="C304" s="5" t="str">
        <f>IFERROR(__xludf.DUMMYFUNCTION("""COMPUTED_VALUE"""),"")</f>
        <v/>
      </c>
      <c r="D304" s="5" t="str">
        <f>IFERROR(__xludf.DUMMYFUNCTION("""COMPUTED_VALUE"""),"")</f>
        <v/>
      </c>
      <c r="E304" s="5" t="str">
        <f>IFERROR(__xludf.DUMMYFUNCTION("""COMPUTED_VALUE"""),"")</f>
        <v/>
      </c>
      <c r="F304" s="5" t="str">
        <f>IFERROR(__xludf.DUMMYFUNCTION("""COMPUTED_VALUE"""),"")</f>
        <v/>
      </c>
      <c r="G304" s="19" t="str">
        <f>IFERROR(__xludf.DUMMYFUNCTION("""COMPUTED_VALUE"""),"")</f>
        <v/>
      </c>
      <c r="H304" s="19" t="str">
        <f>IFERROR(__xludf.DUMMYFUNCTION("""COMPUTED_VALUE"""),"")</f>
        <v/>
      </c>
      <c r="I304" s="62" t="str">
        <f>IFERROR(__xludf.DUMMYFUNCTION("""COMPUTED_VALUE"""),"")</f>
        <v/>
      </c>
      <c r="J304" s="19" t="str">
        <f>IFERROR(__xludf.DUMMYFUNCTION("""COMPUTED_VALUE"""),"")</f>
        <v/>
      </c>
    </row>
    <row r="305">
      <c r="A305" s="19" t="str">
        <f>IFERROR(__xludf.DUMMYFUNCTION("""COMPUTED_VALUE"""),"Andrea Daniel")</f>
        <v>Andrea Daniel</v>
      </c>
      <c r="B305" s="19" t="str">
        <f>IFERROR(__xludf.DUMMYFUNCTION("""COMPUTED_VALUE"""),"SA")</f>
        <v>SA</v>
      </c>
      <c r="C305" s="5" t="str">
        <f>IFERROR(__xludf.DUMMYFUNCTION("""COMPUTED_VALUE"""),"Seaford Rise")</f>
        <v>Seaford Rise</v>
      </c>
      <c r="D305" s="5" t="str">
        <f>IFERROR(__xludf.DUMMYFUNCTION("""COMPUTED_VALUE"""),"1 Freycinet Court")</f>
        <v>1 Freycinet Court</v>
      </c>
      <c r="E305" s="63" t="str">
        <f>IFERROR(__xludf.DUMMYFUNCTION("""COMPUTED_VALUE"""),"28/07/2025")</f>
        <v>28/07/2025</v>
      </c>
      <c r="F305" s="5" t="str">
        <f>IFERROR(__xludf.DUMMYFUNCTION("""COMPUTED_VALUE"""),"Featured")</f>
        <v>Featured</v>
      </c>
      <c r="G305" s="19" t="str">
        <f>IFERROR(__xludf.DUMMYFUNCTION("""COMPUTED_VALUE"""),"Commission Comparison")</f>
        <v>Commission Comparison</v>
      </c>
      <c r="H305" s="19"/>
      <c r="I305" s="62"/>
      <c r="J305" s="19"/>
    </row>
    <row r="306">
      <c r="A306" s="19" t="str">
        <f>IFERROR(__xludf.DUMMYFUNCTION("""COMPUTED_VALUE"""),"Andrea Daniel")</f>
        <v>Andrea Daniel</v>
      </c>
      <c r="B306" s="19" t="str">
        <f>IFERROR(__xludf.DUMMYFUNCTION("""COMPUTED_VALUE"""),"SA")</f>
        <v>SA</v>
      </c>
      <c r="C306" s="5" t="str">
        <f>IFERROR(__xludf.DUMMYFUNCTION("""COMPUTED_VALUE"""),"Seacliff")</f>
        <v>Seacliff</v>
      </c>
      <c r="D306" s="5"/>
      <c r="E306" s="25">
        <f>IFERROR(__xludf.DUMMYFUNCTION("""COMPUTED_VALUE"""),45882.0)</f>
        <v>45882</v>
      </c>
      <c r="F306" s="5" t="str">
        <f>IFERROR(__xludf.DUMMYFUNCTION("""COMPUTED_VALUE"""),"Featured")</f>
        <v>Featured</v>
      </c>
      <c r="G306" s="19" t="str">
        <f>IFERROR(__xludf.DUMMYFUNCTION("""COMPUTED_VALUE"""),"Instant Forms")</f>
        <v>Instant Forms</v>
      </c>
      <c r="H306" s="19"/>
      <c r="I306" s="62"/>
      <c r="J306" s="19"/>
    </row>
    <row r="307">
      <c r="A307" s="19" t="str">
        <f>IFERROR(__xludf.DUMMYFUNCTION("""COMPUTED_VALUE"""),"Andrea Daniel")</f>
        <v>Andrea Daniel</v>
      </c>
      <c r="B307" s="19" t="str">
        <f>IFERROR(__xludf.DUMMYFUNCTION("""COMPUTED_VALUE"""),"SA")</f>
        <v>SA</v>
      </c>
      <c r="C307" s="5" t="str">
        <f>IFERROR(__xludf.DUMMYFUNCTION("""COMPUTED_VALUE"""),"Ohalloran Hill")</f>
        <v>Ohalloran Hill</v>
      </c>
      <c r="D307" s="5" t="str">
        <f>IFERROR(__xludf.DUMMYFUNCTION("""COMPUTED_VALUE"""),"1 The Lane O'HALLORAN HILL SA 5158 (Property is currently on the market)")</f>
        <v>1 The Lane O'HALLORAN HILL SA 5158 (Property is currently on the market)</v>
      </c>
      <c r="E307" s="25">
        <f>IFERROR(__xludf.DUMMYFUNCTION("""COMPUTED_VALUE"""),45889.0)</f>
        <v>45889</v>
      </c>
      <c r="F307" s="5" t="str">
        <f>IFERROR(__xludf.DUMMYFUNCTION("""COMPUTED_VALUE"""),"Featured")</f>
        <v>Featured</v>
      </c>
      <c r="G307" s="19" t="str">
        <f>IFERROR(__xludf.DUMMYFUNCTION("""COMPUTED_VALUE"""),"Instant Forms")</f>
        <v>Instant Forms</v>
      </c>
      <c r="H307" s="19"/>
      <c r="I307" s="62"/>
      <c r="J307" s="19"/>
    </row>
    <row r="308">
      <c r="A308" s="19" t="str">
        <f>IFERROR(__xludf.DUMMYFUNCTION("""COMPUTED_VALUE"""),"Andrea Daniel")</f>
        <v>Andrea Daniel</v>
      </c>
      <c r="B308" s="19" t="str">
        <f>IFERROR(__xludf.DUMMYFUNCTION("""COMPUTED_VALUE"""),"SA")</f>
        <v>SA</v>
      </c>
      <c r="C308" s="5" t="str">
        <f>IFERROR(__xludf.DUMMYFUNCTION("""COMPUTED_VALUE"""),"morphett Vale")</f>
        <v>morphett Vale</v>
      </c>
      <c r="D308" s="5"/>
      <c r="E308" s="25">
        <f>IFERROR(__xludf.DUMMYFUNCTION("""COMPUTED_VALUE"""),45892.0)</f>
        <v>45892</v>
      </c>
      <c r="F308" s="5" t="str">
        <f>IFERROR(__xludf.DUMMYFUNCTION("""COMPUTED_VALUE"""),"Featured")</f>
        <v>Featured</v>
      </c>
      <c r="G308" s="19" t="str">
        <f>IFERROR(__xludf.DUMMYFUNCTION("""COMPUTED_VALUE"""),"Instant Forms")</f>
        <v>Instant Forms</v>
      </c>
      <c r="H308" s="19"/>
      <c r="I308" s="62"/>
      <c r="J308" s="19"/>
    </row>
    <row r="309">
      <c r="A309" s="19" t="str">
        <f>IFERROR(__xludf.DUMMYFUNCTION("""COMPUTED_VALUE"""),"Andrea Daniel")</f>
        <v>Andrea Daniel</v>
      </c>
      <c r="B309" s="19" t="str">
        <f>IFERROR(__xludf.DUMMYFUNCTION("""COMPUTED_VALUE"""),"SA")</f>
        <v>SA</v>
      </c>
      <c r="C309" s="5" t="str">
        <f>IFERROR(__xludf.DUMMYFUNCTION("""COMPUTED_VALUE"""),"Marino")</f>
        <v>Marino</v>
      </c>
      <c r="D309" s="5" t="str">
        <f>IFERROR(__xludf.DUMMYFUNCTION("""COMPUTED_VALUE"""),"4 Trumara Road Marino SA 5049")</f>
        <v>4 Trumara Road Marino SA 5049</v>
      </c>
      <c r="E309" s="25">
        <f>IFERROR(__xludf.DUMMYFUNCTION("""COMPUTED_VALUE"""),45901.0)</f>
        <v>45901</v>
      </c>
      <c r="F309" s="5" t="str">
        <f>IFERROR(__xludf.DUMMYFUNCTION("""COMPUTED_VALUE"""),"Free")</f>
        <v>Free</v>
      </c>
      <c r="G309" s="19" t="str">
        <f>IFERROR(__xludf.DUMMYFUNCTION("""COMPUTED_VALUE"""),"Instant Forms")</f>
        <v>Instant Forms</v>
      </c>
      <c r="H309" s="19"/>
      <c r="I309" s="62"/>
      <c r="J309" s="19"/>
    </row>
    <row r="310">
      <c r="A310" s="19" t="str">
        <f>IFERROR(__xludf.DUMMYFUNCTION("""COMPUTED_VALUE"""),"Andrea Daniel")</f>
        <v>Andrea Daniel</v>
      </c>
      <c r="B310" s="19" t="str">
        <f>IFERROR(__xludf.DUMMYFUNCTION("""COMPUTED_VALUE"""),"SA")</f>
        <v>SA</v>
      </c>
      <c r="C310" s="5" t="str">
        <f>IFERROR(__xludf.DUMMYFUNCTION("""COMPUTED_VALUE"""),"south Brighton")</f>
        <v>south Brighton</v>
      </c>
      <c r="D310" s="5" t="str">
        <f>IFERROR(__xludf.DUMMYFUNCTION("""COMPUTED_VALUE"""),"61 Broadway South Brighton SA 5048")</f>
        <v>61 Broadway South Brighton SA 5048</v>
      </c>
      <c r="E310" s="25">
        <f>IFERROR(__xludf.DUMMYFUNCTION("""COMPUTED_VALUE"""),45904.0)</f>
        <v>45904</v>
      </c>
      <c r="F310" s="5" t="str">
        <f>IFERROR(__xludf.DUMMYFUNCTION("""COMPUTED_VALUE"""),"Featured")</f>
        <v>Featured</v>
      </c>
      <c r="G310" s="19" t="str">
        <f>IFERROR(__xludf.DUMMYFUNCTION("""COMPUTED_VALUE"""),"Instant Forms")</f>
        <v>Instant Forms</v>
      </c>
      <c r="H310" s="19"/>
      <c r="I310" s="62"/>
      <c r="J310" s="19"/>
    </row>
    <row r="311">
      <c r="A311" s="19" t="str">
        <f>IFERROR(__xludf.DUMMYFUNCTION("""COMPUTED_VALUE"""),"Andrea Daniel")</f>
        <v>Andrea Daniel</v>
      </c>
      <c r="B311" s="19" t="str">
        <f>IFERROR(__xludf.DUMMYFUNCTION("""COMPUTED_VALUE"""),"SA")</f>
        <v>SA</v>
      </c>
      <c r="C311" s="5" t="str">
        <f>IFERROR(__xludf.DUMMYFUNCTION("""COMPUTED_VALUE"""),"warradale")</f>
        <v>warradale</v>
      </c>
      <c r="D311" s="5" t="str">
        <f>IFERROR(__xludf.DUMMYFUNCTION("""COMPUTED_VALUE"""),"346 Morphett Road, Warradale, South Australia, 5046, Australia")</f>
        <v>346 Morphett Road, Warradale, South Australia, 5046, Australia</v>
      </c>
      <c r="E311" s="25">
        <f>IFERROR(__xludf.DUMMYFUNCTION("""COMPUTED_VALUE"""),45904.0)</f>
        <v>45904</v>
      </c>
      <c r="F311" s="5" t="str">
        <f>IFERROR(__xludf.DUMMYFUNCTION("""COMPUTED_VALUE"""),"Featured")</f>
        <v>Featured</v>
      </c>
      <c r="G311" s="19" t="str">
        <f>IFERROR(__xludf.DUMMYFUNCTION("""COMPUTED_VALUE"""),"Instant Forms")</f>
        <v>Instant Forms</v>
      </c>
      <c r="H311" s="19"/>
      <c r="I311" s="62"/>
      <c r="J311" s="19"/>
    </row>
    <row r="312">
      <c r="A312" s="19" t="str">
        <f>IFERROR(__xludf.DUMMYFUNCTION("""COMPUTED_VALUE"""),"Andrea Daniel")</f>
        <v>Andrea Daniel</v>
      </c>
      <c r="B312" s="19" t="str">
        <f>IFERROR(__xludf.DUMMYFUNCTION("""COMPUTED_VALUE"""),"SA")</f>
        <v>SA</v>
      </c>
      <c r="C312" s="5" t="str">
        <f>IFERROR(__xludf.DUMMYFUNCTION("""COMPUTED_VALUE"""),"Morphett Vale")</f>
        <v>Morphett Vale</v>
      </c>
      <c r="D312" s="5" t="str">
        <f>IFERROR(__xludf.DUMMYFUNCTION("""COMPUTED_VALUE"""),"22 Diosma Drive Morphett Vale SA 5162")</f>
        <v>22 Diosma Drive Morphett Vale SA 5162</v>
      </c>
      <c r="E312" s="25">
        <f>IFERROR(__xludf.DUMMYFUNCTION("""COMPUTED_VALUE"""),45905.0)</f>
        <v>45905</v>
      </c>
      <c r="F312" s="5" t="str">
        <f>IFERROR(__xludf.DUMMYFUNCTION("""COMPUTED_VALUE"""),"Featured")</f>
        <v>Featured</v>
      </c>
      <c r="G312" s="19" t="str">
        <f>IFERROR(__xludf.DUMMYFUNCTION("""COMPUTED_VALUE"""),"Instant Forms")</f>
        <v>Instant Forms</v>
      </c>
      <c r="H312" s="19"/>
      <c r="I312" s="62"/>
      <c r="J312" s="19"/>
    </row>
    <row r="313">
      <c r="A313" s="19" t="str">
        <f>IFERROR(__xludf.DUMMYFUNCTION("""COMPUTED_VALUE"""),"Andrea Daniel")</f>
        <v>Andrea Daniel</v>
      </c>
      <c r="B313" s="19" t="str">
        <f>IFERROR(__xludf.DUMMYFUNCTION("""COMPUTED_VALUE"""),"SA")</f>
        <v>SA</v>
      </c>
      <c r="C313" s="5" t="str">
        <f>IFERROR(__xludf.DUMMYFUNCTION("""COMPUTED_VALUE"""),"Flagstaff Hill")</f>
        <v>Flagstaff Hill</v>
      </c>
      <c r="D313" s="5" t="str">
        <f>IFERROR(__xludf.DUMMYFUNCTION("""COMPUTED_VALUE"""),"30 Ridgway Drive, Flagstaff Hill, SA, 5159, Australia")</f>
        <v>30 Ridgway Drive, Flagstaff Hill, SA, 5159, Australia</v>
      </c>
      <c r="E313" s="25">
        <f>IFERROR(__xludf.DUMMYFUNCTION("""COMPUTED_VALUE"""),45905.0)</f>
        <v>45905</v>
      </c>
      <c r="F313" s="5" t="str">
        <f>IFERROR(__xludf.DUMMYFUNCTION("""COMPUTED_VALUE"""),"Featured")</f>
        <v>Featured</v>
      </c>
      <c r="G313" s="19" t="str">
        <f>IFERROR(__xludf.DUMMYFUNCTION("""COMPUTED_VALUE"""),"Commission Comparison")</f>
        <v>Commission Comparison</v>
      </c>
      <c r="H313" s="19"/>
      <c r="I313" s="62"/>
      <c r="J313" s="19"/>
    </row>
    <row r="314">
      <c r="A314" s="19" t="str">
        <f>IFERROR(__xludf.DUMMYFUNCTION("""COMPUTED_VALUE"""),"Andrea Daniel")</f>
        <v>Andrea Daniel</v>
      </c>
      <c r="B314" s="19" t="str">
        <f>IFERROR(__xludf.DUMMYFUNCTION("""COMPUTED_VALUE"""),"SA")</f>
        <v>SA</v>
      </c>
      <c r="C314" s="5" t="str">
        <f>IFERROR(__xludf.DUMMYFUNCTION("""COMPUTED_VALUE"""),"Hove")</f>
        <v>Hove</v>
      </c>
      <c r="D314" s="5"/>
      <c r="E314" s="25">
        <f>IFERROR(__xludf.DUMMYFUNCTION("""COMPUTED_VALUE"""),45907.0)</f>
        <v>45907</v>
      </c>
      <c r="F314" s="5" t="str">
        <f>IFERROR(__xludf.DUMMYFUNCTION("""COMPUTED_VALUE"""),"Free")</f>
        <v>Free</v>
      </c>
      <c r="G314" s="19" t="str">
        <f>IFERROR(__xludf.DUMMYFUNCTION("""COMPUTED_VALUE"""),"Instant Forms")</f>
        <v>Instant Forms</v>
      </c>
      <c r="H314" s="19"/>
      <c r="I314" s="62"/>
      <c r="J314" s="19"/>
    </row>
    <row r="315">
      <c r="A315" s="19" t="str">
        <f>IFERROR(__xludf.DUMMYFUNCTION("""COMPUTED_VALUE"""),"Andrea Daniel")</f>
        <v>Andrea Daniel</v>
      </c>
      <c r="B315" s="19" t="str">
        <f>IFERROR(__xludf.DUMMYFUNCTION("""COMPUTED_VALUE"""),"SA")</f>
        <v>SA</v>
      </c>
      <c r="C315" s="5">
        <f>IFERROR(__xludf.DUMMYFUNCTION("""COMPUTED_VALUE"""),5046.0)</f>
        <v>5046</v>
      </c>
      <c r="D315" s="5"/>
      <c r="E315" s="25">
        <f>IFERROR(__xludf.DUMMYFUNCTION("""COMPUTED_VALUE"""),45907.0)</f>
        <v>45907</v>
      </c>
      <c r="F315" s="5" t="str">
        <f>IFERROR(__xludf.DUMMYFUNCTION("""COMPUTED_VALUE"""),"Free")</f>
        <v>Free</v>
      </c>
      <c r="G315" s="19" t="str">
        <f>IFERROR(__xludf.DUMMYFUNCTION("""COMPUTED_VALUE"""),"Instant Forms")</f>
        <v>Instant Forms</v>
      </c>
      <c r="H315" s="19"/>
      <c r="I315" s="62"/>
      <c r="J315" s="19"/>
    </row>
    <row r="316">
      <c r="A316" s="19" t="str">
        <f>IFERROR(__xludf.DUMMYFUNCTION("""COMPUTED_VALUE"""),"Andrea Daniel")</f>
        <v>Andrea Daniel</v>
      </c>
      <c r="B316" s="19" t="str">
        <f>IFERROR(__xludf.DUMMYFUNCTION("""COMPUTED_VALUE"""),"SA")</f>
        <v>SA</v>
      </c>
      <c r="C316" s="5" t="str">
        <f>IFERROR(__xludf.DUMMYFUNCTION("""COMPUTED_VALUE"""),"Marino")</f>
        <v>Marino</v>
      </c>
      <c r="D316" s="5" t="str">
        <f>IFERROR(__xludf.DUMMYFUNCTION("""COMPUTED_VALUE"""),"11 Yomara Road Marino SA 5049")</f>
        <v>11 Yomara Road Marino SA 5049</v>
      </c>
      <c r="E316" s="25">
        <f>IFERROR(__xludf.DUMMYFUNCTION("""COMPUTED_VALUE"""),45916.0)</f>
        <v>45916</v>
      </c>
      <c r="F316" s="5">
        <f>IFERROR(__xludf.DUMMYFUNCTION("""COMPUTED_VALUE"""),8.0)</f>
        <v>8</v>
      </c>
      <c r="G316" s="19" t="str">
        <f>IFERROR(__xludf.DUMMYFUNCTION("""COMPUTED_VALUE"""),"Instant Forms")</f>
        <v>Instant Forms</v>
      </c>
      <c r="H316" s="19" t="str">
        <f>IFERROR(__xludf.DUMMYFUNCTION("""COMPUTED_VALUE"""),"Colin Ellis")</f>
        <v>Colin Ellis</v>
      </c>
      <c r="I316" s="62"/>
      <c r="J316" s="19"/>
    </row>
    <row r="317">
      <c r="A317" s="19" t="str">
        <f>IFERROR(__xludf.DUMMYFUNCTION("""COMPUTED_VALUE"""),"Andrea Daniel")</f>
        <v>Andrea Daniel</v>
      </c>
      <c r="B317" s="19" t="str">
        <f>IFERROR(__xludf.DUMMYFUNCTION("""COMPUTED_VALUE"""),"SA")</f>
        <v>SA</v>
      </c>
      <c r="C317" s="5" t="str">
        <f>IFERROR(__xludf.DUMMYFUNCTION("""COMPUTED_VALUE"""),"Seacliff Park")</f>
        <v>Seacliff Park</v>
      </c>
      <c r="D317" s="5" t="str">
        <f>IFERROR(__xludf.DUMMYFUNCTION("""COMPUTED_VALUE"""),"14 Manos Court Seacliff Park SA 5049")</f>
        <v>14 Manos Court Seacliff Park SA 5049</v>
      </c>
      <c r="E317" s="25">
        <f>IFERROR(__xludf.DUMMYFUNCTION("""COMPUTED_VALUE"""),45917.0)</f>
        <v>45917</v>
      </c>
      <c r="F317" s="5">
        <f>IFERROR(__xludf.DUMMYFUNCTION("""COMPUTED_VALUE"""),8.0)</f>
        <v>8</v>
      </c>
      <c r="G317" s="19" t="str">
        <f>IFERROR(__xludf.DUMMYFUNCTION("""COMPUTED_VALUE"""),"Instant Forms")</f>
        <v>Instant Forms</v>
      </c>
      <c r="H317" s="19" t="str">
        <f>IFERROR(__xludf.DUMMYFUNCTION("""COMPUTED_VALUE"""),"Rhonda Miller")</f>
        <v>Rhonda Miller</v>
      </c>
      <c r="I317" s="62"/>
      <c r="J317" s="19"/>
    </row>
    <row r="318">
      <c r="A318" s="19" t="str">
        <f>IFERROR(__xludf.DUMMYFUNCTION("""COMPUTED_VALUE"""),"Andrea Daniel")</f>
        <v>Andrea Daniel</v>
      </c>
      <c r="B318" s="19" t="str">
        <f>IFERROR(__xludf.DUMMYFUNCTION("""COMPUTED_VALUE"""),"SA")</f>
        <v>SA</v>
      </c>
      <c r="C318" s="5" t="str">
        <f>IFERROR(__xludf.DUMMYFUNCTION("""COMPUTED_VALUE"""),"Hallett Cove")</f>
        <v>Hallett Cove</v>
      </c>
      <c r="D318" s="5" t="str">
        <f>IFERROR(__xludf.DUMMYFUNCTION("""COMPUTED_VALUE"""),"7 Douglas Court Hallett Cove SA 5158")</f>
        <v>7 Douglas Court Hallett Cove SA 5158</v>
      </c>
      <c r="E318" s="25">
        <f>IFERROR(__xludf.DUMMYFUNCTION("""COMPUTED_VALUE"""),45928.0)</f>
        <v>45928</v>
      </c>
      <c r="F318" s="5">
        <f>IFERROR(__xludf.DUMMYFUNCTION("""COMPUTED_VALUE"""),8.0)</f>
        <v>8</v>
      </c>
      <c r="G318" s="19" t="str">
        <f>IFERROR(__xludf.DUMMYFUNCTION("""COMPUTED_VALUE"""),"Instant Forms")</f>
        <v>Instant Forms</v>
      </c>
      <c r="H318" s="19" t="str">
        <f>IFERROR(__xludf.DUMMYFUNCTION("""COMPUTED_VALUE"""),"Ann Ryan")</f>
        <v>Ann Ryan</v>
      </c>
      <c r="I318" s="62"/>
      <c r="J318" s="19"/>
    </row>
    <row r="319">
      <c r="A319" s="19" t="str">
        <f>IFERROR(__xludf.DUMMYFUNCTION("""COMPUTED_VALUE"""),"Andrea Daniel")</f>
        <v>Andrea Daniel</v>
      </c>
      <c r="B319" s="19" t="str">
        <f>IFERROR(__xludf.DUMMYFUNCTION("""COMPUTED_VALUE"""),"SA")</f>
        <v>SA</v>
      </c>
      <c r="C319" s="5" t="str">
        <f>IFERROR(__xludf.DUMMYFUNCTION("""COMPUTED_VALUE"""),"Happy Valley")</f>
        <v>Happy Valley</v>
      </c>
      <c r="D319" s="5" t="str">
        <f>IFERROR(__xludf.DUMMYFUNCTION("""COMPUTED_VALUE"""),"8 Roxanne Street Happy Valley SA 5159")</f>
        <v>8 Roxanne Street Happy Valley SA 5159</v>
      </c>
      <c r="E319" s="25">
        <f>IFERROR(__xludf.DUMMYFUNCTION("""COMPUTED_VALUE"""),45935.0)</f>
        <v>45935</v>
      </c>
      <c r="F319" s="5">
        <f>IFERROR(__xludf.DUMMYFUNCTION("""COMPUTED_VALUE"""),8.0)</f>
        <v>8</v>
      </c>
      <c r="G319" s="19" t="str">
        <f>IFERROR(__xludf.DUMMYFUNCTION("""COMPUTED_VALUE"""),"Instant Forms")</f>
        <v>Instant Forms</v>
      </c>
      <c r="H319" s="19" t="str">
        <f>IFERROR(__xludf.DUMMYFUNCTION("""COMPUTED_VALUE"""),"Helen Telford")</f>
        <v>Helen Telford</v>
      </c>
      <c r="I319" s="62"/>
      <c r="J319" s="19"/>
    </row>
    <row r="320">
      <c r="A320" s="19" t="str">
        <f>IFERROR(__xludf.DUMMYFUNCTION("""COMPUTED_VALUE"""),"Andrea Daniel")</f>
        <v>Andrea Daniel</v>
      </c>
      <c r="B320" s="19" t="str">
        <f>IFERROR(__xludf.DUMMYFUNCTION("""COMPUTED_VALUE"""),"SA")</f>
        <v>SA</v>
      </c>
      <c r="C320" s="5">
        <f>IFERROR(__xludf.DUMMYFUNCTION("""COMPUTED_VALUE"""),5046.0)</f>
        <v>5046</v>
      </c>
      <c r="D320" s="5"/>
      <c r="E320" s="25">
        <f>IFERROR(__xludf.DUMMYFUNCTION("""COMPUTED_VALUE"""),45943.0)</f>
        <v>45943</v>
      </c>
      <c r="F320" s="5">
        <f>IFERROR(__xludf.DUMMYFUNCTION("""COMPUTED_VALUE"""),5.0)</f>
        <v>5</v>
      </c>
      <c r="G320" s="19" t="str">
        <f>IFERROR(__xludf.DUMMYFUNCTION("""COMPUTED_VALUE"""),"Instant Forms")</f>
        <v>Instant Forms</v>
      </c>
      <c r="H320" s="19"/>
      <c r="I320" s="62"/>
      <c r="J320" s="19"/>
    </row>
    <row r="321">
      <c r="A321" s="19" t="str">
        <f>IFERROR(__xludf.DUMMYFUNCTION("""COMPUTED_VALUE"""),"Andrea Daniel")</f>
        <v>Andrea Daniel</v>
      </c>
      <c r="B321" s="19" t="str">
        <f>IFERROR(__xludf.DUMMYFUNCTION("""COMPUTED_VALUE"""),"SA")</f>
        <v>SA</v>
      </c>
      <c r="C321" s="5" t="str">
        <f>IFERROR(__xludf.DUMMYFUNCTION("""COMPUTED_VALUE"""),"Sheidow Park")</f>
        <v>Sheidow Park</v>
      </c>
      <c r="D321" s="5" t="str">
        <f>IFERROR(__xludf.DUMMYFUNCTION("""COMPUTED_VALUE"""),"4 Sandy Glass Court Sheidow Park SA 5158")</f>
        <v>4 Sandy Glass Court Sheidow Park SA 5158</v>
      </c>
      <c r="E321" s="25">
        <f>IFERROR(__xludf.DUMMYFUNCTION("""COMPUTED_VALUE"""),45949.0)</f>
        <v>45949</v>
      </c>
      <c r="F321" s="5">
        <f>IFERROR(__xludf.DUMMYFUNCTION("""COMPUTED_VALUE"""),8.0)</f>
        <v>8</v>
      </c>
      <c r="G321" s="19" t="str">
        <f>IFERROR(__xludf.DUMMYFUNCTION("""COMPUTED_VALUE"""),"Instant Forms")</f>
        <v>Instant Forms</v>
      </c>
      <c r="H321" s="19"/>
      <c r="I321" s="62"/>
      <c r="J321" s="19"/>
    </row>
    <row r="322">
      <c r="A322" s="19" t="str">
        <f>IFERROR(__xludf.DUMMYFUNCTION("""COMPUTED_VALUE"""),"Andrea Daniel")</f>
        <v>Andrea Daniel</v>
      </c>
      <c r="B322" s="19" t="str">
        <f>IFERROR(__xludf.DUMMYFUNCTION("""COMPUTED_VALUE"""),"SA")</f>
        <v>SA</v>
      </c>
      <c r="C322" s="5" t="str">
        <f>IFERROR(__xludf.DUMMYFUNCTION("""COMPUTED_VALUE"""),"Chandlers Hill")</f>
        <v>Chandlers Hill</v>
      </c>
      <c r="D322" s="5" t="str">
        <f>IFERROR(__xludf.DUMMYFUNCTION("""COMPUTED_VALUE"""),"85 Education Road Chandlers Hill SA 5159")</f>
        <v>85 Education Road Chandlers Hill SA 5159</v>
      </c>
      <c r="E322" s="25">
        <f>IFERROR(__xludf.DUMMYFUNCTION("""COMPUTED_VALUE"""),45969.0)</f>
        <v>45969</v>
      </c>
      <c r="F322" s="5">
        <f>IFERROR(__xludf.DUMMYFUNCTION("""COMPUTED_VALUE"""),8.0)</f>
        <v>8</v>
      </c>
      <c r="G322" s="19" t="str">
        <f>IFERROR(__xludf.DUMMYFUNCTION("""COMPUTED_VALUE"""),"Instant Forms")</f>
        <v>Instant Forms</v>
      </c>
      <c r="H322" s="19" t="str">
        <f>IFERROR(__xludf.DUMMYFUNCTION("""COMPUTED_VALUE"""),"Brenda Brophy")</f>
        <v>Brenda Brophy</v>
      </c>
      <c r="I322" s="62">
        <f>IFERROR(__xludf.DUMMYFUNCTION("""COMPUTED_VALUE"""),6.1403125762E10)</f>
        <v>61403125762</v>
      </c>
      <c r="J322" s="19" t="str">
        <f>IFERROR(__xludf.DUMMYFUNCTION("""COMPUTED_VALUE"""),"paubro1@bigpond.com")</f>
        <v>paubro1@bigpond.com</v>
      </c>
    </row>
    <row r="323">
      <c r="A323" s="19" t="str">
        <f>IFERROR(__xludf.DUMMYFUNCTION("""COMPUTED_VALUE"""),"Andrea Daniel")</f>
        <v>Andrea Daniel</v>
      </c>
      <c r="B323" s="19" t="str">
        <f>IFERROR(__xludf.DUMMYFUNCTION("""COMPUTED_VALUE"""),"SA")</f>
        <v>SA</v>
      </c>
      <c r="C323" s="5" t="str">
        <f>IFERROR(__xludf.DUMMYFUNCTION("""COMPUTED_VALUE"""),"Warradale")</f>
        <v>Warradale</v>
      </c>
      <c r="D323" s="5" t="str">
        <f>IFERROR(__xludf.DUMMYFUNCTION("""COMPUTED_VALUE"""),"8 Virgo Avenue Warradale SA 5046")</f>
        <v>8 Virgo Avenue Warradale SA 5046</v>
      </c>
      <c r="E323" s="25">
        <f>IFERROR(__xludf.DUMMYFUNCTION("""COMPUTED_VALUE"""),45970.0)</f>
        <v>45970</v>
      </c>
      <c r="F323" s="5">
        <f>IFERROR(__xludf.DUMMYFUNCTION("""COMPUTED_VALUE"""),8.0)</f>
        <v>8</v>
      </c>
      <c r="G323" s="19" t="str">
        <f>IFERROR(__xludf.DUMMYFUNCTION("""COMPUTED_VALUE"""),"Instant Forms")</f>
        <v>Instant Forms</v>
      </c>
      <c r="H323" s="19" t="str">
        <f>IFERROR(__xludf.DUMMYFUNCTION("""COMPUTED_VALUE"""),"Lily Galandomos")</f>
        <v>Lily Galandomos</v>
      </c>
      <c r="I323" s="62">
        <f>IFERROR(__xludf.DUMMYFUNCTION("""COMPUTED_VALUE"""),6.1412674292E10)</f>
        <v>61412674292</v>
      </c>
      <c r="J323" s="19" t="str">
        <f>IFERROR(__xludf.DUMMYFUNCTION("""COMPUTED_VALUE"""),"kouklalilly@gmail.com")</f>
        <v>kouklalilly@gmail.com</v>
      </c>
    </row>
    <row r="324">
      <c r="A324" s="19" t="str">
        <f>IFERROR(__xludf.DUMMYFUNCTION("""COMPUTED_VALUE"""),"Andrea Daniel")</f>
        <v>Andrea Daniel</v>
      </c>
      <c r="B324" s="19" t="str">
        <f>IFERROR(__xludf.DUMMYFUNCTION("""COMPUTED_VALUE"""),"SA")</f>
        <v>SA</v>
      </c>
      <c r="C324" s="5" t="str">
        <f>IFERROR(__xludf.DUMMYFUNCTION("""COMPUTED_VALUE"""),"Hallett Cove")</f>
        <v>Hallett Cove</v>
      </c>
      <c r="D324" s="5" t="str">
        <f>IFERROR(__xludf.DUMMYFUNCTION("""COMPUTED_VALUE"""),"22 Tigress Drive Hallett Cove SA 5158")</f>
        <v>22 Tigress Drive Hallett Cove SA 5158</v>
      </c>
      <c r="E324" s="25">
        <f>IFERROR(__xludf.DUMMYFUNCTION("""COMPUTED_VALUE"""),45975.0)</f>
        <v>45975</v>
      </c>
      <c r="F324" s="5">
        <f>IFERROR(__xludf.DUMMYFUNCTION("""COMPUTED_VALUE"""),5.0)</f>
        <v>5</v>
      </c>
      <c r="G324" s="19" t="str">
        <f>IFERROR(__xludf.DUMMYFUNCTION("""COMPUTED_VALUE"""),"Instant Forms")</f>
        <v>Instant Forms</v>
      </c>
      <c r="H324" s="19" t="str">
        <f>IFERROR(__xludf.DUMMYFUNCTION("""COMPUTED_VALUE"""),"Peter Lomman")</f>
        <v>Peter Lomman</v>
      </c>
      <c r="I324" s="62">
        <f>IFERROR(__xludf.DUMMYFUNCTION("""COMPUTED_VALUE"""),6.140242609E10)</f>
        <v>61402426090</v>
      </c>
      <c r="J324" s="19" t="str">
        <f>IFERROR(__xludf.DUMMYFUNCTION("""COMPUTED_VALUE"""),"pcls2@bigpond.com")</f>
        <v>pcls2@bigpond.com</v>
      </c>
    </row>
    <row r="325">
      <c r="A325" s="19" t="str">
        <f>IFERROR(__xludf.DUMMYFUNCTION("""COMPUTED_VALUE"""),"Andrea Daniel")</f>
        <v>Andrea Daniel</v>
      </c>
      <c r="B325" s="19" t="str">
        <f>IFERROR(__xludf.DUMMYFUNCTION("""COMPUTED_VALUE"""),"SA")</f>
        <v>SA</v>
      </c>
      <c r="C325" s="5" t="str">
        <f>IFERROR(__xludf.DUMMYFUNCTION("""COMPUTED_VALUE"""),"Woodcroft")</f>
        <v>Woodcroft</v>
      </c>
      <c r="D325" s="5"/>
      <c r="E325" s="5" t="str">
        <f>IFERROR(__xludf.DUMMYFUNCTION("""COMPUTED_VALUE"""),"27/11/2025")</f>
        <v>27/11/2025</v>
      </c>
      <c r="F325" s="64">
        <f>IFERROR(__xludf.DUMMYFUNCTION("""COMPUTED_VALUE"""),0.0)</f>
        <v>0</v>
      </c>
      <c r="G325" s="19" t="str">
        <f>IFERROR(__xludf.DUMMYFUNCTION("""COMPUTED_VALUE"""),"Instant Forms")</f>
        <v>Instant Forms</v>
      </c>
      <c r="H325" s="19" t="str">
        <f>IFERROR(__xludf.DUMMYFUNCTION("""COMPUTED_VALUE"""),"Kylie Vogt")</f>
        <v>Kylie Vogt</v>
      </c>
      <c r="I325" s="62">
        <f>IFERROR(__xludf.DUMMYFUNCTION("""COMPUTED_VALUE"""),6.140319509E10)</f>
        <v>61403195090</v>
      </c>
      <c r="J325" s="19" t="str">
        <f>IFERROR(__xludf.DUMMYFUNCTION("""COMPUTED_VALUE"""),"kylievwot@gmail.com")</f>
        <v>kylievwot@gmail.com</v>
      </c>
    </row>
    <row r="326">
      <c r="A326" s="19" t="str">
        <f>IFERROR(__xludf.DUMMYFUNCTION("""COMPUTED_VALUE"""),"Andrea Daniel")</f>
        <v>Andrea Daniel</v>
      </c>
      <c r="B326" s="19" t="str">
        <f>IFERROR(__xludf.DUMMYFUNCTION("""COMPUTED_VALUE"""),"SA")</f>
        <v>SA</v>
      </c>
      <c r="C326" s="5" t="str">
        <f>IFERROR(__xludf.DUMMYFUNCTION("""COMPUTED_VALUE"""),"Hallett Cove")</f>
        <v>Hallett Cove</v>
      </c>
      <c r="D326" s="5" t="str">
        <f>IFERROR(__xludf.DUMMYFUNCTION("""COMPUTED_VALUE"""),"32665, Hallett Cove, 5158")</f>
        <v>32665, Hallett Cove, 5158</v>
      </c>
      <c r="E326" s="5" t="str">
        <f>IFERROR(__xludf.DUMMYFUNCTION("""COMPUTED_VALUE"""),"27/11/2025")</f>
        <v>27/11/2025</v>
      </c>
      <c r="F326" s="64">
        <f>IFERROR(__xludf.DUMMYFUNCTION("""COMPUTED_VALUE"""),0.2)</f>
        <v>0.2</v>
      </c>
      <c r="G326" s="19" t="str">
        <f>IFERROR(__xludf.DUMMYFUNCTION("""COMPUTED_VALUE"""),"Meta Commission Report")</f>
        <v>Meta Commission Report</v>
      </c>
      <c r="H326" s="19" t="str">
        <f>IFERROR(__xludf.DUMMYFUNCTION("""COMPUTED_VALUE"""),"Richard Collins")</f>
        <v>Richard Collins</v>
      </c>
      <c r="I326" s="62">
        <f>IFERROR(__xludf.DUMMYFUNCTION("""COMPUTED_VALUE"""),6.1408257187E10)</f>
        <v>61408257187</v>
      </c>
      <c r="J326" s="19" t="str">
        <f>IFERROR(__xludf.DUMMYFUNCTION("""COMPUTED_VALUE"""),"Unsubscribed")</f>
        <v>Unsubscribed</v>
      </c>
    </row>
    <row r="327">
      <c r="A327" s="19" t="str">
        <f>IFERROR(__xludf.DUMMYFUNCTION("""COMPUTED_VALUE"""),"Andrea Daniel")</f>
        <v>Andrea Daniel</v>
      </c>
      <c r="B327" s="19" t="str">
        <f>IFERROR(__xludf.DUMMYFUNCTION("""COMPUTED_VALUE"""),"SA")</f>
        <v>SA</v>
      </c>
      <c r="C327" s="5" t="str">
        <f>IFERROR(__xludf.DUMMYFUNCTION("""COMPUTED_VALUE"""),"Hallett Cove")</f>
        <v>Hallett Cove</v>
      </c>
      <c r="D327" s="5" t="str">
        <f>IFERROR(__xludf.DUMMYFUNCTION("""COMPUTED_VALUE"""),"167 The Cove Road Hallett Cove SA 5158")</f>
        <v>167 The Cove Road Hallett Cove SA 5158</v>
      </c>
      <c r="E327" s="27">
        <f>IFERROR(__xludf.DUMMYFUNCTION("""COMPUTED_VALUE"""),45728.0)</f>
        <v>45728</v>
      </c>
      <c r="F327" s="64">
        <f>IFERROR(__xludf.DUMMYFUNCTION("""COMPUTED_VALUE"""),0.2)</f>
        <v>0.2</v>
      </c>
      <c r="G327" s="19" t="str">
        <f>IFERROR(__xludf.DUMMYFUNCTION("""COMPUTED_VALUE"""),"Instant Forms")</f>
        <v>Instant Forms</v>
      </c>
      <c r="H327" s="19" t="str">
        <f>IFERROR(__xludf.DUMMYFUNCTION("""COMPUTED_VALUE"""),"Patricia Weeding")</f>
        <v>Patricia Weeding</v>
      </c>
      <c r="I327" s="62">
        <f>IFERROR(__xludf.DUMMYFUNCTION("""COMPUTED_VALUE"""),6.1421089813E10)</f>
        <v>61421089813</v>
      </c>
      <c r="J327" s="19" t="str">
        <f>IFERROR(__xludf.DUMMYFUNCTION("""COMPUTED_VALUE"""),"patriciaweeding@gmail.com")</f>
        <v>patriciaweeding@gmail.com</v>
      </c>
    </row>
    <row r="328">
      <c r="A328" s="19" t="str">
        <f>IFERROR(__xludf.DUMMYFUNCTION("""COMPUTED_VALUE"""),"")</f>
        <v/>
      </c>
      <c r="B328" s="19" t="str">
        <f>IFERROR(__xludf.DUMMYFUNCTION("""COMPUTED_VALUE"""),"")</f>
        <v/>
      </c>
      <c r="C328" s="5" t="str">
        <f>IFERROR(__xludf.DUMMYFUNCTION("""COMPUTED_VALUE"""),"")</f>
        <v/>
      </c>
      <c r="D328" s="5" t="str">
        <f>IFERROR(__xludf.DUMMYFUNCTION("""COMPUTED_VALUE"""),"")</f>
        <v/>
      </c>
      <c r="E328" s="5" t="str">
        <f>IFERROR(__xludf.DUMMYFUNCTION("""COMPUTED_VALUE"""),"")</f>
        <v/>
      </c>
      <c r="F328" s="5" t="str">
        <f>IFERROR(__xludf.DUMMYFUNCTION("""COMPUTED_VALUE"""),"")</f>
        <v/>
      </c>
      <c r="G328" s="19" t="str">
        <f>IFERROR(__xludf.DUMMYFUNCTION("""COMPUTED_VALUE"""),"")</f>
        <v/>
      </c>
      <c r="H328" s="19" t="str">
        <f>IFERROR(__xludf.DUMMYFUNCTION("""COMPUTED_VALUE"""),"")</f>
        <v/>
      </c>
      <c r="I328" s="62" t="str">
        <f>IFERROR(__xludf.DUMMYFUNCTION("""COMPUTED_VALUE"""),"")</f>
        <v/>
      </c>
      <c r="J328" s="19" t="str">
        <f>IFERROR(__xludf.DUMMYFUNCTION("""COMPUTED_VALUE"""),"")</f>
        <v/>
      </c>
    </row>
    <row r="329">
      <c r="A329" s="19" t="str">
        <f>IFERROR(__xludf.DUMMYFUNCTION("""COMPUTED_VALUE"""),"")</f>
        <v/>
      </c>
      <c r="B329" s="19" t="str">
        <f>IFERROR(__xludf.DUMMYFUNCTION("""COMPUTED_VALUE"""),"")</f>
        <v/>
      </c>
      <c r="C329" s="5" t="str">
        <f>IFERROR(__xludf.DUMMYFUNCTION("""COMPUTED_VALUE"""),"")</f>
        <v/>
      </c>
      <c r="D329" s="5" t="str">
        <f>IFERROR(__xludf.DUMMYFUNCTION("""COMPUTED_VALUE"""),"")</f>
        <v/>
      </c>
      <c r="E329" s="5" t="str">
        <f>IFERROR(__xludf.DUMMYFUNCTION("""COMPUTED_VALUE"""),"")</f>
        <v/>
      </c>
      <c r="F329" s="5" t="str">
        <f>IFERROR(__xludf.DUMMYFUNCTION("""COMPUTED_VALUE"""),"")</f>
        <v/>
      </c>
      <c r="G329" s="19" t="str">
        <f>IFERROR(__xludf.DUMMYFUNCTION("""COMPUTED_VALUE"""),"")</f>
        <v/>
      </c>
      <c r="H329" s="19" t="str">
        <f>IFERROR(__xludf.DUMMYFUNCTION("""COMPUTED_VALUE"""),"")</f>
        <v/>
      </c>
      <c r="I329" s="62" t="str">
        <f>IFERROR(__xludf.DUMMYFUNCTION("""COMPUTED_VALUE"""),"")</f>
        <v/>
      </c>
      <c r="J329" s="19" t="str">
        <f>IFERROR(__xludf.DUMMYFUNCTION("""COMPUTED_VALUE"""),"")</f>
        <v/>
      </c>
    </row>
    <row r="330">
      <c r="A330" s="19" t="str">
        <f>IFERROR(__xludf.DUMMYFUNCTION("""COMPUTED_VALUE"""),"Andrew Davidson")</f>
        <v>Andrew Davidson</v>
      </c>
      <c r="B330" s="19" t="str">
        <f>IFERROR(__xludf.DUMMYFUNCTION("""COMPUTED_VALUE"""),"QLD")</f>
        <v>QLD</v>
      </c>
      <c r="C330" s="5" t="str">
        <f>IFERROR(__xludf.DUMMYFUNCTION("""COMPUTED_VALUE"""),"Nerang")</f>
        <v>Nerang</v>
      </c>
      <c r="D330" s="5" t="str">
        <f>IFERROR(__xludf.DUMMYFUNCTION("""COMPUTED_VALUE"""),"27 Maroong Crescent Nerang QLD 4211")</f>
        <v>27 Maroong Crescent Nerang QLD 4211</v>
      </c>
      <c r="E330" s="25">
        <f>IFERROR(__xludf.DUMMYFUNCTION("""COMPUTED_VALUE"""),45895.0)</f>
        <v>45895</v>
      </c>
      <c r="F330" s="5" t="str">
        <f>IFERROR(__xludf.DUMMYFUNCTION("""COMPUTED_VALUE"""),"Featured")</f>
        <v>Featured</v>
      </c>
      <c r="G330" s="19" t="str">
        <f>IFERROR(__xludf.DUMMYFUNCTION("""COMPUTED_VALUE"""),"Instant Forms")</f>
        <v>Instant Forms</v>
      </c>
      <c r="H330" s="19"/>
      <c r="I330" s="62"/>
      <c r="J330" s="19"/>
    </row>
    <row r="331">
      <c r="A331" s="19" t="str">
        <f>IFERROR(__xludf.DUMMYFUNCTION("""COMPUTED_VALUE"""),"")</f>
        <v/>
      </c>
      <c r="B331" s="19" t="str">
        <f>IFERROR(__xludf.DUMMYFUNCTION("""COMPUTED_VALUE"""),"")</f>
        <v/>
      </c>
      <c r="C331" s="5" t="str">
        <f>IFERROR(__xludf.DUMMYFUNCTION("""COMPUTED_VALUE"""),"")</f>
        <v/>
      </c>
      <c r="D331" s="5" t="str">
        <f>IFERROR(__xludf.DUMMYFUNCTION("""COMPUTED_VALUE"""),"")</f>
        <v/>
      </c>
      <c r="E331" s="5" t="str">
        <f>IFERROR(__xludf.DUMMYFUNCTION("""COMPUTED_VALUE"""),"")</f>
        <v/>
      </c>
      <c r="F331" s="5" t="str">
        <f>IFERROR(__xludf.DUMMYFUNCTION("""COMPUTED_VALUE"""),"")</f>
        <v/>
      </c>
      <c r="G331" s="19" t="str">
        <f>IFERROR(__xludf.DUMMYFUNCTION("""COMPUTED_VALUE"""),"")</f>
        <v/>
      </c>
      <c r="H331" s="19" t="str">
        <f>IFERROR(__xludf.DUMMYFUNCTION("""COMPUTED_VALUE"""),"")</f>
        <v/>
      </c>
      <c r="I331" s="62" t="str">
        <f>IFERROR(__xludf.DUMMYFUNCTION("""COMPUTED_VALUE"""),"")</f>
        <v/>
      </c>
      <c r="J331" s="19" t="str">
        <f>IFERROR(__xludf.DUMMYFUNCTION("""COMPUTED_VALUE"""),"")</f>
        <v/>
      </c>
    </row>
    <row r="332">
      <c r="A332" s="19" t="str">
        <f>IFERROR(__xludf.DUMMYFUNCTION("""COMPUTED_VALUE"""),"")</f>
        <v/>
      </c>
      <c r="B332" s="19" t="str">
        <f>IFERROR(__xludf.DUMMYFUNCTION("""COMPUTED_VALUE"""),"")</f>
        <v/>
      </c>
      <c r="C332" s="5" t="str">
        <f>IFERROR(__xludf.DUMMYFUNCTION("""COMPUTED_VALUE"""),"")</f>
        <v/>
      </c>
      <c r="D332" s="5" t="str">
        <f>IFERROR(__xludf.DUMMYFUNCTION("""COMPUTED_VALUE"""),"")</f>
        <v/>
      </c>
      <c r="E332" s="5" t="str">
        <f>IFERROR(__xludf.DUMMYFUNCTION("""COMPUTED_VALUE"""),"")</f>
        <v/>
      </c>
      <c r="F332" s="5" t="str">
        <f>IFERROR(__xludf.DUMMYFUNCTION("""COMPUTED_VALUE"""),"")</f>
        <v/>
      </c>
      <c r="G332" s="19" t="str">
        <f>IFERROR(__xludf.DUMMYFUNCTION("""COMPUTED_VALUE"""),"")</f>
        <v/>
      </c>
      <c r="H332" s="19" t="str">
        <f>IFERROR(__xludf.DUMMYFUNCTION("""COMPUTED_VALUE"""),"")</f>
        <v/>
      </c>
      <c r="I332" s="62" t="str">
        <f>IFERROR(__xludf.DUMMYFUNCTION("""COMPUTED_VALUE"""),"")</f>
        <v/>
      </c>
      <c r="J332" s="19" t="str">
        <f>IFERROR(__xludf.DUMMYFUNCTION("""COMPUTED_VALUE"""),"")</f>
        <v/>
      </c>
    </row>
    <row r="333">
      <c r="A333" s="19" t="str">
        <f>IFERROR(__xludf.DUMMYFUNCTION("""COMPUTED_VALUE"""),"Andrew Sands")</f>
        <v>Andrew Sands</v>
      </c>
      <c r="B333" s="19" t="str">
        <f>IFERROR(__xludf.DUMMYFUNCTION("""COMPUTED_VALUE"""),"QLD")</f>
        <v>QLD</v>
      </c>
      <c r="C333" s="5" t="str">
        <f>IFERROR(__xludf.DUMMYFUNCTION("""COMPUTED_VALUE"""),"Currimundi")</f>
        <v>Currimundi</v>
      </c>
      <c r="D333" s="5" t="str">
        <f>IFERROR(__xludf.DUMMYFUNCTION("""COMPUTED_VALUE"""),"3 Callistemon Place")</f>
        <v>3 Callistemon Place</v>
      </c>
      <c r="E333" s="63"/>
      <c r="F333" s="5" t="str">
        <f>IFERROR(__xludf.DUMMYFUNCTION("""COMPUTED_VALUE"""),"Featured")</f>
        <v>Featured</v>
      </c>
      <c r="G333" s="19" t="str">
        <f>IFERROR(__xludf.DUMMYFUNCTION("""COMPUTED_VALUE"""),"Commission Comparison")</f>
        <v>Commission Comparison</v>
      </c>
      <c r="H333" s="19"/>
      <c r="I333" s="62"/>
      <c r="J333" s="19"/>
    </row>
    <row r="334">
      <c r="A334" s="19" t="str">
        <f>IFERROR(__xludf.DUMMYFUNCTION("""COMPUTED_VALUE"""),"Andrew Sands")</f>
        <v>Andrew Sands</v>
      </c>
      <c r="B334" s="19" t="str">
        <f>IFERROR(__xludf.DUMMYFUNCTION("""COMPUTED_VALUE"""),"QLD")</f>
        <v>QLD</v>
      </c>
      <c r="C334" s="5" t="str">
        <f>IFERROR(__xludf.DUMMYFUNCTION("""COMPUTED_VALUE"""),"Mountain Creek")</f>
        <v>Mountain Creek</v>
      </c>
      <c r="D334" s="5" t="str">
        <f>IFERROR(__xludf.DUMMYFUNCTION("""COMPUTED_VALUE"""),"18 Molakai Drive, Mountain Creek, QLD, 4557, Australia")</f>
        <v>18 Molakai Drive, Mountain Creek, QLD, 4557, Australia</v>
      </c>
      <c r="E334" s="27">
        <f>IFERROR(__xludf.DUMMYFUNCTION("""COMPUTED_VALUE"""),45999.0)</f>
        <v>45999</v>
      </c>
      <c r="F334" s="5" t="str">
        <f>IFERROR(__xludf.DUMMYFUNCTION("""COMPUTED_VALUE"""),"Featured")</f>
        <v>Featured</v>
      </c>
      <c r="G334" s="19"/>
      <c r="H334" s="19"/>
      <c r="I334" s="62"/>
      <c r="J334" s="19"/>
    </row>
    <row r="335">
      <c r="A335" s="19" t="str">
        <f>IFERROR(__xludf.DUMMYFUNCTION("""COMPUTED_VALUE"""),"")</f>
        <v/>
      </c>
      <c r="B335" s="19" t="str">
        <f>IFERROR(__xludf.DUMMYFUNCTION("""COMPUTED_VALUE"""),"")</f>
        <v/>
      </c>
      <c r="C335" s="5" t="str">
        <f>IFERROR(__xludf.DUMMYFUNCTION("""COMPUTED_VALUE"""),"")</f>
        <v/>
      </c>
      <c r="D335" s="5" t="str">
        <f>IFERROR(__xludf.DUMMYFUNCTION("""COMPUTED_VALUE"""),"")</f>
        <v/>
      </c>
      <c r="E335" s="5" t="str">
        <f>IFERROR(__xludf.DUMMYFUNCTION("""COMPUTED_VALUE"""),"")</f>
        <v/>
      </c>
      <c r="F335" s="5" t="str">
        <f>IFERROR(__xludf.DUMMYFUNCTION("""COMPUTED_VALUE"""),"")</f>
        <v/>
      </c>
      <c r="G335" s="19" t="str">
        <f>IFERROR(__xludf.DUMMYFUNCTION("""COMPUTED_VALUE"""),"")</f>
        <v/>
      </c>
      <c r="H335" s="19" t="str">
        <f>IFERROR(__xludf.DUMMYFUNCTION("""COMPUTED_VALUE"""),"")</f>
        <v/>
      </c>
      <c r="I335" s="62" t="str">
        <f>IFERROR(__xludf.DUMMYFUNCTION("""COMPUTED_VALUE"""),"")</f>
        <v/>
      </c>
      <c r="J335" s="19" t="str">
        <f>IFERROR(__xludf.DUMMYFUNCTION("""COMPUTED_VALUE"""),"")</f>
        <v/>
      </c>
    </row>
    <row r="336">
      <c r="A336" s="19" t="str">
        <f>IFERROR(__xludf.DUMMYFUNCTION("""COMPUTED_VALUE"""),"")</f>
        <v/>
      </c>
      <c r="B336" s="19" t="str">
        <f>IFERROR(__xludf.DUMMYFUNCTION("""COMPUTED_VALUE"""),"")</f>
        <v/>
      </c>
      <c r="C336" s="5" t="str">
        <f>IFERROR(__xludf.DUMMYFUNCTION("""COMPUTED_VALUE"""),"")</f>
        <v/>
      </c>
      <c r="D336" s="5" t="str">
        <f>IFERROR(__xludf.DUMMYFUNCTION("""COMPUTED_VALUE"""),"")</f>
        <v/>
      </c>
      <c r="E336" s="5" t="str">
        <f>IFERROR(__xludf.DUMMYFUNCTION("""COMPUTED_VALUE"""),"")</f>
        <v/>
      </c>
      <c r="F336" s="5" t="str">
        <f>IFERROR(__xludf.DUMMYFUNCTION("""COMPUTED_VALUE"""),"")</f>
        <v/>
      </c>
      <c r="G336" s="19" t="str">
        <f>IFERROR(__xludf.DUMMYFUNCTION("""COMPUTED_VALUE"""),"")</f>
        <v/>
      </c>
      <c r="H336" s="19" t="str">
        <f>IFERROR(__xludf.DUMMYFUNCTION("""COMPUTED_VALUE"""),"")</f>
        <v/>
      </c>
      <c r="I336" s="62" t="str">
        <f>IFERROR(__xludf.DUMMYFUNCTION("""COMPUTED_VALUE"""),"")</f>
        <v/>
      </c>
      <c r="J336" s="19" t="str">
        <f>IFERROR(__xludf.DUMMYFUNCTION("""COMPUTED_VALUE"""),"")</f>
        <v/>
      </c>
    </row>
    <row r="337">
      <c r="A337" s="19" t="str">
        <f>IFERROR(__xludf.DUMMYFUNCTION("""COMPUTED_VALUE"""),"Andy Nye")</f>
        <v>Andy Nye</v>
      </c>
      <c r="B337" s="19" t="str">
        <f>IFERROR(__xludf.DUMMYFUNCTION("""COMPUTED_VALUE"""),"WA")</f>
        <v>WA</v>
      </c>
      <c r="C337" s="5">
        <f>IFERROR(__xludf.DUMMYFUNCTION("""COMPUTED_VALUE"""),6012.0)</f>
        <v>6012</v>
      </c>
      <c r="D337" s="5"/>
      <c r="E337" s="25">
        <f>IFERROR(__xludf.DUMMYFUNCTION("""COMPUTED_VALUE"""),45876.0)</f>
        <v>45876</v>
      </c>
      <c r="F337" s="5" t="str">
        <f>IFERROR(__xludf.DUMMYFUNCTION("""COMPUTED_VALUE"""),"Free")</f>
        <v>Free</v>
      </c>
      <c r="G337" s="19" t="str">
        <f>IFERROR(__xludf.DUMMYFUNCTION("""COMPUTED_VALUE"""),"Instant Forms")</f>
        <v>Instant Forms</v>
      </c>
      <c r="H337" s="19"/>
      <c r="I337" s="62"/>
      <c r="J337" s="19"/>
    </row>
    <row r="338">
      <c r="A338" s="19" t="str">
        <f>IFERROR(__xludf.DUMMYFUNCTION("""COMPUTED_VALUE"""),"Andy Nye")</f>
        <v>Andy Nye</v>
      </c>
      <c r="B338" s="19" t="str">
        <f>IFERROR(__xludf.DUMMYFUNCTION("""COMPUTED_VALUE"""),"WA")</f>
        <v>WA</v>
      </c>
      <c r="C338" s="5" t="str">
        <f>IFERROR(__xludf.DUMMYFUNCTION("""COMPUTED_VALUE"""),"Nedlands")</f>
        <v>Nedlands</v>
      </c>
      <c r="D338" s="5" t="str">
        <f>IFERROR(__xludf.DUMMYFUNCTION("""COMPUTED_VALUE"""),"41 Napier Street Nedlands WA 6009")</f>
        <v>41 Napier Street Nedlands WA 6009</v>
      </c>
      <c r="E338" s="25">
        <f>IFERROR(__xludf.DUMMYFUNCTION("""COMPUTED_VALUE"""),45877.0)</f>
        <v>45877</v>
      </c>
      <c r="F338" s="5" t="str">
        <f>IFERROR(__xludf.DUMMYFUNCTION("""COMPUTED_VALUE"""),"Featured")</f>
        <v>Featured</v>
      </c>
      <c r="G338" s="19" t="str">
        <f>IFERROR(__xludf.DUMMYFUNCTION("""COMPUTED_VALUE"""),"Instant Forms")</f>
        <v>Instant Forms</v>
      </c>
      <c r="H338" s="19"/>
      <c r="I338" s="62"/>
      <c r="J338" s="19"/>
    </row>
    <row r="339">
      <c r="A339" s="19" t="str">
        <f>IFERROR(__xludf.DUMMYFUNCTION("""COMPUTED_VALUE"""),"Andy Nye")</f>
        <v>Andy Nye</v>
      </c>
      <c r="B339" s="19" t="str">
        <f>IFERROR(__xludf.DUMMYFUNCTION("""COMPUTED_VALUE"""),"WA")</f>
        <v>WA</v>
      </c>
      <c r="C339" s="5" t="str">
        <f>IFERROR(__xludf.DUMMYFUNCTION("""COMPUTED_VALUE"""),"Nedlands")</f>
        <v>Nedlands</v>
      </c>
      <c r="D339" s="5" t="str">
        <f>IFERROR(__xludf.DUMMYFUNCTION("""COMPUTED_VALUE"""),"38 Bulimba Road Nedlands WA 6009")</f>
        <v>38 Bulimba Road Nedlands WA 6009</v>
      </c>
      <c r="E339" s="25">
        <f>IFERROR(__xludf.DUMMYFUNCTION("""COMPUTED_VALUE"""),45881.0)</f>
        <v>45881</v>
      </c>
      <c r="F339" s="5" t="str">
        <f>IFERROR(__xludf.DUMMYFUNCTION("""COMPUTED_VALUE"""),"Featured")</f>
        <v>Featured</v>
      </c>
      <c r="G339" s="19" t="str">
        <f>IFERROR(__xludf.DUMMYFUNCTION("""COMPUTED_VALUE"""),"Instant Forms")</f>
        <v>Instant Forms</v>
      </c>
      <c r="H339" s="19"/>
      <c r="I339" s="62"/>
      <c r="J339" s="19"/>
    </row>
    <row r="340">
      <c r="A340" s="19" t="str">
        <f>IFERROR(__xludf.DUMMYFUNCTION("""COMPUTED_VALUE"""),"Andy Nye")</f>
        <v>Andy Nye</v>
      </c>
      <c r="B340" s="19" t="str">
        <f>IFERROR(__xludf.DUMMYFUNCTION("""COMPUTED_VALUE"""),"WA")</f>
        <v>WA</v>
      </c>
      <c r="C340" s="5" t="str">
        <f>IFERROR(__xludf.DUMMYFUNCTION("""COMPUTED_VALUE"""),"Mosman Park")</f>
        <v>Mosman Park</v>
      </c>
      <c r="D340" s="5" t="str">
        <f>IFERROR(__xludf.DUMMYFUNCTION("""COMPUTED_VALUE"""),"1B McEwan Crescent Mosman Park WA 6012")</f>
        <v>1B McEwan Crescent Mosman Park WA 6012</v>
      </c>
      <c r="E340" s="25">
        <f>IFERROR(__xludf.DUMMYFUNCTION("""COMPUTED_VALUE"""),45881.0)</f>
        <v>45881</v>
      </c>
      <c r="F340" s="5" t="str">
        <f>IFERROR(__xludf.DUMMYFUNCTION("""COMPUTED_VALUE"""),"Featured")</f>
        <v>Featured</v>
      </c>
      <c r="G340" s="19" t="str">
        <f>IFERROR(__xludf.DUMMYFUNCTION("""COMPUTED_VALUE"""),"Instant Forms")</f>
        <v>Instant Forms</v>
      </c>
      <c r="H340" s="19"/>
      <c r="I340" s="62"/>
      <c r="J340" s="19"/>
    </row>
    <row r="341">
      <c r="A341" s="19" t="str">
        <f>IFERROR(__xludf.DUMMYFUNCTION("""COMPUTED_VALUE"""),"Andy Nye")</f>
        <v>Andy Nye</v>
      </c>
      <c r="B341" s="19" t="str">
        <f>IFERROR(__xludf.DUMMYFUNCTION("""COMPUTED_VALUE"""),"WA")</f>
        <v>WA</v>
      </c>
      <c r="C341" s="5" t="str">
        <f>IFERROR(__xludf.DUMMYFUNCTION("""COMPUTED_VALUE"""),"Mount Pleasant")</f>
        <v>Mount Pleasant</v>
      </c>
      <c r="D341" s="5" t="str">
        <f>IFERROR(__xludf.DUMMYFUNCTION("""COMPUTED_VALUE"""),"19A Bateman Road Mount Pleasant WA 6153")</f>
        <v>19A Bateman Road Mount Pleasant WA 6153</v>
      </c>
      <c r="E341" s="25">
        <f>IFERROR(__xludf.DUMMYFUNCTION("""COMPUTED_VALUE"""),45887.0)</f>
        <v>45887</v>
      </c>
      <c r="F341" s="5" t="str">
        <f>IFERROR(__xludf.DUMMYFUNCTION("""COMPUTED_VALUE"""),"Featured")</f>
        <v>Featured</v>
      </c>
      <c r="G341" s="19" t="str">
        <f>IFERROR(__xludf.DUMMYFUNCTION("""COMPUTED_VALUE"""),"Instant Forms")</f>
        <v>Instant Forms</v>
      </c>
      <c r="H341" s="19"/>
      <c r="I341" s="62"/>
      <c r="J341" s="19"/>
    </row>
    <row r="342">
      <c r="A342" s="19" t="str">
        <f>IFERROR(__xludf.DUMMYFUNCTION("""COMPUTED_VALUE"""),"Andy Nye")</f>
        <v>Andy Nye</v>
      </c>
      <c r="B342" s="19" t="str">
        <f>IFERROR(__xludf.DUMMYFUNCTION("""COMPUTED_VALUE"""),"WA")</f>
        <v>WA</v>
      </c>
      <c r="C342" s="5" t="str">
        <f>IFERROR(__xludf.DUMMYFUNCTION("""COMPUTED_VALUE"""),"VICTORIA PARK")</f>
        <v>VICTORIA PARK</v>
      </c>
      <c r="D342" s="5" t="str">
        <f>IFERROR(__xludf.DUMMYFUNCTION("""COMPUTED_VALUE"""),"Unit 4  64 Sunbury Road VICTORIA PARK WA 6100")</f>
        <v>Unit 4  64 Sunbury Road VICTORIA PARK WA 6100</v>
      </c>
      <c r="E342" s="25">
        <f>IFERROR(__xludf.DUMMYFUNCTION("""COMPUTED_VALUE"""),45888.0)</f>
        <v>45888</v>
      </c>
      <c r="F342" s="5" t="str">
        <f>IFERROR(__xludf.DUMMYFUNCTION("""COMPUTED_VALUE"""),"Featured")</f>
        <v>Featured</v>
      </c>
      <c r="G342" s="19" t="str">
        <f>IFERROR(__xludf.DUMMYFUNCTION("""COMPUTED_VALUE"""),"Instant Forms")</f>
        <v>Instant Forms</v>
      </c>
      <c r="H342" s="19"/>
      <c r="I342" s="62"/>
      <c r="J342" s="19"/>
    </row>
    <row r="343">
      <c r="A343" s="19" t="str">
        <f>IFERROR(__xludf.DUMMYFUNCTION("""COMPUTED_VALUE"""),"Andy Nye")</f>
        <v>Andy Nye</v>
      </c>
      <c r="B343" s="19" t="str">
        <f>IFERROR(__xludf.DUMMYFUNCTION("""COMPUTED_VALUE"""),"WA")</f>
        <v>WA</v>
      </c>
      <c r="C343" s="5" t="str">
        <f>IFERROR(__xludf.DUMMYFUNCTION("""COMPUTED_VALUE"""),"Subiaco")</f>
        <v>Subiaco</v>
      </c>
      <c r="D343" s="5" t="str">
        <f>IFERROR(__xludf.DUMMYFUNCTION("""COMPUTED_VALUE"""),"1 Metters Lane Subiaco WA 6008")</f>
        <v>1 Metters Lane Subiaco WA 6008</v>
      </c>
      <c r="E343" s="25">
        <f>IFERROR(__xludf.DUMMYFUNCTION("""COMPUTED_VALUE"""),45905.0)</f>
        <v>45905</v>
      </c>
      <c r="F343" s="5" t="str">
        <f>IFERROR(__xludf.DUMMYFUNCTION("""COMPUTED_VALUE"""),"Featured")</f>
        <v>Featured</v>
      </c>
      <c r="G343" s="19" t="str">
        <f>IFERROR(__xludf.DUMMYFUNCTION("""COMPUTED_VALUE"""),"Instant Forms")</f>
        <v>Instant Forms</v>
      </c>
      <c r="H343" s="19"/>
      <c r="I343" s="62"/>
      <c r="J343" s="19"/>
    </row>
    <row r="344">
      <c r="A344" s="19" t="str">
        <f>IFERROR(__xludf.DUMMYFUNCTION("""COMPUTED_VALUE"""),"Andy Nye")</f>
        <v>Andy Nye</v>
      </c>
      <c r="B344" s="19" t="str">
        <f>IFERROR(__xludf.DUMMYFUNCTION("""COMPUTED_VALUE"""),"WA")</f>
        <v>WA</v>
      </c>
      <c r="C344" s="5" t="str">
        <f>IFERROR(__xludf.DUMMYFUNCTION("""COMPUTED_VALUE"""),"swanbourne")</f>
        <v>swanbourne</v>
      </c>
      <c r="D344" s="5" t="str">
        <f>IFERROR(__xludf.DUMMYFUNCTION("""COMPUTED_VALUE"""),"152B Alfred Road Swanbourne WA 6010")</f>
        <v>152B Alfred Road Swanbourne WA 6010</v>
      </c>
      <c r="E344" s="25">
        <f>IFERROR(__xludf.DUMMYFUNCTION("""COMPUTED_VALUE"""),45910.0)</f>
        <v>45910</v>
      </c>
      <c r="F344" s="5">
        <f>IFERROR(__xludf.DUMMYFUNCTION("""COMPUTED_VALUE"""),7.0)</f>
        <v>7</v>
      </c>
      <c r="G344" s="19" t="str">
        <f>IFERROR(__xludf.DUMMYFUNCTION("""COMPUTED_VALUE"""),"Instant Forms")</f>
        <v>Instant Forms</v>
      </c>
      <c r="H344" s="19" t="str">
        <f>IFERROR(__xludf.DUMMYFUNCTION("""COMPUTED_VALUE"""),"Forbes Chesterman")</f>
        <v>Forbes Chesterman</v>
      </c>
      <c r="I344" s="62"/>
      <c r="J344" s="19"/>
    </row>
    <row r="345">
      <c r="A345" s="19" t="str">
        <f>IFERROR(__xludf.DUMMYFUNCTION("""COMPUTED_VALUE"""),"Andy Nye")</f>
        <v>Andy Nye</v>
      </c>
      <c r="B345" s="19" t="str">
        <f>IFERROR(__xludf.DUMMYFUNCTION("""COMPUTED_VALUE"""),"WA")</f>
        <v>WA</v>
      </c>
      <c r="C345" s="5" t="str">
        <f>IFERROR(__xludf.DUMMYFUNCTION("""COMPUTED_VALUE"""),"Mount Claremont")</f>
        <v>Mount Claremont</v>
      </c>
      <c r="D345" s="5" t="str">
        <f>IFERROR(__xludf.DUMMYFUNCTION("""COMPUTED_VALUE"""),"13 Bentley Close Mount Claremont WA 6010")</f>
        <v>13 Bentley Close Mount Claremont WA 6010</v>
      </c>
      <c r="E345" s="25">
        <f>IFERROR(__xludf.DUMMYFUNCTION("""COMPUTED_VALUE"""),45919.0)</f>
        <v>45919</v>
      </c>
      <c r="F345" s="5">
        <f>IFERROR(__xludf.DUMMYFUNCTION("""COMPUTED_VALUE"""),6.0)</f>
        <v>6</v>
      </c>
      <c r="G345" s="19" t="str">
        <f>IFERROR(__xludf.DUMMYFUNCTION("""COMPUTED_VALUE"""),"Instant Forms")</f>
        <v>Instant Forms</v>
      </c>
      <c r="H345" s="19" t="str">
        <f>IFERROR(__xludf.DUMMYFUNCTION("""COMPUTED_VALUE"""),"Stephanie Knell")</f>
        <v>Stephanie Knell</v>
      </c>
      <c r="I345" s="62"/>
      <c r="J345" s="19"/>
    </row>
    <row r="346">
      <c r="A346" s="19" t="str">
        <f>IFERROR(__xludf.DUMMYFUNCTION("""COMPUTED_VALUE"""),"Andy Nye")</f>
        <v>Andy Nye</v>
      </c>
      <c r="B346" s="19" t="str">
        <f>IFERROR(__xludf.DUMMYFUNCTION("""COMPUTED_VALUE"""),"WA")</f>
        <v>WA</v>
      </c>
      <c r="C346" s="5" t="str">
        <f>IFERROR(__xludf.DUMMYFUNCTION("""COMPUTED_VALUE"""),"Trigg")</f>
        <v>Trigg</v>
      </c>
      <c r="D346" s="5" t="str">
        <f>IFERROR(__xludf.DUMMYFUNCTION("""COMPUTED_VALUE"""),"41 Bailey Street, Trigg, WA, 6029, Australia")</f>
        <v>41 Bailey Street, Trigg, WA, 6029, Australia</v>
      </c>
      <c r="E346" s="25">
        <f>IFERROR(__xludf.DUMMYFUNCTION("""COMPUTED_VALUE"""),45922.0)</f>
        <v>45922</v>
      </c>
      <c r="F346" s="5" t="str">
        <f>IFERROR(__xludf.DUMMYFUNCTION("""COMPUTED_VALUE"""),"Featured")</f>
        <v>Featured</v>
      </c>
      <c r="G346" s="19" t="str">
        <f>IFERROR(__xludf.DUMMYFUNCTION("""COMPUTED_VALUE"""),"Commission Comparison")</f>
        <v>Commission Comparison</v>
      </c>
      <c r="H346" s="19"/>
      <c r="I346" s="62"/>
      <c r="J346" s="19"/>
    </row>
    <row r="347">
      <c r="A347" s="19" t="str">
        <f>IFERROR(__xludf.DUMMYFUNCTION("""COMPUTED_VALUE"""),"Andy Nye")</f>
        <v>Andy Nye</v>
      </c>
      <c r="B347" s="19" t="str">
        <f>IFERROR(__xludf.DUMMYFUNCTION("""COMPUTED_VALUE"""),"WA")</f>
        <v>WA</v>
      </c>
      <c r="C347" s="5" t="str">
        <f>IFERROR(__xludf.DUMMYFUNCTION("""COMPUTED_VALUE"""),"wembley")</f>
        <v>wembley</v>
      </c>
      <c r="D347" s="5" t="str">
        <f>IFERROR(__xludf.DUMMYFUNCTION("""COMPUTED_VALUE"""),"11/237 Cambridge Street Wembley WA 6014")</f>
        <v>11/237 Cambridge Street Wembley WA 6014</v>
      </c>
      <c r="E347" s="25">
        <f>IFERROR(__xludf.DUMMYFUNCTION("""COMPUTED_VALUE"""),45922.0)</f>
        <v>45922</v>
      </c>
      <c r="F347" s="5">
        <f>IFERROR(__xludf.DUMMYFUNCTION("""COMPUTED_VALUE"""),8.0)</f>
        <v>8</v>
      </c>
      <c r="G347" s="19" t="str">
        <f>IFERROR(__xludf.DUMMYFUNCTION("""COMPUTED_VALUE"""),"Instant Forms")</f>
        <v>Instant Forms</v>
      </c>
      <c r="H347" s="19" t="str">
        <f>IFERROR(__xludf.DUMMYFUNCTION("""COMPUTED_VALUE"""),"Pad Bennett")</f>
        <v>Pad Bennett</v>
      </c>
      <c r="I347" s="62"/>
      <c r="J347" s="19"/>
    </row>
    <row r="348">
      <c r="A348" s="19" t="str">
        <f>IFERROR(__xludf.DUMMYFUNCTION("""COMPUTED_VALUE"""),"Andy Nye")</f>
        <v>Andy Nye</v>
      </c>
      <c r="B348" s="19" t="str">
        <f>IFERROR(__xludf.DUMMYFUNCTION("""COMPUTED_VALUE"""),"WA")</f>
        <v>WA</v>
      </c>
      <c r="C348" s="5" t="str">
        <f>IFERROR(__xludf.DUMMYFUNCTION("""COMPUTED_VALUE"""),"Mount Hawthorn")</f>
        <v>Mount Hawthorn</v>
      </c>
      <c r="D348" s="5" t="str">
        <f>IFERROR(__xludf.DUMMYFUNCTION("""COMPUTED_VALUE"""),"18 The Boulevarde Mount Hawthorn WA 6016")</f>
        <v>18 The Boulevarde Mount Hawthorn WA 6016</v>
      </c>
      <c r="E348" s="25">
        <f>IFERROR(__xludf.DUMMYFUNCTION("""COMPUTED_VALUE"""),45923.0)</f>
        <v>45923</v>
      </c>
      <c r="F348" s="5">
        <f>IFERROR(__xludf.DUMMYFUNCTION("""COMPUTED_VALUE"""),6.0)</f>
        <v>6</v>
      </c>
      <c r="G348" s="19" t="str">
        <f>IFERROR(__xludf.DUMMYFUNCTION("""COMPUTED_VALUE"""),"Instant Forms")</f>
        <v>Instant Forms</v>
      </c>
      <c r="H348" s="19" t="str">
        <f>IFERROR(__xludf.DUMMYFUNCTION("""COMPUTED_VALUE"""),"Jane Shanahan")</f>
        <v>Jane Shanahan</v>
      </c>
      <c r="I348" s="62"/>
      <c r="J348" s="19"/>
    </row>
    <row r="349">
      <c r="A349" s="19" t="str">
        <f>IFERROR(__xludf.DUMMYFUNCTION("""COMPUTED_VALUE"""),"")</f>
        <v/>
      </c>
      <c r="B349" s="19" t="str">
        <f>IFERROR(__xludf.DUMMYFUNCTION("""COMPUTED_VALUE"""),"")</f>
        <v/>
      </c>
      <c r="C349" s="5" t="str">
        <f>IFERROR(__xludf.DUMMYFUNCTION("""COMPUTED_VALUE"""),"")</f>
        <v/>
      </c>
      <c r="D349" s="5" t="str">
        <f>IFERROR(__xludf.DUMMYFUNCTION("""COMPUTED_VALUE"""),"")</f>
        <v/>
      </c>
      <c r="E349" s="5" t="str">
        <f>IFERROR(__xludf.DUMMYFUNCTION("""COMPUTED_VALUE"""),"")</f>
        <v/>
      </c>
      <c r="F349" s="5" t="str">
        <f>IFERROR(__xludf.DUMMYFUNCTION("""COMPUTED_VALUE"""),"")</f>
        <v/>
      </c>
      <c r="G349" s="19" t="str">
        <f>IFERROR(__xludf.DUMMYFUNCTION("""COMPUTED_VALUE"""),"")</f>
        <v/>
      </c>
      <c r="H349" s="19" t="str">
        <f>IFERROR(__xludf.DUMMYFUNCTION("""COMPUTED_VALUE"""),"")</f>
        <v/>
      </c>
      <c r="I349" s="62" t="str">
        <f>IFERROR(__xludf.DUMMYFUNCTION("""COMPUTED_VALUE"""),"")</f>
        <v/>
      </c>
      <c r="J349" s="19" t="str">
        <f>IFERROR(__xludf.DUMMYFUNCTION("""COMPUTED_VALUE"""),"")</f>
        <v/>
      </c>
    </row>
    <row r="350">
      <c r="A350" s="19" t="str">
        <f>IFERROR(__xludf.DUMMYFUNCTION("""COMPUTED_VALUE"""),"")</f>
        <v/>
      </c>
      <c r="B350" s="19" t="str">
        <f>IFERROR(__xludf.DUMMYFUNCTION("""COMPUTED_VALUE"""),"")</f>
        <v/>
      </c>
      <c r="C350" s="5" t="str">
        <f>IFERROR(__xludf.DUMMYFUNCTION("""COMPUTED_VALUE"""),"")</f>
        <v/>
      </c>
      <c r="D350" s="5" t="str">
        <f>IFERROR(__xludf.DUMMYFUNCTION("""COMPUTED_VALUE"""),"")</f>
        <v/>
      </c>
      <c r="E350" s="5" t="str">
        <f>IFERROR(__xludf.DUMMYFUNCTION("""COMPUTED_VALUE"""),"")</f>
        <v/>
      </c>
      <c r="F350" s="5" t="str">
        <f>IFERROR(__xludf.DUMMYFUNCTION("""COMPUTED_VALUE"""),"")</f>
        <v/>
      </c>
      <c r="G350" s="19" t="str">
        <f>IFERROR(__xludf.DUMMYFUNCTION("""COMPUTED_VALUE"""),"")</f>
        <v/>
      </c>
      <c r="H350" s="19" t="str">
        <f>IFERROR(__xludf.DUMMYFUNCTION("""COMPUTED_VALUE"""),"")</f>
        <v/>
      </c>
      <c r="I350" s="62" t="str">
        <f>IFERROR(__xludf.DUMMYFUNCTION("""COMPUTED_VALUE"""),"")</f>
        <v/>
      </c>
      <c r="J350" s="19" t="str">
        <f>IFERROR(__xludf.DUMMYFUNCTION("""COMPUTED_VALUE"""),"")</f>
        <v/>
      </c>
    </row>
    <row r="351">
      <c r="A351" s="19" t="str">
        <f>IFERROR(__xludf.DUMMYFUNCTION("""COMPUTED_VALUE"""),"Anne Alexander")</f>
        <v>Anne Alexander</v>
      </c>
      <c r="B351" s="19" t="str">
        <f>IFERROR(__xludf.DUMMYFUNCTION("""COMPUTED_VALUE"""),"NSW")</f>
        <v>NSW</v>
      </c>
      <c r="C351" s="5" t="str">
        <f>IFERROR(__xludf.DUMMYFUNCTION("""COMPUTED_VALUE"""),"Wickham")</f>
        <v>Wickham</v>
      </c>
      <c r="D351" s="5" t="str">
        <f>IFERROR(__xludf.DUMMYFUNCTION("""COMPUTED_VALUE"""),"46 Fleming Street, Wickham, NSW, 2293, Australia")</f>
        <v>46 Fleming Street, Wickham, NSW, 2293, Australia</v>
      </c>
      <c r="E351" s="5" t="str">
        <f>IFERROR(__xludf.DUMMYFUNCTION("""COMPUTED_VALUE"""),"27/11/2025")</f>
        <v>27/11/2025</v>
      </c>
      <c r="F351" s="64">
        <f>IFERROR(__xludf.DUMMYFUNCTION("""COMPUTED_VALUE"""),0.2)</f>
        <v>0.2</v>
      </c>
      <c r="G351" s="19" t="str">
        <f>IFERROR(__xludf.DUMMYFUNCTION("""COMPUTED_VALUE"""),"Commission Comparison")</f>
        <v>Commission Comparison</v>
      </c>
      <c r="H351" s="19" t="str">
        <f>IFERROR(__xludf.DUMMYFUNCTION("""COMPUTED_VALUE"""),"Tim Ayres")</f>
        <v>Tim Ayres</v>
      </c>
      <c r="I351" s="62">
        <f>IFERROR(__xludf.DUMMYFUNCTION("""COMPUTED_VALUE"""),6.10404388709E11)</f>
        <v>610404388709</v>
      </c>
      <c r="J351" s="19" t="str">
        <f>IFERROR(__xludf.DUMMYFUNCTION("""COMPUTED_VALUE"""),"ayres_tim@hotmail.com")</f>
        <v>ayres_tim@hotmail.com</v>
      </c>
    </row>
    <row r="352">
      <c r="A352" s="19" t="str">
        <f>IFERROR(__xludf.DUMMYFUNCTION("""COMPUTED_VALUE"""),"Anne Alexander")</f>
        <v>Anne Alexander</v>
      </c>
      <c r="B352" s="19" t="str">
        <f>IFERROR(__xludf.DUMMYFUNCTION("""COMPUTED_VALUE"""),"NSW")</f>
        <v>NSW</v>
      </c>
      <c r="C352" s="5" t="str">
        <f>IFERROR(__xludf.DUMMYFUNCTION("""COMPUTED_VALUE"""),"Cardiff South")</f>
        <v>Cardiff South</v>
      </c>
      <c r="D352" s="5" t="str">
        <f>IFERROR(__xludf.DUMMYFUNCTION("""COMPUTED_VALUE"""),"22 Almora close")</f>
        <v>22 Almora close</v>
      </c>
      <c r="E352" s="27">
        <f>IFERROR(__xludf.DUMMYFUNCTION("""COMPUTED_VALUE"""),45669.0)</f>
        <v>45669</v>
      </c>
      <c r="F352" s="64">
        <f>IFERROR(__xludf.DUMMYFUNCTION("""COMPUTED_VALUE"""),0.2)</f>
        <v>0.2</v>
      </c>
      <c r="G352" s="19" t="str">
        <f>IFERROR(__xludf.DUMMYFUNCTION("""COMPUTED_VALUE"""),"Commission Comparison")</f>
        <v>Commission Comparison</v>
      </c>
      <c r="H352" s="19" t="str">
        <f>IFERROR(__xludf.DUMMYFUNCTION("""COMPUTED_VALUE"""),"Steve Taylor")</f>
        <v>Steve Taylor</v>
      </c>
      <c r="I352" s="62">
        <f>IFERROR(__xludf.DUMMYFUNCTION("""COMPUTED_VALUE"""),6.1427777083E10)</f>
        <v>61427777083</v>
      </c>
      <c r="J352" s="19" t="str">
        <f>IFERROR(__xludf.DUMMYFUNCTION("""COMPUTED_VALUE"""),"Stfish59@gmail.com")</f>
        <v>Stfish59@gmail.com</v>
      </c>
    </row>
    <row r="353">
      <c r="A353" s="19" t="str">
        <f>IFERROR(__xludf.DUMMYFUNCTION("""COMPUTED_VALUE"""),"Anne Alexander")</f>
        <v>Anne Alexander</v>
      </c>
      <c r="B353" s="19" t="str">
        <f>IFERROR(__xludf.DUMMYFUNCTION("""COMPUTED_VALUE"""),"NSW")</f>
        <v>NSW</v>
      </c>
      <c r="C353" s="5" t="str">
        <f>IFERROR(__xludf.DUMMYFUNCTION("""COMPUTED_VALUE"""),"Hillsborough")</f>
        <v>Hillsborough</v>
      </c>
      <c r="D353" s="5" t="str">
        <f>IFERROR(__xludf.DUMMYFUNCTION("""COMPUTED_VALUE"""),"35 Higham Road Hillsborough NSW 2290")</f>
        <v>35 Higham Road Hillsborough NSW 2290</v>
      </c>
      <c r="E353" s="27">
        <f>IFERROR(__xludf.DUMMYFUNCTION("""COMPUTED_VALUE"""),45669.0)</f>
        <v>45669</v>
      </c>
      <c r="F353" s="64">
        <f>IFERROR(__xludf.DUMMYFUNCTION("""COMPUTED_VALUE"""),0.2)</f>
        <v>0.2</v>
      </c>
      <c r="G353" s="19" t="str">
        <f>IFERROR(__xludf.DUMMYFUNCTION("""COMPUTED_VALUE"""),"Commission Comparison")</f>
        <v>Commission Comparison</v>
      </c>
      <c r="H353" s="19" t="str">
        <f>IFERROR(__xludf.DUMMYFUNCTION("""COMPUTED_VALUE"""),"Vicki Smith")</f>
        <v>Vicki Smith</v>
      </c>
      <c r="I353" s="62">
        <f>IFERROR(__xludf.DUMMYFUNCTION("""COMPUTED_VALUE"""),6.140220486E10)</f>
        <v>61402204860</v>
      </c>
      <c r="J353" s="19" t="str">
        <f>IFERROR(__xludf.DUMMYFUNCTION("""COMPUTED_VALUE"""),"vic.star67@hotmail.com")</f>
        <v>vic.star67@hotmail.com</v>
      </c>
    </row>
    <row r="354">
      <c r="A354" s="19" t="str">
        <f>IFERROR(__xludf.DUMMYFUNCTION("""COMPUTED_VALUE"""),"Anne Alexander")</f>
        <v>Anne Alexander</v>
      </c>
      <c r="B354" s="19" t="str">
        <f>IFERROR(__xludf.DUMMYFUNCTION("""COMPUTED_VALUE"""),"NSW")</f>
        <v>NSW</v>
      </c>
      <c r="C354" s="5" t="str">
        <f>IFERROR(__xludf.DUMMYFUNCTION("""COMPUTED_VALUE"""),"Highfields")</f>
        <v>Highfields</v>
      </c>
      <c r="D354" s="5" t="str">
        <f>IFERROR(__xludf.DUMMYFUNCTION("""COMPUTED_VALUE"""),"33 Highfields Pde Highfields, Highfields, 2289")</f>
        <v>33 Highfields Pde Highfields, Highfields, 2289</v>
      </c>
      <c r="E354" s="27">
        <f>IFERROR(__xludf.DUMMYFUNCTION("""COMPUTED_VALUE"""),45789.0)</f>
        <v>45789</v>
      </c>
      <c r="F354" s="64">
        <f>IFERROR(__xludf.DUMMYFUNCTION("""COMPUTED_VALUE"""),0.2)</f>
        <v>0.2</v>
      </c>
      <c r="G354" s="19" t="str">
        <f>IFERROR(__xludf.DUMMYFUNCTION("""COMPUTED_VALUE"""),"Meta Commission Report")</f>
        <v>Meta Commission Report</v>
      </c>
      <c r="H354" s="19" t="str">
        <f>IFERROR(__xludf.DUMMYFUNCTION("""COMPUTED_VALUE"""),"Richard Stock")</f>
        <v>Richard Stock</v>
      </c>
      <c r="I354" s="62">
        <f>IFERROR(__xludf.DUMMYFUNCTION("""COMPUTED_VALUE"""),6.1402788969E10)</f>
        <v>61402788969</v>
      </c>
      <c r="J354" s="19" t="str">
        <f>IFERROR(__xludf.DUMMYFUNCTION("""COMPUTED_VALUE"""),"stockrichard86@gmail.com")</f>
        <v>stockrichard86@gmail.com</v>
      </c>
    </row>
    <row r="355">
      <c r="A355" s="19" t="str">
        <f>IFERROR(__xludf.DUMMYFUNCTION("""COMPUTED_VALUE"""),"Anne Alexander")</f>
        <v>Anne Alexander</v>
      </c>
      <c r="B355" s="19" t="str">
        <f>IFERROR(__xludf.DUMMYFUNCTION("""COMPUTED_VALUE"""),"NSW")</f>
        <v>NSW</v>
      </c>
      <c r="C355" s="5" t="str">
        <f>IFERROR(__xludf.DUMMYFUNCTION("""COMPUTED_VALUE"""),"Highfields")</f>
        <v>Highfields</v>
      </c>
      <c r="D355" s="5" t="str">
        <f>IFERROR(__xludf.DUMMYFUNCTION("""COMPUTED_VALUE"""),"14 Margaret Street Highfields NSW 2289")</f>
        <v>14 Margaret Street Highfields NSW 2289</v>
      </c>
      <c r="E355" s="27">
        <f>IFERROR(__xludf.DUMMYFUNCTION("""COMPUTED_VALUE"""),45820.0)</f>
        <v>45820</v>
      </c>
      <c r="F355" s="64">
        <f>IFERROR(__xludf.DUMMYFUNCTION("""COMPUTED_VALUE"""),0.2)</f>
        <v>0.2</v>
      </c>
      <c r="G355" s="19" t="str">
        <f>IFERROR(__xludf.DUMMYFUNCTION("""COMPUTED_VALUE"""),"Instant Forms")</f>
        <v>Instant Forms</v>
      </c>
      <c r="H355" s="19" t="str">
        <f>IFERROR(__xludf.DUMMYFUNCTION("""COMPUTED_VALUE"""),"Maree McCarthy")</f>
        <v>Maree McCarthy</v>
      </c>
      <c r="I355" s="62">
        <f>IFERROR(__xludf.DUMMYFUNCTION("""COMPUTED_VALUE"""),6.1410405815E10)</f>
        <v>61410405815</v>
      </c>
      <c r="J355" s="19" t="str">
        <f>IFERROR(__xludf.DUMMYFUNCTION("""COMPUTED_VALUE"""),"dragons@naturesmagic.com.au")</f>
        <v>dragons@naturesmagic.com.au</v>
      </c>
    </row>
    <row r="356">
      <c r="A356" s="19" t="str">
        <f>IFERROR(__xludf.DUMMYFUNCTION("""COMPUTED_VALUE"""),"")</f>
        <v/>
      </c>
      <c r="B356" s="19" t="str">
        <f>IFERROR(__xludf.DUMMYFUNCTION("""COMPUTED_VALUE"""),"")</f>
        <v/>
      </c>
      <c r="C356" s="5" t="str">
        <f>IFERROR(__xludf.DUMMYFUNCTION("""COMPUTED_VALUE"""),"")</f>
        <v/>
      </c>
      <c r="D356" s="5" t="str">
        <f>IFERROR(__xludf.DUMMYFUNCTION("""COMPUTED_VALUE"""),"")</f>
        <v/>
      </c>
      <c r="E356" s="5" t="str">
        <f>IFERROR(__xludf.DUMMYFUNCTION("""COMPUTED_VALUE"""),"")</f>
        <v/>
      </c>
      <c r="F356" s="5" t="str">
        <f>IFERROR(__xludf.DUMMYFUNCTION("""COMPUTED_VALUE"""),"")</f>
        <v/>
      </c>
      <c r="G356" s="19" t="str">
        <f>IFERROR(__xludf.DUMMYFUNCTION("""COMPUTED_VALUE"""),"")</f>
        <v/>
      </c>
      <c r="H356" s="19" t="str">
        <f>IFERROR(__xludf.DUMMYFUNCTION("""COMPUTED_VALUE"""),"")</f>
        <v/>
      </c>
      <c r="I356" s="62" t="str">
        <f>IFERROR(__xludf.DUMMYFUNCTION("""COMPUTED_VALUE"""),"")</f>
        <v/>
      </c>
      <c r="J356" s="19" t="str">
        <f>IFERROR(__xludf.DUMMYFUNCTION("""COMPUTED_VALUE"""),"")</f>
        <v/>
      </c>
    </row>
    <row r="357">
      <c r="A357" s="19" t="str">
        <f>IFERROR(__xludf.DUMMYFUNCTION("""COMPUTED_VALUE"""),"")</f>
        <v/>
      </c>
      <c r="B357" s="19" t="str">
        <f>IFERROR(__xludf.DUMMYFUNCTION("""COMPUTED_VALUE"""),"")</f>
        <v/>
      </c>
      <c r="C357" s="5" t="str">
        <f>IFERROR(__xludf.DUMMYFUNCTION("""COMPUTED_VALUE"""),"")</f>
        <v/>
      </c>
      <c r="D357" s="5" t="str">
        <f>IFERROR(__xludf.DUMMYFUNCTION("""COMPUTED_VALUE"""),"")</f>
        <v/>
      </c>
      <c r="E357" s="5" t="str">
        <f>IFERROR(__xludf.DUMMYFUNCTION("""COMPUTED_VALUE"""),"")</f>
        <v/>
      </c>
      <c r="F357" s="5" t="str">
        <f>IFERROR(__xludf.DUMMYFUNCTION("""COMPUTED_VALUE"""),"")</f>
        <v/>
      </c>
      <c r="G357" s="19" t="str">
        <f>IFERROR(__xludf.DUMMYFUNCTION("""COMPUTED_VALUE"""),"")</f>
        <v/>
      </c>
      <c r="H357" s="19" t="str">
        <f>IFERROR(__xludf.DUMMYFUNCTION("""COMPUTED_VALUE"""),"")</f>
        <v/>
      </c>
      <c r="I357" s="62" t="str">
        <f>IFERROR(__xludf.DUMMYFUNCTION("""COMPUTED_VALUE"""),"")</f>
        <v/>
      </c>
      <c r="J357" s="19" t="str">
        <f>IFERROR(__xludf.DUMMYFUNCTION("""COMPUTED_VALUE"""),"")</f>
        <v/>
      </c>
    </row>
    <row r="358">
      <c r="A358" s="19" t="str">
        <f>IFERROR(__xludf.DUMMYFUNCTION("""COMPUTED_VALUE"""),"Ashleah Lucey")</f>
        <v>Ashleah Lucey</v>
      </c>
      <c r="B358" s="19" t="str">
        <f>IFERROR(__xludf.DUMMYFUNCTION("""COMPUTED_VALUE"""),"QLD")</f>
        <v>QLD</v>
      </c>
      <c r="C358" s="5" t="str">
        <f>IFERROR(__xludf.DUMMYFUNCTION("""COMPUTED_VALUE"""),"Redbank Plains")</f>
        <v>Redbank Plains</v>
      </c>
      <c r="D358" s="5"/>
      <c r="E358" s="63">
        <f>IFERROR(__xludf.DUMMYFUNCTION("""COMPUTED_VALUE"""),45665.0)</f>
        <v>45665</v>
      </c>
      <c r="F358" s="5" t="str">
        <f>IFERROR(__xludf.DUMMYFUNCTION("""COMPUTED_VALUE"""),"Featured")</f>
        <v>Featured</v>
      </c>
      <c r="G358" s="19" t="str">
        <f>IFERROR(__xludf.DUMMYFUNCTION("""COMPUTED_VALUE"""),"Instant Forms")</f>
        <v>Instant Forms</v>
      </c>
      <c r="H358" s="19"/>
      <c r="I358" s="62"/>
      <c r="J358" s="19"/>
    </row>
    <row r="359">
      <c r="A359" s="19" t="str">
        <f>IFERROR(__xludf.DUMMYFUNCTION("""COMPUTED_VALUE"""),"Ashleah Lucey")</f>
        <v>Ashleah Lucey</v>
      </c>
      <c r="B359" s="19" t="str">
        <f>IFERROR(__xludf.DUMMYFUNCTION("""COMPUTED_VALUE"""),"QLD")</f>
        <v>QLD</v>
      </c>
      <c r="C359" s="5">
        <f>IFERROR(__xludf.DUMMYFUNCTION("""COMPUTED_VALUE"""),4301.0)</f>
        <v>4301</v>
      </c>
      <c r="D359" s="5"/>
      <c r="E359" s="25">
        <f>IFERROR(__xludf.DUMMYFUNCTION("""COMPUTED_VALUE"""),45877.0)</f>
        <v>45877</v>
      </c>
      <c r="F359" s="5" t="str">
        <f>IFERROR(__xludf.DUMMYFUNCTION("""COMPUTED_VALUE"""),"Free")</f>
        <v>Free</v>
      </c>
      <c r="G359" s="19" t="str">
        <f>IFERROR(__xludf.DUMMYFUNCTION("""COMPUTED_VALUE"""),"Instant Forms")</f>
        <v>Instant Forms</v>
      </c>
      <c r="H359" s="19"/>
      <c r="I359" s="62"/>
      <c r="J359" s="19"/>
    </row>
    <row r="360">
      <c r="A360" s="19" t="str">
        <f>IFERROR(__xludf.DUMMYFUNCTION("""COMPUTED_VALUE"""),"Ashleah Lucey")</f>
        <v>Ashleah Lucey</v>
      </c>
      <c r="B360" s="19" t="str">
        <f>IFERROR(__xludf.DUMMYFUNCTION("""COMPUTED_VALUE"""),"QLD")</f>
        <v>QLD</v>
      </c>
      <c r="C360" s="5" t="str">
        <f>IFERROR(__xludf.DUMMYFUNCTION("""COMPUTED_VALUE"""),"Seventeen Mile Rocks")</f>
        <v>Seventeen Mile Rocks</v>
      </c>
      <c r="D360" s="5" t="str">
        <f>IFERROR(__xludf.DUMMYFUNCTION("""COMPUTED_VALUE"""),"61 Brookeside Crescent Seventeen Mile Rocks QLD 4073")</f>
        <v>61 Brookeside Crescent Seventeen Mile Rocks QLD 4073</v>
      </c>
      <c r="E360" s="25">
        <f>IFERROR(__xludf.DUMMYFUNCTION("""COMPUTED_VALUE"""),45889.0)</f>
        <v>45889</v>
      </c>
      <c r="F360" s="5" t="str">
        <f>IFERROR(__xludf.DUMMYFUNCTION("""COMPUTED_VALUE"""),"Featured")</f>
        <v>Featured</v>
      </c>
      <c r="G360" s="19" t="str">
        <f>IFERROR(__xludf.DUMMYFUNCTION("""COMPUTED_VALUE"""),"Instant Forms")</f>
        <v>Instant Forms</v>
      </c>
      <c r="H360" s="19"/>
      <c r="I360" s="62"/>
      <c r="J360" s="19"/>
    </row>
    <row r="361">
      <c r="A361" s="19" t="str">
        <f>IFERROR(__xludf.DUMMYFUNCTION("""COMPUTED_VALUE"""),"Ashleah Lucey")</f>
        <v>Ashleah Lucey</v>
      </c>
      <c r="B361" s="19" t="str">
        <f>IFERROR(__xludf.DUMMYFUNCTION("""COMPUTED_VALUE"""),"QLD")</f>
        <v>QLD</v>
      </c>
      <c r="C361" s="5" t="str">
        <f>IFERROR(__xludf.DUMMYFUNCTION("""COMPUTED_VALUE"""),"Chuwar")</f>
        <v>Chuwar</v>
      </c>
      <c r="D361" s="5" t="str">
        <f>IFERROR(__xludf.DUMMYFUNCTION("""COMPUTED_VALUE"""),"11/12 Taylor Street Biggera Waters QLD 4216 (Owns this property, but submitted under suburb Chuwar - likely another property there they own)")</f>
        <v>11/12 Taylor Street Biggera Waters QLD 4216 (Owns this property, but submitted under suburb Chuwar - likely another property there they own)</v>
      </c>
      <c r="E361" s="25">
        <f>IFERROR(__xludf.DUMMYFUNCTION("""COMPUTED_VALUE"""),45889.0)</f>
        <v>45889</v>
      </c>
      <c r="F361" s="5" t="str">
        <f>IFERROR(__xludf.DUMMYFUNCTION("""COMPUTED_VALUE"""),"Featured")</f>
        <v>Featured</v>
      </c>
      <c r="G361" s="19" t="str">
        <f>IFERROR(__xludf.DUMMYFUNCTION("""COMPUTED_VALUE"""),"Instant Forms")</f>
        <v>Instant Forms</v>
      </c>
      <c r="H361" s="19"/>
      <c r="I361" s="62"/>
      <c r="J361" s="19"/>
    </row>
    <row r="362">
      <c r="A362" s="19" t="str">
        <f>IFERROR(__xludf.DUMMYFUNCTION("""COMPUTED_VALUE"""),"Ashleah Lucey")</f>
        <v>Ashleah Lucey</v>
      </c>
      <c r="B362" s="19" t="str">
        <f>IFERROR(__xludf.DUMMYFUNCTION("""COMPUTED_VALUE"""),"QLD")</f>
        <v>QLD</v>
      </c>
      <c r="C362" s="5" t="str">
        <f>IFERROR(__xludf.DUMMYFUNCTION("""COMPUTED_VALUE"""),"Chuwar")</f>
        <v>Chuwar</v>
      </c>
      <c r="D362" s="5" t="str">
        <f>IFERROR(__xludf.DUMMYFUNCTION("""COMPUTED_VALUE"""),"201 Allawah Road Chuwar QLD 4306")</f>
        <v>201 Allawah Road Chuwar QLD 4306</v>
      </c>
      <c r="E362" s="25">
        <f>IFERROR(__xludf.DUMMYFUNCTION("""COMPUTED_VALUE"""),45889.0)</f>
        <v>45889</v>
      </c>
      <c r="F362" s="5" t="str">
        <f>IFERROR(__xludf.DUMMYFUNCTION("""COMPUTED_VALUE"""),"Featured")</f>
        <v>Featured</v>
      </c>
      <c r="G362" s="19" t="str">
        <f>IFERROR(__xludf.DUMMYFUNCTION("""COMPUTED_VALUE"""),"Instant Forms")</f>
        <v>Instant Forms</v>
      </c>
      <c r="H362" s="19"/>
      <c r="I362" s="62"/>
      <c r="J362" s="19"/>
    </row>
    <row r="363">
      <c r="A363" s="19" t="str">
        <f>IFERROR(__xludf.DUMMYFUNCTION("""COMPUTED_VALUE"""),"Ashleah Lucey")</f>
        <v>Ashleah Lucey</v>
      </c>
      <c r="B363" s="19" t="str">
        <f>IFERROR(__xludf.DUMMYFUNCTION("""COMPUTED_VALUE"""),"QLD")</f>
        <v>QLD</v>
      </c>
      <c r="C363" s="5" t="str">
        <f>IFERROR(__xludf.DUMMYFUNCTION("""COMPUTED_VALUE"""),"camira")</f>
        <v>camira</v>
      </c>
      <c r="D363" s="5"/>
      <c r="E363" s="25">
        <f>IFERROR(__xludf.DUMMYFUNCTION("""COMPUTED_VALUE"""),45890.0)</f>
        <v>45890</v>
      </c>
      <c r="F363" s="5" t="str">
        <f>IFERROR(__xludf.DUMMYFUNCTION("""COMPUTED_VALUE"""),"Featured")</f>
        <v>Featured</v>
      </c>
      <c r="G363" s="19" t="str">
        <f>IFERROR(__xludf.DUMMYFUNCTION("""COMPUTED_VALUE"""),"Instant Forms")</f>
        <v>Instant Forms</v>
      </c>
      <c r="H363" s="19"/>
      <c r="I363" s="62"/>
      <c r="J363" s="19"/>
    </row>
    <row r="364">
      <c r="A364" s="19" t="str">
        <f>IFERROR(__xludf.DUMMYFUNCTION("""COMPUTED_VALUE"""),"Ashleah Lucey")</f>
        <v>Ashleah Lucey</v>
      </c>
      <c r="B364" s="19" t="str">
        <f>IFERROR(__xludf.DUMMYFUNCTION("""COMPUTED_VALUE"""),"QLD")</f>
        <v>QLD</v>
      </c>
      <c r="C364" s="5" t="str">
        <f>IFERROR(__xludf.DUMMYFUNCTION("""COMPUTED_VALUE"""),"Forest Lake")</f>
        <v>Forest Lake</v>
      </c>
      <c r="D364" s="5" t="str">
        <f>IFERROR(__xludf.DUMMYFUNCTION("""COMPUTED_VALUE"""),"6 Lilydale Place Forest Lake QLD 4078")</f>
        <v>6 Lilydale Place Forest Lake QLD 4078</v>
      </c>
      <c r="E364" s="25">
        <f>IFERROR(__xludf.DUMMYFUNCTION("""COMPUTED_VALUE"""),45891.0)</f>
        <v>45891</v>
      </c>
      <c r="F364" s="5" t="str">
        <f>IFERROR(__xludf.DUMMYFUNCTION("""COMPUTED_VALUE"""),"Featured")</f>
        <v>Featured</v>
      </c>
      <c r="G364" s="19" t="str">
        <f>IFERROR(__xludf.DUMMYFUNCTION("""COMPUTED_VALUE"""),"Instant Forms")</f>
        <v>Instant Forms</v>
      </c>
      <c r="H364" s="19"/>
      <c r="I364" s="62"/>
      <c r="J364" s="19"/>
    </row>
    <row r="365">
      <c r="A365" s="19" t="str">
        <f>IFERROR(__xludf.DUMMYFUNCTION("""COMPUTED_VALUE"""),"Ashleah Lucey")</f>
        <v>Ashleah Lucey</v>
      </c>
      <c r="B365" s="19" t="str">
        <f>IFERROR(__xludf.DUMMYFUNCTION("""COMPUTED_VALUE"""),"QLD")</f>
        <v>QLD</v>
      </c>
      <c r="C365" s="5" t="str">
        <f>IFERROR(__xludf.DUMMYFUNCTION("""COMPUTED_VALUE"""),"Goodna")</f>
        <v>Goodna</v>
      </c>
      <c r="D365" s="5" t="str">
        <f>IFERROR(__xludf.DUMMYFUNCTION("""COMPUTED_VALUE"""),"15 Hillier Street Goodna QLD 4300")</f>
        <v>15 Hillier Street Goodna QLD 4300</v>
      </c>
      <c r="E365" s="25">
        <f>IFERROR(__xludf.DUMMYFUNCTION("""COMPUTED_VALUE"""),45893.0)</f>
        <v>45893</v>
      </c>
      <c r="F365" s="5" t="str">
        <f>IFERROR(__xludf.DUMMYFUNCTION("""COMPUTED_VALUE"""),"Featured")</f>
        <v>Featured</v>
      </c>
      <c r="G365" s="19" t="str">
        <f>IFERROR(__xludf.DUMMYFUNCTION("""COMPUTED_VALUE"""),"Instant Forms")</f>
        <v>Instant Forms</v>
      </c>
      <c r="H365" s="19"/>
      <c r="I365" s="62"/>
      <c r="J365" s="19"/>
    </row>
    <row r="366">
      <c r="A366" s="19" t="str">
        <f>IFERROR(__xludf.DUMMYFUNCTION("""COMPUTED_VALUE"""),"Ashleah Lucey")</f>
        <v>Ashleah Lucey</v>
      </c>
      <c r="B366" s="19" t="str">
        <f>IFERROR(__xludf.DUMMYFUNCTION("""COMPUTED_VALUE"""),"QLD")</f>
        <v>QLD</v>
      </c>
      <c r="C366" s="5" t="str">
        <f>IFERROR(__xludf.DUMMYFUNCTION("""COMPUTED_VALUE"""),"Springfield")</f>
        <v>Springfield</v>
      </c>
      <c r="D366" s="5"/>
      <c r="E366" s="25">
        <f>IFERROR(__xludf.DUMMYFUNCTION("""COMPUTED_VALUE"""),45895.0)</f>
        <v>45895</v>
      </c>
      <c r="F366" s="5" t="str">
        <f>IFERROR(__xludf.DUMMYFUNCTION("""COMPUTED_VALUE"""),"Featured")</f>
        <v>Featured</v>
      </c>
      <c r="G366" s="19" t="str">
        <f>IFERROR(__xludf.DUMMYFUNCTION("""COMPUTED_VALUE"""),"Instant Forms")</f>
        <v>Instant Forms</v>
      </c>
      <c r="H366" s="19"/>
      <c r="I366" s="62"/>
      <c r="J366" s="19"/>
    </row>
    <row r="367">
      <c r="A367" s="19" t="str">
        <f>IFERROR(__xludf.DUMMYFUNCTION("""COMPUTED_VALUE"""),"Ashleah Lucey")</f>
        <v>Ashleah Lucey</v>
      </c>
      <c r="B367" s="19" t="str">
        <f>IFERROR(__xludf.DUMMYFUNCTION("""COMPUTED_VALUE"""),"QLD")</f>
        <v>QLD</v>
      </c>
      <c r="C367" s="5" t="str">
        <f>IFERROR(__xludf.DUMMYFUNCTION("""COMPUTED_VALUE"""),"Springfield Lakes")</f>
        <v>Springfield Lakes</v>
      </c>
      <c r="D367" s="5" t="str">
        <f>IFERROR(__xludf.DUMMYFUNCTION("""COMPUTED_VALUE"""),"4 Inlet Lane Springfield Lakes QLD 4300")</f>
        <v>4 Inlet Lane Springfield Lakes QLD 4300</v>
      </c>
      <c r="E367" s="25">
        <f>IFERROR(__xludf.DUMMYFUNCTION("""COMPUTED_VALUE"""),45896.0)</f>
        <v>45896</v>
      </c>
      <c r="F367" s="5" t="str">
        <f>IFERROR(__xludf.DUMMYFUNCTION("""COMPUTED_VALUE"""),"Featured")</f>
        <v>Featured</v>
      </c>
      <c r="G367" s="19" t="str">
        <f>IFERROR(__xludf.DUMMYFUNCTION("""COMPUTED_VALUE"""),"Instant Forms")</f>
        <v>Instant Forms</v>
      </c>
      <c r="H367" s="19"/>
      <c r="I367" s="62"/>
      <c r="J367" s="19"/>
    </row>
    <row r="368">
      <c r="A368" s="19" t="str">
        <f>IFERROR(__xludf.DUMMYFUNCTION("""COMPUTED_VALUE"""),"Ashleah Lucey")</f>
        <v>Ashleah Lucey</v>
      </c>
      <c r="B368" s="19" t="str">
        <f>IFERROR(__xludf.DUMMYFUNCTION("""COMPUTED_VALUE"""),"QLD")</f>
        <v>QLD</v>
      </c>
      <c r="C368" s="5" t="str">
        <f>IFERROR(__xludf.DUMMYFUNCTION("""COMPUTED_VALUE"""),"darra")</f>
        <v>darra</v>
      </c>
      <c r="D368" s="5" t="str">
        <f>IFERROR(__xludf.DUMMYFUNCTION("""COMPUTED_VALUE"""),"40 Strathaird Street Darra QLD 4076")</f>
        <v>40 Strathaird Street Darra QLD 4076</v>
      </c>
      <c r="E368" s="25">
        <f>IFERROR(__xludf.DUMMYFUNCTION("""COMPUTED_VALUE"""),45898.0)</f>
        <v>45898</v>
      </c>
      <c r="F368" s="5" t="str">
        <f>IFERROR(__xludf.DUMMYFUNCTION("""COMPUTED_VALUE"""),"Featured")</f>
        <v>Featured</v>
      </c>
      <c r="G368" s="19" t="str">
        <f>IFERROR(__xludf.DUMMYFUNCTION("""COMPUTED_VALUE"""),"Instant Forms")</f>
        <v>Instant Forms</v>
      </c>
      <c r="H368" s="19"/>
      <c r="I368" s="62"/>
      <c r="J368" s="19"/>
    </row>
    <row r="369">
      <c r="A369" s="19" t="str">
        <f>IFERROR(__xludf.DUMMYFUNCTION("""COMPUTED_VALUE"""),"Ashleah Lucey")</f>
        <v>Ashleah Lucey</v>
      </c>
      <c r="B369" s="19" t="str">
        <f>IFERROR(__xludf.DUMMYFUNCTION("""COMPUTED_VALUE"""),"QLD")</f>
        <v>QLD</v>
      </c>
      <c r="C369" s="5" t="str">
        <f>IFERROR(__xludf.DUMMYFUNCTION("""COMPUTED_VALUE"""),"inala")</f>
        <v>inala</v>
      </c>
      <c r="D369" s="5"/>
      <c r="E369" s="25">
        <f>IFERROR(__xludf.DUMMYFUNCTION("""COMPUTED_VALUE"""),45899.0)</f>
        <v>45899</v>
      </c>
      <c r="F369" s="5" t="str">
        <f>IFERROR(__xludf.DUMMYFUNCTION("""COMPUTED_VALUE"""),"Free")</f>
        <v>Free</v>
      </c>
      <c r="G369" s="19" t="str">
        <f>IFERROR(__xludf.DUMMYFUNCTION("""COMPUTED_VALUE"""),"Instant Forms")</f>
        <v>Instant Forms</v>
      </c>
      <c r="H369" s="19"/>
      <c r="I369" s="62"/>
      <c r="J369" s="19"/>
    </row>
    <row r="370">
      <c r="A370" s="19" t="str">
        <f>IFERROR(__xludf.DUMMYFUNCTION("""COMPUTED_VALUE"""),"Ashleah Lucey")</f>
        <v>Ashleah Lucey</v>
      </c>
      <c r="B370" s="19" t="str">
        <f>IFERROR(__xludf.DUMMYFUNCTION("""COMPUTED_VALUE"""),"QLD")</f>
        <v>QLD</v>
      </c>
      <c r="C370" s="5" t="str">
        <f>IFERROR(__xludf.DUMMYFUNCTION("""COMPUTED_VALUE"""),"Forest lake")</f>
        <v>Forest lake</v>
      </c>
      <c r="D370" s="5" t="str">
        <f>IFERROR(__xludf.DUMMYFUNCTION("""COMPUTED_VALUE"""),"148 Considine Street Ellen Grove QLD 4078")</f>
        <v>148 Considine Street Ellen Grove QLD 4078</v>
      </c>
      <c r="E370" s="25">
        <f>IFERROR(__xludf.DUMMYFUNCTION("""COMPUTED_VALUE"""),45901.0)</f>
        <v>45901</v>
      </c>
      <c r="F370" s="5" t="str">
        <f>IFERROR(__xludf.DUMMYFUNCTION("""COMPUTED_VALUE"""),"Featured")</f>
        <v>Featured</v>
      </c>
      <c r="G370" s="19" t="str">
        <f>IFERROR(__xludf.DUMMYFUNCTION("""COMPUTED_VALUE"""),"Instant Forms")</f>
        <v>Instant Forms</v>
      </c>
      <c r="H370" s="19"/>
      <c r="I370" s="62"/>
      <c r="J370" s="19"/>
    </row>
    <row r="371">
      <c r="A371" s="19" t="str">
        <f>IFERROR(__xludf.DUMMYFUNCTION("""COMPUTED_VALUE"""),"Ashleah Lucey")</f>
        <v>Ashleah Lucey</v>
      </c>
      <c r="B371" s="19" t="str">
        <f>IFERROR(__xludf.DUMMYFUNCTION("""COMPUTED_VALUE"""),"QLD")</f>
        <v>QLD</v>
      </c>
      <c r="C371" s="5" t="str">
        <f>IFERROR(__xludf.DUMMYFUNCTION("""COMPUTED_VALUE"""),"Mount Ommaney")</f>
        <v>Mount Ommaney</v>
      </c>
      <c r="D371" s="5" t="str">
        <f>IFERROR(__xludf.DUMMYFUNCTION("""COMPUTED_VALUE"""),"3 Gregory Court Mount Ommaney QLD 4074")</f>
        <v>3 Gregory Court Mount Ommaney QLD 4074</v>
      </c>
      <c r="E371" s="25">
        <f>IFERROR(__xludf.DUMMYFUNCTION("""COMPUTED_VALUE"""),45912.0)</f>
        <v>45912</v>
      </c>
      <c r="F371" s="5">
        <f>IFERROR(__xludf.DUMMYFUNCTION("""COMPUTED_VALUE"""),8.0)</f>
        <v>8</v>
      </c>
      <c r="G371" s="19" t="str">
        <f>IFERROR(__xludf.DUMMYFUNCTION("""COMPUTED_VALUE"""),"Instant Forms")</f>
        <v>Instant Forms</v>
      </c>
      <c r="H371" s="19" t="str">
        <f>IFERROR(__xludf.DUMMYFUNCTION("""COMPUTED_VALUE"""),"Jo Ke")</f>
        <v>Jo Ke</v>
      </c>
      <c r="I371" s="62"/>
      <c r="J371" s="19"/>
    </row>
    <row r="372">
      <c r="A372" s="19" t="str">
        <f>IFERROR(__xludf.DUMMYFUNCTION("""COMPUTED_VALUE"""),"Ashleah Lucey")</f>
        <v>Ashleah Lucey</v>
      </c>
      <c r="B372" s="19" t="str">
        <f>IFERROR(__xludf.DUMMYFUNCTION("""COMPUTED_VALUE"""),"QLD")</f>
        <v>QLD</v>
      </c>
      <c r="C372" s="5" t="str">
        <f>IFERROR(__xludf.DUMMYFUNCTION("""COMPUTED_VALUE"""),"Redbank Pains Qld 4301")</f>
        <v>Redbank Pains Qld 4301</v>
      </c>
      <c r="D372" s="5" t="str">
        <f>IFERROR(__xludf.DUMMYFUNCTION("""COMPUTED_VALUE"""),"20 Glorious Promenade Redbank Plains QLD 4301")</f>
        <v>20 Glorious Promenade Redbank Plains QLD 4301</v>
      </c>
      <c r="E372" s="25">
        <f>IFERROR(__xludf.DUMMYFUNCTION("""COMPUTED_VALUE"""),45916.0)</f>
        <v>45916</v>
      </c>
      <c r="F372" s="5">
        <f>IFERROR(__xludf.DUMMYFUNCTION("""COMPUTED_VALUE"""),8.0)</f>
        <v>8</v>
      </c>
      <c r="G372" s="19" t="str">
        <f>IFERROR(__xludf.DUMMYFUNCTION("""COMPUTED_VALUE"""),"Instant Forms")</f>
        <v>Instant Forms</v>
      </c>
      <c r="H372" s="19" t="str">
        <f>IFERROR(__xludf.DUMMYFUNCTION("""COMPUTED_VALUE"""),"Nicola Silverton-Alison")</f>
        <v>Nicola Silverton-Alison</v>
      </c>
      <c r="I372" s="62"/>
      <c r="J372" s="19"/>
    </row>
    <row r="373">
      <c r="A373" s="19" t="str">
        <f>IFERROR(__xludf.DUMMYFUNCTION("""COMPUTED_VALUE"""),"Ashleah Lucey")</f>
        <v>Ashleah Lucey</v>
      </c>
      <c r="B373" s="19" t="str">
        <f>IFERROR(__xludf.DUMMYFUNCTION("""COMPUTED_VALUE"""),"QLD")</f>
        <v>QLD</v>
      </c>
      <c r="C373" s="5" t="str">
        <f>IFERROR(__xludf.DUMMYFUNCTION("""COMPUTED_VALUE"""),"Augustine Heights")</f>
        <v>Augustine Heights</v>
      </c>
      <c r="D373" s="5" t="str">
        <f>IFERROR(__xludf.DUMMYFUNCTION("""COMPUTED_VALUE"""),"20 Glorious Promenade Redbank Plains QLD 4301")</f>
        <v>20 Glorious Promenade Redbank Plains QLD 4301</v>
      </c>
      <c r="E373" s="25">
        <f>IFERROR(__xludf.DUMMYFUNCTION("""COMPUTED_VALUE"""),45916.0)</f>
        <v>45916</v>
      </c>
      <c r="F373" s="5">
        <f>IFERROR(__xludf.DUMMYFUNCTION("""COMPUTED_VALUE"""),6.0)</f>
        <v>6</v>
      </c>
      <c r="G373" s="19" t="str">
        <f>IFERROR(__xludf.DUMMYFUNCTION("""COMPUTED_VALUE"""),"Instant Forms")</f>
        <v>Instant Forms</v>
      </c>
      <c r="H373" s="19" t="str">
        <f>IFERROR(__xludf.DUMMYFUNCTION("""COMPUTED_VALUE"""),"Monty Bloom (I think this is an agent?)")</f>
        <v>Monty Bloom (I think this is an agent?)</v>
      </c>
      <c r="I373" s="62"/>
      <c r="J373" s="19"/>
    </row>
    <row r="374">
      <c r="A374" s="19" t="str">
        <f>IFERROR(__xludf.DUMMYFUNCTION("""COMPUTED_VALUE"""),"Ashleah Lucey")</f>
        <v>Ashleah Lucey</v>
      </c>
      <c r="B374" s="19" t="str">
        <f>IFERROR(__xludf.DUMMYFUNCTION("""COMPUTED_VALUE"""),"QLD")</f>
        <v>QLD</v>
      </c>
      <c r="C374" s="5" t="str">
        <f>IFERROR(__xludf.DUMMYFUNCTION("""COMPUTED_VALUE"""),"Bellbowrie")</f>
        <v>Bellbowrie</v>
      </c>
      <c r="D374" s="5" t="str">
        <f>IFERROR(__xludf.DUMMYFUNCTION("""COMPUTED_VALUE"""),"104 Lather Road Bellbowrie QLD 4070")</f>
        <v>104 Lather Road Bellbowrie QLD 4070</v>
      </c>
      <c r="E374" s="25">
        <f>IFERROR(__xludf.DUMMYFUNCTION("""COMPUTED_VALUE"""),45916.0)</f>
        <v>45916</v>
      </c>
      <c r="F374" s="5">
        <f>IFERROR(__xludf.DUMMYFUNCTION("""COMPUTED_VALUE"""),6.0)</f>
        <v>6</v>
      </c>
      <c r="G374" s="19" t="str">
        <f>IFERROR(__xludf.DUMMYFUNCTION("""COMPUTED_VALUE"""),"Instant Forms")</f>
        <v>Instant Forms</v>
      </c>
      <c r="H374" s="19" t="str">
        <f>IFERROR(__xludf.DUMMYFUNCTION("""COMPUTED_VALUE"""),"Fiona Smith")</f>
        <v>Fiona Smith</v>
      </c>
      <c r="I374" s="62"/>
      <c r="J374" s="19"/>
    </row>
    <row r="375">
      <c r="A375" s="19" t="str">
        <f>IFERROR(__xludf.DUMMYFUNCTION("""COMPUTED_VALUE"""),"Ashleah Lucey")</f>
        <v>Ashleah Lucey</v>
      </c>
      <c r="B375" s="19" t="str">
        <f>IFERROR(__xludf.DUMMYFUNCTION("""COMPUTED_VALUE"""),"QLD")</f>
        <v>QLD</v>
      </c>
      <c r="C375" s="5" t="str">
        <f>IFERROR(__xludf.DUMMYFUNCTION("""COMPUTED_VALUE"""),"Redbank Plains")</f>
        <v>Redbank Plains</v>
      </c>
      <c r="D375" s="5" t="str">
        <f>IFERROR(__xludf.DUMMYFUNCTION("""COMPUTED_VALUE"""),"5 Verrankamp Road, Redbank Plains, QLD, 4301, Australia")</f>
        <v>5 Verrankamp Road, Redbank Plains, QLD, 4301, Australia</v>
      </c>
      <c r="E375" s="25">
        <f>IFERROR(__xludf.DUMMYFUNCTION("""COMPUTED_VALUE"""),45923.0)</f>
        <v>45923</v>
      </c>
      <c r="F375" s="5" t="str">
        <f>IFERROR(__xludf.DUMMYFUNCTION("""COMPUTED_VALUE"""),"Featured")</f>
        <v>Featured</v>
      </c>
      <c r="G375" s="19" t="str">
        <f>IFERROR(__xludf.DUMMYFUNCTION("""COMPUTED_VALUE"""),"Commission Comparison")</f>
        <v>Commission Comparison</v>
      </c>
      <c r="H375" s="19"/>
      <c r="I375" s="62"/>
      <c r="J375" s="19"/>
    </row>
    <row r="376">
      <c r="A376" s="19" t="str">
        <f>IFERROR(__xludf.DUMMYFUNCTION("""COMPUTED_VALUE"""),"Ashleah Lucey")</f>
        <v>Ashleah Lucey</v>
      </c>
      <c r="B376" s="19" t="str">
        <f>IFERROR(__xludf.DUMMYFUNCTION("""COMPUTED_VALUE"""),"QLD")</f>
        <v>QLD</v>
      </c>
      <c r="C376" s="5" t="str">
        <f>IFERROR(__xludf.DUMMYFUNCTION("""COMPUTED_VALUE"""),"Sinnamon Park")</f>
        <v>Sinnamon Park</v>
      </c>
      <c r="D376" s="5" t="str">
        <f>IFERROR(__xludf.DUMMYFUNCTION("""COMPUTED_VALUE"""),"6 Swallow Place Sinnamon Park QLD 4073")</f>
        <v>6 Swallow Place Sinnamon Park QLD 4073</v>
      </c>
      <c r="E376" s="25">
        <f>IFERROR(__xludf.DUMMYFUNCTION("""COMPUTED_VALUE"""),45929.0)</f>
        <v>45929</v>
      </c>
      <c r="F376" s="5">
        <f>IFERROR(__xludf.DUMMYFUNCTION("""COMPUTED_VALUE"""),8.0)</f>
        <v>8</v>
      </c>
      <c r="G376" s="19" t="str">
        <f>IFERROR(__xludf.DUMMYFUNCTION("""COMPUTED_VALUE"""),"Instant Forms")</f>
        <v>Instant Forms</v>
      </c>
      <c r="H376" s="19" t="str">
        <f>IFERROR(__xludf.DUMMYFUNCTION("""COMPUTED_VALUE"""),"Vicki Goodall")</f>
        <v>Vicki Goodall</v>
      </c>
      <c r="I376" s="62"/>
      <c r="J376" s="19"/>
    </row>
    <row r="377">
      <c r="A377" s="19" t="str">
        <f>IFERROR(__xludf.DUMMYFUNCTION("""COMPUTED_VALUE"""),"Ashleah Lucey")</f>
        <v>Ashleah Lucey</v>
      </c>
      <c r="B377" s="19" t="str">
        <f>IFERROR(__xludf.DUMMYFUNCTION("""COMPUTED_VALUE"""),"QLD")</f>
        <v>QLD</v>
      </c>
      <c r="C377" s="5" t="str">
        <f>IFERROR(__xludf.DUMMYFUNCTION("""COMPUTED_VALUE"""),"Springfield")</f>
        <v>Springfield</v>
      </c>
      <c r="D377" s="5" t="str">
        <f>IFERROR(__xludf.DUMMYFUNCTION("""COMPUTED_VALUE"""),"8 Carnation Close, Springfield, QLD, 4300, Australia")</f>
        <v>8 Carnation Close, Springfield, QLD, 4300, Australia</v>
      </c>
      <c r="E377" s="25" t="str">
        <f>IFERROR(__xludf.DUMMYFUNCTION("""COMPUTED_VALUE"""),"30/09/2025")</f>
        <v>30/09/2025</v>
      </c>
      <c r="F377" s="5" t="str">
        <f>IFERROR(__xludf.DUMMYFUNCTION("""COMPUTED_VALUE"""),"Featured")</f>
        <v>Featured</v>
      </c>
      <c r="G377" s="19"/>
      <c r="H377" s="19"/>
      <c r="I377" s="62"/>
      <c r="J377" s="19"/>
    </row>
    <row r="378">
      <c r="A378" s="19" t="str">
        <f>IFERROR(__xludf.DUMMYFUNCTION("""COMPUTED_VALUE"""),"Ashleah Lucey")</f>
        <v>Ashleah Lucey</v>
      </c>
      <c r="B378" s="19" t="str">
        <f>IFERROR(__xludf.DUMMYFUNCTION("""COMPUTED_VALUE"""),"QLD")</f>
        <v>QLD</v>
      </c>
      <c r="C378" s="5" t="str">
        <f>IFERROR(__xludf.DUMMYFUNCTION("""COMPUTED_VALUE"""),"inala")</f>
        <v>inala</v>
      </c>
      <c r="D378" s="5" t="str">
        <f>IFERROR(__xludf.DUMMYFUNCTION("""COMPUTED_VALUE"""),"20 Clipper Street Inala")</f>
        <v>20 Clipper Street Inala</v>
      </c>
      <c r="E378" s="25">
        <f>IFERROR(__xludf.DUMMYFUNCTION("""COMPUTED_VALUE"""),45932.0)</f>
        <v>45932</v>
      </c>
      <c r="F378" s="5" t="str">
        <f>IFERROR(__xludf.DUMMYFUNCTION("""COMPUTED_VALUE"""),"Featured")</f>
        <v>Featured</v>
      </c>
      <c r="G378" s="19" t="str">
        <f>IFERROR(__xludf.DUMMYFUNCTION("""COMPUTED_VALUE"""),"Commission Comparison")</f>
        <v>Commission Comparison</v>
      </c>
      <c r="H378" s="19"/>
      <c r="I378" s="62"/>
      <c r="J378" s="19"/>
    </row>
    <row r="379">
      <c r="A379" s="19" t="str">
        <f>IFERROR(__xludf.DUMMYFUNCTION("""COMPUTED_VALUE"""),"Ashleah Lucey")</f>
        <v>Ashleah Lucey</v>
      </c>
      <c r="B379" s="19" t="str">
        <f>IFERROR(__xludf.DUMMYFUNCTION("""COMPUTED_VALUE"""),"QLD")</f>
        <v>QLD</v>
      </c>
      <c r="C379" s="5" t="str">
        <f>IFERROR(__xludf.DUMMYFUNCTION("""COMPUTED_VALUE"""),"Middle Park")</f>
        <v>Middle Park</v>
      </c>
      <c r="D379" s="5" t="str">
        <f>IFERROR(__xludf.DUMMYFUNCTION("""COMPUTED_VALUE"""),"17 Narona Street Middle Park QLD 4074")</f>
        <v>17 Narona Street Middle Park QLD 4074</v>
      </c>
      <c r="E379" s="25">
        <f>IFERROR(__xludf.DUMMYFUNCTION("""COMPUTED_VALUE"""),45937.0)</f>
        <v>45937</v>
      </c>
      <c r="F379" s="5">
        <f>IFERROR(__xludf.DUMMYFUNCTION("""COMPUTED_VALUE"""),8.0)</f>
        <v>8</v>
      </c>
      <c r="G379" s="19" t="str">
        <f>IFERROR(__xludf.DUMMYFUNCTION("""COMPUTED_VALUE"""),"Instant Forms")</f>
        <v>Instant Forms</v>
      </c>
      <c r="H379" s="19" t="str">
        <f>IFERROR(__xludf.DUMMYFUNCTION("""COMPUTED_VALUE"""),"Deirdre Doyle White")</f>
        <v>Deirdre Doyle White</v>
      </c>
      <c r="I379" s="62"/>
      <c r="J379" s="19"/>
    </row>
    <row r="380">
      <c r="A380" s="19" t="str">
        <f>IFERROR(__xludf.DUMMYFUNCTION("""COMPUTED_VALUE"""),"Ashleah Lucey")</f>
        <v>Ashleah Lucey</v>
      </c>
      <c r="B380" s="19" t="str">
        <f>IFERROR(__xludf.DUMMYFUNCTION("""COMPUTED_VALUE"""),"QLD")</f>
        <v>QLD</v>
      </c>
      <c r="C380" s="5" t="str">
        <f>IFERROR(__xludf.DUMMYFUNCTION("""COMPUTED_VALUE"""),"Barellan pointed")</f>
        <v>Barellan pointed</v>
      </c>
      <c r="D380" s="5" t="str">
        <f>IFERROR(__xludf.DUMMYFUNCTION("""COMPUTED_VALUE"""),"41-43 Mitchell Street Barellan Point QLD 4306")</f>
        <v>41-43 Mitchell Street Barellan Point QLD 4306</v>
      </c>
      <c r="E380" s="25">
        <f>IFERROR(__xludf.DUMMYFUNCTION("""COMPUTED_VALUE"""),45940.0)</f>
        <v>45940</v>
      </c>
      <c r="F380" s="5">
        <f>IFERROR(__xludf.DUMMYFUNCTION("""COMPUTED_VALUE"""),6.0)</f>
        <v>6</v>
      </c>
      <c r="G380" s="19" t="str">
        <f>IFERROR(__xludf.DUMMYFUNCTION("""COMPUTED_VALUE"""),"Instant Forms")</f>
        <v>Instant Forms</v>
      </c>
      <c r="H380" s="19"/>
      <c r="I380" s="62"/>
      <c r="J380" s="19"/>
    </row>
    <row r="381">
      <c r="A381" s="19" t="str">
        <f>IFERROR(__xludf.DUMMYFUNCTION("""COMPUTED_VALUE"""),"Ashleah Lucey")</f>
        <v>Ashleah Lucey</v>
      </c>
      <c r="B381" s="19" t="str">
        <f>IFERROR(__xludf.DUMMYFUNCTION("""COMPUTED_VALUE"""),"QLD")</f>
        <v>QLD</v>
      </c>
      <c r="C381" s="5" t="str">
        <f>IFERROR(__xludf.DUMMYFUNCTION("""COMPUTED_VALUE"""),"Moggill")</f>
        <v>Moggill</v>
      </c>
      <c r="D381" s="5" t="str">
        <f>IFERROR(__xludf.DUMMYFUNCTION("""COMPUTED_VALUE"""),"16 meadowview place moggill")</f>
        <v>16 meadowview place moggill</v>
      </c>
      <c r="E381" s="25">
        <f>IFERROR(__xludf.DUMMYFUNCTION("""COMPUTED_VALUE"""),45944.0)</f>
        <v>45944</v>
      </c>
      <c r="F381" s="5" t="str">
        <f>IFERROR(__xludf.DUMMYFUNCTION("""COMPUTED_VALUE"""),"Featured")</f>
        <v>Featured</v>
      </c>
      <c r="G381" s="19" t="str">
        <f>IFERROR(__xludf.DUMMYFUNCTION("""COMPUTED_VALUE"""),"Commission Comparison")</f>
        <v>Commission Comparison</v>
      </c>
      <c r="H381" s="19"/>
      <c r="I381" s="62"/>
      <c r="J381" s="19"/>
    </row>
    <row r="382">
      <c r="A382" s="19" t="str">
        <f>IFERROR(__xludf.DUMMYFUNCTION("""COMPUTED_VALUE"""),"Ashleah Lucey")</f>
        <v>Ashleah Lucey</v>
      </c>
      <c r="B382" s="19" t="str">
        <f>IFERROR(__xludf.DUMMYFUNCTION("""COMPUTED_VALUE"""),"QLD")</f>
        <v>QLD</v>
      </c>
      <c r="C382" s="5" t="str">
        <f>IFERROR(__xludf.DUMMYFUNCTION("""COMPUTED_VALUE"""),"Forest lake")</f>
        <v>Forest lake</v>
      </c>
      <c r="D382" s="5" t="str">
        <f>IFERROR(__xludf.DUMMYFUNCTION("""COMPUTED_VALUE"""),"14 Della Ricca Place Forest Lake QLD 4078")</f>
        <v>14 Della Ricca Place Forest Lake QLD 4078</v>
      </c>
      <c r="E382" s="25">
        <f>IFERROR(__xludf.DUMMYFUNCTION("""COMPUTED_VALUE"""),45949.0)</f>
        <v>45949</v>
      </c>
      <c r="F382" s="5">
        <f>IFERROR(__xludf.DUMMYFUNCTION("""COMPUTED_VALUE"""),8.0)</f>
        <v>8</v>
      </c>
      <c r="G382" s="19" t="str">
        <f>IFERROR(__xludf.DUMMYFUNCTION("""COMPUTED_VALUE"""),"Instant Forms")</f>
        <v>Instant Forms</v>
      </c>
      <c r="H382" s="19"/>
      <c r="I382" s="62"/>
      <c r="J382" s="19"/>
    </row>
    <row r="383">
      <c r="A383" s="19" t="str">
        <f>IFERROR(__xludf.DUMMYFUNCTION("""COMPUTED_VALUE"""),"Ashleah Lucey")</f>
        <v>Ashleah Lucey</v>
      </c>
      <c r="B383" s="19" t="str">
        <f>IFERROR(__xludf.DUMMYFUNCTION("""COMPUTED_VALUE"""),"QLD")</f>
        <v>QLD</v>
      </c>
      <c r="C383" s="5" t="str">
        <f>IFERROR(__xludf.DUMMYFUNCTION("""COMPUTED_VALUE"""),"Goodna")</f>
        <v>Goodna</v>
      </c>
      <c r="D383" s="5" t="str">
        <f>IFERROR(__xludf.DUMMYFUNCTION("""COMPUTED_VALUE"""),"46 Lower Stuart st")</f>
        <v>46 Lower Stuart st</v>
      </c>
      <c r="E383" s="25">
        <f>IFERROR(__xludf.DUMMYFUNCTION("""COMPUTED_VALUE"""),45956.0)</f>
        <v>45956</v>
      </c>
      <c r="F383" s="5" t="str">
        <f>IFERROR(__xludf.DUMMYFUNCTION("""COMPUTED_VALUE"""),"Featured")</f>
        <v>Featured</v>
      </c>
      <c r="G383" s="19" t="str">
        <f>IFERROR(__xludf.DUMMYFUNCTION("""COMPUTED_VALUE"""),"Commission Comparison")</f>
        <v>Commission Comparison</v>
      </c>
      <c r="H383" s="19"/>
      <c r="I383" s="62"/>
      <c r="J383" s="19"/>
    </row>
    <row r="384">
      <c r="A384" s="19" t="str">
        <f>IFERROR(__xludf.DUMMYFUNCTION("""COMPUTED_VALUE"""),"Ashleah Lucey")</f>
        <v>Ashleah Lucey</v>
      </c>
      <c r="B384" s="19" t="str">
        <f>IFERROR(__xludf.DUMMYFUNCTION("""COMPUTED_VALUE"""),"QLD")</f>
        <v>QLD</v>
      </c>
      <c r="C384" s="5" t="str">
        <f>IFERROR(__xludf.DUMMYFUNCTION("""COMPUTED_VALUE"""),"Collingwood Park")</f>
        <v>Collingwood Park</v>
      </c>
      <c r="D384" s="5" t="str">
        <f>IFERROR(__xludf.DUMMYFUNCTION("""COMPUTED_VALUE"""),"80 Gibbs Avenue")</f>
        <v>80 Gibbs Avenue</v>
      </c>
      <c r="E384" s="25">
        <f>IFERROR(__xludf.DUMMYFUNCTION("""COMPUTED_VALUE"""),45958.0)</f>
        <v>45958</v>
      </c>
      <c r="F384" s="5" t="str">
        <f>IFERROR(__xludf.DUMMYFUNCTION("""COMPUTED_VALUE"""),"Featured")</f>
        <v>Featured</v>
      </c>
      <c r="G384" s="19" t="str">
        <f>IFERROR(__xludf.DUMMYFUNCTION("""COMPUTED_VALUE"""),"Commission Comparison")</f>
        <v>Commission Comparison</v>
      </c>
      <c r="H384" s="19"/>
      <c r="I384" s="62"/>
      <c r="J384" s="19"/>
    </row>
    <row r="385">
      <c r="A385" s="19" t="str">
        <f>IFERROR(__xludf.DUMMYFUNCTION("""COMPUTED_VALUE"""),"Ashleah Lucey")</f>
        <v>Ashleah Lucey</v>
      </c>
      <c r="B385" s="19" t="str">
        <f>IFERROR(__xludf.DUMMYFUNCTION("""COMPUTED_VALUE"""),"QLD")</f>
        <v>QLD</v>
      </c>
      <c r="C385" s="5" t="str">
        <f>IFERROR(__xludf.DUMMYFUNCTION("""COMPUTED_VALUE"""),"redbank plains")</f>
        <v>redbank plains</v>
      </c>
      <c r="D385" s="5" t="str">
        <f>IFERROR(__xludf.DUMMYFUNCTION("""COMPUTED_VALUE"""),"9 Danyel Ct")</f>
        <v>9 Danyel Ct</v>
      </c>
      <c r="E385" s="25">
        <f>IFERROR(__xludf.DUMMYFUNCTION("""COMPUTED_VALUE"""),45962.0)</f>
        <v>45962</v>
      </c>
      <c r="F385" s="5" t="str">
        <f>IFERROR(__xludf.DUMMYFUNCTION("""COMPUTED_VALUE"""),"Featured")</f>
        <v>Featured</v>
      </c>
      <c r="G385" s="19" t="str">
        <f>IFERROR(__xludf.DUMMYFUNCTION("""COMPUTED_VALUE"""),"Commission Comparison")</f>
        <v>Commission Comparison</v>
      </c>
      <c r="H385" s="19"/>
      <c r="I385" s="62"/>
      <c r="J385" s="19"/>
    </row>
    <row r="386">
      <c r="A386" s="19" t="str">
        <f>IFERROR(__xludf.DUMMYFUNCTION("""COMPUTED_VALUE"""),"Ashleah Lucey")</f>
        <v>Ashleah Lucey</v>
      </c>
      <c r="B386" s="19" t="str">
        <f>IFERROR(__xludf.DUMMYFUNCTION("""COMPUTED_VALUE"""),"QLD")</f>
        <v>QLD</v>
      </c>
      <c r="C386" s="5" t="str">
        <f>IFERROR(__xludf.DUMMYFUNCTION("""COMPUTED_VALUE"""),"South Ripley")</f>
        <v>South Ripley</v>
      </c>
      <c r="D386" s="5" t="str">
        <f>IFERROR(__xludf.DUMMYFUNCTION("""COMPUTED_VALUE"""),"22 soul crescent south ripley, South Ripley, 4083")</f>
        <v>22 soul crescent south ripley, South Ripley, 4083</v>
      </c>
      <c r="E386" s="25" t="str">
        <f>IFERROR(__xludf.DUMMYFUNCTION("""COMPUTED_VALUE"""),"13/11/2025")</f>
        <v>13/11/2025</v>
      </c>
      <c r="F386" s="5" t="str">
        <f>IFERROR(__xludf.DUMMYFUNCTION("""COMPUTED_VALUE"""),"Featured")</f>
        <v>Featured</v>
      </c>
      <c r="G386" s="19" t="str">
        <f>IFERROR(__xludf.DUMMYFUNCTION("""COMPUTED_VALUE"""),"Meta Commission Report")</f>
        <v>Meta Commission Report</v>
      </c>
      <c r="H386" s="19" t="str">
        <f>IFERROR(__xludf.DUMMYFUNCTION("""COMPUTED_VALUE"""),"Ron Milton")</f>
        <v>Ron Milton</v>
      </c>
      <c r="I386" s="62">
        <f>IFERROR(__xludf.DUMMYFUNCTION("""COMPUTED_VALUE"""),6.1418713289E10)</f>
        <v>61418713289</v>
      </c>
      <c r="J386" s="19" t="str">
        <f>IFERROR(__xludf.DUMMYFUNCTION("""COMPUTED_VALUE"""),"ron-milton@outlook.com")</f>
        <v>ron-milton@outlook.com</v>
      </c>
    </row>
    <row r="387">
      <c r="A387" s="19" t="str">
        <f>IFERROR(__xludf.DUMMYFUNCTION("""COMPUTED_VALUE"""),"Ashleah Lucey")</f>
        <v>Ashleah Lucey</v>
      </c>
      <c r="B387" s="19" t="str">
        <f>IFERROR(__xludf.DUMMYFUNCTION("""COMPUTED_VALUE"""),"QLD")</f>
        <v>QLD</v>
      </c>
      <c r="C387" s="5" t="str">
        <f>IFERROR(__xludf.DUMMYFUNCTION("""COMPUTED_VALUE"""),"Forest Lake")</f>
        <v>Forest Lake</v>
      </c>
      <c r="D387" s="5" t="str">
        <f>IFERROR(__xludf.DUMMYFUNCTION("""COMPUTED_VALUE"""),"11 Saint Andrews Avenue Forest Lake QLD 4078")</f>
        <v>11 Saint Andrews Avenue Forest Lake QLD 4078</v>
      </c>
      <c r="E387" s="25">
        <f>IFERROR(__xludf.DUMMYFUNCTION("""COMPUTED_VALUE"""),45975.0)</f>
        <v>45975</v>
      </c>
      <c r="F387" s="5">
        <f>IFERROR(__xludf.DUMMYFUNCTION("""COMPUTED_VALUE"""),8.0)</f>
        <v>8</v>
      </c>
      <c r="G387" s="19" t="str">
        <f>IFERROR(__xludf.DUMMYFUNCTION("""COMPUTED_VALUE"""),"Instant Forms")</f>
        <v>Instant Forms</v>
      </c>
      <c r="H387" s="19" t="str">
        <f>IFERROR(__xludf.DUMMYFUNCTION("""COMPUTED_VALUE"""),"Tony Mullett")</f>
        <v>Tony Mullett</v>
      </c>
      <c r="I387" s="62">
        <f>IFERROR(__xludf.DUMMYFUNCTION("""COMPUTED_VALUE"""),6.1435271167E10)</f>
        <v>61435271167</v>
      </c>
      <c r="J387" s="19" t="str">
        <f>IFERROR(__xludf.DUMMYFUNCTION("""COMPUTED_VALUE"""),"imagine_tony@yahoo.com.au")</f>
        <v>imagine_tony@yahoo.com.au</v>
      </c>
    </row>
    <row r="388">
      <c r="A388" s="19" t="str">
        <f>IFERROR(__xludf.DUMMYFUNCTION("""COMPUTED_VALUE"""),"Ashleah Lucey")</f>
        <v>Ashleah Lucey</v>
      </c>
      <c r="B388" s="19" t="str">
        <f>IFERROR(__xludf.DUMMYFUNCTION("""COMPUTED_VALUE"""),"QLD")</f>
        <v>QLD</v>
      </c>
      <c r="C388" s="5" t="str">
        <f>IFERROR(__xludf.DUMMYFUNCTION("""COMPUTED_VALUE"""),"Bellbird Park")</f>
        <v>Bellbird Park</v>
      </c>
      <c r="D388" s="5" t="str">
        <f>IFERROR(__xludf.DUMMYFUNCTION("""COMPUTED_VALUE"""),"Katandra Crescent")</f>
        <v>Katandra Crescent</v>
      </c>
      <c r="E388" s="5" t="str">
        <f>IFERROR(__xludf.DUMMYFUNCTION("""COMPUTED_VALUE"""),"18/11/2025")</f>
        <v>18/11/2025</v>
      </c>
      <c r="F388" s="5" t="str">
        <f>IFERROR(__xludf.DUMMYFUNCTION("""COMPUTED_VALUE"""),"Featured")</f>
        <v>Featured</v>
      </c>
      <c r="G388" s="19" t="str">
        <f>IFERROR(__xludf.DUMMYFUNCTION("""COMPUTED_VALUE"""),"Commission Comparison")</f>
        <v>Commission Comparison</v>
      </c>
      <c r="H388" s="19" t="str">
        <f>IFERROR(__xludf.DUMMYFUNCTION("""COMPUTED_VALUE"""),"Vicki Schafer")</f>
        <v>Vicki Schafer</v>
      </c>
      <c r="I388" s="62">
        <f>IFERROR(__xludf.DUMMYFUNCTION("""COMPUTED_VALUE"""),6.141298083E10)</f>
        <v>61412980830</v>
      </c>
      <c r="J388" s="19" t="str">
        <f>IFERROR(__xludf.DUMMYFUNCTION("""COMPUTED_VALUE"""),"63weege@gmail.com")</f>
        <v>63weege@gmail.com</v>
      </c>
    </row>
    <row r="389">
      <c r="A389" s="19" t="str">
        <f>IFERROR(__xludf.DUMMYFUNCTION("""COMPUTED_VALUE"""),"Ashleah Lucey")</f>
        <v>Ashleah Lucey</v>
      </c>
      <c r="B389" s="19" t="str">
        <f>IFERROR(__xludf.DUMMYFUNCTION("""COMPUTED_VALUE"""),"QLD")</f>
        <v>QLD</v>
      </c>
      <c r="C389" s="5" t="str">
        <f>IFERROR(__xludf.DUMMYFUNCTION("""COMPUTED_VALUE"""),"Spring Mountain")</f>
        <v>Spring Mountain</v>
      </c>
      <c r="D389" s="5" t="str">
        <f>IFERROR(__xludf.DUMMYFUNCTION("""COMPUTED_VALUE"""),"2 Broxburn Circuit")</f>
        <v>2 Broxburn Circuit</v>
      </c>
      <c r="E389" s="5" t="str">
        <f>IFERROR(__xludf.DUMMYFUNCTION("""COMPUTED_VALUE"""),"29/11/2025")</f>
        <v>29/11/2025</v>
      </c>
      <c r="F389" s="64">
        <f>IFERROR(__xludf.DUMMYFUNCTION("""COMPUTED_VALUE"""),0.2)</f>
        <v>0.2</v>
      </c>
      <c r="G389" s="19" t="str">
        <f>IFERROR(__xludf.DUMMYFUNCTION("""COMPUTED_VALUE"""),"Commission Comparison")</f>
        <v>Commission Comparison</v>
      </c>
      <c r="H389" s="19" t="str">
        <f>IFERROR(__xludf.DUMMYFUNCTION("""COMPUTED_VALUE"""),"Vaine Nganut")</f>
        <v>Vaine Nganut</v>
      </c>
      <c r="I389" s="62">
        <f>IFERROR(__xludf.DUMMYFUNCTION("""COMPUTED_VALUE"""),6.1413807925E10)</f>
        <v>61413807925</v>
      </c>
      <c r="J389" s="19" t="str">
        <f>IFERROR(__xludf.DUMMYFUNCTION("""COMPUTED_VALUE"""),"v.nganu26@gmail.com")</f>
        <v>v.nganu26@gmail.com</v>
      </c>
    </row>
    <row r="390">
      <c r="A390" s="19" t="str">
        <f>IFERROR(__xludf.DUMMYFUNCTION("""COMPUTED_VALUE"""),"Ashleah Lucey")</f>
        <v>Ashleah Lucey</v>
      </c>
      <c r="B390" s="19" t="str">
        <f>IFERROR(__xludf.DUMMYFUNCTION("""COMPUTED_VALUE"""),"QLD")</f>
        <v>QLD</v>
      </c>
      <c r="C390" s="5" t="str">
        <f>IFERROR(__xludf.DUMMYFUNCTION("""COMPUTED_VALUE"""),"Redbank Plains")</f>
        <v>Redbank Plains</v>
      </c>
      <c r="D390" s="5" t="str">
        <f>IFERROR(__xludf.DUMMYFUNCTION("""COMPUTED_VALUE"""),"24 Flinders Street")</f>
        <v>24 Flinders Street</v>
      </c>
      <c r="E390" s="27">
        <f>IFERROR(__xludf.DUMMYFUNCTION("""COMPUTED_VALUE"""),45789.0)</f>
        <v>45789</v>
      </c>
      <c r="F390" s="64">
        <f>IFERROR(__xludf.DUMMYFUNCTION("""COMPUTED_VALUE"""),0.2)</f>
        <v>0.2</v>
      </c>
      <c r="G390" s="19" t="str">
        <f>IFERROR(__xludf.DUMMYFUNCTION("""COMPUTED_VALUE"""),"Commission Comparison")</f>
        <v>Commission Comparison</v>
      </c>
      <c r="H390" s="19" t="str">
        <f>IFERROR(__xludf.DUMMYFUNCTION("""COMPUTED_VALUE"""),"Lynda Smith")</f>
        <v>Lynda Smith</v>
      </c>
      <c r="I390" s="62">
        <f>IFERROR(__xludf.DUMMYFUNCTION("""COMPUTED_VALUE"""),6.141351172E10)</f>
        <v>61413511720</v>
      </c>
      <c r="J390" s="19" t="str">
        <f>IFERROR(__xludf.DUMMYFUNCTION("""COMPUTED_VALUE"""),"lyn357@optusnet.com.au")</f>
        <v>lyn357@optusnet.com.au</v>
      </c>
    </row>
    <row r="391">
      <c r="A391" s="19" t="str">
        <f>IFERROR(__xludf.DUMMYFUNCTION("""COMPUTED_VALUE"""),"")</f>
        <v/>
      </c>
      <c r="B391" s="19" t="str">
        <f>IFERROR(__xludf.DUMMYFUNCTION("""COMPUTED_VALUE"""),"")</f>
        <v/>
      </c>
      <c r="C391" s="5" t="str">
        <f>IFERROR(__xludf.DUMMYFUNCTION("""COMPUTED_VALUE"""),"")</f>
        <v/>
      </c>
      <c r="D391" s="5" t="str">
        <f>IFERROR(__xludf.DUMMYFUNCTION("""COMPUTED_VALUE"""),"")</f>
        <v/>
      </c>
      <c r="E391" s="5" t="str">
        <f>IFERROR(__xludf.DUMMYFUNCTION("""COMPUTED_VALUE"""),"")</f>
        <v/>
      </c>
      <c r="F391" s="5" t="str">
        <f>IFERROR(__xludf.DUMMYFUNCTION("""COMPUTED_VALUE"""),"")</f>
        <v/>
      </c>
      <c r="G391" s="19" t="str">
        <f>IFERROR(__xludf.DUMMYFUNCTION("""COMPUTED_VALUE"""),"")</f>
        <v/>
      </c>
      <c r="H391" s="19" t="str">
        <f>IFERROR(__xludf.DUMMYFUNCTION("""COMPUTED_VALUE"""),"")</f>
        <v/>
      </c>
      <c r="I391" s="62" t="str">
        <f>IFERROR(__xludf.DUMMYFUNCTION("""COMPUTED_VALUE"""),"")</f>
        <v/>
      </c>
      <c r="J391" s="19" t="str">
        <f>IFERROR(__xludf.DUMMYFUNCTION("""COMPUTED_VALUE"""),"")</f>
        <v/>
      </c>
    </row>
    <row r="392">
      <c r="A392" s="19" t="str">
        <f>IFERROR(__xludf.DUMMYFUNCTION("""COMPUTED_VALUE"""),"")</f>
        <v/>
      </c>
      <c r="B392" s="19" t="str">
        <f>IFERROR(__xludf.DUMMYFUNCTION("""COMPUTED_VALUE"""),"")</f>
        <v/>
      </c>
      <c r="C392" s="5" t="str">
        <f>IFERROR(__xludf.DUMMYFUNCTION("""COMPUTED_VALUE"""),"")</f>
        <v/>
      </c>
      <c r="D392" s="5" t="str">
        <f>IFERROR(__xludf.DUMMYFUNCTION("""COMPUTED_VALUE"""),"")</f>
        <v/>
      </c>
      <c r="E392" s="5" t="str">
        <f>IFERROR(__xludf.DUMMYFUNCTION("""COMPUTED_VALUE"""),"")</f>
        <v/>
      </c>
      <c r="F392" s="5" t="str">
        <f>IFERROR(__xludf.DUMMYFUNCTION("""COMPUTED_VALUE"""),"")</f>
        <v/>
      </c>
      <c r="G392" s="19" t="str">
        <f>IFERROR(__xludf.DUMMYFUNCTION("""COMPUTED_VALUE"""),"")</f>
        <v/>
      </c>
      <c r="H392" s="19" t="str">
        <f>IFERROR(__xludf.DUMMYFUNCTION("""COMPUTED_VALUE"""),"")</f>
        <v/>
      </c>
      <c r="I392" s="62" t="str">
        <f>IFERROR(__xludf.DUMMYFUNCTION("""COMPUTED_VALUE"""),"")</f>
        <v/>
      </c>
      <c r="J392" s="19" t="str">
        <f>IFERROR(__xludf.DUMMYFUNCTION("""COMPUTED_VALUE"""),"")</f>
        <v/>
      </c>
    </row>
    <row r="393">
      <c r="A393" s="19" t="str">
        <f>IFERROR(__xludf.DUMMYFUNCTION("""COMPUTED_VALUE"""),"Ben Tribolet")</f>
        <v>Ben Tribolet</v>
      </c>
      <c r="B393" s="19" t="str">
        <f>IFERROR(__xludf.DUMMYFUNCTION("""COMPUTED_VALUE"""),"QLD")</f>
        <v>QLD</v>
      </c>
      <c r="C393" s="5" t="str">
        <f>IFERROR(__xludf.DUMMYFUNCTION("""COMPUTED_VALUE"""),"Coolangatta")</f>
        <v>Coolangatta</v>
      </c>
      <c r="D393" s="5" t="str">
        <f>IFERROR(__xludf.DUMMYFUNCTION("""COMPUTED_VALUE"""),"906/27 Garrick Street Coolangatta QLD 4225")</f>
        <v>906/27 Garrick Street Coolangatta QLD 4225</v>
      </c>
      <c r="E393" s="25">
        <f>IFERROR(__xludf.DUMMYFUNCTION("""COMPUTED_VALUE"""),45893.0)</f>
        <v>45893</v>
      </c>
      <c r="F393" s="5" t="str">
        <f>IFERROR(__xludf.DUMMYFUNCTION("""COMPUTED_VALUE"""),"Featured")</f>
        <v>Featured</v>
      </c>
      <c r="G393" s="19" t="str">
        <f>IFERROR(__xludf.DUMMYFUNCTION("""COMPUTED_VALUE"""),"Instant Forms")</f>
        <v>Instant Forms</v>
      </c>
      <c r="H393" s="19"/>
      <c r="I393" s="62"/>
      <c r="J393" s="19"/>
    </row>
    <row r="394">
      <c r="A394" s="19" t="str">
        <f>IFERROR(__xludf.DUMMYFUNCTION("""COMPUTED_VALUE"""),"Ben Tribolet")</f>
        <v>Ben Tribolet</v>
      </c>
      <c r="B394" s="19" t="str">
        <f>IFERROR(__xludf.DUMMYFUNCTION("""COMPUTED_VALUE"""),"QLD")</f>
        <v>QLD</v>
      </c>
      <c r="C394" s="5">
        <f>IFERROR(__xludf.DUMMYFUNCTION("""COMPUTED_VALUE"""),4221.0)</f>
        <v>4221</v>
      </c>
      <c r="D394" s="5"/>
      <c r="E394" s="25">
        <f>IFERROR(__xludf.DUMMYFUNCTION("""COMPUTED_VALUE"""),45894.0)</f>
        <v>45894</v>
      </c>
      <c r="F394" s="5" t="str">
        <f>IFERROR(__xludf.DUMMYFUNCTION("""COMPUTED_VALUE"""),"Free")</f>
        <v>Free</v>
      </c>
      <c r="G394" s="19" t="str">
        <f>IFERROR(__xludf.DUMMYFUNCTION("""COMPUTED_VALUE"""),"Instant Forms")</f>
        <v>Instant Forms</v>
      </c>
      <c r="H394" s="19"/>
      <c r="I394" s="62"/>
      <c r="J394" s="19"/>
    </row>
    <row r="395">
      <c r="A395" s="19" t="str">
        <f>IFERROR(__xludf.DUMMYFUNCTION("""COMPUTED_VALUE"""),"Ben Tribolet")</f>
        <v>Ben Tribolet</v>
      </c>
      <c r="B395" s="19" t="str">
        <f>IFERROR(__xludf.DUMMYFUNCTION("""COMPUTED_VALUE"""),"QLD")</f>
        <v>QLD</v>
      </c>
      <c r="C395" s="5" t="str">
        <f>IFERROR(__xludf.DUMMYFUNCTION("""COMPUTED_VALUE"""),"Palm Beach")</f>
        <v>Palm Beach</v>
      </c>
      <c r="D395" s="5" t="str">
        <f>IFERROR(__xludf.DUMMYFUNCTION("""COMPUTED_VALUE"""),"82 Parnki Parade Palm Beach QLD 4221")</f>
        <v>82 Parnki Parade Palm Beach QLD 4221</v>
      </c>
      <c r="E395" s="25">
        <f>IFERROR(__xludf.DUMMYFUNCTION("""COMPUTED_VALUE"""),45896.0)</f>
        <v>45896</v>
      </c>
      <c r="F395" s="5" t="str">
        <f>IFERROR(__xludf.DUMMYFUNCTION("""COMPUTED_VALUE"""),"Featured")</f>
        <v>Featured</v>
      </c>
      <c r="G395" s="19" t="str">
        <f>IFERROR(__xludf.DUMMYFUNCTION("""COMPUTED_VALUE"""),"Instant Forms")</f>
        <v>Instant Forms</v>
      </c>
      <c r="H395" s="19"/>
      <c r="I395" s="62"/>
      <c r="J395" s="19"/>
    </row>
    <row r="396">
      <c r="A396" s="19" t="str">
        <f>IFERROR(__xludf.DUMMYFUNCTION("""COMPUTED_VALUE"""),"Ben Tribolet")</f>
        <v>Ben Tribolet</v>
      </c>
      <c r="B396" s="19" t="str">
        <f>IFERROR(__xludf.DUMMYFUNCTION("""COMPUTED_VALUE"""),"QLD")</f>
        <v>QLD</v>
      </c>
      <c r="C396" s="5" t="str">
        <f>IFERROR(__xludf.DUMMYFUNCTION("""COMPUTED_VALUE"""),"bilambil heights")</f>
        <v>bilambil heights</v>
      </c>
      <c r="D396" s="5" t="str">
        <f>IFERROR(__xludf.DUMMYFUNCTION("""COMPUTED_VALUE"""),"73 Broadwater Esplanade Bilambil Heights NSW 2486")</f>
        <v>73 Broadwater Esplanade Bilambil Heights NSW 2486</v>
      </c>
      <c r="E396" s="25">
        <f>IFERROR(__xludf.DUMMYFUNCTION("""COMPUTED_VALUE"""),45897.0)</f>
        <v>45897</v>
      </c>
      <c r="F396" s="5" t="str">
        <f>IFERROR(__xludf.DUMMYFUNCTION("""COMPUTED_VALUE"""),"Featured")</f>
        <v>Featured</v>
      </c>
      <c r="G396" s="19" t="str">
        <f>IFERROR(__xludf.DUMMYFUNCTION("""COMPUTED_VALUE"""),"Instant Forms")</f>
        <v>Instant Forms</v>
      </c>
      <c r="H396" s="19"/>
      <c r="I396" s="62"/>
      <c r="J396" s="19"/>
    </row>
    <row r="397">
      <c r="A397" s="19" t="str">
        <f>IFERROR(__xludf.DUMMYFUNCTION("""COMPUTED_VALUE"""),"Ben Tribolet")</f>
        <v>Ben Tribolet</v>
      </c>
      <c r="B397" s="19" t="str">
        <f>IFERROR(__xludf.DUMMYFUNCTION("""COMPUTED_VALUE"""),"QLD")</f>
        <v>QLD</v>
      </c>
      <c r="C397" s="5" t="str">
        <f>IFERROR(__xludf.DUMMYFUNCTION("""COMPUTED_VALUE"""),"Tugun")</f>
        <v>Tugun</v>
      </c>
      <c r="D397" s="5" t="str">
        <f>IFERROR(__xludf.DUMMYFUNCTION("""COMPUTED_VALUE"""),"66/2 Inland Drive Tugun QLD 4224")</f>
        <v>66/2 Inland Drive Tugun QLD 4224</v>
      </c>
      <c r="E397" s="25">
        <f>IFERROR(__xludf.DUMMYFUNCTION("""COMPUTED_VALUE"""),45904.0)</f>
        <v>45904</v>
      </c>
      <c r="F397" s="5" t="str">
        <f>IFERROR(__xludf.DUMMYFUNCTION("""COMPUTED_VALUE"""),"Featured")</f>
        <v>Featured</v>
      </c>
      <c r="G397" s="19" t="str">
        <f>IFERROR(__xludf.DUMMYFUNCTION("""COMPUTED_VALUE"""),"Instant Forms")</f>
        <v>Instant Forms</v>
      </c>
      <c r="H397" s="19"/>
      <c r="I397" s="62"/>
      <c r="J397" s="19"/>
    </row>
    <row r="398">
      <c r="A398" s="19" t="str">
        <f>IFERROR(__xludf.DUMMYFUNCTION("""COMPUTED_VALUE"""),"Ben Tribolet")</f>
        <v>Ben Tribolet</v>
      </c>
      <c r="B398" s="19" t="str">
        <f>IFERROR(__xludf.DUMMYFUNCTION("""COMPUTED_VALUE"""),"QLD")</f>
        <v>QLD</v>
      </c>
      <c r="C398" s="5" t="str">
        <f>IFERROR(__xludf.DUMMYFUNCTION("""COMPUTED_VALUE"""),"Tugun")</f>
        <v>Tugun</v>
      </c>
      <c r="D398" s="5"/>
      <c r="E398" s="25">
        <f>IFERROR(__xludf.DUMMYFUNCTION("""COMPUTED_VALUE"""),45905.0)</f>
        <v>45905</v>
      </c>
      <c r="F398" s="5" t="str">
        <f>IFERROR(__xludf.DUMMYFUNCTION("""COMPUTED_VALUE"""),"Featured")</f>
        <v>Featured</v>
      </c>
      <c r="G398" s="19" t="str">
        <f>IFERROR(__xludf.DUMMYFUNCTION("""COMPUTED_VALUE"""),"Instant Forms")</f>
        <v>Instant Forms</v>
      </c>
      <c r="H398" s="19"/>
      <c r="I398" s="62"/>
      <c r="J398" s="19"/>
    </row>
    <row r="399">
      <c r="A399" s="19" t="str">
        <f>IFERROR(__xludf.DUMMYFUNCTION("""COMPUTED_VALUE"""),"Ben Tribolet")</f>
        <v>Ben Tribolet</v>
      </c>
      <c r="B399" s="19" t="str">
        <f>IFERROR(__xludf.DUMMYFUNCTION("""COMPUTED_VALUE"""),"QLD")</f>
        <v>QLD</v>
      </c>
      <c r="C399" s="5" t="str">
        <f>IFERROR(__xludf.DUMMYFUNCTION("""COMPUTED_VALUE"""),"Tweed Heads Sth")</f>
        <v>Tweed Heads Sth</v>
      </c>
      <c r="D399" s="5" t="str">
        <f>IFERROR(__xludf.DUMMYFUNCTION("""COMPUTED_VALUE"""),"90 Blundell Boulevard Tweed Heads South NSW 2486")</f>
        <v>90 Blundell Boulevard Tweed Heads South NSW 2486</v>
      </c>
      <c r="E399" s="25">
        <f>IFERROR(__xludf.DUMMYFUNCTION("""COMPUTED_VALUE"""),45907.0)</f>
        <v>45907</v>
      </c>
      <c r="F399" s="5" t="str">
        <f>IFERROR(__xludf.DUMMYFUNCTION("""COMPUTED_VALUE"""),"Featured")</f>
        <v>Featured</v>
      </c>
      <c r="G399" s="19" t="str">
        <f>IFERROR(__xludf.DUMMYFUNCTION("""COMPUTED_VALUE"""),"Instant Forms")</f>
        <v>Instant Forms</v>
      </c>
      <c r="H399" s="19"/>
      <c r="I399" s="62"/>
      <c r="J399" s="19"/>
    </row>
    <row r="400">
      <c r="A400" s="19" t="str">
        <f>IFERROR(__xludf.DUMMYFUNCTION("""COMPUTED_VALUE"""),"Ben Tribolet")</f>
        <v>Ben Tribolet</v>
      </c>
      <c r="B400" s="19" t="str">
        <f>IFERROR(__xludf.DUMMYFUNCTION("""COMPUTED_VALUE"""),"QLD")</f>
        <v>QLD</v>
      </c>
      <c r="C400" s="5" t="str">
        <f>IFERROR(__xludf.DUMMYFUNCTION("""COMPUTED_VALUE"""),"Palm Beach")</f>
        <v>Palm Beach</v>
      </c>
      <c r="D400" s="5" t="str">
        <f>IFERROR(__xludf.DUMMYFUNCTION("""COMPUTED_VALUE"""),"1/90 Leyte Avenue Palm Beach QLD 4221")</f>
        <v>1/90 Leyte Avenue Palm Beach QLD 4221</v>
      </c>
      <c r="E400" s="25">
        <f>IFERROR(__xludf.DUMMYFUNCTION("""COMPUTED_VALUE"""),45907.0)</f>
        <v>45907</v>
      </c>
      <c r="F400" s="5" t="str">
        <f>IFERROR(__xludf.DUMMYFUNCTION("""COMPUTED_VALUE"""),"Featured")</f>
        <v>Featured</v>
      </c>
      <c r="G400" s="19" t="str">
        <f>IFERROR(__xludf.DUMMYFUNCTION("""COMPUTED_VALUE"""),"Instant Forms")</f>
        <v>Instant Forms</v>
      </c>
      <c r="H400" s="19"/>
      <c r="I400" s="62"/>
      <c r="J400" s="19"/>
    </row>
    <row r="401">
      <c r="A401" s="19" t="str">
        <f>IFERROR(__xludf.DUMMYFUNCTION("""COMPUTED_VALUE"""),"Ben Tribolet")</f>
        <v>Ben Tribolet</v>
      </c>
      <c r="B401" s="19" t="str">
        <f>IFERROR(__xludf.DUMMYFUNCTION("""COMPUTED_VALUE"""),"QLD")</f>
        <v>QLD</v>
      </c>
      <c r="C401" s="5" t="str">
        <f>IFERROR(__xludf.DUMMYFUNCTION("""COMPUTED_VALUE"""),"Coolangatta")</f>
        <v>Coolangatta</v>
      </c>
      <c r="D401" s="5" t="str">
        <f>IFERROR(__xludf.DUMMYFUNCTION("""COMPUTED_VALUE"""),"506/13-15 Haig Street Coolangatta QLD 4225")</f>
        <v>506/13-15 Haig Street Coolangatta QLD 4225</v>
      </c>
      <c r="E401" s="25">
        <f>IFERROR(__xludf.DUMMYFUNCTION("""COMPUTED_VALUE"""),45907.0)</f>
        <v>45907</v>
      </c>
      <c r="F401" s="5" t="str">
        <f>IFERROR(__xludf.DUMMYFUNCTION("""COMPUTED_VALUE"""),"Featured")</f>
        <v>Featured</v>
      </c>
      <c r="G401" s="19" t="str">
        <f>IFERROR(__xludf.DUMMYFUNCTION("""COMPUTED_VALUE"""),"Instant Forms")</f>
        <v>Instant Forms</v>
      </c>
      <c r="H401" s="19"/>
      <c r="I401" s="62"/>
      <c r="J401" s="19"/>
    </row>
    <row r="402">
      <c r="A402" s="19" t="str">
        <f>IFERROR(__xludf.DUMMYFUNCTION("""COMPUTED_VALUE"""),"Ben Tribolet")</f>
        <v>Ben Tribolet</v>
      </c>
      <c r="B402" s="19" t="str">
        <f>IFERROR(__xludf.DUMMYFUNCTION("""COMPUTED_VALUE"""),"QLD")</f>
        <v>QLD</v>
      </c>
      <c r="C402" s="5" t="str">
        <f>IFERROR(__xludf.DUMMYFUNCTION("""COMPUTED_VALUE"""),"Bilinga")</f>
        <v>Bilinga</v>
      </c>
      <c r="D402" s="5" t="str">
        <f>IFERROR(__xludf.DUMMYFUNCTION("""COMPUTED_VALUE"""),"3/20 Pacific Parade Bilinga QLD 4225")</f>
        <v>3/20 Pacific Parade Bilinga QLD 4225</v>
      </c>
      <c r="E402" s="25">
        <f>IFERROR(__xludf.DUMMYFUNCTION("""COMPUTED_VALUE"""),45907.0)</f>
        <v>45907</v>
      </c>
      <c r="F402" s="5" t="str">
        <f>IFERROR(__xludf.DUMMYFUNCTION("""COMPUTED_VALUE"""),"Featured")</f>
        <v>Featured</v>
      </c>
      <c r="G402" s="19" t="str">
        <f>IFERROR(__xludf.DUMMYFUNCTION("""COMPUTED_VALUE"""),"Instant Forms")</f>
        <v>Instant Forms</v>
      </c>
      <c r="H402" s="19"/>
      <c r="I402" s="62"/>
      <c r="J402" s="19"/>
    </row>
    <row r="403">
      <c r="A403" s="19" t="str">
        <f>IFERROR(__xludf.DUMMYFUNCTION("""COMPUTED_VALUE"""),"Ben Tribolet")</f>
        <v>Ben Tribolet</v>
      </c>
      <c r="B403" s="19" t="str">
        <f>IFERROR(__xludf.DUMMYFUNCTION("""COMPUTED_VALUE"""),"QLD")</f>
        <v>QLD</v>
      </c>
      <c r="C403" s="5" t="str">
        <f>IFERROR(__xludf.DUMMYFUNCTION("""COMPUTED_VALUE"""),"Elanora")</f>
        <v>Elanora</v>
      </c>
      <c r="D403" s="5" t="str">
        <f>IFERROR(__xludf.DUMMYFUNCTION("""COMPUTED_VALUE"""),"1/38 Westminster Boulevard Elanora QLD 4221")</f>
        <v>1/38 Westminster Boulevard Elanora QLD 4221</v>
      </c>
      <c r="E403" s="25">
        <f>IFERROR(__xludf.DUMMYFUNCTION("""COMPUTED_VALUE"""),45908.0)</f>
        <v>45908</v>
      </c>
      <c r="F403" s="5" t="str">
        <f>IFERROR(__xludf.DUMMYFUNCTION("""COMPUTED_VALUE"""),"Featured")</f>
        <v>Featured</v>
      </c>
      <c r="G403" s="19" t="str">
        <f>IFERROR(__xludf.DUMMYFUNCTION("""COMPUTED_VALUE"""),"Instant Forms")</f>
        <v>Instant Forms</v>
      </c>
      <c r="H403" s="19"/>
      <c r="I403" s="62"/>
      <c r="J403" s="19"/>
    </row>
    <row r="404">
      <c r="A404" s="19" t="str">
        <f>IFERROR(__xludf.DUMMYFUNCTION("""COMPUTED_VALUE"""),"Ben Tribolet")</f>
        <v>Ben Tribolet</v>
      </c>
      <c r="B404" s="19" t="str">
        <f>IFERROR(__xludf.DUMMYFUNCTION("""COMPUTED_VALUE"""),"QLD")</f>
        <v>QLD</v>
      </c>
      <c r="C404" s="5" t="str">
        <f>IFERROR(__xludf.DUMMYFUNCTION("""COMPUTED_VALUE"""),"Burleigh Heads")</f>
        <v>Burleigh Heads</v>
      </c>
      <c r="D404" s="5" t="str">
        <f>IFERROR(__xludf.DUMMYFUNCTION("""COMPUTED_VALUE"""),"LOT 2/43 Cowell Drive Burleigh Heads QLD 4220")</f>
        <v>LOT 2/43 Cowell Drive Burleigh Heads QLD 4220</v>
      </c>
      <c r="E404" s="25">
        <f>IFERROR(__xludf.DUMMYFUNCTION("""COMPUTED_VALUE"""),45908.0)</f>
        <v>45908</v>
      </c>
      <c r="F404" s="5" t="str">
        <f>IFERROR(__xludf.DUMMYFUNCTION("""COMPUTED_VALUE"""),"Featured")</f>
        <v>Featured</v>
      </c>
      <c r="G404" s="19" t="str">
        <f>IFERROR(__xludf.DUMMYFUNCTION("""COMPUTED_VALUE"""),"Instant Forms")</f>
        <v>Instant Forms</v>
      </c>
      <c r="H404" s="19"/>
      <c r="I404" s="62"/>
      <c r="J404" s="19"/>
    </row>
    <row r="405">
      <c r="A405" s="19" t="str">
        <f>IFERROR(__xludf.DUMMYFUNCTION("""COMPUTED_VALUE"""),"Ben Tribolet")</f>
        <v>Ben Tribolet</v>
      </c>
      <c r="B405" s="19" t="str">
        <f>IFERROR(__xludf.DUMMYFUNCTION("""COMPUTED_VALUE"""),"QLD")</f>
        <v>QLD</v>
      </c>
      <c r="C405" s="5" t="str">
        <f>IFERROR(__xludf.DUMMYFUNCTION("""COMPUTED_VALUE"""),"Tweed Heads West")</f>
        <v>Tweed Heads West</v>
      </c>
      <c r="D405" s="5" t="str">
        <f>IFERROR(__xludf.DUMMYFUNCTION("""COMPUTED_VALUE"""),"1/20 Bailey Street Tweed Heads West NSW 2485")</f>
        <v>1/20 Bailey Street Tweed Heads West NSW 2485</v>
      </c>
      <c r="E405" s="25">
        <f>IFERROR(__xludf.DUMMYFUNCTION("""COMPUTED_VALUE"""),45908.0)</f>
        <v>45908</v>
      </c>
      <c r="F405" s="5" t="str">
        <f>IFERROR(__xludf.DUMMYFUNCTION("""COMPUTED_VALUE"""),"Featured")</f>
        <v>Featured</v>
      </c>
      <c r="G405" s="19" t="str">
        <f>IFERROR(__xludf.DUMMYFUNCTION("""COMPUTED_VALUE"""),"Instant Forms")</f>
        <v>Instant Forms</v>
      </c>
      <c r="H405" s="19"/>
      <c r="I405" s="62"/>
      <c r="J405" s="19"/>
    </row>
    <row r="406">
      <c r="A406" s="19" t="str">
        <f>IFERROR(__xludf.DUMMYFUNCTION("""COMPUTED_VALUE"""),"Ben Tribolet")</f>
        <v>Ben Tribolet</v>
      </c>
      <c r="B406" s="19" t="str">
        <f>IFERROR(__xludf.DUMMYFUNCTION("""COMPUTED_VALUE"""),"QLD")</f>
        <v>QLD</v>
      </c>
      <c r="C406" s="5" t="str">
        <f>IFERROR(__xludf.DUMMYFUNCTION("""COMPUTED_VALUE"""),"Palm Beach")</f>
        <v>Palm Beach</v>
      </c>
      <c r="D406" s="5" t="str">
        <f>IFERROR(__xludf.DUMMYFUNCTION("""COMPUTED_VALUE"""),"1407/1328 Gold Coast Highway Palm Beach QLD 4221")</f>
        <v>1407/1328 Gold Coast Highway Palm Beach QLD 4221</v>
      </c>
      <c r="E406" s="25">
        <f>IFERROR(__xludf.DUMMYFUNCTION("""COMPUTED_VALUE"""),45922.0)</f>
        <v>45922</v>
      </c>
      <c r="F406" s="5">
        <f>IFERROR(__xludf.DUMMYFUNCTION("""COMPUTED_VALUE"""),10.0)</f>
        <v>10</v>
      </c>
      <c r="G406" s="19" t="str">
        <f>IFERROR(__xludf.DUMMYFUNCTION("""COMPUTED_VALUE"""),"Instant Forms")</f>
        <v>Instant Forms</v>
      </c>
      <c r="H406" s="19" t="str">
        <f>IFERROR(__xludf.DUMMYFUNCTION("""COMPUTED_VALUE"""),"Damon Robbins (Currently on the market)")</f>
        <v>Damon Robbins (Currently on the market)</v>
      </c>
      <c r="I406" s="62"/>
      <c r="J406" s="19"/>
    </row>
    <row r="407">
      <c r="A407" s="19" t="str">
        <f>IFERROR(__xludf.DUMMYFUNCTION("""COMPUTED_VALUE"""),"Ben Tribolet")</f>
        <v>Ben Tribolet</v>
      </c>
      <c r="B407" s="19" t="str">
        <f>IFERROR(__xludf.DUMMYFUNCTION("""COMPUTED_VALUE"""),"QLD")</f>
        <v>QLD</v>
      </c>
      <c r="C407" s="5" t="str">
        <f>IFERROR(__xludf.DUMMYFUNCTION("""COMPUTED_VALUE"""),"Elanora")</f>
        <v>Elanora</v>
      </c>
      <c r="D407" s="5" t="str">
        <f>IFERROR(__xludf.DUMMYFUNCTION("""COMPUTED_VALUE"""),"28 Kaffia Court Elanora QLD 4221")</f>
        <v>28 Kaffia Court Elanora QLD 4221</v>
      </c>
      <c r="E407" s="25">
        <f>IFERROR(__xludf.DUMMYFUNCTION("""COMPUTED_VALUE"""),45923.0)</f>
        <v>45923</v>
      </c>
      <c r="F407" s="5">
        <f>IFERROR(__xludf.DUMMYFUNCTION("""COMPUTED_VALUE"""),6.0)</f>
        <v>6</v>
      </c>
      <c r="G407" s="19" t="str">
        <f>IFERROR(__xludf.DUMMYFUNCTION("""COMPUTED_VALUE"""),"Instant Forms")</f>
        <v>Instant Forms</v>
      </c>
      <c r="H407" s="19" t="str">
        <f>IFERROR(__xludf.DUMMYFUNCTION("""COMPUTED_VALUE"""),"Mark Taylor")</f>
        <v>Mark Taylor</v>
      </c>
      <c r="I407" s="62"/>
      <c r="J407" s="19"/>
    </row>
    <row r="408">
      <c r="A408" s="19" t="str">
        <f>IFERROR(__xludf.DUMMYFUNCTION("""COMPUTED_VALUE"""),"Ben Tribolet")</f>
        <v>Ben Tribolet</v>
      </c>
      <c r="B408" s="19" t="str">
        <f>IFERROR(__xludf.DUMMYFUNCTION("""COMPUTED_VALUE"""),"QLD")</f>
        <v>QLD</v>
      </c>
      <c r="C408" s="5" t="str">
        <f>IFERROR(__xludf.DUMMYFUNCTION("""COMPUTED_VALUE"""),"Tugun")</f>
        <v>Tugun</v>
      </c>
      <c r="D408" s="5" t="str">
        <f>IFERROR(__xludf.DUMMYFUNCTION("""COMPUTED_VALUE"""),"43 O'Connor Street Tugun QLD 4224")</f>
        <v>43 O'Connor Street Tugun QLD 4224</v>
      </c>
      <c r="E408" s="25">
        <f>IFERROR(__xludf.DUMMYFUNCTION("""COMPUTED_VALUE"""),45924.0)</f>
        <v>45924</v>
      </c>
      <c r="F408" s="5">
        <f>IFERROR(__xludf.DUMMYFUNCTION("""COMPUTED_VALUE"""),8.0)</f>
        <v>8</v>
      </c>
      <c r="G408" s="19" t="str">
        <f>IFERROR(__xludf.DUMMYFUNCTION("""COMPUTED_VALUE"""),"Instant Forms")</f>
        <v>Instant Forms</v>
      </c>
      <c r="H408" s="19" t="str">
        <f>IFERROR(__xludf.DUMMYFUNCTION("""COMPUTED_VALUE"""),"Amanda Lambert")</f>
        <v>Amanda Lambert</v>
      </c>
      <c r="I408" s="62"/>
      <c r="J408" s="19"/>
    </row>
    <row r="409">
      <c r="A409" s="19" t="str">
        <f>IFERROR(__xludf.DUMMYFUNCTION("""COMPUTED_VALUE"""),"Ben Tribolet")</f>
        <v>Ben Tribolet</v>
      </c>
      <c r="B409" s="19" t="str">
        <f>IFERROR(__xludf.DUMMYFUNCTION("""COMPUTED_VALUE"""),"QLD")</f>
        <v>QLD</v>
      </c>
      <c r="C409" s="5" t="str">
        <f>IFERROR(__xludf.DUMMYFUNCTION("""COMPUTED_VALUE"""),"Palm Beach")</f>
        <v>Palm Beach</v>
      </c>
      <c r="D409" s="5" t="str">
        <f>IFERROR(__xludf.DUMMYFUNCTION("""COMPUTED_VALUE"""),"15 Morotai Avenue Palm Beach QLD 4221")</f>
        <v>15 Morotai Avenue Palm Beach QLD 4221</v>
      </c>
      <c r="E409" s="25">
        <f>IFERROR(__xludf.DUMMYFUNCTION("""COMPUTED_VALUE"""),45926.0)</f>
        <v>45926</v>
      </c>
      <c r="F409" s="5">
        <f>IFERROR(__xludf.DUMMYFUNCTION("""COMPUTED_VALUE"""),8.0)</f>
        <v>8</v>
      </c>
      <c r="G409" s="19" t="str">
        <f>IFERROR(__xludf.DUMMYFUNCTION("""COMPUTED_VALUE"""),"Instant Forms")</f>
        <v>Instant Forms</v>
      </c>
      <c r="H409" s="19" t="str">
        <f>IFERROR(__xludf.DUMMYFUNCTION("""COMPUTED_VALUE"""),"Gerard McCormick")</f>
        <v>Gerard McCormick</v>
      </c>
      <c r="I409" s="62"/>
      <c r="J409" s="19"/>
    </row>
    <row r="410">
      <c r="A410" s="19" t="str">
        <f>IFERROR(__xludf.DUMMYFUNCTION("""COMPUTED_VALUE"""),"Ben Tribolet")</f>
        <v>Ben Tribolet</v>
      </c>
      <c r="B410" s="19" t="str">
        <f>IFERROR(__xludf.DUMMYFUNCTION("""COMPUTED_VALUE"""),"QLD")</f>
        <v>QLD</v>
      </c>
      <c r="C410" s="5" t="str">
        <f>IFERROR(__xludf.DUMMYFUNCTION("""COMPUTED_VALUE"""),"Even heights")</f>
        <v>Even heights</v>
      </c>
      <c r="D410" s="5" t="str">
        <f>IFERROR(__xludf.DUMMYFUNCTION("""COMPUTED_VALUE"""),"292 Coolangatta Road Bilinga QLD 4225")</f>
        <v>292 Coolangatta Road Bilinga QLD 4225</v>
      </c>
      <c r="E410" s="25">
        <f>IFERROR(__xludf.DUMMYFUNCTION("""COMPUTED_VALUE"""),45928.0)</f>
        <v>45928</v>
      </c>
      <c r="F410" s="5">
        <f>IFERROR(__xludf.DUMMYFUNCTION("""COMPUTED_VALUE"""),10.0)</f>
        <v>10</v>
      </c>
      <c r="G410" s="19" t="str">
        <f>IFERROR(__xludf.DUMMYFUNCTION("""COMPUTED_VALUE"""),"Instant Forms")</f>
        <v>Instant Forms</v>
      </c>
      <c r="H410" s="19" t="str">
        <f>IFERROR(__xludf.DUMMYFUNCTION("""COMPUTED_VALUE"""),"Ian Chan")</f>
        <v>Ian Chan</v>
      </c>
      <c r="I410" s="62"/>
      <c r="J410" s="19"/>
    </row>
    <row r="411">
      <c r="A411" s="19" t="str">
        <f>IFERROR(__xludf.DUMMYFUNCTION("""COMPUTED_VALUE"""),"Ben Tribolet")</f>
        <v>Ben Tribolet</v>
      </c>
      <c r="B411" s="19" t="str">
        <f>IFERROR(__xludf.DUMMYFUNCTION("""COMPUTED_VALUE"""),"QLD")</f>
        <v>QLD</v>
      </c>
      <c r="C411" s="5" t="str">
        <f>IFERROR(__xludf.DUMMYFUNCTION("""COMPUTED_VALUE"""),"Bilinga")</f>
        <v>Bilinga</v>
      </c>
      <c r="D411" s="5" t="str">
        <f>IFERROR(__xludf.DUMMYFUNCTION("""COMPUTED_VALUE"""),"292 Coolangatta Road Bilinga QLD 4225")</f>
        <v>292 Coolangatta Road Bilinga QLD 4225</v>
      </c>
      <c r="E411" s="25">
        <f>IFERROR(__xludf.DUMMYFUNCTION("""COMPUTED_VALUE"""),45929.0)</f>
        <v>45929</v>
      </c>
      <c r="F411" s="5">
        <f>IFERROR(__xludf.DUMMYFUNCTION("""COMPUTED_VALUE"""),10.0)</f>
        <v>10</v>
      </c>
      <c r="G411" s="19" t="str">
        <f>IFERROR(__xludf.DUMMYFUNCTION("""COMPUTED_VALUE"""),"Instant Forms")</f>
        <v>Instant Forms</v>
      </c>
      <c r="H411" s="19" t="str">
        <f>IFERROR(__xludf.DUMMYFUNCTION("""COMPUTED_VALUE"""),"Mick Malady")</f>
        <v>Mick Malady</v>
      </c>
      <c r="I411" s="62"/>
      <c r="J411" s="19"/>
    </row>
    <row r="412">
      <c r="A412" s="19" t="str">
        <f>IFERROR(__xludf.DUMMYFUNCTION("""COMPUTED_VALUE"""),"Ben Tribolet")</f>
        <v>Ben Tribolet</v>
      </c>
      <c r="B412" s="19" t="str">
        <f>IFERROR(__xludf.DUMMYFUNCTION("""COMPUTED_VALUE"""),"QLD")</f>
        <v>QLD</v>
      </c>
      <c r="C412" s="5" t="str">
        <f>IFERROR(__xludf.DUMMYFUNCTION("""COMPUTED_VALUE"""),"Banora Point")</f>
        <v>Banora Point</v>
      </c>
      <c r="D412" s="5" t="str">
        <f>IFERROR(__xludf.DUMMYFUNCTION("""COMPUTED_VALUE"""),"23 Sequoia Court Banora Point NSW 2486")</f>
        <v>23 Sequoia Court Banora Point NSW 2486</v>
      </c>
      <c r="E412" s="25">
        <f>IFERROR(__xludf.DUMMYFUNCTION("""COMPUTED_VALUE"""),45933.0)</f>
        <v>45933</v>
      </c>
      <c r="F412" s="5">
        <f>IFERROR(__xludf.DUMMYFUNCTION("""COMPUTED_VALUE"""),8.0)</f>
        <v>8</v>
      </c>
      <c r="G412" s="19" t="str">
        <f>IFERROR(__xludf.DUMMYFUNCTION("""COMPUTED_VALUE"""),"Instant Forms")</f>
        <v>Instant Forms</v>
      </c>
      <c r="H412" s="19" t="str">
        <f>IFERROR(__xludf.DUMMYFUNCTION("""COMPUTED_VALUE"""),"John Berry")</f>
        <v>John Berry</v>
      </c>
      <c r="I412" s="62"/>
      <c r="J412" s="19"/>
    </row>
    <row r="413">
      <c r="A413" s="19" t="str">
        <f>IFERROR(__xludf.DUMMYFUNCTION("""COMPUTED_VALUE"""),"Ben Tribolet")</f>
        <v>Ben Tribolet</v>
      </c>
      <c r="B413" s="19" t="str">
        <f>IFERROR(__xludf.DUMMYFUNCTION("""COMPUTED_VALUE"""),"QLD")</f>
        <v>QLD</v>
      </c>
      <c r="C413" s="5" t="str">
        <f>IFERROR(__xludf.DUMMYFUNCTION("""COMPUTED_VALUE"""),"Palm beach")</f>
        <v>Palm beach</v>
      </c>
      <c r="D413" s="5"/>
      <c r="E413" s="25">
        <f>IFERROR(__xludf.DUMMYFUNCTION("""COMPUTED_VALUE"""),45933.0)</f>
        <v>45933</v>
      </c>
      <c r="F413" s="5">
        <f>IFERROR(__xludf.DUMMYFUNCTION("""COMPUTED_VALUE"""),5.0)</f>
        <v>5</v>
      </c>
      <c r="G413" s="19" t="str">
        <f>IFERROR(__xludf.DUMMYFUNCTION("""COMPUTED_VALUE"""),"Instant Forms")</f>
        <v>Instant Forms</v>
      </c>
      <c r="H413" s="19" t="str">
        <f>IFERROR(__xludf.DUMMYFUNCTION("""COMPUTED_VALUE"""),"Jim Davidson")</f>
        <v>Jim Davidson</v>
      </c>
      <c r="I413" s="62"/>
      <c r="J413" s="19"/>
    </row>
    <row r="414">
      <c r="A414" s="19" t="str">
        <f>IFERROR(__xludf.DUMMYFUNCTION("""COMPUTED_VALUE"""),"Ben Tribolet")</f>
        <v>Ben Tribolet</v>
      </c>
      <c r="B414" s="19" t="str">
        <f>IFERROR(__xludf.DUMMYFUNCTION("""COMPUTED_VALUE"""),"QLD")</f>
        <v>QLD</v>
      </c>
      <c r="C414" s="5" t="str">
        <f>IFERROR(__xludf.DUMMYFUNCTION("""COMPUTED_VALUE"""),"Fingal head nsw")</f>
        <v>Fingal head nsw</v>
      </c>
      <c r="D414" s="5" t="str">
        <f>IFERROR(__xludf.DUMMYFUNCTION("""COMPUTED_VALUE"""),"4/3 Elizabeth Street Fingal Head NSW 2487")</f>
        <v>4/3 Elizabeth Street Fingal Head NSW 2487</v>
      </c>
      <c r="E414" s="25">
        <f>IFERROR(__xludf.DUMMYFUNCTION("""COMPUTED_VALUE"""),45934.0)</f>
        <v>45934</v>
      </c>
      <c r="F414" s="5">
        <f>IFERROR(__xludf.DUMMYFUNCTION("""COMPUTED_VALUE"""),5.0)</f>
        <v>5</v>
      </c>
      <c r="G414" s="19" t="str">
        <f>IFERROR(__xludf.DUMMYFUNCTION("""COMPUTED_VALUE"""),"Instant Forms")</f>
        <v>Instant Forms</v>
      </c>
      <c r="H414" s="19" t="str">
        <f>IFERROR(__xludf.DUMMYFUNCTION("""COMPUTED_VALUE"""),"Rae")</f>
        <v>Rae</v>
      </c>
      <c r="I414" s="62"/>
      <c r="J414" s="19"/>
    </row>
    <row r="415">
      <c r="A415" s="19" t="str">
        <f>IFERROR(__xludf.DUMMYFUNCTION("""COMPUTED_VALUE"""),"Ben Tribolet")</f>
        <v>Ben Tribolet</v>
      </c>
      <c r="B415" s="19" t="str">
        <f>IFERROR(__xludf.DUMMYFUNCTION("""COMPUTED_VALUE"""),"QLD")</f>
        <v>QLD</v>
      </c>
      <c r="C415" s="5" t="str">
        <f>IFERROR(__xludf.DUMMYFUNCTION("""COMPUTED_VALUE"""),"kingscliff")</f>
        <v>kingscliff</v>
      </c>
      <c r="D415" s="5"/>
      <c r="E415" s="25">
        <f>IFERROR(__xludf.DUMMYFUNCTION("""COMPUTED_VALUE"""),45936.0)</f>
        <v>45936</v>
      </c>
      <c r="F415" s="5">
        <f>IFERROR(__xludf.DUMMYFUNCTION("""COMPUTED_VALUE"""),6.0)</f>
        <v>6</v>
      </c>
      <c r="G415" s="19" t="str">
        <f>IFERROR(__xludf.DUMMYFUNCTION("""COMPUTED_VALUE"""),"Instant Forms")</f>
        <v>Instant Forms</v>
      </c>
      <c r="H415" s="19" t="str">
        <f>IFERROR(__xludf.DUMMYFUNCTION("""COMPUTED_VALUE"""),"Kas Quinn")</f>
        <v>Kas Quinn</v>
      </c>
      <c r="I415" s="62"/>
      <c r="J415" s="19"/>
    </row>
    <row r="416">
      <c r="A416" s="19" t="str">
        <f>IFERROR(__xludf.DUMMYFUNCTION("""COMPUTED_VALUE"""),"Ben Tribolet")</f>
        <v>Ben Tribolet</v>
      </c>
      <c r="B416" s="19" t="str">
        <f>IFERROR(__xludf.DUMMYFUNCTION("""COMPUTED_VALUE"""),"QLD")</f>
        <v>QLD</v>
      </c>
      <c r="C416" s="5" t="str">
        <f>IFERROR(__xludf.DUMMYFUNCTION("""COMPUTED_VALUE"""),"Kingscliff")</f>
        <v>Kingscliff</v>
      </c>
      <c r="D416" s="5" t="str">
        <f>IFERROR(__xludf.DUMMYFUNCTION("""COMPUTED_VALUE"""),"10 Pacific Street Kingscliff NSW 2487")</f>
        <v>10 Pacific Street Kingscliff NSW 2487</v>
      </c>
      <c r="E416" s="25">
        <f>IFERROR(__xludf.DUMMYFUNCTION("""COMPUTED_VALUE"""),45946.0)</f>
        <v>45946</v>
      </c>
      <c r="F416" s="5">
        <f>IFERROR(__xludf.DUMMYFUNCTION("""COMPUTED_VALUE"""),8.0)</f>
        <v>8</v>
      </c>
      <c r="G416" s="19" t="str">
        <f>IFERROR(__xludf.DUMMYFUNCTION("""COMPUTED_VALUE"""),"Instant Forms")</f>
        <v>Instant Forms</v>
      </c>
      <c r="H416" s="19"/>
      <c r="I416" s="62"/>
      <c r="J416" s="19"/>
    </row>
    <row r="417">
      <c r="A417" s="19" t="str">
        <f>IFERROR(__xludf.DUMMYFUNCTION("""COMPUTED_VALUE"""),"Ben Tribolet")</f>
        <v>Ben Tribolet</v>
      </c>
      <c r="B417" s="19" t="str">
        <f>IFERROR(__xludf.DUMMYFUNCTION("""COMPUTED_VALUE"""),"QLD")</f>
        <v>QLD</v>
      </c>
      <c r="C417" s="5" t="str">
        <f>IFERROR(__xludf.DUMMYFUNCTION("""COMPUTED_VALUE"""),"Palm Beach Gold Coast")</f>
        <v>Palm Beach Gold Coast</v>
      </c>
      <c r="D417" s="5" t="str">
        <f>IFERROR(__xludf.DUMMYFUNCTION("""COMPUTED_VALUE"""),"2/5 Second Avenue Palm Beach QLD 4221")</f>
        <v>2/5 Second Avenue Palm Beach QLD 4221</v>
      </c>
      <c r="E417" s="25">
        <f>IFERROR(__xludf.DUMMYFUNCTION("""COMPUTED_VALUE"""),45946.0)</f>
        <v>45946</v>
      </c>
      <c r="F417" s="5">
        <f>IFERROR(__xludf.DUMMYFUNCTION("""COMPUTED_VALUE"""),8.0)</f>
        <v>8</v>
      </c>
      <c r="G417" s="19" t="str">
        <f>IFERROR(__xludf.DUMMYFUNCTION("""COMPUTED_VALUE"""),"Instant Forms")</f>
        <v>Instant Forms</v>
      </c>
      <c r="H417" s="19"/>
      <c r="I417" s="62"/>
      <c r="J417" s="19"/>
    </row>
    <row r="418">
      <c r="A418" s="19" t="str">
        <f>IFERROR(__xludf.DUMMYFUNCTION("""COMPUTED_VALUE"""),"Ben Tribolet")</f>
        <v>Ben Tribolet</v>
      </c>
      <c r="B418" s="19" t="str">
        <f>IFERROR(__xludf.DUMMYFUNCTION("""COMPUTED_VALUE"""),"QLD")</f>
        <v>QLD</v>
      </c>
      <c r="C418" s="5" t="str">
        <f>IFERROR(__xludf.DUMMYFUNCTION("""COMPUTED_VALUE"""),"Coolangatta")</f>
        <v>Coolangatta</v>
      </c>
      <c r="D418" s="5" t="str">
        <f>IFERROR(__xludf.DUMMYFUNCTION("""COMPUTED_VALUE"""),"1/129-131 Musgrave Street Coolangatta QLD 4225")</f>
        <v>1/129-131 Musgrave Street Coolangatta QLD 4225</v>
      </c>
      <c r="E418" s="25">
        <f>IFERROR(__xludf.DUMMYFUNCTION("""COMPUTED_VALUE"""),45949.0)</f>
        <v>45949</v>
      </c>
      <c r="F418" s="5">
        <f>IFERROR(__xludf.DUMMYFUNCTION("""COMPUTED_VALUE"""),6.0)</f>
        <v>6</v>
      </c>
      <c r="G418" s="19" t="str">
        <f>IFERROR(__xludf.DUMMYFUNCTION("""COMPUTED_VALUE"""),"Instant Forms")</f>
        <v>Instant Forms</v>
      </c>
      <c r="H418" s="19"/>
      <c r="I418" s="62"/>
      <c r="J418" s="19"/>
    </row>
    <row r="419">
      <c r="A419" s="19" t="str">
        <f>IFERROR(__xludf.DUMMYFUNCTION("""COMPUTED_VALUE"""),"Ben Tribolet")</f>
        <v>Ben Tribolet</v>
      </c>
      <c r="B419" s="19" t="str">
        <f>IFERROR(__xludf.DUMMYFUNCTION("""COMPUTED_VALUE"""),"QLD")</f>
        <v>QLD</v>
      </c>
      <c r="C419" s="5" t="str">
        <f>IFERROR(__xludf.DUMMYFUNCTION("""COMPUTED_VALUE"""),"Palm Beach")</f>
        <v>Palm Beach</v>
      </c>
      <c r="D419" s="5" t="str">
        <f>IFERROR(__xludf.DUMMYFUNCTION("""COMPUTED_VALUE"""),"2/5 Second Avenue Palm Beach QLD 4221")</f>
        <v>2/5 Second Avenue Palm Beach QLD 4221</v>
      </c>
      <c r="E419" s="25">
        <f>IFERROR(__xludf.DUMMYFUNCTION("""COMPUTED_VALUE"""),45955.0)</f>
        <v>45955</v>
      </c>
      <c r="F419" s="5">
        <f>IFERROR(__xludf.DUMMYFUNCTION("""COMPUTED_VALUE"""),8.0)</f>
        <v>8</v>
      </c>
      <c r="G419" s="19" t="str">
        <f>IFERROR(__xludf.DUMMYFUNCTION("""COMPUTED_VALUE"""),"Instant Forms")</f>
        <v>Instant Forms</v>
      </c>
      <c r="H419" s="19"/>
      <c r="I419" s="62"/>
      <c r="J419" s="19"/>
    </row>
    <row r="420">
      <c r="A420" s="19" t="str">
        <f>IFERROR(__xludf.DUMMYFUNCTION("""COMPUTED_VALUE"""),"Ben Tribolet")</f>
        <v>Ben Tribolet</v>
      </c>
      <c r="B420" s="19" t="str">
        <f>IFERROR(__xludf.DUMMYFUNCTION("""COMPUTED_VALUE"""),"QLD")</f>
        <v>QLD</v>
      </c>
      <c r="C420" s="5" t="str">
        <f>IFERROR(__xludf.DUMMYFUNCTION("""COMPUTED_VALUE"""),"Palm Beach")</f>
        <v>Palm Beach</v>
      </c>
      <c r="D420" s="5" t="str">
        <f>IFERROR(__xludf.DUMMYFUNCTION("""COMPUTED_VALUE"""),"2/5 Second Ave, Palm Beach, 4221")</f>
        <v>2/5 Second Ave, Palm Beach, 4221</v>
      </c>
      <c r="E420" s="25" t="str">
        <f>IFERROR(__xludf.DUMMYFUNCTION("""COMPUTED_VALUE"""),"27/10/2025")</f>
        <v>27/10/2025</v>
      </c>
      <c r="F420" s="5" t="str">
        <f>IFERROR(__xludf.DUMMYFUNCTION("""COMPUTED_VALUE"""),"Featured")</f>
        <v>Featured</v>
      </c>
      <c r="G420" s="19" t="str">
        <f>IFERROR(__xludf.DUMMYFUNCTION("""COMPUTED_VALUE"""),"Meta Commission Report")</f>
        <v>Meta Commission Report</v>
      </c>
      <c r="H420" s="19" t="str">
        <f>IFERROR(__xludf.DUMMYFUNCTION("""COMPUTED_VALUE"""),"Colleen Brown")</f>
        <v>Colleen Brown</v>
      </c>
      <c r="I420" s="62"/>
      <c r="J420" s="19"/>
    </row>
    <row r="421">
      <c r="A421" s="19" t="str">
        <f>IFERROR(__xludf.DUMMYFUNCTION("""COMPUTED_VALUE"""),"Ben Tribolet")</f>
        <v>Ben Tribolet</v>
      </c>
      <c r="B421" s="19" t="str">
        <f>IFERROR(__xludf.DUMMYFUNCTION("""COMPUTED_VALUE"""),"QLD")</f>
        <v>QLD</v>
      </c>
      <c r="C421" s="5" t="str">
        <f>IFERROR(__xludf.DUMMYFUNCTION("""COMPUTED_VALUE"""),"Palm Beach")</f>
        <v>Palm Beach</v>
      </c>
      <c r="D421" s="5" t="str">
        <f>IFERROR(__xludf.DUMMYFUNCTION("""COMPUTED_VALUE"""),"605 Twenty Third Avenue, Palm Beach, QLD, 4221, Australia")</f>
        <v>605 Twenty Third Avenue, Palm Beach, QLD, 4221, Australia</v>
      </c>
      <c r="E421" s="27">
        <f>IFERROR(__xludf.DUMMYFUNCTION("""COMPUTED_VALUE"""),45668.0)</f>
        <v>45668</v>
      </c>
      <c r="F421" s="5" t="str">
        <f>IFERROR(__xludf.DUMMYFUNCTION("""COMPUTED_VALUE"""),"Featured")</f>
        <v>Featured</v>
      </c>
      <c r="G421" s="19"/>
      <c r="H421" s="19"/>
      <c r="I421" s="62"/>
      <c r="J421" s="19"/>
    </row>
    <row r="422">
      <c r="A422" s="19" t="str">
        <f>IFERROR(__xludf.DUMMYFUNCTION("""COMPUTED_VALUE"""),"Ben Tribolet")</f>
        <v>Ben Tribolet</v>
      </c>
      <c r="B422" s="19" t="str">
        <f>IFERROR(__xludf.DUMMYFUNCTION("""COMPUTED_VALUE"""),"QLD")</f>
        <v>QLD</v>
      </c>
      <c r="C422" s="5" t="str">
        <f>IFERROR(__xludf.DUMMYFUNCTION("""COMPUTED_VALUE"""),"Palm Beach")</f>
        <v>Palm Beach</v>
      </c>
      <c r="D422" s="5" t="str">
        <f>IFERROR(__xludf.DUMMYFUNCTION("""COMPUTED_VALUE"""),"2/5 Second Avenue Palm Beach QLD 4221")</f>
        <v>2/5 Second Avenue Palm Beach QLD 4221</v>
      </c>
      <c r="E422" s="25">
        <f>IFERROR(__xludf.DUMMYFUNCTION("""COMPUTED_VALUE"""),45964.0)</f>
        <v>45964</v>
      </c>
      <c r="F422" s="5">
        <f>IFERROR(__xludf.DUMMYFUNCTION("""COMPUTED_VALUE"""),8.0)</f>
        <v>8</v>
      </c>
      <c r="G422" s="19" t="str">
        <f>IFERROR(__xludf.DUMMYFUNCTION("""COMPUTED_VALUE"""),"Instant Forms")</f>
        <v>Instant Forms</v>
      </c>
      <c r="H422" s="19"/>
      <c r="I422" s="62"/>
      <c r="J422" s="19"/>
    </row>
    <row r="423">
      <c r="A423" s="19" t="str">
        <f>IFERROR(__xludf.DUMMYFUNCTION("""COMPUTED_VALUE"""),"Ben Tribolet")</f>
        <v>Ben Tribolet</v>
      </c>
      <c r="B423" s="19" t="str">
        <f>IFERROR(__xludf.DUMMYFUNCTION("""COMPUTED_VALUE"""),"QLD")</f>
        <v>QLD</v>
      </c>
      <c r="C423" s="5" t="str">
        <f>IFERROR(__xludf.DUMMYFUNCTION("""COMPUTED_VALUE"""),"Tweed Heads West")</f>
        <v>Tweed Heads West</v>
      </c>
      <c r="D423" s="5" t="str">
        <f>IFERROR(__xludf.DUMMYFUNCTION("""COMPUTED_VALUE"""),"14 Benson Street Tweed Heads West NSW 2485")</f>
        <v>14 Benson Street Tweed Heads West NSW 2485</v>
      </c>
      <c r="E423" s="25">
        <f>IFERROR(__xludf.DUMMYFUNCTION("""COMPUTED_VALUE"""),45965.0)</f>
        <v>45965</v>
      </c>
      <c r="F423" s="5">
        <f>IFERROR(__xludf.DUMMYFUNCTION("""COMPUTED_VALUE"""),6.0)</f>
        <v>6</v>
      </c>
      <c r="G423" s="19" t="str">
        <f>IFERROR(__xludf.DUMMYFUNCTION("""COMPUTED_VALUE"""),"Instant Forms")</f>
        <v>Instant Forms</v>
      </c>
      <c r="H423" s="19" t="str">
        <f>IFERROR(__xludf.DUMMYFUNCTION("""COMPUTED_VALUE"""),"Debbie Jane Baker Kollinger")</f>
        <v>Debbie Jane Baker Kollinger</v>
      </c>
      <c r="I423" s="62">
        <f>IFERROR(__xludf.DUMMYFUNCTION("""COMPUTED_VALUE"""),6.140688084E10)</f>
        <v>61406880840</v>
      </c>
      <c r="J423" s="19" t="str">
        <f>IFERROR(__xludf.DUMMYFUNCTION("""COMPUTED_VALUE"""),"balian_dj@hotmail.com")</f>
        <v>balian_dj@hotmail.com</v>
      </c>
    </row>
    <row r="424">
      <c r="A424" s="19" t="str">
        <f>IFERROR(__xludf.DUMMYFUNCTION("""COMPUTED_VALUE"""),"Ben Tribolet")</f>
        <v>Ben Tribolet</v>
      </c>
      <c r="B424" s="19" t="str">
        <f>IFERROR(__xludf.DUMMYFUNCTION("""COMPUTED_VALUE"""),"QLD")</f>
        <v>QLD</v>
      </c>
      <c r="C424" s="5" t="str">
        <f>IFERROR(__xludf.DUMMYFUNCTION("""COMPUTED_VALUE"""),"Palm Beach")</f>
        <v>Palm Beach</v>
      </c>
      <c r="D424" s="5" t="str">
        <f>IFERROR(__xludf.DUMMYFUNCTION("""COMPUTED_VALUE"""),"1/90 Leyte Avenue Palm Beach QLD 4221")</f>
        <v>1/90 Leyte Avenue Palm Beach QLD 4221</v>
      </c>
      <c r="E424" s="25">
        <f>IFERROR(__xludf.DUMMYFUNCTION("""COMPUTED_VALUE"""),45966.0)</f>
        <v>45966</v>
      </c>
      <c r="F424" s="5">
        <f>IFERROR(__xludf.DUMMYFUNCTION("""COMPUTED_VALUE"""),8.0)</f>
        <v>8</v>
      </c>
      <c r="G424" s="19" t="str">
        <f>IFERROR(__xludf.DUMMYFUNCTION("""COMPUTED_VALUE"""),"Instant Forms")</f>
        <v>Instant Forms</v>
      </c>
      <c r="H424" s="19" t="str">
        <f>IFERROR(__xludf.DUMMYFUNCTION("""COMPUTED_VALUE"""),"Hamish Broome")</f>
        <v>Hamish Broome</v>
      </c>
      <c r="I424" s="62">
        <f>IFERROR(__xludf.DUMMYFUNCTION("""COMPUTED_VALUE"""),6.144836848E10)</f>
        <v>61448368480</v>
      </c>
      <c r="J424" s="19" t="str">
        <f>IFERROR(__xludf.DUMMYFUNCTION("""COMPUTED_VALUE"""),"hamish.broome@gmail.com")</f>
        <v>hamish.broome@gmail.com</v>
      </c>
    </row>
    <row r="425">
      <c r="A425" s="19" t="str">
        <f>IFERROR(__xludf.DUMMYFUNCTION("""COMPUTED_VALUE"""),"Ben Tribolet")</f>
        <v>Ben Tribolet</v>
      </c>
      <c r="B425" s="19" t="str">
        <f>IFERROR(__xludf.DUMMYFUNCTION("""COMPUTED_VALUE"""),"QLD")</f>
        <v>QLD</v>
      </c>
      <c r="C425" s="5" t="str">
        <f>IFERROR(__xludf.DUMMYFUNCTION("""COMPUTED_VALUE"""),"Palm Beach")</f>
        <v>Palm Beach</v>
      </c>
      <c r="D425" s="5" t="str">
        <f>IFERROR(__xludf.DUMMYFUNCTION("""COMPUTED_VALUE"""),"70 Leyte Avenue Palm Beach QLD 4221")</f>
        <v>70 Leyte Avenue Palm Beach QLD 4221</v>
      </c>
      <c r="E425" s="25">
        <f>IFERROR(__xludf.DUMMYFUNCTION("""COMPUTED_VALUE"""),45967.0)</f>
        <v>45967</v>
      </c>
      <c r="F425" s="5">
        <f>IFERROR(__xludf.DUMMYFUNCTION("""COMPUTED_VALUE"""),8.0)</f>
        <v>8</v>
      </c>
      <c r="G425" s="19" t="str">
        <f>IFERROR(__xludf.DUMMYFUNCTION("""COMPUTED_VALUE"""),"Instant Forms")</f>
        <v>Instant Forms</v>
      </c>
      <c r="H425" s="19" t="str">
        <f>IFERROR(__xludf.DUMMYFUNCTION("""COMPUTED_VALUE"""),"Aaron Hammond")</f>
        <v>Aaron Hammond</v>
      </c>
      <c r="I425" s="62">
        <f>IFERROR(__xludf.DUMMYFUNCTION("""COMPUTED_VALUE"""),6.1401667115E10)</f>
        <v>61401667115</v>
      </c>
      <c r="J425" s="19" t="str">
        <f>IFERROR(__xludf.DUMMYFUNCTION("""COMPUTED_VALUE"""),"aaronhammond82@outlook.com")</f>
        <v>aaronhammond82@outlook.com</v>
      </c>
    </row>
    <row r="426">
      <c r="A426" s="19" t="str">
        <f>IFERROR(__xludf.DUMMYFUNCTION("""COMPUTED_VALUE"""),"Ben Tribolet")</f>
        <v>Ben Tribolet</v>
      </c>
      <c r="B426" s="19" t="str">
        <f>IFERROR(__xludf.DUMMYFUNCTION("""COMPUTED_VALUE"""),"QLD")</f>
        <v>QLD</v>
      </c>
      <c r="C426" s="5" t="str">
        <f>IFERROR(__xludf.DUMMYFUNCTION("""COMPUTED_VALUE"""),"Tweed Heads")</f>
        <v>Tweed Heads</v>
      </c>
      <c r="D426" s="5" t="str">
        <f>IFERROR(__xludf.DUMMYFUNCTION("""COMPUTED_VALUE"""),"2/13 Park Street Tweed Heads NSW 2485")</f>
        <v>2/13 Park Street Tweed Heads NSW 2485</v>
      </c>
      <c r="E426" s="25">
        <f>IFERROR(__xludf.DUMMYFUNCTION("""COMPUTED_VALUE"""),45970.0)</f>
        <v>45970</v>
      </c>
      <c r="F426" s="5">
        <f>IFERROR(__xludf.DUMMYFUNCTION("""COMPUTED_VALUE"""),8.0)</f>
        <v>8</v>
      </c>
      <c r="G426" s="19" t="str">
        <f>IFERROR(__xludf.DUMMYFUNCTION("""COMPUTED_VALUE"""),"Instant Forms")</f>
        <v>Instant Forms</v>
      </c>
      <c r="H426" s="19" t="str">
        <f>IFERROR(__xludf.DUMMYFUNCTION("""COMPUTED_VALUE"""),"Bruce Loynes")</f>
        <v>Bruce Loynes</v>
      </c>
      <c r="I426" s="62">
        <f>IFERROR(__xludf.DUMMYFUNCTION("""COMPUTED_VALUE"""),6.1411401907E10)</f>
        <v>61411401907</v>
      </c>
      <c r="J426" s="19" t="str">
        <f>IFERROR(__xludf.DUMMYFUNCTION("""COMPUTED_VALUE"""),"bruceloynes@outlook.com")</f>
        <v>bruceloynes@outlook.com</v>
      </c>
    </row>
    <row r="427">
      <c r="A427" s="19" t="str">
        <f>IFERROR(__xludf.DUMMYFUNCTION("""COMPUTED_VALUE"""),"Ben Tribolet")</f>
        <v>Ben Tribolet</v>
      </c>
      <c r="B427" s="19" t="str">
        <f>IFERROR(__xludf.DUMMYFUNCTION("""COMPUTED_VALUE"""),"QLD")</f>
        <v>QLD</v>
      </c>
      <c r="C427" s="5" t="str">
        <f>IFERROR(__xludf.DUMMYFUNCTION("""COMPUTED_VALUE"""),"Bilambil Heights")</f>
        <v>Bilambil Heights</v>
      </c>
      <c r="D427" s="5" t="str">
        <f>IFERROR(__xludf.DUMMYFUNCTION("""COMPUTED_VALUE"""),"16 Owenia Circuit Bilambil Heights NSW 2486")</f>
        <v>16 Owenia Circuit Bilambil Heights NSW 2486</v>
      </c>
      <c r="E427" s="25">
        <f>IFERROR(__xludf.DUMMYFUNCTION("""COMPUTED_VALUE"""),45970.0)</f>
        <v>45970</v>
      </c>
      <c r="F427" s="5">
        <f>IFERROR(__xludf.DUMMYFUNCTION("""COMPUTED_VALUE"""),8.0)</f>
        <v>8</v>
      </c>
      <c r="G427" s="19" t="str">
        <f>IFERROR(__xludf.DUMMYFUNCTION("""COMPUTED_VALUE"""),"Instant Forms")</f>
        <v>Instant Forms</v>
      </c>
      <c r="H427" s="19" t="str">
        <f>IFERROR(__xludf.DUMMYFUNCTION("""COMPUTED_VALUE"""),"Pauline Sheehan")</f>
        <v>Pauline Sheehan</v>
      </c>
      <c r="I427" s="62">
        <f>IFERROR(__xludf.DUMMYFUNCTION("""COMPUTED_VALUE"""),6.1413719077E10)</f>
        <v>61413719077</v>
      </c>
      <c r="J427" s="19" t="str">
        <f>IFERROR(__xludf.DUMMYFUNCTION("""COMPUTED_VALUE"""),"sheehanpauline3@gmail.com")</f>
        <v>sheehanpauline3@gmail.com</v>
      </c>
    </row>
    <row r="428">
      <c r="A428" s="19" t="str">
        <f>IFERROR(__xludf.DUMMYFUNCTION("""COMPUTED_VALUE"""),"Ben Tribolet")</f>
        <v>Ben Tribolet</v>
      </c>
      <c r="B428" s="19" t="str">
        <f>IFERROR(__xludf.DUMMYFUNCTION("""COMPUTED_VALUE"""),"QLD")</f>
        <v>QLD</v>
      </c>
      <c r="C428" s="5" t="str">
        <f>IFERROR(__xludf.DUMMYFUNCTION("""COMPUTED_VALUE"""),"Bali")</f>
        <v>Bali</v>
      </c>
      <c r="D428" s="5" t="str">
        <f>IFERROR(__xludf.DUMMYFUNCTION("""COMPUTED_VALUE"""),"1/52 Tallebudgera Drive Palm Beach QLD 4221")</f>
        <v>1/52 Tallebudgera Drive Palm Beach QLD 4221</v>
      </c>
      <c r="E428" s="25">
        <f>IFERROR(__xludf.DUMMYFUNCTION("""COMPUTED_VALUE"""),45974.0)</f>
        <v>45974</v>
      </c>
      <c r="F428" s="5">
        <f>IFERROR(__xludf.DUMMYFUNCTION("""COMPUTED_VALUE"""),8.0)</f>
        <v>8</v>
      </c>
      <c r="G428" s="19" t="str">
        <f>IFERROR(__xludf.DUMMYFUNCTION("""COMPUTED_VALUE"""),"Instant Forms")</f>
        <v>Instant Forms</v>
      </c>
      <c r="H428" s="19" t="str">
        <f>IFERROR(__xludf.DUMMYFUNCTION("""COMPUTED_VALUE"""),"Sue Ralph")</f>
        <v>Sue Ralph</v>
      </c>
      <c r="I428" s="62">
        <f>IFERROR(__xludf.DUMMYFUNCTION("""COMPUTED_VALUE"""),6.1488088787E10)</f>
        <v>61488088787</v>
      </c>
      <c r="J428" s="19" t="str">
        <f>IFERROR(__xludf.DUMMYFUNCTION("""COMPUTED_VALUE"""),"brett.sue@bigpond.com")</f>
        <v>brett.sue@bigpond.com</v>
      </c>
    </row>
    <row r="429">
      <c r="A429" s="19" t="str">
        <f>IFERROR(__xludf.DUMMYFUNCTION("""COMPUTED_VALUE"""),"Ben Tribolet")</f>
        <v>Ben Tribolet</v>
      </c>
      <c r="B429" s="19" t="str">
        <f>IFERROR(__xludf.DUMMYFUNCTION("""COMPUTED_VALUE"""),"QLD")</f>
        <v>QLD</v>
      </c>
      <c r="C429" s="5" t="str">
        <f>IFERROR(__xludf.DUMMYFUNCTION("""COMPUTED_VALUE"""),"Tugun")</f>
        <v>Tugun</v>
      </c>
      <c r="D429" s="5" t="str">
        <f>IFERROR(__xludf.DUMMYFUNCTION("""COMPUTED_VALUE"""),"1 / 16 Singh Street, Tugun, QLD, 4224, Australia")</f>
        <v>1 / 16 Singh Street, Tugun, QLD, 4224, Australia</v>
      </c>
      <c r="E429" s="25">
        <f>IFERROR(__xludf.DUMMYFUNCTION("""COMPUTED_VALUE"""),45975.0)</f>
        <v>45975</v>
      </c>
      <c r="F429" s="5" t="str">
        <f>IFERROR(__xludf.DUMMYFUNCTION("""COMPUTED_VALUE"""),"Featured")</f>
        <v>Featured</v>
      </c>
      <c r="G429" s="19" t="str">
        <f>IFERROR(__xludf.DUMMYFUNCTION("""COMPUTED_VALUE"""),"Commission Comparison")</f>
        <v>Commission Comparison</v>
      </c>
      <c r="H429" s="19" t="str">
        <f>IFERROR(__xludf.DUMMYFUNCTION("""COMPUTED_VALUE"""),"Adam  Shoobert")</f>
        <v>Adam  Shoobert</v>
      </c>
      <c r="I429" s="62">
        <f>IFERROR(__xludf.DUMMYFUNCTION("""COMPUTED_VALUE"""),6.1431468055E10)</f>
        <v>61431468055</v>
      </c>
      <c r="J429" s="19" t="str">
        <f>IFERROR(__xludf.DUMMYFUNCTION("""COMPUTED_VALUE"""),"ashoobs89@hotmail.com")</f>
        <v>ashoobs89@hotmail.com</v>
      </c>
    </row>
    <row r="430">
      <c r="A430" s="19" t="str">
        <f>IFERROR(__xludf.DUMMYFUNCTION("""COMPUTED_VALUE"""),"Ben Tribolet")</f>
        <v>Ben Tribolet</v>
      </c>
      <c r="B430" s="19" t="str">
        <f>IFERROR(__xludf.DUMMYFUNCTION("""COMPUTED_VALUE"""),"QLD")</f>
        <v>QLD</v>
      </c>
      <c r="C430" s="5" t="str">
        <f>IFERROR(__xludf.DUMMYFUNCTION("""COMPUTED_VALUE"""),"Elanora")</f>
        <v>Elanora</v>
      </c>
      <c r="D430" s="5" t="str">
        <f>IFERROR(__xludf.DUMMYFUNCTION("""COMPUTED_VALUE"""),"14 Acron Street Elanora Queensland 4221 AU")</f>
        <v>14 Acron Street Elanora Queensland 4221 AU</v>
      </c>
      <c r="E430" s="5" t="str">
        <f>IFERROR(__xludf.DUMMYFUNCTION("""COMPUTED_VALUE"""),"18/11/2025")</f>
        <v>18/11/2025</v>
      </c>
      <c r="F430" s="5" t="str">
        <f>IFERROR(__xludf.DUMMYFUNCTION("""COMPUTED_VALUE"""),"Featured")</f>
        <v>Featured</v>
      </c>
      <c r="G430" s="19" t="str">
        <f>IFERROR(__xludf.DUMMYFUNCTION("""COMPUTED_VALUE"""),"Commission Comparison")</f>
        <v>Commission Comparison</v>
      </c>
      <c r="H430" s="19" t="str">
        <f>IFERROR(__xludf.DUMMYFUNCTION("""COMPUTED_VALUE"""),"Maria Hamilton")</f>
        <v>Maria Hamilton</v>
      </c>
      <c r="I430" s="62">
        <f>IFERROR(__xludf.DUMMYFUNCTION("""COMPUTED_VALUE"""),6.1409417111E10)</f>
        <v>61409417111</v>
      </c>
      <c r="J430" s="19" t="str">
        <f>IFERROR(__xludf.DUMMYFUNCTION("""COMPUTED_VALUE"""),"mham0631@bigpond.net.au")</f>
        <v>mham0631@bigpond.net.au</v>
      </c>
    </row>
    <row r="431">
      <c r="A431" s="19" t="str">
        <f>IFERROR(__xludf.DUMMYFUNCTION("""COMPUTED_VALUE"""),"Ben Tribolet")</f>
        <v>Ben Tribolet</v>
      </c>
      <c r="B431" s="19" t="str">
        <f>IFERROR(__xludf.DUMMYFUNCTION("""COMPUTED_VALUE"""),"QLD")</f>
        <v>QLD</v>
      </c>
      <c r="C431" s="5" t="str">
        <f>IFERROR(__xludf.DUMMYFUNCTION("""COMPUTED_VALUE"""),"Tugun")</f>
        <v>Tugun</v>
      </c>
      <c r="D431" s="5" t="str">
        <f>IFERROR(__xludf.DUMMYFUNCTION("""COMPUTED_VALUE"""),"66/2 Inland Drive Tugun QLD 4224")</f>
        <v>66/2 Inland Drive Tugun QLD 4224</v>
      </c>
      <c r="E431" s="5" t="str">
        <f>IFERROR(__xludf.DUMMYFUNCTION("""COMPUTED_VALUE"""),"19/11/2025")</f>
        <v>19/11/2025</v>
      </c>
      <c r="F431" s="5">
        <f>IFERROR(__xludf.DUMMYFUNCTION("""COMPUTED_VALUE"""),6.0)</f>
        <v>6</v>
      </c>
      <c r="G431" s="19" t="str">
        <f>IFERROR(__xludf.DUMMYFUNCTION("""COMPUTED_VALUE"""),"Instant Forms")</f>
        <v>Instant Forms</v>
      </c>
      <c r="H431" s="19" t="str">
        <f>IFERROR(__xludf.DUMMYFUNCTION("""COMPUTED_VALUE"""),"Jackie Burdon")</f>
        <v>Jackie Burdon</v>
      </c>
      <c r="I431" s="62">
        <f>IFERROR(__xludf.DUMMYFUNCTION("""COMPUTED_VALUE"""),6.1417130584E10)</f>
        <v>61417130584</v>
      </c>
      <c r="J431" s="19" t="str">
        <f>IFERROR(__xludf.DUMMYFUNCTION("""COMPUTED_VALUE"""),"Jburdon2345@gmail.com")</f>
        <v>Jburdon2345@gmail.com</v>
      </c>
    </row>
    <row r="432">
      <c r="A432" s="19" t="str">
        <f>IFERROR(__xludf.DUMMYFUNCTION("""COMPUTED_VALUE"""),"Ben Tribolet")</f>
        <v>Ben Tribolet</v>
      </c>
      <c r="B432" s="19" t="str">
        <f>IFERROR(__xludf.DUMMYFUNCTION("""COMPUTED_VALUE"""),"QLD")</f>
        <v>QLD</v>
      </c>
      <c r="C432" s="5" t="str">
        <f>IFERROR(__xludf.DUMMYFUNCTION("""COMPUTED_VALUE"""),"Currumbin")</f>
        <v>Currumbin</v>
      </c>
      <c r="D432" s="5" t="str">
        <f>IFERROR(__xludf.DUMMYFUNCTION("""COMPUTED_VALUE"""),"17 Domain Road Currumbin QLD 4223")</f>
        <v>17 Domain Road Currumbin QLD 4223</v>
      </c>
      <c r="E432" s="5" t="str">
        <f>IFERROR(__xludf.DUMMYFUNCTION("""COMPUTED_VALUE"""),"27/11/2025")</f>
        <v>27/11/2025</v>
      </c>
      <c r="F432" s="64">
        <f>IFERROR(__xludf.DUMMYFUNCTION("""COMPUTED_VALUE"""),0.2)</f>
        <v>0.2</v>
      </c>
      <c r="G432" s="19" t="str">
        <f>IFERROR(__xludf.DUMMYFUNCTION("""COMPUTED_VALUE"""),"Instant Forms")</f>
        <v>Instant Forms</v>
      </c>
      <c r="H432" s="19" t="str">
        <f>IFERROR(__xludf.DUMMYFUNCTION("""COMPUTED_VALUE"""),"Dan Condon")</f>
        <v>Dan Condon</v>
      </c>
      <c r="I432" s="62">
        <f>IFERROR(__xludf.DUMMYFUNCTION("""COMPUTED_VALUE"""),6.1421657831E10)</f>
        <v>61421657831</v>
      </c>
      <c r="J432" s="19" t="str">
        <f>IFERROR(__xludf.DUMMYFUNCTION("""COMPUTED_VALUE"""),"danielpatrickcondon@gmail.com")</f>
        <v>danielpatrickcondon@gmail.com</v>
      </c>
    </row>
    <row r="433">
      <c r="A433" s="19" t="str">
        <f>IFERROR(__xludf.DUMMYFUNCTION("""COMPUTED_VALUE"""),"Ben Tribolet")</f>
        <v>Ben Tribolet</v>
      </c>
      <c r="B433" s="19" t="str">
        <f>IFERROR(__xludf.DUMMYFUNCTION("""COMPUTED_VALUE"""),"NSW")</f>
        <v>NSW</v>
      </c>
      <c r="C433" s="5" t="str">
        <f>IFERROR(__xludf.DUMMYFUNCTION("""COMPUTED_VALUE"""),"Tweed Heads")</f>
        <v>Tweed Heads</v>
      </c>
      <c r="D433" s="5" t="str">
        <f>IFERROR(__xludf.DUMMYFUNCTION("""COMPUTED_VALUE"""),"Brett Street TWEED HEADS")</f>
        <v>Brett Street TWEED HEADS</v>
      </c>
      <c r="E433" s="5" t="str">
        <f>IFERROR(__xludf.DUMMYFUNCTION("""COMPUTED_VALUE"""),"27/11/2025")</f>
        <v>27/11/2025</v>
      </c>
      <c r="F433" s="64">
        <f>IFERROR(__xludf.DUMMYFUNCTION("""COMPUTED_VALUE"""),0.2)</f>
        <v>0.2</v>
      </c>
      <c r="G433" s="19" t="str">
        <f>IFERROR(__xludf.DUMMYFUNCTION("""COMPUTED_VALUE"""),"Commission Comparison")</f>
        <v>Commission Comparison</v>
      </c>
      <c r="H433" s="19" t="str">
        <f>IFERROR(__xludf.DUMMYFUNCTION("""COMPUTED_VALUE"""),"Les Fenton")</f>
        <v>Les Fenton</v>
      </c>
      <c r="I433" s="62">
        <f>IFERROR(__xludf.DUMMYFUNCTION("""COMPUTED_VALUE"""),6.1417226822E10)</f>
        <v>61417226822</v>
      </c>
      <c r="J433" s="19" t="str">
        <f>IFERROR(__xludf.DUMMYFUNCTION("""COMPUTED_VALUE"""),"lesfenton@hotmail.com")</f>
        <v>lesfenton@hotmail.com</v>
      </c>
    </row>
    <row r="434">
      <c r="A434" s="19" t="str">
        <f>IFERROR(__xludf.DUMMYFUNCTION("""COMPUTED_VALUE"""),"Ben Tribolet")</f>
        <v>Ben Tribolet</v>
      </c>
      <c r="B434" s="19" t="str">
        <f>IFERROR(__xludf.DUMMYFUNCTION("""COMPUTED_VALUE"""),"QLD")</f>
        <v>QLD</v>
      </c>
      <c r="C434" s="5" t="str">
        <f>IFERROR(__xludf.DUMMYFUNCTION("""COMPUTED_VALUE"""),"Currumbin Valley")</f>
        <v>Currumbin Valley</v>
      </c>
      <c r="D434" s="5" t="str">
        <f>IFERROR(__xludf.DUMMYFUNCTION("""COMPUTED_VALUE"""),"7 Forest Way Currumbin Valley QLD 4223")</f>
        <v>7 Forest Way Currumbin Valley QLD 4223</v>
      </c>
      <c r="E434" s="27">
        <f>IFERROR(__xludf.DUMMYFUNCTION("""COMPUTED_VALUE"""),45820.0)</f>
        <v>45820</v>
      </c>
      <c r="F434" s="64">
        <f>IFERROR(__xludf.DUMMYFUNCTION("""COMPUTED_VALUE"""),0.2)</f>
        <v>0.2</v>
      </c>
      <c r="G434" s="19" t="str">
        <f>IFERROR(__xludf.DUMMYFUNCTION("""COMPUTED_VALUE"""),"Commission Comparison")</f>
        <v>Commission Comparison</v>
      </c>
      <c r="H434" s="19" t="str">
        <f>IFERROR(__xludf.DUMMYFUNCTION("""COMPUTED_VALUE"""),"Mark Avery")</f>
        <v>Mark Avery</v>
      </c>
      <c r="I434" s="62">
        <f>IFERROR(__xludf.DUMMYFUNCTION("""COMPUTED_VALUE"""),6.1432822765E10)</f>
        <v>61432822765</v>
      </c>
      <c r="J434" s="19" t="str">
        <f>IFERROR(__xludf.DUMMYFUNCTION("""COMPUTED_VALUE"""),"3meriet@gmail.com")</f>
        <v>3meriet@gmail.com</v>
      </c>
    </row>
    <row r="435">
      <c r="A435" s="19" t="str">
        <f>IFERROR(__xludf.DUMMYFUNCTION("""COMPUTED_VALUE"""),"")</f>
        <v/>
      </c>
      <c r="B435" s="19" t="str">
        <f>IFERROR(__xludf.DUMMYFUNCTION("""COMPUTED_VALUE"""),"")</f>
        <v/>
      </c>
      <c r="C435" s="5" t="str">
        <f>IFERROR(__xludf.DUMMYFUNCTION("""COMPUTED_VALUE"""),"")</f>
        <v/>
      </c>
      <c r="D435" s="5" t="str">
        <f>IFERROR(__xludf.DUMMYFUNCTION("""COMPUTED_VALUE"""),"")</f>
        <v/>
      </c>
      <c r="E435" s="5" t="str">
        <f>IFERROR(__xludf.DUMMYFUNCTION("""COMPUTED_VALUE"""),"")</f>
        <v/>
      </c>
      <c r="F435" s="5" t="str">
        <f>IFERROR(__xludf.DUMMYFUNCTION("""COMPUTED_VALUE"""),"")</f>
        <v/>
      </c>
      <c r="G435" s="19" t="str">
        <f>IFERROR(__xludf.DUMMYFUNCTION("""COMPUTED_VALUE"""),"")</f>
        <v/>
      </c>
      <c r="H435" s="19" t="str">
        <f>IFERROR(__xludf.DUMMYFUNCTION("""COMPUTED_VALUE"""),"")</f>
        <v/>
      </c>
      <c r="I435" s="62" t="str">
        <f>IFERROR(__xludf.DUMMYFUNCTION("""COMPUTED_VALUE"""),"")</f>
        <v/>
      </c>
      <c r="J435" s="19" t="str">
        <f>IFERROR(__xludf.DUMMYFUNCTION("""COMPUTED_VALUE"""),"")</f>
        <v/>
      </c>
    </row>
    <row r="436">
      <c r="A436" s="19" t="str">
        <f>IFERROR(__xludf.DUMMYFUNCTION("""COMPUTED_VALUE"""),"")</f>
        <v/>
      </c>
      <c r="B436" s="19" t="str">
        <f>IFERROR(__xludf.DUMMYFUNCTION("""COMPUTED_VALUE"""),"")</f>
        <v/>
      </c>
      <c r="C436" s="5" t="str">
        <f>IFERROR(__xludf.DUMMYFUNCTION("""COMPUTED_VALUE"""),"")</f>
        <v/>
      </c>
      <c r="D436" s="5" t="str">
        <f>IFERROR(__xludf.DUMMYFUNCTION("""COMPUTED_VALUE"""),"")</f>
        <v/>
      </c>
      <c r="E436" s="5" t="str">
        <f>IFERROR(__xludf.DUMMYFUNCTION("""COMPUTED_VALUE"""),"")</f>
        <v/>
      </c>
      <c r="F436" s="5" t="str">
        <f>IFERROR(__xludf.DUMMYFUNCTION("""COMPUTED_VALUE"""),"")</f>
        <v/>
      </c>
      <c r="G436" s="19" t="str">
        <f>IFERROR(__xludf.DUMMYFUNCTION("""COMPUTED_VALUE"""),"")</f>
        <v/>
      </c>
      <c r="H436" s="19" t="str">
        <f>IFERROR(__xludf.DUMMYFUNCTION("""COMPUTED_VALUE"""),"")</f>
        <v/>
      </c>
      <c r="I436" s="62" t="str">
        <f>IFERROR(__xludf.DUMMYFUNCTION("""COMPUTED_VALUE"""),"")</f>
        <v/>
      </c>
      <c r="J436" s="19" t="str">
        <f>IFERROR(__xludf.DUMMYFUNCTION("""COMPUTED_VALUE"""),"")</f>
        <v/>
      </c>
    </row>
    <row r="437">
      <c r="A437" s="19" t="str">
        <f>IFERROR(__xludf.DUMMYFUNCTION("""COMPUTED_VALUE"""),"Ben Young")</f>
        <v>Ben Young</v>
      </c>
      <c r="B437" s="19" t="str">
        <f>IFERROR(__xludf.DUMMYFUNCTION("""COMPUTED_VALUE"""),"QLD")</f>
        <v>QLD</v>
      </c>
      <c r="C437" s="5" t="str">
        <f>IFERROR(__xludf.DUMMYFUNCTION("""COMPUTED_VALUE"""),"Arundel")</f>
        <v>Arundel</v>
      </c>
      <c r="D437" s="5"/>
      <c r="E437" s="25">
        <f>IFERROR(__xludf.DUMMYFUNCTION("""COMPUTED_VALUE"""),45875.0)</f>
        <v>45875</v>
      </c>
      <c r="F437" s="5" t="str">
        <f>IFERROR(__xludf.DUMMYFUNCTION("""COMPUTED_VALUE"""),"Featured")</f>
        <v>Featured</v>
      </c>
      <c r="G437" s="19" t="str">
        <f>IFERROR(__xludf.DUMMYFUNCTION("""COMPUTED_VALUE"""),"Instant Forms")</f>
        <v>Instant Forms</v>
      </c>
      <c r="H437" s="19"/>
      <c r="I437" s="62"/>
      <c r="J437" s="19"/>
    </row>
    <row r="438">
      <c r="A438" s="19" t="str">
        <f>IFERROR(__xludf.DUMMYFUNCTION("""COMPUTED_VALUE"""),"Ben Young")</f>
        <v>Ben Young</v>
      </c>
      <c r="B438" s="19" t="str">
        <f>IFERROR(__xludf.DUMMYFUNCTION("""COMPUTED_VALUE"""),"QLD")</f>
        <v>QLD</v>
      </c>
      <c r="C438" s="5" t="str">
        <f>IFERROR(__xludf.DUMMYFUNCTION("""COMPUTED_VALUE"""),"Buddina")</f>
        <v>Buddina</v>
      </c>
      <c r="D438" s="5"/>
      <c r="E438" s="25">
        <f>IFERROR(__xludf.DUMMYFUNCTION("""COMPUTED_VALUE"""),45875.0)</f>
        <v>45875</v>
      </c>
      <c r="F438" s="5" t="str">
        <f>IFERROR(__xludf.DUMMYFUNCTION("""COMPUTED_VALUE"""),"Featured")</f>
        <v>Featured</v>
      </c>
      <c r="G438" s="19" t="str">
        <f>IFERROR(__xludf.DUMMYFUNCTION("""COMPUTED_VALUE"""),"Instant Forms")</f>
        <v>Instant Forms</v>
      </c>
      <c r="H438" s="19"/>
      <c r="I438" s="62"/>
      <c r="J438" s="19"/>
    </row>
    <row r="439">
      <c r="A439" s="19" t="str">
        <f>IFERROR(__xludf.DUMMYFUNCTION("""COMPUTED_VALUE"""),"Ben Young")</f>
        <v>Ben Young</v>
      </c>
      <c r="B439" s="19" t="str">
        <f>IFERROR(__xludf.DUMMYFUNCTION("""COMPUTED_VALUE"""),"QLD")</f>
        <v>QLD</v>
      </c>
      <c r="C439" s="5">
        <f>IFERROR(__xludf.DUMMYFUNCTION("""COMPUTED_VALUE"""),4556.0)</f>
        <v>4556</v>
      </c>
      <c r="D439" s="5"/>
      <c r="E439" s="25">
        <f>IFERROR(__xludf.DUMMYFUNCTION("""COMPUTED_VALUE"""),45879.0)</f>
        <v>45879</v>
      </c>
      <c r="F439" s="5" t="str">
        <f>IFERROR(__xludf.DUMMYFUNCTION("""COMPUTED_VALUE"""),"Featured")</f>
        <v>Featured</v>
      </c>
      <c r="G439" s="19" t="str">
        <f>IFERROR(__xludf.DUMMYFUNCTION("""COMPUTED_VALUE"""),"Instant Forms")</f>
        <v>Instant Forms</v>
      </c>
      <c r="H439" s="19"/>
      <c r="I439" s="62"/>
      <c r="J439" s="19"/>
    </row>
    <row r="440">
      <c r="A440" s="19" t="str">
        <f>IFERROR(__xludf.DUMMYFUNCTION("""COMPUTED_VALUE"""),"Ben Young")</f>
        <v>Ben Young</v>
      </c>
      <c r="B440" s="19" t="str">
        <f>IFERROR(__xludf.DUMMYFUNCTION("""COMPUTED_VALUE"""),"QLD")</f>
        <v>QLD</v>
      </c>
      <c r="C440" s="5" t="str">
        <f>IFERROR(__xludf.DUMMYFUNCTION("""COMPUTED_VALUE"""),"Alexandra Headland")</f>
        <v>Alexandra Headland</v>
      </c>
      <c r="D440" s="5" t="str">
        <f>IFERROR(__xludf.DUMMYFUNCTION("""COMPUTED_VALUE"""),"13 Ocean Crest Place Alexandra Headland QLD 4572")</f>
        <v>13 Ocean Crest Place Alexandra Headland QLD 4572</v>
      </c>
      <c r="E440" s="25">
        <f>IFERROR(__xludf.DUMMYFUNCTION("""COMPUTED_VALUE"""),45887.0)</f>
        <v>45887</v>
      </c>
      <c r="F440" s="5" t="str">
        <f>IFERROR(__xludf.DUMMYFUNCTION("""COMPUTED_VALUE"""),"Featured")</f>
        <v>Featured</v>
      </c>
      <c r="G440" s="19" t="str">
        <f>IFERROR(__xludf.DUMMYFUNCTION("""COMPUTED_VALUE"""),"Instant Forms")</f>
        <v>Instant Forms</v>
      </c>
      <c r="H440" s="19"/>
      <c r="I440" s="62"/>
      <c r="J440" s="19"/>
    </row>
    <row r="441">
      <c r="A441" s="19" t="str">
        <f>IFERROR(__xludf.DUMMYFUNCTION("""COMPUTED_VALUE"""),"Ben Young")</f>
        <v>Ben Young</v>
      </c>
      <c r="B441" s="19" t="str">
        <f>IFERROR(__xludf.DUMMYFUNCTION("""COMPUTED_VALUE"""),"QLD")</f>
        <v>QLD</v>
      </c>
      <c r="C441" s="5" t="str">
        <f>IFERROR(__xludf.DUMMYFUNCTION("""COMPUTED_VALUE"""),"Alexandra Headland")</f>
        <v>Alexandra Headland</v>
      </c>
      <c r="D441" s="5" t="str">
        <f>IFERROR(__xludf.DUMMYFUNCTION("""COMPUTED_VALUE"""),"1 / 16 The Grove, Alexandra Headland, QLD, 4572, Australia")</f>
        <v>1 / 16 The Grove, Alexandra Headland, QLD, 4572, Australia</v>
      </c>
      <c r="E441" s="5" t="str">
        <f>IFERROR(__xludf.DUMMYFUNCTION("""COMPUTED_VALUE"""),"20/08/2025")</f>
        <v>20/08/2025</v>
      </c>
      <c r="F441" s="5" t="str">
        <f>IFERROR(__xludf.DUMMYFUNCTION("""COMPUTED_VALUE"""),"Featured")</f>
        <v>Featured</v>
      </c>
      <c r="G441" s="19"/>
      <c r="H441" s="19"/>
      <c r="I441" s="62"/>
      <c r="J441" s="19"/>
    </row>
    <row r="442">
      <c r="A442" s="19" t="str">
        <f>IFERROR(__xludf.DUMMYFUNCTION("""COMPUTED_VALUE"""),"Ben Young")</f>
        <v>Ben Young</v>
      </c>
      <c r="B442" s="19" t="str">
        <f>IFERROR(__xludf.DUMMYFUNCTION("""COMPUTED_VALUE"""),"QLD")</f>
        <v>QLD</v>
      </c>
      <c r="C442" s="5" t="str">
        <f>IFERROR(__xludf.DUMMYFUNCTION("""COMPUTED_VALUE"""),"Glenview")</f>
        <v>Glenview</v>
      </c>
      <c r="D442" s="5" t="str">
        <f>IFERROR(__xludf.DUMMYFUNCTION("""COMPUTED_VALUE"""),"247 Connection Road Glenview QLD 4553")</f>
        <v>247 Connection Road Glenview QLD 4553</v>
      </c>
      <c r="E442" s="25">
        <f>IFERROR(__xludf.DUMMYFUNCTION("""COMPUTED_VALUE"""),45889.0)</f>
        <v>45889</v>
      </c>
      <c r="F442" s="5" t="str">
        <f>IFERROR(__xludf.DUMMYFUNCTION("""COMPUTED_VALUE"""),"Featured")</f>
        <v>Featured</v>
      </c>
      <c r="G442" s="19" t="str">
        <f>IFERROR(__xludf.DUMMYFUNCTION("""COMPUTED_VALUE"""),"Instant Forms")</f>
        <v>Instant Forms</v>
      </c>
      <c r="H442" s="19"/>
      <c r="I442" s="62"/>
      <c r="J442" s="19"/>
    </row>
    <row r="443">
      <c r="A443" s="19" t="str">
        <f>IFERROR(__xludf.DUMMYFUNCTION("""COMPUTED_VALUE"""),"Ben Young")</f>
        <v>Ben Young</v>
      </c>
      <c r="B443" s="19" t="str">
        <f>IFERROR(__xludf.DUMMYFUNCTION("""COMPUTED_VALUE"""),"QLD")</f>
        <v>QLD</v>
      </c>
      <c r="C443" s="5" t="str">
        <f>IFERROR(__xludf.DUMMYFUNCTION("""COMPUTED_VALUE"""),"Upper coomera")</f>
        <v>Upper coomera</v>
      </c>
      <c r="D443" s="5" t="str">
        <f>IFERROR(__xludf.DUMMYFUNCTION("""COMPUTED_VALUE"""),"14 Sage Close Mountain Creek QLD 4557")</f>
        <v>14 Sage Close Mountain Creek QLD 4557</v>
      </c>
      <c r="E443" s="25">
        <f>IFERROR(__xludf.DUMMYFUNCTION("""COMPUTED_VALUE"""),45891.0)</f>
        <v>45891</v>
      </c>
      <c r="F443" s="5" t="str">
        <f>IFERROR(__xludf.DUMMYFUNCTION("""COMPUTED_VALUE"""),"Free")</f>
        <v>Free</v>
      </c>
      <c r="G443" s="19" t="str">
        <f>IFERROR(__xludf.DUMMYFUNCTION("""COMPUTED_VALUE"""),"Instant Forms")</f>
        <v>Instant Forms</v>
      </c>
      <c r="H443" s="19"/>
      <c r="I443" s="62"/>
      <c r="J443" s="19"/>
    </row>
    <row r="444">
      <c r="A444" s="19" t="str">
        <f>IFERROR(__xludf.DUMMYFUNCTION("""COMPUTED_VALUE"""),"Ben Young")</f>
        <v>Ben Young</v>
      </c>
      <c r="B444" s="19" t="str">
        <f>IFERROR(__xludf.DUMMYFUNCTION("""COMPUTED_VALUE"""),"QLD")</f>
        <v>QLD</v>
      </c>
      <c r="C444" s="5" t="str">
        <f>IFERROR(__xludf.DUMMYFUNCTION("""COMPUTED_VALUE"""),"Tanawha")</f>
        <v>Tanawha</v>
      </c>
      <c r="D444" s="5" t="str">
        <f>IFERROR(__xludf.DUMMYFUNCTION("""COMPUTED_VALUE"""),"81-85 Main Creek Road Tanawha QLD 4556")</f>
        <v>81-85 Main Creek Road Tanawha QLD 4556</v>
      </c>
      <c r="E444" s="25">
        <f>IFERROR(__xludf.DUMMYFUNCTION("""COMPUTED_VALUE"""),45891.0)</f>
        <v>45891</v>
      </c>
      <c r="F444" s="5" t="str">
        <f>IFERROR(__xludf.DUMMYFUNCTION("""COMPUTED_VALUE"""),"Featured")</f>
        <v>Featured</v>
      </c>
      <c r="G444" s="19" t="str">
        <f>IFERROR(__xludf.DUMMYFUNCTION("""COMPUTED_VALUE"""),"Instant Forms")</f>
        <v>Instant Forms</v>
      </c>
      <c r="H444" s="19"/>
      <c r="I444" s="62"/>
      <c r="J444" s="19"/>
    </row>
    <row r="445">
      <c r="A445" s="19" t="str">
        <f>IFERROR(__xludf.DUMMYFUNCTION("""COMPUTED_VALUE"""),"Ben Young")</f>
        <v>Ben Young</v>
      </c>
      <c r="B445" s="19" t="str">
        <f>IFERROR(__xludf.DUMMYFUNCTION("""COMPUTED_VALUE"""),"QLD")</f>
        <v>QLD</v>
      </c>
      <c r="C445" s="5" t="str">
        <f>IFERROR(__xludf.DUMMYFUNCTION("""COMPUTED_VALUE"""),"Warana")</f>
        <v>Warana</v>
      </c>
      <c r="D445" s="5" t="str">
        <f>IFERROR(__xludf.DUMMYFUNCTION("""COMPUTED_VALUE"""),"5 Ilaroo Crescent Warana QLD 4575")</f>
        <v>5 Ilaroo Crescent Warana QLD 4575</v>
      </c>
      <c r="E445" s="25">
        <f>IFERROR(__xludf.DUMMYFUNCTION("""COMPUTED_VALUE"""),45892.0)</f>
        <v>45892</v>
      </c>
      <c r="F445" s="5" t="str">
        <f>IFERROR(__xludf.DUMMYFUNCTION("""COMPUTED_VALUE"""),"Featured")</f>
        <v>Featured</v>
      </c>
      <c r="G445" s="19" t="str">
        <f>IFERROR(__xludf.DUMMYFUNCTION("""COMPUTED_VALUE"""),"Instant Forms")</f>
        <v>Instant Forms</v>
      </c>
      <c r="H445" s="19"/>
      <c r="I445" s="62"/>
      <c r="J445" s="19"/>
    </row>
    <row r="446">
      <c r="A446" s="19" t="str">
        <f>IFERROR(__xludf.DUMMYFUNCTION("""COMPUTED_VALUE"""),"Ben Young")</f>
        <v>Ben Young</v>
      </c>
      <c r="B446" s="19" t="str">
        <f>IFERROR(__xludf.DUMMYFUNCTION("""COMPUTED_VALUE"""),"QLD")</f>
        <v>QLD</v>
      </c>
      <c r="C446" s="5" t="str">
        <f>IFERROR(__xludf.DUMMYFUNCTION("""COMPUTED_VALUE"""),"Landsborough")</f>
        <v>Landsborough</v>
      </c>
      <c r="D446" s="5" t="str">
        <f>IFERROR(__xludf.DUMMYFUNCTION("""COMPUTED_VALUE"""),"1/19 Buckley Street Landsborough QLD 4550")</f>
        <v>1/19 Buckley Street Landsborough QLD 4550</v>
      </c>
      <c r="E446" s="25">
        <f>IFERROR(__xludf.DUMMYFUNCTION("""COMPUTED_VALUE"""),45892.0)</f>
        <v>45892</v>
      </c>
      <c r="F446" s="5" t="str">
        <f>IFERROR(__xludf.DUMMYFUNCTION("""COMPUTED_VALUE"""),"Featured")</f>
        <v>Featured</v>
      </c>
      <c r="G446" s="19" t="str">
        <f>IFERROR(__xludf.DUMMYFUNCTION("""COMPUTED_VALUE"""),"Instant Forms")</f>
        <v>Instant Forms</v>
      </c>
      <c r="H446" s="19"/>
      <c r="I446" s="62"/>
      <c r="J446" s="19"/>
    </row>
    <row r="447">
      <c r="A447" s="19" t="str">
        <f>IFERROR(__xludf.DUMMYFUNCTION("""COMPUTED_VALUE"""),"Ben Young")</f>
        <v>Ben Young</v>
      </c>
      <c r="B447" s="19" t="str">
        <f>IFERROR(__xludf.DUMMYFUNCTION("""COMPUTED_VALUE"""),"QLD")</f>
        <v>QLD</v>
      </c>
      <c r="C447" s="5" t="str">
        <f>IFERROR(__xludf.DUMMYFUNCTION("""COMPUTED_VALUE"""),"Diamond Valley")</f>
        <v>Diamond Valley</v>
      </c>
      <c r="D447" s="5" t="str">
        <f>IFERROR(__xludf.DUMMYFUNCTION("""COMPUTED_VALUE"""),"143 Ratcliffe Road Diamond Valley QLD 4553")</f>
        <v>143 Ratcliffe Road Diamond Valley QLD 4553</v>
      </c>
      <c r="E447" s="25">
        <f>IFERROR(__xludf.DUMMYFUNCTION("""COMPUTED_VALUE"""),45894.0)</f>
        <v>45894</v>
      </c>
      <c r="F447" s="5" t="str">
        <f>IFERROR(__xludf.DUMMYFUNCTION("""COMPUTED_VALUE"""),"Featured")</f>
        <v>Featured</v>
      </c>
      <c r="G447" s="19" t="str">
        <f>IFERROR(__xludf.DUMMYFUNCTION("""COMPUTED_VALUE"""),"Instant Forms")</f>
        <v>Instant Forms</v>
      </c>
      <c r="H447" s="19"/>
      <c r="I447" s="62"/>
      <c r="J447" s="19"/>
    </row>
    <row r="448">
      <c r="A448" s="19" t="str">
        <f>IFERROR(__xludf.DUMMYFUNCTION("""COMPUTED_VALUE"""),"Ben Young")</f>
        <v>Ben Young</v>
      </c>
      <c r="B448" s="19" t="str">
        <f>IFERROR(__xludf.DUMMYFUNCTION("""COMPUTED_VALUE"""),"QLD")</f>
        <v>QLD</v>
      </c>
      <c r="C448" s="5" t="str">
        <f>IFERROR(__xludf.DUMMYFUNCTION("""COMPUTED_VALUE"""),"Buderim")</f>
        <v>Buderim</v>
      </c>
      <c r="D448" s="5" t="str">
        <f>IFERROR(__xludf.DUMMYFUNCTION("""COMPUTED_VALUE"""),"21 Callistra Crescent Buderim QLD 4556")</f>
        <v>21 Callistra Crescent Buderim QLD 4556</v>
      </c>
      <c r="E448" s="25">
        <f>IFERROR(__xludf.DUMMYFUNCTION("""COMPUTED_VALUE"""),45895.0)</f>
        <v>45895</v>
      </c>
      <c r="F448" s="5" t="str">
        <f>IFERROR(__xludf.DUMMYFUNCTION("""COMPUTED_VALUE"""),"Featured")</f>
        <v>Featured</v>
      </c>
      <c r="G448" s="19" t="str">
        <f>IFERROR(__xludf.DUMMYFUNCTION("""COMPUTED_VALUE"""),"Instant Forms")</f>
        <v>Instant Forms</v>
      </c>
      <c r="H448" s="19"/>
      <c r="I448" s="62"/>
      <c r="J448" s="19"/>
    </row>
    <row r="449">
      <c r="A449" s="19" t="str">
        <f>IFERROR(__xludf.DUMMYFUNCTION("""COMPUTED_VALUE"""),"Ben Young")</f>
        <v>Ben Young</v>
      </c>
      <c r="B449" s="19" t="str">
        <f>IFERROR(__xludf.DUMMYFUNCTION("""COMPUTED_VALUE"""),"QLD")</f>
        <v>QLD</v>
      </c>
      <c r="C449" s="5" t="str">
        <f>IFERROR(__xludf.DUMMYFUNCTION("""COMPUTED_VALUE"""),"Mooloolah Valley")</f>
        <v>Mooloolah Valley</v>
      </c>
      <c r="D449" s="5" t="str">
        <f>IFERROR(__xludf.DUMMYFUNCTION("""COMPUTED_VALUE"""),"351 Connection Road Mooloolah Valley QLD 4553")</f>
        <v>351 Connection Road Mooloolah Valley QLD 4553</v>
      </c>
      <c r="E449" s="25">
        <f>IFERROR(__xludf.DUMMYFUNCTION("""COMPUTED_VALUE"""),45898.0)</f>
        <v>45898</v>
      </c>
      <c r="F449" s="5" t="str">
        <f>IFERROR(__xludf.DUMMYFUNCTION("""COMPUTED_VALUE"""),"Featured")</f>
        <v>Featured</v>
      </c>
      <c r="G449" s="19" t="str">
        <f>IFERROR(__xludf.DUMMYFUNCTION("""COMPUTED_VALUE"""),"Instant Forms")</f>
        <v>Instant Forms</v>
      </c>
      <c r="H449" s="19"/>
      <c r="I449" s="62"/>
      <c r="J449" s="19"/>
    </row>
    <row r="450">
      <c r="A450" s="19" t="str">
        <f>IFERROR(__xludf.DUMMYFUNCTION("""COMPUTED_VALUE"""),"Ben Young")</f>
        <v>Ben Young</v>
      </c>
      <c r="B450" s="19" t="str">
        <f>IFERROR(__xludf.DUMMYFUNCTION("""COMPUTED_VALUE"""),"QLD")</f>
        <v>QLD</v>
      </c>
      <c r="C450" s="5" t="str">
        <f>IFERROR(__xludf.DUMMYFUNCTION("""COMPUTED_VALUE"""),"Alexandra Headlands")</f>
        <v>Alexandra Headlands</v>
      </c>
      <c r="D450" s="5" t="str">
        <f>IFERROR(__xludf.DUMMYFUNCTION("""COMPUTED_VALUE"""),"53 Yakola Parade Alexandra Headland QLD 4572")</f>
        <v>53 Yakola Parade Alexandra Headland QLD 4572</v>
      </c>
      <c r="E450" s="25">
        <f>IFERROR(__xludf.DUMMYFUNCTION("""COMPUTED_VALUE"""),45899.0)</f>
        <v>45899</v>
      </c>
      <c r="F450" s="5" t="str">
        <f>IFERROR(__xludf.DUMMYFUNCTION("""COMPUTED_VALUE"""),"Featured")</f>
        <v>Featured</v>
      </c>
      <c r="G450" s="19" t="str">
        <f>IFERROR(__xludf.DUMMYFUNCTION("""COMPUTED_VALUE"""),"Instant Forms")</f>
        <v>Instant Forms</v>
      </c>
      <c r="H450" s="19"/>
      <c r="I450" s="62"/>
      <c r="J450" s="19"/>
    </row>
    <row r="451">
      <c r="A451" s="19" t="str">
        <f>IFERROR(__xludf.DUMMYFUNCTION("""COMPUTED_VALUE"""),"Ben Young")</f>
        <v>Ben Young</v>
      </c>
      <c r="B451" s="19" t="str">
        <f>IFERROR(__xludf.DUMMYFUNCTION("""COMPUTED_VALUE"""),"QLD")</f>
        <v>QLD</v>
      </c>
      <c r="C451" s="5" t="str">
        <f>IFERROR(__xludf.DUMMYFUNCTION("""COMPUTED_VALUE"""),"Forest Glen")</f>
        <v>Forest Glen</v>
      </c>
      <c r="D451" s="5" t="str">
        <f>IFERROR(__xludf.DUMMYFUNCTION("""COMPUTED_VALUE"""),"52 Spoonbill Drive Forest Glen QLD 4556")</f>
        <v>52 Spoonbill Drive Forest Glen QLD 4556</v>
      </c>
      <c r="E451" s="25">
        <f>IFERROR(__xludf.DUMMYFUNCTION("""COMPUTED_VALUE"""),45901.0)</f>
        <v>45901</v>
      </c>
      <c r="F451" s="5" t="str">
        <f>IFERROR(__xludf.DUMMYFUNCTION("""COMPUTED_VALUE"""),"Featured")</f>
        <v>Featured</v>
      </c>
      <c r="G451" s="19" t="str">
        <f>IFERROR(__xludf.DUMMYFUNCTION("""COMPUTED_VALUE"""),"Instant Forms")</f>
        <v>Instant Forms</v>
      </c>
      <c r="H451" s="19"/>
      <c r="I451" s="62"/>
      <c r="J451" s="19"/>
    </row>
    <row r="452">
      <c r="A452" s="19" t="str">
        <f>IFERROR(__xludf.DUMMYFUNCTION("""COMPUTED_VALUE"""),"Ben Young")</f>
        <v>Ben Young</v>
      </c>
      <c r="B452" s="19" t="str">
        <f>IFERROR(__xludf.DUMMYFUNCTION("""COMPUTED_VALUE"""),"QLD")</f>
        <v>QLD</v>
      </c>
      <c r="C452" s="5" t="str">
        <f>IFERROR(__xludf.DUMMYFUNCTION("""COMPUTED_VALUE"""),"Parrearra")</f>
        <v>Parrearra</v>
      </c>
      <c r="D452" s="5" t="str">
        <f>IFERROR(__xludf.DUMMYFUNCTION("""COMPUTED_VALUE"""),"69/7 Grand Parade Parrearra QLD 4575")</f>
        <v>69/7 Grand Parade Parrearra QLD 4575</v>
      </c>
      <c r="E452" s="25">
        <f>IFERROR(__xludf.DUMMYFUNCTION("""COMPUTED_VALUE"""),45902.0)</f>
        <v>45902</v>
      </c>
      <c r="F452" s="5" t="str">
        <f>IFERROR(__xludf.DUMMYFUNCTION("""COMPUTED_VALUE"""),"Featured")</f>
        <v>Featured</v>
      </c>
      <c r="G452" s="19" t="str">
        <f>IFERROR(__xludf.DUMMYFUNCTION("""COMPUTED_VALUE"""),"Instant Forms")</f>
        <v>Instant Forms</v>
      </c>
      <c r="H452" s="19"/>
      <c r="I452" s="62"/>
      <c r="J452" s="19"/>
    </row>
    <row r="453">
      <c r="A453" s="19" t="str">
        <f>IFERROR(__xludf.DUMMYFUNCTION("""COMPUTED_VALUE"""),"Ben Young")</f>
        <v>Ben Young</v>
      </c>
      <c r="B453" s="19" t="str">
        <f>IFERROR(__xludf.DUMMYFUNCTION("""COMPUTED_VALUE"""),"QLD")</f>
        <v>QLD</v>
      </c>
      <c r="C453" s="5" t="str">
        <f>IFERROR(__xludf.DUMMYFUNCTION("""COMPUTED_VALUE"""),"Parrearra")</f>
        <v>Parrearra</v>
      </c>
      <c r="D453" s="5" t="str">
        <f>IFERROR(__xludf.DUMMYFUNCTION("""COMPUTED_VALUE"""),"69 / 7 Grand Parade, Parrearra, QLD, 4575, Australia")</f>
        <v>69 / 7 Grand Parade, Parrearra, QLD, 4575, Australia</v>
      </c>
      <c r="E453" s="25">
        <f>IFERROR(__xludf.DUMMYFUNCTION("""COMPUTED_VALUE"""),45902.0)</f>
        <v>45902</v>
      </c>
      <c r="F453" s="5" t="str">
        <f>IFERROR(__xludf.DUMMYFUNCTION("""COMPUTED_VALUE"""),"Featured")</f>
        <v>Featured</v>
      </c>
      <c r="G453" s="19" t="str">
        <f>IFERROR(__xludf.DUMMYFUNCTION("""COMPUTED_VALUE"""),"Commission Comparison")</f>
        <v>Commission Comparison</v>
      </c>
      <c r="H453" s="19"/>
      <c r="I453" s="62"/>
      <c r="J453" s="19"/>
    </row>
    <row r="454">
      <c r="A454" s="19" t="str">
        <f>IFERROR(__xludf.DUMMYFUNCTION("""COMPUTED_VALUE"""),"Ben Young")</f>
        <v>Ben Young</v>
      </c>
      <c r="B454" s="19" t="str">
        <f>IFERROR(__xludf.DUMMYFUNCTION("""COMPUTED_VALUE"""),"QLD")</f>
        <v>QLD</v>
      </c>
      <c r="C454" s="5">
        <f>IFERROR(__xludf.DUMMYFUNCTION("""COMPUTED_VALUE"""),4557.0)</f>
        <v>4557</v>
      </c>
      <c r="D454" s="5" t="str">
        <f>IFERROR(__xludf.DUMMYFUNCTION("""COMPUTED_VALUE"""),"5 Jirrima Court Buderim QLD 4556")</f>
        <v>5 Jirrima Court Buderim QLD 4556</v>
      </c>
      <c r="E454" s="25">
        <f>IFERROR(__xludf.DUMMYFUNCTION("""COMPUTED_VALUE"""),45905.0)</f>
        <v>45905</v>
      </c>
      <c r="F454" s="5" t="str">
        <f>IFERROR(__xludf.DUMMYFUNCTION("""COMPUTED_VALUE"""),"Featured")</f>
        <v>Featured</v>
      </c>
      <c r="G454" s="19" t="str">
        <f>IFERROR(__xludf.DUMMYFUNCTION("""COMPUTED_VALUE"""),"Instant Forms")</f>
        <v>Instant Forms</v>
      </c>
      <c r="H454" s="19"/>
      <c r="I454" s="62"/>
      <c r="J454" s="19"/>
    </row>
    <row r="455">
      <c r="A455" s="19" t="str">
        <f>IFERROR(__xludf.DUMMYFUNCTION("""COMPUTED_VALUE"""),"Ben Young")</f>
        <v>Ben Young</v>
      </c>
      <c r="B455" s="19" t="str">
        <f>IFERROR(__xludf.DUMMYFUNCTION("""COMPUTED_VALUE"""),"QLD")</f>
        <v>QLD</v>
      </c>
      <c r="C455" s="5" t="str">
        <f>IFERROR(__xludf.DUMMYFUNCTION("""COMPUTED_VALUE"""),"glenview")</f>
        <v>glenview</v>
      </c>
      <c r="D455" s="5" t="str">
        <f>IFERROR(__xludf.DUMMYFUNCTION("""COMPUTED_VALUE"""),"1 Whipbird Place Glenview QLD 4553")</f>
        <v>1 Whipbird Place Glenview QLD 4553</v>
      </c>
      <c r="E455" s="25">
        <f>IFERROR(__xludf.DUMMYFUNCTION("""COMPUTED_VALUE"""),45906.0)</f>
        <v>45906</v>
      </c>
      <c r="F455" s="5" t="str">
        <f>IFERROR(__xludf.DUMMYFUNCTION("""COMPUTED_VALUE"""),"Featured")</f>
        <v>Featured</v>
      </c>
      <c r="G455" s="19" t="str">
        <f>IFERROR(__xludf.DUMMYFUNCTION("""COMPUTED_VALUE"""),"Instant Forms")</f>
        <v>Instant Forms</v>
      </c>
      <c r="H455" s="19"/>
      <c r="I455" s="62"/>
      <c r="J455" s="19"/>
    </row>
    <row r="456">
      <c r="A456" s="19" t="str">
        <f>IFERROR(__xludf.DUMMYFUNCTION("""COMPUTED_VALUE"""),"Ben Young")</f>
        <v>Ben Young</v>
      </c>
      <c r="B456" s="19" t="str">
        <f>IFERROR(__xludf.DUMMYFUNCTION("""COMPUTED_VALUE"""),"QLD")</f>
        <v>QLD</v>
      </c>
      <c r="C456" s="5"/>
      <c r="D456" s="5" t="str">
        <f>IFERROR(__xludf.DUMMYFUNCTION("""COMPUTED_VALUE"""),"8 Forest View Way Little Mountain QLD 4551")</f>
        <v>8 Forest View Way Little Mountain QLD 4551</v>
      </c>
      <c r="E456" s="25">
        <f>IFERROR(__xludf.DUMMYFUNCTION("""COMPUTED_VALUE"""),45912.0)</f>
        <v>45912</v>
      </c>
      <c r="F456" s="5">
        <f>IFERROR(__xludf.DUMMYFUNCTION("""COMPUTED_VALUE"""),5.0)</f>
        <v>5</v>
      </c>
      <c r="G456" s="19" t="str">
        <f>IFERROR(__xludf.DUMMYFUNCTION("""COMPUTED_VALUE"""),"Instant Forms")</f>
        <v>Instant Forms</v>
      </c>
      <c r="H456" s="19"/>
      <c r="I456" s="62"/>
      <c r="J456" s="19"/>
    </row>
    <row r="457">
      <c r="A457" s="19" t="str">
        <f>IFERROR(__xludf.DUMMYFUNCTION("""COMPUTED_VALUE"""),"Ben Young")</f>
        <v>Ben Young</v>
      </c>
      <c r="B457" s="19" t="str">
        <f>IFERROR(__xludf.DUMMYFUNCTION("""COMPUTED_VALUE"""),"QLD")</f>
        <v>QLD</v>
      </c>
      <c r="C457" s="5" t="str">
        <f>IFERROR(__xludf.DUMMYFUNCTION("""COMPUTED_VALUE"""),"Sunshine coast")</f>
        <v>Sunshine coast</v>
      </c>
      <c r="D457" s="5"/>
      <c r="E457" s="25">
        <f>IFERROR(__xludf.DUMMYFUNCTION("""COMPUTED_VALUE"""),45915.0)</f>
        <v>45915</v>
      </c>
      <c r="F457" s="5">
        <f>IFERROR(__xludf.DUMMYFUNCTION("""COMPUTED_VALUE"""),5.0)</f>
        <v>5</v>
      </c>
      <c r="G457" s="19" t="str">
        <f>IFERROR(__xludf.DUMMYFUNCTION("""COMPUTED_VALUE"""),"Instant Forms")</f>
        <v>Instant Forms</v>
      </c>
      <c r="H457" s="19" t="str">
        <f>IFERROR(__xludf.DUMMYFUNCTION("""COMPUTED_VALUE"""),"Mandy Wiggill")</f>
        <v>Mandy Wiggill</v>
      </c>
      <c r="I457" s="62"/>
      <c r="J457" s="19"/>
    </row>
    <row r="458">
      <c r="A458" s="19" t="str">
        <f>IFERROR(__xludf.DUMMYFUNCTION("""COMPUTED_VALUE"""),"Ben Young")</f>
        <v>Ben Young</v>
      </c>
      <c r="B458" s="19" t="str">
        <f>IFERROR(__xludf.DUMMYFUNCTION("""COMPUTED_VALUE"""),"QLD")</f>
        <v>QLD</v>
      </c>
      <c r="C458" s="5" t="str">
        <f>IFERROR(__xludf.DUMMYFUNCTION("""COMPUTED_VALUE"""),"Glenview")</f>
        <v>Glenview</v>
      </c>
      <c r="D458" s="5" t="str">
        <f>IFERROR(__xludf.DUMMYFUNCTION("""COMPUTED_VALUE"""),"4 Clinton Court Glenview QLD 4553")</f>
        <v>4 Clinton Court Glenview QLD 4553</v>
      </c>
      <c r="E458" s="25">
        <f>IFERROR(__xludf.DUMMYFUNCTION("""COMPUTED_VALUE"""),45916.0)</f>
        <v>45916</v>
      </c>
      <c r="F458" s="5">
        <f>IFERROR(__xludf.DUMMYFUNCTION("""COMPUTED_VALUE"""),8.0)</f>
        <v>8</v>
      </c>
      <c r="G458" s="19" t="str">
        <f>IFERROR(__xludf.DUMMYFUNCTION("""COMPUTED_VALUE"""),"Instant Forms")</f>
        <v>Instant Forms</v>
      </c>
      <c r="H458" s="19" t="str">
        <f>IFERROR(__xludf.DUMMYFUNCTION("""COMPUTED_VALUE"""),"Paulette Watson")</f>
        <v>Paulette Watson</v>
      </c>
      <c r="I458" s="62"/>
      <c r="J458" s="19"/>
    </row>
    <row r="459">
      <c r="A459" s="19" t="str">
        <f>IFERROR(__xludf.DUMMYFUNCTION("""COMPUTED_VALUE"""),"Ben Young")</f>
        <v>Ben Young</v>
      </c>
      <c r="B459" s="19" t="str">
        <f>IFERROR(__xludf.DUMMYFUNCTION("""COMPUTED_VALUE"""),"QLD")</f>
        <v>QLD</v>
      </c>
      <c r="C459" s="5" t="str">
        <f>IFERROR(__xludf.DUMMYFUNCTION("""COMPUTED_VALUE"""),"Alexandra Headland")</f>
        <v>Alexandra Headland</v>
      </c>
      <c r="D459" s="5" t="str">
        <f>IFERROR(__xludf.DUMMYFUNCTION("""COMPUTED_VALUE"""),"64 Buderim Avenue Alexandra Headland QLD 4572")</f>
        <v>64 Buderim Avenue Alexandra Headland QLD 4572</v>
      </c>
      <c r="E459" s="25">
        <f>IFERROR(__xludf.DUMMYFUNCTION("""COMPUTED_VALUE"""),45919.0)</f>
        <v>45919</v>
      </c>
      <c r="F459" s="5">
        <f>IFERROR(__xludf.DUMMYFUNCTION("""COMPUTED_VALUE"""),8.0)</f>
        <v>8</v>
      </c>
      <c r="G459" s="19" t="str">
        <f>IFERROR(__xludf.DUMMYFUNCTION("""COMPUTED_VALUE"""),"Instant Forms")</f>
        <v>Instant Forms</v>
      </c>
      <c r="H459" s="19" t="str">
        <f>IFERROR(__xludf.DUMMYFUNCTION("""COMPUTED_VALUE"""),"Tim Freeman")</f>
        <v>Tim Freeman</v>
      </c>
      <c r="I459" s="62"/>
      <c r="J459" s="19"/>
    </row>
    <row r="460">
      <c r="A460" s="19" t="str">
        <f>IFERROR(__xludf.DUMMYFUNCTION("""COMPUTED_VALUE"""),"Ben Young")</f>
        <v>Ben Young</v>
      </c>
      <c r="B460" s="19" t="str">
        <f>IFERROR(__xludf.DUMMYFUNCTION("""COMPUTED_VALUE"""),"QLD")</f>
        <v>QLD</v>
      </c>
      <c r="C460" s="5" t="str">
        <f>IFERROR(__xludf.DUMMYFUNCTION("""COMPUTED_VALUE"""),"Baringa")</f>
        <v>Baringa</v>
      </c>
      <c r="D460" s="5" t="str">
        <f>IFERROR(__xludf.DUMMYFUNCTION("""COMPUTED_VALUE"""),"28 Stone Crescent Baringa QLD 4551")</f>
        <v>28 Stone Crescent Baringa QLD 4551</v>
      </c>
      <c r="E460" s="25">
        <f>IFERROR(__xludf.DUMMYFUNCTION("""COMPUTED_VALUE"""),45925.0)</f>
        <v>45925</v>
      </c>
      <c r="F460" s="5">
        <f>IFERROR(__xludf.DUMMYFUNCTION("""COMPUTED_VALUE"""),6.0)</f>
        <v>6</v>
      </c>
      <c r="G460" s="19" t="str">
        <f>IFERROR(__xludf.DUMMYFUNCTION("""COMPUTED_VALUE"""),"Instant Forms")</f>
        <v>Instant Forms</v>
      </c>
      <c r="H460" s="19" t="str">
        <f>IFERROR(__xludf.DUMMYFUNCTION("""COMPUTED_VALUE"""),"Lisa Bartlett")</f>
        <v>Lisa Bartlett</v>
      </c>
      <c r="I460" s="62"/>
      <c r="J460" s="19"/>
    </row>
    <row r="461">
      <c r="A461" s="19" t="str">
        <f>IFERROR(__xludf.DUMMYFUNCTION("""COMPUTED_VALUE"""),"Ben Young")</f>
        <v>Ben Young</v>
      </c>
      <c r="B461" s="19" t="str">
        <f>IFERROR(__xludf.DUMMYFUNCTION("""COMPUTED_VALUE"""),"QLD")</f>
        <v>QLD</v>
      </c>
      <c r="C461" s="5" t="str">
        <f>IFERROR(__xludf.DUMMYFUNCTION("""COMPUTED_VALUE"""),"Palmwoods")</f>
        <v>Palmwoods</v>
      </c>
      <c r="D461" s="5" t="str">
        <f>IFERROR(__xludf.DUMMYFUNCTION("""COMPUTED_VALUE"""),"40 Taronga Street Palmwoods QLD 4555")</f>
        <v>40 Taronga Street Palmwoods QLD 4555</v>
      </c>
      <c r="E461" s="25">
        <f>IFERROR(__xludf.DUMMYFUNCTION("""COMPUTED_VALUE"""),45929.0)</f>
        <v>45929</v>
      </c>
      <c r="F461" s="5">
        <f>IFERROR(__xludf.DUMMYFUNCTION("""COMPUTED_VALUE"""),8.0)</f>
        <v>8</v>
      </c>
      <c r="G461" s="19" t="str">
        <f>IFERROR(__xludf.DUMMYFUNCTION("""COMPUTED_VALUE"""),"Instant Forms")</f>
        <v>Instant Forms</v>
      </c>
      <c r="H461" s="19" t="str">
        <f>IFERROR(__xludf.DUMMYFUNCTION("""COMPUTED_VALUE"""),"Sue Gilchrist")</f>
        <v>Sue Gilchrist</v>
      </c>
      <c r="I461" s="62"/>
      <c r="J461" s="19"/>
    </row>
    <row r="462">
      <c r="A462" s="19" t="str">
        <f>IFERROR(__xludf.DUMMYFUNCTION("""COMPUTED_VALUE"""),"Ben Young")</f>
        <v>Ben Young</v>
      </c>
      <c r="B462" s="19" t="str">
        <f>IFERROR(__xludf.DUMMYFUNCTION("""COMPUTED_VALUE"""),"QLD")</f>
        <v>QLD</v>
      </c>
      <c r="C462" s="5" t="str">
        <f>IFERROR(__xludf.DUMMYFUNCTION("""COMPUTED_VALUE"""),"Beerwah")</f>
        <v>Beerwah</v>
      </c>
      <c r="D462" s="5" t="str">
        <f>IFERROR(__xludf.DUMMYFUNCTION("""COMPUTED_VALUE"""),"2994 Old Gympie Road Beerwah QLD 4519")</f>
        <v>2994 Old Gympie Road Beerwah QLD 4519</v>
      </c>
      <c r="E462" s="25">
        <f>IFERROR(__xludf.DUMMYFUNCTION("""COMPUTED_VALUE"""),45930.0)</f>
        <v>45930</v>
      </c>
      <c r="F462" s="5">
        <f>IFERROR(__xludf.DUMMYFUNCTION("""COMPUTED_VALUE"""),6.0)</f>
        <v>6</v>
      </c>
      <c r="G462" s="19" t="str">
        <f>IFERROR(__xludf.DUMMYFUNCTION("""COMPUTED_VALUE"""),"Instant Forms")</f>
        <v>Instant Forms</v>
      </c>
      <c r="H462" s="19" t="str">
        <f>IFERROR(__xludf.DUMMYFUNCTION("""COMPUTED_VALUE"""),"Kim Hall")</f>
        <v>Kim Hall</v>
      </c>
      <c r="I462" s="62"/>
      <c r="J462" s="19"/>
    </row>
    <row r="463">
      <c r="A463" s="19" t="str">
        <f>IFERROR(__xludf.DUMMYFUNCTION("""COMPUTED_VALUE"""),"Ben Young")</f>
        <v>Ben Young</v>
      </c>
      <c r="B463" s="19" t="str">
        <f>IFERROR(__xludf.DUMMYFUNCTION("""COMPUTED_VALUE"""),"QLD")</f>
        <v>QLD</v>
      </c>
      <c r="C463" s="5" t="str">
        <f>IFERROR(__xludf.DUMMYFUNCTION("""COMPUTED_VALUE"""),"Mountain Creek")</f>
        <v>Mountain Creek</v>
      </c>
      <c r="D463" s="5" t="str">
        <f>IFERROR(__xludf.DUMMYFUNCTION("""COMPUTED_VALUE"""),"3 Cobia Court Mountain Creek QLD 4557")</f>
        <v>3 Cobia Court Mountain Creek QLD 4557</v>
      </c>
      <c r="E463" s="25">
        <f>IFERROR(__xludf.DUMMYFUNCTION("""COMPUTED_VALUE"""),45931.0)</f>
        <v>45931</v>
      </c>
      <c r="F463" s="5">
        <f>IFERROR(__xludf.DUMMYFUNCTION("""COMPUTED_VALUE"""),8.0)</f>
        <v>8</v>
      </c>
      <c r="G463" s="19" t="str">
        <f>IFERROR(__xludf.DUMMYFUNCTION("""COMPUTED_VALUE"""),"Instant Forms")</f>
        <v>Instant Forms</v>
      </c>
      <c r="H463" s="19" t="str">
        <f>IFERROR(__xludf.DUMMYFUNCTION("""COMPUTED_VALUE"""),"Temieka Bond")</f>
        <v>Temieka Bond</v>
      </c>
      <c r="I463" s="62"/>
      <c r="J463" s="19"/>
    </row>
    <row r="464">
      <c r="A464" s="19" t="str">
        <f>IFERROR(__xludf.DUMMYFUNCTION("""COMPUTED_VALUE"""),"Ben Young")</f>
        <v>Ben Young</v>
      </c>
      <c r="B464" s="19" t="str">
        <f>IFERROR(__xludf.DUMMYFUNCTION("""COMPUTED_VALUE"""),"QLD")</f>
        <v>QLD</v>
      </c>
      <c r="C464" s="5" t="str">
        <f>IFERROR(__xludf.DUMMYFUNCTION("""COMPUTED_VALUE"""),"Buderim")</f>
        <v>Buderim</v>
      </c>
      <c r="D464" s="5" t="str">
        <f>IFERROR(__xludf.DUMMYFUNCTION("""COMPUTED_VALUE"""),"18B Quambi Place Buderim QLD 4556")</f>
        <v>18B Quambi Place Buderim QLD 4556</v>
      </c>
      <c r="E464" s="25">
        <f>IFERROR(__xludf.DUMMYFUNCTION("""COMPUTED_VALUE"""),45934.0)</f>
        <v>45934</v>
      </c>
      <c r="F464" s="5">
        <f>IFERROR(__xludf.DUMMYFUNCTION("""COMPUTED_VALUE"""),8.0)</f>
        <v>8</v>
      </c>
      <c r="G464" s="19" t="str">
        <f>IFERROR(__xludf.DUMMYFUNCTION("""COMPUTED_VALUE"""),"Instant Forms")</f>
        <v>Instant Forms</v>
      </c>
      <c r="H464" s="19" t="str">
        <f>IFERROR(__xludf.DUMMYFUNCTION("""COMPUTED_VALUE"""),"Mike Hogan")</f>
        <v>Mike Hogan</v>
      </c>
      <c r="I464" s="62"/>
      <c r="J464" s="19"/>
    </row>
    <row r="465">
      <c r="A465" s="19" t="str">
        <f>IFERROR(__xludf.DUMMYFUNCTION("""COMPUTED_VALUE"""),"Ben Young")</f>
        <v>Ben Young</v>
      </c>
      <c r="B465" s="19" t="str">
        <f>IFERROR(__xludf.DUMMYFUNCTION("""COMPUTED_VALUE"""),"QLD")</f>
        <v>QLD</v>
      </c>
      <c r="C465" s="5" t="str">
        <f>IFERROR(__xludf.DUMMYFUNCTION("""COMPUTED_VALUE"""),"Alexandra Headland")</f>
        <v>Alexandra Headland</v>
      </c>
      <c r="D465" s="5" t="str">
        <f>IFERROR(__xludf.DUMMYFUNCTION("""COMPUTED_VALUE"""),"53 George Street Alexandra Headland QLD 4572")</f>
        <v>53 George Street Alexandra Headland QLD 4572</v>
      </c>
      <c r="E465" s="25">
        <f>IFERROR(__xludf.DUMMYFUNCTION("""COMPUTED_VALUE"""),45934.0)</f>
        <v>45934</v>
      </c>
      <c r="F465" s="5">
        <f>IFERROR(__xludf.DUMMYFUNCTION("""COMPUTED_VALUE"""),8.0)</f>
        <v>8</v>
      </c>
      <c r="G465" s="19" t="str">
        <f>IFERROR(__xludf.DUMMYFUNCTION("""COMPUTED_VALUE"""),"Instant Forms")</f>
        <v>Instant Forms</v>
      </c>
      <c r="H465" s="19" t="str">
        <f>IFERROR(__xludf.DUMMYFUNCTION("""COMPUTED_VALUE"""),"Sally Hopkins")</f>
        <v>Sally Hopkins</v>
      </c>
      <c r="I465" s="62"/>
      <c r="J465" s="19"/>
    </row>
    <row r="466">
      <c r="A466" s="19" t="str">
        <f>IFERROR(__xludf.DUMMYFUNCTION("""COMPUTED_VALUE"""),"Ben Young")</f>
        <v>Ben Young</v>
      </c>
      <c r="B466" s="19" t="str">
        <f>IFERROR(__xludf.DUMMYFUNCTION("""COMPUTED_VALUE"""),"QLD")</f>
        <v>QLD</v>
      </c>
      <c r="C466" s="5" t="str">
        <f>IFERROR(__xludf.DUMMYFUNCTION("""COMPUTED_VALUE"""),"Alexandra Headland")</f>
        <v>Alexandra Headland</v>
      </c>
      <c r="D466" s="5" t="str">
        <f>IFERROR(__xludf.DUMMYFUNCTION("""COMPUTED_VALUE"""),"53 Yakola Parade Alexandra Headland QLD 4572")</f>
        <v>53 Yakola Parade Alexandra Headland QLD 4572</v>
      </c>
      <c r="E466" s="25">
        <f>IFERROR(__xludf.DUMMYFUNCTION("""COMPUTED_VALUE"""),45939.0)</f>
        <v>45939</v>
      </c>
      <c r="F466" s="5">
        <f>IFERROR(__xludf.DUMMYFUNCTION("""COMPUTED_VALUE"""),9.0)</f>
        <v>9</v>
      </c>
      <c r="G466" s="19" t="str">
        <f>IFERROR(__xludf.DUMMYFUNCTION("""COMPUTED_VALUE"""),"Instant Forms")</f>
        <v>Instant Forms</v>
      </c>
      <c r="H466" s="19"/>
      <c r="I466" s="62"/>
      <c r="J466" s="19"/>
    </row>
    <row r="467">
      <c r="A467" s="19" t="str">
        <f>IFERROR(__xludf.DUMMYFUNCTION("""COMPUTED_VALUE"""),"Ben Young")</f>
        <v>Ben Young</v>
      </c>
      <c r="B467" s="19" t="str">
        <f>IFERROR(__xludf.DUMMYFUNCTION("""COMPUTED_VALUE"""),"QLD")</f>
        <v>QLD</v>
      </c>
      <c r="C467" s="5" t="str">
        <f>IFERROR(__xludf.DUMMYFUNCTION("""COMPUTED_VALUE"""),"Minyama")</f>
        <v>Minyama</v>
      </c>
      <c r="D467" s="5" t="str">
        <f>IFERROR(__xludf.DUMMYFUNCTION("""COMPUTED_VALUE"""),"81 Mooloolah Drive, Minyama, QLD, 4575, Australia")</f>
        <v>81 Mooloolah Drive, Minyama, QLD, 4575, Australia</v>
      </c>
      <c r="E467" s="25">
        <f>IFERROR(__xludf.DUMMYFUNCTION("""COMPUTED_VALUE"""),45940.0)</f>
        <v>45940</v>
      </c>
      <c r="F467" s="5" t="str">
        <f>IFERROR(__xludf.DUMMYFUNCTION("""COMPUTED_VALUE"""),"Featured")</f>
        <v>Featured</v>
      </c>
      <c r="G467" s="19" t="str">
        <f>IFERROR(__xludf.DUMMYFUNCTION("""COMPUTED_VALUE"""),"Commission Comparison")</f>
        <v>Commission Comparison</v>
      </c>
      <c r="H467" s="19"/>
      <c r="I467" s="62"/>
      <c r="J467" s="19"/>
    </row>
    <row r="468">
      <c r="A468" s="19" t="str">
        <f>IFERROR(__xludf.DUMMYFUNCTION("""COMPUTED_VALUE"""),"Ben Young")</f>
        <v>Ben Young</v>
      </c>
      <c r="B468" s="19" t="str">
        <f>IFERROR(__xludf.DUMMYFUNCTION("""COMPUTED_VALUE"""),"QLD")</f>
        <v>QLD</v>
      </c>
      <c r="C468" s="5" t="str">
        <f>IFERROR(__xludf.DUMMYFUNCTION("""COMPUTED_VALUE"""),"Minyama")</f>
        <v>Minyama</v>
      </c>
      <c r="D468" s="5" t="str">
        <f>IFERROR(__xludf.DUMMYFUNCTION("""COMPUTED_VALUE"""),"9 Kumbada Court Minyama QLD 4575")</f>
        <v>9 Kumbada Court Minyama QLD 4575</v>
      </c>
      <c r="E468" s="25">
        <f>IFERROR(__xludf.DUMMYFUNCTION("""COMPUTED_VALUE"""),45945.0)</f>
        <v>45945</v>
      </c>
      <c r="F468" s="5">
        <f>IFERROR(__xludf.DUMMYFUNCTION("""COMPUTED_VALUE"""),8.0)</f>
        <v>8</v>
      </c>
      <c r="G468" s="19" t="str">
        <f>IFERROR(__xludf.DUMMYFUNCTION("""COMPUTED_VALUE"""),"Instant Forms")</f>
        <v>Instant Forms</v>
      </c>
      <c r="H468" s="19"/>
      <c r="I468" s="62"/>
      <c r="J468" s="19"/>
    </row>
    <row r="469">
      <c r="A469" s="19" t="str">
        <f>IFERROR(__xludf.DUMMYFUNCTION("""COMPUTED_VALUE"""),"Ben Young")</f>
        <v>Ben Young</v>
      </c>
      <c r="B469" s="19" t="str">
        <f>IFERROR(__xludf.DUMMYFUNCTION("""COMPUTED_VALUE"""),"QLD")</f>
        <v>QLD</v>
      </c>
      <c r="C469" s="5" t="str">
        <f>IFERROR(__xludf.DUMMYFUNCTION("""COMPUTED_VALUE"""),"Buderim")</f>
        <v>Buderim</v>
      </c>
      <c r="D469" s="5" t="str">
        <f>IFERROR(__xludf.DUMMYFUNCTION("""COMPUTED_VALUE"""),"1 Timbertop Street BUDERIM QLD 4556")</f>
        <v>1 Timbertop Street BUDERIM QLD 4556</v>
      </c>
      <c r="E469" s="25">
        <f>IFERROR(__xludf.DUMMYFUNCTION("""COMPUTED_VALUE"""),45950.0)</f>
        <v>45950</v>
      </c>
      <c r="F469" s="5">
        <f>IFERROR(__xludf.DUMMYFUNCTION("""COMPUTED_VALUE"""),8.0)</f>
        <v>8</v>
      </c>
      <c r="G469" s="19" t="str">
        <f>IFERROR(__xludf.DUMMYFUNCTION("""COMPUTED_VALUE"""),"Instant Forms")</f>
        <v>Instant Forms</v>
      </c>
      <c r="H469" s="19"/>
      <c r="I469" s="62"/>
      <c r="J469" s="19"/>
    </row>
    <row r="470">
      <c r="A470" s="19" t="str">
        <f>IFERROR(__xludf.DUMMYFUNCTION("""COMPUTED_VALUE"""),"Ben Young")</f>
        <v>Ben Young</v>
      </c>
      <c r="B470" s="19" t="str">
        <f>IFERROR(__xludf.DUMMYFUNCTION("""COMPUTED_VALUE"""),"QLD")</f>
        <v>QLD</v>
      </c>
      <c r="C470" s="5" t="str">
        <f>IFERROR(__xludf.DUMMYFUNCTION("""COMPUTED_VALUE"""),"Buderim")</f>
        <v>Buderim</v>
      </c>
      <c r="D470" s="5" t="str">
        <f>IFERROR(__xludf.DUMMYFUNCTION("""COMPUTED_VALUE"""),"87 Buderim Pines Drive, Buderim, 4556")</f>
        <v>87 Buderim Pines Drive, Buderim, 4556</v>
      </c>
      <c r="E470" s="25" t="str">
        <f>IFERROR(__xludf.DUMMYFUNCTION("""COMPUTED_VALUE"""),"22/10/2025")</f>
        <v>22/10/2025</v>
      </c>
      <c r="F470" s="5" t="str">
        <f>IFERROR(__xludf.DUMMYFUNCTION("""COMPUTED_VALUE"""),"Featured")</f>
        <v>Featured</v>
      </c>
      <c r="G470" s="19" t="str">
        <f>IFERROR(__xludf.DUMMYFUNCTION("""COMPUTED_VALUE"""),"Meta Commission Report")</f>
        <v>Meta Commission Report</v>
      </c>
      <c r="H470" s="19" t="str">
        <f>IFERROR(__xludf.DUMMYFUNCTION("""COMPUTED_VALUE"""),"Bryan Tomlins")</f>
        <v>Bryan Tomlins</v>
      </c>
      <c r="I470" s="62"/>
      <c r="J470" s="19"/>
    </row>
    <row r="471">
      <c r="A471" s="19" t="str">
        <f>IFERROR(__xludf.DUMMYFUNCTION("""COMPUTED_VALUE"""),"Ben Young")</f>
        <v>Ben Young</v>
      </c>
      <c r="B471" s="19" t="str">
        <f>IFERROR(__xludf.DUMMYFUNCTION("""COMPUTED_VALUE"""),"QLD")</f>
        <v>QLD</v>
      </c>
      <c r="C471" s="5" t="str">
        <f>IFERROR(__xludf.DUMMYFUNCTION("""COMPUTED_VALUE"""),"Buderim")</f>
        <v>Buderim</v>
      </c>
      <c r="D471" s="5" t="str">
        <f>IFERROR(__xludf.DUMMYFUNCTION("""COMPUTED_VALUE"""),"87 Buderim Pines Drive")</f>
        <v>87 Buderim Pines Drive</v>
      </c>
      <c r="E471" s="25">
        <f>IFERROR(__xludf.DUMMYFUNCTION("""COMPUTED_VALUE"""),45952.0)</f>
        <v>45952</v>
      </c>
      <c r="F471" s="5" t="str">
        <f>IFERROR(__xludf.DUMMYFUNCTION("""COMPUTED_VALUE"""),"Featured")</f>
        <v>Featured</v>
      </c>
      <c r="G471" s="19" t="str">
        <f>IFERROR(__xludf.DUMMYFUNCTION("""COMPUTED_VALUE"""),"Commission Comparison")</f>
        <v>Commission Comparison</v>
      </c>
      <c r="H471" s="19"/>
      <c r="I471" s="62"/>
      <c r="J471" s="19"/>
    </row>
    <row r="472">
      <c r="A472" s="19" t="str">
        <f>IFERROR(__xludf.DUMMYFUNCTION("""COMPUTED_VALUE"""),"Ben Young")</f>
        <v>Ben Young</v>
      </c>
      <c r="B472" s="19" t="str">
        <f>IFERROR(__xludf.DUMMYFUNCTION("""COMPUTED_VALUE"""),"QLD")</f>
        <v>QLD</v>
      </c>
      <c r="C472" s="5" t="str">
        <f>IFERROR(__xludf.DUMMYFUNCTION("""COMPUTED_VALUE"""),"Alexandra Headland")</f>
        <v>Alexandra Headland</v>
      </c>
      <c r="D472" s="5" t="str">
        <f>IFERROR(__xludf.DUMMYFUNCTION("""COMPUTED_VALUE"""),"53 GEORGE STREET ALEXANDRA HEADLAND QLD 4572, Alexandra Headland, 4572")</f>
        <v>53 GEORGE STREET ALEXANDRA HEADLAND QLD 4572, Alexandra Headland, 4572</v>
      </c>
      <c r="E472" s="25" t="str">
        <f>IFERROR(__xludf.DUMMYFUNCTION("""COMPUTED_VALUE"""),"25/10/2025")</f>
        <v>25/10/2025</v>
      </c>
      <c r="F472" s="5" t="str">
        <f>IFERROR(__xludf.DUMMYFUNCTION("""COMPUTED_VALUE"""),"Featured")</f>
        <v>Featured</v>
      </c>
      <c r="G472" s="19" t="str">
        <f>IFERROR(__xludf.DUMMYFUNCTION("""COMPUTED_VALUE"""),"Meta Commission Report")</f>
        <v>Meta Commission Report</v>
      </c>
      <c r="H472" s="19" t="str">
        <f>IFERROR(__xludf.DUMMYFUNCTION("""COMPUTED_VALUE"""),"Sally Hopkins")</f>
        <v>Sally Hopkins</v>
      </c>
      <c r="I472" s="62"/>
      <c r="J472" s="19"/>
    </row>
    <row r="473">
      <c r="A473" s="19" t="str">
        <f>IFERROR(__xludf.DUMMYFUNCTION("""COMPUTED_VALUE"""),"Ben Young")</f>
        <v>Ben Young</v>
      </c>
      <c r="B473" s="19" t="str">
        <f>IFERROR(__xludf.DUMMYFUNCTION("""COMPUTED_VALUE"""),"QLD")</f>
        <v>QLD</v>
      </c>
      <c r="C473" s="5" t="str">
        <f>IFERROR(__xludf.DUMMYFUNCTION("""COMPUTED_VALUE"""),"Alexandra Headland")</f>
        <v>Alexandra Headland</v>
      </c>
      <c r="D473" s="5" t="str">
        <f>IFERROR(__xludf.DUMMYFUNCTION("""COMPUTED_VALUE"""),"53 George Street Alexandra Headland QLD 4572, Alexandra Headland, 4572")</f>
        <v>53 George Street Alexandra Headland QLD 4572, Alexandra Headland, 4572</v>
      </c>
      <c r="E473" s="25" t="str">
        <f>IFERROR(__xludf.DUMMYFUNCTION("""COMPUTED_VALUE"""),"25/10/2025")</f>
        <v>25/10/2025</v>
      </c>
      <c r="F473" s="5" t="str">
        <f>IFERROR(__xludf.DUMMYFUNCTION("""COMPUTED_VALUE"""),"Featured")</f>
        <v>Featured</v>
      </c>
      <c r="G473" s="19" t="str">
        <f>IFERROR(__xludf.DUMMYFUNCTION("""COMPUTED_VALUE"""),"Meta Commission Report")</f>
        <v>Meta Commission Report</v>
      </c>
      <c r="H473" s="19" t="str">
        <f>IFERROR(__xludf.DUMMYFUNCTION("""COMPUTED_VALUE"""),"Sally Hopkins")</f>
        <v>Sally Hopkins</v>
      </c>
      <c r="I473" s="62"/>
      <c r="J473" s="19"/>
    </row>
    <row r="474">
      <c r="A474" s="19" t="str">
        <f>IFERROR(__xludf.DUMMYFUNCTION("""COMPUTED_VALUE"""),"Ben Young")</f>
        <v>Ben Young</v>
      </c>
      <c r="B474" s="19" t="str">
        <f>IFERROR(__xludf.DUMMYFUNCTION("""COMPUTED_VALUE"""),"QLD")</f>
        <v>QLD</v>
      </c>
      <c r="C474" s="5" t="str">
        <f>IFERROR(__xludf.DUMMYFUNCTION("""COMPUTED_VALUE"""),"Little Mountain")</f>
        <v>Little Mountain</v>
      </c>
      <c r="D474" s="5" t="str">
        <f>IFERROR(__xludf.DUMMYFUNCTION("""COMPUTED_VALUE"""),"9 / 17 Greensboro Place, Little Mountain, QLD, 4551, Australia")</f>
        <v>9 / 17 Greensboro Place, Little Mountain, QLD, 4551, Australia</v>
      </c>
      <c r="E474" s="25">
        <f>IFERROR(__xludf.DUMMYFUNCTION("""COMPUTED_VALUE"""),45956.0)</f>
        <v>45956</v>
      </c>
      <c r="F474" s="5" t="str">
        <f>IFERROR(__xludf.DUMMYFUNCTION("""COMPUTED_VALUE"""),"Featured")</f>
        <v>Featured</v>
      </c>
      <c r="G474" s="19" t="str">
        <f>IFERROR(__xludf.DUMMYFUNCTION("""COMPUTED_VALUE"""),"Commission Comparison")</f>
        <v>Commission Comparison</v>
      </c>
      <c r="H474" s="19"/>
      <c r="I474" s="62"/>
      <c r="J474" s="19"/>
    </row>
    <row r="475">
      <c r="A475" s="19" t="str">
        <f>IFERROR(__xludf.DUMMYFUNCTION("""COMPUTED_VALUE"""),"Ben Young")</f>
        <v>Ben Young</v>
      </c>
      <c r="B475" s="19" t="str">
        <f>IFERROR(__xludf.DUMMYFUNCTION("""COMPUTED_VALUE"""),"QLD")</f>
        <v>QLD</v>
      </c>
      <c r="C475" s="5" t="str">
        <f>IFERROR(__xludf.DUMMYFUNCTION("""COMPUTED_VALUE"""),"Palmview")</f>
        <v>Palmview</v>
      </c>
      <c r="D475" s="5" t="str">
        <f>IFERROR(__xludf.DUMMYFUNCTION("""COMPUTED_VALUE"""),"2 Montserrat Cres, Palmview, 4551")</f>
        <v>2 Montserrat Cres, Palmview, 4551</v>
      </c>
      <c r="E475" s="25" t="str">
        <f>IFERROR(__xludf.DUMMYFUNCTION("""COMPUTED_VALUE"""),"27/10/2025")</f>
        <v>27/10/2025</v>
      </c>
      <c r="F475" s="5" t="str">
        <f>IFERROR(__xludf.DUMMYFUNCTION("""COMPUTED_VALUE"""),"Featured")</f>
        <v>Featured</v>
      </c>
      <c r="G475" s="19" t="str">
        <f>IFERROR(__xludf.DUMMYFUNCTION("""COMPUTED_VALUE"""),"Meta Commission Report")</f>
        <v>Meta Commission Report</v>
      </c>
      <c r="H475" s="19" t="str">
        <f>IFERROR(__xludf.DUMMYFUNCTION("""COMPUTED_VALUE"""),"Steve Hubbard")</f>
        <v>Steve Hubbard</v>
      </c>
      <c r="I475" s="62"/>
      <c r="J475" s="19"/>
    </row>
    <row r="476">
      <c r="A476" s="19" t="str">
        <f>IFERROR(__xludf.DUMMYFUNCTION("""COMPUTED_VALUE"""),"Ben Young")</f>
        <v>Ben Young</v>
      </c>
      <c r="B476" s="19" t="str">
        <f>IFERROR(__xludf.DUMMYFUNCTION("""COMPUTED_VALUE"""),"QLD")</f>
        <v>QLD</v>
      </c>
      <c r="C476" s="5" t="str">
        <f>IFERROR(__xludf.DUMMYFUNCTION("""COMPUTED_VALUE"""),"Mooloolah Valley")</f>
        <v>Mooloolah Valley</v>
      </c>
      <c r="D476" s="5" t="str">
        <f>IFERROR(__xludf.DUMMYFUNCTION("""COMPUTED_VALUE"""),"9 Fern Gully Place, Mooloolah Valley, QLD, 4553, Australia")</f>
        <v>9 Fern Gully Place, Mooloolah Valley, QLD, 4553, Australia</v>
      </c>
      <c r="E476" s="25">
        <f>IFERROR(__xludf.DUMMYFUNCTION("""COMPUTED_VALUE"""),45958.0)</f>
        <v>45958</v>
      </c>
      <c r="F476" s="5" t="str">
        <f>IFERROR(__xludf.DUMMYFUNCTION("""COMPUTED_VALUE"""),"Featured")</f>
        <v>Featured</v>
      </c>
      <c r="G476" s="19" t="str">
        <f>IFERROR(__xludf.DUMMYFUNCTION("""COMPUTED_VALUE"""),"Commission Comparison")</f>
        <v>Commission Comparison</v>
      </c>
      <c r="H476" s="19"/>
      <c r="I476" s="62"/>
      <c r="J476" s="19"/>
    </row>
    <row r="477">
      <c r="A477" s="19" t="str">
        <f>IFERROR(__xludf.DUMMYFUNCTION("""COMPUTED_VALUE"""),"Ben Young")</f>
        <v>Ben Young</v>
      </c>
      <c r="B477" s="19" t="str">
        <f>IFERROR(__xludf.DUMMYFUNCTION("""COMPUTED_VALUE"""),"QLD")</f>
        <v>QLD</v>
      </c>
      <c r="C477" s="5" t="str">
        <f>IFERROR(__xludf.DUMMYFUNCTION("""COMPUTED_VALUE"""),"Buderim")</f>
        <v>Buderim</v>
      </c>
      <c r="D477" s="5" t="str">
        <f>IFERROR(__xludf.DUMMYFUNCTION("""COMPUTED_VALUE"""),"118 North Buderim Boulevard Buderim QLD 4556")</f>
        <v>118 North Buderim Boulevard Buderim QLD 4556</v>
      </c>
      <c r="E477" s="25">
        <f>IFERROR(__xludf.DUMMYFUNCTION("""COMPUTED_VALUE"""),45959.0)</f>
        <v>45959</v>
      </c>
      <c r="F477" s="5">
        <f>IFERROR(__xludf.DUMMYFUNCTION("""COMPUTED_VALUE"""),8.0)</f>
        <v>8</v>
      </c>
      <c r="G477" s="19" t="str">
        <f>IFERROR(__xludf.DUMMYFUNCTION("""COMPUTED_VALUE"""),"Instant Forms")</f>
        <v>Instant Forms</v>
      </c>
      <c r="H477" s="19"/>
      <c r="I477" s="62"/>
      <c r="J477" s="19"/>
    </row>
    <row r="478">
      <c r="A478" s="19" t="str">
        <f>IFERROR(__xludf.DUMMYFUNCTION("""COMPUTED_VALUE"""),"Ben Young")</f>
        <v>Ben Young</v>
      </c>
      <c r="B478" s="19" t="str">
        <f>IFERROR(__xludf.DUMMYFUNCTION("""COMPUTED_VALUE"""),"QLD")</f>
        <v>QLD</v>
      </c>
      <c r="C478" s="5" t="str">
        <f>IFERROR(__xludf.DUMMYFUNCTION("""COMPUTED_VALUE"""),"Minyama")</f>
        <v>Minyama</v>
      </c>
      <c r="D478" s="5" t="str">
        <f>IFERROR(__xludf.DUMMYFUNCTION("""COMPUTED_VALUE"""),"7 Jarrah Street Minyama QLD 4575")</f>
        <v>7 Jarrah Street Minyama QLD 4575</v>
      </c>
      <c r="E478" s="25">
        <f>IFERROR(__xludf.DUMMYFUNCTION("""COMPUTED_VALUE"""),45962.0)</f>
        <v>45962</v>
      </c>
      <c r="F478" s="5">
        <f>IFERROR(__xludf.DUMMYFUNCTION("""COMPUTED_VALUE"""),8.0)</f>
        <v>8</v>
      </c>
      <c r="G478" s="19" t="str">
        <f>IFERROR(__xludf.DUMMYFUNCTION("""COMPUTED_VALUE"""),"Instant Forms")</f>
        <v>Instant Forms</v>
      </c>
      <c r="H478" s="19"/>
      <c r="I478" s="62"/>
      <c r="J478" s="19"/>
    </row>
    <row r="479">
      <c r="A479" s="19" t="str">
        <f>IFERROR(__xludf.DUMMYFUNCTION("""COMPUTED_VALUE"""),"Ben Young")</f>
        <v>Ben Young</v>
      </c>
      <c r="B479" s="19" t="str">
        <f>IFERROR(__xludf.DUMMYFUNCTION("""COMPUTED_VALUE"""),"QLD")</f>
        <v>QLD</v>
      </c>
      <c r="C479" s="5" t="str">
        <f>IFERROR(__xludf.DUMMYFUNCTION("""COMPUTED_VALUE"""),"Palmview")</f>
        <v>Palmview</v>
      </c>
      <c r="D479" s="5" t="str">
        <f>IFERROR(__xludf.DUMMYFUNCTION("""COMPUTED_VALUE"""),"35 Greenview Terrace Palmview QLD 4553")</f>
        <v>35 Greenview Terrace Palmview QLD 4553</v>
      </c>
      <c r="E479" s="25">
        <f>IFERROR(__xludf.DUMMYFUNCTION("""COMPUTED_VALUE"""),45964.0)</f>
        <v>45964</v>
      </c>
      <c r="F479" s="5">
        <f>IFERROR(__xludf.DUMMYFUNCTION("""COMPUTED_VALUE"""),6.0)</f>
        <v>6</v>
      </c>
      <c r="G479" s="19" t="str">
        <f>IFERROR(__xludf.DUMMYFUNCTION("""COMPUTED_VALUE"""),"Instant Forms")</f>
        <v>Instant Forms</v>
      </c>
      <c r="H479" s="19"/>
      <c r="I479" s="62"/>
      <c r="J479" s="19"/>
    </row>
    <row r="480">
      <c r="A480" s="19" t="str">
        <f>IFERROR(__xludf.DUMMYFUNCTION("""COMPUTED_VALUE"""),"Ben Young")</f>
        <v>Ben Young</v>
      </c>
      <c r="B480" s="19" t="str">
        <f>IFERROR(__xludf.DUMMYFUNCTION("""COMPUTED_VALUE"""),"QLD")</f>
        <v>QLD</v>
      </c>
      <c r="C480" s="5" t="str">
        <f>IFERROR(__xludf.DUMMYFUNCTION("""COMPUTED_VALUE"""),"Mountain Creek")</f>
        <v>Mountain Creek</v>
      </c>
      <c r="D480" s="5" t="str">
        <f>IFERROR(__xludf.DUMMYFUNCTION("""COMPUTED_VALUE"""),"10/15 Panama Crescent Mountain Creek QLD 4557")</f>
        <v>10/15 Panama Crescent Mountain Creek QLD 4557</v>
      </c>
      <c r="E480" s="25">
        <f>IFERROR(__xludf.DUMMYFUNCTION("""COMPUTED_VALUE"""),45964.0)</f>
        <v>45964</v>
      </c>
      <c r="F480" s="5">
        <f>IFERROR(__xludf.DUMMYFUNCTION("""COMPUTED_VALUE"""),6.0)</f>
        <v>6</v>
      </c>
      <c r="G480" s="19" t="str">
        <f>IFERROR(__xludf.DUMMYFUNCTION("""COMPUTED_VALUE"""),"Instant Forms")</f>
        <v>Instant Forms</v>
      </c>
      <c r="H480" s="19"/>
      <c r="I480" s="62"/>
      <c r="J480" s="19"/>
    </row>
    <row r="481">
      <c r="A481" s="19" t="str">
        <f>IFERROR(__xludf.DUMMYFUNCTION("""COMPUTED_VALUE"""),"Ben Young")</f>
        <v>Ben Young</v>
      </c>
      <c r="B481" s="19" t="str">
        <f>IFERROR(__xludf.DUMMYFUNCTION("""COMPUTED_VALUE"""),"QLD")</f>
        <v>QLD</v>
      </c>
      <c r="C481" s="5" t="str">
        <f>IFERROR(__xludf.DUMMYFUNCTION("""COMPUTED_VALUE"""),"Mountain Creek")</f>
        <v>Mountain Creek</v>
      </c>
      <c r="D481" s="5" t="str">
        <f>IFERROR(__xludf.DUMMYFUNCTION("""COMPUTED_VALUE"""),"62 Karawatha Drive Mountain Creek QLD 4557")</f>
        <v>62 Karawatha Drive Mountain Creek QLD 4557</v>
      </c>
      <c r="E481" s="25">
        <f>IFERROR(__xludf.DUMMYFUNCTION("""COMPUTED_VALUE"""),45964.0)</f>
        <v>45964</v>
      </c>
      <c r="F481" s="5">
        <f>IFERROR(__xludf.DUMMYFUNCTION("""COMPUTED_VALUE"""),8.0)</f>
        <v>8</v>
      </c>
      <c r="G481" s="19" t="str">
        <f>IFERROR(__xludf.DUMMYFUNCTION("""COMPUTED_VALUE"""),"Instant Forms")</f>
        <v>Instant Forms</v>
      </c>
      <c r="H481" s="19"/>
      <c r="I481" s="62"/>
      <c r="J481" s="19"/>
    </row>
    <row r="482">
      <c r="A482" s="19" t="str">
        <f>IFERROR(__xludf.DUMMYFUNCTION("""COMPUTED_VALUE"""),"Ben Young")</f>
        <v>Ben Young</v>
      </c>
      <c r="B482" s="19" t="str">
        <f>IFERROR(__xludf.DUMMYFUNCTION("""COMPUTED_VALUE"""),"QLD")</f>
        <v>QLD</v>
      </c>
      <c r="C482" s="5" t="str">
        <f>IFERROR(__xludf.DUMMYFUNCTION("""COMPUTED_VALUE"""),"Palmwoods")</f>
        <v>Palmwoods</v>
      </c>
      <c r="D482" s="5" t="str">
        <f>IFERROR(__xludf.DUMMYFUNCTION("""COMPUTED_VALUE"""),"53 Palmwoods School Road, Palmwoods")</f>
        <v>53 Palmwoods School Road, Palmwoods</v>
      </c>
      <c r="E482" s="25">
        <f>IFERROR(__xludf.DUMMYFUNCTION("""COMPUTED_VALUE"""),45964.0)</f>
        <v>45964</v>
      </c>
      <c r="F482" s="5" t="str">
        <f>IFERROR(__xludf.DUMMYFUNCTION("""COMPUTED_VALUE"""),"Featured")</f>
        <v>Featured</v>
      </c>
      <c r="G482" s="19" t="str">
        <f>IFERROR(__xludf.DUMMYFUNCTION("""COMPUTED_VALUE"""),"Commission Comparison")</f>
        <v>Commission Comparison</v>
      </c>
      <c r="H482" s="19"/>
      <c r="I482" s="62"/>
      <c r="J482" s="19"/>
    </row>
    <row r="483">
      <c r="A483" s="19" t="str">
        <f>IFERROR(__xludf.DUMMYFUNCTION("""COMPUTED_VALUE"""),"Ben Young")</f>
        <v>Ben Young</v>
      </c>
      <c r="B483" s="19" t="str">
        <f>IFERROR(__xludf.DUMMYFUNCTION("""COMPUTED_VALUE"""),"QLD")</f>
        <v>QLD</v>
      </c>
      <c r="C483" s="5" t="str">
        <f>IFERROR(__xludf.DUMMYFUNCTION("""COMPUTED_VALUE"""),"Wurtulla")</f>
        <v>Wurtulla</v>
      </c>
      <c r="D483" s="5" t="str">
        <f>IFERROR(__xludf.DUMMYFUNCTION("""COMPUTED_VALUE"""),"5 Mizzen Close Wurtulla QLD 4575")</f>
        <v>5 Mizzen Close Wurtulla QLD 4575</v>
      </c>
      <c r="E483" s="25">
        <f>IFERROR(__xludf.DUMMYFUNCTION("""COMPUTED_VALUE"""),45966.0)</f>
        <v>45966</v>
      </c>
      <c r="F483" s="5">
        <f>IFERROR(__xludf.DUMMYFUNCTION("""COMPUTED_VALUE"""),8.0)</f>
        <v>8</v>
      </c>
      <c r="G483" s="19" t="str">
        <f>IFERROR(__xludf.DUMMYFUNCTION("""COMPUTED_VALUE"""),"Instant Forms")</f>
        <v>Instant Forms</v>
      </c>
      <c r="H483" s="19" t="str">
        <f>IFERROR(__xludf.DUMMYFUNCTION("""COMPUTED_VALUE"""),"Mark Jenkinson")</f>
        <v>Mark Jenkinson</v>
      </c>
      <c r="I483" s="62">
        <f>IFERROR(__xludf.DUMMYFUNCTION("""COMPUTED_VALUE"""),6.1437082151E10)</f>
        <v>61437082151</v>
      </c>
      <c r="J483" s="19" t="str">
        <f>IFERROR(__xludf.DUMMYFUNCTION("""COMPUTED_VALUE"""),"markj1@bigpond.net.au")</f>
        <v>markj1@bigpond.net.au</v>
      </c>
    </row>
    <row r="484">
      <c r="A484" s="19" t="str">
        <f>IFERROR(__xludf.DUMMYFUNCTION("""COMPUTED_VALUE"""),"Ben Young")</f>
        <v>Ben Young</v>
      </c>
      <c r="B484" s="19" t="str">
        <f>IFERROR(__xludf.DUMMYFUNCTION("""COMPUTED_VALUE"""),"QLD")</f>
        <v>QLD</v>
      </c>
      <c r="C484" s="5" t="str">
        <f>IFERROR(__xludf.DUMMYFUNCTION("""COMPUTED_VALUE"""),"Alexandra Headland")</f>
        <v>Alexandra Headland</v>
      </c>
      <c r="D484" s="5" t="str">
        <f>IFERROR(__xludf.DUMMYFUNCTION("""COMPUTED_VALUE"""),"6/18  Camfield st Alexandra Headland., Alexandra Headland, 4572")</f>
        <v>6/18  Camfield st Alexandra Headland., Alexandra Headland, 4572</v>
      </c>
      <c r="E484" s="25">
        <f>IFERROR(__xludf.DUMMYFUNCTION("""COMPUTED_VALUE"""),46002.0)</f>
        <v>46002</v>
      </c>
      <c r="F484" s="5" t="str">
        <f>IFERROR(__xludf.DUMMYFUNCTION("""COMPUTED_VALUE"""),"Featured")</f>
        <v>Featured</v>
      </c>
      <c r="G484" s="19" t="str">
        <f>IFERROR(__xludf.DUMMYFUNCTION("""COMPUTED_VALUE"""),"Meta Commission Report")</f>
        <v>Meta Commission Report</v>
      </c>
      <c r="H484" s="19" t="str">
        <f>IFERROR(__xludf.DUMMYFUNCTION("""COMPUTED_VALUE"""),"Juleen Clements")</f>
        <v>Juleen Clements</v>
      </c>
      <c r="I484" s="62">
        <f>IFERROR(__xludf.DUMMYFUNCTION("""COMPUTED_VALUE"""),6.1439774924E10)</f>
        <v>61439774924</v>
      </c>
      <c r="J484" s="19" t="str">
        <f>IFERROR(__xludf.DUMMYFUNCTION("""COMPUTED_VALUE"""),"juleenresumes@yahoo.com")</f>
        <v>juleenresumes@yahoo.com</v>
      </c>
    </row>
    <row r="485">
      <c r="A485" s="19" t="str">
        <f>IFERROR(__xludf.DUMMYFUNCTION("""COMPUTED_VALUE"""),"Ben Young")</f>
        <v>Ben Young</v>
      </c>
      <c r="B485" s="19" t="str">
        <f>IFERROR(__xludf.DUMMYFUNCTION("""COMPUTED_VALUE"""),"QLD")</f>
        <v>QLD</v>
      </c>
      <c r="C485" s="5" t="str">
        <f>IFERROR(__xludf.DUMMYFUNCTION("""COMPUTED_VALUE"""),"Little Mountain")</f>
        <v>Little Mountain</v>
      </c>
      <c r="D485" s="5" t="str">
        <f>IFERROR(__xludf.DUMMYFUNCTION("""COMPUTED_VALUE"""),"56 Little Mountain Drive Little Mountain QLD 4551")</f>
        <v>56 Little Mountain Drive Little Mountain QLD 4551</v>
      </c>
      <c r="E485" s="25">
        <f>IFERROR(__xludf.DUMMYFUNCTION("""COMPUTED_VALUE"""),45973.0)</f>
        <v>45973</v>
      </c>
      <c r="F485" s="5">
        <f>IFERROR(__xludf.DUMMYFUNCTION("""COMPUTED_VALUE"""),8.0)</f>
        <v>8</v>
      </c>
      <c r="G485" s="19" t="str">
        <f>IFERROR(__xludf.DUMMYFUNCTION("""COMPUTED_VALUE"""),"Instant Forms")</f>
        <v>Instant Forms</v>
      </c>
      <c r="H485" s="19" t="str">
        <f>IFERROR(__xludf.DUMMYFUNCTION("""COMPUTED_VALUE"""),"Barbara Dore Webb")</f>
        <v>Barbara Dore Webb</v>
      </c>
      <c r="I485" s="62">
        <f>IFERROR(__xludf.DUMMYFUNCTION("""COMPUTED_VALUE"""),6.1412507637E10)</f>
        <v>61412507637</v>
      </c>
      <c r="J485" s="19" t="str">
        <f>IFERROR(__xludf.DUMMYFUNCTION("""COMPUTED_VALUE"""),"bzwebb@gmail.com")</f>
        <v>bzwebb@gmail.com</v>
      </c>
    </row>
    <row r="486">
      <c r="A486" s="19" t="str">
        <f>IFERROR(__xludf.DUMMYFUNCTION("""COMPUTED_VALUE"""),"Ben Young")</f>
        <v>Ben Young</v>
      </c>
      <c r="B486" s="19" t="str">
        <f>IFERROR(__xludf.DUMMYFUNCTION("""COMPUTED_VALUE"""),"QLD")</f>
        <v>QLD</v>
      </c>
      <c r="C486" s="5" t="str">
        <f>IFERROR(__xludf.DUMMYFUNCTION("""COMPUTED_VALUE"""),"Buderim")</f>
        <v>Buderim</v>
      </c>
      <c r="D486" s="5" t="str">
        <f>IFERROR(__xludf.DUMMYFUNCTION("""COMPUTED_VALUE"""),"7 Guy Avenue BUDERIM QLD 4556")</f>
        <v>7 Guy Avenue BUDERIM QLD 4556</v>
      </c>
      <c r="E486" s="25">
        <f>IFERROR(__xludf.DUMMYFUNCTION("""COMPUTED_VALUE"""),45975.0)</f>
        <v>45975</v>
      </c>
      <c r="F486" s="5">
        <f>IFERROR(__xludf.DUMMYFUNCTION("""COMPUTED_VALUE"""),9.0)</f>
        <v>9</v>
      </c>
      <c r="G486" s="19" t="str">
        <f>IFERROR(__xludf.DUMMYFUNCTION("""COMPUTED_VALUE"""),"Instant Forms")</f>
        <v>Instant Forms</v>
      </c>
      <c r="H486" s="19" t="str">
        <f>IFERROR(__xludf.DUMMYFUNCTION("""COMPUTED_VALUE"""),"Jo Cutajar Mitchell")</f>
        <v>Jo Cutajar Mitchell</v>
      </c>
      <c r="I486" s="62">
        <f>IFERROR(__xludf.DUMMYFUNCTION("""COMPUTED_VALUE"""),6.1401841805E10)</f>
        <v>61401841805</v>
      </c>
      <c r="J486" s="19" t="str">
        <f>IFERROR(__xludf.DUMMYFUNCTION("""COMPUTED_VALUE"""),"jocutajarmitchell@gmail.com")</f>
        <v>jocutajarmitchell@gmail.com</v>
      </c>
    </row>
    <row r="487">
      <c r="A487" s="19" t="str">
        <f>IFERROR(__xludf.DUMMYFUNCTION("""COMPUTED_VALUE"""),"Ben Young")</f>
        <v>Ben Young</v>
      </c>
      <c r="B487" s="19" t="str">
        <f>IFERROR(__xludf.DUMMYFUNCTION("""COMPUTED_VALUE"""),"QLD")</f>
        <v>QLD</v>
      </c>
      <c r="C487" s="5" t="str">
        <f>IFERROR(__xludf.DUMMYFUNCTION("""COMPUTED_VALUE"""),"Bokarina")</f>
        <v>Bokarina</v>
      </c>
      <c r="D487" s="5" t="str">
        <f>IFERROR(__xludf.DUMMYFUNCTION("""COMPUTED_VALUE"""),"2207  / 19 Kombi Street, Bokarina, QLD, 4575, Australia")</f>
        <v>2207  / 19 Kombi Street, Bokarina, QLD, 4575, Australia</v>
      </c>
      <c r="E487" s="25">
        <f>IFERROR(__xludf.DUMMYFUNCTION("""COMPUTED_VALUE"""),45975.0)</f>
        <v>45975</v>
      </c>
      <c r="F487" s="5" t="str">
        <f>IFERROR(__xludf.DUMMYFUNCTION("""COMPUTED_VALUE"""),"Featured")</f>
        <v>Featured</v>
      </c>
      <c r="G487" s="19" t="str">
        <f>IFERROR(__xludf.DUMMYFUNCTION("""COMPUTED_VALUE"""),"Commission Comparison")</f>
        <v>Commission Comparison</v>
      </c>
      <c r="H487" s="19" t="str">
        <f>IFERROR(__xludf.DUMMYFUNCTION("""COMPUTED_VALUE"""),"Cath Ford")</f>
        <v>Cath Ford</v>
      </c>
      <c r="I487" s="62">
        <f>IFERROR(__xludf.DUMMYFUNCTION("""COMPUTED_VALUE"""),6.1418601192E10)</f>
        <v>61418601192</v>
      </c>
      <c r="J487" s="19" t="str">
        <f>IFERROR(__xludf.DUMMYFUNCTION("""COMPUTED_VALUE"""),"cathihana@gmail.com")</f>
        <v>cathihana@gmail.com</v>
      </c>
    </row>
    <row r="488">
      <c r="A488" s="19" t="str">
        <f>IFERROR(__xludf.DUMMYFUNCTION("""COMPUTED_VALUE"""),"Ben Young")</f>
        <v>Ben Young</v>
      </c>
      <c r="B488" s="19" t="str">
        <f>IFERROR(__xludf.DUMMYFUNCTION("""COMPUTED_VALUE"""),"QLD")</f>
        <v>QLD</v>
      </c>
      <c r="C488" s="5" t="str">
        <f>IFERROR(__xludf.DUMMYFUNCTION("""COMPUTED_VALUE"""),"Buderim")</f>
        <v>Buderim</v>
      </c>
      <c r="D488" s="5" t="str">
        <f>IFERROR(__xludf.DUMMYFUNCTION("""COMPUTED_VALUE"""),"62 Tribulation Circuit Buderim QLD 4556")</f>
        <v>62 Tribulation Circuit Buderim QLD 4556</v>
      </c>
      <c r="E488" s="25">
        <f>IFERROR(__xludf.DUMMYFUNCTION("""COMPUTED_VALUE"""),45977.0)</f>
        <v>45977</v>
      </c>
      <c r="F488" s="5">
        <f>IFERROR(__xludf.DUMMYFUNCTION("""COMPUTED_VALUE"""),8.0)</f>
        <v>8</v>
      </c>
      <c r="G488" s="19" t="str">
        <f>IFERROR(__xludf.DUMMYFUNCTION("""COMPUTED_VALUE"""),"Instant Forms")</f>
        <v>Instant Forms</v>
      </c>
      <c r="H488" s="19" t="str">
        <f>IFERROR(__xludf.DUMMYFUNCTION("""COMPUTED_VALUE"""),"Stevei Panebiango")</f>
        <v>Stevei Panebiango</v>
      </c>
      <c r="I488" s="62">
        <f>IFERROR(__xludf.DUMMYFUNCTION("""COMPUTED_VALUE"""),6.1419108721E10)</f>
        <v>61419108721</v>
      </c>
      <c r="J488" s="19" t="str">
        <f>IFERROR(__xludf.DUMMYFUNCTION("""COMPUTED_VALUE"""),"kai@panebiango.com")</f>
        <v>kai@panebiango.com</v>
      </c>
    </row>
    <row r="489">
      <c r="A489" s="19" t="str">
        <f>IFERROR(__xludf.DUMMYFUNCTION("""COMPUTED_VALUE"""),"Ben Young")</f>
        <v>Ben Young</v>
      </c>
      <c r="B489" s="19" t="str">
        <f>IFERROR(__xludf.DUMMYFUNCTION("""COMPUTED_VALUE"""),"QLD")</f>
        <v>QLD</v>
      </c>
      <c r="C489" s="5" t="str">
        <f>IFERROR(__xludf.DUMMYFUNCTION("""COMPUTED_VALUE"""),"Meridan Plains")</f>
        <v>Meridan Plains</v>
      </c>
      <c r="D489" s="5" t="str">
        <f>IFERROR(__xludf.DUMMYFUNCTION("""COMPUTED_VALUE"""),"7 Bolwarra Place Meridan Plains, Meridan Plains, 4551")</f>
        <v>7 Bolwarra Place Meridan Plains, Meridan Plains, 4551</v>
      </c>
      <c r="E489" s="5" t="str">
        <f>IFERROR(__xludf.DUMMYFUNCTION("""COMPUTED_VALUE"""),"19/11/2025")</f>
        <v>19/11/2025</v>
      </c>
      <c r="F489" s="5" t="str">
        <f>IFERROR(__xludf.DUMMYFUNCTION("""COMPUTED_VALUE"""),"Featured")</f>
        <v>Featured</v>
      </c>
      <c r="G489" s="19" t="str">
        <f>IFERROR(__xludf.DUMMYFUNCTION("""COMPUTED_VALUE"""),"Meta Commission Report")</f>
        <v>Meta Commission Report</v>
      </c>
      <c r="H489" s="19" t="str">
        <f>IFERROR(__xludf.DUMMYFUNCTION("""COMPUTED_VALUE"""),"Leanne Robyn Macbeth")</f>
        <v>Leanne Robyn Macbeth</v>
      </c>
      <c r="I489" s="62">
        <f>IFERROR(__xludf.DUMMYFUNCTION("""COMPUTED_VALUE"""),6.1407312102E10)</f>
        <v>61407312102</v>
      </c>
      <c r="J489" s="19" t="str">
        <f>IFERROR(__xludf.DUMMYFUNCTION("""COMPUTED_VALUE"""),"misslea253@gmail.com")</f>
        <v>misslea253@gmail.com</v>
      </c>
    </row>
    <row r="490">
      <c r="A490" s="19" t="str">
        <f>IFERROR(__xludf.DUMMYFUNCTION("""COMPUTED_VALUE"""),"Ben Young")</f>
        <v>Ben Young</v>
      </c>
      <c r="B490" s="19" t="str">
        <f>IFERROR(__xludf.DUMMYFUNCTION("""COMPUTED_VALUE"""),"QLD")</f>
        <v>QLD</v>
      </c>
      <c r="C490" s="5" t="str">
        <f>IFERROR(__xludf.DUMMYFUNCTION("""COMPUTED_VALUE"""),"Little Mountain")</f>
        <v>Little Mountain</v>
      </c>
      <c r="D490" s="5" t="str">
        <f>IFERROR(__xludf.DUMMYFUNCTION("""COMPUTED_VALUE"""),"6 Anika Place Little Mountain QLD 4551")</f>
        <v>6 Anika Place Little Mountain QLD 4551</v>
      </c>
      <c r="E490" s="5" t="str">
        <f>IFERROR(__xludf.DUMMYFUNCTION("""COMPUTED_VALUE"""),"25/11/2025")</f>
        <v>25/11/2025</v>
      </c>
      <c r="F490" s="5">
        <f>IFERROR(__xludf.DUMMYFUNCTION("""COMPUTED_VALUE"""),8.0)</f>
        <v>8</v>
      </c>
      <c r="G490" s="19" t="str">
        <f>IFERROR(__xludf.DUMMYFUNCTION("""COMPUTED_VALUE"""),"Instant Forms")</f>
        <v>Instant Forms</v>
      </c>
      <c r="H490" s="19" t="str">
        <f>IFERROR(__xludf.DUMMYFUNCTION("""COMPUTED_VALUE"""),"Michele Breed")</f>
        <v>Michele Breed</v>
      </c>
      <c r="I490" s="62">
        <f>IFERROR(__xludf.DUMMYFUNCTION("""COMPUTED_VALUE"""),6.1447603442E10)</f>
        <v>61447603442</v>
      </c>
      <c r="J490" s="19" t="str">
        <f>IFERROR(__xludf.DUMMYFUNCTION("""COMPUTED_VALUE"""),"shaunandmichele@bigpond.com.au")</f>
        <v>shaunandmichele@bigpond.com.au</v>
      </c>
    </row>
    <row r="491">
      <c r="A491" s="19" t="str">
        <f>IFERROR(__xludf.DUMMYFUNCTION("""COMPUTED_VALUE"""),"Ben Young")</f>
        <v>Ben Young</v>
      </c>
      <c r="B491" s="19" t="str">
        <f>IFERROR(__xludf.DUMMYFUNCTION("""COMPUTED_VALUE"""),"QLD")</f>
        <v>QLD</v>
      </c>
      <c r="C491" s="5" t="str">
        <f>IFERROR(__xludf.DUMMYFUNCTION("""COMPUTED_VALUE"""),"Palmwoods")</f>
        <v>Palmwoods</v>
      </c>
      <c r="D491" s="5" t="str">
        <f>IFERROR(__xludf.DUMMYFUNCTION("""COMPUTED_VALUE"""),"22 Merriman Court Palmwoods QLD 4555")</f>
        <v>22 Merriman Court Palmwoods QLD 4555</v>
      </c>
      <c r="E491" s="5" t="str">
        <f>IFERROR(__xludf.DUMMYFUNCTION("""COMPUTED_VALUE"""),"28/11/2025")</f>
        <v>28/11/2025</v>
      </c>
      <c r="F491" s="64">
        <f>IFERROR(__xludf.DUMMYFUNCTION("""COMPUTED_VALUE"""),0.2)</f>
        <v>0.2</v>
      </c>
      <c r="G491" s="19" t="str">
        <f>IFERROR(__xludf.DUMMYFUNCTION("""COMPUTED_VALUE"""),"Instant Forms")</f>
        <v>Instant Forms</v>
      </c>
      <c r="H491" s="19" t="str">
        <f>IFERROR(__xludf.DUMMYFUNCTION("""COMPUTED_VALUE"""),"Maclane Schloss")</f>
        <v>Maclane Schloss</v>
      </c>
      <c r="I491" s="62">
        <f>IFERROR(__xludf.DUMMYFUNCTION("""COMPUTED_VALUE"""),6.1413418497E10)</f>
        <v>61413418497</v>
      </c>
      <c r="J491" s="19" t="str">
        <f>IFERROR(__xludf.DUMMYFUNCTION("""COMPUTED_VALUE"""),"mschloss94@gmail.com")</f>
        <v>mschloss94@gmail.com</v>
      </c>
    </row>
    <row r="492">
      <c r="A492" s="19" t="str">
        <f>IFERROR(__xludf.DUMMYFUNCTION("""COMPUTED_VALUE"""),"Ben Young")</f>
        <v>Ben Young</v>
      </c>
      <c r="B492" s="19" t="str">
        <f>IFERROR(__xludf.DUMMYFUNCTION("""COMPUTED_VALUE"""),"QLD")</f>
        <v>QLD</v>
      </c>
      <c r="C492" s="5" t="str">
        <f>IFERROR(__xludf.DUMMYFUNCTION("""COMPUTED_VALUE"""),"Alexandra Headland")</f>
        <v>Alexandra Headland</v>
      </c>
      <c r="D492" s="5" t="str">
        <f>IFERROR(__xludf.DUMMYFUNCTION("""COMPUTED_VALUE"""),"56/188 Alexandra Parade Alexandra Headland QLD 4572")</f>
        <v>56/188 Alexandra Parade Alexandra Headland QLD 4572</v>
      </c>
      <c r="E492" s="5" t="str">
        <f>IFERROR(__xludf.DUMMYFUNCTION("""COMPUTED_VALUE"""),"28/11/2025")</f>
        <v>28/11/2025</v>
      </c>
      <c r="F492" s="64">
        <f>IFERROR(__xludf.DUMMYFUNCTION("""COMPUTED_VALUE"""),0.2)</f>
        <v>0.2</v>
      </c>
      <c r="G492" s="19" t="str">
        <f>IFERROR(__xludf.DUMMYFUNCTION("""COMPUTED_VALUE"""),"Instant Forms")</f>
        <v>Instant Forms</v>
      </c>
      <c r="H492" s="19" t="str">
        <f>IFERROR(__xludf.DUMMYFUNCTION("""COMPUTED_VALUE"""),"Greg Selman")</f>
        <v>Greg Selman</v>
      </c>
      <c r="I492" s="62">
        <f>IFERROR(__xludf.DUMMYFUNCTION("""COMPUTED_VALUE"""),6.1481717445E10)</f>
        <v>61481717445</v>
      </c>
      <c r="J492" s="19" t="str">
        <f>IFERROR(__xludf.DUMMYFUNCTION("""COMPUTED_VALUE"""),"greg.selman@y7mail.com")</f>
        <v>greg.selman@y7mail.com</v>
      </c>
    </row>
    <row r="493">
      <c r="A493" s="19" t="str">
        <f>IFERROR(__xludf.DUMMYFUNCTION("""COMPUTED_VALUE"""),"Ben Young")</f>
        <v>Ben Young</v>
      </c>
      <c r="B493" s="19" t="str">
        <f>IFERROR(__xludf.DUMMYFUNCTION("""COMPUTED_VALUE"""),"QLD")</f>
        <v>QLD</v>
      </c>
      <c r="C493" s="5" t="str">
        <f>IFERROR(__xludf.DUMMYFUNCTION("""COMPUTED_VALUE"""),"Buderim")</f>
        <v>Buderim</v>
      </c>
      <c r="D493" s="5" t="str">
        <f>IFERROR(__xludf.DUMMYFUNCTION("""COMPUTED_VALUE"""),"16 McLaren Place Buderim QLD 4556")</f>
        <v>16 McLaren Place Buderim QLD 4556</v>
      </c>
      <c r="E493" s="27">
        <f>IFERROR(__xludf.DUMMYFUNCTION("""COMPUTED_VALUE"""),45700.0)</f>
        <v>45700</v>
      </c>
      <c r="F493" s="64">
        <f>IFERROR(__xludf.DUMMYFUNCTION("""COMPUTED_VALUE"""),0.2)</f>
        <v>0.2</v>
      </c>
      <c r="G493" s="19" t="str">
        <f>IFERROR(__xludf.DUMMYFUNCTION("""COMPUTED_VALUE"""),"Instant Forms")</f>
        <v>Instant Forms</v>
      </c>
      <c r="H493" s="19" t="str">
        <f>IFERROR(__xludf.DUMMYFUNCTION("""COMPUTED_VALUE"""),"Steven Simjanovic")</f>
        <v>Steven Simjanovic</v>
      </c>
      <c r="I493" s="62">
        <f>IFERROR(__xludf.DUMMYFUNCTION("""COMPUTED_VALUE"""),6.1421002E10)</f>
        <v>61421002000</v>
      </c>
      <c r="J493" s="19" t="str">
        <f>IFERROR(__xludf.DUMMYFUNCTION("""COMPUTED_VALUE"""),"stevensimjanovic@bigpond.com")</f>
        <v>stevensimjanovic@bigpond.com</v>
      </c>
    </row>
    <row r="494">
      <c r="A494" s="19" t="str">
        <f>IFERROR(__xludf.DUMMYFUNCTION("""COMPUTED_VALUE"""),"Ben Young")</f>
        <v>Ben Young</v>
      </c>
      <c r="B494" s="19" t="str">
        <f>IFERROR(__xludf.DUMMYFUNCTION("""COMPUTED_VALUE"""),"QLD")</f>
        <v>QLD</v>
      </c>
      <c r="C494" s="5" t="str">
        <f>IFERROR(__xludf.DUMMYFUNCTION("""COMPUTED_VALUE"""),"Warana")</f>
        <v>Warana</v>
      </c>
      <c r="D494" s="5" t="str">
        <f>IFERROR(__xludf.DUMMYFUNCTION("""COMPUTED_VALUE"""),"36 Oceanic Drive, Warana, 4575")</f>
        <v>36 Oceanic Drive, Warana, 4575</v>
      </c>
      <c r="E494" s="27">
        <f>IFERROR(__xludf.DUMMYFUNCTION("""COMPUTED_VALUE"""),45759.0)</f>
        <v>45759</v>
      </c>
      <c r="F494" s="64">
        <f>IFERROR(__xludf.DUMMYFUNCTION("""COMPUTED_VALUE"""),0.2)</f>
        <v>0.2</v>
      </c>
      <c r="G494" s="19" t="str">
        <f>IFERROR(__xludf.DUMMYFUNCTION("""COMPUTED_VALUE"""),"Meta Commission Report")</f>
        <v>Meta Commission Report</v>
      </c>
      <c r="H494" s="19" t="str">
        <f>IFERROR(__xludf.DUMMYFUNCTION("""COMPUTED_VALUE"""),"Nathan Frost")</f>
        <v>Nathan Frost</v>
      </c>
      <c r="I494" s="62">
        <f>IFERROR(__xludf.DUMMYFUNCTION("""COMPUTED_VALUE"""),6.1404841959E10)</f>
        <v>61404841959</v>
      </c>
      <c r="J494" s="19" t="str">
        <f>IFERROR(__xludf.DUMMYFUNCTION("""COMPUTED_VALUE"""),"nathan.smoothedge@gmail.com")</f>
        <v>nathan.smoothedge@gmail.com</v>
      </c>
    </row>
    <row r="495">
      <c r="A495" s="19" t="str">
        <f>IFERROR(__xludf.DUMMYFUNCTION("""COMPUTED_VALUE"""),"")</f>
        <v/>
      </c>
      <c r="B495" s="19" t="str">
        <f>IFERROR(__xludf.DUMMYFUNCTION("""COMPUTED_VALUE"""),"")</f>
        <v/>
      </c>
      <c r="C495" s="5" t="str">
        <f>IFERROR(__xludf.DUMMYFUNCTION("""COMPUTED_VALUE"""),"")</f>
        <v/>
      </c>
      <c r="D495" s="5" t="str">
        <f>IFERROR(__xludf.DUMMYFUNCTION("""COMPUTED_VALUE"""),"")</f>
        <v/>
      </c>
      <c r="E495" s="5" t="str">
        <f>IFERROR(__xludf.DUMMYFUNCTION("""COMPUTED_VALUE"""),"")</f>
        <v/>
      </c>
      <c r="F495" s="5" t="str">
        <f>IFERROR(__xludf.DUMMYFUNCTION("""COMPUTED_VALUE"""),"")</f>
        <v/>
      </c>
      <c r="G495" s="19" t="str">
        <f>IFERROR(__xludf.DUMMYFUNCTION("""COMPUTED_VALUE"""),"")</f>
        <v/>
      </c>
      <c r="H495" s="19" t="str">
        <f>IFERROR(__xludf.DUMMYFUNCTION("""COMPUTED_VALUE"""),"")</f>
        <v/>
      </c>
      <c r="I495" s="62" t="str">
        <f>IFERROR(__xludf.DUMMYFUNCTION("""COMPUTED_VALUE"""),"")</f>
        <v/>
      </c>
      <c r="J495" s="19" t="str">
        <f>IFERROR(__xludf.DUMMYFUNCTION("""COMPUTED_VALUE"""),"")</f>
        <v/>
      </c>
    </row>
    <row r="496">
      <c r="A496" s="19" t="str">
        <f>IFERROR(__xludf.DUMMYFUNCTION("""COMPUTED_VALUE"""),"")</f>
        <v/>
      </c>
      <c r="B496" s="19" t="str">
        <f>IFERROR(__xludf.DUMMYFUNCTION("""COMPUTED_VALUE"""),"")</f>
        <v/>
      </c>
      <c r="C496" s="5" t="str">
        <f>IFERROR(__xludf.DUMMYFUNCTION("""COMPUTED_VALUE"""),"")</f>
        <v/>
      </c>
      <c r="D496" s="5" t="str">
        <f>IFERROR(__xludf.DUMMYFUNCTION("""COMPUTED_VALUE"""),"")</f>
        <v/>
      </c>
      <c r="E496" s="5" t="str">
        <f>IFERROR(__xludf.DUMMYFUNCTION("""COMPUTED_VALUE"""),"")</f>
        <v/>
      </c>
      <c r="F496" s="5" t="str">
        <f>IFERROR(__xludf.DUMMYFUNCTION("""COMPUTED_VALUE"""),"")</f>
        <v/>
      </c>
      <c r="G496" s="19" t="str">
        <f>IFERROR(__xludf.DUMMYFUNCTION("""COMPUTED_VALUE"""),"")</f>
        <v/>
      </c>
      <c r="H496" s="19" t="str">
        <f>IFERROR(__xludf.DUMMYFUNCTION("""COMPUTED_VALUE"""),"")</f>
        <v/>
      </c>
      <c r="I496" s="62" t="str">
        <f>IFERROR(__xludf.DUMMYFUNCTION("""COMPUTED_VALUE"""),"")</f>
        <v/>
      </c>
      <c r="J496" s="19" t="str">
        <f>IFERROR(__xludf.DUMMYFUNCTION("""COMPUTED_VALUE"""),"")</f>
        <v/>
      </c>
    </row>
    <row r="497">
      <c r="A497" s="19" t="str">
        <f>IFERROR(__xludf.DUMMYFUNCTION("""COMPUTED_VALUE"""),"Benjamin Holzworth")</f>
        <v>Benjamin Holzworth</v>
      </c>
      <c r="B497" s="19" t="str">
        <f>IFERROR(__xludf.DUMMYFUNCTION("""COMPUTED_VALUE"""),"QLD")</f>
        <v>QLD</v>
      </c>
      <c r="C497" s="5">
        <f>IFERROR(__xludf.DUMMYFUNCTION("""COMPUTED_VALUE"""),4165.0)</f>
        <v>4165</v>
      </c>
      <c r="D497" s="5"/>
      <c r="E497" s="25">
        <f>IFERROR(__xludf.DUMMYFUNCTION("""COMPUTED_VALUE"""),45896.0)</f>
        <v>45896</v>
      </c>
      <c r="F497" s="5" t="str">
        <f>IFERROR(__xludf.DUMMYFUNCTION("""COMPUTED_VALUE"""),"Free")</f>
        <v>Free</v>
      </c>
      <c r="G497" s="19" t="str">
        <f>IFERROR(__xludf.DUMMYFUNCTION("""COMPUTED_VALUE"""),"Instant Forms")</f>
        <v>Instant Forms</v>
      </c>
      <c r="H497" s="19"/>
      <c r="I497" s="62"/>
      <c r="J497" s="19"/>
    </row>
    <row r="498">
      <c r="A498" s="19" t="str">
        <f>IFERROR(__xludf.DUMMYFUNCTION("""COMPUTED_VALUE"""),"Benjamin Holzworth")</f>
        <v>Benjamin Holzworth</v>
      </c>
      <c r="B498" s="19" t="str">
        <f>IFERROR(__xludf.DUMMYFUNCTION("""COMPUTED_VALUE"""),"QLD")</f>
        <v>QLD</v>
      </c>
      <c r="C498" s="5" t="str">
        <f>IFERROR(__xludf.DUMMYFUNCTION("""COMPUTED_VALUE"""),"Redland Bay")</f>
        <v>Redland Bay</v>
      </c>
      <c r="D498" s="5" t="str">
        <f>IFERROR(__xludf.DUMMYFUNCTION("""COMPUTED_VALUE"""),"24 Fairway Drive Redland Bay QLD 4165")</f>
        <v>24 Fairway Drive Redland Bay QLD 4165</v>
      </c>
      <c r="E498" s="25">
        <f>IFERROR(__xludf.DUMMYFUNCTION("""COMPUTED_VALUE"""),45896.0)</f>
        <v>45896</v>
      </c>
      <c r="F498" s="5" t="str">
        <f>IFERROR(__xludf.DUMMYFUNCTION("""COMPUTED_VALUE"""),"Featured")</f>
        <v>Featured</v>
      </c>
      <c r="G498" s="19" t="str">
        <f>IFERROR(__xludf.DUMMYFUNCTION("""COMPUTED_VALUE"""),"Instant Forms")</f>
        <v>Instant Forms</v>
      </c>
      <c r="H498" s="19"/>
      <c r="I498" s="62"/>
      <c r="J498" s="19"/>
    </row>
    <row r="499">
      <c r="A499" s="19" t="str">
        <f>IFERROR(__xludf.DUMMYFUNCTION("""COMPUTED_VALUE"""),"Benjamin Holzworth")</f>
        <v>Benjamin Holzworth</v>
      </c>
      <c r="B499" s="19" t="str">
        <f>IFERROR(__xludf.DUMMYFUNCTION("""COMPUTED_VALUE"""),"QLD")</f>
        <v>QLD</v>
      </c>
      <c r="C499" s="5" t="str">
        <f>IFERROR(__xludf.DUMMYFUNCTION("""COMPUTED_VALUE"""),"Wakerley")</f>
        <v>Wakerley</v>
      </c>
      <c r="D499" s="5"/>
      <c r="E499" s="25">
        <f>IFERROR(__xludf.DUMMYFUNCTION("""COMPUTED_VALUE"""),45900.0)</f>
        <v>45900</v>
      </c>
      <c r="F499" s="5" t="str">
        <f>IFERROR(__xludf.DUMMYFUNCTION("""COMPUTED_VALUE"""),"Featured")</f>
        <v>Featured</v>
      </c>
      <c r="G499" s="19" t="str">
        <f>IFERROR(__xludf.DUMMYFUNCTION("""COMPUTED_VALUE"""),"Instant Forms")</f>
        <v>Instant Forms</v>
      </c>
      <c r="H499" s="19"/>
      <c r="I499" s="62"/>
      <c r="J499" s="19"/>
    </row>
    <row r="500">
      <c r="A500" s="19" t="str">
        <f>IFERROR(__xludf.DUMMYFUNCTION("""COMPUTED_VALUE"""),"Benjamin Holzworth")</f>
        <v>Benjamin Holzworth</v>
      </c>
      <c r="B500" s="19" t="str">
        <f>IFERROR(__xludf.DUMMYFUNCTION("""COMPUTED_VALUE"""),"QLD")</f>
        <v>QLD</v>
      </c>
      <c r="C500" s="5" t="str">
        <f>IFERROR(__xludf.DUMMYFUNCTION("""COMPUTED_VALUE"""),"Cannon Hill")</f>
        <v>Cannon Hill</v>
      </c>
      <c r="D500" s="5" t="str">
        <f>IFERROR(__xludf.DUMMYFUNCTION("""COMPUTED_VALUE"""),"1402/1918 Creek Road Cannon Hill QLD 4170")</f>
        <v>1402/1918 Creek Road Cannon Hill QLD 4170</v>
      </c>
      <c r="E500" s="25">
        <f>IFERROR(__xludf.DUMMYFUNCTION("""COMPUTED_VALUE"""),45901.0)</f>
        <v>45901</v>
      </c>
      <c r="F500" s="5" t="str">
        <f>IFERROR(__xludf.DUMMYFUNCTION("""COMPUTED_VALUE"""),"Featured")</f>
        <v>Featured</v>
      </c>
      <c r="G500" s="19" t="str">
        <f>IFERROR(__xludf.DUMMYFUNCTION("""COMPUTED_VALUE"""),"Instant Forms")</f>
        <v>Instant Forms</v>
      </c>
      <c r="H500" s="19"/>
      <c r="I500" s="62"/>
      <c r="J500" s="19"/>
    </row>
    <row r="501">
      <c r="A501" s="19" t="str">
        <f>IFERROR(__xludf.DUMMYFUNCTION("""COMPUTED_VALUE"""),"Benjamin Holzworth")</f>
        <v>Benjamin Holzworth</v>
      </c>
      <c r="B501" s="19" t="str">
        <f>IFERROR(__xludf.DUMMYFUNCTION("""COMPUTED_VALUE"""),"QLD")</f>
        <v>QLD</v>
      </c>
      <c r="C501" s="5" t="str">
        <f>IFERROR(__xludf.DUMMYFUNCTION("""COMPUTED_VALUE"""),"Wellington Point")</f>
        <v>Wellington Point</v>
      </c>
      <c r="D501" s="5" t="str">
        <f>IFERROR(__xludf.DUMMYFUNCTION("""COMPUTED_VALUE"""),"90 Allan Day Drive Wellington Point QLD 4160")</f>
        <v>90 Allan Day Drive Wellington Point QLD 4160</v>
      </c>
      <c r="E501" s="25">
        <f>IFERROR(__xludf.DUMMYFUNCTION("""COMPUTED_VALUE"""),45903.0)</f>
        <v>45903</v>
      </c>
      <c r="F501" s="5" t="str">
        <f>IFERROR(__xludf.DUMMYFUNCTION("""COMPUTED_VALUE"""),"Featured")</f>
        <v>Featured</v>
      </c>
      <c r="G501" s="19" t="str">
        <f>IFERROR(__xludf.DUMMYFUNCTION("""COMPUTED_VALUE"""),"Instant Forms")</f>
        <v>Instant Forms</v>
      </c>
      <c r="H501" s="19"/>
      <c r="I501" s="62"/>
      <c r="J501" s="19"/>
    </row>
    <row r="502">
      <c r="A502" s="19" t="str">
        <f>IFERROR(__xludf.DUMMYFUNCTION("""COMPUTED_VALUE"""),"Benjamin Holzworth")</f>
        <v>Benjamin Holzworth</v>
      </c>
      <c r="B502" s="19" t="str">
        <f>IFERROR(__xludf.DUMMYFUNCTION("""COMPUTED_VALUE"""),"QLD")</f>
        <v>QLD</v>
      </c>
      <c r="C502" s="5" t="str">
        <f>IFERROR(__xludf.DUMMYFUNCTION("""COMPUTED_VALUE"""),"Capalaba")</f>
        <v>Capalaba</v>
      </c>
      <c r="D502" s="5"/>
      <c r="E502" s="25">
        <f>IFERROR(__xludf.DUMMYFUNCTION("""COMPUTED_VALUE"""),45903.0)</f>
        <v>45903</v>
      </c>
      <c r="F502" s="5" t="str">
        <f>IFERROR(__xludf.DUMMYFUNCTION("""COMPUTED_VALUE"""),"Featured")</f>
        <v>Featured</v>
      </c>
      <c r="G502" s="19" t="str">
        <f>IFERROR(__xludf.DUMMYFUNCTION("""COMPUTED_VALUE"""),"Instant Forms")</f>
        <v>Instant Forms</v>
      </c>
      <c r="H502" s="19"/>
      <c r="I502" s="62"/>
      <c r="J502" s="19"/>
    </row>
    <row r="503">
      <c r="A503" s="19" t="str">
        <f>IFERROR(__xludf.DUMMYFUNCTION("""COMPUTED_VALUE"""),"Benjamin Holzworth")</f>
        <v>Benjamin Holzworth</v>
      </c>
      <c r="B503" s="19" t="str">
        <f>IFERROR(__xludf.DUMMYFUNCTION("""COMPUTED_VALUE"""),"QLD")</f>
        <v>QLD</v>
      </c>
      <c r="C503" s="5" t="str">
        <f>IFERROR(__xludf.DUMMYFUNCTION("""COMPUTED_VALUE"""),"Birkdale")</f>
        <v>Birkdale</v>
      </c>
      <c r="D503" s="5" t="str">
        <f>IFERROR(__xludf.DUMMYFUNCTION("""COMPUTED_VALUE"""),"29 Patersonia Place Birkdale QLD 4159")</f>
        <v>29 Patersonia Place Birkdale QLD 4159</v>
      </c>
      <c r="E503" s="25">
        <f>IFERROR(__xludf.DUMMYFUNCTION("""COMPUTED_VALUE"""),45918.0)</f>
        <v>45918</v>
      </c>
      <c r="F503" s="5">
        <f>IFERROR(__xludf.DUMMYFUNCTION("""COMPUTED_VALUE"""),8.0)</f>
        <v>8</v>
      </c>
      <c r="G503" s="19" t="str">
        <f>IFERROR(__xludf.DUMMYFUNCTION("""COMPUTED_VALUE"""),"Instant Forms")</f>
        <v>Instant Forms</v>
      </c>
      <c r="H503" s="19" t="str">
        <f>IFERROR(__xludf.DUMMYFUNCTION("""COMPUTED_VALUE"""),"Joanne Gaughan")</f>
        <v>Joanne Gaughan</v>
      </c>
      <c r="I503" s="62"/>
      <c r="J503" s="19"/>
    </row>
    <row r="504">
      <c r="A504" s="19" t="str">
        <f>IFERROR(__xludf.DUMMYFUNCTION("""COMPUTED_VALUE"""),"Benjamin Holzworth")</f>
        <v>Benjamin Holzworth</v>
      </c>
      <c r="B504" s="19" t="str">
        <f>IFERROR(__xludf.DUMMYFUNCTION("""COMPUTED_VALUE"""),"QLD")</f>
        <v>QLD</v>
      </c>
      <c r="C504" s="5" t="str">
        <f>IFERROR(__xludf.DUMMYFUNCTION("""COMPUTED_VALUE"""),"Lawnton")</f>
        <v>Lawnton</v>
      </c>
      <c r="D504" s="5" t="str">
        <f>IFERROR(__xludf.DUMMYFUNCTION("""COMPUTED_VALUE"""),"18 Phillips Place Wakerley QLD 4154")</f>
        <v>18 Phillips Place Wakerley QLD 4154</v>
      </c>
      <c r="E504" s="25">
        <f>IFERROR(__xludf.DUMMYFUNCTION("""COMPUTED_VALUE"""),45924.0)</f>
        <v>45924</v>
      </c>
      <c r="F504" s="5">
        <f>IFERROR(__xludf.DUMMYFUNCTION("""COMPUTED_VALUE"""),6.0)</f>
        <v>6</v>
      </c>
      <c r="G504" s="19" t="str">
        <f>IFERROR(__xludf.DUMMYFUNCTION("""COMPUTED_VALUE"""),"Instant Forms")</f>
        <v>Instant Forms</v>
      </c>
      <c r="H504" s="19" t="str">
        <f>IFERROR(__xludf.DUMMYFUNCTION("""COMPUTED_VALUE"""),"Lisa Hurwood (Input suburb as Lawnton, but appears to own the following address included)")</f>
        <v>Lisa Hurwood (Input suburb as Lawnton, but appears to own the following address included)</v>
      </c>
      <c r="I504" s="62"/>
      <c r="J504" s="19"/>
    </row>
    <row r="505">
      <c r="A505" s="19" t="str">
        <f>IFERROR(__xludf.DUMMYFUNCTION("""COMPUTED_VALUE"""),"Benjamin Holzworth")</f>
        <v>Benjamin Holzworth</v>
      </c>
      <c r="B505" s="19" t="str">
        <f>IFERROR(__xludf.DUMMYFUNCTION("""COMPUTED_VALUE"""),"QLD")</f>
        <v>QLD</v>
      </c>
      <c r="C505" s="5" t="str">
        <f>IFERROR(__xludf.DUMMYFUNCTION("""COMPUTED_VALUE"""),"Tingalpa")</f>
        <v>Tingalpa</v>
      </c>
      <c r="D505" s="5" t="str">
        <f>IFERROR(__xludf.DUMMYFUNCTION("""COMPUTED_VALUE"""),"86 Monterey Circuit Tingalpa QLD 4173")</f>
        <v>86 Monterey Circuit Tingalpa QLD 4173</v>
      </c>
      <c r="E505" s="25">
        <f>IFERROR(__xludf.DUMMYFUNCTION("""COMPUTED_VALUE"""),45928.0)</f>
        <v>45928</v>
      </c>
      <c r="F505" s="5">
        <f>IFERROR(__xludf.DUMMYFUNCTION("""COMPUTED_VALUE"""),8.0)</f>
        <v>8</v>
      </c>
      <c r="G505" s="19" t="str">
        <f>IFERROR(__xludf.DUMMYFUNCTION("""COMPUTED_VALUE"""),"Instant Forms")</f>
        <v>Instant Forms</v>
      </c>
      <c r="H505" s="19" t="str">
        <f>IFERROR(__xludf.DUMMYFUNCTION("""COMPUTED_VALUE"""),"Werner Ploschke")</f>
        <v>Werner Ploschke</v>
      </c>
      <c r="I505" s="62"/>
      <c r="J505" s="19"/>
    </row>
    <row r="506">
      <c r="A506" s="19" t="str">
        <f>IFERROR(__xludf.DUMMYFUNCTION("""COMPUTED_VALUE"""),"Benjamin Holzworth")</f>
        <v>Benjamin Holzworth</v>
      </c>
      <c r="B506" s="19" t="str">
        <f>IFERROR(__xludf.DUMMYFUNCTION("""COMPUTED_VALUE"""),"QLD")</f>
        <v>QLD</v>
      </c>
      <c r="C506" s="5" t="str">
        <f>IFERROR(__xludf.DUMMYFUNCTION("""COMPUTED_VALUE"""),"Cleveland")</f>
        <v>Cleveland</v>
      </c>
      <c r="D506" s="5" t="str">
        <f>IFERROR(__xludf.DUMMYFUNCTION("""COMPUTED_VALUE"""),"7/45 Shore Street East Cleveland QLD 4163")</f>
        <v>7/45 Shore Street East Cleveland QLD 4163</v>
      </c>
      <c r="E506" s="25">
        <f>IFERROR(__xludf.DUMMYFUNCTION("""COMPUTED_VALUE"""),45931.0)</f>
        <v>45931</v>
      </c>
      <c r="F506" s="5">
        <f>IFERROR(__xludf.DUMMYFUNCTION("""COMPUTED_VALUE"""),8.0)</f>
        <v>8</v>
      </c>
      <c r="G506" s="19" t="str">
        <f>IFERROR(__xludf.DUMMYFUNCTION("""COMPUTED_VALUE"""),"Instant Forms")</f>
        <v>Instant Forms</v>
      </c>
      <c r="H506" s="19" t="str">
        <f>IFERROR(__xludf.DUMMYFUNCTION("""COMPUTED_VALUE"""),"Claire Stevens")</f>
        <v>Claire Stevens</v>
      </c>
      <c r="I506" s="62"/>
      <c r="J506" s="19"/>
    </row>
    <row r="507">
      <c r="A507" s="19" t="str">
        <f>IFERROR(__xludf.DUMMYFUNCTION("""COMPUTED_VALUE"""),"Benjamin Holzworth")</f>
        <v>Benjamin Holzworth</v>
      </c>
      <c r="B507" s="19" t="str">
        <f>IFERROR(__xludf.DUMMYFUNCTION("""COMPUTED_VALUE"""),"QLD")</f>
        <v>QLD</v>
      </c>
      <c r="C507" s="5" t="str">
        <f>IFERROR(__xludf.DUMMYFUNCTION("""COMPUTED_VALUE"""),"Gumdale")</f>
        <v>Gumdale</v>
      </c>
      <c r="D507" s="5" t="str">
        <f>IFERROR(__xludf.DUMMYFUNCTION("""COMPUTED_VALUE"""),"823 London Road Chandler QLD 4155")</f>
        <v>823 London Road Chandler QLD 4155</v>
      </c>
      <c r="E507" s="25">
        <f>IFERROR(__xludf.DUMMYFUNCTION("""COMPUTED_VALUE"""),45937.0)</f>
        <v>45937</v>
      </c>
      <c r="F507" s="5">
        <f>IFERROR(__xludf.DUMMYFUNCTION("""COMPUTED_VALUE"""),6.0)</f>
        <v>6</v>
      </c>
      <c r="G507" s="19" t="str">
        <f>IFERROR(__xludf.DUMMYFUNCTION("""COMPUTED_VALUE"""),"Instant Forms")</f>
        <v>Instant Forms</v>
      </c>
      <c r="H507" s="19" t="str">
        <f>IFERROR(__xludf.DUMMYFUNCTION("""COMPUTED_VALUE"""),"Doog (Appears name may be Dugal)")</f>
        <v>Doog (Appears name may be Dugal)</v>
      </c>
      <c r="I507" s="62"/>
      <c r="J507" s="19"/>
    </row>
    <row r="508">
      <c r="A508" s="19" t="str">
        <f>IFERROR(__xludf.DUMMYFUNCTION("""COMPUTED_VALUE"""),"Benjamin Holzworth")</f>
        <v>Benjamin Holzworth</v>
      </c>
      <c r="B508" s="19" t="str">
        <f>IFERROR(__xludf.DUMMYFUNCTION("""COMPUTED_VALUE"""),"QLD")</f>
        <v>QLD</v>
      </c>
      <c r="C508" s="5" t="str">
        <f>IFERROR(__xludf.DUMMYFUNCTION("""COMPUTED_VALUE"""),"Alexandra Hills")</f>
        <v>Alexandra Hills</v>
      </c>
      <c r="D508" s="5" t="str">
        <f>IFERROR(__xludf.DUMMYFUNCTION("""COMPUTED_VALUE"""),"16 Palana Drive Alexandra Hills QLD 4161")</f>
        <v>16 Palana Drive Alexandra Hills QLD 4161</v>
      </c>
      <c r="E508" s="25">
        <f>IFERROR(__xludf.DUMMYFUNCTION("""COMPUTED_VALUE"""),45937.0)</f>
        <v>45937</v>
      </c>
      <c r="F508" s="5">
        <f>IFERROR(__xludf.DUMMYFUNCTION("""COMPUTED_VALUE"""),6.0)</f>
        <v>6</v>
      </c>
      <c r="G508" s="19" t="str">
        <f>IFERROR(__xludf.DUMMYFUNCTION("""COMPUTED_VALUE"""),"Instant Forms")</f>
        <v>Instant Forms</v>
      </c>
      <c r="H508" s="19" t="str">
        <f>IFERROR(__xludf.DUMMYFUNCTION("""COMPUTED_VALUE"""),"Lorraine Ware")</f>
        <v>Lorraine Ware</v>
      </c>
      <c r="I508" s="62"/>
      <c r="J508" s="19"/>
    </row>
    <row r="509">
      <c r="A509" s="19" t="str">
        <f>IFERROR(__xludf.DUMMYFUNCTION("""COMPUTED_VALUE"""),"Benjamin Holzworth")</f>
        <v>Benjamin Holzworth</v>
      </c>
      <c r="B509" s="19" t="str">
        <f>IFERROR(__xludf.DUMMYFUNCTION("""COMPUTED_VALUE"""),"QLD")</f>
        <v>QLD</v>
      </c>
      <c r="C509" s="5" t="str">
        <f>IFERROR(__xludf.DUMMYFUNCTION("""COMPUTED_VALUE"""),"Capalaba")</f>
        <v>Capalaba</v>
      </c>
      <c r="D509" s="5" t="str">
        <f>IFERROR(__xludf.DUMMYFUNCTION("""COMPUTED_VALUE"""),"6 Hansen Court Capalaba QLD 4157")</f>
        <v>6 Hansen Court Capalaba QLD 4157</v>
      </c>
      <c r="E509" s="25">
        <f>IFERROR(__xludf.DUMMYFUNCTION("""COMPUTED_VALUE"""),45943.0)</f>
        <v>45943</v>
      </c>
      <c r="F509" s="5">
        <f>IFERROR(__xludf.DUMMYFUNCTION("""COMPUTED_VALUE"""),8.0)</f>
        <v>8</v>
      </c>
      <c r="G509" s="19" t="str">
        <f>IFERROR(__xludf.DUMMYFUNCTION("""COMPUTED_VALUE"""),"Instant Forms")</f>
        <v>Instant Forms</v>
      </c>
      <c r="H509" s="19"/>
      <c r="I509" s="62"/>
      <c r="J509" s="19"/>
    </row>
    <row r="510">
      <c r="A510" s="19" t="str">
        <f>IFERROR(__xludf.DUMMYFUNCTION("""COMPUTED_VALUE"""),"Benjamin Holzworth")</f>
        <v>Benjamin Holzworth</v>
      </c>
      <c r="B510" s="19" t="str">
        <f>IFERROR(__xludf.DUMMYFUNCTION("""COMPUTED_VALUE"""),"QLD")</f>
        <v>QLD</v>
      </c>
      <c r="C510" s="5" t="str">
        <f>IFERROR(__xludf.DUMMYFUNCTION("""COMPUTED_VALUE"""),"Alexandra Hills")</f>
        <v>Alexandra Hills</v>
      </c>
      <c r="D510" s="5" t="str">
        <f>IFERROR(__xludf.DUMMYFUNCTION("""COMPUTED_VALUE"""),"16 Greystoke Place Alexandra Hills QLD 4161")</f>
        <v>16 Greystoke Place Alexandra Hills QLD 4161</v>
      </c>
      <c r="E510" s="25">
        <f>IFERROR(__xludf.DUMMYFUNCTION("""COMPUTED_VALUE"""),45945.0)</f>
        <v>45945</v>
      </c>
      <c r="F510" s="5">
        <f>IFERROR(__xludf.DUMMYFUNCTION("""COMPUTED_VALUE"""),8.0)</f>
        <v>8</v>
      </c>
      <c r="G510" s="19" t="str">
        <f>IFERROR(__xludf.DUMMYFUNCTION("""COMPUTED_VALUE"""),"Instant Forms")</f>
        <v>Instant Forms</v>
      </c>
      <c r="H510" s="19"/>
      <c r="I510" s="62"/>
      <c r="J510" s="19"/>
    </row>
    <row r="511">
      <c r="A511" s="19" t="str">
        <f>IFERROR(__xludf.DUMMYFUNCTION("""COMPUTED_VALUE"""),"Benjamin Holzworth")</f>
        <v>Benjamin Holzworth</v>
      </c>
      <c r="B511" s="19" t="str">
        <f>IFERROR(__xludf.DUMMYFUNCTION("""COMPUTED_VALUE"""),"QLD")</f>
        <v>QLD</v>
      </c>
      <c r="C511" s="5" t="str">
        <f>IFERROR(__xludf.DUMMYFUNCTION("""COMPUTED_VALUE"""),"Alexandra Hills")</f>
        <v>Alexandra Hills</v>
      </c>
      <c r="D511" s="5" t="str">
        <f>IFERROR(__xludf.DUMMYFUNCTION("""COMPUTED_VALUE"""),"526 Redland Bay Road Alexandra Hills Brisbane, Alexandra Hills, 4161")</f>
        <v>526 Redland Bay Road Alexandra Hills Brisbane, Alexandra Hills, 4161</v>
      </c>
      <c r="E511" s="25" t="str">
        <f>IFERROR(__xludf.DUMMYFUNCTION("""COMPUTED_VALUE"""),"29/10/2025")</f>
        <v>29/10/2025</v>
      </c>
      <c r="F511" s="5" t="str">
        <f>IFERROR(__xludf.DUMMYFUNCTION("""COMPUTED_VALUE"""),"Featured")</f>
        <v>Featured</v>
      </c>
      <c r="G511" s="19" t="str">
        <f>IFERROR(__xludf.DUMMYFUNCTION("""COMPUTED_VALUE"""),"Meta Commission Report")</f>
        <v>Meta Commission Report</v>
      </c>
      <c r="H511" s="19" t="str">
        <f>IFERROR(__xludf.DUMMYFUNCTION("""COMPUTED_VALUE"""),"Alistair Fraser")</f>
        <v>Alistair Fraser</v>
      </c>
      <c r="I511" s="62"/>
      <c r="J511" s="19"/>
    </row>
    <row r="512">
      <c r="A512" s="19" t="str">
        <f>IFERROR(__xludf.DUMMYFUNCTION("""COMPUTED_VALUE"""),"Benjamin Holzworth")</f>
        <v>Benjamin Holzworth</v>
      </c>
      <c r="B512" s="19" t="str">
        <f>IFERROR(__xludf.DUMMYFUNCTION("""COMPUTED_VALUE"""),"QLD")</f>
        <v>QLD</v>
      </c>
      <c r="C512" s="5" t="str">
        <f>IFERROR(__xludf.DUMMYFUNCTION("""COMPUTED_VALUE"""),"Capalaba")</f>
        <v>Capalaba</v>
      </c>
      <c r="D512" s="5" t="str">
        <f>IFERROR(__xludf.DUMMYFUNCTION("""COMPUTED_VALUE"""),"8 / Billings  Billings Place, Capalaba, QLD, 4157, Australia")</f>
        <v>8 / Billings  Billings Place, Capalaba, QLD, 4157, Australia</v>
      </c>
      <c r="E512" s="25" t="str">
        <f>IFERROR(__xludf.DUMMYFUNCTION("""COMPUTED_VALUE"""),"16/11/2025")</f>
        <v>16/11/2025</v>
      </c>
      <c r="F512" s="5" t="str">
        <f>IFERROR(__xludf.DUMMYFUNCTION("""COMPUTED_VALUE"""),"Featured")</f>
        <v>Featured</v>
      </c>
      <c r="G512" s="19" t="str">
        <f>IFERROR(__xludf.DUMMYFUNCTION("""COMPUTED_VALUE"""),"Commission Comparison")</f>
        <v>Commission Comparison</v>
      </c>
      <c r="H512" s="19" t="str">
        <f>IFERROR(__xludf.DUMMYFUNCTION("""COMPUTED_VALUE"""),"Connie Cassar")</f>
        <v>Connie Cassar</v>
      </c>
      <c r="I512" s="62">
        <f>IFERROR(__xludf.DUMMYFUNCTION("""COMPUTED_VALUE"""),6.10407631816E11)</f>
        <v>610407631816</v>
      </c>
      <c r="J512" s="19" t="str">
        <f>IFERROR(__xludf.DUMMYFUNCTION("""COMPUTED_VALUE"""),"connie@lapeau.com.au")</f>
        <v>connie@lapeau.com.au</v>
      </c>
    </row>
    <row r="513">
      <c r="A513" s="19" t="str">
        <f>IFERROR(__xludf.DUMMYFUNCTION("""COMPUTED_VALUE"""),"Benjamin Holzworth")</f>
        <v>Benjamin Holzworth</v>
      </c>
      <c r="B513" s="19" t="str">
        <f>IFERROR(__xludf.DUMMYFUNCTION("""COMPUTED_VALUE"""),"QLD")</f>
        <v>QLD</v>
      </c>
      <c r="C513" s="5" t="str">
        <f>IFERROR(__xludf.DUMMYFUNCTION("""COMPUTED_VALUE"""),"Capalaba")</f>
        <v>Capalaba</v>
      </c>
      <c r="D513" s="5" t="str">
        <f>IFERROR(__xludf.DUMMYFUNCTION("""COMPUTED_VALUE"""),"8 Billings Place Capalaba QLD 4157")</f>
        <v>8 Billings Place Capalaba QLD 4157</v>
      </c>
      <c r="E513" s="25">
        <f>IFERROR(__xludf.DUMMYFUNCTION("""COMPUTED_VALUE"""),45977.0)</f>
        <v>45977</v>
      </c>
      <c r="F513" s="5">
        <f>IFERROR(__xludf.DUMMYFUNCTION("""COMPUTED_VALUE"""),10.0)</f>
        <v>10</v>
      </c>
      <c r="G513" s="19" t="str">
        <f>IFERROR(__xludf.DUMMYFUNCTION("""COMPUTED_VALUE"""),"Instant Forms")</f>
        <v>Instant Forms</v>
      </c>
      <c r="H513" s="19" t="str">
        <f>IFERROR(__xludf.DUMMYFUNCTION("""COMPUTED_VALUE"""),"Rob Cassar")</f>
        <v>Rob Cassar</v>
      </c>
      <c r="I513" s="62">
        <f>IFERROR(__xludf.DUMMYFUNCTION("""COMPUTED_VALUE"""),6.1493361664E10)</f>
        <v>61493361664</v>
      </c>
      <c r="J513" s="19" t="str">
        <f>IFERROR(__xludf.DUMMYFUNCTION("""COMPUTED_VALUE"""),"rob@lapeau.com.au")</f>
        <v>rob@lapeau.com.au</v>
      </c>
    </row>
    <row r="514">
      <c r="A514" s="19" t="str">
        <f>IFERROR(__xludf.DUMMYFUNCTION("""COMPUTED_VALUE"""),"Benjamin Holzworth")</f>
        <v>Benjamin Holzworth</v>
      </c>
      <c r="B514" s="19" t="str">
        <f>IFERROR(__xludf.DUMMYFUNCTION("""COMPUTED_VALUE"""),"QLD")</f>
        <v>QLD</v>
      </c>
      <c r="C514" s="5" t="str">
        <f>IFERROR(__xludf.DUMMYFUNCTION("""COMPUTED_VALUE"""),"Sheldon")</f>
        <v>Sheldon</v>
      </c>
      <c r="D514" s="5" t="str">
        <f>IFERROR(__xludf.DUMMYFUNCTION("""COMPUTED_VALUE"""),"187 campbell road sheldon, Sheldon, 4157")</f>
        <v>187 campbell road sheldon, Sheldon, 4157</v>
      </c>
      <c r="E514" s="5" t="str">
        <f>IFERROR(__xludf.DUMMYFUNCTION("""COMPUTED_VALUE"""),"25/11/2025")</f>
        <v>25/11/2025</v>
      </c>
      <c r="F514" s="5" t="str">
        <f>IFERROR(__xludf.DUMMYFUNCTION("""COMPUTED_VALUE"""),"Featured")</f>
        <v>Featured</v>
      </c>
      <c r="G514" s="19" t="str">
        <f>IFERROR(__xludf.DUMMYFUNCTION("""COMPUTED_VALUE"""),"Meta Commission Report")</f>
        <v>Meta Commission Report</v>
      </c>
      <c r="H514" s="19" t="str">
        <f>IFERROR(__xludf.DUMMYFUNCTION("""COMPUTED_VALUE"""),"Timothy McCourt")</f>
        <v>Timothy McCourt</v>
      </c>
      <c r="I514" s="62">
        <f>IFERROR(__xludf.DUMMYFUNCTION("""COMPUTED_VALUE"""),6.1418873135E10)</f>
        <v>61418873135</v>
      </c>
      <c r="J514" s="19" t="str">
        <f>IFERROR(__xludf.DUMMYFUNCTION("""COMPUTED_VALUE"""),"timothyjamesmccourt@gmail.com")</f>
        <v>timothyjamesmccourt@gmail.com</v>
      </c>
    </row>
    <row r="515">
      <c r="A515" s="19" t="str">
        <f>IFERROR(__xludf.DUMMYFUNCTION("""COMPUTED_VALUE"""),"Benjamin Holzworth")</f>
        <v>Benjamin Holzworth</v>
      </c>
      <c r="B515" s="19" t="str">
        <f>IFERROR(__xludf.DUMMYFUNCTION("""COMPUTED_VALUE"""),"QLD")</f>
        <v>QLD</v>
      </c>
      <c r="C515" s="5" t="str">
        <f>IFERROR(__xludf.DUMMYFUNCTION("""COMPUTED_VALUE"""),"Alexandra Hills")</f>
        <v>Alexandra Hills</v>
      </c>
      <c r="D515" s="5" t="str">
        <f>IFERROR(__xludf.DUMMYFUNCTION("""COMPUTED_VALUE"""),"5 wicks court")</f>
        <v>5 wicks court</v>
      </c>
      <c r="E515" s="27">
        <f>IFERROR(__xludf.DUMMYFUNCTION("""COMPUTED_VALUE"""),45728.0)</f>
        <v>45728</v>
      </c>
      <c r="F515" s="64">
        <f>IFERROR(__xludf.DUMMYFUNCTION("""COMPUTED_VALUE"""),0.2)</f>
        <v>0.2</v>
      </c>
      <c r="G515" s="19" t="str">
        <f>IFERROR(__xludf.DUMMYFUNCTION("""COMPUTED_VALUE"""),"Meta Commission Report")</f>
        <v>Meta Commission Report</v>
      </c>
      <c r="H515" s="19" t="str">
        <f>IFERROR(__xludf.DUMMYFUNCTION("""COMPUTED_VALUE"""),"Kerry Sutherland")</f>
        <v>Kerry Sutherland</v>
      </c>
      <c r="I515" s="62">
        <f>IFERROR(__xludf.DUMMYFUNCTION("""COMPUTED_VALUE"""),6.141815937E10)</f>
        <v>61418159370</v>
      </c>
      <c r="J515" s="19" t="str">
        <f>IFERROR(__xludf.DUMMYFUNCTION("""COMPUTED_VALUE"""),"sutherlandkerryjoy@gmail.com")</f>
        <v>sutherlandkerryjoy@gmail.com</v>
      </c>
    </row>
    <row r="516">
      <c r="A516" s="19" t="str">
        <f>IFERROR(__xludf.DUMMYFUNCTION("""COMPUTED_VALUE"""),"")</f>
        <v/>
      </c>
      <c r="B516" s="19" t="str">
        <f>IFERROR(__xludf.DUMMYFUNCTION("""COMPUTED_VALUE"""),"")</f>
        <v/>
      </c>
      <c r="C516" s="5" t="str">
        <f>IFERROR(__xludf.DUMMYFUNCTION("""COMPUTED_VALUE"""),"")</f>
        <v/>
      </c>
      <c r="D516" s="5" t="str">
        <f>IFERROR(__xludf.DUMMYFUNCTION("""COMPUTED_VALUE"""),"")</f>
        <v/>
      </c>
      <c r="E516" s="5" t="str">
        <f>IFERROR(__xludf.DUMMYFUNCTION("""COMPUTED_VALUE"""),"")</f>
        <v/>
      </c>
      <c r="F516" s="5" t="str">
        <f>IFERROR(__xludf.DUMMYFUNCTION("""COMPUTED_VALUE"""),"")</f>
        <v/>
      </c>
      <c r="G516" s="19" t="str">
        <f>IFERROR(__xludf.DUMMYFUNCTION("""COMPUTED_VALUE"""),"")</f>
        <v/>
      </c>
      <c r="H516" s="19" t="str">
        <f>IFERROR(__xludf.DUMMYFUNCTION("""COMPUTED_VALUE"""),"")</f>
        <v/>
      </c>
      <c r="I516" s="62" t="str">
        <f>IFERROR(__xludf.DUMMYFUNCTION("""COMPUTED_VALUE"""),"")</f>
        <v/>
      </c>
      <c r="J516" s="19" t="str">
        <f>IFERROR(__xludf.DUMMYFUNCTION("""COMPUTED_VALUE"""),"")</f>
        <v/>
      </c>
    </row>
    <row r="517">
      <c r="A517" s="19" t="str">
        <f>IFERROR(__xludf.DUMMYFUNCTION("""COMPUTED_VALUE"""),"")</f>
        <v/>
      </c>
      <c r="B517" s="19" t="str">
        <f>IFERROR(__xludf.DUMMYFUNCTION("""COMPUTED_VALUE"""),"")</f>
        <v/>
      </c>
      <c r="C517" s="5" t="str">
        <f>IFERROR(__xludf.DUMMYFUNCTION("""COMPUTED_VALUE"""),"")</f>
        <v/>
      </c>
      <c r="D517" s="5" t="str">
        <f>IFERROR(__xludf.DUMMYFUNCTION("""COMPUTED_VALUE"""),"")</f>
        <v/>
      </c>
      <c r="E517" s="5" t="str">
        <f>IFERROR(__xludf.DUMMYFUNCTION("""COMPUTED_VALUE"""),"")</f>
        <v/>
      </c>
      <c r="F517" s="5" t="str">
        <f>IFERROR(__xludf.DUMMYFUNCTION("""COMPUTED_VALUE"""),"")</f>
        <v/>
      </c>
      <c r="G517" s="19" t="str">
        <f>IFERROR(__xludf.DUMMYFUNCTION("""COMPUTED_VALUE"""),"")</f>
        <v/>
      </c>
      <c r="H517" s="19" t="str">
        <f>IFERROR(__xludf.DUMMYFUNCTION("""COMPUTED_VALUE"""),"")</f>
        <v/>
      </c>
      <c r="I517" s="62" t="str">
        <f>IFERROR(__xludf.DUMMYFUNCTION("""COMPUTED_VALUE"""),"")</f>
        <v/>
      </c>
      <c r="J517" s="19" t="str">
        <f>IFERROR(__xludf.DUMMYFUNCTION("""COMPUTED_VALUE"""),"")</f>
        <v/>
      </c>
    </row>
    <row r="518">
      <c r="A518" s="19" t="str">
        <f>IFERROR(__xludf.DUMMYFUNCTION("""COMPUTED_VALUE"""),"Bobbi Trajkovski")</f>
        <v>Bobbi Trajkovski</v>
      </c>
      <c r="B518" s="19" t="str">
        <f>IFERROR(__xludf.DUMMYFUNCTION("""COMPUTED_VALUE"""),"NSW")</f>
        <v>NSW</v>
      </c>
      <c r="C518" s="5" t="str">
        <f>IFERROR(__xludf.DUMMYFUNCTION("""COMPUTED_VALUE"""),"Blakehurst")</f>
        <v>Blakehurst</v>
      </c>
      <c r="D518" s="5" t="str">
        <f>IFERROR(__xludf.DUMMYFUNCTION("""COMPUTED_VALUE"""),"8 Dwyer Avenue")</f>
        <v>8 Dwyer Avenue</v>
      </c>
      <c r="E518" s="63"/>
      <c r="F518" s="5" t="str">
        <f>IFERROR(__xludf.DUMMYFUNCTION("""COMPUTED_VALUE"""),"Featured")</f>
        <v>Featured</v>
      </c>
      <c r="G518" s="19" t="str">
        <f>IFERROR(__xludf.DUMMYFUNCTION("""COMPUTED_VALUE"""),"Commission Comparison")</f>
        <v>Commission Comparison</v>
      </c>
      <c r="H518" s="19"/>
      <c r="I518" s="62"/>
      <c r="J518" s="19"/>
    </row>
    <row r="519">
      <c r="A519" s="19" t="str">
        <f>IFERROR(__xludf.DUMMYFUNCTION("""COMPUTED_VALUE"""),"")</f>
        <v/>
      </c>
      <c r="B519" s="19" t="str">
        <f>IFERROR(__xludf.DUMMYFUNCTION("""COMPUTED_VALUE"""),"")</f>
        <v/>
      </c>
      <c r="C519" s="5" t="str">
        <f>IFERROR(__xludf.DUMMYFUNCTION("""COMPUTED_VALUE"""),"")</f>
        <v/>
      </c>
      <c r="D519" s="5" t="str">
        <f>IFERROR(__xludf.DUMMYFUNCTION("""COMPUTED_VALUE"""),"")</f>
        <v/>
      </c>
      <c r="E519" s="5" t="str">
        <f>IFERROR(__xludf.DUMMYFUNCTION("""COMPUTED_VALUE"""),"")</f>
        <v/>
      </c>
      <c r="F519" s="5" t="str">
        <f>IFERROR(__xludf.DUMMYFUNCTION("""COMPUTED_VALUE"""),"")</f>
        <v/>
      </c>
      <c r="G519" s="19" t="str">
        <f>IFERROR(__xludf.DUMMYFUNCTION("""COMPUTED_VALUE"""),"")</f>
        <v/>
      </c>
      <c r="H519" s="19" t="str">
        <f>IFERROR(__xludf.DUMMYFUNCTION("""COMPUTED_VALUE"""),"")</f>
        <v/>
      </c>
      <c r="I519" s="62" t="str">
        <f>IFERROR(__xludf.DUMMYFUNCTION("""COMPUTED_VALUE"""),"")</f>
        <v/>
      </c>
      <c r="J519" s="19" t="str">
        <f>IFERROR(__xludf.DUMMYFUNCTION("""COMPUTED_VALUE"""),"")</f>
        <v/>
      </c>
    </row>
    <row r="520">
      <c r="A520" s="19" t="str">
        <f>IFERROR(__xludf.DUMMYFUNCTION("""COMPUTED_VALUE"""),"")</f>
        <v/>
      </c>
      <c r="B520" s="19" t="str">
        <f>IFERROR(__xludf.DUMMYFUNCTION("""COMPUTED_VALUE"""),"")</f>
        <v/>
      </c>
      <c r="C520" s="5" t="str">
        <f>IFERROR(__xludf.DUMMYFUNCTION("""COMPUTED_VALUE"""),"")</f>
        <v/>
      </c>
      <c r="D520" s="5" t="str">
        <f>IFERROR(__xludf.DUMMYFUNCTION("""COMPUTED_VALUE"""),"")</f>
        <v/>
      </c>
      <c r="E520" s="5" t="str">
        <f>IFERROR(__xludf.DUMMYFUNCTION("""COMPUTED_VALUE"""),"")</f>
        <v/>
      </c>
      <c r="F520" s="5" t="str">
        <f>IFERROR(__xludf.DUMMYFUNCTION("""COMPUTED_VALUE"""),"")</f>
        <v/>
      </c>
      <c r="G520" s="19" t="str">
        <f>IFERROR(__xludf.DUMMYFUNCTION("""COMPUTED_VALUE"""),"")</f>
        <v/>
      </c>
      <c r="H520" s="19" t="str">
        <f>IFERROR(__xludf.DUMMYFUNCTION("""COMPUTED_VALUE"""),"")</f>
        <v/>
      </c>
      <c r="I520" s="62" t="str">
        <f>IFERROR(__xludf.DUMMYFUNCTION("""COMPUTED_VALUE"""),"")</f>
        <v/>
      </c>
      <c r="J520" s="19" t="str">
        <f>IFERROR(__xludf.DUMMYFUNCTION("""COMPUTED_VALUE"""),"")</f>
        <v/>
      </c>
    </row>
    <row r="521">
      <c r="A521" s="19" t="str">
        <f>IFERROR(__xludf.DUMMYFUNCTION("""COMPUTED_VALUE"""),"Brad Scott")</f>
        <v>Brad Scott</v>
      </c>
      <c r="B521" s="19" t="str">
        <f>IFERROR(__xludf.DUMMYFUNCTION("""COMPUTED_VALUE"""),"QLD")</f>
        <v>QLD</v>
      </c>
      <c r="C521" s="5" t="str">
        <f>IFERROR(__xludf.DUMMYFUNCTION("""COMPUTED_VALUE"""),"Ashmore")</f>
        <v>Ashmore</v>
      </c>
      <c r="D521" s="5" t="str">
        <f>IFERROR(__xludf.DUMMYFUNCTION("""COMPUTED_VALUE"""),"7 Numeralla Avenue, Ashmore, QLD, 4214, Australia")</f>
        <v>7 Numeralla Avenue, Ashmore, QLD, 4214, Australia</v>
      </c>
      <c r="E521" s="5" t="str">
        <f>IFERROR(__xludf.DUMMYFUNCTION("""COMPUTED_VALUE"""),"13/04/2025")</f>
        <v>13/04/2025</v>
      </c>
      <c r="F521" s="5" t="str">
        <f>IFERROR(__xludf.DUMMYFUNCTION("""COMPUTED_VALUE"""),"Featured Plus")</f>
        <v>Featured Plus</v>
      </c>
      <c r="G521" s="19"/>
      <c r="H521" s="19"/>
      <c r="I521" s="62"/>
      <c r="J521" s="19"/>
    </row>
    <row r="522">
      <c r="A522" s="19" t="str">
        <f>IFERROR(__xludf.DUMMYFUNCTION("""COMPUTED_VALUE"""),"Brad Scott")</f>
        <v>Brad Scott</v>
      </c>
      <c r="B522" s="19" t="str">
        <f>IFERROR(__xludf.DUMMYFUNCTION("""COMPUTED_VALUE"""),"QLD")</f>
        <v>QLD</v>
      </c>
      <c r="C522" s="5" t="str">
        <f>IFERROR(__xludf.DUMMYFUNCTION("""COMPUTED_VALUE"""),"Ashmore")</f>
        <v>Ashmore</v>
      </c>
      <c r="D522" s="5" t="str">
        <f>IFERROR(__xludf.DUMMYFUNCTION("""COMPUTED_VALUE"""),"7 / 9 Sara Street, Ashmore, QLD, 4214, Australia")</f>
        <v>7 / 9 Sara Street, Ashmore, QLD, 4214, Australia</v>
      </c>
      <c r="E522" s="5" t="str">
        <f>IFERROR(__xludf.DUMMYFUNCTION("""COMPUTED_VALUE"""),"28/06/2025")</f>
        <v>28/06/2025</v>
      </c>
      <c r="F522" s="5" t="str">
        <f>IFERROR(__xludf.DUMMYFUNCTION("""COMPUTED_VALUE"""),"Featured Plus")</f>
        <v>Featured Plus</v>
      </c>
      <c r="G522" s="19"/>
      <c r="H522" s="19"/>
      <c r="I522" s="62"/>
      <c r="J522" s="19"/>
    </row>
    <row r="523">
      <c r="A523" s="19" t="str">
        <f>IFERROR(__xludf.DUMMYFUNCTION("""COMPUTED_VALUE"""),"Brad Scott")</f>
        <v>Brad Scott</v>
      </c>
      <c r="B523" s="19" t="str">
        <f>IFERROR(__xludf.DUMMYFUNCTION("""COMPUTED_VALUE"""),"QLD")</f>
        <v>QLD</v>
      </c>
      <c r="C523" s="5">
        <f>IFERROR(__xludf.DUMMYFUNCTION("""COMPUTED_VALUE"""),4214.0)</f>
        <v>4214</v>
      </c>
      <c r="D523" s="5"/>
      <c r="E523" s="63">
        <f>IFERROR(__xludf.DUMMYFUNCTION("""COMPUTED_VALUE"""),45842.53256944444)</f>
        <v>45842.53257</v>
      </c>
      <c r="F523" s="5" t="str">
        <f>IFERROR(__xludf.DUMMYFUNCTION("""COMPUTED_VALUE"""),"Plus")</f>
        <v>Plus</v>
      </c>
      <c r="G523" s="19" t="str">
        <f>IFERROR(__xludf.DUMMYFUNCTION("""COMPUTED_VALUE"""),"Instant Forms")</f>
        <v>Instant Forms</v>
      </c>
      <c r="H523" s="19"/>
      <c r="I523" s="62"/>
      <c r="J523" s="19"/>
    </row>
    <row r="524">
      <c r="A524" s="19" t="str">
        <f>IFERROR(__xludf.DUMMYFUNCTION("""COMPUTED_VALUE"""),"Brad Scott")</f>
        <v>Brad Scott</v>
      </c>
      <c r="B524" s="19" t="str">
        <f>IFERROR(__xludf.DUMMYFUNCTION("""COMPUTED_VALUE"""),"QLD")</f>
        <v>QLD</v>
      </c>
      <c r="C524" s="5">
        <f>IFERROR(__xludf.DUMMYFUNCTION("""COMPUTED_VALUE"""),4216.0)</f>
        <v>4216</v>
      </c>
      <c r="D524" s="5"/>
      <c r="E524" s="63">
        <f>IFERROR(__xludf.DUMMYFUNCTION("""COMPUTED_VALUE"""),45852.389456018514)</f>
        <v>45852.38946</v>
      </c>
      <c r="F524" s="5" t="str">
        <f>IFERROR(__xludf.DUMMYFUNCTION("""COMPUTED_VALUE"""),"Free")</f>
        <v>Free</v>
      </c>
      <c r="G524" s="19" t="str">
        <f>IFERROR(__xludf.DUMMYFUNCTION("""COMPUTED_VALUE"""),"Instant Forms")</f>
        <v>Instant Forms</v>
      </c>
      <c r="H524" s="19"/>
      <c r="I524" s="62"/>
      <c r="J524" s="19"/>
    </row>
    <row r="525">
      <c r="A525" s="19" t="str">
        <f>IFERROR(__xludf.DUMMYFUNCTION("""COMPUTED_VALUE"""),"Brad Scott")</f>
        <v>Brad Scott</v>
      </c>
      <c r="B525" s="19" t="str">
        <f>IFERROR(__xludf.DUMMYFUNCTION("""COMPUTED_VALUE"""),"QLD")</f>
        <v>QLD</v>
      </c>
      <c r="C525" s="5">
        <f>IFERROR(__xludf.DUMMYFUNCTION("""COMPUTED_VALUE"""),4214.0)</f>
        <v>4214</v>
      </c>
      <c r="D525" s="5"/>
      <c r="E525" s="63" t="str">
        <f>IFERROR(__xludf.DUMMYFUNCTION("""COMPUTED_VALUE"""),"19/07/2025")</f>
        <v>19/07/2025</v>
      </c>
      <c r="F525" s="5" t="str">
        <f>IFERROR(__xludf.DUMMYFUNCTION("""COMPUTED_VALUE"""),"Plus")</f>
        <v>Plus</v>
      </c>
      <c r="G525" s="19" t="str">
        <f>IFERROR(__xludf.DUMMYFUNCTION("""COMPUTED_VALUE"""),"Instant Forms")</f>
        <v>Instant Forms</v>
      </c>
      <c r="H525" s="19"/>
      <c r="I525" s="62"/>
      <c r="J525" s="19"/>
    </row>
    <row r="526">
      <c r="A526" s="19" t="str">
        <f>IFERROR(__xludf.DUMMYFUNCTION("""COMPUTED_VALUE"""),"Brad Scott")</f>
        <v>Brad Scott</v>
      </c>
      <c r="B526" s="19" t="str">
        <f>IFERROR(__xludf.DUMMYFUNCTION("""COMPUTED_VALUE"""),"QLD")</f>
        <v>QLD</v>
      </c>
      <c r="C526" s="5" t="str">
        <f>IFERROR(__xludf.DUMMYFUNCTION("""COMPUTED_VALUE"""),"Biggera Waters")</f>
        <v>Biggera Waters</v>
      </c>
      <c r="D526" s="5" t="str">
        <f>IFERROR(__xludf.DUMMYFUNCTION("""COMPUTED_VALUE"""),"3 / 8 Oleander Avenue")</f>
        <v>3 / 8 Oleander Avenue</v>
      </c>
      <c r="E526" s="63"/>
      <c r="F526" s="5" t="str">
        <f>IFERROR(__xludf.DUMMYFUNCTION("""COMPUTED_VALUE"""),"Featured")</f>
        <v>Featured</v>
      </c>
      <c r="G526" s="19" t="str">
        <f>IFERROR(__xludf.DUMMYFUNCTION("""COMPUTED_VALUE"""),"Commission Comparison")</f>
        <v>Commission Comparison</v>
      </c>
      <c r="H526" s="19"/>
      <c r="I526" s="62"/>
      <c r="J526" s="19"/>
    </row>
    <row r="527">
      <c r="A527" s="19" t="str">
        <f>IFERROR(__xludf.DUMMYFUNCTION("""COMPUTED_VALUE"""),"Brad Scott")</f>
        <v>Brad Scott</v>
      </c>
      <c r="B527" s="19" t="str">
        <f>IFERROR(__xludf.DUMMYFUNCTION("""COMPUTED_VALUE"""),"QLD")</f>
        <v>QLD</v>
      </c>
      <c r="C527" s="5" t="str">
        <f>IFERROR(__xludf.DUMMYFUNCTION("""COMPUTED_VALUE"""),"Runaway bay 4216")</f>
        <v>Runaway bay 4216</v>
      </c>
      <c r="D527" s="5" t="str">
        <f>IFERROR(__xludf.DUMMYFUNCTION("""COMPUTED_VALUE"""),"71/88-98 Limetree Parade")</f>
        <v>71/88-98 Limetree Parade</v>
      </c>
      <c r="E527" s="63">
        <f>IFERROR(__xludf.DUMMYFUNCTION("""COMPUTED_VALUE"""),45861.0)</f>
        <v>45861</v>
      </c>
      <c r="F527" s="5" t="str">
        <f>IFERROR(__xludf.DUMMYFUNCTION("""COMPUTED_VALUE"""),"Plus")</f>
        <v>Plus</v>
      </c>
      <c r="G527" s="19" t="str">
        <f>IFERROR(__xludf.DUMMYFUNCTION("""COMPUTED_VALUE"""),"Instant Forms")</f>
        <v>Instant Forms</v>
      </c>
      <c r="H527" s="19"/>
      <c r="I527" s="62"/>
      <c r="J527" s="19"/>
    </row>
    <row r="528">
      <c r="A528" s="19" t="str">
        <f>IFERROR(__xludf.DUMMYFUNCTION("""COMPUTED_VALUE"""),"Brad Scott")</f>
        <v>Brad Scott</v>
      </c>
      <c r="B528" s="19" t="str">
        <f>IFERROR(__xludf.DUMMYFUNCTION("""COMPUTED_VALUE"""),"QLD")</f>
        <v>QLD</v>
      </c>
      <c r="C528" s="5" t="str">
        <f>IFERROR(__xludf.DUMMYFUNCTION("""COMPUTED_VALUE"""),"Arundel")</f>
        <v>Arundel</v>
      </c>
      <c r="D528" s="5"/>
      <c r="E528" s="25">
        <f>IFERROR(__xludf.DUMMYFUNCTION("""COMPUTED_VALUE"""),45875.0)</f>
        <v>45875</v>
      </c>
      <c r="F528" s="5" t="str">
        <f>IFERROR(__xludf.DUMMYFUNCTION("""COMPUTED_VALUE"""),"Plus")</f>
        <v>Plus</v>
      </c>
      <c r="G528" s="19" t="str">
        <f>IFERROR(__xludf.DUMMYFUNCTION("""COMPUTED_VALUE"""),"Instant Forms")</f>
        <v>Instant Forms</v>
      </c>
      <c r="H528" s="19"/>
      <c r="I528" s="62"/>
      <c r="J528" s="19"/>
    </row>
    <row r="529">
      <c r="A529" s="19" t="str">
        <f>IFERROR(__xludf.DUMMYFUNCTION("""COMPUTED_VALUE"""),"Brad Scott")</f>
        <v>Brad Scott</v>
      </c>
      <c r="B529" s="19" t="str">
        <f>IFERROR(__xludf.DUMMYFUNCTION("""COMPUTED_VALUE"""),"QLD")</f>
        <v>QLD</v>
      </c>
      <c r="C529" s="5" t="str">
        <f>IFERROR(__xludf.DUMMYFUNCTION("""COMPUTED_VALUE"""),"Ashmore")</f>
        <v>Ashmore</v>
      </c>
      <c r="D529" s="5" t="str">
        <f>IFERROR(__xludf.DUMMYFUNCTION("""COMPUTED_VALUE"""),"197 Cotlew Street, Ashmore, QLD, 4214, Australia")</f>
        <v>197 Cotlew Street, Ashmore, QLD, 4214, Australia</v>
      </c>
      <c r="E529" s="5" t="str">
        <f>IFERROR(__xludf.DUMMYFUNCTION("""COMPUTED_VALUE"""),"20/08/2025")</f>
        <v>20/08/2025</v>
      </c>
      <c r="F529" s="5" t="str">
        <f>IFERROR(__xludf.DUMMYFUNCTION("""COMPUTED_VALUE"""),"Featured Plus")</f>
        <v>Featured Plus</v>
      </c>
      <c r="G529" s="19"/>
      <c r="H529" s="19"/>
      <c r="I529" s="62"/>
      <c r="J529" s="19"/>
    </row>
    <row r="530">
      <c r="A530" s="19" t="str">
        <f>IFERROR(__xludf.DUMMYFUNCTION("""COMPUTED_VALUE"""),"Brad Scott")</f>
        <v>Brad Scott</v>
      </c>
      <c r="B530" s="19" t="str">
        <f>IFERROR(__xludf.DUMMYFUNCTION("""COMPUTED_VALUE"""),"QLD")</f>
        <v>QLD</v>
      </c>
      <c r="C530" s="5" t="str">
        <f>IFERROR(__xludf.DUMMYFUNCTION("""COMPUTED_VALUE"""),"Ashmore")</f>
        <v>Ashmore</v>
      </c>
      <c r="D530" s="5" t="str">
        <f>IFERROR(__xludf.DUMMYFUNCTION("""COMPUTED_VALUE"""),"197 Cotlew Street Ashmore QLD 4214 &amp; 39 Freda Street Ashmore QLD 4214")</f>
        <v>197 Cotlew Street Ashmore QLD 4214 &amp; 39 Freda Street Ashmore QLD 4214</v>
      </c>
      <c r="E530" s="25">
        <f>IFERROR(__xludf.DUMMYFUNCTION("""COMPUTED_VALUE"""),45889.0)</f>
        <v>45889</v>
      </c>
      <c r="F530" s="5" t="str">
        <f>IFERROR(__xludf.DUMMYFUNCTION("""COMPUTED_VALUE"""),"Plus")</f>
        <v>Plus</v>
      </c>
      <c r="G530" s="19" t="str">
        <f>IFERROR(__xludf.DUMMYFUNCTION("""COMPUTED_VALUE"""),"Instant Forms")</f>
        <v>Instant Forms</v>
      </c>
      <c r="H530" s="19"/>
      <c r="I530" s="62"/>
      <c r="J530" s="19"/>
    </row>
    <row r="531">
      <c r="A531" s="19" t="str">
        <f>IFERROR(__xludf.DUMMYFUNCTION("""COMPUTED_VALUE"""),"Brad Scott")</f>
        <v>Brad Scott</v>
      </c>
      <c r="B531" s="19" t="str">
        <f>IFERROR(__xludf.DUMMYFUNCTION("""COMPUTED_VALUE"""),"QLD")</f>
        <v>QLD</v>
      </c>
      <c r="C531" s="5" t="str">
        <f>IFERROR(__xludf.DUMMYFUNCTION("""COMPUTED_VALUE"""),"Ashmore QLD")</f>
        <v>Ashmore QLD</v>
      </c>
      <c r="D531" s="5" t="str">
        <f>IFERROR(__xludf.DUMMYFUNCTION("""COMPUTED_VALUE"""),"17 Rumbalara Avenue Ashmore QLD 4214")</f>
        <v>17 Rumbalara Avenue Ashmore QLD 4214</v>
      </c>
      <c r="E531" s="25">
        <f>IFERROR(__xludf.DUMMYFUNCTION("""COMPUTED_VALUE"""),45890.0)</f>
        <v>45890</v>
      </c>
      <c r="F531" s="5" t="str">
        <f>IFERROR(__xludf.DUMMYFUNCTION("""COMPUTED_VALUE"""),"Plus")</f>
        <v>Plus</v>
      </c>
      <c r="G531" s="19" t="str">
        <f>IFERROR(__xludf.DUMMYFUNCTION("""COMPUTED_VALUE"""),"Instant Forms")</f>
        <v>Instant Forms</v>
      </c>
      <c r="H531" s="19"/>
      <c r="I531" s="62"/>
      <c r="J531" s="19"/>
    </row>
    <row r="532">
      <c r="A532" s="19" t="str">
        <f>IFERROR(__xludf.DUMMYFUNCTION("""COMPUTED_VALUE"""),"Brad Scott")</f>
        <v>Brad Scott</v>
      </c>
      <c r="B532" s="19" t="str">
        <f>IFERROR(__xludf.DUMMYFUNCTION("""COMPUTED_VALUE"""),"QLD")</f>
        <v>QLD</v>
      </c>
      <c r="C532" s="5" t="str">
        <f>IFERROR(__xludf.DUMMYFUNCTION("""COMPUTED_VALUE"""),"Southport")</f>
        <v>Southport</v>
      </c>
      <c r="D532" s="5" t="str">
        <f>IFERROR(__xludf.DUMMYFUNCTION("""COMPUTED_VALUE"""),"17 Lavinia Street Southport QLD 4215")</f>
        <v>17 Lavinia Street Southport QLD 4215</v>
      </c>
      <c r="E532" s="25">
        <f>IFERROR(__xludf.DUMMYFUNCTION("""COMPUTED_VALUE"""),45894.0)</f>
        <v>45894</v>
      </c>
      <c r="F532" s="5" t="str">
        <f>IFERROR(__xludf.DUMMYFUNCTION("""COMPUTED_VALUE"""),"Plus")</f>
        <v>Plus</v>
      </c>
      <c r="G532" s="19" t="str">
        <f>IFERROR(__xludf.DUMMYFUNCTION("""COMPUTED_VALUE"""),"Instant Forms")</f>
        <v>Instant Forms</v>
      </c>
      <c r="H532" s="19"/>
      <c r="I532" s="62"/>
      <c r="J532" s="19"/>
    </row>
    <row r="533">
      <c r="A533" s="19" t="str">
        <f>IFERROR(__xludf.DUMMYFUNCTION("""COMPUTED_VALUE"""),"Brad Scott")</f>
        <v>Brad Scott</v>
      </c>
      <c r="B533" s="19" t="str">
        <f>IFERROR(__xludf.DUMMYFUNCTION("""COMPUTED_VALUE"""),"QLD")</f>
        <v>QLD</v>
      </c>
      <c r="C533" s="5" t="str">
        <f>IFERROR(__xludf.DUMMYFUNCTION("""COMPUTED_VALUE"""),"Labrador")</f>
        <v>Labrador</v>
      </c>
      <c r="D533" s="5" t="str">
        <f>IFERROR(__xludf.DUMMYFUNCTION("""COMPUTED_VALUE"""),"5/242-244 Marine Parade Labrador QLD 4215")</f>
        <v>5/242-244 Marine Parade Labrador QLD 4215</v>
      </c>
      <c r="E533" s="25">
        <f>IFERROR(__xludf.DUMMYFUNCTION("""COMPUTED_VALUE"""),45897.0)</f>
        <v>45897</v>
      </c>
      <c r="F533" s="5" t="str">
        <f>IFERROR(__xludf.DUMMYFUNCTION("""COMPUTED_VALUE"""),"Plus")</f>
        <v>Plus</v>
      </c>
      <c r="G533" s="19" t="str">
        <f>IFERROR(__xludf.DUMMYFUNCTION("""COMPUTED_VALUE"""),"Instant Forms")</f>
        <v>Instant Forms</v>
      </c>
      <c r="H533" s="19"/>
      <c r="I533" s="62"/>
      <c r="J533" s="19"/>
    </row>
    <row r="534">
      <c r="A534" s="19" t="str">
        <f>IFERROR(__xludf.DUMMYFUNCTION("""COMPUTED_VALUE"""),"Brad Scott")</f>
        <v>Brad Scott</v>
      </c>
      <c r="B534" s="19" t="str">
        <f>IFERROR(__xludf.DUMMYFUNCTION("""COMPUTED_VALUE"""),"QLD")</f>
        <v>QLD</v>
      </c>
      <c r="C534" s="5">
        <f>IFERROR(__xludf.DUMMYFUNCTION("""COMPUTED_VALUE"""),4214.0)</f>
        <v>4214</v>
      </c>
      <c r="D534" s="5"/>
      <c r="E534" s="25">
        <f>IFERROR(__xludf.DUMMYFUNCTION("""COMPUTED_VALUE"""),45900.0)</f>
        <v>45900</v>
      </c>
      <c r="F534" s="5" t="str">
        <f>IFERROR(__xludf.DUMMYFUNCTION("""COMPUTED_VALUE"""),"Free")</f>
        <v>Free</v>
      </c>
      <c r="G534" s="19" t="str">
        <f>IFERROR(__xludf.DUMMYFUNCTION("""COMPUTED_VALUE"""),"Instant Forms")</f>
        <v>Instant Forms</v>
      </c>
      <c r="H534" s="19"/>
      <c r="I534" s="62"/>
      <c r="J534" s="19"/>
    </row>
    <row r="535">
      <c r="A535" s="19" t="str">
        <f>IFERROR(__xludf.DUMMYFUNCTION("""COMPUTED_VALUE"""),"Brad Scott")</f>
        <v>Brad Scott</v>
      </c>
      <c r="B535" s="19" t="str">
        <f>IFERROR(__xludf.DUMMYFUNCTION("""COMPUTED_VALUE"""),"QLD")</f>
        <v>QLD</v>
      </c>
      <c r="C535" s="5" t="str">
        <f>IFERROR(__xludf.DUMMYFUNCTION("""COMPUTED_VALUE"""),"Southport")</f>
        <v>Southport</v>
      </c>
      <c r="D535" s="5" t="str">
        <f>IFERROR(__xludf.DUMMYFUNCTION("""COMPUTED_VALUE"""),"6/19 Heath Street Southport QLD 4215")</f>
        <v>6/19 Heath Street Southport QLD 4215</v>
      </c>
      <c r="E535" s="25">
        <f>IFERROR(__xludf.DUMMYFUNCTION("""COMPUTED_VALUE"""),45970.0)</f>
        <v>45970</v>
      </c>
      <c r="F535" s="5" t="str">
        <f>IFERROR(__xludf.DUMMYFUNCTION("""COMPUTED_VALUE"""),"Featured Plus")</f>
        <v>Featured Plus</v>
      </c>
      <c r="G535" s="19" t="str">
        <f>IFERROR(__xludf.DUMMYFUNCTION("""COMPUTED_VALUE"""),"Instant Forms")</f>
        <v>Instant Forms</v>
      </c>
      <c r="H535" s="19" t="str">
        <f>IFERROR(__xludf.DUMMYFUNCTION("""COMPUTED_VALUE"""),"Toni Georgiou")</f>
        <v>Toni Georgiou</v>
      </c>
      <c r="I535" s="62">
        <f>IFERROR(__xludf.DUMMYFUNCTION("""COMPUTED_VALUE"""),6.1416721821E10)</f>
        <v>61416721821</v>
      </c>
      <c r="J535" s="19" t="str">
        <f>IFERROR(__xludf.DUMMYFUNCTION("""COMPUTED_VALUE"""),"toni.m.georgiou@gmail.com")</f>
        <v>toni.m.georgiou@gmail.com</v>
      </c>
    </row>
    <row r="536">
      <c r="A536" s="19" t="str">
        <f>IFERROR(__xludf.DUMMYFUNCTION("""COMPUTED_VALUE"""),"Brad Scott")</f>
        <v>Brad Scott</v>
      </c>
      <c r="B536" s="19" t="str">
        <f>IFERROR(__xludf.DUMMYFUNCTION("""COMPUTED_VALUE"""),"QLD")</f>
        <v>QLD</v>
      </c>
      <c r="C536" s="5" t="str">
        <f>IFERROR(__xludf.DUMMYFUNCTION("""COMPUTED_VALUE"""),"Labrador")</f>
        <v>Labrador</v>
      </c>
      <c r="D536" s="5" t="str">
        <f>IFERROR(__xludf.DUMMYFUNCTION("""COMPUTED_VALUE"""),"2/208 Central Street Labrador QLD 4215")</f>
        <v>2/208 Central Street Labrador QLD 4215</v>
      </c>
      <c r="E536" s="5" t="str">
        <f>IFERROR(__xludf.DUMMYFUNCTION("""COMPUTED_VALUE"""),"21/11/2025")</f>
        <v>21/11/2025</v>
      </c>
      <c r="F536" s="5" t="str">
        <f>IFERROR(__xludf.DUMMYFUNCTION("""COMPUTED_VALUE"""),"Featured Plus")</f>
        <v>Featured Plus</v>
      </c>
      <c r="G536" s="19" t="str">
        <f>IFERROR(__xludf.DUMMYFUNCTION("""COMPUTED_VALUE"""),"Instant Forms")</f>
        <v>Instant Forms</v>
      </c>
      <c r="H536" s="19" t="str">
        <f>IFERROR(__xludf.DUMMYFUNCTION("""COMPUTED_VALUE"""),"Margie Renwood")</f>
        <v>Margie Renwood</v>
      </c>
      <c r="I536" s="62">
        <f>IFERROR(__xludf.DUMMYFUNCTION("""COMPUTED_VALUE"""),6.1417716165E10)</f>
        <v>61417716165</v>
      </c>
      <c r="J536" s="19" t="str">
        <f>IFERROR(__xludf.DUMMYFUNCTION("""COMPUTED_VALUE"""),"mrenwood@gmail.com")</f>
        <v>mrenwood@gmail.com</v>
      </c>
    </row>
    <row r="537">
      <c r="A537" s="19" t="str">
        <f>IFERROR(__xludf.DUMMYFUNCTION("""COMPUTED_VALUE"""),"")</f>
        <v/>
      </c>
      <c r="B537" s="19" t="str">
        <f>IFERROR(__xludf.DUMMYFUNCTION("""COMPUTED_VALUE"""),"")</f>
        <v/>
      </c>
      <c r="C537" s="5" t="str">
        <f>IFERROR(__xludf.DUMMYFUNCTION("""COMPUTED_VALUE"""),"")</f>
        <v/>
      </c>
      <c r="D537" s="5" t="str">
        <f>IFERROR(__xludf.DUMMYFUNCTION("""COMPUTED_VALUE"""),"")</f>
        <v/>
      </c>
      <c r="E537" s="5" t="str">
        <f>IFERROR(__xludf.DUMMYFUNCTION("""COMPUTED_VALUE"""),"")</f>
        <v/>
      </c>
      <c r="F537" s="5" t="str">
        <f>IFERROR(__xludf.DUMMYFUNCTION("""COMPUTED_VALUE"""),"")</f>
        <v/>
      </c>
      <c r="G537" s="19" t="str">
        <f>IFERROR(__xludf.DUMMYFUNCTION("""COMPUTED_VALUE"""),"")</f>
        <v/>
      </c>
      <c r="H537" s="19" t="str">
        <f>IFERROR(__xludf.DUMMYFUNCTION("""COMPUTED_VALUE"""),"")</f>
        <v/>
      </c>
      <c r="I537" s="62" t="str">
        <f>IFERROR(__xludf.DUMMYFUNCTION("""COMPUTED_VALUE"""),"")</f>
        <v/>
      </c>
      <c r="J537" s="19" t="str">
        <f>IFERROR(__xludf.DUMMYFUNCTION("""COMPUTED_VALUE"""),"")</f>
        <v/>
      </c>
    </row>
    <row r="538">
      <c r="A538" s="19" t="str">
        <f>IFERROR(__xludf.DUMMYFUNCTION("""COMPUTED_VALUE"""),"")</f>
        <v/>
      </c>
      <c r="B538" s="19" t="str">
        <f>IFERROR(__xludf.DUMMYFUNCTION("""COMPUTED_VALUE"""),"")</f>
        <v/>
      </c>
      <c r="C538" s="5" t="str">
        <f>IFERROR(__xludf.DUMMYFUNCTION("""COMPUTED_VALUE"""),"")</f>
        <v/>
      </c>
      <c r="D538" s="5" t="str">
        <f>IFERROR(__xludf.DUMMYFUNCTION("""COMPUTED_VALUE"""),"")</f>
        <v/>
      </c>
      <c r="E538" s="5" t="str">
        <f>IFERROR(__xludf.DUMMYFUNCTION("""COMPUTED_VALUE"""),"")</f>
        <v/>
      </c>
      <c r="F538" s="5" t="str">
        <f>IFERROR(__xludf.DUMMYFUNCTION("""COMPUTED_VALUE"""),"")</f>
        <v/>
      </c>
      <c r="G538" s="19" t="str">
        <f>IFERROR(__xludf.DUMMYFUNCTION("""COMPUTED_VALUE"""),"")</f>
        <v/>
      </c>
      <c r="H538" s="19" t="str">
        <f>IFERROR(__xludf.DUMMYFUNCTION("""COMPUTED_VALUE"""),"")</f>
        <v/>
      </c>
      <c r="I538" s="62" t="str">
        <f>IFERROR(__xludf.DUMMYFUNCTION("""COMPUTED_VALUE"""),"")</f>
        <v/>
      </c>
      <c r="J538" s="19" t="str">
        <f>IFERROR(__xludf.DUMMYFUNCTION("""COMPUTED_VALUE"""),"")</f>
        <v/>
      </c>
    </row>
    <row r="539">
      <c r="A539" s="19" t="str">
        <f>IFERROR(__xludf.DUMMYFUNCTION("""COMPUTED_VALUE"""),"Bree Prince")</f>
        <v>Bree Prince</v>
      </c>
      <c r="B539" s="19" t="str">
        <f>IFERROR(__xludf.DUMMYFUNCTION("""COMPUTED_VALUE"""),"ACT")</f>
        <v>ACT</v>
      </c>
      <c r="C539" s="5" t="str">
        <f>IFERROR(__xludf.DUMMYFUNCTION("""COMPUTED_VALUE"""),"Hackett")</f>
        <v>Hackett</v>
      </c>
      <c r="D539" s="5" t="str">
        <f>IFERROR(__xludf.DUMMYFUNCTION("""COMPUTED_VALUE"""),"6 Stott Street Hackett")</f>
        <v>6 Stott Street Hackett</v>
      </c>
      <c r="E539" s="25">
        <f>IFERROR(__xludf.DUMMYFUNCTION("""COMPUTED_VALUE"""),45876.0)</f>
        <v>45876</v>
      </c>
      <c r="F539" s="5" t="str">
        <f>IFERROR(__xludf.DUMMYFUNCTION("""COMPUTED_VALUE"""),"Plus")</f>
        <v>Plus</v>
      </c>
      <c r="G539" s="19" t="str">
        <f>IFERROR(__xludf.DUMMYFUNCTION("""COMPUTED_VALUE"""),"Instant Forms")</f>
        <v>Instant Forms</v>
      </c>
      <c r="H539" s="19"/>
      <c r="I539" s="62"/>
      <c r="J539" s="19"/>
    </row>
    <row r="540">
      <c r="A540" s="19" t="str">
        <f>IFERROR(__xludf.DUMMYFUNCTION("""COMPUTED_VALUE"""),"")</f>
        <v/>
      </c>
      <c r="B540" s="19" t="str">
        <f>IFERROR(__xludf.DUMMYFUNCTION("""COMPUTED_VALUE"""),"")</f>
        <v/>
      </c>
      <c r="C540" s="5" t="str">
        <f>IFERROR(__xludf.DUMMYFUNCTION("""COMPUTED_VALUE"""),"")</f>
        <v/>
      </c>
      <c r="D540" s="5" t="str">
        <f>IFERROR(__xludf.DUMMYFUNCTION("""COMPUTED_VALUE"""),"")</f>
        <v/>
      </c>
      <c r="E540" s="5" t="str">
        <f>IFERROR(__xludf.DUMMYFUNCTION("""COMPUTED_VALUE"""),"")</f>
        <v/>
      </c>
      <c r="F540" s="5" t="str">
        <f>IFERROR(__xludf.DUMMYFUNCTION("""COMPUTED_VALUE"""),"")</f>
        <v/>
      </c>
      <c r="G540" s="19" t="str">
        <f>IFERROR(__xludf.DUMMYFUNCTION("""COMPUTED_VALUE"""),"")</f>
        <v/>
      </c>
      <c r="H540" s="19" t="str">
        <f>IFERROR(__xludf.DUMMYFUNCTION("""COMPUTED_VALUE"""),"")</f>
        <v/>
      </c>
      <c r="I540" s="62" t="str">
        <f>IFERROR(__xludf.DUMMYFUNCTION("""COMPUTED_VALUE"""),"")</f>
        <v/>
      </c>
      <c r="J540" s="19" t="str">
        <f>IFERROR(__xludf.DUMMYFUNCTION("""COMPUTED_VALUE"""),"")</f>
        <v/>
      </c>
    </row>
    <row r="541">
      <c r="A541" s="19" t="str">
        <f>IFERROR(__xludf.DUMMYFUNCTION("""COMPUTED_VALUE"""),"")</f>
        <v/>
      </c>
      <c r="B541" s="19" t="str">
        <f>IFERROR(__xludf.DUMMYFUNCTION("""COMPUTED_VALUE"""),"")</f>
        <v/>
      </c>
      <c r="C541" s="5" t="str">
        <f>IFERROR(__xludf.DUMMYFUNCTION("""COMPUTED_VALUE"""),"")</f>
        <v/>
      </c>
      <c r="D541" s="5" t="str">
        <f>IFERROR(__xludf.DUMMYFUNCTION("""COMPUTED_VALUE"""),"")</f>
        <v/>
      </c>
      <c r="E541" s="5" t="str">
        <f>IFERROR(__xludf.DUMMYFUNCTION("""COMPUTED_VALUE"""),"")</f>
        <v/>
      </c>
      <c r="F541" s="5" t="str">
        <f>IFERROR(__xludf.DUMMYFUNCTION("""COMPUTED_VALUE"""),"")</f>
        <v/>
      </c>
      <c r="G541" s="19" t="str">
        <f>IFERROR(__xludf.DUMMYFUNCTION("""COMPUTED_VALUE"""),"")</f>
        <v/>
      </c>
      <c r="H541" s="19" t="str">
        <f>IFERROR(__xludf.DUMMYFUNCTION("""COMPUTED_VALUE"""),"")</f>
        <v/>
      </c>
      <c r="I541" s="62" t="str">
        <f>IFERROR(__xludf.DUMMYFUNCTION("""COMPUTED_VALUE"""),"")</f>
        <v/>
      </c>
      <c r="J541" s="19" t="str">
        <f>IFERROR(__xludf.DUMMYFUNCTION("""COMPUTED_VALUE"""),"")</f>
        <v/>
      </c>
    </row>
    <row r="542">
      <c r="A542" s="19" t="str">
        <f>IFERROR(__xludf.DUMMYFUNCTION("""COMPUTED_VALUE"""),"Brett Mullen")</f>
        <v>Brett Mullen</v>
      </c>
      <c r="B542" s="19" t="str">
        <f>IFERROR(__xludf.DUMMYFUNCTION("""COMPUTED_VALUE"""),"NSW")</f>
        <v>NSW</v>
      </c>
      <c r="C542" s="5" t="str">
        <f>IFERROR(__xludf.DUMMYFUNCTION("""COMPUTED_VALUE"""),"Kearneys Spring")</f>
        <v>Kearneys Spring</v>
      </c>
      <c r="D542" s="5" t="str">
        <f>IFERROR(__xludf.DUMMYFUNCTION("""COMPUTED_VALUE"""),"216 Kearney Street Kearneys Spring QLD 4350")</f>
        <v>216 Kearney Street Kearneys Spring QLD 4350</v>
      </c>
      <c r="E542" s="25">
        <f>IFERROR(__xludf.DUMMYFUNCTION("""COMPUTED_VALUE"""),45917.0)</f>
        <v>45917</v>
      </c>
      <c r="F542" s="5">
        <f>IFERROR(__xludf.DUMMYFUNCTION("""COMPUTED_VALUE"""),8.0)</f>
        <v>8</v>
      </c>
      <c r="G542" s="19" t="str">
        <f>IFERROR(__xludf.DUMMYFUNCTION("""COMPUTED_VALUE"""),"Instant Forms")</f>
        <v>Instant Forms</v>
      </c>
      <c r="H542" s="19" t="str">
        <f>IFERROR(__xludf.DUMMYFUNCTION("""COMPUTED_VALUE"""),"Lynnene Gillan Hick")</f>
        <v>Lynnene Gillan Hick</v>
      </c>
      <c r="I542" s="62"/>
      <c r="J542" s="19"/>
    </row>
    <row r="543">
      <c r="A543" s="19" t="str">
        <f>IFERROR(__xludf.DUMMYFUNCTION("""COMPUTED_VALUE"""),"Brett Mullen")</f>
        <v>Brett Mullen</v>
      </c>
      <c r="B543" s="19" t="str">
        <f>IFERROR(__xludf.DUMMYFUNCTION("""COMPUTED_VALUE"""),"NSW")</f>
        <v>NSW</v>
      </c>
      <c r="C543" s="5" t="str">
        <f>IFERROR(__xludf.DUMMYFUNCTION("""COMPUTED_VALUE"""),"Middle Ridge")</f>
        <v>Middle Ridge</v>
      </c>
      <c r="D543" s="5" t="str">
        <f>IFERROR(__xludf.DUMMYFUNCTION("""COMPUTED_VALUE"""),"21 Bridget Court Middle Ridge QLD 4350")</f>
        <v>21 Bridget Court Middle Ridge QLD 4350</v>
      </c>
      <c r="E543" s="25">
        <f>IFERROR(__xludf.DUMMYFUNCTION("""COMPUTED_VALUE"""),45934.0)</f>
        <v>45934</v>
      </c>
      <c r="F543" s="5">
        <f>IFERROR(__xludf.DUMMYFUNCTION("""COMPUTED_VALUE"""),8.0)</f>
        <v>8</v>
      </c>
      <c r="G543" s="19" t="str">
        <f>IFERROR(__xludf.DUMMYFUNCTION("""COMPUTED_VALUE"""),"Instant Forms")</f>
        <v>Instant Forms</v>
      </c>
      <c r="H543" s="19" t="str">
        <f>IFERROR(__xludf.DUMMYFUNCTION("""COMPUTED_VALUE"""),"Margaret Simon")</f>
        <v>Margaret Simon</v>
      </c>
      <c r="I543" s="62"/>
      <c r="J543" s="19"/>
    </row>
    <row r="544">
      <c r="A544" s="19" t="str">
        <f>IFERROR(__xludf.DUMMYFUNCTION("""COMPUTED_VALUE"""),"Brett Mullen")</f>
        <v>Brett Mullen</v>
      </c>
      <c r="B544" s="19" t="str">
        <f>IFERROR(__xludf.DUMMYFUNCTION("""COMPUTED_VALUE"""),"NSW")</f>
        <v>NSW</v>
      </c>
      <c r="C544" s="5" t="str">
        <f>IFERROR(__xludf.DUMMYFUNCTION("""COMPUTED_VALUE"""),"harlaxton")</f>
        <v>harlaxton</v>
      </c>
      <c r="D544" s="5" t="str">
        <f>IFERROR(__xludf.DUMMYFUNCTION("""COMPUTED_VALUE"""),"16 Wattle Street Harlaxton QLD 4350")</f>
        <v>16 Wattle Street Harlaxton QLD 4350</v>
      </c>
      <c r="E544" s="25">
        <f>IFERROR(__xludf.DUMMYFUNCTION("""COMPUTED_VALUE"""),45935.0)</f>
        <v>45935</v>
      </c>
      <c r="F544" s="5">
        <f>IFERROR(__xludf.DUMMYFUNCTION("""COMPUTED_VALUE"""),8.0)</f>
        <v>8</v>
      </c>
      <c r="G544" s="19" t="str">
        <f>IFERROR(__xludf.DUMMYFUNCTION("""COMPUTED_VALUE"""),"Instant Forms")</f>
        <v>Instant Forms</v>
      </c>
      <c r="H544" s="19" t="str">
        <f>IFERROR(__xludf.DUMMYFUNCTION("""COMPUTED_VALUE"""),"Chris Petersen")</f>
        <v>Chris Petersen</v>
      </c>
      <c r="I544" s="62"/>
      <c r="J544" s="19"/>
    </row>
    <row r="545">
      <c r="A545" s="19" t="str">
        <f>IFERROR(__xludf.DUMMYFUNCTION("""COMPUTED_VALUE"""),"Brett Mullen")</f>
        <v>Brett Mullen</v>
      </c>
      <c r="B545" s="19" t="str">
        <f>IFERROR(__xludf.DUMMYFUNCTION("""COMPUTED_VALUE"""),"NSW")</f>
        <v>NSW</v>
      </c>
      <c r="C545" s="5" t="str">
        <f>IFERROR(__xludf.DUMMYFUNCTION("""COMPUTED_VALUE"""),"Glenvale Toowoomba")</f>
        <v>Glenvale Toowoomba</v>
      </c>
      <c r="D545" s="5" t="str">
        <f>IFERROR(__xludf.DUMMYFUNCTION("""COMPUTED_VALUE"""),"3 Neiwand Street Kearneys Spring QLD 4350")</f>
        <v>3 Neiwand Street Kearneys Spring QLD 4350</v>
      </c>
      <c r="E545" s="25">
        <f>IFERROR(__xludf.DUMMYFUNCTION("""COMPUTED_VALUE"""),45936.0)</f>
        <v>45936</v>
      </c>
      <c r="F545" s="5">
        <f>IFERROR(__xludf.DUMMYFUNCTION("""COMPUTED_VALUE"""),6.0)</f>
        <v>6</v>
      </c>
      <c r="G545" s="19" t="str">
        <f>IFERROR(__xludf.DUMMYFUNCTION("""COMPUTED_VALUE"""),"Instant Forms")</f>
        <v>Instant Forms</v>
      </c>
      <c r="H545" s="19" t="str">
        <f>IFERROR(__xludf.DUMMYFUNCTION("""COMPUTED_VALUE"""),"Frank Moffatt")</f>
        <v>Frank Moffatt</v>
      </c>
      <c r="I545" s="62"/>
      <c r="J545" s="19"/>
    </row>
    <row r="546">
      <c r="A546" s="19" t="str">
        <f>IFERROR(__xludf.DUMMYFUNCTION("""COMPUTED_VALUE"""),"Brett Mullen")</f>
        <v>Brett Mullen</v>
      </c>
      <c r="B546" s="19" t="str">
        <f>IFERROR(__xludf.DUMMYFUNCTION("""COMPUTED_VALUE"""),"NSW")</f>
        <v>NSW</v>
      </c>
      <c r="C546" s="5" t="str">
        <f>IFERROR(__xludf.DUMMYFUNCTION("""COMPUTED_VALUE"""),"kearneys spring")</f>
        <v>kearneys spring</v>
      </c>
      <c r="D546" s="5" t="str">
        <f>IFERROR(__xludf.DUMMYFUNCTION("""COMPUTED_VALUE"""),"8 McQuade Court Kearneys Spring QLD 4350")</f>
        <v>8 McQuade Court Kearneys Spring QLD 4350</v>
      </c>
      <c r="E546" s="25">
        <f>IFERROR(__xludf.DUMMYFUNCTION("""COMPUTED_VALUE"""),45940.0)</f>
        <v>45940</v>
      </c>
      <c r="F546" s="5">
        <f>IFERROR(__xludf.DUMMYFUNCTION("""COMPUTED_VALUE"""),10.0)</f>
        <v>10</v>
      </c>
      <c r="G546" s="19" t="str">
        <f>IFERROR(__xludf.DUMMYFUNCTION("""COMPUTED_VALUE"""),"Instant Forms")</f>
        <v>Instant Forms</v>
      </c>
      <c r="H546" s="19"/>
      <c r="I546" s="62"/>
      <c r="J546" s="19"/>
    </row>
    <row r="547">
      <c r="A547" s="19" t="str">
        <f>IFERROR(__xludf.DUMMYFUNCTION("""COMPUTED_VALUE"""),"Brett Mullen")</f>
        <v>Brett Mullen</v>
      </c>
      <c r="B547" s="19" t="str">
        <f>IFERROR(__xludf.DUMMYFUNCTION("""COMPUTED_VALUE"""),"NSW")</f>
        <v>NSW</v>
      </c>
      <c r="C547" s="5" t="str">
        <f>IFERROR(__xludf.DUMMYFUNCTION("""COMPUTED_VALUE"""),"Mount Lofty")</f>
        <v>Mount Lofty</v>
      </c>
      <c r="D547" s="5" t="str">
        <f>IFERROR(__xludf.DUMMYFUNCTION("""COMPUTED_VALUE"""),"7 Brodie Street, Mount Lofty, QLD, 4350, Australia")</f>
        <v>7 Brodie Street, Mount Lofty, QLD, 4350, Australia</v>
      </c>
      <c r="E547" s="25">
        <f>IFERROR(__xludf.DUMMYFUNCTION("""COMPUTED_VALUE"""),45943.0)</f>
        <v>45943</v>
      </c>
      <c r="F547" s="5" t="str">
        <f>IFERROR(__xludf.DUMMYFUNCTION("""COMPUTED_VALUE"""),"Featured")</f>
        <v>Featured</v>
      </c>
      <c r="G547" s="19" t="str">
        <f>IFERROR(__xludf.DUMMYFUNCTION("""COMPUTED_VALUE"""),"Commission Comparison")</f>
        <v>Commission Comparison</v>
      </c>
      <c r="H547" s="19"/>
      <c r="I547" s="62"/>
      <c r="J547" s="19"/>
    </row>
    <row r="548">
      <c r="A548" s="19" t="str">
        <f>IFERROR(__xludf.DUMMYFUNCTION("""COMPUTED_VALUE"""),"Brett Mullen")</f>
        <v>Brett Mullen</v>
      </c>
      <c r="B548" s="19" t="str">
        <f>IFERROR(__xludf.DUMMYFUNCTION("""COMPUTED_VALUE"""),"NSW")</f>
        <v>NSW</v>
      </c>
      <c r="C548" s="5" t="str">
        <f>IFERROR(__xludf.DUMMYFUNCTION("""COMPUTED_VALUE"""),"Highfields")</f>
        <v>Highfields</v>
      </c>
      <c r="D548" s="5" t="str">
        <f>IFERROR(__xludf.DUMMYFUNCTION("""COMPUTED_VALUE"""),"47 Smythe Drive Highfields QLD 4352")</f>
        <v>47 Smythe Drive Highfields QLD 4352</v>
      </c>
      <c r="E548" s="25">
        <f>IFERROR(__xludf.DUMMYFUNCTION("""COMPUTED_VALUE"""),45943.0)</f>
        <v>45943</v>
      </c>
      <c r="F548" s="5">
        <f>IFERROR(__xludf.DUMMYFUNCTION("""COMPUTED_VALUE"""),8.0)</f>
        <v>8</v>
      </c>
      <c r="G548" s="19" t="str">
        <f>IFERROR(__xludf.DUMMYFUNCTION("""COMPUTED_VALUE"""),"Instant Forms")</f>
        <v>Instant Forms</v>
      </c>
      <c r="H548" s="19"/>
      <c r="I548" s="62"/>
      <c r="J548" s="19"/>
    </row>
    <row r="549">
      <c r="A549" s="19" t="str">
        <f>IFERROR(__xludf.DUMMYFUNCTION("""COMPUTED_VALUE"""),"Brett Mullen")</f>
        <v>Brett Mullen</v>
      </c>
      <c r="B549" s="19" t="str">
        <f>IFERROR(__xludf.DUMMYFUNCTION("""COMPUTED_VALUE"""),"NSW")</f>
        <v>NSW</v>
      </c>
      <c r="C549" s="5" t="str">
        <f>IFERROR(__xludf.DUMMYFUNCTION("""COMPUTED_VALUE"""),"Toowoomba")</f>
        <v>Toowoomba</v>
      </c>
      <c r="D549" s="5" t="str">
        <f>IFERROR(__xludf.DUMMYFUNCTION("""COMPUTED_VALUE"""),"9 Boulton Terrace Toowoomba City QLD 4350")</f>
        <v>9 Boulton Terrace Toowoomba City QLD 4350</v>
      </c>
      <c r="E549" s="25">
        <f>IFERROR(__xludf.DUMMYFUNCTION("""COMPUTED_VALUE"""),45945.0)</f>
        <v>45945</v>
      </c>
      <c r="F549" s="5">
        <f>IFERROR(__xludf.DUMMYFUNCTION("""COMPUTED_VALUE"""),8.0)</f>
        <v>8</v>
      </c>
      <c r="G549" s="19" t="str">
        <f>IFERROR(__xludf.DUMMYFUNCTION("""COMPUTED_VALUE"""),"Instant Forms")</f>
        <v>Instant Forms</v>
      </c>
      <c r="H549" s="19"/>
      <c r="I549" s="62"/>
      <c r="J549" s="19"/>
    </row>
    <row r="550">
      <c r="A550" s="19" t="str">
        <f>IFERROR(__xludf.DUMMYFUNCTION("""COMPUTED_VALUE"""),"Brett Mullen")</f>
        <v>Brett Mullen</v>
      </c>
      <c r="B550" s="19" t="str">
        <f>IFERROR(__xludf.DUMMYFUNCTION("""COMPUTED_VALUE"""),"NSW")</f>
        <v>NSW</v>
      </c>
      <c r="C550" s="5" t="str">
        <f>IFERROR(__xludf.DUMMYFUNCTION("""COMPUTED_VALUE"""),"Harlaxton")</f>
        <v>Harlaxton</v>
      </c>
      <c r="D550" s="5" t="str">
        <f>IFERROR(__xludf.DUMMYFUNCTION("""COMPUTED_VALUE"""),"6 Mooney St Harlaxton")</f>
        <v>6 Mooney St Harlaxton</v>
      </c>
      <c r="E550" s="25">
        <f>IFERROR(__xludf.DUMMYFUNCTION("""COMPUTED_VALUE"""),45946.0)</f>
        <v>45946</v>
      </c>
      <c r="F550" s="5" t="str">
        <f>IFERROR(__xludf.DUMMYFUNCTION("""COMPUTED_VALUE"""),"Featured")</f>
        <v>Featured</v>
      </c>
      <c r="G550" s="19" t="str">
        <f>IFERROR(__xludf.DUMMYFUNCTION("""COMPUTED_VALUE"""),"Commission Comparison")</f>
        <v>Commission Comparison</v>
      </c>
      <c r="H550" s="19"/>
      <c r="I550" s="62"/>
      <c r="J550" s="19"/>
    </row>
    <row r="551">
      <c r="A551" s="19" t="str">
        <f>IFERROR(__xludf.DUMMYFUNCTION("""COMPUTED_VALUE"""),"Brett Mullen")</f>
        <v>Brett Mullen</v>
      </c>
      <c r="B551" s="19" t="str">
        <f>IFERROR(__xludf.DUMMYFUNCTION("""COMPUTED_VALUE"""),"NSW")</f>
        <v>NSW</v>
      </c>
      <c r="C551" s="5" t="str">
        <f>IFERROR(__xludf.DUMMYFUNCTION("""COMPUTED_VALUE"""),"kearney soribg")</f>
        <v>kearney soribg</v>
      </c>
      <c r="D551" s="5" t="str">
        <f>IFERROR(__xludf.DUMMYFUNCTION("""COMPUTED_VALUE"""),"23 Hinchliffe Drive Kearneys Spring QLD 4350")</f>
        <v>23 Hinchliffe Drive Kearneys Spring QLD 4350</v>
      </c>
      <c r="E551" s="25">
        <f>IFERROR(__xludf.DUMMYFUNCTION("""COMPUTED_VALUE"""),45946.0)</f>
        <v>45946</v>
      </c>
      <c r="F551" s="5">
        <f>IFERROR(__xludf.DUMMYFUNCTION("""COMPUTED_VALUE"""),8.0)</f>
        <v>8</v>
      </c>
      <c r="G551" s="19" t="str">
        <f>IFERROR(__xludf.DUMMYFUNCTION("""COMPUTED_VALUE"""),"Instant Forms")</f>
        <v>Instant Forms</v>
      </c>
      <c r="H551" s="19"/>
      <c r="I551" s="62"/>
      <c r="J551" s="19"/>
    </row>
    <row r="552">
      <c r="A552" s="19" t="str">
        <f>IFERROR(__xludf.DUMMYFUNCTION("""COMPUTED_VALUE"""),"Brett Mullen")</f>
        <v>Brett Mullen</v>
      </c>
      <c r="B552" s="19" t="str">
        <f>IFERROR(__xludf.DUMMYFUNCTION("""COMPUTED_VALUE"""),"NSW")</f>
        <v>NSW</v>
      </c>
      <c r="C552" s="5" t="str">
        <f>IFERROR(__xludf.DUMMYFUNCTION("""COMPUTED_VALUE"""),"Westbrook")</f>
        <v>Westbrook</v>
      </c>
      <c r="D552" s="5" t="str">
        <f>IFERROR(__xludf.DUMMYFUNCTION("""COMPUTED_VALUE"""),"70 Ferguson Road Westbrook QLD 4350")</f>
        <v>70 Ferguson Road Westbrook QLD 4350</v>
      </c>
      <c r="E552" s="25">
        <f>IFERROR(__xludf.DUMMYFUNCTION("""COMPUTED_VALUE"""),45947.0)</f>
        <v>45947</v>
      </c>
      <c r="F552" s="5">
        <f>IFERROR(__xludf.DUMMYFUNCTION("""COMPUTED_VALUE"""),8.0)</f>
        <v>8</v>
      </c>
      <c r="G552" s="19" t="str">
        <f>IFERROR(__xludf.DUMMYFUNCTION("""COMPUTED_VALUE"""),"Instant Forms")</f>
        <v>Instant Forms</v>
      </c>
      <c r="H552" s="19"/>
      <c r="I552" s="62"/>
      <c r="J552" s="19"/>
    </row>
    <row r="553">
      <c r="A553" s="19" t="str">
        <f>IFERROR(__xludf.DUMMYFUNCTION("""COMPUTED_VALUE"""),"Brett Mullen")</f>
        <v>Brett Mullen</v>
      </c>
      <c r="B553" s="19" t="str">
        <f>IFERROR(__xludf.DUMMYFUNCTION("""COMPUTED_VALUE"""),"NSW")</f>
        <v>NSW</v>
      </c>
      <c r="C553" s="5" t="str">
        <f>IFERROR(__xludf.DUMMYFUNCTION("""COMPUTED_VALUE"""),"East Toowoomba")</f>
        <v>East Toowoomba</v>
      </c>
      <c r="D553" s="5" t="str">
        <f>IFERROR(__xludf.DUMMYFUNCTION("""COMPUTED_VALUE"""),"98 Campbell Street East Toowoomba QLD 4350")</f>
        <v>98 Campbell Street East Toowoomba QLD 4350</v>
      </c>
      <c r="E553" s="25">
        <f>IFERROR(__xludf.DUMMYFUNCTION("""COMPUTED_VALUE"""),45950.0)</f>
        <v>45950</v>
      </c>
      <c r="F553" s="5">
        <f>IFERROR(__xludf.DUMMYFUNCTION("""COMPUTED_VALUE"""),8.0)</f>
        <v>8</v>
      </c>
      <c r="G553" s="19" t="str">
        <f>IFERROR(__xludf.DUMMYFUNCTION("""COMPUTED_VALUE"""),"Instant Forms")</f>
        <v>Instant Forms</v>
      </c>
      <c r="H553" s="19"/>
      <c r="I553" s="62"/>
      <c r="J553" s="19"/>
    </row>
    <row r="554">
      <c r="A554" s="19" t="str">
        <f>IFERROR(__xludf.DUMMYFUNCTION("""COMPUTED_VALUE"""),"Brett Mullen")</f>
        <v>Brett Mullen</v>
      </c>
      <c r="B554" s="19" t="str">
        <f>IFERROR(__xludf.DUMMYFUNCTION("""COMPUTED_VALUE"""),"NSW")</f>
        <v>NSW</v>
      </c>
      <c r="C554" s="5" t="str">
        <f>IFERROR(__xludf.DUMMYFUNCTION("""COMPUTED_VALUE"""),"highfields")</f>
        <v>highfields</v>
      </c>
      <c r="D554" s="5" t="str">
        <f>IFERROR(__xludf.DUMMYFUNCTION("""COMPUTED_VALUE"""),"24/75 highgrove road")</f>
        <v>24/75 highgrove road</v>
      </c>
      <c r="E554" s="25">
        <f>IFERROR(__xludf.DUMMYFUNCTION("""COMPUTED_VALUE"""),45950.0)</f>
        <v>45950</v>
      </c>
      <c r="F554" s="5" t="str">
        <f>IFERROR(__xludf.DUMMYFUNCTION("""COMPUTED_VALUE"""),"Featured")</f>
        <v>Featured</v>
      </c>
      <c r="G554" s="19" t="str">
        <f>IFERROR(__xludf.DUMMYFUNCTION("""COMPUTED_VALUE"""),"Commission Comparison")</f>
        <v>Commission Comparison</v>
      </c>
      <c r="H554" s="19"/>
      <c r="I554" s="62"/>
      <c r="J554" s="19"/>
    </row>
    <row r="555">
      <c r="A555" s="19" t="str">
        <f>IFERROR(__xludf.DUMMYFUNCTION("""COMPUTED_VALUE"""),"Brett Mullen")</f>
        <v>Brett Mullen</v>
      </c>
      <c r="B555" s="19" t="str">
        <f>IFERROR(__xludf.DUMMYFUNCTION("""COMPUTED_VALUE"""),"NSW")</f>
        <v>NSW</v>
      </c>
      <c r="C555" s="5" t="str">
        <f>IFERROR(__xludf.DUMMYFUNCTION("""COMPUTED_VALUE"""),"Toowoomba")</f>
        <v>Toowoomba</v>
      </c>
      <c r="D555" s="5" t="str">
        <f>IFERROR(__xludf.DUMMYFUNCTION("""COMPUTED_VALUE"""),"25 Boundary Court Glenvale QLD 4350")</f>
        <v>25 Boundary Court Glenvale QLD 4350</v>
      </c>
      <c r="E555" s="25">
        <f>IFERROR(__xludf.DUMMYFUNCTION("""COMPUTED_VALUE"""),45951.0)</f>
        <v>45951</v>
      </c>
      <c r="F555" s="5">
        <f>IFERROR(__xludf.DUMMYFUNCTION("""COMPUTED_VALUE"""),8.0)</f>
        <v>8</v>
      </c>
      <c r="G555" s="19" t="str">
        <f>IFERROR(__xludf.DUMMYFUNCTION("""COMPUTED_VALUE"""),"Instant Forms")</f>
        <v>Instant Forms</v>
      </c>
      <c r="H555" s="19"/>
      <c r="I555" s="62"/>
      <c r="J555" s="19"/>
    </row>
    <row r="556">
      <c r="A556" s="19" t="str">
        <f>IFERROR(__xludf.DUMMYFUNCTION("""COMPUTED_VALUE"""),"Brett Mullen")</f>
        <v>Brett Mullen</v>
      </c>
      <c r="B556" s="19" t="str">
        <f>IFERROR(__xludf.DUMMYFUNCTION("""COMPUTED_VALUE"""),"NSW")</f>
        <v>NSW</v>
      </c>
      <c r="C556" s="5" t="str">
        <f>IFERROR(__xludf.DUMMYFUNCTION("""COMPUTED_VALUE"""),"Mount Lofty")</f>
        <v>Mount Lofty</v>
      </c>
      <c r="D556" s="5" t="str">
        <f>IFERROR(__xludf.DUMMYFUNCTION("""COMPUTED_VALUE"""),"25 Gore St, Mount Lofty, 4350")</f>
        <v>25 Gore St, Mount Lofty, 4350</v>
      </c>
      <c r="E556" s="25" t="str">
        <f>IFERROR(__xludf.DUMMYFUNCTION("""COMPUTED_VALUE"""),"23/10/2025")</f>
        <v>23/10/2025</v>
      </c>
      <c r="F556" s="5" t="str">
        <f>IFERROR(__xludf.DUMMYFUNCTION("""COMPUTED_VALUE"""),"Featured")</f>
        <v>Featured</v>
      </c>
      <c r="G556" s="19" t="str">
        <f>IFERROR(__xludf.DUMMYFUNCTION("""COMPUTED_VALUE"""),"Meta Commission Report")</f>
        <v>Meta Commission Report</v>
      </c>
      <c r="H556" s="19" t="str">
        <f>IFERROR(__xludf.DUMMYFUNCTION("""COMPUTED_VALUE"""),"Russell Rudd")</f>
        <v>Russell Rudd</v>
      </c>
      <c r="I556" s="62"/>
      <c r="J556" s="19"/>
    </row>
    <row r="557">
      <c r="A557" s="19" t="str">
        <f>IFERROR(__xludf.DUMMYFUNCTION("""COMPUTED_VALUE"""),"Brett Mullen")</f>
        <v>Brett Mullen</v>
      </c>
      <c r="B557" s="19" t="str">
        <f>IFERROR(__xludf.DUMMYFUNCTION("""COMPUTED_VALUE"""),"NSW")</f>
        <v>NSW</v>
      </c>
      <c r="C557" s="5" t="str">
        <f>IFERROR(__xludf.DUMMYFUNCTION("""COMPUTED_VALUE"""),"South Toowoomba")</f>
        <v>South Toowoomba</v>
      </c>
      <c r="D557" s="5" t="str">
        <f>IFERROR(__xludf.DUMMYFUNCTION("""COMPUTED_VALUE"""),"4 Louisa Street South Toowoomba QLD 4350")</f>
        <v>4 Louisa Street South Toowoomba QLD 4350</v>
      </c>
      <c r="E557" s="25">
        <f>IFERROR(__xludf.DUMMYFUNCTION("""COMPUTED_VALUE"""),45953.0)</f>
        <v>45953</v>
      </c>
      <c r="F557" s="5">
        <f>IFERROR(__xludf.DUMMYFUNCTION("""COMPUTED_VALUE"""),8.0)</f>
        <v>8</v>
      </c>
      <c r="G557" s="19" t="str">
        <f>IFERROR(__xludf.DUMMYFUNCTION("""COMPUTED_VALUE"""),"Instant Forms")</f>
        <v>Instant Forms</v>
      </c>
      <c r="H557" s="19"/>
      <c r="I557" s="62"/>
      <c r="J557" s="19"/>
    </row>
    <row r="558">
      <c r="A558" s="19" t="str">
        <f>IFERROR(__xludf.DUMMYFUNCTION("""COMPUTED_VALUE"""),"Brett Mullen")</f>
        <v>Brett Mullen</v>
      </c>
      <c r="B558" s="19" t="str">
        <f>IFERROR(__xludf.DUMMYFUNCTION("""COMPUTED_VALUE"""),"NSW")</f>
        <v>NSW</v>
      </c>
      <c r="C558" s="5" t="str">
        <f>IFERROR(__xludf.DUMMYFUNCTION("""COMPUTED_VALUE"""),"Wilsonton Heights")</f>
        <v>Wilsonton Heights</v>
      </c>
      <c r="D558" s="5" t="str">
        <f>IFERROR(__xludf.DUMMYFUNCTION("""COMPUTED_VALUE"""),"1 Duncan Street Wilsonton Heights QLD 4350")</f>
        <v>1 Duncan Street Wilsonton Heights QLD 4350</v>
      </c>
      <c r="E558" s="25">
        <f>IFERROR(__xludf.DUMMYFUNCTION("""COMPUTED_VALUE"""),45955.0)</f>
        <v>45955</v>
      </c>
      <c r="F558" s="5" t="str">
        <f>IFERROR(__xludf.DUMMYFUNCTION("""COMPUTED_VALUE"""),"Featured")</f>
        <v>Featured</v>
      </c>
      <c r="G558" s="19" t="str">
        <f>IFERROR(__xludf.DUMMYFUNCTION("""COMPUTED_VALUE"""),"Commission Comparison")</f>
        <v>Commission Comparison</v>
      </c>
      <c r="H558" s="19"/>
      <c r="I558" s="62"/>
      <c r="J558" s="19"/>
    </row>
    <row r="559">
      <c r="A559" s="19" t="str">
        <f>IFERROR(__xludf.DUMMYFUNCTION("""COMPUTED_VALUE"""),"Brett Mullen")</f>
        <v>Brett Mullen</v>
      </c>
      <c r="B559" s="19" t="str">
        <f>IFERROR(__xludf.DUMMYFUNCTION("""COMPUTED_VALUE"""),"NSW")</f>
        <v>NSW</v>
      </c>
      <c r="C559" s="5">
        <f>IFERROR(__xludf.DUMMYFUNCTION("""COMPUTED_VALUE"""),4350.0)</f>
        <v>4350</v>
      </c>
      <c r="D559" s="5" t="str">
        <f>IFERROR(__xludf.DUMMYFUNCTION("""COMPUTED_VALUE"""),"2/68 Cortess Street Harristown QLD 4350")</f>
        <v>2/68 Cortess Street Harristown QLD 4350</v>
      </c>
      <c r="E559" s="25">
        <f>IFERROR(__xludf.DUMMYFUNCTION("""COMPUTED_VALUE"""),45955.0)</f>
        <v>45955</v>
      </c>
      <c r="F559" s="5">
        <f>IFERROR(__xludf.DUMMYFUNCTION("""COMPUTED_VALUE"""),8.0)</f>
        <v>8</v>
      </c>
      <c r="G559" s="19" t="str">
        <f>IFERROR(__xludf.DUMMYFUNCTION("""COMPUTED_VALUE"""),"Instant Forms")</f>
        <v>Instant Forms</v>
      </c>
      <c r="H559" s="19"/>
      <c r="I559" s="62"/>
      <c r="J559" s="19"/>
    </row>
    <row r="560">
      <c r="A560" s="19" t="str">
        <f>IFERROR(__xludf.DUMMYFUNCTION("""COMPUTED_VALUE"""),"Brett Mullen")</f>
        <v>Brett Mullen</v>
      </c>
      <c r="B560" s="19" t="str">
        <f>IFERROR(__xludf.DUMMYFUNCTION("""COMPUTED_VALUE"""),"NSW")</f>
        <v>NSW</v>
      </c>
      <c r="C560" s="5" t="str">
        <f>IFERROR(__xludf.DUMMYFUNCTION("""COMPUTED_VALUE"""),"Highfields")</f>
        <v>Highfields</v>
      </c>
      <c r="D560" s="5" t="str">
        <f>IFERROR(__xludf.DUMMYFUNCTION("""COMPUTED_VALUE"""),"5 Kingfisher Drive")</f>
        <v>5 Kingfisher Drive</v>
      </c>
      <c r="E560" s="25">
        <f>IFERROR(__xludf.DUMMYFUNCTION("""COMPUTED_VALUE"""),45956.0)</f>
        <v>45956</v>
      </c>
      <c r="F560" s="5" t="str">
        <f>IFERROR(__xludf.DUMMYFUNCTION("""COMPUTED_VALUE"""),"Featured")</f>
        <v>Featured</v>
      </c>
      <c r="G560" s="19" t="str">
        <f>IFERROR(__xludf.DUMMYFUNCTION("""COMPUTED_VALUE"""),"Commission Comparison")</f>
        <v>Commission Comparison</v>
      </c>
      <c r="H560" s="19"/>
      <c r="I560" s="62"/>
      <c r="J560" s="19"/>
    </row>
    <row r="561">
      <c r="A561" s="19" t="str">
        <f>IFERROR(__xludf.DUMMYFUNCTION("""COMPUTED_VALUE"""),"Brett Mullen")</f>
        <v>Brett Mullen</v>
      </c>
      <c r="B561" s="19" t="str">
        <f>IFERROR(__xludf.DUMMYFUNCTION("""COMPUTED_VALUE"""),"NSW")</f>
        <v>NSW</v>
      </c>
      <c r="C561" s="5" t="str">
        <f>IFERROR(__xludf.DUMMYFUNCTION("""COMPUTED_VALUE"""),"Top Camp")</f>
        <v>Top Camp</v>
      </c>
      <c r="D561" s="5" t="str">
        <f>IFERROR(__xludf.DUMMYFUNCTION("""COMPUTED_VALUE"""),"8 Schmidt Court Top Camp QLD 4350")</f>
        <v>8 Schmidt Court Top Camp QLD 4350</v>
      </c>
      <c r="E561" s="25">
        <f>IFERROR(__xludf.DUMMYFUNCTION("""COMPUTED_VALUE"""),45957.0)</f>
        <v>45957</v>
      </c>
      <c r="F561" s="5">
        <f>IFERROR(__xludf.DUMMYFUNCTION("""COMPUTED_VALUE"""),6.0)</f>
        <v>6</v>
      </c>
      <c r="G561" s="19" t="str">
        <f>IFERROR(__xludf.DUMMYFUNCTION("""COMPUTED_VALUE"""),"Instant Forms")</f>
        <v>Instant Forms</v>
      </c>
      <c r="H561" s="19"/>
      <c r="I561" s="62"/>
      <c r="J561" s="19"/>
    </row>
    <row r="562">
      <c r="A562" s="19" t="str">
        <f>IFERROR(__xludf.DUMMYFUNCTION("""COMPUTED_VALUE"""),"Brett Mullen")</f>
        <v>Brett Mullen</v>
      </c>
      <c r="B562" s="19" t="str">
        <f>IFERROR(__xludf.DUMMYFUNCTION("""COMPUTED_VALUE"""),"NSW")</f>
        <v>NSW</v>
      </c>
      <c r="C562" s="5" t="str">
        <f>IFERROR(__xludf.DUMMYFUNCTION("""COMPUTED_VALUE"""),"Middle Ridge")</f>
        <v>Middle Ridge</v>
      </c>
      <c r="D562" s="5"/>
      <c r="E562" s="25">
        <f>IFERROR(__xludf.DUMMYFUNCTION("""COMPUTED_VALUE"""),45961.0)</f>
        <v>45961</v>
      </c>
      <c r="F562" s="5">
        <f>IFERROR(__xludf.DUMMYFUNCTION("""COMPUTED_VALUE"""),5.0)</f>
        <v>5</v>
      </c>
      <c r="G562" s="19" t="str">
        <f>IFERROR(__xludf.DUMMYFUNCTION("""COMPUTED_VALUE"""),"Instant Forms")</f>
        <v>Instant Forms</v>
      </c>
      <c r="H562" s="19"/>
      <c r="I562" s="62"/>
      <c r="J562" s="19"/>
    </row>
    <row r="563">
      <c r="A563" s="19" t="str">
        <f>IFERROR(__xludf.DUMMYFUNCTION("""COMPUTED_VALUE"""),"Brett Mullen")</f>
        <v>Brett Mullen</v>
      </c>
      <c r="B563" s="19" t="str">
        <f>IFERROR(__xludf.DUMMYFUNCTION("""COMPUTED_VALUE"""),"NSW")</f>
        <v>NSW</v>
      </c>
      <c r="C563" s="5" t="str">
        <f>IFERROR(__xludf.DUMMYFUNCTION("""COMPUTED_VALUE"""),"Mount Lofty")</f>
        <v>Mount Lofty</v>
      </c>
      <c r="D563" s="5" t="str">
        <f>IFERROR(__xludf.DUMMYFUNCTION("""COMPUTED_VALUE"""),"7 Owen Street Mount Lofty QLD 4350")</f>
        <v>7 Owen Street Mount Lofty QLD 4350</v>
      </c>
      <c r="E563" s="25">
        <f>IFERROR(__xludf.DUMMYFUNCTION("""COMPUTED_VALUE"""),45963.0)</f>
        <v>45963</v>
      </c>
      <c r="F563" s="5">
        <f>IFERROR(__xludf.DUMMYFUNCTION("""COMPUTED_VALUE"""),6.0)</f>
        <v>6</v>
      </c>
      <c r="G563" s="19" t="str">
        <f>IFERROR(__xludf.DUMMYFUNCTION("""COMPUTED_VALUE"""),"Instant Forms")</f>
        <v>Instant Forms</v>
      </c>
      <c r="H563" s="19"/>
      <c r="I563" s="62"/>
      <c r="J563" s="19"/>
    </row>
    <row r="564">
      <c r="A564" s="19" t="str">
        <f>IFERROR(__xludf.DUMMYFUNCTION("""COMPUTED_VALUE"""),"Brett Mullen")</f>
        <v>Brett Mullen</v>
      </c>
      <c r="B564" s="19" t="str">
        <f>IFERROR(__xludf.DUMMYFUNCTION("""COMPUTED_VALUE"""),"NSW")</f>
        <v>NSW</v>
      </c>
      <c r="C564" s="5" t="str">
        <f>IFERROR(__xludf.DUMMYFUNCTION("""COMPUTED_VALUE"""),"Middle Ridge")</f>
        <v>Middle Ridge</v>
      </c>
      <c r="D564" s="5" t="str">
        <f>IFERROR(__xludf.DUMMYFUNCTION("""COMPUTED_VALUE"""),"10 Jakirralee Court Middle Ridge QLD 4350")</f>
        <v>10 Jakirralee Court Middle Ridge QLD 4350</v>
      </c>
      <c r="E564" s="25">
        <f>IFERROR(__xludf.DUMMYFUNCTION("""COMPUTED_VALUE"""),45977.0)</f>
        <v>45977</v>
      </c>
      <c r="F564" s="5">
        <f>IFERROR(__xludf.DUMMYFUNCTION("""COMPUTED_VALUE"""),8.0)</f>
        <v>8</v>
      </c>
      <c r="G564" s="19" t="str">
        <f>IFERROR(__xludf.DUMMYFUNCTION("""COMPUTED_VALUE"""),"Instant Forms")</f>
        <v>Instant Forms</v>
      </c>
      <c r="H564" s="19" t="str">
        <f>IFERROR(__xludf.DUMMYFUNCTION("""COMPUTED_VALUE"""),"Norm Garsden")</f>
        <v>Norm Garsden</v>
      </c>
      <c r="I564" s="62">
        <f>IFERROR(__xludf.DUMMYFUNCTION("""COMPUTED_VALUE"""),6.1418752959E10)</f>
        <v>61418752959</v>
      </c>
      <c r="J564" s="19" t="str">
        <f>IFERROR(__xludf.DUMMYFUNCTION("""COMPUTED_VALUE"""),"Nedsrag@live.com")</f>
        <v>Nedsrag@live.com</v>
      </c>
    </row>
    <row r="565">
      <c r="A565" s="19" t="str">
        <f>IFERROR(__xludf.DUMMYFUNCTION("""COMPUTED_VALUE"""),"")</f>
        <v/>
      </c>
      <c r="B565" s="19" t="str">
        <f>IFERROR(__xludf.DUMMYFUNCTION("""COMPUTED_VALUE"""),"")</f>
        <v/>
      </c>
      <c r="C565" s="5" t="str">
        <f>IFERROR(__xludf.DUMMYFUNCTION("""COMPUTED_VALUE"""),"")</f>
        <v/>
      </c>
      <c r="D565" s="5" t="str">
        <f>IFERROR(__xludf.DUMMYFUNCTION("""COMPUTED_VALUE"""),"")</f>
        <v/>
      </c>
      <c r="E565" s="5" t="str">
        <f>IFERROR(__xludf.DUMMYFUNCTION("""COMPUTED_VALUE"""),"")</f>
        <v/>
      </c>
      <c r="F565" s="5" t="str">
        <f>IFERROR(__xludf.DUMMYFUNCTION("""COMPUTED_VALUE"""),"")</f>
        <v/>
      </c>
      <c r="G565" s="19" t="str">
        <f>IFERROR(__xludf.DUMMYFUNCTION("""COMPUTED_VALUE"""),"")</f>
        <v/>
      </c>
      <c r="H565" s="19" t="str">
        <f>IFERROR(__xludf.DUMMYFUNCTION("""COMPUTED_VALUE"""),"")</f>
        <v/>
      </c>
      <c r="I565" s="62" t="str">
        <f>IFERROR(__xludf.DUMMYFUNCTION("""COMPUTED_VALUE"""),"")</f>
        <v/>
      </c>
      <c r="J565" s="19" t="str">
        <f>IFERROR(__xludf.DUMMYFUNCTION("""COMPUTED_VALUE"""),"")</f>
        <v/>
      </c>
    </row>
    <row r="566">
      <c r="A566" s="19" t="str">
        <f>IFERROR(__xludf.DUMMYFUNCTION("""COMPUTED_VALUE"""),"")</f>
        <v/>
      </c>
      <c r="B566" s="19" t="str">
        <f>IFERROR(__xludf.DUMMYFUNCTION("""COMPUTED_VALUE"""),"")</f>
        <v/>
      </c>
      <c r="C566" s="5" t="str">
        <f>IFERROR(__xludf.DUMMYFUNCTION("""COMPUTED_VALUE"""),"")</f>
        <v/>
      </c>
      <c r="D566" s="5" t="str">
        <f>IFERROR(__xludf.DUMMYFUNCTION("""COMPUTED_VALUE"""),"")</f>
        <v/>
      </c>
      <c r="E566" s="5" t="str">
        <f>IFERROR(__xludf.DUMMYFUNCTION("""COMPUTED_VALUE"""),"")</f>
        <v/>
      </c>
      <c r="F566" s="5" t="str">
        <f>IFERROR(__xludf.DUMMYFUNCTION("""COMPUTED_VALUE"""),"")</f>
        <v/>
      </c>
      <c r="G566" s="19" t="str">
        <f>IFERROR(__xludf.DUMMYFUNCTION("""COMPUTED_VALUE"""),"")</f>
        <v/>
      </c>
      <c r="H566" s="19" t="str">
        <f>IFERROR(__xludf.DUMMYFUNCTION("""COMPUTED_VALUE"""),"")</f>
        <v/>
      </c>
      <c r="I566" s="62" t="str">
        <f>IFERROR(__xludf.DUMMYFUNCTION("""COMPUTED_VALUE"""),"")</f>
        <v/>
      </c>
      <c r="J566" s="19" t="str">
        <f>IFERROR(__xludf.DUMMYFUNCTION("""COMPUTED_VALUE"""),"")</f>
        <v/>
      </c>
    </row>
    <row r="567">
      <c r="A567" s="19" t="str">
        <f>IFERROR(__xludf.DUMMYFUNCTION("""COMPUTED_VALUE"""),"Buri Son")</f>
        <v>Buri Son</v>
      </c>
      <c r="B567" s="19" t="str">
        <f>IFERROR(__xludf.DUMMYFUNCTION("""COMPUTED_VALUE"""),"SA")</f>
        <v>SA</v>
      </c>
      <c r="C567" s="5" t="str">
        <f>IFERROR(__xludf.DUMMYFUNCTION("""COMPUTED_VALUE"""),"Craigmore")</f>
        <v>Craigmore</v>
      </c>
      <c r="D567" s="5" t="str">
        <f>IFERROR(__xludf.DUMMYFUNCTION("""COMPUTED_VALUE"""),"31 Gunnawarra Crescent")</f>
        <v>31 Gunnawarra Crescent</v>
      </c>
      <c r="E567" s="63"/>
      <c r="F567" s="5" t="str">
        <f>IFERROR(__xludf.DUMMYFUNCTION("""COMPUTED_VALUE"""),"Featured")</f>
        <v>Featured</v>
      </c>
      <c r="G567" s="19" t="str">
        <f>IFERROR(__xludf.DUMMYFUNCTION("""COMPUTED_VALUE"""),"Commission Comparison")</f>
        <v>Commission Comparison</v>
      </c>
      <c r="H567" s="19"/>
      <c r="I567" s="62"/>
      <c r="J567" s="19"/>
    </row>
    <row r="568">
      <c r="A568" s="19" t="str">
        <f>IFERROR(__xludf.DUMMYFUNCTION("""COMPUTED_VALUE"""),"")</f>
        <v/>
      </c>
      <c r="B568" s="19" t="str">
        <f>IFERROR(__xludf.DUMMYFUNCTION("""COMPUTED_VALUE"""),"")</f>
        <v/>
      </c>
      <c r="C568" s="5" t="str">
        <f>IFERROR(__xludf.DUMMYFUNCTION("""COMPUTED_VALUE"""),"")</f>
        <v/>
      </c>
      <c r="D568" s="5" t="str">
        <f>IFERROR(__xludf.DUMMYFUNCTION("""COMPUTED_VALUE"""),"")</f>
        <v/>
      </c>
      <c r="E568" s="5" t="str">
        <f>IFERROR(__xludf.DUMMYFUNCTION("""COMPUTED_VALUE"""),"")</f>
        <v/>
      </c>
      <c r="F568" s="5" t="str">
        <f>IFERROR(__xludf.DUMMYFUNCTION("""COMPUTED_VALUE"""),"")</f>
        <v/>
      </c>
      <c r="G568" s="19" t="str">
        <f>IFERROR(__xludf.DUMMYFUNCTION("""COMPUTED_VALUE"""),"")</f>
        <v/>
      </c>
      <c r="H568" s="19" t="str">
        <f>IFERROR(__xludf.DUMMYFUNCTION("""COMPUTED_VALUE"""),"")</f>
        <v/>
      </c>
      <c r="I568" s="62" t="str">
        <f>IFERROR(__xludf.DUMMYFUNCTION("""COMPUTED_VALUE"""),"")</f>
        <v/>
      </c>
      <c r="J568" s="19" t="str">
        <f>IFERROR(__xludf.DUMMYFUNCTION("""COMPUTED_VALUE"""),"")</f>
        <v/>
      </c>
    </row>
    <row r="569">
      <c r="A569" s="19" t="str">
        <f>IFERROR(__xludf.DUMMYFUNCTION("""COMPUTED_VALUE"""),"")</f>
        <v/>
      </c>
      <c r="B569" s="19" t="str">
        <f>IFERROR(__xludf.DUMMYFUNCTION("""COMPUTED_VALUE"""),"")</f>
        <v/>
      </c>
      <c r="C569" s="5" t="str">
        <f>IFERROR(__xludf.DUMMYFUNCTION("""COMPUTED_VALUE"""),"")</f>
        <v/>
      </c>
      <c r="D569" s="5" t="str">
        <f>IFERROR(__xludf.DUMMYFUNCTION("""COMPUTED_VALUE"""),"")</f>
        <v/>
      </c>
      <c r="E569" s="5" t="str">
        <f>IFERROR(__xludf.DUMMYFUNCTION("""COMPUTED_VALUE"""),"")</f>
        <v/>
      </c>
      <c r="F569" s="5" t="str">
        <f>IFERROR(__xludf.DUMMYFUNCTION("""COMPUTED_VALUE"""),"")</f>
        <v/>
      </c>
      <c r="G569" s="19" t="str">
        <f>IFERROR(__xludf.DUMMYFUNCTION("""COMPUTED_VALUE"""),"")</f>
        <v/>
      </c>
      <c r="H569" s="19" t="str">
        <f>IFERROR(__xludf.DUMMYFUNCTION("""COMPUTED_VALUE"""),"")</f>
        <v/>
      </c>
      <c r="I569" s="62" t="str">
        <f>IFERROR(__xludf.DUMMYFUNCTION("""COMPUTED_VALUE"""),"")</f>
        <v/>
      </c>
      <c r="J569" s="19" t="str">
        <f>IFERROR(__xludf.DUMMYFUNCTION("""COMPUTED_VALUE"""),"")</f>
        <v/>
      </c>
    </row>
    <row r="570">
      <c r="A570" s="19" t="str">
        <f>IFERROR(__xludf.DUMMYFUNCTION("""COMPUTED_VALUE"""),"Cameron Macdonald")</f>
        <v>Cameron Macdonald</v>
      </c>
      <c r="B570" s="19" t="str">
        <f>IFERROR(__xludf.DUMMYFUNCTION("""COMPUTED_VALUE"""),"NSW")</f>
        <v>NSW</v>
      </c>
      <c r="C570" s="5" t="str">
        <f>IFERROR(__xludf.DUMMYFUNCTION("""COMPUTED_VALUE"""),"Avalon")</f>
        <v>Avalon</v>
      </c>
      <c r="D570" s="5"/>
      <c r="E570" s="25">
        <f>IFERROR(__xludf.DUMMYFUNCTION("""COMPUTED_VALUE"""),45905.0)</f>
        <v>45905</v>
      </c>
      <c r="F570" s="5" t="str">
        <f>IFERROR(__xludf.DUMMYFUNCTION("""COMPUTED_VALUE"""),"Featured")</f>
        <v>Featured</v>
      </c>
      <c r="G570" s="19" t="str">
        <f>IFERROR(__xludf.DUMMYFUNCTION("""COMPUTED_VALUE"""),"Instant Forms")</f>
        <v>Instant Forms</v>
      </c>
      <c r="H570" s="19"/>
      <c r="I570" s="62"/>
      <c r="J570" s="19"/>
    </row>
    <row r="571">
      <c r="A571" s="19" t="str">
        <f>IFERROR(__xludf.DUMMYFUNCTION("""COMPUTED_VALUE"""),"")</f>
        <v/>
      </c>
      <c r="B571" s="19" t="str">
        <f>IFERROR(__xludf.DUMMYFUNCTION("""COMPUTED_VALUE"""),"")</f>
        <v/>
      </c>
      <c r="C571" s="5" t="str">
        <f>IFERROR(__xludf.DUMMYFUNCTION("""COMPUTED_VALUE"""),"")</f>
        <v/>
      </c>
      <c r="D571" s="5" t="str">
        <f>IFERROR(__xludf.DUMMYFUNCTION("""COMPUTED_VALUE"""),"")</f>
        <v/>
      </c>
      <c r="E571" s="5" t="str">
        <f>IFERROR(__xludf.DUMMYFUNCTION("""COMPUTED_VALUE"""),"")</f>
        <v/>
      </c>
      <c r="F571" s="5" t="str">
        <f>IFERROR(__xludf.DUMMYFUNCTION("""COMPUTED_VALUE"""),"")</f>
        <v/>
      </c>
      <c r="G571" s="19" t="str">
        <f>IFERROR(__xludf.DUMMYFUNCTION("""COMPUTED_VALUE"""),"")</f>
        <v/>
      </c>
      <c r="H571" s="19" t="str">
        <f>IFERROR(__xludf.DUMMYFUNCTION("""COMPUTED_VALUE"""),"")</f>
        <v/>
      </c>
      <c r="I571" s="62" t="str">
        <f>IFERROR(__xludf.DUMMYFUNCTION("""COMPUTED_VALUE"""),"")</f>
        <v/>
      </c>
      <c r="J571" s="19" t="str">
        <f>IFERROR(__xludf.DUMMYFUNCTION("""COMPUTED_VALUE"""),"")</f>
        <v/>
      </c>
    </row>
    <row r="572">
      <c r="A572" s="19" t="str">
        <f>IFERROR(__xludf.DUMMYFUNCTION("""COMPUTED_VALUE"""),"")</f>
        <v/>
      </c>
      <c r="B572" s="19" t="str">
        <f>IFERROR(__xludf.DUMMYFUNCTION("""COMPUTED_VALUE"""),"")</f>
        <v/>
      </c>
      <c r="C572" s="5" t="str">
        <f>IFERROR(__xludf.DUMMYFUNCTION("""COMPUTED_VALUE"""),"")</f>
        <v/>
      </c>
      <c r="D572" s="5" t="str">
        <f>IFERROR(__xludf.DUMMYFUNCTION("""COMPUTED_VALUE"""),"")</f>
        <v/>
      </c>
      <c r="E572" s="5" t="str">
        <f>IFERROR(__xludf.DUMMYFUNCTION("""COMPUTED_VALUE"""),"")</f>
        <v/>
      </c>
      <c r="F572" s="5" t="str">
        <f>IFERROR(__xludf.DUMMYFUNCTION("""COMPUTED_VALUE"""),"")</f>
        <v/>
      </c>
      <c r="G572" s="19" t="str">
        <f>IFERROR(__xludf.DUMMYFUNCTION("""COMPUTED_VALUE"""),"")</f>
        <v/>
      </c>
      <c r="H572" s="19" t="str">
        <f>IFERROR(__xludf.DUMMYFUNCTION("""COMPUTED_VALUE"""),"")</f>
        <v/>
      </c>
      <c r="I572" s="62" t="str">
        <f>IFERROR(__xludf.DUMMYFUNCTION("""COMPUTED_VALUE"""),"")</f>
        <v/>
      </c>
      <c r="J572" s="19" t="str">
        <f>IFERROR(__xludf.DUMMYFUNCTION("""COMPUTED_VALUE"""),"")</f>
        <v/>
      </c>
    </row>
    <row r="573">
      <c r="A573" s="19" t="str">
        <f>IFERROR(__xludf.DUMMYFUNCTION("""COMPUTED_VALUE"""),"Charlie Bellow")</f>
        <v>Charlie Bellow</v>
      </c>
      <c r="B573" s="19" t="str">
        <f>IFERROR(__xludf.DUMMYFUNCTION("""COMPUTED_VALUE"""),"WA")</f>
        <v>WA</v>
      </c>
      <c r="C573" s="5" t="str">
        <f>IFERROR(__xludf.DUMMYFUNCTION("""COMPUTED_VALUE"""),"Morley")</f>
        <v>Morley</v>
      </c>
      <c r="D573" s="5"/>
      <c r="E573" s="25">
        <f>IFERROR(__xludf.DUMMYFUNCTION("""COMPUTED_VALUE"""),45919.0)</f>
        <v>45919</v>
      </c>
      <c r="F573" s="5">
        <f>IFERROR(__xludf.DUMMYFUNCTION("""COMPUTED_VALUE"""),5.0)</f>
        <v>5</v>
      </c>
      <c r="G573" s="19" t="str">
        <f>IFERROR(__xludf.DUMMYFUNCTION("""COMPUTED_VALUE"""),"Instant Forms")</f>
        <v>Instant Forms</v>
      </c>
      <c r="H573" s="19" t="str">
        <f>IFERROR(__xludf.DUMMYFUNCTION("""COMPUTED_VALUE"""),"Veronica Sutcliffe")</f>
        <v>Veronica Sutcliffe</v>
      </c>
      <c r="I573" s="62"/>
      <c r="J573" s="19"/>
    </row>
    <row r="574">
      <c r="A574" s="19" t="str">
        <f>IFERROR(__xludf.DUMMYFUNCTION("""COMPUTED_VALUE"""),"Charlie Bellow")</f>
        <v>Charlie Bellow</v>
      </c>
      <c r="B574" s="19" t="str">
        <f>IFERROR(__xludf.DUMMYFUNCTION("""COMPUTED_VALUE"""),"WA")</f>
        <v>WA</v>
      </c>
      <c r="C574" s="5" t="str">
        <f>IFERROR(__xludf.DUMMYFUNCTION("""COMPUTED_VALUE"""),"Thornlie")</f>
        <v>Thornlie</v>
      </c>
      <c r="D574" s="5" t="str">
        <f>IFERROR(__xludf.DUMMYFUNCTION("""COMPUTED_VALUE"""),"13 Osprey Way Thornlie WA 6108")</f>
        <v>13 Osprey Way Thornlie WA 6108</v>
      </c>
      <c r="E574" s="25">
        <f>IFERROR(__xludf.DUMMYFUNCTION("""COMPUTED_VALUE"""),45920.0)</f>
        <v>45920</v>
      </c>
      <c r="F574" s="5">
        <f>IFERROR(__xludf.DUMMYFUNCTION("""COMPUTED_VALUE"""),8.0)</f>
        <v>8</v>
      </c>
      <c r="G574" s="19" t="str">
        <f>IFERROR(__xludf.DUMMYFUNCTION("""COMPUTED_VALUE"""),"Instant Forms")</f>
        <v>Instant Forms</v>
      </c>
      <c r="H574" s="19" t="str">
        <f>IFERROR(__xludf.DUMMYFUNCTION("""COMPUTED_VALUE"""),"Carina Mangini")</f>
        <v>Carina Mangini</v>
      </c>
      <c r="I574" s="62"/>
      <c r="J574" s="19"/>
    </row>
    <row r="575">
      <c r="A575" s="19" t="str">
        <f>IFERROR(__xludf.DUMMYFUNCTION("""COMPUTED_VALUE"""),"Charlie Bellow")</f>
        <v>Charlie Bellow</v>
      </c>
      <c r="B575" s="19" t="str">
        <f>IFERROR(__xludf.DUMMYFUNCTION("""COMPUTED_VALUE"""),"WA")</f>
        <v>WA</v>
      </c>
      <c r="C575" s="5" t="str">
        <f>IFERROR(__xludf.DUMMYFUNCTION("""COMPUTED_VALUE"""),"Mount Pleasant")</f>
        <v>Mount Pleasant</v>
      </c>
      <c r="D575" s="5" t="str">
        <f>IFERROR(__xludf.DUMMYFUNCTION("""COMPUTED_VALUE"""),"55A St Michael Terrace Mount Pleasant WA 6153")</f>
        <v>55A St Michael Terrace Mount Pleasant WA 6153</v>
      </c>
      <c r="E575" s="25">
        <f>IFERROR(__xludf.DUMMYFUNCTION("""COMPUTED_VALUE"""),45920.0)</f>
        <v>45920</v>
      </c>
      <c r="F575" s="5">
        <f>IFERROR(__xludf.DUMMYFUNCTION("""COMPUTED_VALUE"""),6.0)</f>
        <v>6</v>
      </c>
      <c r="G575" s="19" t="str">
        <f>IFERROR(__xludf.DUMMYFUNCTION("""COMPUTED_VALUE"""),"Instant Forms")</f>
        <v>Instant Forms</v>
      </c>
      <c r="H575" s="19" t="str">
        <f>IFERROR(__xludf.DUMMYFUNCTION("""COMPUTED_VALUE"""),"Scott Lieschke")</f>
        <v>Scott Lieschke</v>
      </c>
      <c r="I575" s="62"/>
      <c r="J575" s="19"/>
    </row>
    <row r="576">
      <c r="A576" s="19" t="str">
        <f>IFERROR(__xludf.DUMMYFUNCTION("""COMPUTED_VALUE"""),"Charlie Bellow")</f>
        <v>Charlie Bellow</v>
      </c>
      <c r="B576" s="19" t="str">
        <f>IFERROR(__xludf.DUMMYFUNCTION("""COMPUTED_VALUE"""),"WA")</f>
        <v>WA</v>
      </c>
      <c r="C576" s="5" t="str">
        <f>IFERROR(__xludf.DUMMYFUNCTION("""COMPUTED_VALUE"""),"Mount Pleasant")</f>
        <v>Mount Pleasant</v>
      </c>
      <c r="D576" s="5" t="str">
        <f>IFERROR(__xludf.DUMMYFUNCTION("""COMPUTED_VALUE"""),"4/56-58 Rosebery Street Bedford WA 6052")</f>
        <v>4/56-58 Rosebery Street Bedford WA 6052</v>
      </c>
      <c r="E576" s="25">
        <f>IFERROR(__xludf.DUMMYFUNCTION("""COMPUTED_VALUE"""),45922.0)</f>
        <v>45922</v>
      </c>
      <c r="F576" s="5">
        <f>IFERROR(__xludf.DUMMYFUNCTION("""COMPUTED_VALUE"""),6.0)</f>
        <v>6</v>
      </c>
      <c r="G576" s="19" t="str">
        <f>IFERROR(__xludf.DUMMYFUNCTION("""COMPUTED_VALUE"""),"Instant Forms")</f>
        <v>Instant Forms</v>
      </c>
      <c r="H576" s="19" t="str">
        <f>IFERROR(__xludf.DUMMYFUNCTION("""COMPUTED_VALUE"""),"Mohan Vij")</f>
        <v>Mohan Vij</v>
      </c>
      <c r="I576" s="62"/>
      <c r="J576" s="19"/>
    </row>
    <row r="577">
      <c r="A577" s="19" t="str">
        <f>IFERROR(__xludf.DUMMYFUNCTION("""COMPUTED_VALUE"""),"Charlie Bellow")</f>
        <v>Charlie Bellow</v>
      </c>
      <c r="B577" s="19" t="str">
        <f>IFERROR(__xludf.DUMMYFUNCTION("""COMPUTED_VALUE"""),"WA")</f>
        <v>WA</v>
      </c>
      <c r="C577" s="5" t="str">
        <f>IFERROR(__xludf.DUMMYFUNCTION("""COMPUTED_VALUE"""),"Shelley")</f>
        <v>Shelley</v>
      </c>
      <c r="D577" s="5" t="str">
        <f>IFERROR(__xludf.DUMMYFUNCTION("""COMPUTED_VALUE"""),"16 Holmes Street Shelley WA 6148")</f>
        <v>16 Holmes Street Shelley WA 6148</v>
      </c>
      <c r="E577" s="25">
        <f>IFERROR(__xludf.DUMMYFUNCTION("""COMPUTED_VALUE"""),45923.0)</f>
        <v>45923</v>
      </c>
      <c r="F577" s="5">
        <f>IFERROR(__xludf.DUMMYFUNCTION("""COMPUTED_VALUE"""),6.0)</f>
        <v>6</v>
      </c>
      <c r="G577" s="19" t="str">
        <f>IFERROR(__xludf.DUMMYFUNCTION("""COMPUTED_VALUE"""),"Instant Forms")</f>
        <v>Instant Forms</v>
      </c>
      <c r="H577" s="19" t="str">
        <f>IFERROR(__xludf.DUMMYFUNCTION("""COMPUTED_VALUE"""),"Elsie Fisher")</f>
        <v>Elsie Fisher</v>
      </c>
      <c r="I577" s="62"/>
      <c r="J577" s="19"/>
    </row>
    <row r="578">
      <c r="A578" s="19" t="str">
        <f>IFERROR(__xludf.DUMMYFUNCTION("""COMPUTED_VALUE"""),"Charlie Bellow")</f>
        <v>Charlie Bellow</v>
      </c>
      <c r="B578" s="19" t="str">
        <f>IFERROR(__xludf.DUMMYFUNCTION("""COMPUTED_VALUE"""),"WA")</f>
        <v>WA</v>
      </c>
      <c r="C578" s="5" t="str">
        <f>IFERROR(__xludf.DUMMYFUNCTION("""COMPUTED_VALUE"""),"Willetton")</f>
        <v>Willetton</v>
      </c>
      <c r="D578" s="5" t="str">
        <f>IFERROR(__xludf.DUMMYFUNCTION("""COMPUTED_VALUE"""),"8 Chaparral Crescent Willetton WA 6155")</f>
        <v>8 Chaparral Crescent Willetton WA 6155</v>
      </c>
      <c r="E578" s="25">
        <f>IFERROR(__xludf.DUMMYFUNCTION("""COMPUTED_VALUE"""),45925.0)</f>
        <v>45925</v>
      </c>
      <c r="F578" s="5">
        <f>IFERROR(__xludf.DUMMYFUNCTION("""COMPUTED_VALUE"""),6.0)</f>
        <v>6</v>
      </c>
      <c r="G578" s="19" t="str">
        <f>IFERROR(__xludf.DUMMYFUNCTION("""COMPUTED_VALUE"""),"Instant Forms")</f>
        <v>Instant Forms</v>
      </c>
      <c r="H578" s="19" t="str">
        <f>IFERROR(__xludf.DUMMYFUNCTION("""COMPUTED_VALUE"""),"Rikki Giles")</f>
        <v>Rikki Giles</v>
      </c>
      <c r="I578" s="62"/>
      <c r="J578" s="19"/>
    </row>
    <row r="579">
      <c r="A579" s="19" t="str">
        <f>IFERROR(__xludf.DUMMYFUNCTION("""COMPUTED_VALUE"""),"Charlie Bellow")</f>
        <v>Charlie Bellow</v>
      </c>
      <c r="B579" s="19" t="str">
        <f>IFERROR(__xludf.DUMMYFUNCTION("""COMPUTED_VALUE"""),"WA")</f>
        <v>WA</v>
      </c>
      <c r="C579" s="5" t="str">
        <f>IFERROR(__xludf.DUMMYFUNCTION("""COMPUTED_VALUE"""),"Como")</f>
        <v>Como</v>
      </c>
      <c r="D579" s="5" t="str">
        <f>IFERROR(__xludf.DUMMYFUNCTION("""COMPUTED_VALUE"""),"4/39 Robert Street, Como")</f>
        <v>4/39 Robert Street, Como</v>
      </c>
      <c r="E579" s="25">
        <f>IFERROR(__xludf.DUMMYFUNCTION("""COMPUTED_VALUE"""),45928.0)</f>
        <v>45928</v>
      </c>
      <c r="F579" s="5" t="str">
        <f>IFERROR(__xludf.DUMMYFUNCTION("""COMPUTED_VALUE"""),"Featured")</f>
        <v>Featured</v>
      </c>
      <c r="G579" s="19" t="str">
        <f>IFERROR(__xludf.DUMMYFUNCTION("""COMPUTED_VALUE"""),"Commission Comparison")</f>
        <v>Commission Comparison</v>
      </c>
      <c r="H579" s="19"/>
      <c r="I579" s="62"/>
      <c r="J579" s="19"/>
    </row>
    <row r="580">
      <c r="A580" s="19" t="str">
        <f>IFERROR(__xludf.DUMMYFUNCTION("""COMPUTED_VALUE"""),"Charlie Bellow")</f>
        <v>Charlie Bellow</v>
      </c>
      <c r="B580" s="19" t="str">
        <f>IFERROR(__xludf.DUMMYFUNCTION("""COMPUTED_VALUE"""),"WA")</f>
        <v>WA</v>
      </c>
      <c r="C580" s="5" t="str">
        <f>IFERROR(__xludf.DUMMYFUNCTION("""COMPUTED_VALUE"""),"Cannington")</f>
        <v>Cannington</v>
      </c>
      <c r="D580" s="5" t="str">
        <f>IFERROR(__xludf.DUMMYFUNCTION("""COMPUTED_VALUE"""),"4 Manley Street Cannington WA 6107")</f>
        <v>4 Manley Street Cannington WA 6107</v>
      </c>
      <c r="E580" s="25">
        <f>IFERROR(__xludf.DUMMYFUNCTION("""COMPUTED_VALUE"""),45938.0)</f>
        <v>45938</v>
      </c>
      <c r="F580" s="5">
        <f>IFERROR(__xludf.DUMMYFUNCTION("""COMPUTED_VALUE"""),8.0)</f>
        <v>8</v>
      </c>
      <c r="G580" s="19" t="str">
        <f>IFERROR(__xludf.DUMMYFUNCTION("""COMPUTED_VALUE"""),"Instant Forms")</f>
        <v>Instant Forms</v>
      </c>
      <c r="H580" s="19"/>
      <c r="I580" s="62"/>
      <c r="J580" s="19"/>
    </row>
    <row r="581">
      <c r="A581" s="19" t="str">
        <f>IFERROR(__xludf.DUMMYFUNCTION("""COMPUTED_VALUE"""),"Charlie Bellow")</f>
        <v>Charlie Bellow</v>
      </c>
      <c r="B581" s="19" t="str">
        <f>IFERROR(__xludf.DUMMYFUNCTION("""COMPUTED_VALUE"""),"WA")</f>
        <v>WA</v>
      </c>
      <c r="C581" s="5" t="str">
        <f>IFERROR(__xludf.DUMMYFUNCTION("""COMPUTED_VALUE"""),"Como")</f>
        <v>Como</v>
      </c>
      <c r="D581" s="5" t="str">
        <f>IFERROR(__xludf.DUMMYFUNCTION("""COMPUTED_VALUE"""),"66 Leonora Street Como WA 6152")</f>
        <v>66 Leonora Street Como WA 6152</v>
      </c>
      <c r="E581" s="25">
        <f>IFERROR(__xludf.DUMMYFUNCTION("""COMPUTED_VALUE"""),45941.0)</f>
        <v>45941</v>
      </c>
      <c r="F581" s="5">
        <f>IFERROR(__xludf.DUMMYFUNCTION("""COMPUTED_VALUE"""),8.0)</f>
        <v>8</v>
      </c>
      <c r="G581" s="19" t="str">
        <f>IFERROR(__xludf.DUMMYFUNCTION("""COMPUTED_VALUE"""),"Instant Forms")</f>
        <v>Instant Forms</v>
      </c>
      <c r="H581" s="19"/>
      <c r="I581" s="62"/>
      <c r="J581" s="19"/>
    </row>
    <row r="582">
      <c r="A582" s="19" t="str">
        <f>IFERROR(__xludf.DUMMYFUNCTION("""COMPUTED_VALUE"""),"Charlie Bellow")</f>
        <v>Charlie Bellow</v>
      </c>
      <c r="B582" s="19" t="str">
        <f>IFERROR(__xludf.DUMMYFUNCTION("""COMPUTED_VALUE"""),"WA")</f>
        <v>WA</v>
      </c>
      <c r="C582" s="5" t="str">
        <f>IFERROR(__xludf.DUMMYFUNCTION("""COMPUTED_VALUE"""),"North Perth")</f>
        <v>North Perth</v>
      </c>
      <c r="D582" s="5" t="str">
        <f>IFERROR(__xludf.DUMMYFUNCTION("""COMPUTED_VALUE"""),"62 Mabel Street North Perth WA 6006")</f>
        <v>62 Mabel Street North Perth WA 6006</v>
      </c>
      <c r="E582" s="25">
        <f>IFERROR(__xludf.DUMMYFUNCTION("""COMPUTED_VALUE"""),45943.0)</f>
        <v>45943</v>
      </c>
      <c r="F582" s="5">
        <f>IFERROR(__xludf.DUMMYFUNCTION("""COMPUTED_VALUE"""),8.0)</f>
        <v>8</v>
      </c>
      <c r="G582" s="19" t="str">
        <f>IFERROR(__xludf.DUMMYFUNCTION("""COMPUTED_VALUE"""),"Instant Forms")</f>
        <v>Instant Forms</v>
      </c>
      <c r="H582" s="19"/>
      <c r="I582" s="62"/>
      <c r="J582" s="19"/>
    </row>
    <row r="583">
      <c r="A583" s="19" t="str">
        <f>IFERROR(__xludf.DUMMYFUNCTION("""COMPUTED_VALUE"""),"Charlie Bellow")</f>
        <v>Charlie Bellow</v>
      </c>
      <c r="B583" s="19" t="str">
        <f>IFERROR(__xludf.DUMMYFUNCTION("""COMPUTED_VALUE"""),"WA")</f>
        <v>WA</v>
      </c>
      <c r="C583" s="5" t="str">
        <f>IFERROR(__xludf.DUMMYFUNCTION("""COMPUTED_VALUE"""),"Burswood")</f>
        <v>Burswood</v>
      </c>
      <c r="D583" s="5" t="str">
        <f>IFERROR(__xludf.DUMMYFUNCTION("""COMPUTED_VALUE"""),"505/96 Bow River Crescent Burswood WA 6100")</f>
        <v>505/96 Bow River Crescent Burswood WA 6100</v>
      </c>
      <c r="E583" s="25">
        <f>IFERROR(__xludf.DUMMYFUNCTION("""COMPUTED_VALUE"""),45943.0)</f>
        <v>45943</v>
      </c>
      <c r="F583" s="5">
        <f>IFERROR(__xludf.DUMMYFUNCTION("""COMPUTED_VALUE"""),6.0)</f>
        <v>6</v>
      </c>
      <c r="G583" s="19" t="str">
        <f>IFERROR(__xludf.DUMMYFUNCTION("""COMPUTED_VALUE"""),"Instant Forms")</f>
        <v>Instant Forms</v>
      </c>
      <c r="H583" s="19"/>
      <c r="I583" s="62"/>
      <c r="J583" s="19"/>
    </row>
    <row r="584">
      <c r="A584" s="19" t="str">
        <f>IFERROR(__xludf.DUMMYFUNCTION("""COMPUTED_VALUE"""),"Charlie Bellow")</f>
        <v>Charlie Bellow</v>
      </c>
      <c r="B584" s="19" t="str">
        <f>IFERROR(__xludf.DUMMYFUNCTION("""COMPUTED_VALUE"""),"WA")</f>
        <v>WA</v>
      </c>
      <c r="C584" s="5" t="str">
        <f>IFERROR(__xludf.DUMMYFUNCTION("""COMPUTED_VALUE"""),"Maylands")</f>
        <v>Maylands</v>
      </c>
      <c r="D584" s="5" t="str">
        <f>IFERROR(__xludf.DUMMYFUNCTION("""COMPUTED_VALUE"""),"35 Stone Street Maylands WA 6051")</f>
        <v>35 Stone Street Maylands WA 6051</v>
      </c>
      <c r="E584" s="25">
        <f>IFERROR(__xludf.DUMMYFUNCTION("""COMPUTED_VALUE"""),45952.0)</f>
        <v>45952</v>
      </c>
      <c r="F584" s="5">
        <f>IFERROR(__xludf.DUMMYFUNCTION("""COMPUTED_VALUE"""),8.0)</f>
        <v>8</v>
      </c>
      <c r="G584" s="19" t="str">
        <f>IFERROR(__xludf.DUMMYFUNCTION("""COMPUTED_VALUE"""),"Instant Forms")</f>
        <v>Instant Forms</v>
      </c>
      <c r="H584" s="19"/>
      <c r="I584" s="62"/>
      <c r="J584" s="19"/>
    </row>
    <row r="585">
      <c r="A585" s="19" t="str">
        <f>IFERROR(__xludf.DUMMYFUNCTION("""COMPUTED_VALUE"""),"Charlie Bellow")</f>
        <v>Charlie Bellow</v>
      </c>
      <c r="B585" s="19" t="str">
        <f>IFERROR(__xludf.DUMMYFUNCTION("""COMPUTED_VALUE"""),"WA")</f>
        <v>WA</v>
      </c>
      <c r="C585" s="5" t="str">
        <f>IFERROR(__xludf.DUMMYFUNCTION("""COMPUTED_VALUE"""),"Thornlie")</f>
        <v>Thornlie</v>
      </c>
      <c r="D585" s="5"/>
      <c r="E585" s="25">
        <f>IFERROR(__xludf.DUMMYFUNCTION("""COMPUTED_VALUE"""),45952.0)</f>
        <v>45952</v>
      </c>
      <c r="F585" s="5">
        <f>IFERROR(__xludf.DUMMYFUNCTION("""COMPUTED_VALUE"""),5.0)</f>
        <v>5</v>
      </c>
      <c r="G585" s="19" t="str">
        <f>IFERROR(__xludf.DUMMYFUNCTION("""COMPUTED_VALUE"""),"Instant Forms")</f>
        <v>Instant Forms</v>
      </c>
      <c r="H585" s="19"/>
      <c r="I585" s="62"/>
      <c r="J585" s="19"/>
    </row>
    <row r="586">
      <c r="A586" s="19" t="str">
        <f>IFERROR(__xludf.DUMMYFUNCTION("""COMPUTED_VALUE"""),"Charlie Bellow")</f>
        <v>Charlie Bellow</v>
      </c>
      <c r="B586" s="19" t="str">
        <f>IFERROR(__xludf.DUMMYFUNCTION("""COMPUTED_VALUE"""),"WA")</f>
        <v>WA</v>
      </c>
      <c r="C586" s="5" t="str">
        <f>IFERROR(__xludf.DUMMYFUNCTION("""COMPUTED_VALUE"""),"Dianella")</f>
        <v>Dianella</v>
      </c>
      <c r="D586" s="5" t="str">
        <f>IFERROR(__xludf.DUMMYFUNCTION("""COMPUTED_VALUE"""),"293 The Strand, Dianella, WA, 6059, Australia")</f>
        <v>293 The Strand, Dianella, WA, 6059, Australia</v>
      </c>
      <c r="E586" s="25">
        <f>IFERROR(__xludf.DUMMYFUNCTION("""COMPUTED_VALUE"""),45953.0)</f>
        <v>45953</v>
      </c>
      <c r="F586" s="5" t="str">
        <f>IFERROR(__xludf.DUMMYFUNCTION("""COMPUTED_VALUE"""),"Featured")</f>
        <v>Featured</v>
      </c>
      <c r="G586" s="19" t="str">
        <f>IFERROR(__xludf.DUMMYFUNCTION("""COMPUTED_VALUE"""),"Commission Comparison")</f>
        <v>Commission Comparison</v>
      </c>
      <c r="H586" s="19"/>
      <c r="I586" s="62"/>
      <c r="J586" s="19"/>
    </row>
    <row r="587">
      <c r="A587" s="19" t="str">
        <f>IFERROR(__xludf.DUMMYFUNCTION("""COMPUTED_VALUE"""),"Charlie Bellow")</f>
        <v>Charlie Bellow</v>
      </c>
      <c r="B587" s="19" t="str">
        <f>IFERROR(__xludf.DUMMYFUNCTION("""COMPUTED_VALUE"""),"WA")</f>
        <v>WA</v>
      </c>
      <c r="C587" s="5" t="str">
        <f>IFERROR(__xludf.DUMMYFUNCTION("""COMPUTED_VALUE"""),"Como")</f>
        <v>Como</v>
      </c>
      <c r="D587" s="5" t="str">
        <f>IFERROR(__xludf.DUMMYFUNCTION("""COMPUTED_VALUE"""),"85 McDonald Street")</f>
        <v>85 McDonald Street</v>
      </c>
      <c r="E587" s="25">
        <f>IFERROR(__xludf.DUMMYFUNCTION("""COMPUTED_VALUE"""),45954.0)</f>
        <v>45954</v>
      </c>
      <c r="F587" s="5" t="str">
        <f>IFERROR(__xludf.DUMMYFUNCTION("""COMPUTED_VALUE"""),"Featured")</f>
        <v>Featured</v>
      </c>
      <c r="G587" s="19" t="str">
        <f>IFERROR(__xludf.DUMMYFUNCTION("""COMPUTED_VALUE"""),"Commission Comparison")</f>
        <v>Commission Comparison</v>
      </c>
      <c r="H587" s="19"/>
      <c r="I587" s="62"/>
      <c r="J587" s="19"/>
    </row>
    <row r="588">
      <c r="A588" s="19" t="str">
        <f>IFERROR(__xludf.DUMMYFUNCTION("""COMPUTED_VALUE"""),"Charlie Bellow")</f>
        <v>Charlie Bellow</v>
      </c>
      <c r="B588" s="19" t="str">
        <f>IFERROR(__xludf.DUMMYFUNCTION("""COMPUTED_VALUE"""),"WA")</f>
        <v>WA</v>
      </c>
      <c r="C588" s="5" t="str">
        <f>IFERROR(__xludf.DUMMYFUNCTION("""COMPUTED_VALUE"""),"Winthrop")</f>
        <v>Winthrop</v>
      </c>
      <c r="D588" s="5" t="str">
        <f>IFERROR(__xludf.DUMMYFUNCTION("""COMPUTED_VALUE"""),"25 Paterson Gardens Winthrop WA 6150")</f>
        <v>25 Paterson Gardens Winthrop WA 6150</v>
      </c>
      <c r="E588" s="25">
        <f>IFERROR(__xludf.DUMMYFUNCTION("""COMPUTED_VALUE"""),45960.0)</f>
        <v>45960</v>
      </c>
      <c r="F588" s="5">
        <f>IFERROR(__xludf.DUMMYFUNCTION("""COMPUTED_VALUE"""),5.0)</f>
        <v>5</v>
      </c>
      <c r="G588" s="19" t="str">
        <f>IFERROR(__xludf.DUMMYFUNCTION("""COMPUTED_VALUE"""),"Instant Forms")</f>
        <v>Instant Forms</v>
      </c>
      <c r="H588" s="19"/>
      <c r="I588" s="62"/>
      <c r="J588" s="19"/>
    </row>
    <row r="589">
      <c r="A589" s="19" t="str">
        <f>IFERROR(__xludf.DUMMYFUNCTION("""COMPUTED_VALUE"""),"Charlie Bellow")</f>
        <v>Charlie Bellow</v>
      </c>
      <c r="B589" s="19" t="str">
        <f>IFERROR(__xludf.DUMMYFUNCTION("""COMPUTED_VALUE"""),"WA")</f>
        <v>WA</v>
      </c>
      <c r="C589" s="5" t="str">
        <f>IFERROR(__xludf.DUMMYFUNCTION("""COMPUTED_VALUE"""),"Cloverdale")</f>
        <v>Cloverdale</v>
      </c>
      <c r="D589" s="5" t="str">
        <f>IFERROR(__xludf.DUMMYFUNCTION("""COMPUTED_VALUE"""),"16/180 Fulham Street")</f>
        <v>16/180 Fulham Street</v>
      </c>
      <c r="E589" s="25">
        <f>IFERROR(__xludf.DUMMYFUNCTION("""COMPUTED_VALUE"""),45962.0)</f>
        <v>45962</v>
      </c>
      <c r="F589" s="5" t="str">
        <f>IFERROR(__xludf.DUMMYFUNCTION("""COMPUTED_VALUE"""),"Featured")</f>
        <v>Featured</v>
      </c>
      <c r="G589" s="19" t="str">
        <f>IFERROR(__xludf.DUMMYFUNCTION("""COMPUTED_VALUE"""),"Commission Comparison")</f>
        <v>Commission Comparison</v>
      </c>
      <c r="H589" s="19"/>
      <c r="I589" s="62"/>
      <c r="J589" s="19"/>
    </row>
    <row r="590">
      <c r="A590" s="19" t="str">
        <f>IFERROR(__xludf.DUMMYFUNCTION("""COMPUTED_VALUE"""),"Charlie Bellow")</f>
        <v>Charlie Bellow</v>
      </c>
      <c r="B590" s="19" t="str">
        <f>IFERROR(__xludf.DUMMYFUNCTION("""COMPUTED_VALUE"""),"WA")</f>
        <v>WA</v>
      </c>
      <c r="C590" s="5" t="str">
        <f>IFERROR(__xludf.DUMMYFUNCTION("""COMPUTED_VALUE"""),"Gooseberry Hill")</f>
        <v>Gooseberry Hill</v>
      </c>
      <c r="D590" s="5" t="str">
        <f>IFERROR(__xludf.DUMMYFUNCTION("""COMPUTED_VALUE"""),"140 Watsonia Road, Gooseberry Hill, WA, 6076, Australia, Gooseberry Hill, 6076")</f>
        <v>140 Watsonia Road, Gooseberry Hill, WA, 6076, Australia, Gooseberry Hill, 6076</v>
      </c>
      <c r="E590" s="27">
        <f>IFERROR(__xludf.DUMMYFUNCTION("""COMPUTED_VALUE"""),45727.0)</f>
        <v>45727</v>
      </c>
      <c r="F590" s="5" t="str">
        <f>IFERROR(__xludf.DUMMYFUNCTION("""COMPUTED_VALUE"""),"Featured")</f>
        <v>Featured</v>
      </c>
      <c r="G590" s="19" t="str">
        <f>IFERROR(__xludf.DUMMYFUNCTION("""COMPUTED_VALUE"""),"Meta Commission Report")</f>
        <v>Meta Commission Report</v>
      </c>
      <c r="H590" s="19"/>
      <c r="I590" s="62"/>
      <c r="J590" s="19"/>
    </row>
    <row r="591">
      <c r="A591" s="19" t="str">
        <f>IFERROR(__xludf.DUMMYFUNCTION("""COMPUTED_VALUE"""),"Charlie Bellow")</f>
        <v>Charlie Bellow</v>
      </c>
      <c r="B591" s="19" t="str">
        <f>IFERROR(__xludf.DUMMYFUNCTION("""COMPUTED_VALUE"""),"WA")</f>
        <v>WA</v>
      </c>
      <c r="C591" s="5" t="str">
        <f>IFERROR(__xludf.DUMMYFUNCTION("""COMPUTED_VALUE"""),"Beckenham")</f>
        <v>Beckenham</v>
      </c>
      <c r="D591" s="5" t="str">
        <f>IFERROR(__xludf.DUMMYFUNCTION("""COMPUTED_VALUE"""),"57 wickling dr")</f>
        <v>57 wickling dr</v>
      </c>
      <c r="E591" s="25">
        <f>IFERROR(__xludf.DUMMYFUNCTION("""COMPUTED_VALUE"""),45964.0)</f>
        <v>45964</v>
      </c>
      <c r="F591" s="5" t="str">
        <f>IFERROR(__xludf.DUMMYFUNCTION("""COMPUTED_VALUE"""),"Featured")</f>
        <v>Featured</v>
      </c>
      <c r="G591" s="19" t="str">
        <f>IFERROR(__xludf.DUMMYFUNCTION("""COMPUTED_VALUE"""),"Commission Comparison")</f>
        <v>Commission Comparison</v>
      </c>
      <c r="H591" s="19"/>
      <c r="I591" s="62"/>
      <c r="J591" s="19"/>
    </row>
    <row r="592">
      <c r="A592" s="19" t="str">
        <f>IFERROR(__xludf.DUMMYFUNCTION("""COMPUTED_VALUE"""),"Charlie Bellow")</f>
        <v>Charlie Bellow</v>
      </c>
      <c r="B592" s="19" t="str">
        <f>IFERROR(__xludf.DUMMYFUNCTION("""COMPUTED_VALUE"""),"WA")</f>
        <v>WA</v>
      </c>
      <c r="C592" s="5" t="str">
        <f>IFERROR(__xludf.DUMMYFUNCTION("""COMPUTED_VALUE"""),"Gooseberry Hill")</f>
        <v>Gooseberry Hill</v>
      </c>
      <c r="D592" s="5" t="str">
        <f>IFERROR(__xludf.DUMMYFUNCTION("""COMPUTED_VALUE"""),"140 Watsonia Road")</f>
        <v>140 Watsonia Road</v>
      </c>
      <c r="E592" s="25">
        <f>IFERROR(__xludf.DUMMYFUNCTION("""COMPUTED_VALUE"""),45964.0)</f>
        <v>45964</v>
      </c>
      <c r="F592" s="5" t="str">
        <f>IFERROR(__xludf.DUMMYFUNCTION("""COMPUTED_VALUE"""),"Featured")</f>
        <v>Featured</v>
      </c>
      <c r="G592" s="19" t="str">
        <f>IFERROR(__xludf.DUMMYFUNCTION("""COMPUTED_VALUE"""),"Commission Comparison")</f>
        <v>Commission Comparison</v>
      </c>
      <c r="H592" s="19" t="str">
        <f>IFERROR(__xludf.DUMMYFUNCTION("""COMPUTED_VALUE"""),"Susannah Thomas")</f>
        <v>Susannah Thomas</v>
      </c>
      <c r="I592" s="62">
        <f>IFERROR(__xludf.DUMMYFUNCTION("""COMPUTED_VALUE"""),6.1417911491E10)</f>
        <v>61417911491</v>
      </c>
      <c r="J592" s="19" t="str">
        <f>IFERROR(__xludf.DUMMYFUNCTION("""COMPUTED_VALUE"""),"scthomas0220@yahoo.com")</f>
        <v>scthomas0220@yahoo.com</v>
      </c>
    </row>
    <row r="593">
      <c r="A593" s="19" t="str">
        <f>IFERROR(__xludf.DUMMYFUNCTION("""COMPUTED_VALUE"""),"Charlie Bellow")</f>
        <v>Charlie Bellow</v>
      </c>
      <c r="B593" s="19" t="str">
        <f>IFERROR(__xludf.DUMMYFUNCTION("""COMPUTED_VALUE"""),"WA")</f>
        <v>WA</v>
      </c>
      <c r="C593" s="5" t="str">
        <f>IFERROR(__xludf.DUMMYFUNCTION("""COMPUTED_VALUE"""),"Yokine")</f>
        <v>Yokine</v>
      </c>
      <c r="D593" s="5" t="str">
        <f>IFERROR(__xludf.DUMMYFUNCTION("""COMPUTED_VALUE"""),"4 Wyndham Way, Yokine, WA, 6060, Australia")</f>
        <v>4 Wyndham Way, Yokine, WA, 6060, Australia</v>
      </c>
      <c r="E593" s="25">
        <f>IFERROR(__xludf.DUMMYFUNCTION("""COMPUTED_VALUE"""),45965.0)</f>
        <v>45965</v>
      </c>
      <c r="F593" s="5" t="str">
        <f>IFERROR(__xludf.DUMMYFUNCTION("""COMPUTED_VALUE"""),"Featured")</f>
        <v>Featured</v>
      </c>
      <c r="G593" s="19" t="str">
        <f>IFERROR(__xludf.DUMMYFUNCTION("""COMPUTED_VALUE"""),"Commission Comparison")</f>
        <v>Commission Comparison</v>
      </c>
      <c r="H593" s="19" t="str">
        <f>IFERROR(__xludf.DUMMYFUNCTION("""COMPUTED_VALUE"""),"Brian McKiernan")</f>
        <v>Brian McKiernan</v>
      </c>
      <c r="I593" s="62">
        <f>IFERROR(__xludf.DUMMYFUNCTION("""COMPUTED_VALUE"""),6.1450408651E10)</f>
        <v>61450408651</v>
      </c>
      <c r="J593" s="19" t="str">
        <f>IFERROR(__xludf.DUMMYFUNCTION("""COMPUTED_VALUE"""),"perthbrian@gmail.com")</f>
        <v>perthbrian@gmail.com</v>
      </c>
    </row>
    <row r="594">
      <c r="A594" s="19" t="str">
        <f>IFERROR(__xludf.DUMMYFUNCTION("""COMPUTED_VALUE"""),"Charlie Bellow")</f>
        <v>Charlie Bellow</v>
      </c>
      <c r="B594" s="19" t="str">
        <f>IFERROR(__xludf.DUMMYFUNCTION("""COMPUTED_VALUE"""),"WA")</f>
        <v>WA</v>
      </c>
      <c r="C594" s="5" t="str">
        <f>IFERROR(__xludf.DUMMYFUNCTION("""COMPUTED_VALUE"""),"High Wycombe")</f>
        <v>High Wycombe</v>
      </c>
      <c r="D594" s="5" t="str">
        <f>IFERROR(__xludf.DUMMYFUNCTION("""COMPUTED_VALUE"""),"87 Foxton Boulevard, HIGH WYCOMBE WA 6057")</f>
        <v>87 Foxton Boulevard, HIGH WYCOMBE WA 6057</v>
      </c>
      <c r="E594" s="27">
        <f>IFERROR(__xludf.DUMMYFUNCTION("""COMPUTED_VALUE"""),45819.0)</f>
        <v>45819</v>
      </c>
      <c r="F594" s="5" t="str">
        <f>IFERROR(__xludf.DUMMYFUNCTION("""COMPUTED_VALUE"""),"Featured")</f>
        <v>Featured</v>
      </c>
      <c r="G594" s="19" t="str">
        <f>IFERROR(__xludf.DUMMYFUNCTION("""COMPUTED_VALUE"""),"Commission Comparison")</f>
        <v>Commission Comparison</v>
      </c>
      <c r="H594" s="19" t="str">
        <f>IFERROR(__xludf.DUMMYFUNCTION("""COMPUTED_VALUE"""),"Greg Simmons")</f>
        <v>Greg Simmons</v>
      </c>
      <c r="I594" s="62">
        <f>IFERROR(__xludf.DUMMYFUNCTION("""COMPUTED_VALUE"""),6.1413029132E10)</f>
        <v>61413029132</v>
      </c>
      <c r="J594" s="19" t="str">
        <f>IFERROR(__xludf.DUMMYFUNCTION("""COMPUTED_VALUE"""),"simmons_greg46@hotmail.com")</f>
        <v>simmons_greg46@hotmail.com</v>
      </c>
    </row>
    <row r="595">
      <c r="A595" s="19" t="str">
        <f>IFERROR(__xludf.DUMMYFUNCTION("""COMPUTED_VALUE"""),"Charlie Bellow")</f>
        <v>Charlie Bellow</v>
      </c>
      <c r="B595" s="19" t="str">
        <f>IFERROR(__xludf.DUMMYFUNCTION("""COMPUTED_VALUE"""),"WA")</f>
        <v>WA</v>
      </c>
      <c r="C595" s="5" t="str">
        <f>IFERROR(__xludf.DUMMYFUNCTION("""COMPUTED_VALUE"""),"East Victoria Park")</f>
        <v>East Victoria Park</v>
      </c>
      <c r="D595" s="5" t="str">
        <f>IFERROR(__xludf.DUMMYFUNCTION("""COMPUTED_VALUE"""),"11A Mofflyn Circle East Victoria Park WA 6101")</f>
        <v>11A Mofflyn Circle East Victoria Park WA 6101</v>
      </c>
      <c r="E595" s="25">
        <f>IFERROR(__xludf.DUMMYFUNCTION("""COMPUTED_VALUE"""),45970.0)</f>
        <v>45970</v>
      </c>
      <c r="F595" s="5">
        <f>IFERROR(__xludf.DUMMYFUNCTION("""COMPUTED_VALUE"""),8.0)</f>
        <v>8</v>
      </c>
      <c r="G595" s="19" t="str">
        <f>IFERROR(__xludf.DUMMYFUNCTION("""COMPUTED_VALUE"""),"Instant Forms")</f>
        <v>Instant Forms</v>
      </c>
      <c r="H595" s="19" t="str">
        <f>IFERROR(__xludf.DUMMYFUNCTION("""COMPUTED_VALUE"""),"Doug Peyman")</f>
        <v>Doug Peyman</v>
      </c>
      <c r="I595" s="62">
        <f>IFERROR(__xludf.DUMMYFUNCTION("""COMPUTED_VALUE"""),6.1411718484E10)</f>
        <v>61411718484</v>
      </c>
      <c r="J595" s="19" t="str">
        <f>IFERROR(__xludf.DUMMYFUNCTION("""COMPUTED_VALUE"""),"dougpeyman@me.com")</f>
        <v>dougpeyman@me.com</v>
      </c>
    </row>
    <row r="596">
      <c r="A596" s="19" t="str">
        <f>IFERROR(__xludf.DUMMYFUNCTION("""COMPUTED_VALUE"""),"Charlie Bellow")</f>
        <v>Charlie Bellow</v>
      </c>
      <c r="B596" s="19" t="str">
        <f>IFERROR(__xludf.DUMMYFUNCTION("""COMPUTED_VALUE"""),"WA")</f>
        <v>WA</v>
      </c>
      <c r="C596" s="5" t="str">
        <f>IFERROR(__xludf.DUMMYFUNCTION("""COMPUTED_VALUE"""),"Shelley")</f>
        <v>Shelley</v>
      </c>
      <c r="D596" s="5"/>
      <c r="E596" s="25">
        <f>IFERROR(__xludf.DUMMYFUNCTION("""COMPUTED_VALUE"""),45970.0)</f>
        <v>45970</v>
      </c>
      <c r="F596" s="5">
        <f>IFERROR(__xludf.DUMMYFUNCTION("""COMPUTED_VALUE"""),5.0)</f>
        <v>5</v>
      </c>
      <c r="G596" s="19" t="str">
        <f>IFERROR(__xludf.DUMMYFUNCTION("""COMPUTED_VALUE"""),"Instant Forms")</f>
        <v>Instant Forms</v>
      </c>
      <c r="H596" s="19" t="str">
        <f>IFERROR(__xludf.DUMMYFUNCTION("""COMPUTED_VALUE"""),"Mark Hayes")</f>
        <v>Mark Hayes</v>
      </c>
      <c r="I596" s="62">
        <f>IFERROR(__xludf.DUMMYFUNCTION("""COMPUTED_VALUE"""),6.1411664367E10)</f>
        <v>61411664367</v>
      </c>
      <c r="J596" s="19" t="str">
        <f>IFERROR(__xludf.DUMMYFUNCTION("""COMPUTED_VALUE"""),"hmjhayes@aol.com")</f>
        <v>hmjhayes@aol.com</v>
      </c>
    </row>
    <row r="597">
      <c r="A597" s="19" t="str">
        <f>IFERROR(__xludf.DUMMYFUNCTION("""COMPUTED_VALUE"""),"Charlie Bellow")</f>
        <v>Charlie Bellow</v>
      </c>
      <c r="B597" s="19" t="str">
        <f>IFERROR(__xludf.DUMMYFUNCTION("""COMPUTED_VALUE"""),"WA")</f>
        <v>WA</v>
      </c>
      <c r="C597" s="5" t="str">
        <f>IFERROR(__xludf.DUMMYFUNCTION("""COMPUTED_VALUE"""),"Langford")</f>
        <v>Langford</v>
      </c>
      <c r="D597" s="5" t="str">
        <f>IFERROR(__xludf.DUMMYFUNCTION("""COMPUTED_VALUE"""),"9 Ellison Drive Langford WA 6147 &amp; 28 Meyrick Way Langford WA 6147")</f>
        <v>9 Ellison Drive Langford WA 6147 &amp; 28 Meyrick Way Langford WA 6147</v>
      </c>
      <c r="E597" s="5" t="str">
        <f>IFERROR(__xludf.DUMMYFUNCTION("""COMPUTED_VALUE"""),"18/11/2025")</f>
        <v>18/11/2025</v>
      </c>
      <c r="F597" s="5" t="str">
        <f>IFERROR(__xludf.DUMMYFUNCTION("""COMPUTED_VALUE"""),"Featured")</f>
        <v>Featured</v>
      </c>
      <c r="G597" s="19" t="str">
        <f>IFERROR(__xludf.DUMMYFUNCTION("""COMPUTED_VALUE"""),"Commission Comparison")</f>
        <v>Commission Comparison</v>
      </c>
      <c r="H597" s="19" t="str">
        <f>IFERROR(__xludf.DUMMYFUNCTION("""COMPUTED_VALUE"""),"Phil Mahauariki")</f>
        <v>Phil Mahauariki</v>
      </c>
      <c r="I597" s="62">
        <f>IFERROR(__xludf.DUMMYFUNCTION("""COMPUTED_VALUE"""),6.1419923523E10)</f>
        <v>61419923523</v>
      </c>
      <c r="J597" s="19" t="str">
        <f>IFERROR(__xludf.DUMMYFUNCTION("""COMPUTED_VALUE"""),"filmahau@hotmail.com")</f>
        <v>filmahau@hotmail.com</v>
      </c>
    </row>
    <row r="598">
      <c r="A598" s="19" t="str">
        <f>IFERROR(__xludf.DUMMYFUNCTION("""COMPUTED_VALUE"""),"Charlie Bellow")</f>
        <v>Charlie Bellow</v>
      </c>
      <c r="B598" s="19" t="str">
        <f>IFERROR(__xludf.DUMMYFUNCTION("""COMPUTED_VALUE"""),"WA")</f>
        <v>WA</v>
      </c>
      <c r="C598" s="5" t="str">
        <f>IFERROR(__xludf.DUMMYFUNCTION("""COMPUTED_VALUE"""),"Willetton")</f>
        <v>Willetton</v>
      </c>
      <c r="D598" s="5" t="str">
        <f>IFERROR(__xludf.DUMMYFUNCTION("""COMPUTED_VALUE"""),"102 Apsley Rd")</f>
        <v>102 Apsley Rd</v>
      </c>
      <c r="E598" s="5" t="str">
        <f>IFERROR(__xludf.DUMMYFUNCTION("""COMPUTED_VALUE"""),"23/11/2025")</f>
        <v>23/11/2025</v>
      </c>
      <c r="F598" s="5" t="str">
        <f>IFERROR(__xludf.DUMMYFUNCTION("""COMPUTED_VALUE"""),"Featured")</f>
        <v>Featured</v>
      </c>
      <c r="G598" s="19" t="str">
        <f>IFERROR(__xludf.DUMMYFUNCTION("""COMPUTED_VALUE"""),"Meta Commission Report")</f>
        <v>Meta Commission Report</v>
      </c>
      <c r="H598" s="19" t="str">
        <f>IFERROR(__xludf.DUMMYFUNCTION("""COMPUTED_VALUE"""),"Linda Twomey")</f>
        <v>Linda Twomey</v>
      </c>
      <c r="I598" s="62">
        <f>IFERROR(__xludf.DUMMYFUNCTION("""COMPUTED_VALUE"""),6.1415246468E10)</f>
        <v>61415246468</v>
      </c>
      <c r="J598" s="19" t="str">
        <f>IFERROR(__xludf.DUMMYFUNCTION("""COMPUTED_VALUE"""),"lonlinryli@gmail.com")</f>
        <v>lonlinryli@gmail.com</v>
      </c>
    </row>
    <row r="599">
      <c r="A599" s="19" t="str">
        <f>IFERROR(__xludf.DUMMYFUNCTION("""COMPUTED_VALUE"""),"Charlie Bellow")</f>
        <v>Charlie Bellow</v>
      </c>
      <c r="B599" s="19" t="str">
        <f>IFERROR(__xludf.DUMMYFUNCTION("""COMPUTED_VALUE"""),"WA")</f>
        <v>WA</v>
      </c>
      <c r="C599" s="5" t="str">
        <f>IFERROR(__xludf.DUMMYFUNCTION("""COMPUTED_VALUE"""),"Cannington")</f>
        <v>Cannington</v>
      </c>
      <c r="D599" s="5" t="str">
        <f>IFERROR(__xludf.DUMMYFUNCTION("""COMPUTED_VALUE"""),"35 Thomas st., Cannington, 6107")</f>
        <v>35 Thomas st., Cannington, 6107</v>
      </c>
      <c r="E599" s="5" t="str">
        <f>IFERROR(__xludf.DUMMYFUNCTION("""COMPUTED_VALUE"""),"23/11/2025")</f>
        <v>23/11/2025</v>
      </c>
      <c r="F599" s="5" t="str">
        <f>IFERROR(__xludf.DUMMYFUNCTION("""COMPUTED_VALUE"""),"Featured")</f>
        <v>Featured</v>
      </c>
      <c r="G599" s="19" t="str">
        <f>IFERROR(__xludf.DUMMYFUNCTION("""COMPUTED_VALUE"""),"Meta Commission Report")</f>
        <v>Meta Commission Report</v>
      </c>
      <c r="H599" s="19" t="str">
        <f>IFERROR(__xludf.DUMMYFUNCTION("""COMPUTED_VALUE"""),"Rista Butar")</f>
        <v>Rista Butar</v>
      </c>
      <c r="I599" s="62">
        <f>IFERROR(__xludf.DUMMYFUNCTION("""COMPUTED_VALUE"""),6.1424100998E10)</f>
        <v>61424100998</v>
      </c>
      <c r="J599" s="19" t="str">
        <f>IFERROR(__xludf.DUMMYFUNCTION("""COMPUTED_VALUE"""),"rista.miles@yahoo.com.au")</f>
        <v>rista.miles@yahoo.com.au</v>
      </c>
    </row>
    <row r="600">
      <c r="A600" s="19" t="str">
        <f>IFERROR(__xludf.DUMMYFUNCTION("""COMPUTED_VALUE"""),"Charlie Bellow")</f>
        <v>Charlie Bellow</v>
      </c>
      <c r="B600" s="19" t="str">
        <f>IFERROR(__xludf.DUMMYFUNCTION("""COMPUTED_VALUE"""),"WA")</f>
        <v>WA</v>
      </c>
      <c r="C600" s="5" t="str">
        <f>IFERROR(__xludf.DUMMYFUNCTION("""COMPUTED_VALUE"""),"Willetton")</f>
        <v>Willetton</v>
      </c>
      <c r="D600" s="5" t="str">
        <f>IFERROR(__xludf.DUMMYFUNCTION("""COMPUTED_VALUE"""),"102 Apsley Rd, Willetton, 6155")</f>
        <v>102 Apsley Rd, Willetton, 6155</v>
      </c>
      <c r="E600" s="5" t="str">
        <f>IFERROR(__xludf.DUMMYFUNCTION("""COMPUTED_VALUE"""),"23/11/2025")</f>
        <v>23/11/2025</v>
      </c>
      <c r="F600" s="5" t="str">
        <f>IFERROR(__xludf.DUMMYFUNCTION("""COMPUTED_VALUE"""),"Featured")</f>
        <v>Featured</v>
      </c>
      <c r="G600" s="19" t="str">
        <f>IFERROR(__xludf.DUMMYFUNCTION("""COMPUTED_VALUE"""),"Meta Commission Report")</f>
        <v>Meta Commission Report</v>
      </c>
      <c r="H600" s="19" t="str">
        <f>IFERROR(__xludf.DUMMYFUNCTION("""COMPUTED_VALUE"""),"Linda Twomey")</f>
        <v>Linda Twomey</v>
      </c>
      <c r="I600" s="62">
        <f>IFERROR(__xludf.DUMMYFUNCTION("""COMPUTED_VALUE"""),6.1415246468E10)</f>
        <v>61415246468</v>
      </c>
      <c r="J600" s="19" t="str">
        <f>IFERROR(__xludf.DUMMYFUNCTION("""COMPUTED_VALUE"""),"lonlinryli@gmail.com")</f>
        <v>lonlinryli@gmail.com</v>
      </c>
    </row>
    <row r="601">
      <c r="A601" s="19" t="str">
        <f>IFERROR(__xludf.DUMMYFUNCTION("""COMPUTED_VALUE"""),"Charlie Bellow")</f>
        <v>Charlie Bellow</v>
      </c>
      <c r="B601" s="19" t="str">
        <f>IFERROR(__xludf.DUMMYFUNCTION("""COMPUTED_VALUE"""),"WA")</f>
        <v>WA</v>
      </c>
      <c r="C601" s="5" t="str">
        <f>IFERROR(__xludf.DUMMYFUNCTION("""COMPUTED_VALUE"""),"Como")</f>
        <v>Como</v>
      </c>
      <c r="D601" s="5" t="str">
        <f>IFERROR(__xludf.DUMMYFUNCTION("""COMPUTED_VALUE"""),"4/90 Robert Street Como WA 6152")</f>
        <v>4/90 Robert Street Como WA 6152</v>
      </c>
      <c r="E601" s="5" t="str">
        <f>IFERROR(__xludf.DUMMYFUNCTION("""COMPUTED_VALUE"""),"23/11/2025")</f>
        <v>23/11/2025</v>
      </c>
      <c r="F601" s="5">
        <f>IFERROR(__xludf.DUMMYFUNCTION("""COMPUTED_VALUE"""),6.0)</f>
        <v>6</v>
      </c>
      <c r="G601" s="19" t="str">
        <f>IFERROR(__xludf.DUMMYFUNCTION("""COMPUTED_VALUE"""),"Instant Forms")</f>
        <v>Instant Forms</v>
      </c>
      <c r="H601" s="19" t="str">
        <f>IFERROR(__xludf.DUMMYFUNCTION("""COMPUTED_VALUE"""),"Alexis Vassiley")</f>
        <v>Alexis Vassiley</v>
      </c>
      <c r="I601" s="62">
        <f>IFERROR(__xludf.DUMMYFUNCTION("""COMPUTED_VALUE"""),6.1400247212E10)</f>
        <v>61400247212</v>
      </c>
      <c r="J601" s="19" t="str">
        <f>IFERROR(__xludf.DUMMYFUNCTION("""COMPUTED_VALUE"""),"alexisvassiley@gmail.com")</f>
        <v>alexisvassiley@gmail.com</v>
      </c>
    </row>
    <row r="602">
      <c r="A602" s="19" t="str">
        <f>IFERROR(__xludf.DUMMYFUNCTION("""COMPUTED_VALUE"""),"Charlie Bellow")</f>
        <v>Charlie Bellow</v>
      </c>
      <c r="B602" s="19" t="str">
        <f>IFERROR(__xludf.DUMMYFUNCTION("""COMPUTED_VALUE"""),"WA")</f>
        <v>WA</v>
      </c>
      <c r="C602" s="5" t="str">
        <f>IFERROR(__xludf.DUMMYFUNCTION("""COMPUTED_VALUE"""),"Willetton")</f>
        <v>Willetton</v>
      </c>
      <c r="D602" s="5" t="str">
        <f>IFERROR(__xludf.DUMMYFUNCTION("""COMPUTED_VALUE"""),"102 Apsley Rd, Willetton, 6155")</f>
        <v>102 Apsley Rd, Willetton, 6155</v>
      </c>
      <c r="E602" s="5" t="str">
        <f>IFERROR(__xludf.DUMMYFUNCTION("""COMPUTED_VALUE"""),"24/11/2025")</f>
        <v>24/11/2025</v>
      </c>
      <c r="F602" s="5" t="str">
        <f>IFERROR(__xludf.DUMMYFUNCTION("""COMPUTED_VALUE"""),"Featured")</f>
        <v>Featured</v>
      </c>
      <c r="G602" s="19" t="str">
        <f>IFERROR(__xludf.DUMMYFUNCTION("""COMPUTED_VALUE"""),"Meta Commission Report")</f>
        <v>Meta Commission Report</v>
      </c>
      <c r="H602" s="19" t="str">
        <f>IFERROR(__xludf.DUMMYFUNCTION("""COMPUTED_VALUE"""),"Linda Twomey")</f>
        <v>Linda Twomey</v>
      </c>
      <c r="I602" s="62">
        <f>IFERROR(__xludf.DUMMYFUNCTION("""COMPUTED_VALUE"""),6.1415246468E10)</f>
        <v>61415246468</v>
      </c>
      <c r="J602" s="19" t="str">
        <f>IFERROR(__xludf.DUMMYFUNCTION("""COMPUTED_VALUE"""),"lonlinryli@gmail.com")</f>
        <v>lonlinryli@gmail.com</v>
      </c>
    </row>
    <row r="603">
      <c r="A603" s="19" t="str">
        <f>IFERROR(__xludf.DUMMYFUNCTION("""COMPUTED_VALUE"""),"Charlie Bellow")</f>
        <v>Charlie Bellow</v>
      </c>
      <c r="B603" s="19" t="str">
        <f>IFERROR(__xludf.DUMMYFUNCTION("""COMPUTED_VALUE"""),"WA")</f>
        <v>WA</v>
      </c>
      <c r="C603" s="5" t="str">
        <f>IFERROR(__xludf.DUMMYFUNCTION("""COMPUTED_VALUE"""),"Brabham")</f>
        <v>Brabham</v>
      </c>
      <c r="D603" s="5" t="str">
        <f>IFERROR(__xludf.DUMMYFUNCTION("""COMPUTED_VALUE"""),"8 phascogale st brabham")</f>
        <v>8 phascogale st brabham</v>
      </c>
      <c r="E603" s="5" t="str">
        <f>IFERROR(__xludf.DUMMYFUNCTION("""COMPUTED_VALUE"""),"26/11/2025")</f>
        <v>26/11/2025</v>
      </c>
      <c r="F603" s="5" t="str">
        <f>IFERROR(__xludf.DUMMYFUNCTION("""COMPUTED_VALUE"""),"Featured")</f>
        <v>Featured</v>
      </c>
      <c r="G603" s="19" t="str">
        <f>IFERROR(__xludf.DUMMYFUNCTION("""COMPUTED_VALUE"""),"Commission Comparison")</f>
        <v>Commission Comparison</v>
      </c>
      <c r="H603" s="19" t="str">
        <f>IFERROR(__xludf.DUMMYFUNCTION("""COMPUTED_VALUE"""),"Darrell Taylor")</f>
        <v>Darrell Taylor</v>
      </c>
      <c r="I603" s="62">
        <f>IFERROR(__xludf.DUMMYFUNCTION("""COMPUTED_VALUE"""),6.1400686123E10)</f>
        <v>61400686123</v>
      </c>
      <c r="J603" s="19" t="str">
        <f>IFERROR(__xludf.DUMMYFUNCTION("""COMPUTED_VALUE"""),"dazas67@hotmail.com")</f>
        <v>dazas67@hotmail.com</v>
      </c>
    </row>
    <row r="604">
      <c r="A604" s="19" t="str">
        <f>IFERROR(__xludf.DUMMYFUNCTION("""COMPUTED_VALUE"""),"Charlie Bellow")</f>
        <v>Charlie Bellow</v>
      </c>
      <c r="B604" s="19" t="str">
        <f>IFERROR(__xludf.DUMMYFUNCTION("""COMPUTED_VALUE"""),"WA")</f>
        <v>WA</v>
      </c>
      <c r="C604" s="5" t="str">
        <f>IFERROR(__xludf.DUMMYFUNCTION("""COMPUTED_VALUE"""),"Wilson")</f>
        <v>Wilson</v>
      </c>
      <c r="D604" s="5" t="str">
        <f>IFERROR(__xludf.DUMMYFUNCTION("""COMPUTED_VALUE"""),"19 Kent Street, Wilson, WA, 6107, Australia")</f>
        <v>19 Kent Street, Wilson, WA, 6107, Australia</v>
      </c>
      <c r="E604" s="5" t="str">
        <f>IFERROR(__xludf.DUMMYFUNCTION("""COMPUTED_VALUE"""),"26/11/2025")</f>
        <v>26/11/2025</v>
      </c>
      <c r="F604" s="64">
        <f>IFERROR(__xludf.DUMMYFUNCTION("""COMPUTED_VALUE"""),0.0)</f>
        <v>0</v>
      </c>
      <c r="G604" s="19" t="str">
        <f>IFERROR(__xludf.DUMMYFUNCTION("""COMPUTED_VALUE"""),"Commission Comparison")</f>
        <v>Commission Comparison</v>
      </c>
      <c r="H604" s="19" t="str">
        <f>IFERROR(__xludf.DUMMYFUNCTION("""COMPUTED_VALUE"""),"Gary McIntosh")</f>
        <v>Gary McIntosh</v>
      </c>
      <c r="I604" s="62">
        <f>IFERROR(__xludf.DUMMYFUNCTION("""COMPUTED_VALUE"""),6.1416559654E10)</f>
        <v>61416559654</v>
      </c>
      <c r="J604" s="19" t="str">
        <f>IFERROR(__xludf.DUMMYFUNCTION("""COMPUTED_VALUE"""),"gmcintosh@iinet.net.au")</f>
        <v>gmcintosh@iinet.net.au</v>
      </c>
    </row>
    <row r="605">
      <c r="A605" s="19" t="str">
        <f>IFERROR(__xludf.DUMMYFUNCTION("""COMPUTED_VALUE"""),"Charlie Bellow")</f>
        <v>Charlie Bellow</v>
      </c>
      <c r="B605" s="19" t="str">
        <f>IFERROR(__xludf.DUMMYFUNCTION("""COMPUTED_VALUE"""),"WA")</f>
        <v>WA</v>
      </c>
      <c r="C605" s="5" t="str">
        <f>IFERROR(__xludf.DUMMYFUNCTION("""COMPUTED_VALUE"""),"Como")</f>
        <v>Como</v>
      </c>
      <c r="D605" s="5" t="str">
        <f>IFERROR(__xludf.DUMMYFUNCTION("""COMPUTED_VALUE"""),"56 Birdwood Avenue Como WA 6152")</f>
        <v>56 Birdwood Avenue Como WA 6152</v>
      </c>
      <c r="E605" s="5" t="str">
        <f>IFERROR(__xludf.DUMMYFUNCTION("""COMPUTED_VALUE"""),"27/11/2025")</f>
        <v>27/11/2025</v>
      </c>
      <c r="F605" s="64">
        <f>IFERROR(__xludf.DUMMYFUNCTION("""COMPUTED_VALUE"""),0.2)</f>
        <v>0.2</v>
      </c>
      <c r="G605" s="19" t="str">
        <f>IFERROR(__xludf.DUMMYFUNCTION("""COMPUTED_VALUE"""),"Commission Comparison")</f>
        <v>Commission Comparison</v>
      </c>
      <c r="H605" s="19" t="str">
        <f>IFERROR(__xludf.DUMMYFUNCTION("""COMPUTED_VALUE"""),"Alan Golding")</f>
        <v>Alan Golding</v>
      </c>
      <c r="I605" s="62">
        <f>IFERROR(__xludf.DUMMYFUNCTION("""COMPUTED_VALUE"""),6.1418928665E10)</f>
        <v>61418928665</v>
      </c>
      <c r="J605" s="19" t="str">
        <f>IFERROR(__xludf.DUMMYFUNCTION("""COMPUTED_VALUE"""),"agolding51@outlook.com")</f>
        <v>agolding51@outlook.com</v>
      </c>
    </row>
    <row r="606">
      <c r="A606" s="19" t="str">
        <f>IFERROR(__xludf.DUMMYFUNCTION("""COMPUTED_VALUE"""),"Charlie Bellow")</f>
        <v>Charlie Bellow</v>
      </c>
      <c r="B606" s="19" t="str">
        <f>IFERROR(__xludf.DUMMYFUNCTION("""COMPUTED_VALUE"""),"WA")</f>
        <v>WA</v>
      </c>
      <c r="C606" s="5" t="str">
        <f>IFERROR(__xludf.DUMMYFUNCTION("""COMPUTED_VALUE"""),"Parkwood")</f>
        <v>Parkwood</v>
      </c>
      <c r="D606" s="5" t="str">
        <f>IFERROR(__xludf.DUMMYFUNCTION("""COMPUTED_VALUE"""),"34 ROMNEY WAY, PARKWOOD, Parkwood, 6147")</f>
        <v>34 ROMNEY WAY, PARKWOOD, Parkwood, 6147</v>
      </c>
      <c r="E606" s="5" t="str">
        <f>IFERROR(__xludf.DUMMYFUNCTION("""COMPUTED_VALUE"""),"29/11/2025")</f>
        <v>29/11/2025</v>
      </c>
      <c r="F606" s="64">
        <f>IFERROR(__xludf.DUMMYFUNCTION("""COMPUTED_VALUE"""),0.2)</f>
        <v>0.2</v>
      </c>
      <c r="G606" s="19" t="str">
        <f>IFERROR(__xludf.DUMMYFUNCTION("""COMPUTED_VALUE"""),"Meta Commission Report")</f>
        <v>Meta Commission Report</v>
      </c>
      <c r="H606" s="19" t="str">
        <f>IFERROR(__xludf.DUMMYFUNCTION("""COMPUTED_VALUE"""),"JUDITH Angelini")</f>
        <v>JUDITH Angelini</v>
      </c>
      <c r="I606" s="62">
        <f>IFERROR(__xludf.DUMMYFUNCTION("""COMPUTED_VALUE"""),6.142111152E10)</f>
        <v>61421111520</v>
      </c>
      <c r="J606" s="19" t="str">
        <f>IFERROR(__xludf.DUMMYFUNCTION("""COMPUTED_VALUE"""),"lynangelkni@gmail.com")</f>
        <v>lynangelkni@gmail.com</v>
      </c>
    </row>
    <row r="607">
      <c r="A607" s="19" t="str">
        <f>IFERROR(__xludf.DUMMYFUNCTION("""COMPUTED_VALUE"""),"Charlie Bellow")</f>
        <v>Charlie Bellow</v>
      </c>
      <c r="B607" s="19" t="str">
        <f>IFERROR(__xludf.DUMMYFUNCTION("""COMPUTED_VALUE"""),"WA")</f>
        <v>WA</v>
      </c>
      <c r="C607" s="5" t="str">
        <f>IFERROR(__xludf.DUMMYFUNCTION("""COMPUTED_VALUE"""),"St James")</f>
        <v>St James</v>
      </c>
      <c r="D607" s="5" t="str">
        <f>IFERROR(__xludf.DUMMYFUNCTION("""COMPUTED_VALUE"""),"16 Victoria Street St James, St James, 6102")</f>
        <v>16 Victoria Street St James, St James, 6102</v>
      </c>
      <c r="E607" s="27">
        <f>IFERROR(__xludf.DUMMYFUNCTION("""COMPUTED_VALUE"""),45700.0)</f>
        <v>45700</v>
      </c>
      <c r="F607" s="64">
        <f>IFERROR(__xludf.DUMMYFUNCTION("""COMPUTED_VALUE"""),0.2)</f>
        <v>0.2</v>
      </c>
      <c r="G607" s="19" t="str">
        <f>IFERROR(__xludf.DUMMYFUNCTION("""COMPUTED_VALUE"""),"Meta Commission Report")</f>
        <v>Meta Commission Report</v>
      </c>
      <c r="H607" s="19" t="str">
        <f>IFERROR(__xludf.DUMMYFUNCTION("""COMPUTED_VALUE"""),"Bruce Boyd")</f>
        <v>Bruce Boyd</v>
      </c>
      <c r="I607" s="62">
        <f>IFERROR(__xludf.DUMMYFUNCTION("""COMPUTED_VALUE"""),6.1418950485E10)</f>
        <v>61418950485</v>
      </c>
      <c r="J607" s="19" t="str">
        <f>IFERROR(__xludf.DUMMYFUNCTION("""COMPUTED_VALUE"""),"summerskiesptyltd@gmail.com")</f>
        <v>summerskiesptyltd@gmail.com</v>
      </c>
    </row>
    <row r="608">
      <c r="A608" s="19" t="str">
        <f>IFERROR(__xludf.DUMMYFUNCTION("""COMPUTED_VALUE"""),"Charlie Bellow")</f>
        <v>Charlie Bellow</v>
      </c>
      <c r="B608" s="19" t="str">
        <f>IFERROR(__xludf.DUMMYFUNCTION("""COMPUTED_VALUE"""),"WA")</f>
        <v>WA</v>
      </c>
      <c r="C608" s="5" t="str">
        <f>IFERROR(__xludf.DUMMYFUNCTION("""COMPUTED_VALUE"""),"Como")</f>
        <v>Como</v>
      </c>
      <c r="D608" s="5" t="str">
        <f>IFERROR(__xludf.DUMMYFUNCTION("""COMPUTED_VALUE"""),"3/358 canning highway COMO, 6152")</f>
        <v>3/358 canning highway COMO, 6152</v>
      </c>
      <c r="E608" s="27">
        <f>IFERROR(__xludf.DUMMYFUNCTION("""COMPUTED_VALUE"""),45789.0)</f>
        <v>45789</v>
      </c>
      <c r="F608" s="64">
        <f>IFERROR(__xludf.DUMMYFUNCTION("""COMPUTED_VALUE"""),0.2)</f>
        <v>0.2</v>
      </c>
      <c r="G608" s="19" t="str">
        <f>IFERROR(__xludf.DUMMYFUNCTION("""COMPUTED_VALUE"""),"Meta Commission Report")</f>
        <v>Meta Commission Report</v>
      </c>
      <c r="H608" s="19" t="str">
        <f>IFERROR(__xludf.DUMMYFUNCTION("""COMPUTED_VALUE"""),"wendy dobson")</f>
        <v>wendy dobson</v>
      </c>
      <c r="I608" s="62">
        <f>IFERROR(__xludf.DUMMYFUNCTION("""COMPUTED_VALUE"""),6.1430975357E10)</f>
        <v>61430975357</v>
      </c>
      <c r="J608" s="19" t="str">
        <f>IFERROR(__xludf.DUMMYFUNCTION("""COMPUTED_VALUE"""),"w.dobson.57@hotmail.com.au")</f>
        <v>w.dobson.57@hotmail.com.au</v>
      </c>
    </row>
    <row r="609">
      <c r="A609" s="19" t="str">
        <f>IFERROR(__xludf.DUMMYFUNCTION("""COMPUTED_VALUE"""),"Charlie Bellow")</f>
        <v>Charlie Bellow</v>
      </c>
      <c r="B609" s="19" t="str">
        <f>IFERROR(__xludf.DUMMYFUNCTION("""COMPUTED_VALUE"""),"WA")</f>
        <v>WA</v>
      </c>
      <c r="C609" s="5" t="str">
        <f>IFERROR(__xludf.DUMMYFUNCTION("""COMPUTED_VALUE"""),"Wilson")</f>
        <v>Wilson</v>
      </c>
      <c r="D609" s="5" t="str">
        <f>IFERROR(__xludf.DUMMYFUNCTION("""COMPUTED_VALUE"""),"2 Margaret Street, wilson, Wilson, 6107")</f>
        <v>2 Margaret Street, wilson, Wilson, 6107</v>
      </c>
      <c r="E609" s="27">
        <f>IFERROR(__xludf.DUMMYFUNCTION("""COMPUTED_VALUE"""),45820.0)</f>
        <v>45820</v>
      </c>
      <c r="F609" s="64">
        <f>IFERROR(__xludf.DUMMYFUNCTION("""COMPUTED_VALUE"""),0.2)</f>
        <v>0.2</v>
      </c>
      <c r="G609" s="19" t="str">
        <f>IFERROR(__xludf.DUMMYFUNCTION("""COMPUTED_VALUE"""),"Meta Commission Report")</f>
        <v>Meta Commission Report</v>
      </c>
      <c r="H609" s="19" t="str">
        <f>IFERROR(__xludf.DUMMYFUNCTION("""COMPUTED_VALUE"""),"Richard Chia")</f>
        <v>Richard Chia</v>
      </c>
      <c r="I609" s="62">
        <f>IFERROR(__xludf.DUMMYFUNCTION("""COMPUTED_VALUE"""),6.1403288351E10)</f>
        <v>61403288351</v>
      </c>
      <c r="J609" s="19" t="str">
        <f>IFERROR(__xludf.DUMMYFUNCTION("""COMPUTED_VALUE"""),"rich.cyc@gmail.com")</f>
        <v>rich.cyc@gmail.com</v>
      </c>
    </row>
    <row r="610">
      <c r="A610" s="19" t="str">
        <f>IFERROR(__xludf.DUMMYFUNCTION("""COMPUTED_VALUE"""),"")</f>
        <v/>
      </c>
      <c r="B610" s="19" t="str">
        <f>IFERROR(__xludf.DUMMYFUNCTION("""COMPUTED_VALUE"""),"")</f>
        <v/>
      </c>
      <c r="C610" s="5" t="str">
        <f>IFERROR(__xludf.DUMMYFUNCTION("""COMPUTED_VALUE"""),"")</f>
        <v/>
      </c>
      <c r="D610" s="5" t="str">
        <f>IFERROR(__xludf.DUMMYFUNCTION("""COMPUTED_VALUE"""),"")</f>
        <v/>
      </c>
      <c r="E610" s="5" t="str">
        <f>IFERROR(__xludf.DUMMYFUNCTION("""COMPUTED_VALUE"""),"")</f>
        <v/>
      </c>
      <c r="F610" s="5" t="str">
        <f>IFERROR(__xludf.DUMMYFUNCTION("""COMPUTED_VALUE"""),"")</f>
        <v/>
      </c>
      <c r="G610" s="19" t="str">
        <f>IFERROR(__xludf.DUMMYFUNCTION("""COMPUTED_VALUE"""),"")</f>
        <v/>
      </c>
      <c r="H610" s="19" t="str">
        <f>IFERROR(__xludf.DUMMYFUNCTION("""COMPUTED_VALUE"""),"")</f>
        <v/>
      </c>
      <c r="I610" s="62" t="str">
        <f>IFERROR(__xludf.DUMMYFUNCTION("""COMPUTED_VALUE"""),"")</f>
        <v/>
      </c>
      <c r="J610" s="19" t="str">
        <f>IFERROR(__xludf.DUMMYFUNCTION("""COMPUTED_VALUE"""),"")</f>
        <v/>
      </c>
    </row>
    <row r="611">
      <c r="A611" s="19" t="str">
        <f>IFERROR(__xludf.DUMMYFUNCTION("""COMPUTED_VALUE"""),"")</f>
        <v/>
      </c>
      <c r="B611" s="19" t="str">
        <f>IFERROR(__xludf.DUMMYFUNCTION("""COMPUTED_VALUE"""),"")</f>
        <v/>
      </c>
      <c r="C611" s="5" t="str">
        <f>IFERROR(__xludf.DUMMYFUNCTION("""COMPUTED_VALUE"""),"")</f>
        <v/>
      </c>
      <c r="D611" s="5" t="str">
        <f>IFERROR(__xludf.DUMMYFUNCTION("""COMPUTED_VALUE"""),"")</f>
        <v/>
      </c>
      <c r="E611" s="5" t="str">
        <f>IFERROR(__xludf.DUMMYFUNCTION("""COMPUTED_VALUE"""),"")</f>
        <v/>
      </c>
      <c r="F611" s="5" t="str">
        <f>IFERROR(__xludf.DUMMYFUNCTION("""COMPUTED_VALUE"""),"")</f>
        <v/>
      </c>
      <c r="G611" s="19" t="str">
        <f>IFERROR(__xludf.DUMMYFUNCTION("""COMPUTED_VALUE"""),"")</f>
        <v/>
      </c>
      <c r="H611" s="19" t="str">
        <f>IFERROR(__xludf.DUMMYFUNCTION("""COMPUTED_VALUE"""),"")</f>
        <v/>
      </c>
      <c r="I611" s="62" t="str">
        <f>IFERROR(__xludf.DUMMYFUNCTION("""COMPUTED_VALUE"""),"")</f>
        <v/>
      </c>
      <c r="J611" s="19" t="str">
        <f>IFERROR(__xludf.DUMMYFUNCTION("""COMPUTED_VALUE"""),"")</f>
        <v/>
      </c>
    </row>
    <row r="612">
      <c r="A612" s="19" t="str">
        <f>IFERROR(__xludf.DUMMYFUNCTION("""COMPUTED_VALUE"""),"Charlie Betar")</f>
        <v>Charlie Betar</v>
      </c>
      <c r="B612" s="19" t="str">
        <f>IFERROR(__xludf.DUMMYFUNCTION("""COMPUTED_VALUE"""),"NSW")</f>
        <v>NSW</v>
      </c>
      <c r="C612" s="5">
        <f>IFERROR(__xludf.DUMMYFUNCTION("""COMPUTED_VALUE"""),2260.0)</f>
        <v>2260</v>
      </c>
      <c r="D612" s="5"/>
      <c r="E612" s="25">
        <f>IFERROR(__xludf.DUMMYFUNCTION("""COMPUTED_VALUE"""),45896.0)</f>
        <v>45896</v>
      </c>
      <c r="F612" s="5" t="str">
        <f>IFERROR(__xludf.DUMMYFUNCTION("""COMPUTED_VALUE"""),"Featured")</f>
        <v>Featured</v>
      </c>
      <c r="G612" s="19" t="str">
        <f>IFERROR(__xludf.DUMMYFUNCTION("""COMPUTED_VALUE"""),"Instant Forms")</f>
        <v>Instant Forms</v>
      </c>
      <c r="H612" s="19"/>
      <c r="I612" s="62"/>
      <c r="J612" s="19"/>
    </row>
    <row r="613">
      <c r="A613" s="19" t="str">
        <f>IFERROR(__xludf.DUMMYFUNCTION("""COMPUTED_VALUE"""),"Charlie Betar")</f>
        <v>Charlie Betar</v>
      </c>
      <c r="B613" s="19" t="str">
        <f>IFERROR(__xludf.DUMMYFUNCTION("""COMPUTED_VALUE"""),"NSW")</f>
        <v>NSW</v>
      </c>
      <c r="C613" s="5" t="str">
        <f>IFERROR(__xludf.DUMMYFUNCTION("""COMPUTED_VALUE"""),"Terrigal")</f>
        <v>Terrigal</v>
      </c>
      <c r="D613" s="5" t="str">
        <f>IFERROR(__xludf.DUMMYFUNCTION("""COMPUTED_VALUE"""),"10 Tiarri Crescent Terrigal NSW 2260")</f>
        <v>10 Tiarri Crescent Terrigal NSW 2260</v>
      </c>
      <c r="E613" s="25">
        <f>IFERROR(__xludf.DUMMYFUNCTION("""COMPUTED_VALUE"""),45916.0)</f>
        <v>45916</v>
      </c>
      <c r="F613" s="5">
        <f>IFERROR(__xludf.DUMMYFUNCTION("""COMPUTED_VALUE"""),6.0)</f>
        <v>6</v>
      </c>
      <c r="G613" s="19" t="str">
        <f>IFERROR(__xludf.DUMMYFUNCTION("""COMPUTED_VALUE"""),"Instant Forms")</f>
        <v>Instant Forms</v>
      </c>
      <c r="H613" s="19" t="str">
        <f>IFERROR(__xludf.DUMMYFUNCTION("""COMPUTED_VALUE"""),"Kylie Lazzarini")</f>
        <v>Kylie Lazzarini</v>
      </c>
      <c r="I613" s="62"/>
      <c r="J613" s="19"/>
    </row>
    <row r="614">
      <c r="A614" s="19" t="str">
        <f>IFERROR(__xludf.DUMMYFUNCTION("""COMPUTED_VALUE"""),"Charlie Betar")</f>
        <v>Charlie Betar</v>
      </c>
      <c r="B614" s="19" t="str">
        <f>IFERROR(__xludf.DUMMYFUNCTION("""COMPUTED_VALUE"""),"NSW")</f>
        <v>NSW</v>
      </c>
      <c r="C614" s="5" t="str">
        <f>IFERROR(__xludf.DUMMYFUNCTION("""COMPUTED_VALUE"""),"Ettalong")</f>
        <v>Ettalong</v>
      </c>
      <c r="D614" s="5"/>
      <c r="E614" s="25">
        <f>IFERROR(__xludf.DUMMYFUNCTION("""COMPUTED_VALUE"""),45916.0)</f>
        <v>45916</v>
      </c>
      <c r="F614" s="5">
        <f>IFERROR(__xludf.DUMMYFUNCTION("""COMPUTED_VALUE"""),6.0)</f>
        <v>6</v>
      </c>
      <c r="G614" s="19" t="str">
        <f>IFERROR(__xludf.DUMMYFUNCTION("""COMPUTED_VALUE"""),"Instant Forms")</f>
        <v>Instant Forms</v>
      </c>
      <c r="H614" s="19" t="str">
        <f>IFERROR(__xludf.DUMMYFUNCTION("""COMPUTED_VALUE"""),"Chris Casey")</f>
        <v>Chris Casey</v>
      </c>
      <c r="I614" s="62"/>
      <c r="J614" s="19"/>
    </row>
    <row r="615">
      <c r="A615" s="19" t="str">
        <f>IFERROR(__xludf.DUMMYFUNCTION("""COMPUTED_VALUE"""),"Charlie Betar")</f>
        <v>Charlie Betar</v>
      </c>
      <c r="B615" s="19" t="str">
        <f>IFERROR(__xludf.DUMMYFUNCTION("""COMPUTED_VALUE"""),"NSW")</f>
        <v>NSW</v>
      </c>
      <c r="C615" s="5" t="str">
        <f>IFERROR(__xludf.DUMMYFUNCTION("""COMPUTED_VALUE"""),"The Entrance")</f>
        <v>The Entrance</v>
      </c>
      <c r="D615" s="5"/>
      <c r="E615" s="25">
        <f>IFERROR(__xludf.DUMMYFUNCTION("""COMPUTED_VALUE"""),45916.0)</f>
        <v>45916</v>
      </c>
      <c r="F615" s="5">
        <f>IFERROR(__xludf.DUMMYFUNCTION("""COMPUTED_VALUE"""),6.0)</f>
        <v>6</v>
      </c>
      <c r="G615" s="19" t="str">
        <f>IFERROR(__xludf.DUMMYFUNCTION("""COMPUTED_VALUE"""),"Instant Forms")</f>
        <v>Instant Forms</v>
      </c>
      <c r="H615" s="19" t="str">
        <f>IFERROR(__xludf.DUMMYFUNCTION("""COMPUTED_VALUE"""),"Peter Silver")</f>
        <v>Peter Silver</v>
      </c>
      <c r="I615" s="62"/>
      <c r="J615" s="19"/>
    </row>
    <row r="616">
      <c r="A616" s="19" t="str">
        <f>IFERROR(__xludf.DUMMYFUNCTION("""COMPUTED_VALUE"""),"Charlie Betar")</f>
        <v>Charlie Betar</v>
      </c>
      <c r="B616" s="19" t="str">
        <f>IFERROR(__xludf.DUMMYFUNCTION("""COMPUTED_VALUE"""),"NSW")</f>
        <v>NSW</v>
      </c>
      <c r="C616" s="5" t="str">
        <f>IFERROR(__xludf.DUMMYFUNCTION("""COMPUTED_VALUE"""),"Forresters Beach")</f>
        <v>Forresters Beach</v>
      </c>
      <c r="D616" s="5" t="str">
        <f>IFERROR(__xludf.DUMMYFUNCTION("""COMPUTED_VALUE"""),"36 Noorong Avenue Forresters Beach NSW 2260")</f>
        <v>36 Noorong Avenue Forresters Beach NSW 2260</v>
      </c>
      <c r="E616" s="25">
        <f>IFERROR(__xludf.DUMMYFUNCTION("""COMPUTED_VALUE"""),45931.0)</f>
        <v>45931</v>
      </c>
      <c r="F616" s="5">
        <f>IFERROR(__xludf.DUMMYFUNCTION("""COMPUTED_VALUE"""),8.0)</f>
        <v>8</v>
      </c>
      <c r="G616" s="19" t="str">
        <f>IFERROR(__xludf.DUMMYFUNCTION("""COMPUTED_VALUE"""),"Instant Forms")</f>
        <v>Instant Forms</v>
      </c>
      <c r="H616" s="19" t="str">
        <f>IFERROR(__xludf.DUMMYFUNCTION("""COMPUTED_VALUE"""),"Robert Broué")</f>
        <v>Robert Broué</v>
      </c>
      <c r="I616" s="62"/>
      <c r="J616" s="19"/>
    </row>
    <row r="617">
      <c r="A617" s="19" t="str">
        <f>IFERROR(__xludf.DUMMYFUNCTION("""COMPUTED_VALUE"""),"")</f>
        <v/>
      </c>
      <c r="B617" s="19" t="str">
        <f>IFERROR(__xludf.DUMMYFUNCTION("""COMPUTED_VALUE"""),"")</f>
        <v/>
      </c>
      <c r="C617" s="5" t="str">
        <f>IFERROR(__xludf.DUMMYFUNCTION("""COMPUTED_VALUE"""),"")</f>
        <v/>
      </c>
      <c r="D617" s="5" t="str">
        <f>IFERROR(__xludf.DUMMYFUNCTION("""COMPUTED_VALUE"""),"")</f>
        <v/>
      </c>
      <c r="E617" s="5" t="str">
        <f>IFERROR(__xludf.DUMMYFUNCTION("""COMPUTED_VALUE"""),"")</f>
        <v/>
      </c>
      <c r="F617" s="5" t="str">
        <f>IFERROR(__xludf.DUMMYFUNCTION("""COMPUTED_VALUE"""),"")</f>
        <v/>
      </c>
      <c r="G617" s="19" t="str">
        <f>IFERROR(__xludf.DUMMYFUNCTION("""COMPUTED_VALUE"""),"")</f>
        <v/>
      </c>
      <c r="H617" s="19" t="str">
        <f>IFERROR(__xludf.DUMMYFUNCTION("""COMPUTED_VALUE"""),"")</f>
        <v/>
      </c>
      <c r="I617" s="62" t="str">
        <f>IFERROR(__xludf.DUMMYFUNCTION("""COMPUTED_VALUE"""),"")</f>
        <v/>
      </c>
      <c r="J617" s="19" t="str">
        <f>IFERROR(__xludf.DUMMYFUNCTION("""COMPUTED_VALUE"""),"")</f>
        <v/>
      </c>
    </row>
    <row r="618">
      <c r="A618" s="19" t="str">
        <f>IFERROR(__xludf.DUMMYFUNCTION("""COMPUTED_VALUE"""),"")</f>
        <v/>
      </c>
      <c r="B618" s="19" t="str">
        <f>IFERROR(__xludf.DUMMYFUNCTION("""COMPUTED_VALUE"""),"")</f>
        <v/>
      </c>
      <c r="C618" s="5" t="str">
        <f>IFERROR(__xludf.DUMMYFUNCTION("""COMPUTED_VALUE"""),"")</f>
        <v/>
      </c>
      <c r="D618" s="5" t="str">
        <f>IFERROR(__xludf.DUMMYFUNCTION("""COMPUTED_VALUE"""),"")</f>
        <v/>
      </c>
      <c r="E618" s="5" t="str">
        <f>IFERROR(__xludf.DUMMYFUNCTION("""COMPUTED_VALUE"""),"")</f>
        <v/>
      </c>
      <c r="F618" s="5" t="str">
        <f>IFERROR(__xludf.DUMMYFUNCTION("""COMPUTED_VALUE"""),"")</f>
        <v/>
      </c>
      <c r="G618" s="19" t="str">
        <f>IFERROR(__xludf.DUMMYFUNCTION("""COMPUTED_VALUE"""),"")</f>
        <v/>
      </c>
      <c r="H618" s="19" t="str">
        <f>IFERROR(__xludf.DUMMYFUNCTION("""COMPUTED_VALUE"""),"")</f>
        <v/>
      </c>
      <c r="I618" s="62" t="str">
        <f>IFERROR(__xludf.DUMMYFUNCTION("""COMPUTED_VALUE"""),"")</f>
        <v/>
      </c>
      <c r="J618" s="19" t="str">
        <f>IFERROR(__xludf.DUMMYFUNCTION("""COMPUTED_VALUE"""),"")</f>
        <v/>
      </c>
    </row>
    <row r="619">
      <c r="A619" s="19" t="str">
        <f>IFERROR(__xludf.DUMMYFUNCTION("""COMPUTED_VALUE"""),"Chris Gilmour")</f>
        <v>Chris Gilmour</v>
      </c>
      <c r="B619" s="19" t="str">
        <f>IFERROR(__xludf.DUMMYFUNCTION("""COMPUTED_VALUE"""),"QLD")</f>
        <v>QLD</v>
      </c>
      <c r="C619" s="5" t="str">
        <f>IFERROR(__xludf.DUMMYFUNCTION("""COMPUTED_VALUE"""),"Jimboomba")</f>
        <v>Jimboomba</v>
      </c>
      <c r="D619" s="5" t="str">
        <f>IFERROR(__xludf.DUMMYFUNCTION("""COMPUTED_VALUE"""),"4 Boyne Street, Jimboomba, QLD, 4280, Australia")</f>
        <v>4 Boyne Street, Jimboomba, QLD, 4280, Australia</v>
      </c>
      <c r="E619" s="5" t="str">
        <f>IFERROR(__xludf.DUMMYFUNCTION("""COMPUTED_VALUE"""),"30/05/2025")</f>
        <v>30/05/2025</v>
      </c>
      <c r="F619" s="5" t="str">
        <f>IFERROR(__xludf.DUMMYFUNCTION("""COMPUTED_VALUE"""),"Featured")</f>
        <v>Featured</v>
      </c>
      <c r="G619" s="19"/>
      <c r="H619" s="19"/>
      <c r="I619" s="62"/>
      <c r="J619" s="19"/>
    </row>
    <row r="620">
      <c r="A620" s="19" t="str">
        <f>IFERROR(__xludf.DUMMYFUNCTION("""COMPUTED_VALUE"""),"Chris Gilmour")</f>
        <v>Chris Gilmour</v>
      </c>
      <c r="B620" s="19" t="str">
        <f>IFERROR(__xludf.DUMMYFUNCTION("""COMPUTED_VALUE"""),"QLD")</f>
        <v>QLD</v>
      </c>
      <c r="C620" s="5">
        <f>IFERROR(__xludf.DUMMYFUNCTION("""COMPUTED_VALUE"""),4115.0)</f>
        <v>4115</v>
      </c>
      <c r="D620" s="5"/>
      <c r="E620" s="63">
        <f>IFERROR(__xludf.DUMMYFUNCTION("""COMPUTED_VALUE"""),45841.42758101851)</f>
        <v>45841.42758</v>
      </c>
      <c r="F620" s="5" t="str">
        <f>IFERROR(__xludf.DUMMYFUNCTION("""COMPUTED_VALUE"""),"Featured")</f>
        <v>Featured</v>
      </c>
      <c r="G620" s="19" t="str">
        <f>IFERROR(__xludf.DUMMYFUNCTION("""COMPUTED_VALUE"""),"Instant Forms")</f>
        <v>Instant Forms</v>
      </c>
      <c r="H620" s="19"/>
      <c r="I620" s="62"/>
      <c r="J620" s="19"/>
    </row>
    <row r="621">
      <c r="A621" s="19" t="str">
        <f>IFERROR(__xludf.DUMMYFUNCTION("""COMPUTED_VALUE"""),"Chris Gilmour")</f>
        <v>Chris Gilmour</v>
      </c>
      <c r="B621" s="19" t="str">
        <f>IFERROR(__xludf.DUMMYFUNCTION("""COMPUTED_VALUE"""),"QLD")</f>
        <v>QLD</v>
      </c>
      <c r="C621" s="5">
        <f>IFERROR(__xludf.DUMMYFUNCTION("""COMPUTED_VALUE"""),4116.0)</f>
        <v>4116</v>
      </c>
      <c r="D621" s="5"/>
      <c r="E621" s="63">
        <f>IFERROR(__xludf.DUMMYFUNCTION("""COMPUTED_VALUE"""),45850.44636574074)</f>
        <v>45850.44637</v>
      </c>
      <c r="F621" s="5" t="str">
        <f>IFERROR(__xludf.DUMMYFUNCTION("""COMPUTED_VALUE"""),"Featured")</f>
        <v>Featured</v>
      </c>
      <c r="G621" s="19" t="str">
        <f>IFERROR(__xludf.DUMMYFUNCTION("""COMPUTED_VALUE"""),"Instant Forms")</f>
        <v>Instant Forms</v>
      </c>
      <c r="H621" s="19"/>
      <c r="I621" s="62"/>
      <c r="J621" s="19"/>
    </row>
    <row r="622">
      <c r="A622" s="19" t="str">
        <f>IFERROR(__xludf.DUMMYFUNCTION("""COMPUTED_VALUE"""),"Chris Gilmour")</f>
        <v>Chris Gilmour</v>
      </c>
      <c r="B622" s="19" t="str">
        <f>IFERROR(__xludf.DUMMYFUNCTION("""COMPUTED_VALUE"""),"QLD")</f>
        <v>QLD</v>
      </c>
      <c r="C622" s="5" t="str">
        <f>IFERROR(__xludf.DUMMYFUNCTION("""COMPUTED_VALUE"""),"Mount Gravatt")</f>
        <v>Mount Gravatt</v>
      </c>
      <c r="D622" s="5" t="str">
        <f>IFERROR(__xludf.DUMMYFUNCTION("""COMPUTED_VALUE"""),"54 Bentham Street")</f>
        <v>54 Bentham Street</v>
      </c>
      <c r="E622" s="63"/>
      <c r="F622" s="5" t="str">
        <f>IFERROR(__xludf.DUMMYFUNCTION("""COMPUTED_VALUE"""),"Featured")</f>
        <v>Featured</v>
      </c>
      <c r="G622" s="19" t="str">
        <f>IFERROR(__xludf.DUMMYFUNCTION("""COMPUTED_VALUE"""),"Commission Comparison")</f>
        <v>Commission Comparison</v>
      </c>
      <c r="H622" s="19"/>
      <c r="I622" s="62"/>
      <c r="J622" s="19"/>
    </row>
    <row r="623">
      <c r="A623" s="19" t="str">
        <f>IFERROR(__xludf.DUMMYFUNCTION("""COMPUTED_VALUE"""),"Chris Gilmour")</f>
        <v>Chris Gilmour</v>
      </c>
      <c r="B623" s="19" t="str">
        <f>IFERROR(__xludf.DUMMYFUNCTION("""COMPUTED_VALUE"""),"QLD")</f>
        <v>QLD</v>
      </c>
      <c r="C623" s="5" t="str">
        <f>IFERROR(__xludf.DUMMYFUNCTION("""COMPUTED_VALUE"""),"Moggill")</f>
        <v>Moggill</v>
      </c>
      <c r="D623" s="5" t="str">
        <f>IFERROR(__xludf.DUMMYFUNCTION("""COMPUTED_VALUE"""),"96 Outlook Place")</f>
        <v>96 Outlook Place</v>
      </c>
      <c r="E623" s="63"/>
      <c r="F623" s="5" t="str">
        <f>IFERROR(__xludf.DUMMYFUNCTION("""COMPUTED_VALUE"""),"Featured")</f>
        <v>Featured</v>
      </c>
      <c r="G623" s="19" t="str">
        <f>IFERROR(__xludf.DUMMYFUNCTION("""COMPUTED_VALUE"""),"Commission Comparison")</f>
        <v>Commission Comparison</v>
      </c>
      <c r="H623" s="19"/>
      <c r="I623" s="62"/>
      <c r="J623" s="19"/>
    </row>
    <row r="624">
      <c r="A624" s="19" t="str">
        <f>IFERROR(__xludf.DUMMYFUNCTION("""COMPUTED_VALUE"""),"Chris Gilmour")</f>
        <v>Chris Gilmour</v>
      </c>
      <c r="B624" s="19" t="str">
        <f>IFERROR(__xludf.DUMMYFUNCTION("""COMPUTED_VALUE"""),"QLD")</f>
        <v>QLD</v>
      </c>
      <c r="C624" s="5" t="str">
        <f>IFERROR(__xludf.DUMMYFUNCTION("""COMPUTED_VALUE"""),"Jimboomba")</f>
        <v>Jimboomba</v>
      </c>
      <c r="D624" s="5"/>
      <c r="E624" s="63" t="str">
        <f>IFERROR(__xludf.DUMMYFUNCTION("""COMPUTED_VALUE"""),"31/07/2025")</f>
        <v>31/07/2025</v>
      </c>
      <c r="F624" s="5" t="str">
        <f>IFERROR(__xludf.DUMMYFUNCTION("""COMPUTED_VALUE"""),"Featured")</f>
        <v>Featured</v>
      </c>
      <c r="G624" s="19" t="str">
        <f>IFERROR(__xludf.DUMMYFUNCTION("""COMPUTED_VALUE"""),"Instant Forms")</f>
        <v>Instant Forms</v>
      </c>
      <c r="H624" s="19"/>
      <c r="I624" s="62"/>
      <c r="J624" s="19"/>
    </row>
    <row r="625">
      <c r="A625" s="19" t="str">
        <f>IFERROR(__xludf.DUMMYFUNCTION("""COMPUTED_VALUE"""),"Chris Gilmour")</f>
        <v>Chris Gilmour</v>
      </c>
      <c r="B625" s="19" t="str">
        <f>IFERROR(__xludf.DUMMYFUNCTION("""COMPUTED_VALUE"""),"QLD")</f>
        <v>QLD</v>
      </c>
      <c r="C625" s="5" t="str">
        <f>IFERROR(__xludf.DUMMYFUNCTION("""COMPUTED_VALUE"""),"Regents Park/Heritage Park")</f>
        <v>Regents Park/Heritage Park</v>
      </c>
      <c r="D625" s="5" t="str">
        <f>IFERROR(__xludf.DUMMYFUNCTION("""COMPUTED_VALUE"""),"11 Montgomery Court Heritage Park QLD 4118")</f>
        <v>11 Montgomery Court Heritage Park QLD 4118</v>
      </c>
      <c r="E625" s="25">
        <f>IFERROR(__xludf.DUMMYFUNCTION("""COMPUTED_VALUE"""),45889.0)</f>
        <v>45889</v>
      </c>
      <c r="F625" s="5" t="str">
        <f>IFERROR(__xludf.DUMMYFUNCTION("""COMPUTED_VALUE"""),"Featured")</f>
        <v>Featured</v>
      </c>
      <c r="G625" s="19" t="str">
        <f>IFERROR(__xludf.DUMMYFUNCTION("""COMPUTED_VALUE"""),"Instant Forms")</f>
        <v>Instant Forms</v>
      </c>
      <c r="H625" s="19"/>
      <c r="I625" s="62"/>
      <c r="J625" s="19"/>
    </row>
    <row r="626">
      <c r="A626" s="19" t="str">
        <f>IFERROR(__xludf.DUMMYFUNCTION("""COMPUTED_VALUE"""),"Chris Gilmour")</f>
        <v>Chris Gilmour</v>
      </c>
      <c r="B626" s="19" t="str">
        <f>IFERROR(__xludf.DUMMYFUNCTION("""COMPUTED_VALUE"""),"QLD")</f>
        <v>QLD</v>
      </c>
      <c r="C626" s="5" t="str">
        <f>IFERROR(__xludf.DUMMYFUNCTION("""COMPUTED_VALUE"""),"Parkinson")</f>
        <v>Parkinson</v>
      </c>
      <c r="D626" s="5" t="str">
        <f>IFERROR(__xludf.DUMMYFUNCTION("""COMPUTED_VALUE"""),"19 Fernhill Place Parkinson QLD 4115")</f>
        <v>19 Fernhill Place Parkinson QLD 4115</v>
      </c>
      <c r="E626" s="25">
        <f>IFERROR(__xludf.DUMMYFUNCTION("""COMPUTED_VALUE"""),45889.0)</f>
        <v>45889</v>
      </c>
      <c r="F626" s="5" t="str">
        <f>IFERROR(__xludf.DUMMYFUNCTION("""COMPUTED_VALUE"""),"Featured")</f>
        <v>Featured</v>
      </c>
      <c r="G626" s="19" t="str">
        <f>IFERROR(__xludf.DUMMYFUNCTION("""COMPUTED_VALUE"""),"Instant Forms")</f>
        <v>Instant Forms</v>
      </c>
      <c r="H626" s="19"/>
      <c r="I626" s="62"/>
      <c r="J626" s="19"/>
    </row>
    <row r="627">
      <c r="A627" s="19" t="str">
        <f>IFERROR(__xludf.DUMMYFUNCTION("""COMPUTED_VALUE"""),"Chris Gilmour")</f>
        <v>Chris Gilmour</v>
      </c>
      <c r="B627" s="19" t="str">
        <f>IFERROR(__xludf.DUMMYFUNCTION("""COMPUTED_VALUE"""),"QLD")</f>
        <v>QLD</v>
      </c>
      <c r="C627" s="5" t="str">
        <f>IFERROR(__xludf.DUMMYFUNCTION("""COMPUTED_VALUE"""),"Flagstone")</f>
        <v>Flagstone</v>
      </c>
      <c r="D627" s="5" t="str">
        <f>IFERROR(__xludf.DUMMYFUNCTION("""COMPUTED_VALUE"""),"10 Culligan Way Flagstone QLD 4280")</f>
        <v>10 Culligan Way Flagstone QLD 4280</v>
      </c>
      <c r="E627" s="25">
        <f>IFERROR(__xludf.DUMMYFUNCTION("""COMPUTED_VALUE"""),45890.0)</f>
        <v>45890</v>
      </c>
      <c r="F627" s="5" t="str">
        <f>IFERROR(__xludf.DUMMYFUNCTION("""COMPUTED_VALUE"""),"Featured")</f>
        <v>Featured</v>
      </c>
      <c r="G627" s="19" t="str">
        <f>IFERROR(__xludf.DUMMYFUNCTION("""COMPUTED_VALUE"""),"Instant Forms")</f>
        <v>Instant Forms</v>
      </c>
      <c r="H627" s="19"/>
      <c r="I627" s="62"/>
      <c r="J627" s="19"/>
    </row>
    <row r="628">
      <c r="A628" s="19" t="str">
        <f>IFERROR(__xludf.DUMMYFUNCTION("""COMPUTED_VALUE"""),"Chris Gilmour")</f>
        <v>Chris Gilmour</v>
      </c>
      <c r="B628" s="19" t="str">
        <f>IFERROR(__xludf.DUMMYFUNCTION("""COMPUTED_VALUE"""),"QLD")</f>
        <v>QLD</v>
      </c>
      <c r="C628" s="5" t="str">
        <f>IFERROR(__xludf.DUMMYFUNCTION("""COMPUTED_VALUE"""),"Calamvale")</f>
        <v>Calamvale</v>
      </c>
      <c r="D628" s="5" t="str">
        <f>IFERROR(__xludf.DUMMYFUNCTION("""COMPUTED_VALUE"""),"18/78 Ormskirk Street Calamvale QLD 4116")</f>
        <v>18/78 Ormskirk Street Calamvale QLD 4116</v>
      </c>
      <c r="E628" s="25">
        <f>IFERROR(__xludf.DUMMYFUNCTION("""COMPUTED_VALUE"""),45890.0)</f>
        <v>45890</v>
      </c>
      <c r="F628" s="5" t="str">
        <f>IFERROR(__xludf.DUMMYFUNCTION("""COMPUTED_VALUE"""),"Featured")</f>
        <v>Featured</v>
      </c>
      <c r="G628" s="19" t="str">
        <f>IFERROR(__xludf.DUMMYFUNCTION("""COMPUTED_VALUE"""),"Instant Forms")</f>
        <v>Instant Forms</v>
      </c>
      <c r="H628" s="19"/>
      <c r="I628" s="62"/>
      <c r="J628" s="19"/>
    </row>
    <row r="629">
      <c r="A629" s="19" t="str">
        <f>IFERROR(__xludf.DUMMYFUNCTION("""COMPUTED_VALUE"""),"Chris Gilmour")</f>
        <v>Chris Gilmour</v>
      </c>
      <c r="B629" s="19" t="str">
        <f>IFERROR(__xludf.DUMMYFUNCTION("""COMPUTED_VALUE"""),"QLD")</f>
        <v>QLD</v>
      </c>
      <c r="C629" s="5" t="str">
        <f>IFERROR(__xludf.DUMMYFUNCTION("""COMPUTED_VALUE"""),"Parkinson")</f>
        <v>Parkinson</v>
      </c>
      <c r="D629" s="5"/>
      <c r="E629" s="25">
        <f>IFERROR(__xludf.DUMMYFUNCTION("""COMPUTED_VALUE"""),45894.0)</f>
        <v>45894</v>
      </c>
      <c r="F629" s="5" t="str">
        <f>IFERROR(__xludf.DUMMYFUNCTION("""COMPUTED_VALUE"""),"Featured")</f>
        <v>Featured</v>
      </c>
      <c r="G629" s="19" t="str">
        <f>IFERROR(__xludf.DUMMYFUNCTION("""COMPUTED_VALUE"""),"Instant Forms")</f>
        <v>Instant Forms</v>
      </c>
      <c r="H629" s="19"/>
      <c r="I629" s="62"/>
      <c r="J629" s="19"/>
    </row>
    <row r="630">
      <c r="A630" s="19" t="str">
        <f>IFERROR(__xludf.DUMMYFUNCTION("""COMPUTED_VALUE"""),"Chris Gilmour")</f>
        <v>Chris Gilmour</v>
      </c>
      <c r="B630" s="19" t="str">
        <f>IFERROR(__xludf.DUMMYFUNCTION("""COMPUTED_VALUE"""),"QLD")</f>
        <v>QLD</v>
      </c>
      <c r="C630" s="5" t="str">
        <f>IFERROR(__xludf.DUMMYFUNCTION("""COMPUTED_VALUE"""),"parkridge")</f>
        <v>parkridge</v>
      </c>
      <c r="D630" s="5" t="str">
        <f>IFERROR(__xludf.DUMMYFUNCTION("""COMPUTED_VALUE"""),"221-231 Rosia Road Park Ridge South QLD 4125")</f>
        <v>221-231 Rosia Road Park Ridge South QLD 4125</v>
      </c>
      <c r="E630" s="25">
        <f>IFERROR(__xludf.DUMMYFUNCTION("""COMPUTED_VALUE"""),45897.0)</f>
        <v>45897</v>
      </c>
      <c r="F630" s="5" t="str">
        <f>IFERROR(__xludf.DUMMYFUNCTION("""COMPUTED_VALUE"""),"Featured")</f>
        <v>Featured</v>
      </c>
      <c r="G630" s="19" t="str">
        <f>IFERROR(__xludf.DUMMYFUNCTION("""COMPUTED_VALUE"""),"Instant Forms")</f>
        <v>Instant Forms</v>
      </c>
      <c r="H630" s="19"/>
      <c r="I630" s="62"/>
      <c r="J630" s="19"/>
    </row>
    <row r="631">
      <c r="A631" s="19" t="str">
        <f>IFERROR(__xludf.DUMMYFUNCTION("""COMPUTED_VALUE"""),"Chris Gilmour")</f>
        <v>Chris Gilmour</v>
      </c>
      <c r="B631" s="19" t="str">
        <f>IFERROR(__xludf.DUMMYFUNCTION("""COMPUTED_VALUE"""),"QLD")</f>
        <v>QLD</v>
      </c>
      <c r="C631" s="5" t="str">
        <f>IFERROR(__xludf.DUMMYFUNCTION("""COMPUTED_VALUE"""),"South Maclean qld")</f>
        <v>South Maclean qld</v>
      </c>
      <c r="D631" s="5" t="str">
        <f>IFERROR(__xludf.DUMMYFUNCTION("""COMPUTED_VALUE"""),"45 Greenock Road South Maclean QLD 4280")</f>
        <v>45 Greenock Road South Maclean QLD 4280</v>
      </c>
      <c r="E631" s="25">
        <f>IFERROR(__xludf.DUMMYFUNCTION("""COMPUTED_VALUE"""),45899.0)</f>
        <v>45899</v>
      </c>
      <c r="F631" s="5" t="str">
        <f>IFERROR(__xludf.DUMMYFUNCTION("""COMPUTED_VALUE"""),"Featured")</f>
        <v>Featured</v>
      </c>
      <c r="G631" s="19" t="str">
        <f>IFERROR(__xludf.DUMMYFUNCTION("""COMPUTED_VALUE"""),"Instant Forms")</f>
        <v>Instant Forms</v>
      </c>
      <c r="H631" s="19"/>
      <c r="I631" s="62"/>
      <c r="J631" s="19"/>
    </row>
    <row r="632">
      <c r="A632" s="19" t="str">
        <f>IFERROR(__xludf.DUMMYFUNCTION("""COMPUTED_VALUE"""),"Chris Gilmour")</f>
        <v>Chris Gilmour</v>
      </c>
      <c r="B632" s="19" t="str">
        <f>IFERROR(__xludf.DUMMYFUNCTION("""COMPUTED_VALUE"""),"QLD")</f>
        <v>QLD</v>
      </c>
      <c r="C632" s="5" t="str">
        <f>IFERROR(__xludf.DUMMYFUNCTION("""COMPUTED_VALUE"""),"Parkinson")</f>
        <v>Parkinson</v>
      </c>
      <c r="D632" s="5" t="str">
        <f>IFERROR(__xludf.DUMMYFUNCTION("""COMPUTED_VALUE"""),"4 Inverary Place Parkinson QLD 4115")</f>
        <v>4 Inverary Place Parkinson QLD 4115</v>
      </c>
      <c r="E632" s="25">
        <f>IFERROR(__xludf.DUMMYFUNCTION("""COMPUTED_VALUE"""),45901.0)</f>
        <v>45901</v>
      </c>
      <c r="F632" s="5" t="str">
        <f>IFERROR(__xludf.DUMMYFUNCTION("""COMPUTED_VALUE"""),"Featured")</f>
        <v>Featured</v>
      </c>
      <c r="G632" s="19" t="str">
        <f>IFERROR(__xludf.DUMMYFUNCTION("""COMPUTED_VALUE"""),"Instant Forms")</f>
        <v>Instant Forms</v>
      </c>
      <c r="H632" s="19"/>
      <c r="I632" s="62"/>
      <c r="J632" s="19"/>
    </row>
    <row r="633">
      <c r="A633" s="19" t="str">
        <f>IFERROR(__xludf.DUMMYFUNCTION("""COMPUTED_VALUE"""),"Chris Gilmour")</f>
        <v>Chris Gilmour</v>
      </c>
      <c r="B633" s="19" t="str">
        <f>IFERROR(__xludf.DUMMYFUNCTION("""COMPUTED_VALUE"""),"QLD")</f>
        <v>QLD</v>
      </c>
      <c r="C633" s="5" t="str">
        <f>IFERROR(__xludf.DUMMYFUNCTION("""COMPUTED_VALUE"""),"browns plains")</f>
        <v>browns plains</v>
      </c>
      <c r="D633" s="5" t="str">
        <f>IFERROR(__xludf.DUMMYFUNCTION("""COMPUTED_VALUE"""),"1 Dunbar Street Browns Plains QLD 4118")</f>
        <v>1 Dunbar Street Browns Plains QLD 4118</v>
      </c>
      <c r="E633" s="25">
        <f>IFERROR(__xludf.DUMMYFUNCTION("""COMPUTED_VALUE"""),45929.0)</f>
        <v>45929</v>
      </c>
      <c r="F633" s="5">
        <f>IFERROR(__xludf.DUMMYFUNCTION("""COMPUTED_VALUE"""),8.0)</f>
        <v>8</v>
      </c>
      <c r="G633" s="19" t="str">
        <f>IFERROR(__xludf.DUMMYFUNCTION("""COMPUTED_VALUE"""),"Instant Forms")</f>
        <v>Instant Forms</v>
      </c>
      <c r="H633" s="19" t="str">
        <f>IFERROR(__xludf.DUMMYFUNCTION("""COMPUTED_VALUE"""),"Naomi Duncan")</f>
        <v>Naomi Duncan</v>
      </c>
      <c r="I633" s="62"/>
      <c r="J633" s="19"/>
    </row>
    <row r="634">
      <c r="A634" s="19" t="str">
        <f>IFERROR(__xludf.DUMMYFUNCTION("""COMPUTED_VALUE"""),"Chris Gilmour")</f>
        <v>Chris Gilmour</v>
      </c>
      <c r="B634" s="19" t="str">
        <f>IFERROR(__xludf.DUMMYFUNCTION("""COMPUTED_VALUE"""),"QLD")</f>
        <v>QLD</v>
      </c>
      <c r="C634" s="5" t="str">
        <f>IFERROR(__xludf.DUMMYFUNCTION("""COMPUTED_VALUE"""),"Kingston")</f>
        <v>Kingston</v>
      </c>
      <c r="D634" s="5" t="str">
        <f>IFERROR(__xludf.DUMMYFUNCTION("""COMPUTED_VALUE"""),"26 Woody Avenue Kingston QLD 4114")</f>
        <v>26 Woody Avenue Kingston QLD 4114</v>
      </c>
      <c r="E634" s="25">
        <f>IFERROR(__xludf.DUMMYFUNCTION("""COMPUTED_VALUE"""),45934.0)</f>
        <v>45934</v>
      </c>
      <c r="F634" s="5">
        <f>IFERROR(__xludf.DUMMYFUNCTION("""COMPUTED_VALUE"""),8.0)</f>
        <v>8</v>
      </c>
      <c r="G634" s="19" t="str">
        <f>IFERROR(__xludf.DUMMYFUNCTION("""COMPUTED_VALUE"""),"Instant Forms")</f>
        <v>Instant Forms</v>
      </c>
      <c r="H634" s="19" t="str">
        <f>IFERROR(__xludf.DUMMYFUNCTION("""COMPUTED_VALUE"""),"merindah Faye welsh")</f>
        <v>merindah Faye welsh</v>
      </c>
      <c r="I634" s="62"/>
      <c r="J634" s="19"/>
    </row>
    <row r="635">
      <c r="A635" s="19" t="str">
        <f>IFERROR(__xludf.DUMMYFUNCTION("""COMPUTED_VALUE"""),"Chris Gilmour")</f>
        <v>Chris Gilmour</v>
      </c>
      <c r="B635" s="19" t="str">
        <f>IFERROR(__xludf.DUMMYFUNCTION("""COMPUTED_VALUE"""),"QLD")</f>
        <v>QLD</v>
      </c>
      <c r="C635" s="5" t="str">
        <f>IFERROR(__xludf.DUMMYFUNCTION("""COMPUTED_VALUE"""),"Loganlea")</f>
        <v>Loganlea</v>
      </c>
      <c r="D635" s="5" t="str">
        <f>IFERROR(__xludf.DUMMYFUNCTION("""COMPUTED_VALUE"""),"2 Jellicoe St")</f>
        <v>2 Jellicoe St</v>
      </c>
      <c r="E635" s="25">
        <f>IFERROR(__xludf.DUMMYFUNCTION("""COMPUTED_VALUE"""),45950.0)</f>
        <v>45950</v>
      </c>
      <c r="F635" s="5" t="str">
        <f>IFERROR(__xludf.DUMMYFUNCTION("""COMPUTED_VALUE"""),"Featured")</f>
        <v>Featured</v>
      </c>
      <c r="G635" s="19" t="str">
        <f>IFERROR(__xludf.DUMMYFUNCTION("""COMPUTED_VALUE"""),"Commission Comparison")</f>
        <v>Commission Comparison</v>
      </c>
      <c r="H635" s="19"/>
      <c r="I635" s="62"/>
      <c r="J635" s="19"/>
    </row>
    <row r="636">
      <c r="A636" s="19" t="str">
        <f>IFERROR(__xludf.DUMMYFUNCTION("""COMPUTED_VALUE"""),"Chris Gilmour")</f>
        <v>Chris Gilmour</v>
      </c>
      <c r="B636" s="19" t="str">
        <f>IFERROR(__xludf.DUMMYFUNCTION("""COMPUTED_VALUE"""),"QLD")</f>
        <v>QLD</v>
      </c>
      <c r="C636" s="5" t="str">
        <f>IFERROR(__xludf.DUMMYFUNCTION("""COMPUTED_VALUE"""),"Greenbank")</f>
        <v>Greenbank</v>
      </c>
      <c r="D636" s="5" t="str">
        <f>IFERROR(__xludf.DUMMYFUNCTION("""COMPUTED_VALUE"""),"33 Tigercat Court Greenbank QLD 4124")</f>
        <v>33 Tigercat Court Greenbank QLD 4124</v>
      </c>
      <c r="E636" s="25">
        <f>IFERROR(__xludf.DUMMYFUNCTION("""COMPUTED_VALUE"""),45951.0)</f>
        <v>45951</v>
      </c>
      <c r="F636" s="5">
        <f>IFERROR(__xludf.DUMMYFUNCTION("""COMPUTED_VALUE"""),8.0)</f>
        <v>8</v>
      </c>
      <c r="G636" s="19" t="str">
        <f>IFERROR(__xludf.DUMMYFUNCTION("""COMPUTED_VALUE"""),"Instant Forms")</f>
        <v>Instant Forms</v>
      </c>
      <c r="H636" s="19"/>
      <c r="I636" s="62"/>
      <c r="J636" s="19"/>
    </row>
    <row r="637">
      <c r="A637" s="19" t="str">
        <f>IFERROR(__xludf.DUMMYFUNCTION("""COMPUTED_VALUE"""),"Chris Gilmour")</f>
        <v>Chris Gilmour</v>
      </c>
      <c r="B637" s="19" t="str">
        <f>IFERROR(__xludf.DUMMYFUNCTION("""COMPUTED_VALUE"""),"QLD")</f>
        <v>QLD</v>
      </c>
      <c r="C637" s="5" t="str">
        <f>IFERROR(__xludf.DUMMYFUNCTION("""COMPUTED_VALUE"""),"Greenbank")</f>
        <v>Greenbank</v>
      </c>
      <c r="D637" s="5" t="str">
        <f>IFERROR(__xludf.DUMMYFUNCTION("""COMPUTED_VALUE"""),"96-102 Boulia Street")</f>
        <v>96-102 Boulia Street</v>
      </c>
      <c r="E637" s="25">
        <f>IFERROR(__xludf.DUMMYFUNCTION("""COMPUTED_VALUE"""),45951.0)</f>
        <v>45951</v>
      </c>
      <c r="F637" s="5" t="str">
        <f>IFERROR(__xludf.DUMMYFUNCTION("""COMPUTED_VALUE"""),"Featured")</f>
        <v>Featured</v>
      </c>
      <c r="G637" s="19" t="str">
        <f>IFERROR(__xludf.DUMMYFUNCTION("""COMPUTED_VALUE"""),"Commission Comparison")</f>
        <v>Commission Comparison</v>
      </c>
      <c r="H637" s="19"/>
      <c r="I637" s="62"/>
      <c r="J637" s="19"/>
    </row>
    <row r="638">
      <c r="A638" s="19" t="str">
        <f>IFERROR(__xludf.DUMMYFUNCTION("""COMPUTED_VALUE"""),"Chris Gilmour")</f>
        <v>Chris Gilmour</v>
      </c>
      <c r="B638" s="19" t="str">
        <f>IFERROR(__xludf.DUMMYFUNCTION("""COMPUTED_VALUE"""),"QLD")</f>
        <v>QLD</v>
      </c>
      <c r="C638" s="5" t="str">
        <f>IFERROR(__xludf.DUMMYFUNCTION("""COMPUTED_VALUE"""),"Jimboomba")</f>
        <v>Jimboomba</v>
      </c>
      <c r="D638" s="5" t="str">
        <f>IFERROR(__xludf.DUMMYFUNCTION("""COMPUTED_VALUE"""),"41 Cooper Crescent, Jimboomba, QLD, 4280, Australia")</f>
        <v>41 Cooper Crescent, Jimboomba, QLD, 4280, Australia</v>
      </c>
      <c r="E638" s="25" t="str">
        <f>IFERROR(__xludf.DUMMYFUNCTION("""COMPUTED_VALUE"""),"21/10/2025")</f>
        <v>21/10/2025</v>
      </c>
      <c r="F638" s="5" t="str">
        <f>IFERROR(__xludf.DUMMYFUNCTION("""COMPUTED_VALUE"""),"Featured")</f>
        <v>Featured</v>
      </c>
      <c r="G638" s="19"/>
      <c r="H638" s="19"/>
      <c r="I638" s="62"/>
      <c r="J638" s="19"/>
    </row>
    <row r="639">
      <c r="A639" s="19" t="str">
        <f>IFERROR(__xludf.DUMMYFUNCTION("""COMPUTED_VALUE"""),"Chris Gilmour")</f>
        <v>Chris Gilmour</v>
      </c>
      <c r="B639" s="19" t="str">
        <f>IFERROR(__xludf.DUMMYFUNCTION("""COMPUTED_VALUE"""),"QLD")</f>
        <v>QLD</v>
      </c>
      <c r="C639" s="5" t="str">
        <f>IFERROR(__xludf.DUMMYFUNCTION("""COMPUTED_VALUE"""),"Flagstone")</f>
        <v>Flagstone</v>
      </c>
      <c r="D639" s="5" t="str">
        <f>IFERROR(__xludf.DUMMYFUNCTION("""COMPUTED_VALUE"""),"2 Range Court, Flagstone, QLD, 4280, Australia")</f>
        <v>2 Range Court, Flagstone, QLD, 4280, Australia</v>
      </c>
      <c r="E639" s="25" t="str">
        <f>IFERROR(__xludf.DUMMYFUNCTION("""COMPUTED_VALUE"""),"21/10/2025")</f>
        <v>21/10/2025</v>
      </c>
      <c r="F639" s="5" t="str">
        <f>IFERROR(__xludf.DUMMYFUNCTION("""COMPUTED_VALUE"""),"Featured")</f>
        <v>Featured</v>
      </c>
      <c r="G639" s="19"/>
      <c r="H639" s="19"/>
      <c r="I639" s="62"/>
      <c r="J639" s="19"/>
    </row>
    <row r="640">
      <c r="A640" s="19" t="str">
        <f>IFERROR(__xludf.DUMMYFUNCTION("""COMPUTED_VALUE"""),"Chris Gilmour")</f>
        <v>Chris Gilmour</v>
      </c>
      <c r="B640" s="19" t="str">
        <f>IFERROR(__xludf.DUMMYFUNCTION("""COMPUTED_VALUE"""),"QLD")</f>
        <v>QLD</v>
      </c>
      <c r="C640" s="5" t="str">
        <f>IFERROR(__xludf.DUMMYFUNCTION("""COMPUTED_VALUE"""),"Greenbank")</f>
        <v>Greenbank</v>
      </c>
      <c r="D640" s="5" t="str">
        <f>IFERROR(__xludf.DUMMYFUNCTION("""COMPUTED_VALUE"""),"142-150 Begley Road Greenbank QLD 4124")</f>
        <v>142-150 Begley Road Greenbank QLD 4124</v>
      </c>
      <c r="E640" s="25">
        <f>IFERROR(__xludf.DUMMYFUNCTION("""COMPUTED_VALUE"""),45955.0)</f>
        <v>45955</v>
      </c>
      <c r="F640" s="5" t="str">
        <f>IFERROR(__xludf.DUMMYFUNCTION("""COMPUTED_VALUE"""),"Featured")</f>
        <v>Featured</v>
      </c>
      <c r="G640" s="19" t="str">
        <f>IFERROR(__xludf.DUMMYFUNCTION("""COMPUTED_VALUE"""),"Commission Comparison")</f>
        <v>Commission Comparison</v>
      </c>
      <c r="H640" s="19"/>
      <c r="I640" s="62"/>
      <c r="J640" s="19"/>
    </row>
    <row r="641">
      <c r="A641" s="19" t="str">
        <f>IFERROR(__xludf.DUMMYFUNCTION("""COMPUTED_VALUE"""),"Chris Gilmour")</f>
        <v>Chris Gilmour</v>
      </c>
      <c r="B641" s="19" t="str">
        <f>IFERROR(__xludf.DUMMYFUNCTION("""COMPUTED_VALUE"""),"QLD")</f>
        <v>QLD</v>
      </c>
      <c r="C641" s="5" t="str">
        <f>IFERROR(__xludf.DUMMYFUNCTION("""COMPUTED_VALUE"""),"Greenbank")</f>
        <v>Greenbank</v>
      </c>
      <c r="D641" s="5" t="str">
        <f>IFERROR(__xludf.DUMMYFUNCTION("""COMPUTED_VALUE"""),"96-102 Boulia Street Greenbank QLD 4124")</f>
        <v>96-102 Boulia Street Greenbank QLD 4124</v>
      </c>
      <c r="E641" s="25">
        <f>IFERROR(__xludf.DUMMYFUNCTION("""COMPUTED_VALUE"""),45955.0)</f>
        <v>45955</v>
      </c>
      <c r="F641" s="5">
        <f>IFERROR(__xludf.DUMMYFUNCTION("""COMPUTED_VALUE"""),9.0)</f>
        <v>9</v>
      </c>
      <c r="G641" s="19" t="str">
        <f>IFERROR(__xludf.DUMMYFUNCTION("""COMPUTED_VALUE"""),"Instant Forms")</f>
        <v>Instant Forms</v>
      </c>
      <c r="H641" s="19"/>
      <c r="I641" s="62"/>
      <c r="J641" s="19"/>
    </row>
    <row r="642">
      <c r="A642" s="19" t="str">
        <f>IFERROR(__xludf.DUMMYFUNCTION("""COMPUTED_VALUE"""),"Chris Gilmour")</f>
        <v>Chris Gilmour</v>
      </c>
      <c r="B642" s="19" t="str">
        <f>IFERROR(__xludf.DUMMYFUNCTION("""COMPUTED_VALUE"""),"QLD")</f>
        <v>QLD</v>
      </c>
      <c r="C642" s="5" t="str">
        <f>IFERROR(__xludf.DUMMYFUNCTION("""COMPUTED_VALUE"""),"Jimboomba")</f>
        <v>Jimboomba</v>
      </c>
      <c r="D642" s="5" t="str">
        <f>IFERROR(__xludf.DUMMYFUNCTION("""COMPUTED_VALUE"""),"56-58 carron place jimboomba woods, Jimboomba, 4280")</f>
        <v>56-58 carron place jimboomba woods, Jimboomba, 4280</v>
      </c>
      <c r="E642" s="25" t="str">
        <f>IFERROR(__xludf.DUMMYFUNCTION("""COMPUTED_VALUE"""),"27/10/2025")</f>
        <v>27/10/2025</v>
      </c>
      <c r="F642" s="5" t="str">
        <f>IFERROR(__xludf.DUMMYFUNCTION("""COMPUTED_VALUE"""),"Featured")</f>
        <v>Featured</v>
      </c>
      <c r="G642" s="19" t="str">
        <f>IFERROR(__xludf.DUMMYFUNCTION("""COMPUTED_VALUE"""),"Meta Commission Report")</f>
        <v>Meta Commission Report</v>
      </c>
      <c r="H642" s="19" t="str">
        <f>IFERROR(__xludf.DUMMYFUNCTION("""COMPUTED_VALUE"""),"Mark Lebrese")</f>
        <v>Mark Lebrese</v>
      </c>
      <c r="I642" s="62"/>
      <c r="J642" s="19"/>
    </row>
    <row r="643">
      <c r="A643" s="19" t="str">
        <f>IFERROR(__xludf.DUMMYFUNCTION("""COMPUTED_VALUE"""),"Chris Gilmour")</f>
        <v>Chris Gilmour</v>
      </c>
      <c r="B643" s="19" t="str">
        <f>IFERROR(__xludf.DUMMYFUNCTION("""COMPUTED_VALUE"""),"QLD")</f>
        <v>QLD</v>
      </c>
      <c r="C643" s="5" t="str">
        <f>IFERROR(__xludf.DUMMYFUNCTION("""COMPUTED_VALUE"""),"New Beith")</f>
        <v>New Beith</v>
      </c>
      <c r="D643" s="5"/>
      <c r="E643" s="25" t="str">
        <f>IFERROR(__xludf.DUMMYFUNCTION("""COMPUTED_VALUE"""),"28/10/2025")</f>
        <v>28/10/2025</v>
      </c>
      <c r="F643" s="5" t="str">
        <f>IFERROR(__xludf.DUMMYFUNCTION("""COMPUTED_VALUE"""),"Featured")</f>
        <v>Featured</v>
      </c>
      <c r="G643" s="19" t="str">
        <f>IFERROR(__xludf.DUMMYFUNCTION("""COMPUTED_VALUE"""),"Meta Commission Report")</f>
        <v>Meta Commission Report</v>
      </c>
      <c r="H643" s="19"/>
      <c r="I643" s="62" t="str">
        <f>IFERROR(__xludf.DUMMYFUNCTION("""COMPUTED_VALUE"""),"Details removed - as per user request")</f>
        <v>Details removed - as per user request</v>
      </c>
      <c r="J643" s="19"/>
    </row>
    <row r="644">
      <c r="A644" s="19" t="str">
        <f>IFERROR(__xludf.DUMMYFUNCTION("""COMPUTED_VALUE"""),"Chris Gilmour")</f>
        <v>Chris Gilmour</v>
      </c>
      <c r="B644" s="19" t="str">
        <f>IFERROR(__xludf.DUMMYFUNCTION("""COMPUTED_VALUE"""),"QLD")</f>
        <v>QLD</v>
      </c>
      <c r="C644" s="5" t="str">
        <f>IFERROR(__xludf.DUMMYFUNCTION("""COMPUTED_VALUE"""),"New Beith")</f>
        <v>New Beith</v>
      </c>
      <c r="D644" s="5" t="str">
        <f>IFERROR(__xludf.DUMMYFUNCTION("""COMPUTED_VALUE"""),"1/5 gum nut court, New Beith, 4124")</f>
        <v>1/5 gum nut court, New Beith, 4124</v>
      </c>
      <c r="E644" s="25" t="str">
        <f>IFERROR(__xludf.DUMMYFUNCTION("""COMPUTED_VALUE"""),"31/10/2025")</f>
        <v>31/10/2025</v>
      </c>
      <c r="F644" s="5" t="str">
        <f>IFERROR(__xludf.DUMMYFUNCTION("""COMPUTED_VALUE"""),"Featured")</f>
        <v>Featured</v>
      </c>
      <c r="G644" s="19" t="str">
        <f>IFERROR(__xludf.DUMMYFUNCTION("""COMPUTED_VALUE"""),"Meta Commission Report")</f>
        <v>Meta Commission Report</v>
      </c>
      <c r="H644" s="19" t="str">
        <f>IFERROR(__xludf.DUMMYFUNCTION("""COMPUTED_VALUE"""),"James Dawson")</f>
        <v>James Dawson</v>
      </c>
      <c r="I644" s="62"/>
      <c r="J644" s="19"/>
    </row>
    <row r="645">
      <c r="A645" s="19" t="str">
        <f>IFERROR(__xludf.DUMMYFUNCTION("""COMPUTED_VALUE"""),"Chris Gilmour")</f>
        <v>Chris Gilmour</v>
      </c>
      <c r="B645" s="19" t="str">
        <f>IFERROR(__xludf.DUMMYFUNCTION("""COMPUTED_VALUE"""),"QLD")</f>
        <v>QLD</v>
      </c>
      <c r="C645" s="5" t="str">
        <f>IFERROR(__xludf.DUMMYFUNCTION("""COMPUTED_VALUE"""),"Parkinson")</f>
        <v>Parkinson</v>
      </c>
      <c r="D645" s="5" t="str">
        <f>IFERROR(__xludf.DUMMYFUNCTION("""COMPUTED_VALUE"""),"22 Eldena Place Parkinson QLD 4115")</f>
        <v>22 Eldena Place Parkinson QLD 4115</v>
      </c>
      <c r="E645" s="25">
        <f>IFERROR(__xludf.DUMMYFUNCTION("""COMPUTED_VALUE"""),45966.0)</f>
        <v>45966</v>
      </c>
      <c r="F645" s="5">
        <f>IFERROR(__xludf.DUMMYFUNCTION("""COMPUTED_VALUE"""),8.0)</f>
        <v>8</v>
      </c>
      <c r="G645" s="19" t="str">
        <f>IFERROR(__xludf.DUMMYFUNCTION("""COMPUTED_VALUE"""),"Instant Forms")</f>
        <v>Instant Forms</v>
      </c>
      <c r="H645" s="19" t="str">
        <f>IFERROR(__xludf.DUMMYFUNCTION("""COMPUTED_VALUE"""),"Steve Edwards")</f>
        <v>Steve Edwards</v>
      </c>
      <c r="I645" s="62">
        <f>IFERROR(__xludf.DUMMYFUNCTION("""COMPUTED_VALUE"""),6.141629207E10)</f>
        <v>61416292070</v>
      </c>
      <c r="J645" s="19" t="str">
        <f>IFERROR(__xludf.DUMMYFUNCTION("""COMPUTED_VALUE"""),"Sedwards@alspec.com.au")</f>
        <v>Sedwards@alspec.com.au</v>
      </c>
    </row>
    <row r="646">
      <c r="A646" s="19" t="str">
        <f>IFERROR(__xludf.DUMMYFUNCTION("""COMPUTED_VALUE"""),"Chris Gilmour")</f>
        <v>Chris Gilmour</v>
      </c>
      <c r="B646" s="19" t="str">
        <f>IFERROR(__xludf.DUMMYFUNCTION("""COMPUTED_VALUE"""),"QLD")</f>
        <v>QLD</v>
      </c>
      <c r="C646" s="5" t="str">
        <f>IFERROR(__xludf.DUMMYFUNCTION("""COMPUTED_VALUE"""),"Stockleigh")</f>
        <v>Stockleigh</v>
      </c>
      <c r="D646" s="5" t="str">
        <f>IFERROR(__xludf.DUMMYFUNCTION("""COMPUTED_VALUE"""),"37-41 Rockford Close Stockleigh QLD 4280")</f>
        <v>37-41 Rockford Close Stockleigh QLD 4280</v>
      </c>
      <c r="E646" s="25">
        <f>IFERROR(__xludf.DUMMYFUNCTION("""COMPUTED_VALUE"""),45968.0)</f>
        <v>45968</v>
      </c>
      <c r="F646" s="5">
        <f>IFERROR(__xludf.DUMMYFUNCTION("""COMPUTED_VALUE"""),6.0)</f>
        <v>6</v>
      </c>
      <c r="G646" s="19" t="str">
        <f>IFERROR(__xludf.DUMMYFUNCTION("""COMPUTED_VALUE"""),"Instant Forms")</f>
        <v>Instant Forms</v>
      </c>
      <c r="H646" s="19" t="str">
        <f>IFERROR(__xludf.DUMMYFUNCTION("""COMPUTED_VALUE"""),"James Heyfron")</f>
        <v>James Heyfron</v>
      </c>
      <c r="I646" s="62">
        <f>IFERROR(__xludf.DUMMYFUNCTION("""COMPUTED_VALUE"""),6.1468623628E10)</f>
        <v>61468623628</v>
      </c>
      <c r="J646" s="19" t="str">
        <f>IFERROR(__xludf.DUMMYFUNCTION("""COMPUTED_VALUE"""),"jamesheyfron@aol.com")</f>
        <v>jamesheyfron@aol.com</v>
      </c>
    </row>
    <row r="647">
      <c r="A647" s="19" t="str">
        <f>IFERROR(__xludf.DUMMYFUNCTION("""COMPUTED_VALUE"""),"Chris Gilmour")</f>
        <v>Chris Gilmour</v>
      </c>
      <c r="B647" s="19" t="str">
        <f>IFERROR(__xludf.DUMMYFUNCTION("""COMPUTED_VALUE"""),"QLD")</f>
        <v>QLD</v>
      </c>
      <c r="C647" s="5" t="str">
        <f>IFERROR(__xludf.DUMMYFUNCTION("""COMPUTED_VALUE"""),"New Beith")</f>
        <v>New Beith</v>
      </c>
      <c r="D647" s="5" t="str">
        <f>IFERROR(__xludf.DUMMYFUNCTION("""COMPUTED_VALUE"""),"26-28 Gum Nut Court, New Beith, 4124")</f>
        <v>26-28 Gum Nut Court, New Beith, 4124</v>
      </c>
      <c r="E647" s="25">
        <f>IFERROR(__xludf.DUMMYFUNCTION("""COMPUTED_VALUE"""),45972.0)</f>
        <v>45972</v>
      </c>
      <c r="F647" s="5" t="str">
        <f>IFERROR(__xludf.DUMMYFUNCTION("""COMPUTED_VALUE"""),"Featured")</f>
        <v>Featured</v>
      </c>
      <c r="G647" s="19" t="str">
        <f>IFERROR(__xludf.DUMMYFUNCTION("""COMPUTED_VALUE"""),"Meta Commission Report")</f>
        <v>Meta Commission Report</v>
      </c>
      <c r="H647" s="19" t="str">
        <f>IFERROR(__xludf.DUMMYFUNCTION("""COMPUTED_VALUE"""),"Ibby Morton")</f>
        <v>Ibby Morton</v>
      </c>
      <c r="I647" s="62">
        <f>IFERROR(__xludf.DUMMYFUNCTION("""COMPUTED_VALUE"""),6.140701181E10)</f>
        <v>61407011810</v>
      </c>
      <c r="J647" s="19" t="str">
        <f>IFERROR(__xludf.DUMMYFUNCTION("""COMPUTED_VALUE"""),"ibbymorton@gmail.com")</f>
        <v>ibbymorton@gmail.com</v>
      </c>
    </row>
    <row r="648">
      <c r="A648" s="19" t="str">
        <f>IFERROR(__xludf.DUMMYFUNCTION("""COMPUTED_VALUE"""),"Chris Gilmour")</f>
        <v>Chris Gilmour</v>
      </c>
      <c r="B648" s="19" t="str">
        <f>IFERROR(__xludf.DUMMYFUNCTION("""COMPUTED_VALUE"""),"QLD")</f>
        <v>QLD</v>
      </c>
      <c r="C648" s="5" t="str">
        <f>IFERROR(__xludf.DUMMYFUNCTION("""COMPUTED_VALUE"""),"Flagstone")</f>
        <v>Flagstone</v>
      </c>
      <c r="D648" s="5" t="str">
        <f>IFERROR(__xludf.DUMMYFUNCTION("""COMPUTED_VALUE"""),"19 highwood cor, Flagstone, 4280")</f>
        <v>19 highwood cor, Flagstone, 4280</v>
      </c>
      <c r="E648" s="25" t="str">
        <f>IFERROR(__xludf.DUMMYFUNCTION("""COMPUTED_VALUE"""),"16/11/2025")</f>
        <v>16/11/2025</v>
      </c>
      <c r="F648" s="5" t="str">
        <f>IFERROR(__xludf.DUMMYFUNCTION("""COMPUTED_VALUE"""),"Featured")</f>
        <v>Featured</v>
      </c>
      <c r="G648" s="19" t="str">
        <f>IFERROR(__xludf.DUMMYFUNCTION("""COMPUTED_VALUE"""),"Meta Commission Report")</f>
        <v>Meta Commission Report</v>
      </c>
      <c r="H648" s="19" t="str">
        <f>IFERROR(__xludf.DUMMYFUNCTION("""COMPUTED_VALUE"""),"Randell Missen")</f>
        <v>Randell Missen</v>
      </c>
      <c r="I648" s="62">
        <f>IFERROR(__xludf.DUMMYFUNCTION("""COMPUTED_VALUE"""),6.1404274806E10)</f>
        <v>61404274806</v>
      </c>
      <c r="J648" s="19" t="str">
        <f>IFERROR(__xludf.DUMMYFUNCTION("""COMPUTED_VALUE"""),"Randellmissen@icloud.com")</f>
        <v>Randellmissen@icloud.com</v>
      </c>
    </row>
    <row r="649">
      <c r="A649" s="19" t="str">
        <f>IFERROR(__xludf.DUMMYFUNCTION("""COMPUTED_VALUE"""),"Chris Gilmour")</f>
        <v>Chris Gilmour</v>
      </c>
      <c r="B649" s="19" t="str">
        <f>IFERROR(__xludf.DUMMYFUNCTION("""COMPUTED_VALUE"""),"QLD")</f>
        <v>QLD</v>
      </c>
      <c r="C649" s="5" t="str">
        <f>IFERROR(__xludf.DUMMYFUNCTION("""COMPUTED_VALUE"""),"Jimboomba")</f>
        <v>Jimboomba</v>
      </c>
      <c r="D649" s="5" t="str">
        <f>IFERROR(__xludf.DUMMYFUNCTION("""COMPUTED_VALUE"""),"8-10 Tulloch Place Glenlogan QLD 4280")</f>
        <v>8-10 Tulloch Place Glenlogan QLD 4280</v>
      </c>
      <c r="E649" s="25">
        <f>IFERROR(__xludf.DUMMYFUNCTION("""COMPUTED_VALUE"""),45977.0)</f>
        <v>45977</v>
      </c>
      <c r="F649" s="5">
        <f>IFERROR(__xludf.DUMMYFUNCTION("""COMPUTED_VALUE"""),6.0)</f>
        <v>6</v>
      </c>
      <c r="G649" s="19" t="str">
        <f>IFERROR(__xludf.DUMMYFUNCTION("""COMPUTED_VALUE"""),"Instant Forms")</f>
        <v>Instant Forms</v>
      </c>
      <c r="H649" s="19" t="str">
        <f>IFERROR(__xludf.DUMMYFUNCTION("""COMPUTED_VALUE"""),"Diane Taylor-Bishop")</f>
        <v>Diane Taylor-Bishop</v>
      </c>
      <c r="I649" s="62">
        <f>IFERROR(__xludf.DUMMYFUNCTION("""COMPUTED_VALUE"""),6.1422406398E10)</f>
        <v>61422406398</v>
      </c>
      <c r="J649" s="19" t="str">
        <f>IFERROR(__xludf.DUMMYFUNCTION("""COMPUTED_VALUE"""),"Didizzy61@gmail.com")</f>
        <v>Didizzy61@gmail.com</v>
      </c>
    </row>
    <row r="650">
      <c r="A650" s="19" t="str">
        <f>IFERROR(__xludf.DUMMYFUNCTION("""COMPUTED_VALUE"""),"Chris Gilmour")</f>
        <v>Chris Gilmour</v>
      </c>
      <c r="B650" s="19" t="str">
        <f>IFERROR(__xludf.DUMMYFUNCTION("""COMPUTED_VALUE"""),"QLD")</f>
        <v>QLD</v>
      </c>
      <c r="C650" s="5" t="str">
        <f>IFERROR(__xludf.DUMMYFUNCTION("""COMPUTED_VALUE"""),"Greenbank")</f>
        <v>Greenbank</v>
      </c>
      <c r="D650" s="5" t="str">
        <f>IFERROR(__xludf.DUMMYFUNCTION("""COMPUTED_VALUE"""),"106 Silvereye Crescent Greenbank QLD 4124")</f>
        <v>106 Silvereye Crescent Greenbank QLD 4124</v>
      </c>
      <c r="E650" s="5" t="str">
        <f>IFERROR(__xludf.DUMMYFUNCTION("""COMPUTED_VALUE"""),"19/11/2025")</f>
        <v>19/11/2025</v>
      </c>
      <c r="F650" s="5" t="str">
        <f>IFERROR(__xludf.DUMMYFUNCTION("""COMPUTED_VALUE"""),"Featured")</f>
        <v>Featured</v>
      </c>
      <c r="G650" s="19" t="str">
        <f>IFERROR(__xludf.DUMMYFUNCTION("""COMPUTED_VALUE"""),"Meta Commission Report")</f>
        <v>Meta Commission Report</v>
      </c>
      <c r="H650" s="19" t="str">
        <f>IFERROR(__xludf.DUMMYFUNCTION("""COMPUTED_VALUE"""),"Bill Wallace")</f>
        <v>Bill Wallace</v>
      </c>
      <c r="I650" s="62">
        <f>IFERROR(__xludf.DUMMYFUNCTION("""COMPUTED_VALUE"""),6.1417070976E10)</f>
        <v>61417070976</v>
      </c>
      <c r="J650" s="19" t="str">
        <f>IFERROR(__xludf.DUMMYFUNCTION("""COMPUTED_VALUE"""),"billwallace106@gmail.com")</f>
        <v>billwallace106@gmail.com</v>
      </c>
    </row>
    <row r="651">
      <c r="A651" s="19" t="str">
        <f>IFERROR(__xludf.DUMMYFUNCTION("""COMPUTED_VALUE"""),"Chris Gilmour")</f>
        <v>Chris Gilmour</v>
      </c>
      <c r="B651" s="19" t="str">
        <f>IFERROR(__xludf.DUMMYFUNCTION("""COMPUTED_VALUE"""),"QLD")</f>
        <v>QLD</v>
      </c>
      <c r="C651" s="5" t="str">
        <f>IFERROR(__xludf.DUMMYFUNCTION("""COMPUTED_VALUE"""),"South Maclean")</f>
        <v>South Maclean</v>
      </c>
      <c r="D651" s="5" t="str">
        <f>IFERROR(__xludf.DUMMYFUNCTION("""COMPUTED_VALUE"""),"116-122 Chadwick Drive South Maclean QLD 4280")</f>
        <v>116-122 Chadwick Drive South Maclean QLD 4280</v>
      </c>
      <c r="E651" s="5" t="str">
        <f>IFERROR(__xludf.DUMMYFUNCTION("""COMPUTED_VALUE"""),"23/11/2025")</f>
        <v>23/11/2025</v>
      </c>
      <c r="F651" s="5">
        <f>IFERROR(__xludf.DUMMYFUNCTION("""COMPUTED_VALUE"""),8.0)</f>
        <v>8</v>
      </c>
      <c r="G651" s="19" t="str">
        <f>IFERROR(__xludf.DUMMYFUNCTION("""COMPUTED_VALUE"""),"Instant Forms")</f>
        <v>Instant Forms</v>
      </c>
      <c r="H651" s="19" t="str">
        <f>IFERROR(__xludf.DUMMYFUNCTION("""COMPUTED_VALUE"""),"Elizabeth Wilson")</f>
        <v>Elizabeth Wilson</v>
      </c>
      <c r="I651" s="62">
        <f>IFERROR(__xludf.DUMMYFUNCTION("""COMPUTED_VALUE"""),6.1420355227E10)</f>
        <v>61420355227</v>
      </c>
      <c r="J651" s="19" t="str">
        <f>IFERROR(__xludf.DUMMYFUNCTION("""COMPUTED_VALUE"""),"zildivad11@gmail.com")</f>
        <v>zildivad11@gmail.com</v>
      </c>
    </row>
    <row r="652">
      <c r="A652" s="19" t="str">
        <f>IFERROR(__xludf.DUMMYFUNCTION("""COMPUTED_VALUE"""),"Chris Gilmour")</f>
        <v>Chris Gilmour</v>
      </c>
      <c r="B652" s="19" t="str">
        <f>IFERROR(__xludf.DUMMYFUNCTION("""COMPUTED_VALUE"""),"QLD")</f>
        <v>QLD</v>
      </c>
      <c r="C652" s="5" t="str">
        <f>IFERROR(__xludf.DUMMYFUNCTION("""COMPUTED_VALUE"""),"Hillcrest")</f>
        <v>Hillcrest</v>
      </c>
      <c r="D652" s="5" t="str">
        <f>IFERROR(__xludf.DUMMYFUNCTION("""COMPUTED_VALUE"""),"8 Juxon Street Hillcrest QLD 4118")</f>
        <v>8 Juxon Street Hillcrest QLD 4118</v>
      </c>
      <c r="E652" s="27">
        <f>IFERROR(__xludf.DUMMYFUNCTION("""COMPUTED_VALUE"""),45669.0)</f>
        <v>45669</v>
      </c>
      <c r="F652" s="64">
        <f>IFERROR(__xludf.DUMMYFUNCTION("""COMPUTED_VALUE"""),0.2)</f>
        <v>0.2</v>
      </c>
      <c r="G652" s="19" t="str">
        <f>IFERROR(__xludf.DUMMYFUNCTION("""COMPUTED_VALUE"""),"Instant Forms")</f>
        <v>Instant Forms</v>
      </c>
      <c r="H652" s="19" t="str">
        <f>IFERROR(__xludf.DUMMYFUNCTION("""COMPUTED_VALUE"""),"Ken Bouyer")</f>
        <v>Ken Bouyer</v>
      </c>
      <c r="I652" s="62">
        <f>IFERROR(__xludf.DUMMYFUNCTION("""COMPUTED_VALUE"""),6.1408773424E10)</f>
        <v>61408773424</v>
      </c>
      <c r="J652" s="19" t="str">
        <f>IFERROR(__xludf.DUMMYFUNCTION("""COMPUTED_VALUE"""),"kdbouyer@bigpond.com")</f>
        <v>kdbouyer@bigpond.com</v>
      </c>
    </row>
    <row r="653">
      <c r="A653" s="19" t="str">
        <f>IFERROR(__xludf.DUMMYFUNCTION("""COMPUTED_VALUE"""),"Chris Gilmour")</f>
        <v>Chris Gilmour</v>
      </c>
      <c r="B653" s="19" t="str">
        <f>IFERROR(__xludf.DUMMYFUNCTION("""COMPUTED_VALUE"""),"QLD")</f>
        <v>QLD</v>
      </c>
      <c r="C653" s="5" t="str">
        <f>IFERROR(__xludf.DUMMYFUNCTION("""COMPUTED_VALUE"""),"Regents Park")</f>
        <v>Regents Park</v>
      </c>
      <c r="D653" s="5" t="str">
        <f>IFERROR(__xludf.DUMMYFUNCTION("""COMPUTED_VALUE"""),"2 Cinear Ct")</f>
        <v>2 Cinear Ct</v>
      </c>
      <c r="E653" s="27">
        <f>IFERROR(__xludf.DUMMYFUNCTION("""COMPUTED_VALUE"""),45789.0)</f>
        <v>45789</v>
      </c>
      <c r="F653" s="64">
        <f>IFERROR(__xludf.DUMMYFUNCTION("""COMPUTED_VALUE"""),0.2)</f>
        <v>0.2</v>
      </c>
      <c r="G653" s="19" t="str">
        <f>IFERROR(__xludf.DUMMYFUNCTION("""COMPUTED_VALUE"""),"Commission Comparison")</f>
        <v>Commission Comparison</v>
      </c>
      <c r="H653" s="19" t="str">
        <f>IFERROR(__xludf.DUMMYFUNCTION("""COMPUTED_VALUE"""),"Judith Oakley")</f>
        <v>Judith Oakley</v>
      </c>
      <c r="I653" s="62">
        <f>IFERROR(__xludf.DUMMYFUNCTION("""COMPUTED_VALUE"""),6.145016924E10)</f>
        <v>61450169240</v>
      </c>
      <c r="J653" s="19" t="str">
        <f>IFERROR(__xludf.DUMMYFUNCTION("""COMPUTED_VALUE"""),"oakley.jude@gmail.com")</f>
        <v>oakley.jude@gmail.com</v>
      </c>
    </row>
    <row r="654">
      <c r="A654" s="19" t="str">
        <f>IFERROR(__xludf.DUMMYFUNCTION("""COMPUTED_VALUE"""),"Chris Gilmour")</f>
        <v>Chris Gilmour</v>
      </c>
      <c r="B654" s="19" t="str">
        <f>IFERROR(__xludf.DUMMYFUNCTION("""COMPUTED_VALUE"""),"QLD")</f>
        <v>QLD</v>
      </c>
      <c r="C654" s="5" t="str">
        <f>IFERROR(__xludf.DUMMYFUNCTION("""COMPUTED_VALUE"""),"Greenbank")</f>
        <v>Greenbank</v>
      </c>
      <c r="D654" s="5" t="str">
        <f>IFERROR(__xludf.DUMMYFUNCTION("""COMPUTED_VALUE"""),"28-30 Impala Cl, 4124")</f>
        <v>28-30 Impala Cl, 4124</v>
      </c>
      <c r="E654" s="27">
        <f>IFERROR(__xludf.DUMMYFUNCTION("""COMPUTED_VALUE"""),45789.0)</f>
        <v>45789</v>
      </c>
      <c r="F654" s="64">
        <f>IFERROR(__xludf.DUMMYFUNCTION("""COMPUTED_VALUE"""),0.2)</f>
        <v>0.2</v>
      </c>
      <c r="G654" s="19" t="str">
        <f>IFERROR(__xludf.DUMMYFUNCTION("""COMPUTED_VALUE"""),"Meta Commission Report")</f>
        <v>Meta Commission Report</v>
      </c>
      <c r="H654" s="19" t="str">
        <f>IFERROR(__xludf.DUMMYFUNCTION("""COMPUTED_VALUE"""),"Matt Collins")</f>
        <v>Matt Collins</v>
      </c>
      <c r="I654" s="62">
        <f>IFERROR(__xludf.DUMMYFUNCTION("""COMPUTED_VALUE"""),6.1455567534E10)</f>
        <v>61455567534</v>
      </c>
      <c r="J654" s="19" t="str">
        <f>IFERROR(__xludf.DUMMYFUNCTION("""COMPUTED_VALUE"""),"cmattcollins@gmail.com")</f>
        <v>cmattcollins@gmail.com</v>
      </c>
    </row>
    <row r="655">
      <c r="A655" s="19" t="str">
        <f>IFERROR(__xludf.DUMMYFUNCTION("""COMPUTED_VALUE"""),"")</f>
        <v/>
      </c>
      <c r="B655" s="19" t="str">
        <f>IFERROR(__xludf.DUMMYFUNCTION("""COMPUTED_VALUE"""),"")</f>
        <v/>
      </c>
      <c r="C655" s="5" t="str">
        <f>IFERROR(__xludf.DUMMYFUNCTION("""COMPUTED_VALUE"""),"")</f>
        <v/>
      </c>
      <c r="D655" s="5" t="str">
        <f>IFERROR(__xludf.DUMMYFUNCTION("""COMPUTED_VALUE"""),"")</f>
        <v/>
      </c>
      <c r="E655" s="5" t="str">
        <f>IFERROR(__xludf.DUMMYFUNCTION("""COMPUTED_VALUE"""),"")</f>
        <v/>
      </c>
      <c r="F655" s="5" t="str">
        <f>IFERROR(__xludf.DUMMYFUNCTION("""COMPUTED_VALUE"""),"")</f>
        <v/>
      </c>
      <c r="G655" s="19" t="str">
        <f>IFERROR(__xludf.DUMMYFUNCTION("""COMPUTED_VALUE"""),"")</f>
        <v/>
      </c>
      <c r="H655" s="19" t="str">
        <f>IFERROR(__xludf.DUMMYFUNCTION("""COMPUTED_VALUE"""),"")</f>
        <v/>
      </c>
      <c r="I655" s="62" t="str">
        <f>IFERROR(__xludf.DUMMYFUNCTION("""COMPUTED_VALUE"""),"")</f>
        <v/>
      </c>
      <c r="J655" s="19" t="str">
        <f>IFERROR(__xludf.DUMMYFUNCTION("""COMPUTED_VALUE"""),"")</f>
        <v/>
      </c>
    </row>
    <row r="656">
      <c r="A656" s="19" t="str">
        <f>IFERROR(__xludf.DUMMYFUNCTION("""COMPUTED_VALUE"""),"")</f>
        <v/>
      </c>
      <c r="B656" s="19" t="str">
        <f>IFERROR(__xludf.DUMMYFUNCTION("""COMPUTED_VALUE"""),"")</f>
        <v/>
      </c>
      <c r="C656" s="5" t="str">
        <f>IFERROR(__xludf.DUMMYFUNCTION("""COMPUTED_VALUE"""),"")</f>
        <v/>
      </c>
      <c r="D656" s="5" t="str">
        <f>IFERROR(__xludf.DUMMYFUNCTION("""COMPUTED_VALUE"""),"")</f>
        <v/>
      </c>
      <c r="E656" s="5" t="str">
        <f>IFERROR(__xludf.DUMMYFUNCTION("""COMPUTED_VALUE"""),"")</f>
        <v/>
      </c>
      <c r="F656" s="5" t="str">
        <f>IFERROR(__xludf.DUMMYFUNCTION("""COMPUTED_VALUE"""),"")</f>
        <v/>
      </c>
      <c r="G656" s="19" t="str">
        <f>IFERROR(__xludf.DUMMYFUNCTION("""COMPUTED_VALUE"""),"")</f>
        <v/>
      </c>
      <c r="H656" s="19" t="str">
        <f>IFERROR(__xludf.DUMMYFUNCTION("""COMPUTED_VALUE"""),"")</f>
        <v/>
      </c>
      <c r="I656" s="62" t="str">
        <f>IFERROR(__xludf.DUMMYFUNCTION("""COMPUTED_VALUE"""),"")</f>
        <v/>
      </c>
      <c r="J656" s="19" t="str">
        <f>IFERROR(__xludf.DUMMYFUNCTION("""COMPUTED_VALUE"""),"")</f>
        <v/>
      </c>
    </row>
    <row r="657">
      <c r="A657" s="19" t="str">
        <f>IFERROR(__xludf.DUMMYFUNCTION("""COMPUTED_VALUE"""),"Chris Wilson")</f>
        <v>Chris Wilson</v>
      </c>
      <c r="B657" s="19" t="str">
        <f>IFERROR(__xludf.DUMMYFUNCTION("""COMPUTED_VALUE"""),"ACT")</f>
        <v>ACT</v>
      </c>
      <c r="C657" s="5" t="str">
        <f>IFERROR(__xludf.DUMMYFUNCTION("""COMPUTED_VALUE"""),"Hughes")</f>
        <v>Hughes</v>
      </c>
      <c r="D657" s="5" t="str">
        <f>IFERROR(__xludf.DUMMYFUNCTION("""COMPUTED_VALUE"""),"22 Kitchener Street, Hughes, ACT, 2605, Australia")</f>
        <v>22 Kitchener Street, Hughes, ACT, 2605, Australia</v>
      </c>
      <c r="E657" s="63" t="str">
        <f>IFERROR(__xludf.DUMMYFUNCTION("""COMPUTED_VALUE"""),"31/07/2025")</f>
        <v>31/07/2025</v>
      </c>
      <c r="F657" s="5" t="str">
        <f>IFERROR(__xludf.DUMMYFUNCTION("""COMPUTED_VALUE"""),"Featured")</f>
        <v>Featured</v>
      </c>
      <c r="G657" s="19" t="str">
        <f>IFERROR(__xludf.DUMMYFUNCTION("""COMPUTED_VALUE"""),"Commission Comparison")</f>
        <v>Commission Comparison</v>
      </c>
      <c r="H657" s="19"/>
      <c r="I657" s="62"/>
      <c r="J657" s="19"/>
    </row>
    <row r="658">
      <c r="A658" s="19" t="str">
        <f>IFERROR(__xludf.DUMMYFUNCTION("""COMPUTED_VALUE"""),"")</f>
        <v/>
      </c>
      <c r="B658" s="19" t="str">
        <f>IFERROR(__xludf.DUMMYFUNCTION("""COMPUTED_VALUE"""),"")</f>
        <v/>
      </c>
      <c r="C658" s="5" t="str">
        <f>IFERROR(__xludf.DUMMYFUNCTION("""COMPUTED_VALUE"""),"")</f>
        <v/>
      </c>
      <c r="D658" s="5" t="str">
        <f>IFERROR(__xludf.DUMMYFUNCTION("""COMPUTED_VALUE"""),"")</f>
        <v/>
      </c>
      <c r="E658" s="5" t="str">
        <f>IFERROR(__xludf.DUMMYFUNCTION("""COMPUTED_VALUE"""),"")</f>
        <v/>
      </c>
      <c r="F658" s="5" t="str">
        <f>IFERROR(__xludf.DUMMYFUNCTION("""COMPUTED_VALUE"""),"")</f>
        <v/>
      </c>
      <c r="G658" s="19" t="str">
        <f>IFERROR(__xludf.DUMMYFUNCTION("""COMPUTED_VALUE"""),"")</f>
        <v/>
      </c>
      <c r="H658" s="19" t="str">
        <f>IFERROR(__xludf.DUMMYFUNCTION("""COMPUTED_VALUE"""),"")</f>
        <v/>
      </c>
      <c r="I658" s="62" t="str">
        <f>IFERROR(__xludf.DUMMYFUNCTION("""COMPUTED_VALUE"""),"")</f>
        <v/>
      </c>
      <c r="J658" s="19" t="str">
        <f>IFERROR(__xludf.DUMMYFUNCTION("""COMPUTED_VALUE"""),"")</f>
        <v/>
      </c>
    </row>
    <row r="659">
      <c r="A659" s="19" t="str">
        <f>IFERROR(__xludf.DUMMYFUNCTION("""COMPUTED_VALUE"""),"")</f>
        <v/>
      </c>
      <c r="B659" s="19" t="str">
        <f>IFERROR(__xludf.DUMMYFUNCTION("""COMPUTED_VALUE"""),"")</f>
        <v/>
      </c>
      <c r="C659" s="5" t="str">
        <f>IFERROR(__xludf.DUMMYFUNCTION("""COMPUTED_VALUE"""),"")</f>
        <v/>
      </c>
      <c r="D659" s="5" t="str">
        <f>IFERROR(__xludf.DUMMYFUNCTION("""COMPUTED_VALUE"""),"")</f>
        <v/>
      </c>
      <c r="E659" s="5" t="str">
        <f>IFERROR(__xludf.DUMMYFUNCTION("""COMPUTED_VALUE"""),"")</f>
        <v/>
      </c>
      <c r="F659" s="5" t="str">
        <f>IFERROR(__xludf.DUMMYFUNCTION("""COMPUTED_VALUE"""),"")</f>
        <v/>
      </c>
      <c r="G659" s="19" t="str">
        <f>IFERROR(__xludf.DUMMYFUNCTION("""COMPUTED_VALUE"""),"")</f>
        <v/>
      </c>
      <c r="H659" s="19" t="str">
        <f>IFERROR(__xludf.DUMMYFUNCTION("""COMPUTED_VALUE"""),"")</f>
        <v/>
      </c>
      <c r="I659" s="62" t="str">
        <f>IFERROR(__xludf.DUMMYFUNCTION("""COMPUTED_VALUE"""),"")</f>
        <v/>
      </c>
      <c r="J659" s="19" t="str">
        <f>IFERROR(__xludf.DUMMYFUNCTION("""COMPUTED_VALUE"""),"")</f>
        <v/>
      </c>
    </row>
    <row r="660">
      <c r="A660" s="19" t="str">
        <f>IFERROR(__xludf.DUMMYFUNCTION("""COMPUTED_VALUE"""),"Cooper Judge")</f>
        <v>Cooper Judge</v>
      </c>
      <c r="B660" s="19" t="str">
        <f>IFERROR(__xludf.DUMMYFUNCTION("""COMPUTED_VALUE"""),"NSW")</f>
        <v>NSW</v>
      </c>
      <c r="C660" s="5">
        <f>IFERROR(__xludf.DUMMYFUNCTION("""COMPUTED_VALUE"""),2567.0)</f>
        <v>2567</v>
      </c>
      <c r="D660" s="5"/>
      <c r="E660" s="63" t="str">
        <f>IFERROR(__xludf.DUMMYFUNCTION("""COMPUTED_VALUE"""),"29/07/2025")</f>
        <v>29/07/2025</v>
      </c>
      <c r="F660" s="5" t="str">
        <f>IFERROR(__xludf.DUMMYFUNCTION("""COMPUTED_VALUE"""),"Featured")</f>
        <v>Featured</v>
      </c>
      <c r="G660" s="19" t="str">
        <f>IFERROR(__xludf.DUMMYFUNCTION("""COMPUTED_VALUE"""),"Instant Forms")</f>
        <v>Instant Forms</v>
      </c>
      <c r="H660" s="19"/>
      <c r="I660" s="62"/>
      <c r="J660" s="19"/>
    </row>
    <row r="661">
      <c r="A661" s="19" t="str">
        <f>IFERROR(__xludf.DUMMYFUNCTION("""COMPUTED_VALUE"""),"Cooper Judge")</f>
        <v>Cooper Judge</v>
      </c>
      <c r="B661" s="19" t="str">
        <f>IFERROR(__xludf.DUMMYFUNCTION("""COMPUTED_VALUE"""),"NSW")</f>
        <v>NSW</v>
      </c>
      <c r="C661" s="5" t="str">
        <f>IFERROR(__xludf.DUMMYFUNCTION("""COMPUTED_VALUE"""),"Harrington Park")</f>
        <v>Harrington Park</v>
      </c>
      <c r="D661" s="5" t="str">
        <f>IFERROR(__xludf.DUMMYFUNCTION("""COMPUTED_VALUE"""),"27 Lachlan Avenue Harrington Park NSW 2567")</f>
        <v>27 Lachlan Avenue Harrington Park NSW 2567</v>
      </c>
      <c r="E661" s="25">
        <f>IFERROR(__xludf.DUMMYFUNCTION("""COMPUTED_VALUE"""),45904.0)</f>
        <v>45904</v>
      </c>
      <c r="F661" s="5" t="str">
        <f>IFERROR(__xludf.DUMMYFUNCTION("""COMPUTED_VALUE"""),"Featured")</f>
        <v>Featured</v>
      </c>
      <c r="G661" s="19" t="str">
        <f>IFERROR(__xludf.DUMMYFUNCTION("""COMPUTED_VALUE"""),"Instant Forms")</f>
        <v>Instant Forms</v>
      </c>
      <c r="H661" s="19"/>
      <c r="I661" s="62"/>
      <c r="J661" s="19"/>
    </row>
    <row r="662">
      <c r="A662" s="19" t="str">
        <f>IFERROR(__xludf.DUMMYFUNCTION("""COMPUTED_VALUE"""),"Cooper Judge")</f>
        <v>Cooper Judge</v>
      </c>
      <c r="B662" s="19" t="str">
        <f>IFERROR(__xludf.DUMMYFUNCTION("""COMPUTED_VALUE"""),"NSW")</f>
        <v>NSW</v>
      </c>
      <c r="C662" s="5" t="str">
        <f>IFERROR(__xludf.DUMMYFUNCTION("""COMPUTED_VALUE"""),"Harrington Park")</f>
        <v>Harrington Park</v>
      </c>
      <c r="D662" s="5" t="str">
        <f>IFERROR(__xludf.DUMMYFUNCTION("""COMPUTED_VALUE"""),"26 Hickson Circuit Harrington Park NSW 2567")</f>
        <v>26 Hickson Circuit Harrington Park NSW 2567</v>
      </c>
      <c r="E662" s="25">
        <f>IFERROR(__xludf.DUMMYFUNCTION("""COMPUTED_VALUE"""),45904.0)</f>
        <v>45904</v>
      </c>
      <c r="F662" s="5" t="str">
        <f>IFERROR(__xludf.DUMMYFUNCTION("""COMPUTED_VALUE"""),"Featured")</f>
        <v>Featured</v>
      </c>
      <c r="G662" s="19" t="str">
        <f>IFERROR(__xludf.DUMMYFUNCTION("""COMPUTED_VALUE"""),"Instant Forms")</f>
        <v>Instant Forms</v>
      </c>
      <c r="H662" s="19"/>
      <c r="I662" s="62"/>
      <c r="J662" s="19"/>
    </row>
    <row r="663">
      <c r="A663" s="19" t="str">
        <f>IFERROR(__xludf.DUMMYFUNCTION("""COMPUTED_VALUE"""),"Cooper Judge")</f>
        <v>Cooper Judge</v>
      </c>
      <c r="B663" s="19" t="str">
        <f>IFERROR(__xludf.DUMMYFUNCTION("""COMPUTED_VALUE"""),"NSW")</f>
        <v>NSW</v>
      </c>
      <c r="C663" s="5" t="str">
        <f>IFERROR(__xludf.DUMMYFUNCTION("""COMPUTED_VALUE"""),"Woodbine")</f>
        <v>Woodbine</v>
      </c>
      <c r="D663" s="5" t="str">
        <f>IFERROR(__xludf.DUMMYFUNCTION("""COMPUTED_VALUE"""),"89 North Steyne Road Woodbine NSW 2560")</f>
        <v>89 North Steyne Road Woodbine NSW 2560</v>
      </c>
      <c r="E663" s="25">
        <f>IFERROR(__xludf.DUMMYFUNCTION("""COMPUTED_VALUE"""),45904.0)</f>
        <v>45904</v>
      </c>
      <c r="F663" s="5" t="str">
        <f>IFERROR(__xludf.DUMMYFUNCTION("""COMPUTED_VALUE"""),"Featured")</f>
        <v>Featured</v>
      </c>
      <c r="G663" s="19" t="str">
        <f>IFERROR(__xludf.DUMMYFUNCTION("""COMPUTED_VALUE"""),"Instant Forms")</f>
        <v>Instant Forms</v>
      </c>
      <c r="H663" s="19"/>
      <c r="I663" s="62"/>
      <c r="J663" s="19"/>
    </row>
    <row r="664">
      <c r="A664" s="19" t="str">
        <f>IFERROR(__xludf.DUMMYFUNCTION("""COMPUTED_VALUE"""),"Cooper Judge")</f>
        <v>Cooper Judge</v>
      </c>
      <c r="B664" s="19" t="str">
        <f>IFERROR(__xludf.DUMMYFUNCTION("""COMPUTED_VALUE"""),"NSW")</f>
        <v>NSW</v>
      </c>
      <c r="C664" s="5" t="str">
        <f>IFERROR(__xludf.DUMMYFUNCTION("""COMPUTED_VALUE"""),"GLENFIELD")</f>
        <v>GLENFIELD</v>
      </c>
      <c r="D664" s="5" t="str">
        <f>IFERROR(__xludf.DUMMYFUNCTION("""COMPUTED_VALUE"""),"10 Trobriand Crescent GLENFIELD NSW 2167")</f>
        <v>10 Trobriand Crescent GLENFIELD NSW 2167</v>
      </c>
      <c r="E664" s="25">
        <f>IFERROR(__xludf.DUMMYFUNCTION("""COMPUTED_VALUE"""),45905.0)</f>
        <v>45905</v>
      </c>
      <c r="F664" s="5" t="str">
        <f>IFERROR(__xludf.DUMMYFUNCTION("""COMPUTED_VALUE"""),"Featured")</f>
        <v>Featured</v>
      </c>
      <c r="G664" s="19" t="str">
        <f>IFERROR(__xludf.DUMMYFUNCTION("""COMPUTED_VALUE"""),"Instant Forms")</f>
        <v>Instant Forms</v>
      </c>
      <c r="H664" s="19"/>
      <c r="I664" s="62"/>
      <c r="J664" s="19"/>
    </row>
    <row r="665">
      <c r="A665" s="19" t="str">
        <f>IFERROR(__xludf.DUMMYFUNCTION("""COMPUTED_VALUE"""),"Cooper Judge")</f>
        <v>Cooper Judge</v>
      </c>
      <c r="B665" s="19" t="str">
        <f>IFERROR(__xludf.DUMMYFUNCTION("""COMPUTED_VALUE"""),"NSW")</f>
        <v>NSW</v>
      </c>
      <c r="C665" s="5" t="str">
        <f>IFERROR(__xludf.DUMMYFUNCTION("""COMPUTED_VALUE"""),"west hoxton")</f>
        <v>west hoxton</v>
      </c>
      <c r="D665" s="5" t="str">
        <f>IFERROR(__xludf.DUMMYFUNCTION("""COMPUTED_VALUE"""),"4 Warby Avenue West Hoxton NSW 2171")</f>
        <v>4 Warby Avenue West Hoxton NSW 2171</v>
      </c>
      <c r="E665" s="25">
        <f>IFERROR(__xludf.DUMMYFUNCTION("""COMPUTED_VALUE"""),45906.0)</f>
        <v>45906</v>
      </c>
      <c r="F665" s="5" t="str">
        <f>IFERROR(__xludf.DUMMYFUNCTION("""COMPUTED_VALUE"""),"Featured")</f>
        <v>Featured</v>
      </c>
      <c r="G665" s="19" t="str">
        <f>IFERROR(__xludf.DUMMYFUNCTION("""COMPUTED_VALUE"""),"Instant Forms")</f>
        <v>Instant Forms</v>
      </c>
      <c r="H665" s="19"/>
      <c r="I665" s="62"/>
      <c r="J665" s="19"/>
    </row>
    <row r="666">
      <c r="A666" s="19" t="str">
        <f>IFERROR(__xludf.DUMMYFUNCTION("""COMPUTED_VALUE"""),"Cooper Judge")</f>
        <v>Cooper Judge</v>
      </c>
      <c r="B666" s="19" t="str">
        <f>IFERROR(__xludf.DUMMYFUNCTION("""COMPUTED_VALUE"""),"NSW")</f>
        <v>NSW</v>
      </c>
      <c r="C666" s="5" t="str">
        <f>IFERROR(__xludf.DUMMYFUNCTION("""COMPUTED_VALUE"""),"Camden Park")</f>
        <v>Camden Park</v>
      </c>
      <c r="D666" s="5" t="str">
        <f>IFERROR(__xludf.DUMMYFUNCTION("""COMPUTED_VALUE"""),"391 Remembrance Driveway Camden Park NSW 2570")</f>
        <v>391 Remembrance Driveway Camden Park NSW 2570</v>
      </c>
      <c r="E666" s="25">
        <f>IFERROR(__xludf.DUMMYFUNCTION("""COMPUTED_VALUE"""),45912.0)</f>
        <v>45912</v>
      </c>
      <c r="F666" s="5">
        <f>IFERROR(__xludf.DUMMYFUNCTION("""COMPUTED_VALUE"""),8.0)</f>
        <v>8</v>
      </c>
      <c r="G666" s="19" t="str">
        <f>IFERROR(__xludf.DUMMYFUNCTION("""COMPUTED_VALUE"""),"Instant Forms")</f>
        <v>Instant Forms</v>
      </c>
      <c r="H666" s="19" t="str">
        <f>IFERROR(__xludf.DUMMYFUNCTION("""COMPUTED_VALUE"""),"David Neale")</f>
        <v>David Neale</v>
      </c>
      <c r="I666" s="62"/>
      <c r="J666" s="19"/>
    </row>
    <row r="667">
      <c r="A667" s="19" t="str">
        <f>IFERROR(__xludf.DUMMYFUNCTION("""COMPUTED_VALUE"""),"Cooper Judge")</f>
        <v>Cooper Judge</v>
      </c>
      <c r="B667" s="19" t="str">
        <f>IFERROR(__xludf.DUMMYFUNCTION("""COMPUTED_VALUE"""),"NSW")</f>
        <v>NSW</v>
      </c>
      <c r="C667" s="5" t="str">
        <f>IFERROR(__xludf.DUMMYFUNCTION("""COMPUTED_VALUE"""),"Cambridge Park NSW")</f>
        <v>Cambridge Park NSW</v>
      </c>
      <c r="D667" s="5" t="str">
        <f>IFERROR(__xludf.DUMMYFUNCTION("""COMPUTED_VALUE"""),"2/134 Oxford Street Cambridge Park NSW 2747")</f>
        <v>2/134 Oxford Street Cambridge Park NSW 2747</v>
      </c>
      <c r="E667" s="25">
        <f>IFERROR(__xludf.DUMMYFUNCTION("""COMPUTED_VALUE"""),45915.0)</f>
        <v>45915</v>
      </c>
      <c r="F667" s="5">
        <f>IFERROR(__xludf.DUMMYFUNCTION("""COMPUTED_VALUE"""),8.0)</f>
        <v>8</v>
      </c>
      <c r="G667" s="19" t="str">
        <f>IFERROR(__xludf.DUMMYFUNCTION("""COMPUTED_VALUE"""),"Instant Forms")</f>
        <v>Instant Forms</v>
      </c>
      <c r="H667" s="19" t="str">
        <f>IFERROR(__xludf.DUMMYFUNCTION("""COMPUTED_VALUE"""),"Angie Marie")</f>
        <v>Angie Marie</v>
      </c>
      <c r="I667" s="62"/>
      <c r="J667" s="19"/>
    </row>
    <row r="668">
      <c r="A668" s="19" t="str">
        <f>IFERROR(__xludf.DUMMYFUNCTION("""COMPUTED_VALUE"""),"Cooper Judge")</f>
        <v>Cooper Judge</v>
      </c>
      <c r="B668" s="19" t="str">
        <f>IFERROR(__xludf.DUMMYFUNCTION("""COMPUTED_VALUE"""),"NSW")</f>
        <v>NSW</v>
      </c>
      <c r="C668" s="5" t="str">
        <f>IFERROR(__xludf.DUMMYFUNCTION("""COMPUTED_VALUE"""),"Camden Park")</f>
        <v>Camden Park</v>
      </c>
      <c r="D668" s="5" t="str">
        <f>IFERROR(__xludf.DUMMYFUNCTION("""COMPUTED_VALUE"""),"14 The Walk Camden Park NSW 2570")</f>
        <v>14 The Walk Camden Park NSW 2570</v>
      </c>
      <c r="E668" s="25">
        <f>IFERROR(__xludf.DUMMYFUNCTION("""COMPUTED_VALUE"""),45916.0)</f>
        <v>45916</v>
      </c>
      <c r="F668" s="5">
        <f>IFERROR(__xludf.DUMMYFUNCTION("""COMPUTED_VALUE"""),8.0)</f>
        <v>8</v>
      </c>
      <c r="G668" s="19" t="str">
        <f>IFERROR(__xludf.DUMMYFUNCTION("""COMPUTED_VALUE"""),"Instant Forms")</f>
        <v>Instant Forms</v>
      </c>
      <c r="H668" s="19" t="str">
        <f>IFERROR(__xludf.DUMMYFUNCTION("""COMPUTED_VALUE"""),"Lynette Richardson")</f>
        <v>Lynette Richardson</v>
      </c>
      <c r="I668" s="62"/>
      <c r="J668" s="19"/>
    </row>
    <row r="669">
      <c r="A669" s="19" t="str">
        <f>IFERROR(__xludf.DUMMYFUNCTION("""COMPUTED_VALUE"""),"Cooper Judge")</f>
        <v>Cooper Judge</v>
      </c>
      <c r="B669" s="19" t="str">
        <f>IFERROR(__xludf.DUMMYFUNCTION("""COMPUTED_VALUE"""),"NSW")</f>
        <v>NSW</v>
      </c>
      <c r="C669" s="5" t="str">
        <f>IFERROR(__xludf.DUMMYFUNCTION("""COMPUTED_VALUE"""),"harrington park")</f>
        <v>harrington park</v>
      </c>
      <c r="D669" s="5"/>
      <c r="E669" s="25">
        <f>IFERROR(__xludf.DUMMYFUNCTION("""COMPUTED_VALUE"""),45923.0)</f>
        <v>45923</v>
      </c>
      <c r="F669" s="5">
        <f>IFERROR(__xludf.DUMMYFUNCTION("""COMPUTED_VALUE"""),6.0)</f>
        <v>6</v>
      </c>
      <c r="G669" s="19" t="str">
        <f>IFERROR(__xludf.DUMMYFUNCTION("""COMPUTED_VALUE"""),"Instant Forms")</f>
        <v>Instant Forms</v>
      </c>
      <c r="H669" s="19" t="str">
        <f>IFERROR(__xludf.DUMMYFUNCTION("""COMPUTED_VALUE"""),"Michelle Jade Pisani")</f>
        <v>Michelle Jade Pisani</v>
      </c>
      <c r="I669" s="62"/>
      <c r="J669" s="19"/>
    </row>
    <row r="670">
      <c r="A670" s="19" t="str">
        <f>IFERROR(__xludf.DUMMYFUNCTION("""COMPUTED_VALUE"""),"Cooper Judge")</f>
        <v>Cooper Judge</v>
      </c>
      <c r="B670" s="19" t="str">
        <f>IFERROR(__xludf.DUMMYFUNCTION("""COMPUTED_VALUE"""),"NSW")</f>
        <v>NSW</v>
      </c>
      <c r="C670" s="5" t="str">
        <f>IFERROR(__xludf.DUMMYFUNCTION("""COMPUTED_VALUE"""),"Narellan Vale")</f>
        <v>Narellan Vale</v>
      </c>
      <c r="D670" s="5" t="str">
        <f>IFERROR(__xludf.DUMMYFUNCTION("""COMPUTED_VALUE"""),"14 Quig Place Narellan Vale NSW 2567")</f>
        <v>14 Quig Place Narellan Vale NSW 2567</v>
      </c>
      <c r="E670" s="25">
        <f>IFERROR(__xludf.DUMMYFUNCTION("""COMPUTED_VALUE"""),45925.0)</f>
        <v>45925</v>
      </c>
      <c r="F670" s="5">
        <f>IFERROR(__xludf.DUMMYFUNCTION("""COMPUTED_VALUE"""),8.0)</f>
        <v>8</v>
      </c>
      <c r="G670" s="19" t="str">
        <f>IFERROR(__xludf.DUMMYFUNCTION("""COMPUTED_VALUE"""),"Instant Forms")</f>
        <v>Instant Forms</v>
      </c>
      <c r="H670" s="19" t="str">
        <f>IFERROR(__xludf.DUMMYFUNCTION("""COMPUTED_VALUE"""),"Luca Ricciardiello")</f>
        <v>Luca Ricciardiello</v>
      </c>
      <c r="I670" s="62"/>
      <c r="J670" s="19"/>
    </row>
    <row r="671">
      <c r="A671" s="19" t="str">
        <f>IFERROR(__xludf.DUMMYFUNCTION("""COMPUTED_VALUE"""),"Cooper Judge")</f>
        <v>Cooper Judge</v>
      </c>
      <c r="B671" s="19" t="str">
        <f>IFERROR(__xludf.DUMMYFUNCTION("""COMPUTED_VALUE"""),"NSW")</f>
        <v>NSW</v>
      </c>
      <c r="C671" s="5" t="str">
        <f>IFERROR(__xludf.DUMMYFUNCTION("""COMPUTED_VALUE"""),"Mount Annan")</f>
        <v>Mount Annan</v>
      </c>
      <c r="D671" s="5" t="str">
        <f>IFERROR(__xludf.DUMMYFUNCTION("""COMPUTED_VALUE"""),"22 Hines Place, Mount Annan, NSW, 2567, Australia")</f>
        <v>22 Hines Place, Mount Annan, NSW, 2567, Australia</v>
      </c>
      <c r="E671" s="27">
        <f>IFERROR(__xludf.DUMMYFUNCTION("""COMPUTED_VALUE"""),45667.0)</f>
        <v>45667</v>
      </c>
      <c r="F671" s="5" t="str">
        <f>IFERROR(__xludf.DUMMYFUNCTION("""COMPUTED_VALUE"""),"Featured")</f>
        <v>Featured</v>
      </c>
      <c r="G671" s="19"/>
      <c r="H671" s="19"/>
      <c r="I671" s="62"/>
      <c r="J671" s="19"/>
    </row>
    <row r="672">
      <c r="A672" s="19" t="str">
        <f>IFERROR(__xludf.DUMMYFUNCTION("""COMPUTED_VALUE"""),"Cooper Judge")</f>
        <v>Cooper Judge</v>
      </c>
      <c r="B672" s="19" t="str">
        <f>IFERROR(__xludf.DUMMYFUNCTION("""COMPUTED_VALUE"""),"NSW")</f>
        <v>NSW</v>
      </c>
      <c r="C672" s="5" t="str">
        <f>IFERROR(__xludf.DUMMYFUNCTION("""COMPUTED_VALUE"""),"Harrington Park")</f>
        <v>Harrington Park</v>
      </c>
      <c r="D672" s="5" t="str">
        <f>IFERROR(__xludf.DUMMYFUNCTION("""COMPUTED_VALUE"""),"8 Bradley Drive Harrington Park NSW 2567")</f>
        <v>8 Bradley Drive Harrington Park NSW 2567</v>
      </c>
      <c r="E672" s="25">
        <f>IFERROR(__xludf.DUMMYFUNCTION("""COMPUTED_VALUE"""),45937.0)</f>
        <v>45937</v>
      </c>
      <c r="F672" s="5">
        <f>IFERROR(__xludf.DUMMYFUNCTION("""COMPUTED_VALUE"""),8.0)</f>
        <v>8</v>
      </c>
      <c r="G672" s="19" t="str">
        <f>IFERROR(__xludf.DUMMYFUNCTION("""COMPUTED_VALUE"""),"Instant Forms")</f>
        <v>Instant Forms</v>
      </c>
      <c r="H672" s="19" t="str">
        <f>IFERROR(__xludf.DUMMYFUNCTION("""COMPUTED_VALUE"""),"Heather Ungaro")</f>
        <v>Heather Ungaro</v>
      </c>
      <c r="I672" s="62"/>
      <c r="J672" s="19"/>
    </row>
    <row r="673">
      <c r="A673" s="19" t="str">
        <f>IFERROR(__xludf.DUMMYFUNCTION("""COMPUTED_VALUE"""),"Cooper Judge")</f>
        <v>Cooper Judge</v>
      </c>
      <c r="B673" s="19" t="str">
        <f>IFERROR(__xludf.DUMMYFUNCTION("""COMPUTED_VALUE"""),"NSW")</f>
        <v>NSW</v>
      </c>
      <c r="C673" s="5" t="str">
        <f>IFERROR(__xludf.DUMMYFUNCTION("""COMPUTED_VALUE"""),"Camden Park")</f>
        <v>Camden Park</v>
      </c>
      <c r="D673" s="5" t="str">
        <f>IFERROR(__xludf.DUMMYFUNCTION("""COMPUTED_VALUE"""),"8 maclean lane Camden Park")</f>
        <v>8 maclean lane Camden Park</v>
      </c>
      <c r="E673" s="25">
        <f>IFERROR(__xludf.DUMMYFUNCTION("""COMPUTED_VALUE"""),45950.0)</f>
        <v>45950</v>
      </c>
      <c r="F673" s="5" t="str">
        <f>IFERROR(__xludf.DUMMYFUNCTION("""COMPUTED_VALUE"""),"Featured")</f>
        <v>Featured</v>
      </c>
      <c r="G673" s="19" t="str">
        <f>IFERROR(__xludf.DUMMYFUNCTION("""COMPUTED_VALUE"""),"Commission Comparison")</f>
        <v>Commission Comparison</v>
      </c>
      <c r="H673" s="19"/>
      <c r="I673" s="62"/>
      <c r="J673" s="19"/>
    </row>
    <row r="674">
      <c r="A674" s="19" t="str">
        <f>IFERROR(__xludf.DUMMYFUNCTION("""COMPUTED_VALUE"""),"Cooper Judge")</f>
        <v>Cooper Judge</v>
      </c>
      <c r="B674" s="19" t="str">
        <f>IFERROR(__xludf.DUMMYFUNCTION("""COMPUTED_VALUE"""),"NSW")</f>
        <v>NSW</v>
      </c>
      <c r="C674" s="5" t="str">
        <f>IFERROR(__xludf.DUMMYFUNCTION("""COMPUTED_VALUE"""),"Nsw")</f>
        <v>Nsw</v>
      </c>
      <c r="D674" s="5" t="str">
        <f>IFERROR(__xludf.DUMMYFUNCTION("""COMPUTED_VALUE"""),"316  welling drive mount anann  nsw 2567")</f>
        <v>316  welling drive mount anann  nsw 2567</v>
      </c>
      <c r="E674" s="25">
        <f>IFERROR(__xludf.DUMMYFUNCTION("""COMPUTED_VALUE"""),45950.0)</f>
        <v>45950</v>
      </c>
      <c r="F674" s="5" t="str">
        <f>IFERROR(__xludf.DUMMYFUNCTION("""COMPUTED_VALUE"""),"Featured")</f>
        <v>Featured</v>
      </c>
      <c r="G674" s="19" t="str">
        <f>IFERROR(__xludf.DUMMYFUNCTION("""COMPUTED_VALUE"""),"Commission Comparison")</f>
        <v>Commission Comparison</v>
      </c>
      <c r="H674" s="19"/>
      <c r="I674" s="62"/>
      <c r="J674" s="19"/>
    </row>
    <row r="675">
      <c r="A675" s="19" t="str">
        <f>IFERROR(__xludf.DUMMYFUNCTION("""COMPUTED_VALUE"""),"Cooper Judge")</f>
        <v>Cooper Judge</v>
      </c>
      <c r="B675" s="19" t="str">
        <f>IFERROR(__xludf.DUMMYFUNCTION("""COMPUTED_VALUE"""),"NSW")</f>
        <v>NSW</v>
      </c>
      <c r="C675" s="5" t="str">
        <f>IFERROR(__xludf.DUMMYFUNCTION("""COMPUTED_VALUE"""),"Spring Farm")</f>
        <v>Spring Farm</v>
      </c>
      <c r="D675" s="5" t="str">
        <f>IFERROR(__xludf.DUMMYFUNCTION("""COMPUTED_VALUE"""),"15 Nicholson Parade, Spring Farm, NSW, 2570, Australia")</f>
        <v>15 Nicholson Parade, Spring Farm, NSW, 2570, Australia</v>
      </c>
      <c r="E675" s="25" t="str">
        <f>IFERROR(__xludf.DUMMYFUNCTION("""COMPUTED_VALUE"""),"25/10/2025")</f>
        <v>25/10/2025</v>
      </c>
      <c r="F675" s="5" t="str">
        <f>IFERROR(__xludf.DUMMYFUNCTION("""COMPUTED_VALUE"""),"Featured")</f>
        <v>Featured</v>
      </c>
      <c r="G675" s="19"/>
      <c r="H675" s="19"/>
      <c r="I675" s="62"/>
      <c r="J675" s="19"/>
    </row>
    <row r="676">
      <c r="A676" s="19" t="str">
        <f>IFERROR(__xludf.DUMMYFUNCTION("""COMPUTED_VALUE"""),"Cooper Judge")</f>
        <v>Cooper Judge</v>
      </c>
      <c r="B676" s="19" t="str">
        <f>IFERROR(__xludf.DUMMYFUNCTION("""COMPUTED_VALUE"""),"NSW")</f>
        <v>NSW</v>
      </c>
      <c r="C676" s="5" t="str">
        <f>IFERROR(__xludf.DUMMYFUNCTION("""COMPUTED_VALUE"""),"Spring Farm")</f>
        <v>Spring Farm</v>
      </c>
      <c r="D676" s="5" t="str">
        <f>IFERROR(__xludf.DUMMYFUNCTION("""COMPUTED_VALUE"""),"15 Nicholson Parade, Spring Farm, New South Wales, 2570, Australia, Spring Farm, 2570")</f>
        <v>15 Nicholson Parade, Spring Farm, New South Wales, 2570, Australia, Spring Farm, 2570</v>
      </c>
      <c r="E676" s="25" t="str">
        <f>IFERROR(__xludf.DUMMYFUNCTION("""COMPUTED_VALUE"""),"26/10/2025")</f>
        <v>26/10/2025</v>
      </c>
      <c r="F676" s="5" t="str">
        <f>IFERROR(__xludf.DUMMYFUNCTION("""COMPUTED_VALUE"""),"Featured")</f>
        <v>Featured</v>
      </c>
      <c r="G676" s="19" t="str">
        <f>IFERROR(__xludf.DUMMYFUNCTION("""COMPUTED_VALUE"""),"Meta Commission Report")</f>
        <v>Meta Commission Report</v>
      </c>
      <c r="H676" s="19" t="str">
        <f>IFERROR(__xludf.DUMMYFUNCTION("""COMPUTED_VALUE"""),"Ebony Evans")</f>
        <v>Ebony Evans</v>
      </c>
      <c r="I676" s="62"/>
      <c r="J676" s="19"/>
    </row>
    <row r="677">
      <c r="A677" s="19" t="str">
        <f>IFERROR(__xludf.DUMMYFUNCTION("""COMPUTED_VALUE"""),"Cooper Judge")</f>
        <v>Cooper Judge</v>
      </c>
      <c r="B677" s="19" t="str">
        <f>IFERROR(__xludf.DUMMYFUNCTION("""COMPUTED_VALUE"""),"NSW")</f>
        <v>NSW</v>
      </c>
      <c r="C677" s="5" t="str">
        <f>IFERROR(__xludf.DUMMYFUNCTION("""COMPUTED_VALUE"""),"Camden Park")</f>
        <v>Camden Park</v>
      </c>
      <c r="D677" s="5" t="str">
        <f>IFERROR(__xludf.DUMMYFUNCTION("""COMPUTED_VALUE"""),"68 Macarthur Circuit Camden Park NSW 2570")</f>
        <v>68 Macarthur Circuit Camden Park NSW 2570</v>
      </c>
      <c r="E677" s="25">
        <f>IFERROR(__xludf.DUMMYFUNCTION("""COMPUTED_VALUE"""),45957.0)</f>
        <v>45957</v>
      </c>
      <c r="F677" s="5">
        <f>IFERROR(__xludf.DUMMYFUNCTION("""COMPUTED_VALUE"""),9.0)</f>
        <v>9</v>
      </c>
      <c r="G677" s="19" t="str">
        <f>IFERROR(__xludf.DUMMYFUNCTION("""COMPUTED_VALUE"""),"Instant Forms")</f>
        <v>Instant Forms</v>
      </c>
      <c r="H677" s="19"/>
      <c r="I677" s="62"/>
      <c r="J677" s="19"/>
    </row>
    <row r="678">
      <c r="A678" s="19" t="str">
        <f>IFERROR(__xludf.DUMMYFUNCTION("""COMPUTED_VALUE"""),"Cooper Judge")</f>
        <v>Cooper Judge</v>
      </c>
      <c r="B678" s="19" t="str">
        <f>IFERROR(__xludf.DUMMYFUNCTION("""COMPUTED_VALUE"""),"NSW")</f>
        <v>NSW</v>
      </c>
      <c r="C678" s="5" t="str">
        <f>IFERROR(__xludf.DUMMYFUNCTION("""COMPUTED_VALUE"""),"Harrington Park")</f>
        <v>Harrington Park</v>
      </c>
      <c r="D678" s="5" t="str">
        <f>IFERROR(__xludf.DUMMYFUNCTION("""COMPUTED_VALUE"""),"29 Endeavour Cct Harrington Park")</f>
        <v>29 Endeavour Cct Harrington Park</v>
      </c>
      <c r="E678" s="25">
        <f>IFERROR(__xludf.DUMMYFUNCTION("""COMPUTED_VALUE"""),45957.0)</f>
        <v>45957</v>
      </c>
      <c r="F678" s="5" t="str">
        <f>IFERROR(__xludf.DUMMYFUNCTION("""COMPUTED_VALUE"""),"Featured")</f>
        <v>Featured</v>
      </c>
      <c r="G678" s="19" t="str">
        <f>IFERROR(__xludf.DUMMYFUNCTION("""COMPUTED_VALUE"""),"Commission Comparison")</f>
        <v>Commission Comparison</v>
      </c>
      <c r="H678" s="19"/>
      <c r="I678" s="62"/>
      <c r="J678" s="19"/>
    </row>
    <row r="679">
      <c r="A679" s="19" t="str">
        <f>IFERROR(__xludf.DUMMYFUNCTION("""COMPUTED_VALUE"""),"Cooper Judge")</f>
        <v>Cooper Judge</v>
      </c>
      <c r="B679" s="19" t="str">
        <f>IFERROR(__xludf.DUMMYFUNCTION("""COMPUTED_VALUE"""),"NSW")</f>
        <v>NSW</v>
      </c>
      <c r="C679" s="5" t="str">
        <f>IFERROR(__xludf.DUMMYFUNCTION("""COMPUTED_VALUE"""),"Narellan Vale")</f>
        <v>Narellan Vale</v>
      </c>
      <c r="D679" s="5" t="str">
        <f>IFERROR(__xludf.DUMMYFUNCTION("""COMPUTED_VALUE"""),"54 Liquidamber Drive")</f>
        <v>54 Liquidamber Drive</v>
      </c>
      <c r="E679" s="25">
        <f>IFERROR(__xludf.DUMMYFUNCTION("""COMPUTED_VALUE"""),45959.0)</f>
        <v>45959</v>
      </c>
      <c r="F679" s="5" t="str">
        <f>IFERROR(__xludf.DUMMYFUNCTION("""COMPUTED_VALUE"""),"Featured")</f>
        <v>Featured</v>
      </c>
      <c r="G679" s="19" t="str">
        <f>IFERROR(__xludf.DUMMYFUNCTION("""COMPUTED_VALUE"""),"Commission Comparison")</f>
        <v>Commission Comparison</v>
      </c>
      <c r="H679" s="19"/>
      <c r="I679" s="62"/>
      <c r="J679" s="19"/>
    </row>
    <row r="680">
      <c r="A680" s="19" t="str">
        <f>IFERROR(__xludf.DUMMYFUNCTION("""COMPUTED_VALUE"""),"Cooper Judge")</f>
        <v>Cooper Judge</v>
      </c>
      <c r="B680" s="19" t="str">
        <f>IFERROR(__xludf.DUMMYFUNCTION("""COMPUTED_VALUE"""),"NSW")</f>
        <v>NSW</v>
      </c>
      <c r="C680" s="5" t="str">
        <f>IFERROR(__xludf.DUMMYFUNCTION("""COMPUTED_VALUE"""),"Mount Annan")</f>
        <v>Mount Annan</v>
      </c>
      <c r="D680" s="5" t="str">
        <f>IFERROR(__xludf.DUMMYFUNCTION("""COMPUTED_VALUE"""),"243 mount annan dr mount annan, mount annan, 2567")</f>
        <v>243 mount annan dr mount annan, mount annan, 2567</v>
      </c>
      <c r="E680" s="27">
        <f>IFERROR(__xludf.DUMMYFUNCTION("""COMPUTED_VALUE"""),45727.0)</f>
        <v>45727</v>
      </c>
      <c r="F680" s="5" t="str">
        <f>IFERROR(__xludf.DUMMYFUNCTION("""COMPUTED_VALUE"""),"Featured")</f>
        <v>Featured</v>
      </c>
      <c r="G680" s="19" t="str">
        <f>IFERROR(__xludf.DUMMYFUNCTION("""COMPUTED_VALUE"""),"Meta Commission Report")</f>
        <v>Meta Commission Report</v>
      </c>
      <c r="H680" s="19" t="str">
        <f>IFERROR(__xludf.DUMMYFUNCTION("""COMPUTED_VALUE"""),"Dragana Spasic")</f>
        <v>Dragana Spasic</v>
      </c>
      <c r="I680" s="62"/>
      <c r="J680" s="19"/>
    </row>
    <row r="681">
      <c r="A681" s="19" t="str">
        <f>IFERROR(__xludf.DUMMYFUNCTION("""COMPUTED_VALUE"""),"Cooper Judge")</f>
        <v>Cooper Judge</v>
      </c>
      <c r="B681" s="19" t="str">
        <f>IFERROR(__xludf.DUMMYFUNCTION("""COMPUTED_VALUE"""),"NSW")</f>
        <v>NSW</v>
      </c>
      <c r="C681" s="5" t="str">
        <f>IFERROR(__xludf.DUMMYFUNCTION("""COMPUTED_VALUE"""),"Mount Annan")</f>
        <v>Mount Annan</v>
      </c>
      <c r="D681" s="5" t="str">
        <f>IFERROR(__xludf.DUMMYFUNCTION("""COMPUTED_VALUE"""),"40 Clover St, Mount Annan, 2567")</f>
        <v>40 Clover St, Mount Annan, 2567</v>
      </c>
      <c r="E681" s="27">
        <f>IFERROR(__xludf.DUMMYFUNCTION("""COMPUTED_VALUE"""),45758.0)</f>
        <v>45758</v>
      </c>
      <c r="F681" s="5" t="str">
        <f>IFERROR(__xludf.DUMMYFUNCTION("""COMPUTED_VALUE"""),"Featured")</f>
        <v>Featured</v>
      </c>
      <c r="G681" s="19" t="str">
        <f>IFERROR(__xludf.DUMMYFUNCTION("""COMPUTED_VALUE"""),"Meta Commission Report")</f>
        <v>Meta Commission Report</v>
      </c>
      <c r="H681" s="19" t="str">
        <f>IFERROR(__xludf.DUMMYFUNCTION("""COMPUTED_VALUE"""),"Mark Howarth")</f>
        <v>Mark Howarth</v>
      </c>
      <c r="I681" s="62">
        <f>IFERROR(__xludf.DUMMYFUNCTION("""COMPUTED_VALUE"""),6.1421526176E10)</f>
        <v>61421526176</v>
      </c>
      <c r="J681" s="19" t="str">
        <f>IFERROR(__xludf.DUMMYFUNCTION("""COMPUTED_VALUE"""),"mhowarth@live.com.au")</f>
        <v>mhowarth@live.com.au</v>
      </c>
    </row>
    <row r="682">
      <c r="A682" s="19" t="str">
        <f>IFERROR(__xludf.DUMMYFUNCTION("""COMPUTED_VALUE"""),"Cooper Judge")</f>
        <v>Cooper Judge</v>
      </c>
      <c r="B682" s="19" t="str">
        <f>IFERROR(__xludf.DUMMYFUNCTION("""COMPUTED_VALUE"""),"NSW")</f>
        <v>NSW</v>
      </c>
      <c r="C682" s="5" t="str">
        <f>IFERROR(__xludf.DUMMYFUNCTION("""COMPUTED_VALUE"""),"Currans Hill")</f>
        <v>Currans Hill</v>
      </c>
      <c r="D682" s="5" t="str">
        <f>IFERROR(__xludf.DUMMYFUNCTION("""COMPUTED_VALUE"""),"23 Newmarket St")</f>
        <v>23 Newmarket St</v>
      </c>
      <c r="E682" s="25">
        <f>IFERROR(__xludf.DUMMYFUNCTION("""COMPUTED_VALUE"""),45968.0)</f>
        <v>45968</v>
      </c>
      <c r="F682" s="5" t="str">
        <f>IFERROR(__xludf.DUMMYFUNCTION("""COMPUTED_VALUE"""),"Featured")</f>
        <v>Featured</v>
      </c>
      <c r="G682" s="19" t="str">
        <f>IFERROR(__xludf.DUMMYFUNCTION("""COMPUTED_VALUE"""),"Commission Comparison")</f>
        <v>Commission Comparison</v>
      </c>
      <c r="H682" s="19" t="str">
        <f>IFERROR(__xludf.DUMMYFUNCTION("""COMPUTED_VALUE"""),"Lynnette Correia")</f>
        <v>Lynnette Correia</v>
      </c>
      <c r="I682" s="62">
        <f>IFERROR(__xludf.DUMMYFUNCTION("""COMPUTED_VALUE"""),6.1447678494E10)</f>
        <v>61447678494</v>
      </c>
      <c r="J682" s="19" t="str">
        <f>IFERROR(__xludf.DUMMYFUNCTION("""COMPUTED_VALUE"""),"lynnettelcorreia@gmail.com")</f>
        <v>lynnettelcorreia@gmail.com</v>
      </c>
    </row>
    <row r="683">
      <c r="A683" s="19" t="str">
        <f>IFERROR(__xludf.DUMMYFUNCTION("""COMPUTED_VALUE"""),"Cooper Judge")</f>
        <v>Cooper Judge</v>
      </c>
      <c r="B683" s="19" t="str">
        <f>IFERROR(__xludf.DUMMYFUNCTION("""COMPUTED_VALUE"""),"NSW")</f>
        <v>NSW</v>
      </c>
      <c r="C683" s="5" t="str">
        <f>IFERROR(__xludf.DUMMYFUNCTION("""COMPUTED_VALUE"""),"Gledswood Hills")</f>
        <v>Gledswood Hills</v>
      </c>
      <c r="D683" s="5" t="str">
        <f>IFERROR(__xludf.DUMMYFUNCTION("""COMPUTED_VALUE"""),"59 Providence Drive, Gledswood Hills, NSW, 2557, Australia")</f>
        <v>59 Providence Drive, Gledswood Hills, NSW, 2557, Australia</v>
      </c>
      <c r="E683" s="5" t="str">
        <f>IFERROR(__xludf.DUMMYFUNCTION("""COMPUTED_VALUE"""),"23/11/2025")</f>
        <v>23/11/2025</v>
      </c>
      <c r="F683" s="5" t="str">
        <f>IFERROR(__xludf.DUMMYFUNCTION("""COMPUTED_VALUE"""),"Featured")</f>
        <v>Featured</v>
      </c>
      <c r="G683" s="19" t="str">
        <f>IFERROR(__xludf.DUMMYFUNCTION("""COMPUTED_VALUE"""),"Commission Comparison")</f>
        <v>Commission Comparison</v>
      </c>
      <c r="H683" s="19" t="str">
        <f>IFERROR(__xludf.DUMMYFUNCTION("""COMPUTED_VALUE"""),"Kim noack")</f>
        <v>Kim noack</v>
      </c>
      <c r="I683" s="62">
        <f>IFERROR(__xludf.DUMMYFUNCTION("""COMPUTED_VALUE"""),6.141843272E10)</f>
        <v>61418432720</v>
      </c>
      <c r="J683" s="19" t="str">
        <f>IFERROR(__xludf.DUMMYFUNCTION("""COMPUTED_VALUE"""),"k.noack@hotmail.com")</f>
        <v>k.noack@hotmail.com</v>
      </c>
    </row>
    <row r="684">
      <c r="A684" s="19" t="str">
        <f>IFERROR(__xludf.DUMMYFUNCTION("""COMPUTED_VALUE"""),"Cooper Judge")</f>
        <v>Cooper Judge</v>
      </c>
      <c r="B684" s="19" t="str">
        <f>IFERROR(__xludf.DUMMYFUNCTION("""COMPUTED_VALUE"""),"NSW")</f>
        <v>NSW</v>
      </c>
      <c r="C684" s="5" t="str">
        <f>IFERROR(__xludf.DUMMYFUNCTION("""COMPUTED_VALUE"""),"Menangle")</f>
        <v>Menangle</v>
      </c>
      <c r="D684" s="5" t="str">
        <f>IFERROR(__xludf.DUMMYFUNCTION("""COMPUTED_VALUE"""),"55 Burrells Road Menangle NSW 2568")</f>
        <v>55 Burrells Road Menangle NSW 2568</v>
      </c>
      <c r="E684" s="5" t="str">
        <f>IFERROR(__xludf.DUMMYFUNCTION("""COMPUTED_VALUE"""),"23/11/2025")</f>
        <v>23/11/2025</v>
      </c>
      <c r="F684" s="5">
        <f>IFERROR(__xludf.DUMMYFUNCTION("""COMPUTED_VALUE"""),8.0)</f>
        <v>8</v>
      </c>
      <c r="G684" s="19" t="str">
        <f>IFERROR(__xludf.DUMMYFUNCTION("""COMPUTED_VALUE"""),"Instant Forms")</f>
        <v>Instant Forms</v>
      </c>
      <c r="H684" s="19" t="str">
        <f>IFERROR(__xludf.DUMMYFUNCTION("""COMPUTED_VALUE"""),"Steve Arentz")</f>
        <v>Steve Arentz</v>
      </c>
      <c r="I684" s="62">
        <f>IFERROR(__xludf.DUMMYFUNCTION("""COMPUTED_VALUE"""),6.1450524369E10)</f>
        <v>61450524369</v>
      </c>
      <c r="J684" s="19" t="str">
        <f>IFERROR(__xludf.DUMMYFUNCTION("""COMPUTED_VALUE"""),"stevea@lifestylesre.com.au")</f>
        <v>stevea@lifestylesre.com.au</v>
      </c>
    </row>
    <row r="685">
      <c r="A685" s="19" t="str">
        <f>IFERROR(__xludf.DUMMYFUNCTION("""COMPUTED_VALUE"""),"Cooper Judge")</f>
        <v>Cooper Judge</v>
      </c>
      <c r="B685" s="19" t="str">
        <f>IFERROR(__xludf.DUMMYFUNCTION("""COMPUTED_VALUE"""),"NSW")</f>
        <v>NSW</v>
      </c>
      <c r="C685" s="5" t="str">
        <f>IFERROR(__xludf.DUMMYFUNCTION("""COMPUTED_VALUE"""),"Glenfield")</f>
        <v>Glenfield</v>
      </c>
      <c r="D685" s="5" t="str">
        <f>IFERROR(__xludf.DUMMYFUNCTION("""COMPUTED_VALUE"""),"20 Fergusson Street Glenfield NSW 2167")</f>
        <v>20 Fergusson Street Glenfield NSW 2167</v>
      </c>
      <c r="E685" s="5" t="str">
        <f>IFERROR(__xludf.DUMMYFUNCTION("""COMPUTED_VALUE"""),"27/11/2025")</f>
        <v>27/11/2025</v>
      </c>
      <c r="F685" s="64">
        <f>IFERROR(__xludf.DUMMYFUNCTION("""COMPUTED_VALUE"""),0.2)</f>
        <v>0.2</v>
      </c>
      <c r="G685" s="19" t="str">
        <f>IFERROR(__xludf.DUMMYFUNCTION("""COMPUTED_VALUE"""),"Instant Forms")</f>
        <v>Instant Forms</v>
      </c>
      <c r="H685" s="19" t="str">
        <f>IFERROR(__xludf.DUMMYFUNCTION("""COMPUTED_VALUE"""),"Christine Burgess")</f>
        <v>Christine Burgess</v>
      </c>
      <c r="I685" s="62">
        <f>IFERROR(__xludf.DUMMYFUNCTION("""COMPUTED_VALUE"""),6.1410689751E10)</f>
        <v>61410689751</v>
      </c>
      <c r="J685" s="19" t="str">
        <f>IFERROR(__xludf.DUMMYFUNCTION("""COMPUTED_VALUE"""),"orangema@mail.com")</f>
        <v>orangema@mail.com</v>
      </c>
    </row>
    <row r="686">
      <c r="A686" s="19" t="str">
        <f>IFERROR(__xludf.DUMMYFUNCTION("""COMPUTED_VALUE"""),"Cooper Judge")</f>
        <v>Cooper Judge</v>
      </c>
      <c r="B686" s="19" t="str">
        <f>IFERROR(__xludf.DUMMYFUNCTION("""COMPUTED_VALUE"""),"NSW")</f>
        <v>NSW</v>
      </c>
      <c r="C686" s="5" t="str">
        <f>IFERROR(__xludf.DUMMYFUNCTION("""COMPUTED_VALUE"""),"Orangeville")</f>
        <v>Orangeville</v>
      </c>
      <c r="D686" s="5" t="str">
        <f>IFERROR(__xludf.DUMMYFUNCTION("""COMPUTED_VALUE"""),"27 Woodlands Way")</f>
        <v>27 Woodlands Way</v>
      </c>
      <c r="E686" s="27">
        <f>IFERROR(__xludf.DUMMYFUNCTION("""COMPUTED_VALUE"""),45669.0)</f>
        <v>45669</v>
      </c>
      <c r="F686" s="64">
        <f>IFERROR(__xludf.DUMMYFUNCTION("""COMPUTED_VALUE"""),0.2)</f>
        <v>0.2</v>
      </c>
      <c r="G686" s="19" t="str">
        <f>IFERROR(__xludf.DUMMYFUNCTION("""COMPUTED_VALUE"""),"Commission Comparison")</f>
        <v>Commission Comparison</v>
      </c>
      <c r="H686" s="19" t="str">
        <f>IFERROR(__xludf.DUMMYFUNCTION("""COMPUTED_VALUE"""),"Kerry Allison")</f>
        <v>Kerry Allison</v>
      </c>
      <c r="I686" s="62">
        <f>IFERROR(__xludf.DUMMYFUNCTION("""COMPUTED_VALUE"""),6.1419992829E10)</f>
        <v>61419992829</v>
      </c>
      <c r="J686" s="19" t="str">
        <f>IFERROR(__xludf.DUMMYFUNCTION("""COMPUTED_VALUE"""),"kezm4@hotmail.com")</f>
        <v>kezm4@hotmail.com</v>
      </c>
    </row>
    <row r="687">
      <c r="A687" s="19" t="str">
        <f>IFERROR(__xludf.DUMMYFUNCTION("""COMPUTED_VALUE"""),"Cooper Judge")</f>
        <v>Cooper Judge</v>
      </c>
      <c r="B687" s="19" t="str">
        <f>IFERROR(__xludf.DUMMYFUNCTION("""COMPUTED_VALUE"""),"NSW")</f>
        <v>NSW</v>
      </c>
      <c r="C687" s="5" t="str">
        <f>IFERROR(__xludf.DUMMYFUNCTION("""COMPUTED_VALUE"""),"Oran Park")</f>
        <v>Oran Park</v>
      </c>
      <c r="D687" s="5" t="str">
        <f>IFERROR(__xludf.DUMMYFUNCTION("""COMPUTED_VALUE"""),"6 Casey St")</f>
        <v>6 Casey St</v>
      </c>
      <c r="E687" s="27">
        <f>IFERROR(__xludf.DUMMYFUNCTION("""COMPUTED_VALUE"""),45700.0)</f>
        <v>45700</v>
      </c>
      <c r="F687" s="64">
        <f>IFERROR(__xludf.DUMMYFUNCTION("""COMPUTED_VALUE"""),0.2)</f>
        <v>0.2</v>
      </c>
      <c r="G687" s="19" t="str">
        <f>IFERROR(__xludf.DUMMYFUNCTION("""COMPUTED_VALUE"""),"Commission Comparison")</f>
        <v>Commission Comparison</v>
      </c>
      <c r="H687" s="19" t="str">
        <f>IFERROR(__xludf.DUMMYFUNCTION("""COMPUTED_VALUE"""),"Alex Pos")</f>
        <v>Alex Pos</v>
      </c>
      <c r="I687" s="62">
        <f>IFERROR(__xludf.DUMMYFUNCTION("""COMPUTED_VALUE"""),6.1452464259E10)</f>
        <v>61452464259</v>
      </c>
      <c r="J687" s="19" t="str">
        <f>IFERROR(__xludf.DUMMYFUNCTION("""COMPUTED_VALUE"""),"acapitau@bigpond.com")</f>
        <v>acapitau@bigpond.com</v>
      </c>
    </row>
    <row r="688">
      <c r="A688" s="19" t="str">
        <f>IFERROR(__xludf.DUMMYFUNCTION("""COMPUTED_VALUE"""),"Cooper Judge")</f>
        <v>Cooper Judge</v>
      </c>
      <c r="B688" s="19" t="str">
        <f>IFERROR(__xludf.DUMMYFUNCTION("""COMPUTED_VALUE"""),"NSW")</f>
        <v>NSW</v>
      </c>
      <c r="C688" s="5" t="str">
        <f>IFERROR(__xludf.DUMMYFUNCTION("""COMPUTED_VALUE"""),"Oakdale")</f>
        <v>Oakdale</v>
      </c>
      <c r="D688" s="5" t="str">
        <f>IFERROR(__xludf.DUMMYFUNCTION("""COMPUTED_VALUE"""),"60 Nolan Road")</f>
        <v>60 Nolan Road</v>
      </c>
      <c r="E688" s="27">
        <f>IFERROR(__xludf.DUMMYFUNCTION("""COMPUTED_VALUE"""),45789.0)</f>
        <v>45789</v>
      </c>
      <c r="F688" s="64">
        <f>IFERROR(__xludf.DUMMYFUNCTION("""COMPUTED_VALUE"""),0.2)</f>
        <v>0.2</v>
      </c>
      <c r="G688" s="19" t="str">
        <f>IFERROR(__xludf.DUMMYFUNCTION("""COMPUTED_VALUE"""),"Commission Comparison")</f>
        <v>Commission Comparison</v>
      </c>
      <c r="H688" s="19" t="str">
        <f>IFERROR(__xludf.DUMMYFUNCTION("""COMPUTED_VALUE"""),"Michael Sassine")</f>
        <v>Michael Sassine</v>
      </c>
      <c r="I688" s="62">
        <f>IFERROR(__xludf.DUMMYFUNCTION("""COMPUTED_VALUE"""),6.14144209E10)</f>
        <v>61414420900</v>
      </c>
      <c r="J688" s="19" t="str">
        <f>IFERROR(__xludf.DUMMYFUNCTION("""COMPUTED_VALUE"""),"admin@evafresh.com.au")</f>
        <v>admin@evafresh.com.au</v>
      </c>
    </row>
    <row r="689">
      <c r="A689" s="19" t="str">
        <f>IFERROR(__xludf.DUMMYFUNCTION("""COMPUTED_VALUE"""),"")</f>
        <v/>
      </c>
      <c r="B689" s="19" t="str">
        <f>IFERROR(__xludf.DUMMYFUNCTION("""COMPUTED_VALUE"""),"")</f>
        <v/>
      </c>
      <c r="C689" s="5" t="str">
        <f>IFERROR(__xludf.DUMMYFUNCTION("""COMPUTED_VALUE"""),"")</f>
        <v/>
      </c>
      <c r="D689" s="5" t="str">
        <f>IFERROR(__xludf.DUMMYFUNCTION("""COMPUTED_VALUE"""),"")</f>
        <v/>
      </c>
      <c r="E689" s="5" t="str">
        <f>IFERROR(__xludf.DUMMYFUNCTION("""COMPUTED_VALUE"""),"")</f>
        <v/>
      </c>
      <c r="F689" s="5" t="str">
        <f>IFERROR(__xludf.DUMMYFUNCTION("""COMPUTED_VALUE"""),"")</f>
        <v/>
      </c>
      <c r="G689" s="19" t="str">
        <f>IFERROR(__xludf.DUMMYFUNCTION("""COMPUTED_VALUE"""),"")</f>
        <v/>
      </c>
      <c r="H689" s="19" t="str">
        <f>IFERROR(__xludf.DUMMYFUNCTION("""COMPUTED_VALUE"""),"")</f>
        <v/>
      </c>
      <c r="I689" s="62" t="str">
        <f>IFERROR(__xludf.DUMMYFUNCTION("""COMPUTED_VALUE"""),"")</f>
        <v/>
      </c>
      <c r="J689" s="19" t="str">
        <f>IFERROR(__xludf.DUMMYFUNCTION("""COMPUTED_VALUE"""),"")</f>
        <v/>
      </c>
    </row>
    <row r="690">
      <c r="A690" s="19" t="str">
        <f>IFERROR(__xludf.DUMMYFUNCTION("""COMPUTED_VALUE"""),"")</f>
        <v/>
      </c>
      <c r="B690" s="19" t="str">
        <f>IFERROR(__xludf.DUMMYFUNCTION("""COMPUTED_VALUE"""),"")</f>
        <v/>
      </c>
      <c r="C690" s="5" t="str">
        <f>IFERROR(__xludf.DUMMYFUNCTION("""COMPUTED_VALUE"""),"")</f>
        <v/>
      </c>
      <c r="D690" s="5" t="str">
        <f>IFERROR(__xludf.DUMMYFUNCTION("""COMPUTED_VALUE"""),"")</f>
        <v/>
      </c>
      <c r="E690" s="5" t="str">
        <f>IFERROR(__xludf.DUMMYFUNCTION("""COMPUTED_VALUE"""),"")</f>
        <v/>
      </c>
      <c r="F690" s="5" t="str">
        <f>IFERROR(__xludf.DUMMYFUNCTION("""COMPUTED_VALUE"""),"")</f>
        <v/>
      </c>
      <c r="G690" s="19" t="str">
        <f>IFERROR(__xludf.DUMMYFUNCTION("""COMPUTED_VALUE"""),"")</f>
        <v/>
      </c>
      <c r="H690" s="19" t="str">
        <f>IFERROR(__xludf.DUMMYFUNCTION("""COMPUTED_VALUE"""),"")</f>
        <v/>
      </c>
      <c r="I690" s="62" t="str">
        <f>IFERROR(__xludf.DUMMYFUNCTION("""COMPUTED_VALUE"""),"")</f>
        <v/>
      </c>
      <c r="J690" s="19" t="str">
        <f>IFERROR(__xludf.DUMMYFUNCTION("""COMPUTED_VALUE"""),"")</f>
        <v/>
      </c>
    </row>
    <row r="691">
      <c r="A691" s="19" t="str">
        <f>IFERROR(__xludf.DUMMYFUNCTION("""COMPUTED_VALUE"""),"Dan Tape")</f>
        <v>Dan Tape</v>
      </c>
      <c r="B691" s="19" t="str">
        <f>IFERROR(__xludf.DUMMYFUNCTION("""COMPUTED_VALUE"""),"QLD")</f>
        <v>QLD</v>
      </c>
      <c r="C691" s="5" t="str">
        <f>IFERROR(__xludf.DUMMYFUNCTION("""COMPUTED_VALUE"""),"Brighton")</f>
        <v>Brighton</v>
      </c>
      <c r="D691" s="5" t="str">
        <f>IFERROR(__xludf.DUMMYFUNCTION("""COMPUTED_VALUE"""),"7 Stanley Terrace, Brighton, QLD, 4017, Australia")</f>
        <v>7 Stanley Terrace, Brighton, QLD, 4017, Australia</v>
      </c>
      <c r="E691" s="27">
        <f>IFERROR(__xludf.DUMMYFUNCTION("""COMPUTED_VALUE"""),45753.0)</f>
        <v>45753</v>
      </c>
      <c r="F691" s="5" t="str">
        <f>IFERROR(__xludf.DUMMYFUNCTION("""COMPUTED_VALUE"""),"Featured")</f>
        <v>Featured</v>
      </c>
      <c r="G691" s="19"/>
      <c r="H691" s="19"/>
      <c r="I691" s="62"/>
      <c r="J691" s="19"/>
    </row>
    <row r="692">
      <c r="A692" s="19" t="str">
        <f>IFERROR(__xludf.DUMMYFUNCTION("""COMPUTED_VALUE"""),"Dan Tape")</f>
        <v>Dan Tape</v>
      </c>
      <c r="B692" s="19" t="str">
        <f>IFERROR(__xludf.DUMMYFUNCTION("""COMPUTED_VALUE"""),"QLD")</f>
        <v>QLD</v>
      </c>
      <c r="C692" s="5" t="str">
        <f>IFERROR(__xludf.DUMMYFUNCTION("""COMPUTED_VALUE"""),"Brighton")</f>
        <v>Brighton</v>
      </c>
      <c r="D692" s="5" t="str">
        <f>IFERROR(__xludf.DUMMYFUNCTION("""COMPUTED_VALUE"""),"69 Lascelles Street, Brighton, QLD, 4017, Australia")</f>
        <v>69 Lascelles Street, Brighton, QLD, 4017, Australia</v>
      </c>
      <c r="E692" s="27">
        <f>IFERROR(__xludf.DUMMYFUNCTION("""COMPUTED_VALUE"""),45783.0)</f>
        <v>45783</v>
      </c>
      <c r="F692" s="5" t="str">
        <f>IFERROR(__xludf.DUMMYFUNCTION("""COMPUTED_VALUE"""),"Featured")</f>
        <v>Featured</v>
      </c>
      <c r="G692" s="19"/>
      <c r="H692" s="19"/>
      <c r="I692" s="62"/>
      <c r="J692" s="19"/>
    </row>
    <row r="693">
      <c r="A693" s="19" t="str">
        <f>IFERROR(__xludf.DUMMYFUNCTION("""COMPUTED_VALUE"""),"Dan Tape")</f>
        <v>Dan Tape</v>
      </c>
      <c r="B693" s="19" t="str">
        <f>IFERROR(__xludf.DUMMYFUNCTION("""COMPUTED_VALUE"""),"QLD")</f>
        <v>QLD</v>
      </c>
      <c r="C693" s="5" t="str">
        <f>IFERROR(__xludf.DUMMYFUNCTION("""COMPUTED_VALUE"""),"Carina")</f>
        <v>Carina</v>
      </c>
      <c r="D693" s="5" t="str">
        <f>IFERROR(__xludf.DUMMYFUNCTION("""COMPUTED_VALUE"""),"3/94 Pembroke Street")</f>
        <v>3/94 Pembroke Street</v>
      </c>
      <c r="E693" s="63"/>
      <c r="F693" s="5" t="str">
        <f>IFERROR(__xludf.DUMMYFUNCTION("""COMPUTED_VALUE"""),"Featured")</f>
        <v>Featured</v>
      </c>
      <c r="G693" s="19" t="str">
        <f>IFERROR(__xludf.DUMMYFUNCTION("""COMPUTED_VALUE"""),"Commission Comparison")</f>
        <v>Commission Comparison</v>
      </c>
      <c r="H693" s="19"/>
      <c r="I693" s="62"/>
      <c r="J693" s="19"/>
    </row>
    <row r="694">
      <c r="A694" s="19" t="str">
        <f>IFERROR(__xludf.DUMMYFUNCTION("""COMPUTED_VALUE"""),"Dan Tape")</f>
        <v>Dan Tape</v>
      </c>
      <c r="B694" s="19" t="str">
        <f>IFERROR(__xludf.DUMMYFUNCTION("""COMPUTED_VALUE"""),"QLD")</f>
        <v>QLD</v>
      </c>
      <c r="C694" s="5" t="str">
        <f>IFERROR(__xludf.DUMMYFUNCTION("""COMPUTED_VALUE"""),"Shortland")</f>
        <v>Shortland</v>
      </c>
      <c r="D694" s="5"/>
      <c r="E694" s="63" t="str">
        <f>IFERROR(__xludf.DUMMYFUNCTION("""COMPUTED_VALUE"""),"25/07/2025")</f>
        <v>25/07/2025</v>
      </c>
      <c r="F694" s="5" t="str">
        <f>IFERROR(__xludf.DUMMYFUNCTION("""COMPUTED_VALUE"""),"Free")</f>
        <v>Free</v>
      </c>
      <c r="G694" s="19" t="str">
        <f>IFERROR(__xludf.DUMMYFUNCTION("""COMPUTED_VALUE"""),"Instant Forms")</f>
        <v>Instant Forms</v>
      </c>
      <c r="H694" s="19"/>
      <c r="I694" s="62"/>
      <c r="J694" s="19"/>
    </row>
    <row r="695">
      <c r="A695" s="19" t="str">
        <f>IFERROR(__xludf.DUMMYFUNCTION("""COMPUTED_VALUE"""),"Dan Tape")</f>
        <v>Dan Tape</v>
      </c>
      <c r="B695" s="19" t="str">
        <f>IFERROR(__xludf.DUMMYFUNCTION("""COMPUTED_VALUE"""),"QLD")</f>
        <v>QLD</v>
      </c>
      <c r="C695" s="5">
        <f>IFERROR(__xludf.DUMMYFUNCTION("""COMPUTED_VALUE"""),4021.0)</f>
        <v>4021</v>
      </c>
      <c r="D695" s="5"/>
      <c r="E695" s="63" t="str">
        <f>IFERROR(__xludf.DUMMYFUNCTION("""COMPUTED_VALUE"""),"27/07/2025")</f>
        <v>27/07/2025</v>
      </c>
      <c r="F695" s="5" t="str">
        <f>IFERROR(__xludf.DUMMYFUNCTION("""COMPUTED_VALUE"""),"Featured")</f>
        <v>Featured</v>
      </c>
      <c r="G695" s="19" t="str">
        <f>IFERROR(__xludf.DUMMYFUNCTION("""COMPUTED_VALUE"""),"Instant Forms")</f>
        <v>Instant Forms</v>
      </c>
      <c r="H695" s="19"/>
      <c r="I695" s="62"/>
      <c r="J695" s="19"/>
    </row>
    <row r="696">
      <c r="A696" s="19" t="str">
        <f>IFERROR(__xludf.DUMMYFUNCTION("""COMPUTED_VALUE"""),"Dan Tape")</f>
        <v>Dan Tape</v>
      </c>
      <c r="B696" s="19" t="str">
        <f>IFERROR(__xludf.DUMMYFUNCTION("""COMPUTED_VALUE"""),"QLD")</f>
        <v>QLD</v>
      </c>
      <c r="C696" s="5" t="str">
        <f>IFERROR(__xludf.DUMMYFUNCTION("""COMPUTED_VALUE"""),"Scarborough")</f>
        <v>Scarborough</v>
      </c>
      <c r="D696" s="5"/>
      <c r="E696" s="63" t="str">
        <f>IFERROR(__xludf.DUMMYFUNCTION("""COMPUTED_VALUE"""),"27/07/2025")</f>
        <v>27/07/2025</v>
      </c>
      <c r="F696" s="5" t="str">
        <f>IFERROR(__xludf.DUMMYFUNCTION("""COMPUTED_VALUE"""),"Free")</f>
        <v>Free</v>
      </c>
      <c r="G696" s="19" t="str">
        <f>IFERROR(__xludf.DUMMYFUNCTION("""COMPUTED_VALUE"""),"Instant Forms")</f>
        <v>Instant Forms</v>
      </c>
      <c r="H696" s="19"/>
      <c r="I696" s="62"/>
      <c r="J696" s="19"/>
    </row>
    <row r="697">
      <c r="A697" s="19" t="str">
        <f>IFERROR(__xludf.DUMMYFUNCTION("""COMPUTED_VALUE"""),"Dan Tape")</f>
        <v>Dan Tape</v>
      </c>
      <c r="B697" s="19" t="str">
        <f>IFERROR(__xludf.DUMMYFUNCTION("""COMPUTED_VALUE"""),"QLD")</f>
        <v>QLD</v>
      </c>
      <c r="C697" s="5">
        <f>IFERROR(__xludf.DUMMYFUNCTION("""COMPUTED_VALUE"""),4021.0)</f>
        <v>4021</v>
      </c>
      <c r="D697" s="5"/>
      <c r="E697" s="63" t="str">
        <f>IFERROR(__xludf.DUMMYFUNCTION("""COMPUTED_VALUE"""),"27/07/2025")</f>
        <v>27/07/2025</v>
      </c>
      <c r="F697" s="5" t="str">
        <f>IFERROR(__xludf.DUMMYFUNCTION("""COMPUTED_VALUE"""),"Featured")</f>
        <v>Featured</v>
      </c>
      <c r="G697" s="19" t="str">
        <f>IFERROR(__xludf.DUMMYFUNCTION("""COMPUTED_VALUE"""),"Instant Forms")</f>
        <v>Instant Forms</v>
      </c>
      <c r="H697" s="19"/>
      <c r="I697" s="62"/>
      <c r="J697" s="19"/>
    </row>
    <row r="698">
      <c r="A698" s="19" t="str">
        <f>IFERROR(__xludf.DUMMYFUNCTION("""COMPUTED_VALUE"""),"Dan Tape")</f>
        <v>Dan Tape</v>
      </c>
      <c r="B698" s="19" t="str">
        <f>IFERROR(__xludf.DUMMYFUNCTION("""COMPUTED_VALUE"""),"QLD")</f>
        <v>QLD</v>
      </c>
      <c r="C698" s="5" t="str">
        <f>IFERROR(__xludf.DUMMYFUNCTION("""COMPUTED_VALUE"""),"Scarborough")</f>
        <v>Scarborough</v>
      </c>
      <c r="D698" s="5"/>
      <c r="E698" s="63">
        <f>IFERROR(__xludf.DUMMYFUNCTION("""COMPUTED_VALUE"""),45755.0)</f>
        <v>45755</v>
      </c>
      <c r="F698" s="5" t="str">
        <f>IFERROR(__xludf.DUMMYFUNCTION("""COMPUTED_VALUE"""),"Featured")</f>
        <v>Featured</v>
      </c>
      <c r="G698" s="19" t="str">
        <f>IFERROR(__xludf.DUMMYFUNCTION("""COMPUTED_VALUE"""),"Instant Forms")</f>
        <v>Instant Forms</v>
      </c>
      <c r="H698" s="19"/>
      <c r="I698" s="62"/>
      <c r="J698" s="19"/>
    </row>
    <row r="699">
      <c r="A699" s="19" t="str">
        <f>IFERROR(__xludf.DUMMYFUNCTION("""COMPUTED_VALUE"""),"Dan Tape")</f>
        <v>Dan Tape</v>
      </c>
      <c r="B699" s="19" t="str">
        <f>IFERROR(__xludf.DUMMYFUNCTION("""COMPUTED_VALUE"""),"QLD")</f>
        <v>QLD</v>
      </c>
      <c r="C699" s="5" t="str">
        <f>IFERROR(__xludf.DUMMYFUNCTION("""COMPUTED_VALUE"""),"Scarborough")</f>
        <v>Scarborough</v>
      </c>
      <c r="D699" s="5" t="str">
        <f>IFERROR(__xludf.DUMMYFUNCTION("""COMPUTED_VALUE"""),"88 Oyster Point Esplanade, Scarborough, QLD, 4020, Australia")</f>
        <v>88 Oyster Point Esplanade, Scarborough, QLD, 4020, Australia</v>
      </c>
      <c r="E699" s="27">
        <f>IFERROR(__xludf.DUMMYFUNCTION("""COMPUTED_VALUE"""),45969.0)</f>
        <v>45969</v>
      </c>
      <c r="F699" s="5" t="str">
        <f>IFERROR(__xludf.DUMMYFUNCTION("""COMPUTED_VALUE"""),"Featured")</f>
        <v>Featured</v>
      </c>
      <c r="G699" s="19"/>
      <c r="H699" s="19"/>
      <c r="I699" s="62"/>
      <c r="J699" s="19"/>
    </row>
    <row r="700">
      <c r="A700" s="19" t="str">
        <f>IFERROR(__xludf.DUMMYFUNCTION("""COMPUTED_VALUE"""),"Dan Tape")</f>
        <v>Dan Tape</v>
      </c>
      <c r="B700" s="19" t="str">
        <f>IFERROR(__xludf.DUMMYFUNCTION("""COMPUTED_VALUE"""),"QLD")</f>
        <v>QLD</v>
      </c>
      <c r="C700" s="5" t="str">
        <f>IFERROR(__xludf.DUMMYFUNCTION("""COMPUTED_VALUE"""),"Scarborough")</f>
        <v>Scarborough</v>
      </c>
      <c r="D700" s="5" t="str">
        <f>IFERROR(__xludf.DUMMYFUNCTION("""COMPUTED_VALUE"""),"16 Pearl Street Scarborough QLD 4020")</f>
        <v>16 Pearl Street Scarborough QLD 4020</v>
      </c>
      <c r="E700" s="25">
        <f>IFERROR(__xludf.DUMMYFUNCTION("""COMPUTED_VALUE"""),45889.0)</f>
        <v>45889</v>
      </c>
      <c r="F700" s="5" t="str">
        <f>IFERROR(__xludf.DUMMYFUNCTION("""COMPUTED_VALUE"""),"Featured")</f>
        <v>Featured</v>
      </c>
      <c r="G700" s="19" t="str">
        <f>IFERROR(__xludf.DUMMYFUNCTION("""COMPUTED_VALUE"""),"Instant Forms")</f>
        <v>Instant Forms</v>
      </c>
      <c r="H700" s="19"/>
      <c r="I700" s="62"/>
      <c r="J700" s="19"/>
    </row>
    <row r="701">
      <c r="A701" s="19" t="str">
        <f>IFERROR(__xludf.DUMMYFUNCTION("""COMPUTED_VALUE"""),"Dan Tape")</f>
        <v>Dan Tape</v>
      </c>
      <c r="B701" s="19" t="str">
        <f>IFERROR(__xludf.DUMMYFUNCTION("""COMPUTED_VALUE"""),"QLD")</f>
        <v>QLD</v>
      </c>
      <c r="C701" s="5" t="str">
        <f>IFERROR(__xludf.DUMMYFUNCTION("""COMPUTED_VALUE"""),"Boondall")</f>
        <v>Boondall</v>
      </c>
      <c r="D701" s="5" t="str">
        <f>IFERROR(__xludf.DUMMYFUNCTION("""COMPUTED_VALUE"""),"2188 Sandgate Road Boondall QLD 4034")</f>
        <v>2188 Sandgate Road Boondall QLD 4034</v>
      </c>
      <c r="E701" s="25">
        <f>IFERROR(__xludf.DUMMYFUNCTION("""COMPUTED_VALUE"""),45891.0)</f>
        <v>45891</v>
      </c>
      <c r="F701" s="5" t="str">
        <f>IFERROR(__xludf.DUMMYFUNCTION("""COMPUTED_VALUE"""),"Featured")</f>
        <v>Featured</v>
      </c>
      <c r="G701" s="19" t="str">
        <f>IFERROR(__xludf.DUMMYFUNCTION("""COMPUTED_VALUE"""),"Instant Forms")</f>
        <v>Instant Forms</v>
      </c>
      <c r="H701" s="19"/>
      <c r="I701" s="62"/>
      <c r="J701" s="19"/>
    </row>
    <row r="702">
      <c r="A702" s="19" t="str">
        <f>IFERROR(__xludf.DUMMYFUNCTION("""COMPUTED_VALUE"""),"Dan Tape")</f>
        <v>Dan Tape</v>
      </c>
      <c r="B702" s="19" t="str">
        <f>IFERROR(__xludf.DUMMYFUNCTION("""COMPUTED_VALUE"""),"QLD")</f>
        <v>QLD</v>
      </c>
      <c r="C702" s="5" t="str">
        <f>IFERROR(__xludf.DUMMYFUNCTION("""COMPUTED_VALUE"""),"Redcliffe")</f>
        <v>Redcliffe</v>
      </c>
      <c r="D702" s="5" t="str">
        <f>IFERROR(__xludf.DUMMYFUNCTION("""COMPUTED_VALUE"""),"244/59-67 Marine Parade Redcliffe QLD 4020")</f>
        <v>244/59-67 Marine Parade Redcliffe QLD 4020</v>
      </c>
      <c r="E702" s="25">
        <f>IFERROR(__xludf.DUMMYFUNCTION("""COMPUTED_VALUE"""),45895.0)</f>
        <v>45895</v>
      </c>
      <c r="F702" s="5" t="str">
        <f>IFERROR(__xludf.DUMMYFUNCTION("""COMPUTED_VALUE"""),"Featured")</f>
        <v>Featured</v>
      </c>
      <c r="G702" s="19" t="str">
        <f>IFERROR(__xludf.DUMMYFUNCTION("""COMPUTED_VALUE"""),"Instant Forms")</f>
        <v>Instant Forms</v>
      </c>
      <c r="H702" s="19"/>
      <c r="I702" s="62"/>
      <c r="J702" s="19"/>
    </row>
    <row r="703">
      <c r="A703" s="19" t="str">
        <f>IFERROR(__xludf.DUMMYFUNCTION("""COMPUTED_VALUE"""),"Dan Tape")</f>
        <v>Dan Tape</v>
      </c>
      <c r="B703" s="19" t="str">
        <f>IFERROR(__xludf.DUMMYFUNCTION("""COMPUTED_VALUE"""),"QLD")</f>
        <v>QLD</v>
      </c>
      <c r="C703" s="5" t="str">
        <f>IFERROR(__xludf.DUMMYFUNCTION("""COMPUTED_VALUE"""),"Bracken ridge")</f>
        <v>Bracken ridge</v>
      </c>
      <c r="D703" s="5" t="str">
        <f>IFERROR(__xludf.DUMMYFUNCTION("""COMPUTED_VALUE"""),"32 Gawain Road Bracken Ridge QLD 4017")</f>
        <v>32 Gawain Road Bracken Ridge QLD 4017</v>
      </c>
      <c r="E703" s="25">
        <f>IFERROR(__xludf.DUMMYFUNCTION("""COMPUTED_VALUE"""),45896.0)</f>
        <v>45896</v>
      </c>
      <c r="F703" s="5" t="str">
        <f>IFERROR(__xludf.DUMMYFUNCTION("""COMPUTED_VALUE"""),"Featured")</f>
        <v>Featured</v>
      </c>
      <c r="G703" s="19" t="str">
        <f>IFERROR(__xludf.DUMMYFUNCTION("""COMPUTED_VALUE"""),"Instant Forms")</f>
        <v>Instant Forms</v>
      </c>
      <c r="H703" s="19"/>
      <c r="I703" s="62"/>
      <c r="J703" s="19"/>
    </row>
    <row r="704">
      <c r="A704" s="19" t="str">
        <f>IFERROR(__xludf.DUMMYFUNCTION("""COMPUTED_VALUE"""),"Dan Tape")</f>
        <v>Dan Tape</v>
      </c>
      <c r="B704" s="19" t="str">
        <f>IFERROR(__xludf.DUMMYFUNCTION("""COMPUTED_VALUE"""),"QLD")</f>
        <v>QLD</v>
      </c>
      <c r="C704" s="5" t="str">
        <f>IFERROR(__xludf.DUMMYFUNCTION("""COMPUTED_VALUE"""),"Aspley")</f>
        <v>Aspley</v>
      </c>
      <c r="D704" s="5"/>
      <c r="E704" s="25">
        <f>IFERROR(__xludf.DUMMYFUNCTION("""COMPUTED_VALUE"""),45898.0)</f>
        <v>45898</v>
      </c>
      <c r="F704" s="5" t="str">
        <f>IFERROR(__xludf.DUMMYFUNCTION("""COMPUTED_VALUE"""),"Featured")</f>
        <v>Featured</v>
      </c>
      <c r="G704" s="19" t="str">
        <f>IFERROR(__xludf.DUMMYFUNCTION("""COMPUTED_VALUE"""),"Instant Forms")</f>
        <v>Instant Forms</v>
      </c>
      <c r="H704" s="19"/>
      <c r="I704" s="62"/>
      <c r="J704" s="19"/>
    </row>
    <row r="705">
      <c r="A705" s="19" t="str">
        <f>IFERROR(__xludf.DUMMYFUNCTION("""COMPUTED_VALUE"""),"Dan Tape")</f>
        <v>Dan Tape</v>
      </c>
      <c r="B705" s="19" t="str">
        <f>IFERROR(__xludf.DUMMYFUNCTION("""COMPUTED_VALUE"""),"QLD")</f>
        <v>QLD</v>
      </c>
      <c r="C705" s="5" t="str">
        <f>IFERROR(__xludf.DUMMYFUNCTION("""COMPUTED_VALUE"""),"Bracken Ridge")</f>
        <v>Bracken Ridge</v>
      </c>
      <c r="D705" s="5" t="str">
        <f>IFERROR(__xludf.DUMMYFUNCTION("""COMPUTED_VALUE"""),"167B Barbour Road Bracken Ridge QLD 4017")</f>
        <v>167B Barbour Road Bracken Ridge QLD 4017</v>
      </c>
      <c r="E705" s="25">
        <f>IFERROR(__xludf.DUMMYFUNCTION("""COMPUTED_VALUE"""),45899.0)</f>
        <v>45899</v>
      </c>
      <c r="F705" s="5" t="str">
        <f>IFERROR(__xludf.DUMMYFUNCTION("""COMPUTED_VALUE"""),"Featured")</f>
        <v>Featured</v>
      </c>
      <c r="G705" s="19" t="str">
        <f>IFERROR(__xludf.DUMMYFUNCTION("""COMPUTED_VALUE"""),"Instant Forms")</f>
        <v>Instant Forms</v>
      </c>
      <c r="H705" s="19"/>
      <c r="I705" s="62"/>
      <c r="J705" s="19"/>
    </row>
    <row r="706">
      <c r="A706" s="19" t="str">
        <f>IFERROR(__xludf.DUMMYFUNCTION("""COMPUTED_VALUE"""),"Dan Tape")</f>
        <v>Dan Tape</v>
      </c>
      <c r="B706" s="19" t="str">
        <f>IFERROR(__xludf.DUMMYFUNCTION("""COMPUTED_VALUE"""),"QLD")</f>
        <v>QLD</v>
      </c>
      <c r="C706" s="5" t="str">
        <f>IFERROR(__xludf.DUMMYFUNCTION("""COMPUTED_VALUE"""),"Zillmere")</f>
        <v>Zillmere</v>
      </c>
      <c r="D706" s="5" t="str">
        <f>IFERROR(__xludf.DUMMYFUNCTION("""COMPUTED_VALUE"""),"33/18 Spano Street Zillmere QLD 4034 (Appears may be on the market currently)")</f>
        <v>33/18 Spano Street Zillmere QLD 4034 (Appears may be on the market currently)</v>
      </c>
      <c r="E706" s="25">
        <f>IFERROR(__xludf.DUMMYFUNCTION("""COMPUTED_VALUE"""),45900.0)</f>
        <v>45900</v>
      </c>
      <c r="F706" s="5" t="str">
        <f>IFERROR(__xludf.DUMMYFUNCTION("""COMPUTED_VALUE"""),"Featured")</f>
        <v>Featured</v>
      </c>
      <c r="G706" s="19" t="str">
        <f>IFERROR(__xludf.DUMMYFUNCTION("""COMPUTED_VALUE"""),"Instant Forms")</f>
        <v>Instant Forms</v>
      </c>
      <c r="H706" s="19"/>
      <c r="I706" s="62"/>
      <c r="J706" s="19"/>
    </row>
    <row r="707">
      <c r="A707" s="19" t="str">
        <f>IFERROR(__xludf.DUMMYFUNCTION("""COMPUTED_VALUE"""),"Dan Tape")</f>
        <v>Dan Tape</v>
      </c>
      <c r="B707" s="19" t="str">
        <f>IFERROR(__xludf.DUMMYFUNCTION("""COMPUTED_VALUE"""),"QLD")</f>
        <v>QLD</v>
      </c>
      <c r="C707" s="5" t="str">
        <f>IFERROR(__xludf.DUMMYFUNCTION("""COMPUTED_VALUE"""),"Taigum")</f>
        <v>Taigum</v>
      </c>
      <c r="D707" s="5" t="str">
        <f>IFERROR(__xludf.DUMMYFUNCTION("""COMPUTED_VALUE"""),"86/245 Handford Road Taigum QLD 4018")</f>
        <v>86/245 Handford Road Taigum QLD 4018</v>
      </c>
      <c r="E707" s="25">
        <f>IFERROR(__xludf.DUMMYFUNCTION("""COMPUTED_VALUE"""),45901.0)</f>
        <v>45901</v>
      </c>
      <c r="F707" s="5" t="str">
        <f>IFERROR(__xludf.DUMMYFUNCTION("""COMPUTED_VALUE"""),"Featured")</f>
        <v>Featured</v>
      </c>
      <c r="G707" s="19" t="str">
        <f>IFERROR(__xludf.DUMMYFUNCTION("""COMPUTED_VALUE"""),"Instant Forms")</f>
        <v>Instant Forms</v>
      </c>
      <c r="H707" s="19"/>
      <c r="I707" s="62"/>
      <c r="J707" s="19"/>
    </row>
    <row r="708">
      <c r="A708" s="19" t="str">
        <f>IFERROR(__xludf.DUMMYFUNCTION("""COMPUTED_VALUE"""),"Dan Tape")</f>
        <v>Dan Tape</v>
      </c>
      <c r="B708" s="19" t="str">
        <f>IFERROR(__xludf.DUMMYFUNCTION("""COMPUTED_VALUE"""),"QLD")</f>
        <v>QLD</v>
      </c>
      <c r="C708" s="5" t="str">
        <f>IFERROR(__xludf.DUMMYFUNCTION("""COMPUTED_VALUE"""),"Margate qld")</f>
        <v>Margate qld</v>
      </c>
      <c r="D708" s="5" t="str">
        <f>IFERROR(__xludf.DUMMYFUNCTION("""COMPUTED_VALUE"""),"13 Anning Street Margate QLD 4019")</f>
        <v>13 Anning Street Margate QLD 4019</v>
      </c>
      <c r="E708" s="25">
        <f>IFERROR(__xludf.DUMMYFUNCTION("""COMPUTED_VALUE"""),45901.0)</f>
        <v>45901</v>
      </c>
      <c r="F708" s="5" t="str">
        <f>IFERROR(__xludf.DUMMYFUNCTION("""COMPUTED_VALUE"""),"Featured")</f>
        <v>Featured</v>
      </c>
      <c r="G708" s="19" t="str">
        <f>IFERROR(__xludf.DUMMYFUNCTION("""COMPUTED_VALUE"""),"Instant Forms")</f>
        <v>Instant Forms</v>
      </c>
      <c r="H708" s="19"/>
      <c r="I708" s="62"/>
      <c r="J708" s="19"/>
    </row>
    <row r="709">
      <c r="A709" s="19" t="str">
        <f>IFERROR(__xludf.DUMMYFUNCTION("""COMPUTED_VALUE"""),"Dan Tape")</f>
        <v>Dan Tape</v>
      </c>
      <c r="B709" s="19" t="str">
        <f>IFERROR(__xludf.DUMMYFUNCTION("""COMPUTED_VALUE"""),"QLD")</f>
        <v>QLD</v>
      </c>
      <c r="C709" s="5" t="str">
        <f>IFERROR(__xludf.DUMMYFUNCTION("""COMPUTED_VALUE"""),"Redcliffe")</f>
        <v>Redcliffe</v>
      </c>
      <c r="D709" s="5" t="str">
        <f>IFERROR(__xludf.DUMMYFUNCTION("""COMPUTED_VALUE"""),"315 Victoria Avenue Redcliffe QLD 4020")</f>
        <v>315 Victoria Avenue Redcliffe QLD 4020</v>
      </c>
      <c r="E709" s="25">
        <f>IFERROR(__xludf.DUMMYFUNCTION("""COMPUTED_VALUE"""),45901.0)</f>
        <v>45901</v>
      </c>
      <c r="F709" s="5" t="str">
        <f>IFERROR(__xludf.DUMMYFUNCTION("""COMPUTED_VALUE"""),"Featured")</f>
        <v>Featured</v>
      </c>
      <c r="G709" s="19" t="str">
        <f>IFERROR(__xludf.DUMMYFUNCTION("""COMPUTED_VALUE"""),"Instant Forms")</f>
        <v>Instant Forms</v>
      </c>
      <c r="H709" s="19"/>
      <c r="I709" s="62"/>
      <c r="J709" s="19"/>
    </row>
    <row r="710">
      <c r="A710" s="19" t="str">
        <f>IFERROR(__xludf.DUMMYFUNCTION("""COMPUTED_VALUE"""),"Dan Tape")</f>
        <v>Dan Tape</v>
      </c>
      <c r="B710" s="19" t="str">
        <f>IFERROR(__xludf.DUMMYFUNCTION("""COMPUTED_VALUE"""),"QLD")</f>
        <v>QLD</v>
      </c>
      <c r="C710" s="5" t="str">
        <f>IFERROR(__xludf.DUMMYFUNCTION("""COMPUTED_VALUE"""),"Carseldine")</f>
        <v>Carseldine</v>
      </c>
      <c r="D710" s="5" t="str">
        <f>IFERROR(__xludf.DUMMYFUNCTION("""COMPUTED_VALUE"""),"19 Coonawarra Drive Carseldine QLD 4034")</f>
        <v>19 Coonawarra Drive Carseldine QLD 4034</v>
      </c>
      <c r="E710" s="25">
        <f>IFERROR(__xludf.DUMMYFUNCTION("""COMPUTED_VALUE"""),45901.0)</f>
        <v>45901</v>
      </c>
      <c r="F710" s="5" t="str">
        <f>IFERROR(__xludf.DUMMYFUNCTION("""COMPUTED_VALUE"""),"Featured")</f>
        <v>Featured</v>
      </c>
      <c r="G710" s="19" t="str">
        <f>IFERROR(__xludf.DUMMYFUNCTION("""COMPUTED_VALUE"""),"Instant Forms")</f>
        <v>Instant Forms</v>
      </c>
      <c r="H710" s="19"/>
      <c r="I710" s="62"/>
      <c r="J710" s="19"/>
    </row>
    <row r="711">
      <c r="A711" s="19" t="str">
        <f>IFERROR(__xludf.DUMMYFUNCTION("""COMPUTED_VALUE"""),"Dan Tape")</f>
        <v>Dan Tape</v>
      </c>
      <c r="B711" s="19" t="str">
        <f>IFERROR(__xludf.DUMMYFUNCTION("""COMPUTED_VALUE"""),"QLD")</f>
        <v>QLD</v>
      </c>
      <c r="C711" s="5" t="str">
        <f>IFERROR(__xludf.DUMMYFUNCTION("""COMPUTED_VALUE"""),"Taigum")</f>
        <v>Taigum</v>
      </c>
      <c r="D711" s="5" t="str">
        <f>IFERROR(__xludf.DUMMYFUNCTION("""COMPUTED_VALUE"""),"11/258 Church Road Taigum QLD 4018")</f>
        <v>11/258 Church Road Taigum QLD 4018</v>
      </c>
      <c r="E711" s="25">
        <f>IFERROR(__xludf.DUMMYFUNCTION("""COMPUTED_VALUE"""),45901.0)</f>
        <v>45901</v>
      </c>
      <c r="F711" s="5" t="str">
        <f>IFERROR(__xludf.DUMMYFUNCTION("""COMPUTED_VALUE"""),"Featured")</f>
        <v>Featured</v>
      </c>
      <c r="G711" s="19" t="str">
        <f>IFERROR(__xludf.DUMMYFUNCTION("""COMPUTED_VALUE"""),"Instant Forms")</f>
        <v>Instant Forms</v>
      </c>
      <c r="H711" s="19"/>
      <c r="I711" s="62"/>
      <c r="J711" s="19"/>
    </row>
    <row r="712">
      <c r="A712" s="19" t="str">
        <f>IFERROR(__xludf.DUMMYFUNCTION("""COMPUTED_VALUE"""),"Dan Tape")</f>
        <v>Dan Tape</v>
      </c>
      <c r="B712" s="19" t="str">
        <f>IFERROR(__xludf.DUMMYFUNCTION("""COMPUTED_VALUE"""),"QLD")</f>
        <v>QLD</v>
      </c>
      <c r="C712" s="5" t="str">
        <f>IFERROR(__xludf.DUMMYFUNCTION("""COMPUTED_VALUE"""),"Virginia")</f>
        <v>Virginia</v>
      </c>
      <c r="D712" s="5" t="str">
        <f>IFERROR(__xludf.DUMMYFUNCTION("""COMPUTED_VALUE"""),"6A First Street Virginia QLD 4014")</f>
        <v>6A First Street Virginia QLD 4014</v>
      </c>
      <c r="E712" s="25">
        <f>IFERROR(__xludf.DUMMYFUNCTION("""COMPUTED_VALUE"""),45903.0)</f>
        <v>45903</v>
      </c>
      <c r="F712" s="5" t="str">
        <f>IFERROR(__xludf.DUMMYFUNCTION("""COMPUTED_VALUE"""),"Featured")</f>
        <v>Featured</v>
      </c>
      <c r="G712" s="19" t="str">
        <f>IFERROR(__xludf.DUMMYFUNCTION("""COMPUTED_VALUE"""),"Instant Forms")</f>
        <v>Instant Forms</v>
      </c>
      <c r="H712" s="19"/>
      <c r="I712" s="62"/>
      <c r="J712" s="19"/>
    </row>
    <row r="713">
      <c r="A713" s="19" t="str">
        <f>IFERROR(__xludf.DUMMYFUNCTION("""COMPUTED_VALUE"""),"Dan Tape")</f>
        <v>Dan Tape</v>
      </c>
      <c r="B713" s="19" t="str">
        <f>IFERROR(__xludf.DUMMYFUNCTION("""COMPUTED_VALUE"""),"QLD")</f>
        <v>QLD</v>
      </c>
      <c r="C713" s="5" t="str">
        <f>IFERROR(__xludf.DUMMYFUNCTION("""COMPUTED_VALUE"""),"Griffin")</f>
        <v>Griffin</v>
      </c>
      <c r="D713" s="5" t="str">
        <f>IFERROR(__xludf.DUMMYFUNCTION("""COMPUTED_VALUE"""),"31 Shoreview Boulevard Griffin QLD 4503")</f>
        <v>31 Shoreview Boulevard Griffin QLD 4503</v>
      </c>
      <c r="E713" s="25">
        <f>IFERROR(__xludf.DUMMYFUNCTION("""COMPUTED_VALUE"""),45904.0)</f>
        <v>45904</v>
      </c>
      <c r="F713" s="5" t="str">
        <f>IFERROR(__xludf.DUMMYFUNCTION("""COMPUTED_VALUE"""),"Featured")</f>
        <v>Featured</v>
      </c>
      <c r="G713" s="19" t="str">
        <f>IFERROR(__xludf.DUMMYFUNCTION("""COMPUTED_VALUE"""),"Instant Forms")</f>
        <v>Instant Forms</v>
      </c>
      <c r="H713" s="19"/>
      <c r="I713" s="62"/>
      <c r="J713" s="19"/>
    </row>
    <row r="714">
      <c r="A714" s="19" t="str">
        <f>IFERROR(__xludf.DUMMYFUNCTION("""COMPUTED_VALUE"""),"Dan Tape")</f>
        <v>Dan Tape</v>
      </c>
      <c r="B714" s="19" t="str">
        <f>IFERROR(__xludf.DUMMYFUNCTION("""COMPUTED_VALUE"""),"QLD")</f>
        <v>QLD</v>
      </c>
      <c r="C714" s="5" t="str">
        <f>IFERROR(__xludf.DUMMYFUNCTION("""COMPUTED_VALUE"""),"Woody Point")</f>
        <v>Woody Point</v>
      </c>
      <c r="D714" s="5" t="str">
        <f>IFERROR(__xludf.DUMMYFUNCTION("""COMPUTED_VALUE"""),"4/8-10 Georgina Street Woody Point QLD 4019")</f>
        <v>4/8-10 Georgina Street Woody Point QLD 4019</v>
      </c>
      <c r="E714" s="25">
        <f>IFERROR(__xludf.DUMMYFUNCTION("""COMPUTED_VALUE"""),45908.0)</f>
        <v>45908</v>
      </c>
      <c r="F714" s="5" t="str">
        <f>IFERROR(__xludf.DUMMYFUNCTION("""COMPUTED_VALUE"""),"Featured")</f>
        <v>Featured</v>
      </c>
      <c r="G714" s="19" t="str">
        <f>IFERROR(__xludf.DUMMYFUNCTION("""COMPUTED_VALUE"""),"Instant Forms")</f>
        <v>Instant Forms</v>
      </c>
      <c r="H714" s="19"/>
      <c r="I714" s="62"/>
      <c r="J714" s="19"/>
    </row>
    <row r="715">
      <c r="A715" s="19" t="str">
        <f>IFERROR(__xludf.DUMMYFUNCTION("""COMPUTED_VALUE"""),"Dan Tape")</f>
        <v>Dan Tape</v>
      </c>
      <c r="B715" s="19" t="str">
        <f>IFERROR(__xludf.DUMMYFUNCTION("""COMPUTED_VALUE"""),"QLD")</f>
        <v>QLD</v>
      </c>
      <c r="C715" s="5" t="str">
        <f>IFERROR(__xludf.DUMMYFUNCTION("""COMPUTED_VALUE"""),"Shorncliffe")</f>
        <v>Shorncliffe</v>
      </c>
      <c r="D715" s="5" t="str">
        <f>IFERROR(__xludf.DUMMYFUNCTION("""COMPUTED_VALUE"""),"7 Pier Avenue Shorncliffe QLD 4017")</f>
        <v>7 Pier Avenue Shorncliffe QLD 4017</v>
      </c>
      <c r="E715" s="25">
        <f>IFERROR(__xludf.DUMMYFUNCTION("""COMPUTED_VALUE"""),45912.0)</f>
        <v>45912</v>
      </c>
      <c r="F715" s="5">
        <f>IFERROR(__xludf.DUMMYFUNCTION("""COMPUTED_VALUE"""),8.0)</f>
        <v>8</v>
      </c>
      <c r="G715" s="19" t="str">
        <f>IFERROR(__xludf.DUMMYFUNCTION("""COMPUTED_VALUE"""),"Instant Forms")</f>
        <v>Instant Forms</v>
      </c>
      <c r="H715" s="19" t="str">
        <f>IFERROR(__xludf.DUMMYFUNCTION("""COMPUTED_VALUE"""),"Lindy Stanistreet-Brélaz")</f>
        <v>Lindy Stanistreet-Brélaz</v>
      </c>
      <c r="I715" s="62"/>
      <c r="J715" s="19"/>
    </row>
    <row r="716">
      <c r="A716" s="19" t="str">
        <f>IFERROR(__xludf.DUMMYFUNCTION("""COMPUTED_VALUE"""),"Dan Tape")</f>
        <v>Dan Tape</v>
      </c>
      <c r="B716" s="19" t="str">
        <f>IFERROR(__xludf.DUMMYFUNCTION("""COMPUTED_VALUE"""),"QLD")</f>
        <v>QLD</v>
      </c>
      <c r="C716" s="5" t="str">
        <f>IFERROR(__xludf.DUMMYFUNCTION("""COMPUTED_VALUE"""),"rothwell")</f>
        <v>rothwell</v>
      </c>
      <c r="D716" s="5" t="str">
        <f>IFERROR(__xludf.DUMMYFUNCTION("""COMPUTED_VALUE"""),"Unit 81  77-93 Morris Road ROTHWELL QLD 4022")</f>
        <v>Unit 81  77-93 Morris Road ROTHWELL QLD 4022</v>
      </c>
      <c r="E716" s="25">
        <f>IFERROR(__xludf.DUMMYFUNCTION("""COMPUTED_VALUE"""),45917.0)</f>
        <v>45917</v>
      </c>
      <c r="F716" s="5">
        <f>IFERROR(__xludf.DUMMYFUNCTION("""COMPUTED_VALUE"""),8.0)</f>
        <v>8</v>
      </c>
      <c r="G716" s="19" t="str">
        <f>IFERROR(__xludf.DUMMYFUNCTION("""COMPUTED_VALUE"""),"Instant Forms")</f>
        <v>Instant Forms</v>
      </c>
      <c r="H716" s="19" t="str">
        <f>IFERROR(__xludf.DUMMYFUNCTION("""COMPUTED_VALUE"""),"John Gray")</f>
        <v>John Gray</v>
      </c>
      <c r="I716" s="62"/>
      <c r="J716" s="19"/>
    </row>
    <row r="717">
      <c r="A717" s="19" t="str">
        <f>IFERROR(__xludf.DUMMYFUNCTION("""COMPUTED_VALUE"""),"Dan Tape")</f>
        <v>Dan Tape</v>
      </c>
      <c r="B717" s="19" t="str">
        <f>IFERROR(__xludf.DUMMYFUNCTION("""COMPUTED_VALUE"""),"QLD")</f>
        <v>QLD</v>
      </c>
      <c r="C717" s="5" t="str">
        <f>IFERROR(__xludf.DUMMYFUNCTION("""COMPUTED_VALUE"""),"Redcliffe")</f>
        <v>Redcliffe</v>
      </c>
      <c r="D717" s="5" t="str">
        <f>IFERROR(__xludf.DUMMYFUNCTION("""COMPUTED_VALUE"""),"54 steven st redcliffe, Redcliffe, 4020")</f>
        <v>54 steven st redcliffe, Redcliffe, 4020</v>
      </c>
      <c r="E717" s="5" t="str">
        <f>IFERROR(__xludf.DUMMYFUNCTION("""COMPUTED_VALUE"""),"22/09/2025")</f>
        <v>22/09/2025</v>
      </c>
      <c r="F717" s="5" t="str">
        <f>IFERROR(__xludf.DUMMYFUNCTION("""COMPUTED_VALUE"""),"Featured")</f>
        <v>Featured</v>
      </c>
      <c r="G717" s="19" t="str">
        <f>IFERROR(__xludf.DUMMYFUNCTION("""COMPUTED_VALUE"""),"Meta Commission Report")</f>
        <v>Meta Commission Report</v>
      </c>
      <c r="H717" s="19" t="str">
        <f>IFERROR(__xludf.DUMMYFUNCTION("""COMPUTED_VALUE"""),"Bruce William Challenor")</f>
        <v>Bruce William Challenor</v>
      </c>
      <c r="I717" s="62"/>
      <c r="J717" s="19"/>
    </row>
    <row r="718">
      <c r="A718" s="19" t="str">
        <f>IFERROR(__xludf.DUMMYFUNCTION("""COMPUTED_VALUE"""),"Dan Tape")</f>
        <v>Dan Tape</v>
      </c>
      <c r="B718" s="19" t="str">
        <f>IFERROR(__xludf.DUMMYFUNCTION("""COMPUTED_VALUE"""),"QLD")</f>
        <v>QLD</v>
      </c>
      <c r="C718" s="5" t="str">
        <f>IFERROR(__xludf.DUMMYFUNCTION("""COMPUTED_VALUE"""),"Rothwell")</f>
        <v>Rothwell</v>
      </c>
      <c r="D718" s="5" t="str">
        <f>IFERROR(__xludf.DUMMYFUNCTION("""COMPUTED_VALUE"""),"42 Tranquility Drive Rothwell QLD 4022")</f>
        <v>42 Tranquility Drive Rothwell QLD 4022</v>
      </c>
      <c r="E718" s="25">
        <f>IFERROR(__xludf.DUMMYFUNCTION("""COMPUTED_VALUE"""),45925.0)</f>
        <v>45925</v>
      </c>
      <c r="F718" s="5">
        <f>IFERROR(__xludf.DUMMYFUNCTION("""COMPUTED_VALUE"""),8.0)</f>
        <v>8</v>
      </c>
      <c r="G718" s="19" t="str">
        <f>IFERROR(__xludf.DUMMYFUNCTION("""COMPUTED_VALUE"""),"Instant Forms")</f>
        <v>Instant Forms</v>
      </c>
      <c r="H718" s="19" t="str">
        <f>IFERROR(__xludf.DUMMYFUNCTION("""COMPUTED_VALUE"""),"Deborah Ingebrigtsen")</f>
        <v>Deborah Ingebrigtsen</v>
      </c>
      <c r="I718" s="62"/>
      <c r="J718" s="19"/>
    </row>
    <row r="719">
      <c r="A719" s="19" t="str">
        <f>IFERROR(__xludf.DUMMYFUNCTION("""COMPUTED_VALUE"""),"Dan Tape")</f>
        <v>Dan Tape</v>
      </c>
      <c r="B719" s="19" t="str">
        <f>IFERROR(__xludf.DUMMYFUNCTION("""COMPUTED_VALUE"""),"QLD")</f>
        <v>QLD</v>
      </c>
      <c r="C719" s="5" t="str">
        <f>IFERROR(__xludf.DUMMYFUNCTION("""COMPUTED_VALUE"""),"Scarborough")</f>
        <v>Scarborough</v>
      </c>
      <c r="D719" s="5" t="str">
        <f>IFERROR(__xludf.DUMMYFUNCTION("""COMPUTED_VALUE"""),"Pearl street Scarborough, Scarborough, 4020")</f>
        <v>Pearl street Scarborough, Scarborough, 4020</v>
      </c>
      <c r="E719" s="25" t="str">
        <f>IFERROR(__xludf.DUMMYFUNCTION("""COMPUTED_VALUE"""),"28/09/2025")</f>
        <v>28/09/2025</v>
      </c>
      <c r="F719" s="5" t="str">
        <f>IFERROR(__xludf.DUMMYFUNCTION("""COMPUTED_VALUE"""),"Featured")</f>
        <v>Featured</v>
      </c>
      <c r="G719" s="19" t="str">
        <f>IFERROR(__xludf.DUMMYFUNCTION("""COMPUTED_VALUE"""),"Meta Commission Report")</f>
        <v>Meta Commission Report</v>
      </c>
      <c r="H719" s="19" t="str">
        <f>IFERROR(__xludf.DUMMYFUNCTION("""COMPUTED_VALUE"""),"Suzanna")</f>
        <v>Suzanna</v>
      </c>
      <c r="I719" s="62"/>
      <c r="J719" s="19"/>
    </row>
    <row r="720">
      <c r="A720" s="19" t="str">
        <f>IFERROR(__xludf.DUMMYFUNCTION("""COMPUTED_VALUE"""),"Dan Tape")</f>
        <v>Dan Tape</v>
      </c>
      <c r="B720" s="19" t="str">
        <f>IFERROR(__xludf.DUMMYFUNCTION("""COMPUTED_VALUE"""),"QLD")</f>
        <v>QLD</v>
      </c>
      <c r="C720" s="5" t="str">
        <f>IFERROR(__xludf.DUMMYFUNCTION("""COMPUTED_VALUE"""),"Margate")</f>
        <v>Margate</v>
      </c>
      <c r="D720" s="5"/>
      <c r="E720" s="25">
        <f>IFERROR(__xludf.DUMMYFUNCTION("""COMPUTED_VALUE"""),45930.0)</f>
        <v>45930</v>
      </c>
      <c r="F720" s="5">
        <f>IFERROR(__xludf.DUMMYFUNCTION("""COMPUTED_VALUE"""),6.0)</f>
        <v>6</v>
      </c>
      <c r="G720" s="19" t="str">
        <f>IFERROR(__xludf.DUMMYFUNCTION("""COMPUTED_VALUE"""),"Instant Forms")</f>
        <v>Instant Forms</v>
      </c>
      <c r="H720" s="19" t="str">
        <f>IFERROR(__xludf.DUMMYFUNCTION("""COMPUTED_VALUE"""),"Elisha Nikolovska")</f>
        <v>Elisha Nikolovska</v>
      </c>
      <c r="I720" s="62"/>
      <c r="J720" s="19"/>
    </row>
    <row r="721">
      <c r="A721" s="19" t="str">
        <f>IFERROR(__xludf.DUMMYFUNCTION("""COMPUTED_VALUE"""),"Dan Tape")</f>
        <v>Dan Tape</v>
      </c>
      <c r="B721" s="19" t="str">
        <f>IFERROR(__xludf.DUMMYFUNCTION("""COMPUTED_VALUE"""),"QLD")</f>
        <v>QLD</v>
      </c>
      <c r="C721" s="5" t="str">
        <f>IFERROR(__xludf.DUMMYFUNCTION("""COMPUTED_VALUE"""),"Clontarf")</f>
        <v>Clontarf</v>
      </c>
      <c r="D721" s="5" t="str">
        <f>IFERROR(__xludf.DUMMYFUNCTION("""COMPUTED_VALUE"""),"1 Duke Street Clontarf QLD 4019")</f>
        <v>1 Duke Street Clontarf QLD 4019</v>
      </c>
      <c r="E721" s="25">
        <f>IFERROR(__xludf.DUMMYFUNCTION("""COMPUTED_VALUE"""),45933.0)</f>
        <v>45933</v>
      </c>
      <c r="F721" s="5">
        <f>IFERROR(__xludf.DUMMYFUNCTION("""COMPUTED_VALUE"""),8.0)</f>
        <v>8</v>
      </c>
      <c r="G721" s="19" t="str">
        <f>IFERROR(__xludf.DUMMYFUNCTION("""COMPUTED_VALUE"""),"Instant Forms")</f>
        <v>Instant Forms</v>
      </c>
      <c r="H721" s="19" t="str">
        <f>IFERROR(__xludf.DUMMYFUNCTION("""COMPUTED_VALUE"""),"Fiona Tildesley")</f>
        <v>Fiona Tildesley</v>
      </c>
      <c r="I721" s="62"/>
      <c r="J721" s="19"/>
    </row>
    <row r="722">
      <c r="A722" s="19" t="str">
        <f>IFERROR(__xludf.DUMMYFUNCTION("""COMPUTED_VALUE"""),"Dan Tape")</f>
        <v>Dan Tape</v>
      </c>
      <c r="B722" s="19" t="str">
        <f>IFERROR(__xludf.DUMMYFUNCTION("""COMPUTED_VALUE"""),"QLD")</f>
        <v>QLD</v>
      </c>
      <c r="C722" s="5" t="str">
        <f>IFERROR(__xludf.DUMMYFUNCTION("""COMPUTED_VALUE"""),"Zillmere")</f>
        <v>Zillmere</v>
      </c>
      <c r="D722" s="5" t="str">
        <f>IFERROR(__xludf.DUMMYFUNCTION("""COMPUTED_VALUE"""),"61 Hirschfield Street Zillmere QLD 4034")</f>
        <v>61 Hirschfield Street Zillmere QLD 4034</v>
      </c>
      <c r="E722" s="25">
        <f>IFERROR(__xludf.DUMMYFUNCTION("""COMPUTED_VALUE"""),45937.0)</f>
        <v>45937</v>
      </c>
      <c r="F722" s="5">
        <f>IFERROR(__xludf.DUMMYFUNCTION("""COMPUTED_VALUE"""),8.0)</f>
        <v>8</v>
      </c>
      <c r="G722" s="19" t="str">
        <f>IFERROR(__xludf.DUMMYFUNCTION("""COMPUTED_VALUE"""),"Instant Forms")</f>
        <v>Instant Forms</v>
      </c>
      <c r="H722" s="19" t="str">
        <f>IFERROR(__xludf.DUMMYFUNCTION("""COMPUTED_VALUE"""),"Jodee Handley")</f>
        <v>Jodee Handley</v>
      </c>
      <c r="I722" s="62"/>
      <c r="J722" s="19"/>
    </row>
    <row r="723">
      <c r="A723" s="19" t="str">
        <f>IFERROR(__xludf.DUMMYFUNCTION("""COMPUTED_VALUE"""),"Dan Tape")</f>
        <v>Dan Tape</v>
      </c>
      <c r="B723" s="19" t="str">
        <f>IFERROR(__xludf.DUMMYFUNCTION("""COMPUTED_VALUE"""),"QLD")</f>
        <v>QLD</v>
      </c>
      <c r="C723" s="5" t="str">
        <f>IFERROR(__xludf.DUMMYFUNCTION("""COMPUTED_VALUE"""),"Boondall")</f>
        <v>Boondall</v>
      </c>
      <c r="D723" s="5" t="str">
        <f>IFERROR(__xludf.DUMMYFUNCTION("""COMPUTED_VALUE"""),"2188 Sandgate Road Boondall QLD 4034")</f>
        <v>2188 Sandgate Road Boondall QLD 4034</v>
      </c>
      <c r="E723" s="25">
        <f>IFERROR(__xludf.DUMMYFUNCTION("""COMPUTED_VALUE"""),45937.0)</f>
        <v>45937</v>
      </c>
      <c r="F723" s="5">
        <f>IFERROR(__xludf.DUMMYFUNCTION("""COMPUTED_VALUE"""),8.0)</f>
        <v>8</v>
      </c>
      <c r="G723" s="19" t="str">
        <f>IFERROR(__xludf.DUMMYFUNCTION("""COMPUTED_VALUE"""),"Instant Forms")</f>
        <v>Instant Forms</v>
      </c>
      <c r="H723" s="19" t="str">
        <f>IFERROR(__xludf.DUMMYFUNCTION("""COMPUTED_VALUE"""),"Gemma McCarthy")</f>
        <v>Gemma McCarthy</v>
      </c>
      <c r="I723" s="62"/>
      <c r="J723" s="19"/>
    </row>
    <row r="724">
      <c r="A724" s="19" t="str">
        <f>IFERROR(__xludf.DUMMYFUNCTION("""COMPUTED_VALUE"""),"Dan Tape")</f>
        <v>Dan Tape</v>
      </c>
      <c r="B724" s="19" t="str">
        <f>IFERROR(__xludf.DUMMYFUNCTION("""COMPUTED_VALUE"""),"QLD")</f>
        <v>QLD</v>
      </c>
      <c r="C724" s="5" t="str">
        <f>IFERROR(__xludf.DUMMYFUNCTION("""COMPUTED_VALUE"""),"Newport")</f>
        <v>Newport</v>
      </c>
      <c r="D724" s="5" t="str">
        <f>IFERROR(__xludf.DUMMYFUNCTION("""COMPUTED_VALUE"""),"7 Dolphin Street Newport QLD 4020")</f>
        <v>7 Dolphin Street Newport QLD 4020</v>
      </c>
      <c r="E724" s="25">
        <f>IFERROR(__xludf.DUMMYFUNCTION("""COMPUTED_VALUE"""),45939.0)</f>
        <v>45939</v>
      </c>
      <c r="F724" s="5">
        <f>IFERROR(__xludf.DUMMYFUNCTION("""COMPUTED_VALUE"""),8.0)</f>
        <v>8</v>
      </c>
      <c r="G724" s="19" t="str">
        <f>IFERROR(__xludf.DUMMYFUNCTION("""COMPUTED_VALUE"""),"Instant Forms")</f>
        <v>Instant Forms</v>
      </c>
      <c r="H724" s="19"/>
      <c r="I724" s="62"/>
      <c r="J724" s="19"/>
    </row>
    <row r="725">
      <c r="A725" s="19" t="str">
        <f>IFERROR(__xludf.DUMMYFUNCTION("""COMPUTED_VALUE"""),"Dan Tape")</f>
        <v>Dan Tape</v>
      </c>
      <c r="B725" s="19" t="str">
        <f>IFERROR(__xludf.DUMMYFUNCTION("""COMPUTED_VALUE"""),"QLD")</f>
        <v>QLD</v>
      </c>
      <c r="C725" s="5" t="str">
        <f>IFERROR(__xludf.DUMMYFUNCTION("""COMPUTED_VALUE"""),"Kippa Ring")</f>
        <v>Kippa Ring</v>
      </c>
      <c r="D725" s="5" t="str">
        <f>IFERROR(__xludf.DUMMYFUNCTION("""COMPUTED_VALUE"""),"1 Nathan Road Kippa Ring")</f>
        <v>1 Nathan Road Kippa Ring</v>
      </c>
      <c r="E725" s="25">
        <f>IFERROR(__xludf.DUMMYFUNCTION("""COMPUTED_VALUE"""),45945.0)</f>
        <v>45945</v>
      </c>
      <c r="F725" s="5" t="str">
        <f>IFERROR(__xludf.DUMMYFUNCTION("""COMPUTED_VALUE"""),"Featured")</f>
        <v>Featured</v>
      </c>
      <c r="G725" s="19" t="str">
        <f>IFERROR(__xludf.DUMMYFUNCTION("""COMPUTED_VALUE"""),"Commission Comparison")</f>
        <v>Commission Comparison</v>
      </c>
      <c r="H725" s="19"/>
      <c r="I725" s="62"/>
      <c r="J725" s="19"/>
    </row>
    <row r="726">
      <c r="A726" s="19" t="str">
        <f>IFERROR(__xludf.DUMMYFUNCTION("""COMPUTED_VALUE"""),"Dan Tape")</f>
        <v>Dan Tape</v>
      </c>
      <c r="B726" s="19" t="str">
        <f>IFERROR(__xludf.DUMMYFUNCTION("""COMPUTED_VALUE"""),"QLD")</f>
        <v>QLD</v>
      </c>
      <c r="C726" s="5" t="str">
        <f>IFERROR(__xludf.DUMMYFUNCTION("""COMPUTED_VALUE"""),"Scarborough")</f>
        <v>Scarborough</v>
      </c>
      <c r="D726" s="5" t="str">
        <f>IFERROR(__xludf.DUMMYFUNCTION("""COMPUTED_VALUE"""),"154 Prince Edward Parade Scarborough QLD 4020")</f>
        <v>154 Prince Edward Parade Scarborough QLD 4020</v>
      </c>
      <c r="E726" s="25">
        <f>IFERROR(__xludf.DUMMYFUNCTION("""COMPUTED_VALUE"""),45945.0)</f>
        <v>45945</v>
      </c>
      <c r="F726" s="5">
        <f>IFERROR(__xludf.DUMMYFUNCTION("""COMPUTED_VALUE"""),8.0)</f>
        <v>8</v>
      </c>
      <c r="G726" s="19" t="str">
        <f>IFERROR(__xludf.DUMMYFUNCTION("""COMPUTED_VALUE"""),"Instant Forms")</f>
        <v>Instant Forms</v>
      </c>
      <c r="H726" s="19"/>
      <c r="I726" s="62"/>
      <c r="J726" s="19"/>
    </row>
    <row r="727">
      <c r="A727" s="19" t="str">
        <f>IFERROR(__xludf.DUMMYFUNCTION("""COMPUTED_VALUE"""),"Dan Tape")</f>
        <v>Dan Tape</v>
      </c>
      <c r="B727" s="19" t="str">
        <f>IFERROR(__xludf.DUMMYFUNCTION("""COMPUTED_VALUE"""),"QLD")</f>
        <v>QLD</v>
      </c>
      <c r="C727" s="5" t="str">
        <f>IFERROR(__xludf.DUMMYFUNCTION("""COMPUTED_VALUE"""),"Margate")</f>
        <v>Margate</v>
      </c>
      <c r="D727" s="5" t="str">
        <f>IFERROR(__xludf.DUMMYFUNCTION("""COMPUTED_VALUE"""),"188 Macdonnell Road Margate QLD 4019")</f>
        <v>188 Macdonnell Road Margate QLD 4019</v>
      </c>
      <c r="E727" s="25">
        <f>IFERROR(__xludf.DUMMYFUNCTION("""COMPUTED_VALUE"""),45946.0)</f>
        <v>45946</v>
      </c>
      <c r="F727" s="5">
        <f>IFERROR(__xludf.DUMMYFUNCTION("""COMPUTED_VALUE"""),8.0)</f>
        <v>8</v>
      </c>
      <c r="G727" s="19" t="str">
        <f>IFERROR(__xludf.DUMMYFUNCTION("""COMPUTED_VALUE"""),"Instant Forms")</f>
        <v>Instant Forms</v>
      </c>
      <c r="H727" s="19"/>
      <c r="I727" s="62"/>
      <c r="J727" s="19"/>
    </row>
    <row r="728">
      <c r="A728" s="19" t="str">
        <f>IFERROR(__xludf.DUMMYFUNCTION("""COMPUTED_VALUE"""),"Dan Tape")</f>
        <v>Dan Tape</v>
      </c>
      <c r="B728" s="19" t="str">
        <f>IFERROR(__xludf.DUMMYFUNCTION("""COMPUTED_VALUE"""),"QLD")</f>
        <v>QLD</v>
      </c>
      <c r="C728" s="5" t="str">
        <f>IFERROR(__xludf.DUMMYFUNCTION("""COMPUTED_VALUE"""),"Brighton")</f>
        <v>Brighton</v>
      </c>
      <c r="D728" s="5" t="str">
        <f>IFERROR(__xludf.DUMMYFUNCTION("""COMPUTED_VALUE"""),"156 Brighton Terrace, Brighton, QLD, 4017, Australia")</f>
        <v>156 Brighton Terrace, Brighton, QLD, 4017, Australia</v>
      </c>
      <c r="E728" s="25" t="str">
        <f>IFERROR(__xludf.DUMMYFUNCTION("""COMPUTED_VALUE"""),"20/10/2025")</f>
        <v>20/10/2025</v>
      </c>
      <c r="F728" s="5" t="str">
        <f>IFERROR(__xludf.DUMMYFUNCTION("""COMPUTED_VALUE"""),"Plus")</f>
        <v>Plus</v>
      </c>
      <c r="G728" s="19"/>
      <c r="H728" s="19"/>
      <c r="I728" s="62"/>
      <c r="J728" s="19"/>
    </row>
    <row r="729">
      <c r="A729" s="19" t="str">
        <f>IFERROR(__xludf.DUMMYFUNCTION("""COMPUTED_VALUE"""),"Dan Tape")</f>
        <v>Dan Tape</v>
      </c>
      <c r="B729" s="19" t="str">
        <f>IFERROR(__xludf.DUMMYFUNCTION("""COMPUTED_VALUE"""),"QLD")</f>
        <v>QLD</v>
      </c>
      <c r="C729" s="5" t="str">
        <f>IFERROR(__xludf.DUMMYFUNCTION("""COMPUTED_VALUE"""),"Scarborough")</f>
        <v>Scarborough</v>
      </c>
      <c r="D729" s="5" t="str">
        <f>IFERROR(__xludf.DUMMYFUNCTION("""COMPUTED_VALUE"""),"10 Daniel Court, Scarborough, 4020")</f>
        <v>10 Daniel Court, Scarborough, 4020</v>
      </c>
      <c r="E729" s="25" t="str">
        <f>IFERROR(__xludf.DUMMYFUNCTION("""COMPUTED_VALUE"""),"20/10/2025")</f>
        <v>20/10/2025</v>
      </c>
      <c r="F729" s="5" t="str">
        <f>IFERROR(__xludf.DUMMYFUNCTION("""COMPUTED_VALUE"""),"Featured")</f>
        <v>Featured</v>
      </c>
      <c r="G729" s="19" t="str">
        <f>IFERROR(__xludf.DUMMYFUNCTION("""COMPUTED_VALUE"""),"Meta Commission Report")</f>
        <v>Meta Commission Report</v>
      </c>
      <c r="H729" s="19" t="str">
        <f>IFERROR(__xludf.DUMMYFUNCTION("""COMPUTED_VALUE"""),"Frances Murray")</f>
        <v>Frances Murray</v>
      </c>
      <c r="I729" s="62"/>
      <c r="J729" s="19"/>
    </row>
    <row r="730">
      <c r="A730" s="19" t="str">
        <f>IFERROR(__xludf.DUMMYFUNCTION("""COMPUTED_VALUE"""),"Dan Tape")</f>
        <v>Dan Tape</v>
      </c>
      <c r="B730" s="19" t="str">
        <f>IFERROR(__xludf.DUMMYFUNCTION("""COMPUTED_VALUE"""),"QLD")</f>
        <v>QLD</v>
      </c>
      <c r="C730" s="5" t="str">
        <f>IFERROR(__xludf.DUMMYFUNCTION("""COMPUTED_VALUE"""),"Newport")</f>
        <v>Newport</v>
      </c>
      <c r="D730" s="5" t="str">
        <f>IFERROR(__xludf.DUMMYFUNCTION("""COMPUTED_VALUE"""),"83 Morna Street Newport QLD 4020")</f>
        <v>83 Morna Street Newport QLD 4020</v>
      </c>
      <c r="E730" s="25">
        <f>IFERROR(__xludf.DUMMYFUNCTION("""COMPUTED_VALUE"""),45951.0)</f>
        <v>45951</v>
      </c>
      <c r="F730" s="5">
        <f>IFERROR(__xludf.DUMMYFUNCTION("""COMPUTED_VALUE"""),8.0)</f>
        <v>8</v>
      </c>
      <c r="G730" s="19" t="str">
        <f>IFERROR(__xludf.DUMMYFUNCTION("""COMPUTED_VALUE"""),"Instant Forms")</f>
        <v>Instant Forms</v>
      </c>
      <c r="H730" s="19"/>
      <c r="I730" s="62"/>
      <c r="J730" s="19"/>
    </row>
    <row r="731">
      <c r="A731" s="19" t="str">
        <f>IFERROR(__xludf.DUMMYFUNCTION("""COMPUTED_VALUE"""),"Dan Tape")</f>
        <v>Dan Tape</v>
      </c>
      <c r="B731" s="19" t="str">
        <f>IFERROR(__xludf.DUMMYFUNCTION("""COMPUTED_VALUE"""),"QLD")</f>
        <v>QLD</v>
      </c>
      <c r="C731" s="5" t="str">
        <f>IFERROR(__xludf.DUMMYFUNCTION("""COMPUTED_VALUE"""),"Brighton")</f>
        <v>Brighton</v>
      </c>
      <c r="D731" s="5" t="str">
        <f>IFERROR(__xludf.DUMMYFUNCTION("""COMPUTED_VALUE"""),"79 Craig st Brighton, Brighton, 4017")</f>
        <v>79 Craig st Brighton, Brighton, 4017</v>
      </c>
      <c r="E731" s="25" t="str">
        <f>IFERROR(__xludf.DUMMYFUNCTION("""COMPUTED_VALUE"""),"24/10/2025")</f>
        <v>24/10/2025</v>
      </c>
      <c r="F731" s="5" t="str">
        <f>IFERROR(__xludf.DUMMYFUNCTION("""COMPUTED_VALUE"""),"Featured")</f>
        <v>Featured</v>
      </c>
      <c r="G731" s="19" t="str">
        <f>IFERROR(__xludf.DUMMYFUNCTION("""COMPUTED_VALUE"""),"Meta Commission Report")</f>
        <v>Meta Commission Report</v>
      </c>
      <c r="H731" s="19" t="str">
        <f>IFERROR(__xludf.DUMMYFUNCTION("""COMPUTED_VALUE"""),"Tracey L Blackie")</f>
        <v>Tracey L Blackie</v>
      </c>
      <c r="I731" s="62"/>
      <c r="J731" s="19"/>
    </row>
    <row r="732">
      <c r="A732" s="19" t="str">
        <f>IFERROR(__xludf.DUMMYFUNCTION("""COMPUTED_VALUE"""),"Dan Tape")</f>
        <v>Dan Tape</v>
      </c>
      <c r="B732" s="19" t="str">
        <f>IFERROR(__xludf.DUMMYFUNCTION("""COMPUTED_VALUE"""),"QLD")</f>
        <v>QLD</v>
      </c>
      <c r="C732" s="5" t="str">
        <f>IFERROR(__xludf.DUMMYFUNCTION("""COMPUTED_VALUE"""),"Newport")</f>
        <v>Newport</v>
      </c>
      <c r="D732" s="5" t="str">
        <f>IFERROR(__xludf.DUMMYFUNCTION("""COMPUTED_VALUE"""),"39 Australia Court Newport")</f>
        <v>39 Australia Court Newport</v>
      </c>
      <c r="E732" s="25">
        <f>IFERROR(__xludf.DUMMYFUNCTION("""COMPUTED_VALUE"""),45955.0)</f>
        <v>45955</v>
      </c>
      <c r="F732" s="5" t="str">
        <f>IFERROR(__xludf.DUMMYFUNCTION("""COMPUTED_VALUE"""),"Featured")</f>
        <v>Featured</v>
      </c>
      <c r="G732" s="19" t="str">
        <f>IFERROR(__xludf.DUMMYFUNCTION("""COMPUTED_VALUE"""),"Commission Comparison")</f>
        <v>Commission Comparison</v>
      </c>
      <c r="H732" s="19"/>
      <c r="I732" s="62"/>
      <c r="J732" s="19"/>
    </row>
    <row r="733">
      <c r="A733" s="19" t="str">
        <f>IFERROR(__xludf.DUMMYFUNCTION("""COMPUTED_VALUE"""),"Dan Tape")</f>
        <v>Dan Tape</v>
      </c>
      <c r="B733" s="19" t="str">
        <f>IFERROR(__xludf.DUMMYFUNCTION("""COMPUTED_VALUE"""),"QLD")</f>
        <v>QLD</v>
      </c>
      <c r="C733" s="5" t="str">
        <f>IFERROR(__xludf.DUMMYFUNCTION("""COMPUTED_VALUE"""),"Margate")</f>
        <v>Margate</v>
      </c>
      <c r="D733" s="5"/>
      <c r="E733" s="25">
        <f>IFERROR(__xludf.DUMMYFUNCTION("""COMPUTED_VALUE"""),45956.0)</f>
        <v>45956</v>
      </c>
      <c r="F733" s="5">
        <f>IFERROR(__xludf.DUMMYFUNCTION("""COMPUTED_VALUE"""),5.0)</f>
        <v>5</v>
      </c>
      <c r="G733" s="19" t="str">
        <f>IFERROR(__xludf.DUMMYFUNCTION("""COMPUTED_VALUE"""),"Instant Forms")</f>
        <v>Instant Forms</v>
      </c>
      <c r="H733" s="19"/>
      <c r="I733" s="62"/>
      <c r="J733" s="19"/>
    </row>
    <row r="734">
      <c r="A734" s="19" t="str">
        <f>IFERROR(__xludf.DUMMYFUNCTION("""COMPUTED_VALUE"""),"Dan Tape")</f>
        <v>Dan Tape</v>
      </c>
      <c r="B734" s="19" t="str">
        <f>IFERROR(__xludf.DUMMYFUNCTION("""COMPUTED_VALUE"""),"QLD")</f>
        <v>QLD</v>
      </c>
      <c r="C734" s="5" t="str">
        <f>IFERROR(__xludf.DUMMYFUNCTION("""COMPUTED_VALUE"""),"Newport")</f>
        <v>Newport</v>
      </c>
      <c r="D734" s="5" t="str">
        <f>IFERROR(__xludf.DUMMYFUNCTION("""COMPUTED_VALUE"""),"1 Cardinal Crescent Newport QLD 4020")</f>
        <v>1 Cardinal Crescent Newport QLD 4020</v>
      </c>
      <c r="E734" s="25">
        <f>IFERROR(__xludf.DUMMYFUNCTION("""COMPUTED_VALUE"""),45958.0)</f>
        <v>45958</v>
      </c>
      <c r="F734" s="5">
        <f>IFERROR(__xludf.DUMMYFUNCTION("""COMPUTED_VALUE"""),8.0)</f>
        <v>8</v>
      </c>
      <c r="G734" s="19" t="str">
        <f>IFERROR(__xludf.DUMMYFUNCTION("""COMPUTED_VALUE"""),"Instant Forms")</f>
        <v>Instant Forms</v>
      </c>
      <c r="H734" s="19"/>
      <c r="I734" s="62"/>
      <c r="J734" s="19"/>
    </row>
    <row r="735">
      <c r="A735" s="19" t="str">
        <f>IFERROR(__xludf.DUMMYFUNCTION("""COMPUTED_VALUE"""),"Dan Tape")</f>
        <v>Dan Tape</v>
      </c>
      <c r="B735" s="19" t="str">
        <f>IFERROR(__xludf.DUMMYFUNCTION("""COMPUTED_VALUE"""),"QLD")</f>
        <v>QLD</v>
      </c>
      <c r="C735" s="5" t="str">
        <f>IFERROR(__xludf.DUMMYFUNCTION("""COMPUTED_VALUE"""),"Kippa-ring")</f>
        <v>Kippa-ring</v>
      </c>
      <c r="D735" s="5" t="str">
        <f>IFERROR(__xludf.DUMMYFUNCTION("""COMPUTED_VALUE"""),"16 Kagara Street Kippa-Ring QLD 4021")</f>
        <v>16 Kagara Street Kippa-Ring QLD 4021</v>
      </c>
      <c r="E735" s="25">
        <f>IFERROR(__xludf.DUMMYFUNCTION("""COMPUTED_VALUE"""),45961.0)</f>
        <v>45961</v>
      </c>
      <c r="F735" s="5">
        <f>IFERROR(__xludf.DUMMYFUNCTION("""COMPUTED_VALUE"""),8.0)</f>
        <v>8</v>
      </c>
      <c r="G735" s="19" t="str">
        <f>IFERROR(__xludf.DUMMYFUNCTION("""COMPUTED_VALUE"""),"Instant Forms")</f>
        <v>Instant Forms</v>
      </c>
      <c r="H735" s="19"/>
      <c r="I735" s="62"/>
      <c r="J735" s="19"/>
    </row>
    <row r="736">
      <c r="A736" s="19" t="str">
        <f>IFERROR(__xludf.DUMMYFUNCTION("""COMPUTED_VALUE"""),"Dan Tape")</f>
        <v>Dan Tape</v>
      </c>
      <c r="B736" s="19" t="str">
        <f>IFERROR(__xludf.DUMMYFUNCTION("""COMPUTED_VALUE"""),"QLD")</f>
        <v>QLD</v>
      </c>
      <c r="C736" s="5" t="str">
        <f>IFERROR(__xludf.DUMMYFUNCTION("""COMPUTED_VALUE"""),"Brighton")</f>
        <v>Brighton</v>
      </c>
      <c r="D736" s="5" t="str">
        <f>IFERROR(__xludf.DUMMYFUNCTION("""COMPUTED_VALUE"""),"42 Sunwell St, Brighton, 4017")</f>
        <v>42 Sunwell St, Brighton, 4017</v>
      </c>
      <c r="E736" s="25">
        <f>IFERROR(__xludf.DUMMYFUNCTION("""COMPUTED_VALUE"""),45941.0)</f>
        <v>45941</v>
      </c>
      <c r="F736" s="5" t="str">
        <f>IFERROR(__xludf.DUMMYFUNCTION("""COMPUTED_VALUE"""),"Featured")</f>
        <v>Featured</v>
      </c>
      <c r="G736" s="19" t="str">
        <f>IFERROR(__xludf.DUMMYFUNCTION("""COMPUTED_VALUE"""),"Meta Commission Report")</f>
        <v>Meta Commission Report</v>
      </c>
      <c r="H736" s="19" t="str">
        <f>IFERROR(__xludf.DUMMYFUNCTION("""COMPUTED_VALUE"""),"Joanne Barnes")</f>
        <v>Joanne Barnes</v>
      </c>
      <c r="I736" s="62">
        <f>IFERROR(__xludf.DUMMYFUNCTION("""COMPUTED_VALUE"""),6.1414301254E10)</f>
        <v>61414301254</v>
      </c>
      <c r="J736" s="19" t="str">
        <f>IFERROR(__xludf.DUMMYFUNCTION("""COMPUTED_VALUE"""),"joanne.barnes22@yahoo.com")</f>
        <v>joanne.barnes22@yahoo.com</v>
      </c>
    </row>
    <row r="737">
      <c r="A737" s="19" t="str">
        <f>IFERROR(__xludf.DUMMYFUNCTION("""COMPUTED_VALUE"""),"Dan Tape")</f>
        <v>Dan Tape</v>
      </c>
      <c r="B737" s="19" t="str">
        <f>IFERROR(__xludf.DUMMYFUNCTION("""COMPUTED_VALUE"""),"QLD")</f>
        <v>QLD</v>
      </c>
      <c r="C737" s="5" t="str">
        <f>IFERROR(__xludf.DUMMYFUNCTION("""COMPUTED_VALUE"""),"Brighton")</f>
        <v>Brighton</v>
      </c>
      <c r="D737" s="5" t="str">
        <f>IFERROR(__xludf.DUMMYFUNCTION("""COMPUTED_VALUE"""),"7 Margaret Cl, Brighton, 4017")</f>
        <v>7 Margaret Cl, Brighton, 4017</v>
      </c>
      <c r="E737" s="25">
        <f>IFERROR(__xludf.DUMMYFUNCTION("""COMPUTED_VALUE"""),45941.0)</f>
        <v>45941</v>
      </c>
      <c r="F737" s="5" t="str">
        <f>IFERROR(__xludf.DUMMYFUNCTION("""COMPUTED_VALUE"""),"Featured")</f>
        <v>Featured</v>
      </c>
      <c r="G737" s="19" t="str">
        <f>IFERROR(__xludf.DUMMYFUNCTION("""COMPUTED_VALUE"""),"Meta Commission Report")</f>
        <v>Meta Commission Report</v>
      </c>
      <c r="H737" s="19" t="str">
        <f>IFERROR(__xludf.DUMMYFUNCTION("""COMPUTED_VALUE"""),"Brett Gash")</f>
        <v>Brett Gash</v>
      </c>
      <c r="I737" s="62">
        <f>IFERROR(__xludf.DUMMYFUNCTION("""COMPUTED_VALUE"""),6.1458993651E10)</f>
        <v>61458993651</v>
      </c>
      <c r="J737" s="19" t="str">
        <f>IFERROR(__xludf.DUMMYFUNCTION("""COMPUTED_VALUE"""),"brettgash8@gmail.com")</f>
        <v>brettgash8@gmail.com</v>
      </c>
    </row>
    <row r="738">
      <c r="A738" s="19" t="str">
        <f>IFERROR(__xludf.DUMMYFUNCTION("""COMPUTED_VALUE"""),"Dan Tape")</f>
        <v>Dan Tape</v>
      </c>
      <c r="B738" s="19" t="str">
        <f>IFERROR(__xludf.DUMMYFUNCTION("""COMPUTED_VALUE"""),"QLD")</f>
        <v>QLD</v>
      </c>
      <c r="C738" s="5" t="str">
        <f>IFERROR(__xludf.DUMMYFUNCTION("""COMPUTED_VALUE"""),"Deagon")</f>
        <v>Deagon</v>
      </c>
      <c r="D738" s="5" t="str">
        <f>IFERROR(__xludf.DUMMYFUNCTION("""COMPUTED_VALUE"""),"53 biarra street, deagon, 4017")</f>
        <v>53 biarra street, deagon, 4017</v>
      </c>
      <c r="E738" s="25">
        <f>IFERROR(__xludf.DUMMYFUNCTION("""COMPUTED_VALUE"""),46002.0)</f>
        <v>46002</v>
      </c>
      <c r="F738" s="5" t="str">
        <f>IFERROR(__xludf.DUMMYFUNCTION("""COMPUTED_VALUE"""),"Featured")</f>
        <v>Featured</v>
      </c>
      <c r="G738" s="19" t="str">
        <f>IFERROR(__xludf.DUMMYFUNCTION("""COMPUTED_VALUE"""),"Meta Commission Report")</f>
        <v>Meta Commission Report</v>
      </c>
      <c r="H738" s="19" t="str">
        <f>IFERROR(__xludf.DUMMYFUNCTION("""COMPUTED_VALUE"""),"Peter Newley")</f>
        <v>Peter Newley</v>
      </c>
      <c r="I738" s="62">
        <f>IFERROR(__xludf.DUMMYFUNCTION("""COMPUTED_VALUE"""),6.1412608971E10)</f>
        <v>61412608971</v>
      </c>
      <c r="J738" s="19" t="str">
        <f>IFERROR(__xludf.DUMMYFUNCTION("""COMPUTED_VALUE"""),"peternewley57@gmail.com")</f>
        <v>peternewley57@gmail.com</v>
      </c>
    </row>
    <row r="739">
      <c r="A739" s="19" t="str">
        <f>IFERROR(__xludf.DUMMYFUNCTION("""COMPUTED_VALUE"""),"Dan Tape")</f>
        <v>Dan Tape</v>
      </c>
      <c r="B739" s="19" t="str">
        <f>IFERROR(__xludf.DUMMYFUNCTION("""COMPUTED_VALUE"""),"QLD")</f>
        <v>QLD</v>
      </c>
      <c r="C739" s="5" t="str">
        <f>IFERROR(__xludf.DUMMYFUNCTION("""COMPUTED_VALUE"""),"Brighton")</f>
        <v>Brighton</v>
      </c>
      <c r="D739" s="5"/>
      <c r="E739" s="25">
        <f>IFERROR(__xludf.DUMMYFUNCTION("""COMPUTED_VALUE"""),45974.0)</f>
        <v>45974</v>
      </c>
      <c r="F739" s="5">
        <f>IFERROR(__xludf.DUMMYFUNCTION("""COMPUTED_VALUE"""),5.0)</f>
        <v>5</v>
      </c>
      <c r="G739" s="19" t="str">
        <f>IFERROR(__xludf.DUMMYFUNCTION("""COMPUTED_VALUE"""),"Instant Forms")</f>
        <v>Instant Forms</v>
      </c>
      <c r="H739" s="19" t="str">
        <f>IFERROR(__xludf.DUMMYFUNCTION("""COMPUTED_VALUE"""),"Marianne Walker")</f>
        <v>Marianne Walker</v>
      </c>
      <c r="I739" s="62">
        <f>IFERROR(__xludf.DUMMYFUNCTION("""COMPUTED_VALUE"""),6.140777088E10)</f>
        <v>61407770880</v>
      </c>
      <c r="J739" s="19" t="str">
        <f>IFERROR(__xludf.DUMMYFUNCTION("""COMPUTED_VALUE"""),"mariannewalk@gmail.com")</f>
        <v>mariannewalk@gmail.com</v>
      </c>
    </row>
    <row r="740">
      <c r="A740" s="19" t="str">
        <f>IFERROR(__xludf.DUMMYFUNCTION("""COMPUTED_VALUE"""),"Dan Tape")</f>
        <v>Dan Tape</v>
      </c>
      <c r="B740" s="19" t="str">
        <f>IFERROR(__xludf.DUMMYFUNCTION("""COMPUTED_VALUE"""),"QLD")</f>
        <v>QLD</v>
      </c>
      <c r="C740" s="5" t="str">
        <f>IFERROR(__xludf.DUMMYFUNCTION("""COMPUTED_VALUE"""),"Scarborough")</f>
        <v>Scarborough</v>
      </c>
      <c r="D740" s="5" t="str">
        <f>IFERROR(__xludf.DUMMYFUNCTION("""COMPUTED_VALUE"""),"154 Prince Edward Parade, Scarborough, QLD, 4020, Australia")</f>
        <v>154 Prince Edward Parade, Scarborough, QLD, 4020, Australia</v>
      </c>
      <c r="E740" s="25" t="str">
        <f>IFERROR(__xludf.DUMMYFUNCTION("""COMPUTED_VALUE"""),"15/11/2025")</f>
        <v>15/11/2025</v>
      </c>
      <c r="F740" s="5" t="str">
        <f>IFERROR(__xludf.DUMMYFUNCTION("""COMPUTED_VALUE"""),"Featured")</f>
        <v>Featured</v>
      </c>
      <c r="G740" s="19" t="str">
        <f>IFERROR(__xludf.DUMMYFUNCTION("""COMPUTED_VALUE"""),"Commission Comparison")</f>
        <v>Commission Comparison</v>
      </c>
      <c r="H740" s="19" t="str">
        <f>IFERROR(__xludf.DUMMYFUNCTION("""COMPUTED_VALUE"""),"Andrea Bird")</f>
        <v>Andrea Bird</v>
      </c>
      <c r="I740" s="62">
        <f>IFERROR(__xludf.DUMMYFUNCTION("""COMPUTED_VALUE"""),6.10438130491E11)</f>
        <v>610438130491</v>
      </c>
      <c r="J740" s="19" t="str">
        <f>IFERROR(__xludf.DUMMYFUNCTION("""COMPUTED_VALUE"""),"andreafbird@gmail.com")</f>
        <v>andreafbird@gmail.com</v>
      </c>
    </row>
    <row r="741">
      <c r="A741" s="19" t="str">
        <f>IFERROR(__xludf.DUMMYFUNCTION("""COMPUTED_VALUE"""),"Dan Tape")</f>
        <v>Dan Tape</v>
      </c>
      <c r="B741" s="19" t="str">
        <f>IFERROR(__xludf.DUMMYFUNCTION("""COMPUTED_VALUE"""),"QLD")</f>
        <v>QLD</v>
      </c>
      <c r="C741" s="5" t="str">
        <f>IFERROR(__xludf.DUMMYFUNCTION("""COMPUTED_VALUE"""),"Scarborough")</f>
        <v>Scarborough</v>
      </c>
      <c r="D741" s="5" t="str">
        <f>IFERROR(__xludf.DUMMYFUNCTION("""COMPUTED_VALUE"""),"154 Prince Edward Parade Scarborough QLD 4020")</f>
        <v>154 Prince Edward Parade Scarborough QLD 4020</v>
      </c>
      <c r="E741" s="25">
        <f>IFERROR(__xludf.DUMMYFUNCTION("""COMPUTED_VALUE"""),45977.0)</f>
        <v>45977</v>
      </c>
      <c r="F741" s="5">
        <f>IFERROR(__xludf.DUMMYFUNCTION("""COMPUTED_VALUE"""),10.0)</f>
        <v>10</v>
      </c>
      <c r="G741" s="19" t="str">
        <f>IFERROR(__xludf.DUMMYFUNCTION("""COMPUTED_VALUE"""),"Instant Forms")</f>
        <v>Instant Forms</v>
      </c>
      <c r="H741" s="19" t="str">
        <f>IFERROR(__xludf.DUMMYFUNCTION("""COMPUTED_VALUE"""),"Andrea Bird")</f>
        <v>Andrea Bird</v>
      </c>
      <c r="I741" s="62">
        <f>IFERROR(__xludf.DUMMYFUNCTION("""COMPUTED_VALUE"""),6.1438130491E10)</f>
        <v>61438130491</v>
      </c>
      <c r="J741" s="19" t="str">
        <f>IFERROR(__xludf.DUMMYFUNCTION("""COMPUTED_VALUE"""),"Andreafbird@gmail.com")</f>
        <v>Andreafbird@gmail.com</v>
      </c>
    </row>
    <row r="742">
      <c r="A742" s="19" t="str">
        <f>IFERROR(__xludf.DUMMYFUNCTION("""COMPUTED_VALUE"""),"Dan Tape")</f>
        <v>Dan Tape</v>
      </c>
      <c r="B742" s="19" t="str">
        <f>IFERROR(__xludf.DUMMYFUNCTION("""COMPUTED_VALUE"""),"QLD")</f>
        <v>QLD</v>
      </c>
      <c r="C742" s="5" t="str">
        <f>IFERROR(__xludf.DUMMYFUNCTION("""COMPUTED_VALUE"""),"Margate")</f>
        <v>Margate</v>
      </c>
      <c r="D742" s="5" t="str">
        <f>IFERROR(__xludf.DUMMYFUNCTION("""COMPUTED_VALUE"""),"1 Eveline Street Margate QLD 4019")</f>
        <v>1 Eveline Street Margate QLD 4019</v>
      </c>
      <c r="E742" s="25">
        <f>IFERROR(__xludf.DUMMYFUNCTION("""COMPUTED_VALUE"""),45978.0)</f>
        <v>45978</v>
      </c>
      <c r="F742" s="5">
        <f>IFERROR(__xludf.DUMMYFUNCTION("""COMPUTED_VALUE"""),8.0)</f>
        <v>8</v>
      </c>
      <c r="G742" s="19" t="str">
        <f>IFERROR(__xludf.DUMMYFUNCTION("""COMPUTED_VALUE"""),"Instant Forms")</f>
        <v>Instant Forms</v>
      </c>
      <c r="H742" s="19" t="str">
        <f>IFERROR(__xludf.DUMMYFUNCTION("""COMPUTED_VALUE"""),"Rob Saurini")</f>
        <v>Rob Saurini</v>
      </c>
      <c r="I742" s="62">
        <f>IFERROR(__xludf.DUMMYFUNCTION("""COMPUTED_VALUE"""),6.1412057331E10)</f>
        <v>61412057331</v>
      </c>
      <c r="J742" s="19" t="str">
        <f>IFERROR(__xludf.DUMMYFUNCTION("""COMPUTED_VALUE"""),"saurinirob@gmail.com")</f>
        <v>saurinirob@gmail.com</v>
      </c>
    </row>
    <row r="743">
      <c r="A743" s="19" t="str">
        <f>IFERROR(__xludf.DUMMYFUNCTION("""COMPUTED_VALUE"""),"Dan Tape")</f>
        <v>Dan Tape</v>
      </c>
      <c r="B743" s="19" t="str">
        <f>IFERROR(__xludf.DUMMYFUNCTION("""COMPUTED_VALUE"""),"QLD")</f>
        <v>QLD</v>
      </c>
      <c r="C743" s="5" t="str">
        <f>IFERROR(__xludf.DUMMYFUNCTION("""COMPUTED_VALUE"""),"Redcliffe")</f>
        <v>Redcliffe</v>
      </c>
      <c r="D743" s="5" t="str">
        <f>IFERROR(__xludf.DUMMYFUNCTION("""COMPUTED_VALUE"""),"U 4 1 Sydney Street, Redcliffe, 4020")</f>
        <v>U 4 1 Sydney Street, Redcliffe, 4020</v>
      </c>
      <c r="E743" s="5" t="str">
        <f>IFERROR(__xludf.DUMMYFUNCTION("""COMPUTED_VALUE"""),"19/11/2025")</f>
        <v>19/11/2025</v>
      </c>
      <c r="F743" s="5" t="str">
        <f>IFERROR(__xludf.DUMMYFUNCTION("""COMPUTED_VALUE"""),"Featured")</f>
        <v>Featured</v>
      </c>
      <c r="G743" s="19" t="str">
        <f>IFERROR(__xludf.DUMMYFUNCTION("""COMPUTED_VALUE"""),"Meta Commission Report")</f>
        <v>Meta Commission Report</v>
      </c>
      <c r="H743" s="19" t="str">
        <f>IFERROR(__xludf.DUMMYFUNCTION("""COMPUTED_VALUE"""),"Maria Romein")</f>
        <v>Maria Romein</v>
      </c>
      <c r="I743" s="62">
        <f>IFERROR(__xludf.DUMMYFUNCTION("""COMPUTED_VALUE"""),6.1490784933E10)</f>
        <v>61490784933</v>
      </c>
      <c r="J743" s="19" t="str">
        <f>IFERROR(__xludf.DUMMYFUNCTION("""COMPUTED_VALUE"""),"maria_romein@yahoo.com.au")</f>
        <v>maria_romein@yahoo.com.au</v>
      </c>
    </row>
    <row r="744">
      <c r="A744" s="19" t="str">
        <f>IFERROR(__xludf.DUMMYFUNCTION("""COMPUTED_VALUE"""),"Dan Tape")</f>
        <v>Dan Tape</v>
      </c>
      <c r="B744" s="19" t="str">
        <f>IFERROR(__xludf.DUMMYFUNCTION("""COMPUTED_VALUE"""),"QLD")</f>
        <v>QLD</v>
      </c>
      <c r="C744" s="5" t="str">
        <f>IFERROR(__xludf.DUMMYFUNCTION("""COMPUTED_VALUE"""),"Brighton")</f>
        <v>Brighton</v>
      </c>
      <c r="D744" s="5" t="str">
        <f>IFERROR(__xludf.DUMMYFUNCTION("""COMPUTED_VALUE"""),"132 Queens Parade Brighton QLD 4017")</f>
        <v>132 Queens Parade Brighton QLD 4017</v>
      </c>
      <c r="E744" s="5" t="str">
        <f>IFERROR(__xludf.DUMMYFUNCTION("""COMPUTED_VALUE"""),"20/11/2025")</f>
        <v>20/11/2025</v>
      </c>
      <c r="F744" s="5">
        <f>IFERROR(__xludf.DUMMYFUNCTION("""COMPUTED_VALUE"""),8.0)</f>
        <v>8</v>
      </c>
      <c r="G744" s="19" t="str">
        <f>IFERROR(__xludf.DUMMYFUNCTION("""COMPUTED_VALUE"""),"Instant Forms")</f>
        <v>Instant Forms</v>
      </c>
      <c r="H744" s="19" t="str">
        <f>IFERROR(__xludf.DUMMYFUNCTION("""COMPUTED_VALUE"""),"Robyn Tilyard")</f>
        <v>Robyn Tilyard</v>
      </c>
      <c r="I744" s="62">
        <f>IFERROR(__xludf.DUMMYFUNCTION("""COMPUTED_VALUE"""),6.1416980746E10)</f>
        <v>61416980746</v>
      </c>
      <c r="J744" s="19" t="str">
        <f>IFERROR(__xludf.DUMMYFUNCTION("""COMPUTED_VALUE"""),"rtilly132@gmail.com")</f>
        <v>rtilly132@gmail.com</v>
      </c>
    </row>
    <row r="745">
      <c r="A745" s="19" t="str">
        <f>IFERROR(__xludf.DUMMYFUNCTION("""COMPUTED_VALUE"""),"Dan Tape")</f>
        <v>Dan Tape</v>
      </c>
      <c r="B745" s="19" t="str">
        <f>IFERROR(__xludf.DUMMYFUNCTION("""COMPUTED_VALUE"""),"QLD")</f>
        <v>QLD</v>
      </c>
      <c r="C745" s="5" t="str">
        <f>IFERROR(__xludf.DUMMYFUNCTION("""COMPUTED_VALUE"""),"Sandgate")</f>
        <v>Sandgate</v>
      </c>
      <c r="D745" s="5" t="str">
        <f>IFERROR(__xludf.DUMMYFUNCTION("""COMPUTED_VALUE"""),"20 Lower Brighton Terrace Sandgate QLD 4017")</f>
        <v>20 Lower Brighton Terrace Sandgate QLD 4017</v>
      </c>
      <c r="E745" s="5" t="str">
        <f>IFERROR(__xludf.DUMMYFUNCTION("""COMPUTED_VALUE"""),"27/11/2025")</f>
        <v>27/11/2025</v>
      </c>
      <c r="F745" s="64">
        <f>IFERROR(__xludf.DUMMYFUNCTION("""COMPUTED_VALUE"""),0.2)</f>
        <v>0.2</v>
      </c>
      <c r="G745" s="19" t="str">
        <f>IFERROR(__xludf.DUMMYFUNCTION("""COMPUTED_VALUE"""),"Instant Forms")</f>
        <v>Instant Forms</v>
      </c>
      <c r="H745" s="19" t="str">
        <f>IFERROR(__xludf.DUMMYFUNCTION("""COMPUTED_VALUE"""),"Melisa Astore")</f>
        <v>Melisa Astore</v>
      </c>
      <c r="I745" s="62">
        <f>IFERROR(__xludf.DUMMYFUNCTION("""COMPUTED_VALUE"""),6.1412680012E10)</f>
        <v>61412680012</v>
      </c>
      <c r="J745" s="19" t="str">
        <f>IFERROR(__xludf.DUMMYFUNCTION("""COMPUTED_VALUE"""),"mschom@bigpond.com")</f>
        <v>mschom@bigpond.com</v>
      </c>
    </row>
    <row r="746">
      <c r="A746" s="19" t="str">
        <f>IFERROR(__xludf.DUMMYFUNCTION("""COMPUTED_VALUE"""),"Dan Tape")</f>
        <v>Dan Tape</v>
      </c>
      <c r="B746" s="19" t="str">
        <f>IFERROR(__xludf.DUMMYFUNCTION("""COMPUTED_VALUE"""),"QLD")</f>
        <v>QLD</v>
      </c>
      <c r="C746" s="5" t="str">
        <f>IFERROR(__xludf.DUMMYFUNCTION("""COMPUTED_VALUE"""),"replace(replace(replace(trim(88 Oyster Point Esplanade Scarborough QLD 4020); /,/g; "" ""); /\s+/g; "" ""); /.\b(?:avenue|ave|boulevard|blvd|bvd|circuit|cct|close|cl|court|ct|crescent|cres|drive|dr|esplanade|esp|grove|gr|highway|hwy|lane|ln|laneway|lnwy|p"&amp;"arade|pde|place|pl|promenade|prom|road|rd|row|ro|street|st|terrace|tce|way|wy)\b\s+(.+?)\s+(NSW|QLD|VIC|WA|SA|TAS|ACT|NT)\s+\d{4}\b.$/i; ""$1"")")</f>
        <v>replace(replace(replace(trim(88 Oyster Point Esplanade Scarborough QLD 4020);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746" s="5" t="str">
        <f>IFERROR(__xludf.DUMMYFUNCTION("""COMPUTED_VALUE"""),"88 Oyster Point Esplanade Scarborough QLD 4020")</f>
        <v>88 Oyster Point Esplanade Scarborough QLD 4020</v>
      </c>
      <c r="E746" s="27">
        <f>IFERROR(__xludf.DUMMYFUNCTION("""COMPUTED_VALUE"""),45789.0)</f>
        <v>45789</v>
      </c>
      <c r="F746" s="64">
        <f>IFERROR(__xludf.DUMMYFUNCTION("""COMPUTED_VALUE"""),0.2)</f>
        <v>0.2</v>
      </c>
      <c r="G746" s="19" t="str">
        <f>IFERROR(__xludf.DUMMYFUNCTION("""COMPUTED_VALUE"""),"Instant Forms")</f>
        <v>Instant Forms</v>
      </c>
      <c r="H746" s="19" t="str">
        <f>IFERROR(__xludf.DUMMYFUNCTION("""COMPUTED_VALUE"""),"Suresh Nayak")</f>
        <v>Suresh Nayak</v>
      </c>
      <c r="I746" s="62">
        <f>IFERROR(__xludf.DUMMYFUNCTION("""COMPUTED_VALUE"""),6.1400762118E10)</f>
        <v>61400762118</v>
      </c>
      <c r="J746" s="19" t="str">
        <f>IFERROR(__xludf.DUMMYFUNCTION("""COMPUTED_VALUE"""),"sureshn1@hotmail.com")</f>
        <v>sureshn1@hotmail.com</v>
      </c>
    </row>
    <row r="747">
      <c r="A747" s="19" t="str">
        <f>IFERROR(__xludf.DUMMYFUNCTION("""COMPUTED_VALUE"""),"")</f>
        <v/>
      </c>
      <c r="B747" s="19" t="str">
        <f>IFERROR(__xludf.DUMMYFUNCTION("""COMPUTED_VALUE"""),"")</f>
        <v/>
      </c>
      <c r="C747" s="5" t="str">
        <f>IFERROR(__xludf.DUMMYFUNCTION("""COMPUTED_VALUE"""),"")</f>
        <v/>
      </c>
      <c r="D747" s="5" t="str">
        <f>IFERROR(__xludf.DUMMYFUNCTION("""COMPUTED_VALUE"""),"")</f>
        <v/>
      </c>
      <c r="E747" s="5" t="str">
        <f>IFERROR(__xludf.DUMMYFUNCTION("""COMPUTED_VALUE"""),"")</f>
        <v/>
      </c>
      <c r="F747" s="5" t="str">
        <f>IFERROR(__xludf.DUMMYFUNCTION("""COMPUTED_VALUE"""),"")</f>
        <v/>
      </c>
      <c r="G747" s="19" t="str">
        <f>IFERROR(__xludf.DUMMYFUNCTION("""COMPUTED_VALUE"""),"")</f>
        <v/>
      </c>
      <c r="H747" s="19" t="str">
        <f>IFERROR(__xludf.DUMMYFUNCTION("""COMPUTED_VALUE"""),"")</f>
        <v/>
      </c>
      <c r="I747" s="62" t="str">
        <f>IFERROR(__xludf.DUMMYFUNCTION("""COMPUTED_VALUE"""),"")</f>
        <v/>
      </c>
      <c r="J747" s="19" t="str">
        <f>IFERROR(__xludf.DUMMYFUNCTION("""COMPUTED_VALUE"""),"")</f>
        <v/>
      </c>
    </row>
    <row r="748">
      <c r="A748" s="19" t="str">
        <f>IFERROR(__xludf.DUMMYFUNCTION("""COMPUTED_VALUE"""),"")</f>
        <v/>
      </c>
      <c r="B748" s="19" t="str">
        <f>IFERROR(__xludf.DUMMYFUNCTION("""COMPUTED_VALUE"""),"")</f>
        <v/>
      </c>
      <c r="C748" s="5" t="str">
        <f>IFERROR(__xludf.DUMMYFUNCTION("""COMPUTED_VALUE"""),"")</f>
        <v/>
      </c>
      <c r="D748" s="5" t="str">
        <f>IFERROR(__xludf.DUMMYFUNCTION("""COMPUTED_VALUE"""),"")</f>
        <v/>
      </c>
      <c r="E748" s="5" t="str">
        <f>IFERROR(__xludf.DUMMYFUNCTION("""COMPUTED_VALUE"""),"")</f>
        <v/>
      </c>
      <c r="F748" s="5" t="str">
        <f>IFERROR(__xludf.DUMMYFUNCTION("""COMPUTED_VALUE"""),"")</f>
        <v/>
      </c>
      <c r="G748" s="19" t="str">
        <f>IFERROR(__xludf.DUMMYFUNCTION("""COMPUTED_VALUE"""),"")</f>
        <v/>
      </c>
      <c r="H748" s="19" t="str">
        <f>IFERROR(__xludf.DUMMYFUNCTION("""COMPUTED_VALUE"""),"")</f>
        <v/>
      </c>
      <c r="I748" s="62" t="str">
        <f>IFERROR(__xludf.DUMMYFUNCTION("""COMPUTED_VALUE"""),"")</f>
        <v/>
      </c>
      <c r="J748" s="19" t="str">
        <f>IFERROR(__xludf.DUMMYFUNCTION("""COMPUTED_VALUE"""),"")</f>
        <v/>
      </c>
    </row>
    <row r="749">
      <c r="A749" s="19" t="str">
        <f>IFERROR(__xludf.DUMMYFUNCTION("""COMPUTED_VALUE"""),"Daniel Hindmarsh")</f>
        <v>Daniel Hindmarsh</v>
      </c>
      <c r="B749" s="19" t="str">
        <f>IFERROR(__xludf.DUMMYFUNCTION("""COMPUTED_VALUE"""),"NSW")</f>
        <v>NSW</v>
      </c>
      <c r="C749" s="5" t="str">
        <f>IFERROR(__xludf.DUMMYFUNCTION("""COMPUTED_VALUE"""),"Elanora Heights")</f>
        <v>Elanora Heights</v>
      </c>
      <c r="D749" s="5" t="str">
        <f>IFERROR(__xludf.DUMMYFUNCTION("""COMPUTED_VALUE"""),"1 Coolangatta Avenue, Elanora Heights, NSW, 2101, Australia")</f>
        <v>1 Coolangatta Avenue, Elanora Heights, NSW, 2101, Australia</v>
      </c>
      <c r="E749" s="27">
        <f>IFERROR(__xludf.DUMMYFUNCTION("""COMPUTED_VALUE"""),45695.0)</f>
        <v>45695</v>
      </c>
      <c r="F749" s="5" t="str">
        <f>IFERROR(__xludf.DUMMYFUNCTION("""COMPUTED_VALUE"""),"Featured")</f>
        <v>Featured</v>
      </c>
      <c r="G749" s="19"/>
      <c r="H749" s="19"/>
      <c r="I749" s="62"/>
      <c r="J749" s="19"/>
    </row>
    <row r="750">
      <c r="A750" s="19" t="str">
        <f>IFERROR(__xludf.DUMMYFUNCTION("""COMPUTED_VALUE"""),"Daniel Hindmarsh")</f>
        <v>Daniel Hindmarsh</v>
      </c>
      <c r="B750" s="19" t="str">
        <f>IFERROR(__xludf.DUMMYFUNCTION("""COMPUTED_VALUE"""),"NSW")</f>
        <v>NSW</v>
      </c>
      <c r="C750" s="5" t="str">
        <f>IFERROR(__xludf.DUMMYFUNCTION("""COMPUTED_VALUE"""),"Allambie Heights")</f>
        <v>Allambie Heights</v>
      </c>
      <c r="D750" s="5"/>
      <c r="E750" s="63" t="str">
        <f>IFERROR(__xludf.DUMMYFUNCTION("""COMPUTED_VALUE"""),"31/07/2025")</f>
        <v>31/07/2025</v>
      </c>
      <c r="F750" s="5" t="str">
        <f>IFERROR(__xludf.DUMMYFUNCTION("""COMPUTED_VALUE"""),"Featured")</f>
        <v>Featured</v>
      </c>
      <c r="G750" s="19" t="str">
        <f>IFERROR(__xludf.DUMMYFUNCTION("""COMPUTED_VALUE"""),"Instant Forms")</f>
        <v>Instant Forms</v>
      </c>
      <c r="H750" s="19"/>
      <c r="I750" s="62"/>
      <c r="J750" s="19"/>
    </row>
    <row r="751">
      <c r="A751" s="19" t="str">
        <f>IFERROR(__xludf.DUMMYFUNCTION("""COMPUTED_VALUE"""),"Daniel Hindmarsh")</f>
        <v>Daniel Hindmarsh</v>
      </c>
      <c r="B751" s="19" t="str">
        <f>IFERROR(__xludf.DUMMYFUNCTION("""COMPUTED_VALUE"""),"NSW")</f>
        <v>NSW</v>
      </c>
      <c r="C751" s="5" t="str">
        <f>IFERROR(__xludf.DUMMYFUNCTION("""COMPUTED_VALUE"""),"Elanora Heights NSW")</f>
        <v>Elanora Heights NSW</v>
      </c>
      <c r="D751" s="5"/>
      <c r="E751" s="25">
        <f>IFERROR(__xludf.DUMMYFUNCTION("""COMPUTED_VALUE"""),45877.0)</f>
        <v>45877</v>
      </c>
      <c r="F751" s="5" t="str">
        <f>IFERROR(__xludf.DUMMYFUNCTION("""COMPUTED_VALUE"""),"Featured")</f>
        <v>Featured</v>
      </c>
      <c r="G751" s="19" t="str">
        <f>IFERROR(__xludf.DUMMYFUNCTION("""COMPUTED_VALUE"""),"Instant Forms")</f>
        <v>Instant Forms</v>
      </c>
      <c r="H751" s="19"/>
      <c r="I751" s="62"/>
      <c r="J751" s="19"/>
    </row>
    <row r="752">
      <c r="A752" s="19" t="str">
        <f>IFERROR(__xludf.DUMMYFUNCTION("""COMPUTED_VALUE"""),"Daniel Hindmarsh")</f>
        <v>Daniel Hindmarsh</v>
      </c>
      <c r="B752" s="19" t="str">
        <f>IFERROR(__xludf.DUMMYFUNCTION("""COMPUTED_VALUE"""),"NSW")</f>
        <v>NSW</v>
      </c>
      <c r="C752" s="5" t="str">
        <f>IFERROR(__xludf.DUMMYFUNCTION("""COMPUTED_VALUE"""),"Narrabeen")</f>
        <v>Narrabeen</v>
      </c>
      <c r="D752" s="5"/>
      <c r="E752" s="25">
        <f>IFERROR(__xludf.DUMMYFUNCTION("""COMPUTED_VALUE"""),45896.0)</f>
        <v>45896</v>
      </c>
      <c r="F752" s="5" t="str">
        <f>IFERROR(__xludf.DUMMYFUNCTION("""COMPUTED_VALUE"""),"Free")</f>
        <v>Free</v>
      </c>
      <c r="G752" s="19" t="str">
        <f>IFERROR(__xludf.DUMMYFUNCTION("""COMPUTED_VALUE"""),"Instant Forms")</f>
        <v>Instant Forms</v>
      </c>
      <c r="H752" s="19"/>
      <c r="I752" s="62"/>
      <c r="J752" s="19"/>
    </row>
    <row r="753">
      <c r="A753" s="19" t="str">
        <f>IFERROR(__xludf.DUMMYFUNCTION("""COMPUTED_VALUE"""),"Daniel Hindmarsh")</f>
        <v>Daniel Hindmarsh</v>
      </c>
      <c r="B753" s="19" t="str">
        <f>IFERROR(__xludf.DUMMYFUNCTION("""COMPUTED_VALUE"""),"NSW")</f>
        <v>NSW</v>
      </c>
      <c r="C753" s="5" t="str">
        <f>IFERROR(__xludf.DUMMYFUNCTION("""COMPUTED_VALUE"""),"Elanora Heights")</f>
        <v>Elanora Heights</v>
      </c>
      <c r="D753" s="5" t="str">
        <f>IFERROR(__xludf.DUMMYFUNCTION("""COMPUTED_VALUE"""),"10 Koorangi Avenue Elanora Heights NSW 2101")</f>
        <v>10 Koorangi Avenue Elanora Heights NSW 2101</v>
      </c>
      <c r="E753" s="25">
        <f>IFERROR(__xludf.DUMMYFUNCTION("""COMPUTED_VALUE"""),45904.0)</f>
        <v>45904</v>
      </c>
      <c r="F753" s="5" t="str">
        <f>IFERROR(__xludf.DUMMYFUNCTION("""COMPUTED_VALUE"""),"Featured")</f>
        <v>Featured</v>
      </c>
      <c r="G753" s="19" t="str">
        <f>IFERROR(__xludf.DUMMYFUNCTION("""COMPUTED_VALUE"""),"Instant Forms")</f>
        <v>Instant Forms</v>
      </c>
      <c r="H753" s="19"/>
      <c r="I753" s="62"/>
      <c r="J753" s="19"/>
    </row>
    <row r="754">
      <c r="A754" s="19" t="str">
        <f>IFERROR(__xludf.DUMMYFUNCTION("""COMPUTED_VALUE"""),"Daniel Hindmarsh")</f>
        <v>Daniel Hindmarsh</v>
      </c>
      <c r="B754" s="19" t="str">
        <f>IFERROR(__xludf.DUMMYFUNCTION("""COMPUTED_VALUE"""),"NSW")</f>
        <v>NSW</v>
      </c>
      <c r="C754" s="5" t="str">
        <f>IFERROR(__xludf.DUMMYFUNCTION("""COMPUTED_VALUE"""),"Collaroy Plateau")</f>
        <v>Collaroy Plateau</v>
      </c>
      <c r="D754" s="5" t="str">
        <f>IFERROR(__xludf.DUMMYFUNCTION("""COMPUTED_VALUE"""),"19A Ettalong Street Wheeler Heights NSW 2097")</f>
        <v>19A Ettalong Street Wheeler Heights NSW 2097</v>
      </c>
      <c r="E754" s="25">
        <f>IFERROR(__xludf.DUMMYFUNCTION("""COMPUTED_VALUE"""),45918.0)</f>
        <v>45918</v>
      </c>
      <c r="F754" s="5">
        <f>IFERROR(__xludf.DUMMYFUNCTION("""COMPUTED_VALUE"""),8.0)</f>
        <v>8</v>
      </c>
      <c r="G754" s="19" t="str">
        <f>IFERROR(__xludf.DUMMYFUNCTION("""COMPUTED_VALUE"""),"Instant Forms")</f>
        <v>Instant Forms</v>
      </c>
      <c r="H754" s="19" t="str">
        <f>IFERROR(__xludf.DUMMYFUNCTION("""COMPUTED_VALUE"""),"Robyne Horvath")</f>
        <v>Robyne Horvath</v>
      </c>
      <c r="I754" s="62"/>
      <c r="J754" s="19"/>
    </row>
    <row r="755">
      <c r="A755" s="19" t="str">
        <f>IFERROR(__xludf.DUMMYFUNCTION("""COMPUTED_VALUE"""),"Daniel Hindmarsh")</f>
        <v>Daniel Hindmarsh</v>
      </c>
      <c r="B755" s="19" t="str">
        <f>IFERROR(__xludf.DUMMYFUNCTION("""COMPUTED_VALUE"""),"NSW")</f>
        <v>NSW</v>
      </c>
      <c r="C755" s="5" t="str">
        <f>IFERROR(__xludf.DUMMYFUNCTION("""COMPUTED_VALUE"""),"Elanora Heights")</f>
        <v>Elanora Heights</v>
      </c>
      <c r="D755" s="5" t="str">
        <f>IFERROR(__xludf.DUMMYFUNCTION("""COMPUTED_VALUE"""),"206 Powderworks Road Elanora Heights NSW 2101")</f>
        <v>206 Powderworks Road Elanora Heights NSW 2101</v>
      </c>
      <c r="E755" s="25">
        <f>IFERROR(__xludf.DUMMYFUNCTION("""COMPUTED_VALUE"""),45920.0)</f>
        <v>45920</v>
      </c>
      <c r="F755" s="5">
        <f>IFERROR(__xludf.DUMMYFUNCTION("""COMPUTED_VALUE"""),8.0)</f>
        <v>8</v>
      </c>
      <c r="G755" s="19" t="str">
        <f>IFERROR(__xludf.DUMMYFUNCTION("""COMPUTED_VALUE"""),"Instant Forms")</f>
        <v>Instant Forms</v>
      </c>
      <c r="H755" s="19" t="str">
        <f>IFERROR(__xludf.DUMMYFUNCTION("""COMPUTED_VALUE"""),"John Nudge Cole")</f>
        <v>John Nudge Cole</v>
      </c>
      <c r="I755" s="62"/>
      <c r="J755" s="19"/>
    </row>
    <row r="756">
      <c r="A756" s="19" t="str">
        <f>IFERROR(__xludf.DUMMYFUNCTION("""COMPUTED_VALUE"""),"Daniel Hindmarsh")</f>
        <v>Daniel Hindmarsh</v>
      </c>
      <c r="B756" s="19" t="str">
        <f>IFERROR(__xludf.DUMMYFUNCTION("""COMPUTED_VALUE"""),"NSW")</f>
        <v>NSW</v>
      </c>
      <c r="C756" s="5" t="str">
        <f>IFERROR(__xludf.DUMMYFUNCTION("""COMPUTED_VALUE"""),"Wheeler Heights")</f>
        <v>Wheeler Heights</v>
      </c>
      <c r="D756" s="5" t="str">
        <f>IFERROR(__xludf.DUMMYFUNCTION("""COMPUTED_VALUE"""),"19A Ettalong Street Wheeler Heights NSW 2097")</f>
        <v>19A Ettalong Street Wheeler Heights NSW 2097</v>
      </c>
      <c r="E756" s="25">
        <f>IFERROR(__xludf.DUMMYFUNCTION("""COMPUTED_VALUE"""),45920.0)</f>
        <v>45920</v>
      </c>
      <c r="F756" s="5">
        <f>IFERROR(__xludf.DUMMYFUNCTION("""COMPUTED_VALUE"""),8.0)</f>
        <v>8</v>
      </c>
      <c r="G756" s="19" t="str">
        <f>IFERROR(__xludf.DUMMYFUNCTION("""COMPUTED_VALUE"""),"Instant Forms")</f>
        <v>Instant Forms</v>
      </c>
      <c r="H756" s="19" t="str">
        <f>IFERROR(__xludf.DUMMYFUNCTION("""COMPUTED_VALUE"""),"Robyne Horvath")</f>
        <v>Robyne Horvath</v>
      </c>
      <c r="I756" s="62"/>
      <c r="J756" s="19"/>
    </row>
    <row r="757">
      <c r="A757" s="19" t="str">
        <f>IFERROR(__xludf.DUMMYFUNCTION("""COMPUTED_VALUE"""),"Daniel Hindmarsh")</f>
        <v>Daniel Hindmarsh</v>
      </c>
      <c r="B757" s="19" t="str">
        <f>IFERROR(__xludf.DUMMYFUNCTION("""COMPUTED_VALUE"""),"NSW")</f>
        <v>NSW</v>
      </c>
      <c r="C757" s="5">
        <f>IFERROR(__xludf.DUMMYFUNCTION("""COMPUTED_VALUE"""),2097.0)</f>
        <v>2097</v>
      </c>
      <c r="D757" s="5"/>
      <c r="E757" s="25">
        <f>IFERROR(__xludf.DUMMYFUNCTION("""COMPUTED_VALUE"""),45920.0)</f>
        <v>45920</v>
      </c>
      <c r="F757" s="5">
        <f>IFERROR(__xludf.DUMMYFUNCTION("""COMPUTED_VALUE"""),6.0)</f>
        <v>6</v>
      </c>
      <c r="G757" s="19" t="str">
        <f>IFERROR(__xludf.DUMMYFUNCTION("""COMPUTED_VALUE"""),"Instant Forms")</f>
        <v>Instant Forms</v>
      </c>
      <c r="H757" s="19" t="str">
        <f>IFERROR(__xludf.DUMMYFUNCTION("""COMPUTED_VALUE"""),"Andrew Dunkerley")</f>
        <v>Andrew Dunkerley</v>
      </c>
      <c r="I757" s="62"/>
      <c r="J757" s="19"/>
    </row>
    <row r="758">
      <c r="A758" s="19" t="str">
        <f>IFERROR(__xludf.DUMMYFUNCTION("""COMPUTED_VALUE"""),"Daniel Hindmarsh")</f>
        <v>Daniel Hindmarsh</v>
      </c>
      <c r="B758" s="19" t="str">
        <f>IFERROR(__xludf.DUMMYFUNCTION("""COMPUTED_VALUE"""),"NSW")</f>
        <v>NSW</v>
      </c>
      <c r="C758" s="5" t="str">
        <f>IFERROR(__xludf.DUMMYFUNCTION("""COMPUTED_VALUE"""),"Wheeler Heights")</f>
        <v>Wheeler Heights</v>
      </c>
      <c r="D758" s="5" t="str">
        <f>IFERROR(__xludf.DUMMYFUNCTION("""COMPUTED_VALUE"""),"6 Langdale Place Wheeler Heights NSW 2097")</f>
        <v>6 Langdale Place Wheeler Heights NSW 2097</v>
      </c>
      <c r="E758" s="25">
        <f>IFERROR(__xludf.DUMMYFUNCTION("""COMPUTED_VALUE"""),45921.0)</f>
        <v>45921</v>
      </c>
      <c r="F758" s="5">
        <f>IFERROR(__xludf.DUMMYFUNCTION("""COMPUTED_VALUE"""),8.0)</f>
        <v>8</v>
      </c>
      <c r="G758" s="19" t="str">
        <f>IFERROR(__xludf.DUMMYFUNCTION("""COMPUTED_VALUE"""),"Instant Forms")</f>
        <v>Instant Forms</v>
      </c>
      <c r="H758" s="19" t="str">
        <f>IFERROR(__xludf.DUMMYFUNCTION("""COMPUTED_VALUE"""),"Mark Simpson")</f>
        <v>Mark Simpson</v>
      </c>
      <c r="I758" s="62"/>
      <c r="J758" s="19"/>
    </row>
    <row r="759">
      <c r="A759" s="19" t="str">
        <f>IFERROR(__xludf.DUMMYFUNCTION("""COMPUTED_VALUE"""),"Daniel Hindmarsh")</f>
        <v>Daniel Hindmarsh</v>
      </c>
      <c r="B759" s="19" t="str">
        <f>IFERROR(__xludf.DUMMYFUNCTION("""COMPUTED_VALUE"""),"NSW")</f>
        <v>NSW</v>
      </c>
      <c r="C759" s="5" t="str">
        <f>IFERROR(__xludf.DUMMYFUNCTION("""COMPUTED_VALUE"""),"Narrabeen")</f>
        <v>Narrabeen</v>
      </c>
      <c r="D759" s="5" t="str">
        <f>IFERROR(__xludf.DUMMYFUNCTION("""COMPUTED_VALUE"""),"41/1-7 Lagoon st Narrabeen")</f>
        <v>41/1-7 Lagoon st Narrabeen</v>
      </c>
      <c r="E759" s="25">
        <f>IFERROR(__xludf.DUMMYFUNCTION("""COMPUTED_VALUE"""),45923.0)</f>
        <v>45923</v>
      </c>
      <c r="F759" s="5" t="str">
        <f>IFERROR(__xludf.DUMMYFUNCTION("""COMPUTED_VALUE"""),"Featured")</f>
        <v>Featured</v>
      </c>
      <c r="G759" s="19" t="str">
        <f>IFERROR(__xludf.DUMMYFUNCTION("""COMPUTED_VALUE"""),"Commission Comparison")</f>
        <v>Commission Comparison</v>
      </c>
      <c r="H759" s="19"/>
      <c r="I759" s="62"/>
      <c r="J759" s="19"/>
    </row>
    <row r="760">
      <c r="A760" s="19" t="str">
        <f>IFERROR(__xludf.DUMMYFUNCTION("""COMPUTED_VALUE"""),"Daniel Hindmarsh")</f>
        <v>Daniel Hindmarsh</v>
      </c>
      <c r="B760" s="19" t="str">
        <f>IFERROR(__xludf.DUMMYFUNCTION("""COMPUTED_VALUE"""),"NSW")</f>
        <v>NSW</v>
      </c>
      <c r="C760" s="5" t="str">
        <f>IFERROR(__xludf.DUMMYFUNCTION("""COMPUTED_VALUE"""),"Narrabeen")</f>
        <v>Narrabeen</v>
      </c>
      <c r="D760" s="5" t="str">
        <f>IFERROR(__xludf.DUMMYFUNCTION("""COMPUTED_VALUE"""),"Unit 7  118-120 Lagoon Street NARRABEEN NSW 2101")</f>
        <v>Unit 7  118-120 Lagoon Street NARRABEEN NSW 2101</v>
      </c>
      <c r="E760" s="25">
        <f>IFERROR(__xludf.DUMMYFUNCTION("""COMPUTED_VALUE"""),45935.0)</f>
        <v>45935</v>
      </c>
      <c r="F760" s="5">
        <f>IFERROR(__xludf.DUMMYFUNCTION("""COMPUTED_VALUE"""),6.0)</f>
        <v>6</v>
      </c>
      <c r="G760" s="19" t="str">
        <f>IFERROR(__xludf.DUMMYFUNCTION("""COMPUTED_VALUE"""),"Instant Forms")</f>
        <v>Instant Forms</v>
      </c>
      <c r="H760" s="19" t="str">
        <f>IFERROR(__xludf.DUMMYFUNCTION("""COMPUTED_VALUE"""),"Ross Halfacree")</f>
        <v>Ross Halfacree</v>
      </c>
      <c r="I760" s="62"/>
      <c r="J760" s="19"/>
    </row>
    <row r="761">
      <c r="A761" s="19" t="str">
        <f>IFERROR(__xludf.DUMMYFUNCTION("""COMPUTED_VALUE"""),"Daniel Hindmarsh")</f>
        <v>Daniel Hindmarsh</v>
      </c>
      <c r="B761" s="19" t="str">
        <f>IFERROR(__xludf.DUMMYFUNCTION("""COMPUTED_VALUE"""),"NSW")</f>
        <v>NSW</v>
      </c>
      <c r="C761" s="5" t="str">
        <f>IFERROR(__xludf.DUMMYFUNCTION("""COMPUTED_VALUE"""),"Elanora Heights")</f>
        <v>Elanora Heights</v>
      </c>
      <c r="D761" s="5" t="str">
        <f>IFERROR(__xludf.DUMMYFUNCTION("""COMPUTED_VALUE"""),"110 Elanora Road Elanora Heights NSW 2101")</f>
        <v>110 Elanora Road Elanora Heights NSW 2101</v>
      </c>
      <c r="E761" s="25">
        <f>IFERROR(__xludf.DUMMYFUNCTION("""COMPUTED_VALUE"""),45935.0)</f>
        <v>45935</v>
      </c>
      <c r="F761" s="5">
        <f>IFERROR(__xludf.DUMMYFUNCTION("""COMPUTED_VALUE"""),8.0)</f>
        <v>8</v>
      </c>
      <c r="G761" s="19" t="str">
        <f>IFERROR(__xludf.DUMMYFUNCTION("""COMPUTED_VALUE"""),"Instant Forms")</f>
        <v>Instant Forms</v>
      </c>
      <c r="H761" s="19" t="str">
        <f>IFERROR(__xludf.DUMMYFUNCTION("""COMPUTED_VALUE"""),"Paul Butterworth")</f>
        <v>Paul Butterworth</v>
      </c>
      <c r="I761" s="62"/>
      <c r="J761" s="19"/>
    </row>
    <row r="762">
      <c r="A762" s="19" t="str">
        <f>IFERROR(__xludf.DUMMYFUNCTION("""COMPUTED_VALUE"""),"Daniel Hindmarsh")</f>
        <v>Daniel Hindmarsh</v>
      </c>
      <c r="B762" s="19" t="str">
        <f>IFERROR(__xludf.DUMMYFUNCTION("""COMPUTED_VALUE"""),"NSW")</f>
        <v>NSW</v>
      </c>
      <c r="C762" s="5" t="str">
        <f>IFERROR(__xludf.DUMMYFUNCTION("""COMPUTED_VALUE"""),"Collaroy")</f>
        <v>Collaroy</v>
      </c>
      <c r="D762" s="5" t="str">
        <f>IFERROR(__xludf.DUMMYFUNCTION("""COMPUTED_VALUE"""),"869 Pittwater Road, Collaroy, NSW, 2097, Australia")</f>
        <v>869 Pittwater Road, Collaroy, NSW, 2097, Australia</v>
      </c>
      <c r="E762" s="25" t="str">
        <f>IFERROR(__xludf.DUMMYFUNCTION("""COMPUTED_VALUE"""),"13/10/2025")</f>
        <v>13/10/2025</v>
      </c>
      <c r="F762" s="5" t="str">
        <f>IFERROR(__xludf.DUMMYFUNCTION("""COMPUTED_VALUE"""),"Featured")</f>
        <v>Featured</v>
      </c>
      <c r="G762" s="19"/>
      <c r="H762" s="19"/>
      <c r="I762" s="62"/>
      <c r="J762" s="19"/>
    </row>
    <row r="763">
      <c r="A763" s="19" t="str">
        <f>IFERROR(__xludf.DUMMYFUNCTION("""COMPUTED_VALUE"""),"Daniel Hindmarsh")</f>
        <v>Daniel Hindmarsh</v>
      </c>
      <c r="B763" s="19" t="str">
        <f>IFERROR(__xludf.DUMMYFUNCTION("""COMPUTED_VALUE"""),"NSW")</f>
        <v>NSW</v>
      </c>
      <c r="C763" s="5" t="str">
        <f>IFERROR(__xludf.DUMMYFUNCTION("""COMPUTED_VALUE"""),"Collaroy")</f>
        <v>Collaroy</v>
      </c>
      <c r="D763" s="5" t="str">
        <f>IFERROR(__xludf.DUMMYFUNCTION("""COMPUTED_VALUE"""),"869 Pittwater Road, Collaroy, NSW, 2097, Australia")</f>
        <v>869 Pittwater Road, Collaroy, NSW, 2097, Australia</v>
      </c>
      <c r="E763" s="25">
        <f>IFERROR(__xludf.DUMMYFUNCTION("""COMPUTED_VALUE"""),45943.0)</f>
        <v>45943</v>
      </c>
      <c r="F763" s="5" t="str">
        <f>IFERROR(__xludf.DUMMYFUNCTION("""COMPUTED_VALUE"""),"Featured")</f>
        <v>Featured</v>
      </c>
      <c r="G763" s="19" t="str">
        <f>IFERROR(__xludf.DUMMYFUNCTION("""COMPUTED_VALUE"""),"Commission Comparison")</f>
        <v>Commission Comparison</v>
      </c>
      <c r="H763" s="19"/>
      <c r="I763" s="62"/>
      <c r="J763" s="19"/>
    </row>
    <row r="764">
      <c r="A764" s="19" t="str">
        <f>IFERROR(__xludf.DUMMYFUNCTION("""COMPUTED_VALUE"""),"Daniel Hindmarsh")</f>
        <v>Daniel Hindmarsh</v>
      </c>
      <c r="B764" s="19" t="str">
        <f>IFERROR(__xludf.DUMMYFUNCTION("""COMPUTED_VALUE"""),"NSW")</f>
        <v>NSW</v>
      </c>
      <c r="C764" s="5" t="str">
        <f>IFERROR(__xludf.DUMMYFUNCTION("""COMPUTED_VALUE"""),"Collaroy Plateau")</f>
        <v>Collaroy Plateau</v>
      </c>
      <c r="D764" s="5" t="str">
        <f>IFERROR(__xludf.DUMMYFUNCTION("""COMPUTED_VALUE"""),"34 Plateau Road, Collaroy Plateau, NSW, 2097, Australia")</f>
        <v>34 Plateau Road, Collaroy Plateau, NSW, 2097, Australia</v>
      </c>
      <c r="E764" s="25">
        <f>IFERROR(__xludf.DUMMYFUNCTION("""COMPUTED_VALUE"""),45950.0)</f>
        <v>45950</v>
      </c>
      <c r="F764" s="5" t="str">
        <f>IFERROR(__xludf.DUMMYFUNCTION("""COMPUTED_VALUE"""),"Featured")</f>
        <v>Featured</v>
      </c>
      <c r="G764" s="19" t="str">
        <f>IFERROR(__xludf.DUMMYFUNCTION("""COMPUTED_VALUE"""),"Commission Comparison")</f>
        <v>Commission Comparison</v>
      </c>
      <c r="H764" s="19"/>
      <c r="I764" s="62"/>
      <c r="J764" s="19"/>
    </row>
    <row r="765">
      <c r="A765" s="19" t="str">
        <f>IFERROR(__xludf.DUMMYFUNCTION("""COMPUTED_VALUE"""),"Daniel Hindmarsh")</f>
        <v>Daniel Hindmarsh</v>
      </c>
      <c r="B765" s="19" t="str">
        <f>IFERROR(__xludf.DUMMYFUNCTION("""COMPUTED_VALUE"""),"NSW")</f>
        <v>NSW</v>
      </c>
      <c r="C765" s="5" t="str">
        <f>IFERROR(__xludf.DUMMYFUNCTION("""COMPUTED_VALUE"""),"Narrabeen")</f>
        <v>Narrabeen</v>
      </c>
      <c r="D765" s="5" t="str">
        <f>IFERROR(__xludf.DUMMYFUNCTION("""COMPUTED_VALUE"""),"2/15 Wetherill Street Narrabeen NSW 2101")</f>
        <v>2/15 Wetherill Street Narrabeen NSW 2101</v>
      </c>
      <c r="E765" s="25">
        <f>IFERROR(__xludf.DUMMYFUNCTION("""COMPUTED_VALUE"""),45952.0)</f>
        <v>45952</v>
      </c>
      <c r="F765" s="5">
        <f>IFERROR(__xludf.DUMMYFUNCTION("""COMPUTED_VALUE"""),8.0)</f>
        <v>8</v>
      </c>
      <c r="G765" s="19" t="str">
        <f>IFERROR(__xludf.DUMMYFUNCTION("""COMPUTED_VALUE"""),"Instant Forms")</f>
        <v>Instant Forms</v>
      </c>
      <c r="H765" s="19"/>
      <c r="I765" s="62"/>
      <c r="J765" s="19"/>
    </row>
    <row r="766">
      <c r="A766" s="19" t="str">
        <f>IFERROR(__xludf.DUMMYFUNCTION("""COMPUTED_VALUE"""),"Daniel Hindmarsh")</f>
        <v>Daniel Hindmarsh</v>
      </c>
      <c r="B766" s="19" t="str">
        <f>IFERROR(__xludf.DUMMYFUNCTION("""COMPUTED_VALUE"""),"NSW")</f>
        <v>NSW</v>
      </c>
      <c r="C766" s="5" t="str">
        <f>IFERROR(__xludf.DUMMYFUNCTION("""COMPUTED_VALUE"""),"WARRIEWOOD")</f>
        <v>WARRIEWOOD</v>
      </c>
      <c r="D766" s="5" t="str">
        <f>IFERROR(__xludf.DUMMYFUNCTION("""COMPUTED_VALUE"""),"10 Platypus Way WARRIEWOOD NSW 2102")</f>
        <v>10 Platypus Way WARRIEWOOD NSW 2102</v>
      </c>
      <c r="E766" s="25">
        <f>IFERROR(__xludf.DUMMYFUNCTION("""COMPUTED_VALUE"""),45958.0)</f>
        <v>45958</v>
      </c>
      <c r="F766" s="5">
        <f>IFERROR(__xludf.DUMMYFUNCTION("""COMPUTED_VALUE"""),8.0)</f>
        <v>8</v>
      </c>
      <c r="G766" s="19" t="str">
        <f>IFERROR(__xludf.DUMMYFUNCTION("""COMPUTED_VALUE"""),"Instant Forms")</f>
        <v>Instant Forms</v>
      </c>
      <c r="H766" s="19"/>
      <c r="I766" s="62"/>
      <c r="J766" s="19"/>
    </row>
    <row r="767">
      <c r="A767" s="19" t="str">
        <f>IFERROR(__xludf.DUMMYFUNCTION("""COMPUTED_VALUE"""),"Daniel Hindmarsh")</f>
        <v>Daniel Hindmarsh</v>
      </c>
      <c r="B767" s="19" t="str">
        <f>IFERROR(__xludf.DUMMYFUNCTION("""COMPUTED_VALUE"""),"NSW")</f>
        <v>NSW</v>
      </c>
      <c r="C767" s="5" t="str">
        <f>IFERROR(__xludf.DUMMYFUNCTION("""COMPUTED_VALUE"""),"Narrabeen")</f>
        <v>Narrabeen</v>
      </c>
      <c r="D767" s="5" t="str">
        <f>IFERROR(__xludf.DUMMYFUNCTION("""COMPUTED_VALUE"""),"87 Lagoon Street Narrabeen NSW 2101")</f>
        <v>87 Lagoon Street Narrabeen NSW 2101</v>
      </c>
      <c r="E767" s="25">
        <f>IFERROR(__xludf.DUMMYFUNCTION("""COMPUTED_VALUE"""),45958.0)</f>
        <v>45958</v>
      </c>
      <c r="F767" s="5">
        <f>IFERROR(__xludf.DUMMYFUNCTION("""COMPUTED_VALUE"""),8.0)</f>
        <v>8</v>
      </c>
      <c r="G767" s="19" t="str">
        <f>IFERROR(__xludf.DUMMYFUNCTION("""COMPUTED_VALUE"""),"Instant Forms")</f>
        <v>Instant Forms</v>
      </c>
      <c r="H767" s="19"/>
      <c r="I767" s="62"/>
      <c r="J767" s="19"/>
    </row>
    <row r="768">
      <c r="A768" s="19" t="str">
        <f>IFERROR(__xludf.DUMMYFUNCTION("""COMPUTED_VALUE"""),"Daniel Hindmarsh")</f>
        <v>Daniel Hindmarsh</v>
      </c>
      <c r="B768" s="19" t="str">
        <f>IFERROR(__xludf.DUMMYFUNCTION("""COMPUTED_VALUE"""),"NSW")</f>
        <v>NSW</v>
      </c>
      <c r="C768" s="5" t="str">
        <f>IFERROR(__xludf.DUMMYFUNCTION("""COMPUTED_VALUE"""),"Narrabeen")</f>
        <v>Narrabeen</v>
      </c>
      <c r="D768" s="5" t="str">
        <f>IFERROR(__xludf.DUMMYFUNCTION("""COMPUTED_VALUE"""),"U 8 1 Tourmaline St, Narrabeen, 2101")</f>
        <v>U 8 1 Tourmaline St, Narrabeen, 2101</v>
      </c>
      <c r="E768" s="25" t="str">
        <f>IFERROR(__xludf.DUMMYFUNCTION("""COMPUTED_VALUE"""),"14/11/2025")</f>
        <v>14/11/2025</v>
      </c>
      <c r="F768" s="5" t="str">
        <f>IFERROR(__xludf.DUMMYFUNCTION("""COMPUTED_VALUE"""),"Featured")</f>
        <v>Featured</v>
      </c>
      <c r="G768" s="19" t="str">
        <f>IFERROR(__xludf.DUMMYFUNCTION("""COMPUTED_VALUE"""),"Meta Commission Report")</f>
        <v>Meta Commission Report</v>
      </c>
      <c r="H768" s="19" t="str">
        <f>IFERROR(__xludf.DUMMYFUNCTION("""COMPUTED_VALUE"""),"Kathryn Kartikeyan")</f>
        <v>Kathryn Kartikeyan</v>
      </c>
      <c r="I768" s="62">
        <f>IFERROR(__xludf.DUMMYFUNCTION("""COMPUTED_VALUE"""),6.1407195549E10)</f>
        <v>61407195549</v>
      </c>
      <c r="J768" s="19" t="str">
        <f>IFERROR(__xludf.DUMMYFUNCTION("""COMPUTED_VALUE"""),"kkartikeyan@hotmail.com")</f>
        <v>kkartikeyan@hotmail.com</v>
      </c>
    </row>
    <row r="769">
      <c r="A769" s="19" t="str">
        <f>IFERROR(__xludf.DUMMYFUNCTION("""COMPUTED_VALUE"""),"")</f>
        <v/>
      </c>
      <c r="B769" s="19" t="str">
        <f>IFERROR(__xludf.DUMMYFUNCTION("""COMPUTED_VALUE"""),"")</f>
        <v/>
      </c>
      <c r="C769" s="5" t="str">
        <f>IFERROR(__xludf.DUMMYFUNCTION("""COMPUTED_VALUE"""),"")</f>
        <v/>
      </c>
      <c r="D769" s="5" t="str">
        <f>IFERROR(__xludf.DUMMYFUNCTION("""COMPUTED_VALUE"""),"")</f>
        <v/>
      </c>
      <c r="E769" s="5" t="str">
        <f>IFERROR(__xludf.DUMMYFUNCTION("""COMPUTED_VALUE"""),"")</f>
        <v/>
      </c>
      <c r="F769" s="5" t="str">
        <f>IFERROR(__xludf.DUMMYFUNCTION("""COMPUTED_VALUE"""),"")</f>
        <v/>
      </c>
      <c r="G769" s="19" t="str">
        <f>IFERROR(__xludf.DUMMYFUNCTION("""COMPUTED_VALUE"""),"")</f>
        <v/>
      </c>
      <c r="H769" s="19" t="str">
        <f>IFERROR(__xludf.DUMMYFUNCTION("""COMPUTED_VALUE"""),"")</f>
        <v/>
      </c>
      <c r="I769" s="62" t="str">
        <f>IFERROR(__xludf.DUMMYFUNCTION("""COMPUTED_VALUE"""),"")</f>
        <v/>
      </c>
      <c r="J769" s="19" t="str">
        <f>IFERROR(__xludf.DUMMYFUNCTION("""COMPUTED_VALUE"""),"")</f>
        <v/>
      </c>
    </row>
    <row r="770">
      <c r="A770" s="19" t="str">
        <f>IFERROR(__xludf.DUMMYFUNCTION("""COMPUTED_VALUE"""),"")</f>
        <v/>
      </c>
      <c r="B770" s="19" t="str">
        <f>IFERROR(__xludf.DUMMYFUNCTION("""COMPUTED_VALUE"""),"")</f>
        <v/>
      </c>
      <c r="C770" s="5" t="str">
        <f>IFERROR(__xludf.DUMMYFUNCTION("""COMPUTED_VALUE"""),"")</f>
        <v/>
      </c>
      <c r="D770" s="5" t="str">
        <f>IFERROR(__xludf.DUMMYFUNCTION("""COMPUTED_VALUE"""),"")</f>
        <v/>
      </c>
      <c r="E770" s="5" t="str">
        <f>IFERROR(__xludf.DUMMYFUNCTION("""COMPUTED_VALUE"""),"")</f>
        <v/>
      </c>
      <c r="F770" s="5" t="str">
        <f>IFERROR(__xludf.DUMMYFUNCTION("""COMPUTED_VALUE"""),"")</f>
        <v/>
      </c>
      <c r="G770" s="19" t="str">
        <f>IFERROR(__xludf.DUMMYFUNCTION("""COMPUTED_VALUE"""),"")</f>
        <v/>
      </c>
      <c r="H770" s="19" t="str">
        <f>IFERROR(__xludf.DUMMYFUNCTION("""COMPUTED_VALUE"""),"")</f>
        <v/>
      </c>
      <c r="I770" s="62" t="str">
        <f>IFERROR(__xludf.DUMMYFUNCTION("""COMPUTED_VALUE"""),"")</f>
        <v/>
      </c>
      <c r="J770" s="19" t="str">
        <f>IFERROR(__xludf.DUMMYFUNCTION("""COMPUTED_VALUE"""),"")</f>
        <v/>
      </c>
    </row>
    <row r="771">
      <c r="A771" s="19" t="str">
        <f>IFERROR(__xludf.DUMMYFUNCTION("""COMPUTED_VALUE"""),"Daniel Mendes")</f>
        <v>Daniel Mendes</v>
      </c>
      <c r="B771" s="19" t="str">
        <f>IFERROR(__xludf.DUMMYFUNCTION("""COMPUTED_VALUE"""),"QLD")</f>
        <v>QLD</v>
      </c>
      <c r="C771" s="5" t="str">
        <f>IFERROR(__xludf.DUMMYFUNCTION("""COMPUTED_VALUE"""),"pelican waters")</f>
        <v>pelican waters</v>
      </c>
      <c r="D771" s="5" t="str">
        <f>IFERROR(__xludf.DUMMYFUNCTION("""COMPUTED_VALUE"""),"18 Campbellville Circuit Pelican Waters QLD 4551")</f>
        <v>18 Campbellville Circuit Pelican Waters QLD 4551</v>
      </c>
      <c r="E771" s="25">
        <f>IFERROR(__xludf.DUMMYFUNCTION("""COMPUTED_VALUE"""),45938.0)</f>
        <v>45938</v>
      </c>
      <c r="F771" s="5">
        <f>IFERROR(__xludf.DUMMYFUNCTION("""COMPUTED_VALUE"""),8.0)</f>
        <v>8</v>
      </c>
      <c r="G771" s="19" t="str">
        <f>IFERROR(__xludf.DUMMYFUNCTION("""COMPUTED_VALUE"""),"Instant Forms")</f>
        <v>Instant Forms</v>
      </c>
      <c r="H771" s="19"/>
      <c r="I771" s="62"/>
      <c r="J771" s="19"/>
    </row>
    <row r="772">
      <c r="A772" s="19" t="str">
        <f>IFERROR(__xludf.DUMMYFUNCTION("""COMPUTED_VALUE"""),"Daniel Mendes")</f>
        <v>Daniel Mendes</v>
      </c>
      <c r="B772" s="19" t="str">
        <f>IFERROR(__xludf.DUMMYFUNCTION("""COMPUTED_VALUE"""),"QLD")</f>
        <v>QLD</v>
      </c>
      <c r="C772" s="5" t="str">
        <f>IFERROR(__xludf.DUMMYFUNCTION("""COMPUTED_VALUE"""),"Caloundra West")</f>
        <v>Caloundra West</v>
      </c>
      <c r="D772" s="5" t="str">
        <f>IFERROR(__xludf.DUMMYFUNCTION("""COMPUTED_VALUE"""),"6 Mowburra Place Caloundra West QLD 4551")</f>
        <v>6 Mowburra Place Caloundra West QLD 4551</v>
      </c>
      <c r="E772" s="25">
        <f>IFERROR(__xludf.DUMMYFUNCTION("""COMPUTED_VALUE"""),45939.0)</f>
        <v>45939</v>
      </c>
      <c r="F772" s="5">
        <f>IFERROR(__xludf.DUMMYFUNCTION("""COMPUTED_VALUE"""),8.0)</f>
        <v>8</v>
      </c>
      <c r="G772" s="19" t="str">
        <f>IFERROR(__xludf.DUMMYFUNCTION("""COMPUTED_VALUE"""),"Instant Forms")</f>
        <v>Instant Forms</v>
      </c>
      <c r="H772" s="19"/>
      <c r="I772" s="62"/>
      <c r="J772" s="19"/>
    </row>
    <row r="773">
      <c r="A773" s="19" t="str">
        <f>IFERROR(__xludf.DUMMYFUNCTION("""COMPUTED_VALUE"""),"Daniel Mendes")</f>
        <v>Daniel Mendes</v>
      </c>
      <c r="B773" s="19" t="str">
        <f>IFERROR(__xludf.DUMMYFUNCTION("""COMPUTED_VALUE"""),"QLD")</f>
        <v>QLD</v>
      </c>
      <c r="C773" s="5" t="str">
        <f>IFERROR(__xludf.DUMMYFUNCTION("""COMPUTED_VALUE"""),"Golden Beach")</f>
        <v>Golden Beach</v>
      </c>
      <c r="D773" s="5" t="str">
        <f>IFERROR(__xludf.DUMMYFUNCTION("""COMPUTED_VALUE"""),"46 Coronation Avenue, Golden Beach, QLD, 4551, Australia")</f>
        <v>46 Coronation Avenue, Golden Beach, QLD, 4551, Australia</v>
      </c>
      <c r="E773" s="25">
        <f>IFERROR(__xludf.DUMMYFUNCTION("""COMPUTED_VALUE"""),46001.0)</f>
        <v>46001</v>
      </c>
      <c r="F773" s="5" t="str">
        <f>IFERROR(__xludf.DUMMYFUNCTION("""COMPUTED_VALUE"""),"Featured")</f>
        <v>Featured</v>
      </c>
      <c r="G773" s="19"/>
      <c r="H773" s="19"/>
      <c r="I773" s="62"/>
      <c r="J773" s="19"/>
    </row>
    <row r="774">
      <c r="A774" s="19" t="str">
        <f>IFERROR(__xludf.DUMMYFUNCTION("""COMPUTED_VALUE"""),"Daniel Mendes")</f>
        <v>Daniel Mendes</v>
      </c>
      <c r="B774" s="19" t="str">
        <f>IFERROR(__xludf.DUMMYFUNCTION("""COMPUTED_VALUE"""),"QLD")</f>
        <v>QLD</v>
      </c>
      <c r="C774" s="5" t="str">
        <f>IFERROR(__xludf.DUMMYFUNCTION("""COMPUTED_VALUE"""),"Caloundra West")</f>
        <v>Caloundra West</v>
      </c>
      <c r="D774" s="5" t="str">
        <f>IFERROR(__xludf.DUMMYFUNCTION("""COMPUTED_VALUE"""),"1 Amber Drive, Caloundra West, QLD, 4551, Australia")</f>
        <v>1 Amber Drive, Caloundra West, QLD, 4551, Australia</v>
      </c>
      <c r="E774" s="25">
        <f>IFERROR(__xludf.DUMMYFUNCTION("""COMPUTED_VALUE"""),46001.0)</f>
        <v>46001</v>
      </c>
      <c r="F774" s="5" t="str">
        <f>IFERROR(__xludf.DUMMYFUNCTION("""COMPUTED_VALUE"""),"Featured")</f>
        <v>Featured</v>
      </c>
      <c r="G774" s="19"/>
      <c r="H774" s="19"/>
      <c r="I774" s="62"/>
      <c r="J774" s="19"/>
    </row>
    <row r="775">
      <c r="A775" s="19" t="str">
        <f>IFERROR(__xludf.DUMMYFUNCTION("""COMPUTED_VALUE"""),"Daniel Mendes")</f>
        <v>Daniel Mendes</v>
      </c>
      <c r="B775" s="19" t="str">
        <f>IFERROR(__xludf.DUMMYFUNCTION("""COMPUTED_VALUE"""),"QLD")</f>
        <v>QLD</v>
      </c>
      <c r="C775" s="5" t="str">
        <f>IFERROR(__xludf.DUMMYFUNCTION("""COMPUTED_VALUE"""),"Pelican Waters")</f>
        <v>Pelican Waters</v>
      </c>
      <c r="D775" s="5" t="str">
        <f>IFERROR(__xludf.DUMMYFUNCTION("""COMPUTED_VALUE"""),"37 The Passage Pelican Waters QLD 4551")</f>
        <v>37 The Passage Pelican Waters QLD 4551</v>
      </c>
      <c r="E775" s="25">
        <f>IFERROR(__xludf.DUMMYFUNCTION("""COMPUTED_VALUE"""),45949.0)</f>
        <v>45949</v>
      </c>
      <c r="F775" s="5">
        <f>IFERROR(__xludf.DUMMYFUNCTION("""COMPUTED_VALUE"""),8.0)</f>
        <v>8</v>
      </c>
      <c r="G775" s="19" t="str">
        <f>IFERROR(__xludf.DUMMYFUNCTION("""COMPUTED_VALUE"""),"Instant Forms")</f>
        <v>Instant Forms</v>
      </c>
      <c r="H775" s="19"/>
      <c r="I775" s="62"/>
      <c r="J775" s="19"/>
    </row>
    <row r="776">
      <c r="A776" s="19" t="str">
        <f>IFERROR(__xludf.DUMMYFUNCTION("""COMPUTED_VALUE"""),"Daniel Mendes")</f>
        <v>Daniel Mendes</v>
      </c>
      <c r="B776" s="19" t="str">
        <f>IFERROR(__xludf.DUMMYFUNCTION("""COMPUTED_VALUE"""),"QLD")</f>
        <v>QLD</v>
      </c>
      <c r="C776" s="5" t="str">
        <f>IFERROR(__xludf.DUMMYFUNCTION("""COMPUTED_VALUE"""),"Caloundra West")</f>
        <v>Caloundra West</v>
      </c>
      <c r="D776" s="5" t="str">
        <f>IFERROR(__xludf.DUMMYFUNCTION("""COMPUTED_VALUE"""),"85 /123  mark road east, Caloundra West, 4551")</f>
        <v>85 /123  mark road east, Caloundra West, 4551</v>
      </c>
      <c r="E776" s="25" t="str">
        <f>IFERROR(__xludf.DUMMYFUNCTION("""COMPUTED_VALUE"""),"25/10/2025")</f>
        <v>25/10/2025</v>
      </c>
      <c r="F776" s="5" t="str">
        <f>IFERROR(__xludf.DUMMYFUNCTION("""COMPUTED_VALUE"""),"Featured")</f>
        <v>Featured</v>
      </c>
      <c r="G776" s="19" t="str">
        <f>IFERROR(__xludf.DUMMYFUNCTION("""COMPUTED_VALUE"""),"Meta Commission Report")</f>
        <v>Meta Commission Report</v>
      </c>
      <c r="H776" s="19" t="str">
        <f>IFERROR(__xludf.DUMMYFUNCTION("""COMPUTED_VALUE"""),"Robert Collins")</f>
        <v>Robert Collins</v>
      </c>
      <c r="I776" s="62"/>
      <c r="J776" s="19"/>
    </row>
    <row r="777">
      <c r="A777" s="19" t="str">
        <f>IFERROR(__xludf.DUMMYFUNCTION("""COMPUTED_VALUE"""),"Daniel Mendes")</f>
        <v>Daniel Mendes</v>
      </c>
      <c r="B777" s="19" t="str">
        <f>IFERROR(__xludf.DUMMYFUNCTION("""COMPUTED_VALUE"""),"QLD")</f>
        <v>QLD</v>
      </c>
      <c r="C777" s="5" t="str">
        <f>IFERROR(__xludf.DUMMYFUNCTION("""COMPUTED_VALUE"""),"Kings beach")</f>
        <v>Kings beach</v>
      </c>
      <c r="D777" s="5" t="str">
        <f>IFERROR(__xludf.DUMMYFUNCTION("""COMPUTED_VALUE"""),"9/35 Canberra Terrace Kings Beach QLD 4551")</f>
        <v>9/35 Canberra Terrace Kings Beach QLD 4551</v>
      </c>
      <c r="E777" s="25">
        <f>IFERROR(__xludf.DUMMYFUNCTION("""COMPUTED_VALUE"""),45956.0)</f>
        <v>45956</v>
      </c>
      <c r="F777" s="5">
        <f>IFERROR(__xludf.DUMMYFUNCTION("""COMPUTED_VALUE"""),8.0)</f>
        <v>8</v>
      </c>
      <c r="G777" s="19" t="str">
        <f>IFERROR(__xludf.DUMMYFUNCTION("""COMPUTED_VALUE"""),"Instant Forms")</f>
        <v>Instant Forms</v>
      </c>
      <c r="H777" s="19"/>
      <c r="I777" s="62"/>
      <c r="J777" s="19"/>
    </row>
    <row r="778">
      <c r="A778" s="19" t="str">
        <f>IFERROR(__xludf.DUMMYFUNCTION("""COMPUTED_VALUE"""),"Daniel Mendes")</f>
        <v>Daniel Mendes</v>
      </c>
      <c r="B778" s="19" t="str">
        <f>IFERROR(__xludf.DUMMYFUNCTION("""COMPUTED_VALUE"""),"QLD")</f>
        <v>QLD</v>
      </c>
      <c r="C778" s="5" t="str">
        <f>IFERROR(__xludf.DUMMYFUNCTION("""COMPUTED_VALUE"""),"Pelican Waters")</f>
        <v>Pelican Waters</v>
      </c>
      <c r="D778" s="5" t="str">
        <f>IFERROR(__xludf.DUMMYFUNCTION("""COMPUTED_VALUE"""),"19 undanbi place pelican waters, Pelican waters, 4551")</f>
        <v>19 undanbi place pelican waters, Pelican waters, 4551</v>
      </c>
      <c r="E778" s="27">
        <f>IFERROR(__xludf.DUMMYFUNCTION("""COMPUTED_VALUE"""),45668.0)</f>
        <v>45668</v>
      </c>
      <c r="F778" s="5" t="str">
        <f>IFERROR(__xludf.DUMMYFUNCTION("""COMPUTED_VALUE"""),"Featured")</f>
        <v>Featured</v>
      </c>
      <c r="G778" s="19" t="str">
        <f>IFERROR(__xludf.DUMMYFUNCTION("""COMPUTED_VALUE"""),"Meta Commission Report")</f>
        <v>Meta Commission Report</v>
      </c>
      <c r="H778" s="19" t="str">
        <f>IFERROR(__xludf.DUMMYFUNCTION("""COMPUTED_VALUE"""),"Graham Kroehnert")</f>
        <v>Graham Kroehnert</v>
      </c>
      <c r="I778" s="62"/>
      <c r="J778" s="19"/>
    </row>
    <row r="779">
      <c r="A779" s="19" t="str">
        <f>IFERROR(__xludf.DUMMYFUNCTION("""COMPUTED_VALUE"""),"Daniel Mendes")</f>
        <v>Daniel Mendes</v>
      </c>
      <c r="B779" s="19" t="str">
        <f>IFERROR(__xludf.DUMMYFUNCTION("""COMPUTED_VALUE"""),"QLD")</f>
        <v>QLD</v>
      </c>
      <c r="C779" s="5" t="str">
        <f>IFERROR(__xludf.DUMMYFUNCTION("""COMPUTED_VALUE"""),"Bokarina")</f>
        <v>Bokarina</v>
      </c>
      <c r="D779" s="5" t="str">
        <f>IFERROR(__xludf.DUMMYFUNCTION("""COMPUTED_VALUE"""),"2207/19 Kombi Street Bokarina QLD 4575")</f>
        <v>2207/19 Kombi Street Bokarina QLD 4575</v>
      </c>
      <c r="E779" s="25">
        <f>IFERROR(__xludf.DUMMYFUNCTION("""COMPUTED_VALUE"""),45962.0)</f>
        <v>45962</v>
      </c>
      <c r="F779" s="5">
        <f>IFERROR(__xludf.DUMMYFUNCTION("""COMPUTED_VALUE"""),8.0)</f>
        <v>8</v>
      </c>
      <c r="G779" s="19" t="str">
        <f>IFERROR(__xludf.DUMMYFUNCTION("""COMPUTED_VALUE"""),"Instant Forms")</f>
        <v>Instant Forms</v>
      </c>
      <c r="H779" s="19"/>
      <c r="I779" s="62"/>
      <c r="J779" s="19"/>
    </row>
    <row r="780">
      <c r="A780" s="19" t="str">
        <f>IFERROR(__xludf.DUMMYFUNCTION("""COMPUTED_VALUE"""),"Daniel Mendes")</f>
        <v>Daniel Mendes</v>
      </c>
      <c r="B780" s="19" t="str">
        <f>IFERROR(__xludf.DUMMYFUNCTION("""COMPUTED_VALUE"""),"QLD")</f>
        <v>QLD</v>
      </c>
      <c r="C780" s="5">
        <f>IFERROR(__xludf.DUMMYFUNCTION("""COMPUTED_VALUE"""),4551.0)</f>
        <v>4551</v>
      </c>
      <c r="D780" s="5"/>
      <c r="E780" s="25">
        <f>IFERROR(__xludf.DUMMYFUNCTION("""COMPUTED_VALUE"""),45968.0)</f>
        <v>45968</v>
      </c>
      <c r="F780" s="5">
        <f>IFERROR(__xludf.DUMMYFUNCTION("""COMPUTED_VALUE"""),5.0)</f>
        <v>5</v>
      </c>
      <c r="G780" s="19" t="str">
        <f>IFERROR(__xludf.DUMMYFUNCTION("""COMPUTED_VALUE"""),"Instant Forms")</f>
        <v>Instant Forms</v>
      </c>
      <c r="H780" s="19" t="str">
        <f>IFERROR(__xludf.DUMMYFUNCTION("""COMPUTED_VALUE"""),"Sierra Vegar")</f>
        <v>Sierra Vegar</v>
      </c>
      <c r="I780" s="62">
        <f>IFERROR(__xludf.DUMMYFUNCTION("""COMPUTED_VALUE"""),6.1406923755E10)</f>
        <v>61406923755</v>
      </c>
      <c r="J780" s="19" t="str">
        <f>IFERROR(__xludf.DUMMYFUNCTION("""COMPUTED_VALUE"""),"sierra819@hotmail.com")</f>
        <v>sierra819@hotmail.com</v>
      </c>
    </row>
    <row r="781">
      <c r="A781" s="19" t="str">
        <f>IFERROR(__xludf.DUMMYFUNCTION("""COMPUTED_VALUE"""),"Daniel Mendes")</f>
        <v>Daniel Mendes</v>
      </c>
      <c r="B781" s="19" t="str">
        <f>IFERROR(__xludf.DUMMYFUNCTION("""COMPUTED_VALUE"""),"QLD")</f>
        <v>QLD</v>
      </c>
      <c r="C781" s="5" t="str">
        <f>IFERROR(__xludf.DUMMYFUNCTION("""COMPUTED_VALUE"""),"Caloundra")</f>
        <v>Caloundra</v>
      </c>
      <c r="D781" s="5" t="str">
        <f>IFERROR(__xludf.DUMMYFUNCTION("""COMPUTED_VALUE"""),"509/42 Queen Street Kings Beach QLD 4551")</f>
        <v>509/42 Queen Street Kings Beach QLD 4551</v>
      </c>
      <c r="E781" s="25">
        <f>IFERROR(__xludf.DUMMYFUNCTION("""COMPUTED_VALUE"""),45971.0)</f>
        <v>45971</v>
      </c>
      <c r="F781" s="5">
        <f>IFERROR(__xludf.DUMMYFUNCTION("""COMPUTED_VALUE"""),8.0)</f>
        <v>8</v>
      </c>
      <c r="G781" s="19" t="str">
        <f>IFERROR(__xludf.DUMMYFUNCTION("""COMPUTED_VALUE"""),"Instant Forms")</f>
        <v>Instant Forms</v>
      </c>
      <c r="H781" s="19" t="str">
        <f>IFERROR(__xludf.DUMMYFUNCTION("""COMPUTED_VALUE"""),"Warryn Jones")</f>
        <v>Warryn Jones</v>
      </c>
      <c r="I781" s="62">
        <f>IFERROR(__xludf.DUMMYFUNCTION("""COMPUTED_VALUE"""),6.1419739857E10)</f>
        <v>61419739857</v>
      </c>
      <c r="J781" s="19" t="str">
        <f>IFERROR(__xludf.DUMMYFUNCTION("""COMPUTED_VALUE"""),"Warryn@nerakcom.au")</f>
        <v>Warryn@nerakcom.au</v>
      </c>
    </row>
    <row r="782">
      <c r="A782" s="19" t="str">
        <f>IFERROR(__xludf.DUMMYFUNCTION("""COMPUTED_VALUE"""),"Daniel Mendes")</f>
        <v>Daniel Mendes</v>
      </c>
      <c r="B782" s="19" t="str">
        <f>IFERROR(__xludf.DUMMYFUNCTION("""COMPUTED_VALUE"""),"QLD")</f>
        <v>QLD</v>
      </c>
      <c r="C782" s="5" t="str">
        <f>IFERROR(__xludf.DUMMYFUNCTION("""COMPUTED_VALUE"""),"Wurtulla")</f>
        <v>Wurtulla</v>
      </c>
      <c r="D782" s="5" t="str">
        <f>IFERROR(__xludf.DUMMYFUNCTION("""COMPUTED_VALUE"""),"4 Halyard Drive Wurtulla QLD 4575")</f>
        <v>4 Halyard Drive Wurtulla QLD 4575</v>
      </c>
      <c r="E782" s="25">
        <f>IFERROR(__xludf.DUMMYFUNCTION("""COMPUTED_VALUE"""),45973.0)</f>
        <v>45973</v>
      </c>
      <c r="F782" s="5">
        <f>IFERROR(__xludf.DUMMYFUNCTION("""COMPUTED_VALUE"""),8.0)</f>
        <v>8</v>
      </c>
      <c r="G782" s="19" t="str">
        <f>IFERROR(__xludf.DUMMYFUNCTION("""COMPUTED_VALUE"""),"Instant Forms")</f>
        <v>Instant Forms</v>
      </c>
      <c r="H782" s="19" t="str">
        <f>IFERROR(__xludf.DUMMYFUNCTION("""COMPUTED_VALUE"""),"Zara")</f>
        <v>Zara</v>
      </c>
      <c r="I782" s="62">
        <f>IFERROR(__xludf.DUMMYFUNCTION("""COMPUTED_VALUE"""),6.1450520871E10)</f>
        <v>61450520871</v>
      </c>
      <c r="J782" s="19" t="str">
        <f>IFERROR(__xludf.DUMMYFUNCTION("""COMPUTED_VALUE"""),"zarayoung187@gmail.com")</f>
        <v>zarayoung187@gmail.com</v>
      </c>
    </row>
    <row r="783">
      <c r="A783" s="19" t="str">
        <f>IFERROR(__xludf.DUMMYFUNCTION("""COMPUTED_VALUE"""),"Daniel Mendes")</f>
        <v>Daniel Mendes</v>
      </c>
      <c r="B783" s="19" t="str">
        <f>IFERROR(__xludf.DUMMYFUNCTION("""COMPUTED_VALUE"""),"QLD")</f>
        <v>QLD</v>
      </c>
      <c r="C783" s="5" t="str">
        <f>IFERROR(__xludf.DUMMYFUNCTION("""COMPUTED_VALUE"""),"Meridan Plains")</f>
        <v>Meridan Plains</v>
      </c>
      <c r="D783" s="5" t="str">
        <f>IFERROR(__xludf.DUMMYFUNCTION("""COMPUTED_VALUE"""),"7 Bolwarra Place Meridan Plains QLD 4551")</f>
        <v>7 Bolwarra Place Meridan Plains QLD 4551</v>
      </c>
      <c r="E783" s="25">
        <f>IFERROR(__xludf.DUMMYFUNCTION("""COMPUTED_VALUE"""),45974.0)</f>
        <v>45974</v>
      </c>
      <c r="F783" s="5">
        <f>IFERROR(__xludf.DUMMYFUNCTION("""COMPUTED_VALUE"""),8.0)</f>
        <v>8</v>
      </c>
      <c r="G783" s="19" t="str">
        <f>IFERROR(__xludf.DUMMYFUNCTION("""COMPUTED_VALUE"""),"Instant Forms")</f>
        <v>Instant Forms</v>
      </c>
      <c r="H783" s="19" t="str">
        <f>IFERROR(__xludf.DUMMYFUNCTION("""COMPUTED_VALUE"""),"Leanne Robyn Macbeth")</f>
        <v>Leanne Robyn Macbeth</v>
      </c>
      <c r="I783" s="62">
        <f>IFERROR(__xludf.DUMMYFUNCTION("""COMPUTED_VALUE"""),6.1407312102E10)</f>
        <v>61407312102</v>
      </c>
      <c r="J783" s="19" t="str">
        <f>IFERROR(__xludf.DUMMYFUNCTION("""COMPUTED_VALUE"""),"misslea253@gmail.com")</f>
        <v>misslea253@gmail.com</v>
      </c>
    </row>
    <row r="784">
      <c r="A784" s="19" t="str">
        <f>IFERROR(__xludf.DUMMYFUNCTION("""COMPUTED_VALUE"""),"Daniel Mendes")</f>
        <v>Daniel Mendes</v>
      </c>
      <c r="B784" s="19" t="str">
        <f>IFERROR(__xludf.DUMMYFUNCTION("""COMPUTED_VALUE"""),"QLD")</f>
        <v>QLD</v>
      </c>
      <c r="C784" s="5" t="str">
        <f>IFERROR(__xludf.DUMMYFUNCTION("""COMPUTED_VALUE"""),"Golden beach")</f>
        <v>Golden beach</v>
      </c>
      <c r="D784" s="5"/>
      <c r="E784" s="25">
        <f>IFERROR(__xludf.DUMMYFUNCTION("""COMPUTED_VALUE"""),45977.0)</f>
        <v>45977</v>
      </c>
      <c r="F784" s="5">
        <f>IFERROR(__xludf.DUMMYFUNCTION("""COMPUTED_VALUE"""),5.0)</f>
        <v>5</v>
      </c>
      <c r="G784" s="19" t="str">
        <f>IFERROR(__xludf.DUMMYFUNCTION("""COMPUTED_VALUE"""),"Instant Forms")</f>
        <v>Instant Forms</v>
      </c>
      <c r="H784" s="19" t="str">
        <f>IFERROR(__xludf.DUMMYFUNCTION("""COMPUTED_VALUE"""),"Cassie Anne")</f>
        <v>Cassie Anne</v>
      </c>
      <c r="I784" s="62">
        <f>IFERROR(__xludf.DUMMYFUNCTION("""COMPUTED_VALUE"""),6.1432274798E10)</f>
        <v>61432274798</v>
      </c>
      <c r="J784" s="19" t="str">
        <f>IFERROR(__xludf.DUMMYFUNCTION("""COMPUTED_VALUE"""),"content.cassiecross@gmail.com")</f>
        <v>content.cassiecross@gmail.com</v>
      </c>
    </row>
    <row r="785">
      <c r="A785" s="19" t="str">
        <f>IFERROR(__xludf.DUMMYFUNCTION("""COMPUTED_VALUE"""),"Daniel Mendes")</f>
        <v>Daniel Mendes</v>
      </c>
      <c r="B785" s="19" t="str">
        <f>IFERROR(__xludf.DUMMYFUNCTION("""COMPUTED_VALUE"""),"QLD")</f>
        <v>QLD</v>
      </c>
      <c r="C785" s="5" t="str">
        <f>IFERROR(__xludf.DUMMYFUNCTION("""COMPUTED_VALUE"""),"Aroona")</f>
        <v>Aroona</v>
      </c>
      <c r="D785" s="5" t="str">
        <f>IFERROR(__xludf.DUMMYFUNCTION("""COMPUTED_VALUE"""),"6 Rathdowney Avenue, Aroona 4551, 4551")</f>
        <v>6 Rathdowney Avenue, Aroona 4551, 4551</v>
      </c>
      <c r="E785" s="5" t="str">
        <f>IFERROR(__xludf.DUMMYFUNCTION("""COMPUTED_VALUE"""),"29/11/2025")</f>
        <v>29/11/2025</v>
      </c>
      <c r="F785" s="64">
        <f>IFERROR(__xludf.DUMMYFUNCTION("""COMPUTED_VALUE"""),0.2)</f>
        <v>0.2</v>
      </c>
      <c r="G785" s="19" t="str">
        <f>IFERROR(__xludf.DUMMYFUNCTION("""COMPUTED_VALUE"""),"Meta Commission Report")</f>
        <v>Meta Commission Report</v>
      </c>
      <c r="H785" s="19" t="str">
        <f>IFERROR(__xludf.DUMMYFUNCTION("""COMPUTED_VALUE"""),"Manfred Franklin")</f>
        <v>Manfred Franklin</v>
      </c>
      <c r="I785" s="62">
        <f>IFERROR(__xludf.DUMMYFUNCTION("""COMPUTED_VALUE"""),6.1407540367E10)</f>
        <v>61407540367</v>
      </c>
      <c r="J785" s="19" t="str">
        <f>IFERROR(__xludf.DUMMYFUNCTION("""COMPUTED_VALUE"""),"40mannie@gmail.com")</f>
        <v>40mannie@gmail.com</v>
      </c>
    </row>
    <row r="786">
      <c r="A786" s="19" t="str">
        <f>IFERROR(__xludf.DUMMYFUNCTION("""COMPUTED_VALUE"""),"Daniel Mendes")</f>
        <v>Daniel Mendes</v>
      </c>
      <c r="B786" s="19" t="str">
        <f>IFERROR(__xludf.DUMMYFUNCTION("""COMPUTED_VALUE"""),"QLD")</f>
        <v>QLD</v>
      </c>
      <c r="C786" s="5" t="str">
        <f>IFERROR(__xludf.DUMMYFUNCTION("""COMPUTED_VALUE"""),"Nirimba")</f>
        <v>Nirimba</v>
      </c>
      <c r="D786" s="5" t="str">
        <f>IFERROR(__xludf.DUMMYFUNCTION("""COMPUTED_VALUE"""),"24 Tayha Crescent Nirimba QLD 4551")</f>
        <v>24 Tayha Crescent Nirimba QLD 4551</v>
      </c>
      <c r="E786" s="27">
        <f>IFERROR(__xludf.DUMMYFUNCTION("""COMPUTED_VALUE"""),45728.0)</f>
        <v>45728</v>
      </c>
      <c r="F786" s="64">
        <f>IFERROR(__xludf.DUMMYFUNCTION("""COMPUTED_VALUE"""),0.2)</f>
        <v>0.2</v>
      </c>
      <c r="G786" s="19" t="str">
        <f>IFERROR(__xludf.DUMMYFUNCTION("""COMPUTED_VALUE"""),"Instant Forms")</f>
        <v>Instant Forms</v>
      </c>
      <c r="H786" s="19" t="str">
        <f>IFERROR(__xludf.DUMMYFUNCTION("""COMPUTED_VALUE"""),"Susie Patey")</f>
        <v>Susie Patey</v>
      </c>
      <c r="I786" s="62">
        <f>IFERROR(__xludf.DUMMYFUNCTION("""COMPUTED_VALUE"""),6.1423546722E10)</f>
        <v>61423546722</v>
      </c>
      <c r="J786" s="19" t="str">
        <f>IFERROR(__xludf.DUMMYFUNCTION("""COMPUTED_VALUE"""),"suzeepatey@gmail.com")</f>
        <v>suzeepatey@gmail.com</v>
      </c>
    </row>
    <row r="787">
      <c r="A787" s="19" t="str">
        <f>IFERROR(__xludf.DUMMYFUNCTION("""COMPUTED_VALUE"""),"")</f>
        <v/>
      </c>
      <c r="B787" s="19" t="str">
        <f>IFERROR(__xludf.DUMMYFUNCTION("""COMPUTED_VALUE"""),"")</f>
        <v/>
      </c>
      <c r="C787" s="5" t="str">
        <f>IFERROR(__xludf.DUMMYFUNCTION("""COMPUTED_VALUE"""),"")</f>
        <v/>
      </c>
      <c r="D787" s="5" t="str">
        <f>IFERROR(__xludf.DUMMYFUNCTION("""COMPUTED_VALUE"""),"")</f>
        <v/>
      </c>
      <c r="E787" s="5" t="str">
        <f>IFERROR(__xludf.DUMMYFUNCTION("""COMPUTED_VALUE"""),"")</f>
        <v/>
      </c>
      <c r="F787" s="5" t="str">
        <f>IFERROR(__xludf.DUMMYFUNCTION("""COMPUTED_VALUE"""),"")</f>
        <v/>
      </c>
      <c r="G787" s="19" t="str">
        <f>IFERROR(__xludf.DUMMYFUNCTION("""COMPUTED_VALUE"""),"")</f>
        <v/>
      </c>
      <c r="H787" s="19" t="str">
        <f>IFERROR(__xludf.DUMMYFUNCTION("""COMPUTED_VALUE"""),"")</f>
        <v/>
      </c>
      <c r="I787" s="62" t="str">
        <f>IFERROR(__xludf.DUMMYFUNCTION("""COMPUTED_VALUE"""),"")</f>
        <v/>
      </c>
      <c r="J787" s="19" t="str">
        <f>IFERROR(__xludf.DUMMYFUNCTION("""COMPUTED_VALUE"""),"")</f>
        <v/>
      </c>
    </row>
    <row r="788">
      <c r="A788" s="19" t="str">
        <f>IFERROR(__xludf.DUMMYFUNCTION("""COMPUTED_VALUE"""),"")</f>
        <v/>
      </c>
      <c r="B788" s="19" t="str">
        <f>IFERROR(__xludf.DUMMYFUNCTION("""COMPUTED_VALUE"""),"")</f>
        <v/>
      </c>
      <c r="C788" s="5" t="str">
        <f>IFERROR(__xludf.DUMMYFUNCTION("""COMPUTED_VALUE"""),"")</f>
        <v/>
      </c>
      <c r="D788" s="5" t="str">
        <f>IFERROR(__xludf.DUMMYFUNCTION("""COMPUTED_VALUE"""),"")</f>
        <v/>
      </c>
      <c r="E788" s="5" t="str">
        <f>IFERROR(__xludf.DUMMYFUNCTION("""COMPUTED_VALUE"""),"")</f>
        <v/>
      </c>
      <c r="F788" s="5" t="str">
        <f>IFERROR(__xludf.DUMMYFUNCTION("""COMPUTED_VALUE"""),"")</f>
        <v/>
      </c>
      <c r="G788" s="19" t="str">
        <f>IFERROR(__xludf.DUMMYFUNCTION("""COMPUTED_VALUE"""),"")</f>
        <v/>
      </c>
      <c r="H788" s="19" t="str">
        <f>IFERROR(__xludf.DUMMYFUNCTION("""COMPUTED_VALUE"""),"")</f>
        <v/>
      </c>
      <c r="I788" s="62" t="str">
        <f>IFERROR(__xludf.DUMMYFUNCTION("""COMPUTED_VALUE"""),"")</f>
        <v/>
      </c>
      <c r="J788" s="19" t="str">
        <f>IFERROR(__xludf.DUMMYFUNCTION("""COMPUTED_VALUE"""),"")</f>
        <v/>
      </c>
    </row>
    <row r="789">
      <c r="A789" s="19" t="str">
        <f>IFERROR(__xludf.DUMMYFUNCTION("""COMPUTED_VALUE"""),"Daniel Sacco")</f>
        <v>Daniel Sacco</v>
      </c>
      <c r="B789" s="19" t="str">
        <f>IFERROR(__xludf.DUMMYFUNCTION("""COMPUTED_VALUE"""),"VIC")</f>
        <v>VIC</v>
      </c>
      <c r="C789" s="5" t="str">
        <f>IFERROR(__xludf.DUMMYFUNCTION("""COMPUTED_VALUE"""),"Greenvale")</f>
        <v>Greenvale</v>
      </c>
      <c r="D789" s="5"/>
      <c r="E789" s="25">
        <f>IFERROR(__xludf.DUMMYFUNCTION("""COMPUTED_VALUE"""),45904.0)</f>
        <v>45904</v>
      </c>
      <c r="F789" s="5" t="str">
        <f>IFERROR(__xludf.DUMMYFUNCTION("""COMPUTED_VALUE"""),"Free")</f>
        <v>Free</v>
      </c>
      <c r="G789" s="19" t="str">
        <f>IFERROR(__xludf.DUMMYFUNCTION("""COMPUTED_VALUE"""),"Instant Forms")</f>
        <v>Instant Forms</v>
      </c>
      <c r="H789" s="19"/>
      <c r="I789" s="62"/>
      <c r="J789" s="19"/>
    </row>
    <row r="790">
      <c r="A790" s="19" t="str">
        <f>IFERROR(__xludf.DUMMYFUNCTION("""COMPUTED_VALUE"""),"Daniel Sacco")</f>
        <v>Daniel Sacco</v>
      </c>
      <c r="B790" s="19" t="str">
        <f>IFERROR(__xludf.DUMMYFUNCTION("""COMPUTED_VALUE"""),"VIC")</f>
        <v>VIC</v>
      </c>
      <c r="C790" s="5" t="str">
        <f>IFERROR(__xludf.DUMMYFUNCTION("""COMPUTED_VALUE"""),"Craigieburn")</f>
        <v>Craigieburn</v>
      </c>
      <c r="D790" s="5"/>
      <c r="E790" s="25">
        <f>IFERROR(__xludf.DUMMYFUNCTION("""COMPUTED_VALUE"""),45905.0)</f>
        <v>45905</v>
      </c>
      <c r="F790" s="5" t="str">
        <f>IFERROR(__xludf.DUMMYFUNCTION("""COMPUTED_VALUE"""),"Featured")</f>
        <v>Featured</v>
      </c>
      <c r="G790" s="19" t="str">
        <f>IFERROR(__xludf.DUMMYFUNCTION("""COMPUTED_VALUE"""),"Instant Forms")</f>
        <v>Instant Forms</v>
      </c>
      <c r="H790" s="19"/>
      <c r="I790" s="62"/>
      <c r="J790" s="19"/>
    </row>
    <row r="791">
      <c r="A791" s="19" t="str">
        <f>IFERROR(__xludf.DUMMYFUNCTION("""COMPUTED_VALUE"""),"Daniel Sacco")</f>
        <v>Daniel Sacco</v>
      </c>
      <c r="B791" s="19" t="str">
        <f>IFERROR(__xludf.DUMMYFUNCTION("""COMPUTED_VALUE"""),"VIC")</f>
        <v>VIC</v>
      </c>
      <c r="C791" s="5" t="str">
        <f>IFERROR(__xludf.DUMMYFUNCTION("""COMPUTED_VALUE"""),"Reservoir")</f>
        <v>Reservoir</v>
      </c>
      <c r="D791" s="5"/>
      <c r="E791" s="25">
        <f>IFERROR(__xludf.DUMMYFUNCTION("""COMPUTED_VALUE"""),45908.0)</f>
        <v>45908</v>
      </c>
      <c r="F791" s="5" t="str">
        <f>IFERROR(__xludf.DUMMYFUNCTION("""COMPUTED_VALUE"""),"Free")</f>
        <v>Free</v>
      </c>
      <c r="G791" s="19" t="str">
        <f>IFERROR(__xludf.DUMMYFUNCTION("""COMPUTED_VALUE"""),"Instant Forms")</f>
        <v>Instant Forms</v>
      </c>
      <c r="H791" s="19"/>
      <c r="I791" s="62"/>
      <c r="J791" s="19"/>
    </row>
    <row r="792">
      <c r="A792" s="19" t="str">
        <f>IFERROR(__xludf.DUMMYFUNCTION("""COMPUTED_VALUE"""),"Daniel Sacco")</f>
        <v>Daniel Sacco</v>
      </c>
      <c r="B792" s="19" t="str">
        <f>IFERROR(__xludf.DUMMYFUNCTION("""COMPUTED_VALUE"""),"VIC")</f>
        <v>VIC</v>
      </c>
      <c r="C792" s="5" t="str">
        <f>IFERROR(__xludf.DUMMYFUNCTION("""COMPUTED_VALUE"""),"Mickleham")</f>
        <v>Mickleham</v>
      </c>
      <c r="D792" s="5" t="str">
        <f>IFERROR(__xludf.DUMMYFUNCTION("""COMPUTED_VALUE"""),"15 Cooinda Avenue Mickleham VIC 3064")</f>
        <v>15 Cooinda Avenue Mickleham VIC 3064</v>
      </c>
      <c r="E792" s="25">
        <f>IFERROR(__xludf.DUMMYFUNCTION("""COMPUTED_VALUE"""),45908.0)</f>
        <v>45908</v>
      </c>
      <c r="F792" s="5" t="str">
        <f>IFERROR(__xludf.DUMMYFUNCTION("""COMPUTED_VALUE"""),"Featured")</f>
        <v>Featured</v>
      </c>
      <c r="G792" s="19" t="str">
        <f>IFERROR(__xludf.DUMMYFUNCTION("""COMPUTED_VALUE"""),"Instant Forms")</f>
        <v>Instant Forms</v>
      </c>
      <c r="H792" s="19"/>
      <c r="I792" s="62"/>
      <c r="J792" s="19"/>
    </row>
    <row r="793">
      <c r="A793" s="19" t="str">
        <f>IFERROR(__xludf.DUMMYFUNCTION("""COMPUTED_VALUE"""),"Daniel Sacco")</f>
        <v>Daniel Sacco</v>
      </c>
      <c r="B793" s="19" t="str">
        <f>IFERROR(__xludf.DUMMYFUNCTION("""COMPUTED_VALUE"""),"VIC")</f>
        <v>VIC</v>
      </c>
      <c r="C793" s="5" t="str">
        <f>IFERROR(__xludf.DUMMYFUNCTION("""COMPUTED_VALUE"""),"Mickleham")</f>
        <v>Mickleham</v>
      </c>
      <c r="D793" s="5" t="str">
        <f>IFERROR(__xludf.DUMMYFUNCTION("""COMPUTED_VALUE"""),"11 Keysborough Street Craigieburn VIC 3064")</f>
        <v>11 Keysborough Street Craigieburn VIC 3064</v>
      </c>
      <c r="E793" s="25">
        <f>IFERROR(__xludf.DUMMYFUNCTION("""COMPUTED_VALUE"""),45908.0)</f>
        <v>45908</v>
      </c>
      <c r="F793" s="5" t="str">
        <f>IFERROR(__xludf.DUMMYFUNCTION("""COMPUTED_VALUE"""),"Featured")</f>
        <v>Featured</v>
      </c>
      <c r="G793" s="19" t="str">
        <f>IFERROR(__xludf.DUMMYFUNCTION("""COMPUTED_VALUE"""),"Instant Forms")</f>
        <v>Instant Forms</v>
      </c>
      <c r="H793" s="19"/>
      <c r="I793" s="62"/>
      <c r="J793" s="19"/>
    </row>
    <row r="794">
      <c r="A794" s="19" t="str">
        <f>IFERROR(__xludf.DUMMYFUNCTION("""COMPUTED_VALUE"""),"Daniel Sacco")</f>
        <v>Daniel Sacco</v>
      </c>
      <c r="B794" s="19" t="str">
        <f>IFERROR(__xludf.DUMMYFUNCTION("""COMPUTED_VALUE"""),"VIC")</f>
        <v>VIC</v>
      </c>
      <c r="C794" s="5" t="str">
        <f>IFERROR(__xludf.DUMMYFUNCTION("""COMPUTED_VALUE"""),"Epping")</f>
        <v>Epping</v>
      </c>
      <c r="D794" s="5"/>
      <c r="E794" s="25">
        <f>IFERROR(__xludf.DUMMYFUNCTION("""COMPUTED_VALUE"""),45918.0)</f>
        <v>45918</v>
      </c>
      <c r="F794" s="5">
        <f>IFERROR(__xludf.DUMMYFUNCTION("""COMPUTED_VALUE"""),6.0)</f>
        <v>6</v>
      </c>
      <c r="G794" s="19" t="str">
        <f>IFERROR(__xludf.DUMMYFUNCTION("""COMPUTED_VALUE"""),"Instant Forms")</f>
        <v>Instant Forms</v>
      </c>
      <c r="H794" s="19" t="str">
        <f>IFERROR(__xludf.DUMMYFUNCTION("""COMPUTED_VALUE"""),"Zac Josevski")</f>
        <v>Zac Josevski</v>
      </c>
      <c r="I794" s="62"/>
      <c r="J794" s="19"/>
    </row>
    <row r="795">
      <c r="A795" s="19" t="str">
        <f>IFERROR(__xludf.DUMMYFUNCTION("""COMPUTED_VALUE"""),"Daniel Sacco")</f>
        <v>Daniel Sacco</v>
      </c>
      <c r="B795" s="19" t="str">
        <f>IFERROR(__xludf.DUMMYFUNCTION("""COMPUTED_VALUE"""),"VIC")</f>
        <v>VIC</v>
      </c>
      <c r="C795" s="5" t="str">
        <f>IFERROR(__xludf.DUMMYFUNCTION("""COMPUTED_VALUE"""),"meadow heights")</f>
        <v>meadow heights</v>
      </c>
      <c r="D795" s="5" t="str">
        <f>IFERROR(__xludf.DUMMYFUNCTION("""COMPUTED_VALUE"""),"17 Bronco Court MEADOW HEIGHTS VIC 3048")</f>
        <v>17 Bronco Court MEADOW HEIGHTS VIC 3048</v>
      </c>
      <c r="E795" s="25">
        <f>IFERROR(__xludf.DUMMYFUNCTION("""COMPUTED_VALUE"""),45921.0)</f>
        <v>45921</v>
      </c>
      <c r="F795" s="5">
        <f>IFERROR(__xludf.DUMMYFUNCTION("""COMPUTED_VALUE"""),8.0)</f>
        <v>8</v>
      </c>
      <c r="G795" s="19" t="str">
        <f>IFERROR(__xludf.DUMMYFUNCTION("""COMPUTED_VALUE"""),"Instant Forms")</f>
        <v>Instant Forms</v>
      </c>
      <c r="H795" s="19" t="str">
        <f>IFERROR(__xludf.DUMMYFUNCTION("""COMPUTED_VALUE"""),"Michael Ioannou")</f>
        <v>Michael Ioannou</v>
      </c>
      <c r="I795" s="62"/>
      <c r="J795" s="19"/>
    </row>
    <row r="796">
      <c r="A796" s="19" t="str">
        <f>IFERROR(__xludf.DUMMYFUNCTION("""COMPUTED_VALUE"""),"Daniel Sacco")</f>
        <v>Daniel Sacco</v>
      </c>
      <c r="B796" s="19" t="str">
        <f>IFERROR(__xludf.DUMMYFUNCTION("""COMPUTED_VALUE"""),"VIC")</f>
        <v>VIC</v>
      </c>
      <c r="C796" s="5" t="str">
        <f>IFERROR(__xludf.DUMMYFUNCTION("""COMPUTED_VALUE"""),"pascoe vale")</f>
        <v>pascoe vale</v>
      </c>
      <c r="D796" s="5" t="str">
        <f>IFERROR(__xludf.DUMMYFUNCTION("""COMPUTED_VALUE"""),"2/15 Rhodes Parade Pascoe Vale VIC 3044")</f>
        <v>2/15 Rhodes Parade Pascoe Vale VIC 3044</v>
      </c>
      <c r="E796" s="25">
        <f>IFERROR(__xludf.DUMMYFUNCTION("""COMPUTED_VALUE"""),45923.0)</f>
        <v>45923</v>
      </c>
      <c r="F796" s="5">
        <f>IFERROR(__xludf.DUMMYFUNCTION("""COMPUTED_VALUE"""),8.0)</f>
        <v>8</v>
      </c>
      <c r="G796" s="19" t="str">
        <f>IFERROR(__xludf.DUMMYFUNCTION("""COMPUTED_VALUE"""),"Instant Forms")</f>
        <v>Instant Forms</v>
      </c>
      <c r="H796" s="19" t="str">
        <f>IFERROR(__xludf.DUMMYFUNCTION("""COMPUTED_VALUE"""),"Karina Sjk")</f>
        <v>Karina Sjk</v>
      </c>
      <c r="I796" s="62"/>
      <c r="J796" s="19"/>
    </row>
    <row r="797">
      <c r="A797" s="19" t="str">
        <f>IFERROR(__xludf.DUMMYFUNCTION("""COMPUTED_VALUE"""),"Daniel Sacco")</f>
        <v>Daniel Sacco</v>
      </c>
      <c r="B797" s="19" t="str">
        <f>IFERROR(__xludf.DUMMYFUNCTION("""COMPUTED_VALUE"""),"VIC")</f>
        <v>VIC</v>
      </c>
      <c r="C797" s="5" t="str">
        <f>IFERROR(__xludf.DUMMYFUNCTION("""COMPUTED_VALUE"""),"Mill park")</f>
        <v>Mill park</v>
      </c>
      <c r="D797" s="5" t="str">
        <f>IFERROR(__xludf.DUMMYFUNCTION("""COMPUTED_VALUE"""),"13 Randell Court Mill Park VIC 3082")</f>
        <v>13 Randell Court Mill Park VIC 3082</v>
      </c>
      <c r="E797" s="25">
        <f>IFERROR(__xludf.DUMMYFUNCTION("""COMPUTED_VALUE"""),45928.0)</f>
        <v>45928</v>
      </c>
      <c r="F797" s="5">
        <f>IFERROR(__xludf.DUMMYFUNCTION("""COMPUTED_VALUE"""),8.0)</f>
        <v>8</v>
      </c>
      <c r="G797" s="19" t="str">
        <f>IFERROR(__xludf.DUMMYFUNCTION("""COMPUTED_VALUE"""),"Instant Forms")</f>
        <v>Instant Forms</v>
      </c>
      <c r="H797" s="19" t="str">
        <f>IFERROR(__xludf.DUMMYFUNCTION("""COMPUTED_VALUE"""),"Ben Gloria")</f>
        <v>Ben Gloria</v>
      </c>
      <c r="I797" s="62"/>
      <c r="J797" s="19"/>
    </row>
    <row r="798">
      <c r="A798" s="19" t="str">
        <f>IFERROR(__xludf.DUMMYFUNCTION("""COMPUTED_VALUE"""),"Daniel Sacco")</f>
        <v>Daniel Sacco</v>
      </c>
      <c r="B798" s="19" t="str">
        <f>IFERROR(__xludf.DUMMYFUNCTION("""COMPUTED_VALUE"""),"VIC")</f>
        <v>VIC</v>
      </c>
      <c r="C798" s="5" t="str">
        <f>IFERROR(__xludf.DUMMYFUNCTION("""COMPUTED_VALUE"""),"Broadmeadows")</f>
        <v>Broadmeadows</v>
      </c>
      <c r="D798" s="5" t="str">
        <f>IFERROR(__xludf.DUMMYFUNCTION("""COMPUTED_VALUE"""),"4 Lowan Court Dallas VIC 3047")</f>
        <v>4 Lowan Court Dallas VIC 3047</v>
      </c>
      <c r="E798" s="25">
        <f>IFERROR(__xludf.DUMMYFUNCTION("""COMPUTED_VALUE"""),45928.0)</f>
        <v>45928</v>
      </c>
      <c r="F798" s="5">
        <f>IFERROR(__xludf.DUMMYFUNCTION("""COMPUTED_VALUE"""),8.0)</f>
        <v>8</v>
      </c>
      <c r="G798" s="19" t="str">
        <f>IFERROR(__xludf.DUMMYFUNCTION("""COMPUTED_VALUE"""),"Instant Forms")</f>
        <v>Instant Forms</v>
      </c>
      <c r="H798" s="19" t="str">
        <f>IFERROR(__xludf.DUMMYFUNCTION("""COMPUTED_VALUE"""),"Cathrine Attard")</f>
        <v>Cathrine Attard</v>
      </c>
      <c r="I798" s="62"/>
      <c r="J798" s="19"/>
    </row>
    <row r="799">
      <c r="A799" s="19" t="str">
        <f>IFERROR(__xludf.DUMMYFUNCTION("""COMPUTED_VALUE"""),"Daniel Sacco")</f>
        <v>Daniel Sacco</v>
      </c>
      <c r="B799" s="19" t="str">
        <f>IFERROR(__xludf.DUMMYFUNCTION("""COMPUTED_VALUE"""),"VIC")</f>
        <v>VIC</v>
      </c>
      <c r="C799" s="5" t="str">
        <f>IFERROR(__xludf.DUMMYFUNCTION("""COMPUTED_VALUE"""),"Craigieburn")</f>
        <v>Craigieburn</v>
      </c>
      <c r="D799" s="5" t="str">
        <f>IFERROR(__xludf.DUMMYFUNCTION("""COMPUTED_VALUE"""),"58 Wattleglen Street, Craigieburn, VIC, 3064, Australia")</f>
        <v>58 Wattleglen Street, Craigieburn, VIC, 3064, Australia</v>
      </c>
      <c r="E799" s="27">
        <f>IFERROR(__xludf.DUMMYFUNCTION("""COMPUTED_VALUE"""),45879.0)</f>
        <v>45879</v>
      </c>
      <c r="F799" s="5" t="str">
        <f>IFERROR(__xludf.DUMMYFUNCTION("""COMPUTED_VALUE"""),"Featured")</f>
        <v>Featured</v>
      </c>
      <c r="G799" s="19"/>
      <c r="H799" s="19"/>
      <c r="I799" s="62"/>
      <c r="J799" s="19"/>
    </row>
    <row r="800">
      <c r="A800" s="19" t="str">
        <f>IFERROR(__xludf.DUMMYFUNCTION("""COMPUTED_VALUE"""),"Daniel Sacco")</f>
        <v>Daniel Sacco</v>
      </c>
      <c r="B800" s="19" t="str">
        <f>IFERROR(__xludf.DUMMYFUNCTION("""COMPUTED_VALUE"""),"VIC")</f>
        <v>VIC</v>
      </c>
      <c r="C800" s="5" t="str">
        <f>IFERROR(__xludf.DUMMYFUNCTION("""COMPUTED_VALUE"""),"Attwood")</f>
        <v>Attwood</v>
      </c>
      <c r="D800" s="5" t="str">
        <f>IFERROR(__xludf.DUMMYFUNCTION("""COMPUTED_VALUE"""),"2 The Crest, Attwood, VIC, 3049, Australia")</f>
        <v>2 The Crest, Attwood, VIC, 3049, Australia</v>
      </c>
      <c r="E800" s="25" t="str">
        <f>IFERROR(__xludf.DUMMYFUNCTION("""COMPUTED_VALUE"""),"14/10/2025")</f>
        <v>14/10/2025</v>
      </c>
      <c r="F800" s="5" t="str">
        <f>IFERROR(__xludf.DUMMYFUNCTION("""COMPUTED_VALUE"""),"Featured")</f>
        <v>Featured</v>
      </c>
      <c r="G800" s="19"/>
      <c r="H800" s="19"/>
      <c r="I800" s="62"/>
      <c r="J800" s="19"/>
    </row>
    <row r="801">
      <c r="A801" s="19" t="str">
        <f>IFERROR(__xludf.DUMMYFUNCTION("""COMPUTED_VALUE"""),"Daniel Sacco")</f>
        <v>Daniel Sacco</v>
      </c>
      <c r="B801" s="19" t="str">
        <f>IFERROR(__xludf.DUMMYFUNCTION("""COMPUTED_VALUE"""),"VIC")</f>
        <v>VIC</v>
      </c>
      <c r="C801" s="5" t="str">
        <f>IFERROR(__xludf.DUMMYFUNCTION("""COMPUTED_VALUE"""),"Attwood Victoria")</f>
        <v>Attwood Victoria</v>
      </c>
      <c r="D801" s="5" t="str">
        <f>IFERROR(__xludf.DUMMYFUNCTION("""COMPUTED_VALUE"""),"2, The Crest, Attwood 3049. Victoria")</f>
        <v>2, The Crest, Attwood 3049. Victoria</v>
      </c>
      <c r="E801" s="25">
        <f>IFERROR(__xludf.DUMMYFUNCTION("""COMPUTED_VALUE"""),45943.0)</f>
        <v>45943</v>
      </c>
      <c r="F801" s="5" t="str">
        <f>IFERROR(__xludf.DUMMYFUNCTION("""COMPUTED_VALUE"""),"Featured")</f>
        <v>Featured</v>
      </c>
      <c r="G801" s="19" t="str">
        <f>IFERROR(__xludf.DUMMYFUNCTION("""COMPUTED_VALUE"""),"Commission Comparison")</f>
        <v>Commission Comparison</v>
      </c>
      <c r="H801" s="19"/>
      <c r="I801" s="62"/>
      <c r="J801" s="19"/>
    </row>
    <row r="802">
      <c r="A802" s="19" t="str">
        <f>IFERROR(__xludf.DUMMYFUNCTION("""COMPUTED_VALUE"""),"Daniel Sacco")</f>
        <v>Daniel Sacco</v>
      </c>
      <c r="B802" s="19" t="str">
        <f>IFERROR(__xludf.DUMMYFUNCTION("""COMPUTED_VALUE"""),"VIC")</f>
        <v>VIC</v>
      </c>
      <c r="C802" s="5" t="str">
        <f>IFERROR(__xludf.DUMMYFUNCTION("""COMPUTED_VALUE"""),"Craigieburn")</f>
        <v>Craigieburn</v>
      </c>
      <c r="D802" s="5" t="str">
        <f>IFERROR(__xludf.DUMMYFUNCTION("""COMPUTED_VALUE"""),"18 Midhurst Court, Craigieburn, VIC, 3064, Australia")</f>
        <v>18 Midhurst Court, Craigieburn, VIC, 3064, Australia</v>
      </c>
      <c r="E802" s="25" t="str">
        <f>IFERROR(__xludf.DUMMYFUNCTION("""COMPUTED_VALUE"""),"20/10/2025")</f>
        <v>20/10/2025</v>
      </c>
      <c r="F802" s="5" t="str">
        <f>IFERROR(__xludf.DUMMYFUNCTION("""COMPUTED_VALUE"""),"Featured")</f>
        <v>Featured</v>
      </c>
      <c r="G802" s="19"/>
      <c r="H802" s="19"/>
      <c r="I802" s="62"/>
      <c r="J802" s="19"/>
    </row>
    <row r="803">
      <c r="A803" s="19" t="str">
        <f>IFERROR(__xludf.DUMMYFUNCTION("""COMPUTED_VALUE"""),"Daniel Sacco")</f>
        <v>Daniel Sacco</v>
      </c>
      <c r="B803" s="19" t="str">
        <f>IFERROR(__xludf.DUMMYFUNCTION("""COMPUTED_VALUE"""),"VIC")</f>
        <v>VIC</v>
      </c>
      <c r="C803" s="5" t="str">
        <f>IFERROR(__xludf.DUMMYFUNCTION("""COMPUTED_VALUE"""),"Craigieburn")</f>
        <v>Craigieburn</v>
      </c>
      <c r="D803" s="5" t="str">
        <f>IFERROR(__xludf.DUMMYFUNCTION("""COMPUTED_VALUE"""),"12 Hamilton Hume Parade Craigieburn VIC 3064")</f>
        <v>12 Hamilton Hume Parade Craigieburn VIC 3064</v>
      </c>
      <c r="E803" s="25">
        <f>IFERROR(__xludf.DUMMYFUNCTION("""COMPUTED_VALUE"""),45953.0)</f>
        <v>45953</v>
      </c>
      <c r="F803" s="5">
        <f>IFERROR(__xludf.DUMMYFUNCTION("""COMPUTED_VALUE"""),8.0)</f>
        <v>8</v>
      </c>
      <c r="G803" s="19" t="str">
        <f>IFERROR(__xludf.DUMMYFUNCTION("""COMPUTED_VALUE"""),"Instant Forms")</f>
        <v>Instant Forms</v>
      </c>
      <c r="H803" s="19"/>
      <c r="I803" s="62"/>
      <c r="J803" s="19"/>
    </row>
    <row r="804">
      <c r="A804" s="19" t="str">
        <f>IFERROR(__xludf.DUMMYFUNCTION("""COMPUTED_VALUE"""),"Daniel Sacco")</f>
        <v>Daniel Sacco</v>
      </c>
      <c r="B804" s="19" t="str">
        <f>IFERROR(__xludf.DUMMYFUNCTION("""COMPUTED_VALUE"""),"VIC")</f>
        <v>VIC</v>
      </c>
      <c r="C804" s="5" t="str">
        <f>IFERROR(__xludf.DUMMYFUNCTION("""COMPUTED_VALUE"""),"Strathmore")</f>
        <v>Strathmore</v>
      </c>
      <c r="D804" s="5" t="str">
        <f>IFERROR(__xludf.DUMMYFUNCTION("""COMPUTED_VALUE"""),"89 Mascoma Street Strathmore VIC 3041")</f>
        <v>89 Mascoma Street Strathmore VIC 3041</v>
      </c>
      <c r="E804" s="25">
        <f>IFERROR(__xludf.DUMMYFUNCTION("""COMPUTED_VALUE"""),45962.0)</f>
        <v>45962</v>
      </c>
      <c r="F804" s="5">
        <f>IFERROR(__xludf.DUMMYFUNCTION("""COMPUTED_VALUE"""),6.0)</f>
        <v>6</v>
      </c>
      <c r="G804" s="19" t="str">
        <f>IFERROR(__xludf.DUMMYFUNCTION("""COMPUTED_VALUE"""),"Instant Forms")</f>
        <v>Instant Forms</v>
      </c>
      <c r="H804" s="19"/>
      <c r="I804" s="62"/>
      <c r="J804" s="19"/>
    </row>
    <row r="805">
      <c r="A805" s="19" t="str">
        <f>IFERROR(__xludf.DUMMYFUNCTION("""COMPUTED_VALUE"""),"Daniel Sacco")</f>
        <v>Daniel Sacco</v>
      </c>
      <c r="B805" s="19" t="str">
        <f>IFERROR(__xludf.DUMMYFUNCTION("""COMPUTED_VALUE"""),"VIC")</f>
        <v>VIC</v>
      </c>
      <c r="C805" s="5" t="str">
        <f>IFERROR(__xludf.DUMMYFUNCTION("""COMPUTED_VALUE"""),"Craigieburn")</f>
        <v>Craigieburn</v>
      </c>
      <c r="D805" s="5" t="str">
        <f>IFERROR(__xludf.DUMMYFUNCTION("""COMPUTED_VALUE"""),"102 Hamilton Hume pde Craigieburn, Craigieburn, 3064")</f>
        <v>102 Hamilton Hume pde Craigieburn, Craigieburn, 3064</v>
      </c>
      <c r="E805" s="25" t="str">
        <f>IFERROR(__xludf.DUMMYFUNCTION("""COMPUTED_VALUE"""),"14/11/2025")</f>
        <v>14/11/2025</v>
      </c>
      <c r="F805" s="5" t="str">
        <f>IFERROR(__xludf.DUMMYFUNCTION("""COMPUTED_VALUE"""),"Featured")</f>
        <v>Featured</v>
      </c>
      <c r="G805" s="19" t="str">
        <f>IFERROR(__xludf.DUMMYFUNCTION("""COMPUTED_VALUE"""),"Meta Commission Report")</f>
        <v>Meta Commission Report</v>
      </c>
      <c r="H805" s="19" t="str">
        <f>IFERROR(__xludf.DUMMYFUNCTION("""COMPUTED_VALUE"""),"Ray Martin")</f>
        <v>Ray Martin</v>
      </c>
      <c r="I805" s="62">
        <f>IFERROR(__xludf.DUMMYFUNCTION("""COMPUTED_VALUE"""),6.1412758218E10)</f>
        <v>61412758218</v>
      </c>
      <c r="J805" s="19" t="str">
        <f>IFERROR(__xludf.DUMMYFUNCTION("""COMPUTED_VALUE"""),"raymartin451@hotmail.com.au")</f>
        <v>raymartin451@hotmail.com.au</v>
      </c>
    </row>
    <row r="806">
      <c r="A806" s="19" t="str">
        <f>IFERROR(__xludf.DUMMYFUNCTION("""COMPUTED_VALUE"""),"Daniel Sacco")</f>
        <v>Daniel Sacco</v>
      </c>
      <c r="B806" s="19" t="str">
        <f>IFERROR(__xludf.DUMMYFUNCTION("""COMPUTED_VALUE"""),"VIC")</f>
        <v>VIC</v>
      </c>
      <c r="C806" s="5">
        <f>IFERROR(__xludf.DUMMYFUNCTION("""COMPUTED_VALUE"""),3074.0)</f>
        <v>3074</v>
      </c>
      <c r="D806" s="5"/>
      <c r="E806" s="25">
        <f>IFERROR(__xludf.DUMMYFUNCTION("""COMPUTED_VALUE"""),45977.0)</f>
        <v>45977</v>
      </c>
      <c r="F806" s="5">
        <f>IFERROR(__xludf.DUMMYFUNCTION("""COMPUTED_VALUE"""),5.0)</f>
        <v>5</v>
      </c>
      <c r="G806" s="19" t="str">
        <f>IFERROR(__xludf.DUMMYFUNCTION("""COMPUTED_VALUE"""),"Instant Forms")</f>
        <v>Instant Forms</v>
      </c>
      <c r="H806" s="19" t="str">
        <f>IFERROR(__xludf.DUMMYFUNCTION("""COMPUTED_VALUE"""),"Anthea Haitidis")</f>
        <v>Anthea Haitidis</v>
      </c>
      <c r="I806" s="62">
        <f>IFERROR(__xludf.DUMMYFUNCTION("""COMPUTED_VALUE"""),6.1425768837E10)</f>
        <v>61425768837</v>
      </c>
      <c r="J806" s="19" t="str">
        <f>IFERROR(__xludf.DUMMYFUNCTION("""COMPUTED_VALUE"""),"branddelicious89@gmail.com")</f>
        <v>branddelicious89@gmail.com</v>
      </c>
    </row>
    <row r="807">
      <c r="A807" s="19" t="str">
        <f>IFERROR(__xludf.DUMMYFUNCTION("""COMPUTED_VALUE"""),"Daniel Sacco")</f>
        <v>Daniel Sacco</v>
      </c>
      <c r="B807" s="19" t="str">
        <f>IFERROR(__xludf.DUMMYFUNCTION("""COMPUTED_VALUE"""),"VIC")</f>
        <v>VIC</v>
      </c>
      <c r="C807" s="5" t="str">
        <f>IFERROR(__xludf.DUMMYFUNCTION("""COMPUTED_VALUE"""),"Greenvale")</f>
        <v>Greenvale</v>
      </c>
      <c r="D807" s="5" t="str">
        <f>IFERROR(__xludf.DUMMYFUNCTION("""COMPUTED_VALUE"""),"147 blossom drv, Greenvale, 3059")</f>
        <v>147 blossom drv, Greenvale, 3059</v>
      </c>
      <c r="E807" s="25" t="str">
        <f>IFERROR(__xludf.DUMMYFUNCTION("""COMPUTED_VALUE"""),"17/11/2025")</f>
        <v>17/11/2025</v>
      </c>
      <c r="F807" s="5" t="str">
        <f>IFERROR(__xludf.DUMMYFUNCTION("""COMPUTED_VALUE"""),"Featured")</f>
        <v>Featured</v>
      </c>
      <c r="G807" s="19" t="str">
        <f>IFERROR(__xludf.DUMMYFUNCTION("""COMPUTED_VALUE"""),"Meta Commission Report")</f>
        <v>Meta Commission Report</v>
      </c>
      <c r="H807" s="19" t="str">
        <f>IFERROR(__xludf.DUMMYFUNCTION("""COMPUTED_VALUE"""),"Francesca Torchia-Franze")</f>
        <v>Francesca Torchia-Franze</v>
      </c>
      <c r="I807" s="62">
        <f>IFERROR(__xludf.DUMMYFUNCTION("""COMPUTED_VALUE"""),6.1407349896E10)</f>
        <v>61407349896</v>
      </c>
      <c r="J807" s="19" t="str">
        <f>IFERROR(__xludf.DUMMYFUNCTION("""COMPUTED_VALUE"""),"franca_franze@hotmail.com")</f>
        <v>franca_franze@hotmail.com</v>
      </c>
    </row>
    <row r="808">
      <c r="A808" s="19" t="str">
        <f>IFERROR(__xludf.DUMMYFUNCTION("""COMPUTED_VALUE"""),"Daniel Sacco")</f>
        <v>Daniel Sacco</v>
      </c>
      <c r="B808" s="19" t="str">
        <f>IFERROR(__xludf.DUMMYFUNCTION("""COMPUTED_VALUE"""),"VIC")</f>
        <v>VIC</v>
      </c>
      <c r="C808" s="5" t="str">
        <f>IFERROR(__xludf.DUMMYFUNCTION("""COMPUTED_VALUE"""),"Sunbury")</f>
        <v>Sunbury</v>
      </c>
      <c r="D808" s="5"/>
      <c r="E808" s="5" t="str">
        <f>IFERROR(__xludf.DUMMYFUNCTION("""COMPUTED_VALUE"""),"25/11/2025")</f>
        <v>25/11/2025</v>
      </c>
      <c r="F808" s="5">
        <f>IFERROR(__xludf.DUMMYFUNCTION("""COMPUTED_VALUE"""),5.0)</f>
        <v>5</v>
      </c>
      <c r="G808" s="19" t="str">
        <f>IFERROR(__xludf.DUMMYFUNCTION("""COMPUTED_VALUE"""),"Instant Forms")</f>
        <v>Instant Forms</v>
      </c>
      <c r="H808" s="19" t="str">
        <f>IFERROR(__xludf.DUMMYFUNCTION("""COMPUTED_VALUE"""),"Annie Unwin-Rollinson")</f>
        <v>Annie Unwin-Rollinson</v>
      </c>
      <c r="I808" s="62">
        <f>IFERROR(__xludf.DUMMYFUNCTION("""COMPUTED_VALUE"""),6.1409000492E10)</f>
        <v>61409000492</v>
      </c>
      <c r="J808" s="19" t="str">
        <f>IFERROR(__xludf.DUMMYFUNCTION("""COMPUTED_VALUE"""),"mrsrolly@gmail.com")</f>
        <v>mrsrolly@gmail.com</v>
      </c>
    </row>
    <row r="809">
      <c r="A809" s="19" t="str">
        <f>IFERROR(__xludf.DUMMYFUNCTION("""COMPUTED_VALUE"""),"Daniel Sacco")</f>
        <v>Daniel Sacco</v>
      </c>
      <c r="B809" s="19" t="str">
        <f>IFERROR(__xludf.DUMMYFUNCTION("""COMPUTED_VALUE"""),"VIC")</f>
        <v>VIC</v>
      </c>
      <c r="C809" s="5" t="str">
        <f>IFERROR(__xludf.DUMMYFUNCTION("""COMPUTED_VALUE"""),"Craigieburn")</f>
        <v>Craigieburn</v>
      </c>
      <c r="D809" s="5" t="str">
        <f>IFERROR(__xludf.DUMMYFUNCTION("""COMPUTED_VALUE"""),"Vic 3064, 5 Ramsgate Lane, Craigieburn, 3064")</f>
        <v>Vic 3064, 5 Ramsgate Lane, Craigieburn, 3064</v>
      </c>
      <c r="E809" s="5" t="str">
        <f>IFERROR(__xludf.DUMMYFUNCTION("""COMPUTED_VALUE"""),"25/11/2025")</f>
        <v>25/11/2025</v>
      </c>
      <c r="F809" s="5" t="str">
        <f>IFERROR(__xludf.DUMMYFUNCTION("""COMPUTED_VALUE"""),"Featured")</f>
        <v>Featured</v>
      </c>
      <c r="G809" s="19" t="str">
        <f>IFERROR(__xludf.DUMMYFUNCTION("""COMPUTED_VALUE"""),"Meta Commission Report")</f>
        <v>Meta Commission Report</v>
      </c>
      <c r="H809" s="19" t="str">
        <f>IFERROR(__xludf.DUMMYFUNCTION("""COMPUTED_VALUE"""),"Ligia Carvalho")</f>
        <v>Ligia Carvalho</v>
      </c>
      <c r="I809" s="62">
        <f>IFERROR(__xludf.DUMMYFUNCTION("""COMPUTED_VALUE"""),6.1457654778E10)</f>
        <v>61457654778</v>
      </c>
      <c r="J809" s="19" t="str">
        <f>IFERROR(__xludf.DUMMYFUNCTION("""COMPUTED_VALUE"""),"ligiacarrascalao_carvalho@hotmail.com")</f>
        <v>ligiacarrascalao_carvalho@hotmail.com</v>
      </c>
    </row>
    <row r="810">
      <c r="A810" s="19" t="str">
        <f>IFERROR(__xludf.DUMMYFUNCTION("""COMPUTED_VALUE"""),"Daniel Sacco")</f>
        <v>Daniel Sacco</v>
      </c>
      <c r="B810" s="19" t="str">
        <f>IFERROR(__xludf.DUMMYFUNCTION("""COMPUTED_VALUE"""),"NSW")</f>
        <v>NSW</v>
      </c>
      <c r="C810" s="5" t="str">
        <f>IFERROR(__xludf.DUMMYFUNCTION("""COMPUTED_VALUE"""),"Baulkham Hills")</f>
        <v>Baulkham Hills</v>
      </c>
      <c r="D810" s="5" t="str">
        <f>IFERROR(__xludf.DUMMYFUNCTION("""COMPUTED_VALUE"""),"3 Tyne Cl")</f>
        <v>3 Tyne Cl</v>
      </c>
      <c r="E810" s="5" t="str">
        <f>IFERROR(__xludf.DUMMYFUNCTION("""COMPUTED_VALUE"""),"27/11/2025")</f>
        <v>27/11/2025</v>
      </c>
      <c r="F810" s="64">
        <f>IFERROR(__xludf.DUMMYFUNCTION("""COMPUTED_VALUE"""),0.2)</f>
        <v>0.2</v>
      </c>
      <c r="G810" s="19" t="str">
        <f>IFERROR(__xludf.DUMMYFUNCTION("""COMPUTED_VALUE"""),"Commission Comparison")</f>
        <v>Commission Comparison</v>
      </c>
      <c r="H810" s="19" t="str">
        <f>IFERROR(__xludf.DUMMYFUNCTION("""COMPUTED_VALUE"""),"Diane Hale")</f>
        <v>Diane Hale</v>
      </c>
      <c r="I810" s="62">
        <f>IFERROR(__xludf.DUMMYFUNCTION("""COMPUTED_VALUE"""),6.1422782011E10)</f>
        <v>61422782011</v>
      </c>
      <c r="J810" s="19" t="str">
        <f>IFERROR(__xludf.DUMMYFUNCTION("""COMPUTED_VALUE"""),"lizziehale@hotmail.com")</f>
        <v>lizziehale@hotmail.com</v>
      </c>
    </row>
    <row r="811">
      <c r="A811" s="19" t="str">
        <f>IFERROR(__xludf.DUMMYFUNCTION("""COMPUTED_VALUE"""),"Daniel Sacco")</f>
        <v>Daniel Sacco</v>
      </c>
      <c r="B811" s="19" t="str">
        <f>IFERROR(__xludf.DUMMYFUNCTION("""COMPUTED_VALUE"""),"VIC")</f>
        <v>VIC</v>
      </c>
      <c r="C811" s="5" t="str">
        <f>IFERROR(__xludf.DUMMYFUNCTION("""COMPUTED_VALUE"""),"Attwood")</f>
        <v>Attwood</v>
      </c>
      <c r="D811" s="5" t="str">
        <f>IFERROR(__xludf.DUMMYFUNCTION("""COMPUTED_VALUE"""),"26 Maddingley Road, 3049")</f>
        <v>26 Maddingley Road, 3049</v>
      </c>
      <c r="E811" s="27">
        <f>IFERROR(__xludf.DUMMYFUNCTION("""COMPUTED_VALUE"""),45669.0)</f>
        <v>45669</v>
      </c>
      <c r="F811" s="64">
        <f>IFERROR(__xludf.DUMMYFUNCTION("""COMPUTED_VALUE"""),0.2)</f>
        <v>0.2</v>
      </c>
      <c r="G811" s="19" t="str">
        <f>IFERROR(__xludf.DUMMYFUNCTION("""COMPUTED_VALUE"""),"Meta Commission Report")</f>
        <v>Meta Commission Report</v>
      </c>
      <c r="H811" s="19" t="str">
        <f>IFERROR(__xludf.DUMMYFUNCTION("""COMPUTED_VALUE"""),"Sevinc Gocer")</f>
        <v>Sevinc Gocer</v>
      </c>
      <c r="I811" s="62">
        <f>IFERROR(__xludf.DUMMYFUNCTION("""COMPUTED_VALUE"""),6.1403672653E10)</f>
        <v>61403672653</v>
      </c>
      <c r="J811" s="19" t="str">
        <f>IFERROR(__xludf.DUMMYFUNCTION("""COMPUTED_VALUE"""),"sebogocer@hotmail.com")</f>
        <v>sebogocer@hotmail.com</v>
      </c>
    </row>
    <row r="812">
      <c r="A812" s="19" t="str">
        <f>IFERROR(__xludf.DUMMYFUNCTION("""COMPUTED_VALUE"""),"Daniel Sacco")</f>
        <v>Daniel Sacco</v>
      </c>
      <c r="B812" s="19" t="str">
        <f>IFERROR(__xludf.DUMMYFUNCTION("""COMPUTED_VALUE"""),"VIC")</f>
        <v>VIC</v>
      </c>
      <c r="C812" s="5" t="str">
        <f>IFERROR(__xludf.DUMMYFUNCTION("""COMPUTED_VALUE"""),"Roxburgh Park")</f>
        <v>Roxburgh Park</v>
      </c>
      <c r="D812" s="5" t="str">
        <f>IFERROR(__xludf.DUMMYFUNCTION("""COMPUTED_VALUE"""),"5 Osborne Terrace Roxburgh Park VIC 3064")</f>
        <v>5 Osborne Terrace Roxburgh Park VIC 3064</v>
      </c>
      <c r="E812" s="27">
        <f>IFERROR(__xludf.DUMMYFUNCTION("""COMPUTED_VALUE"""),45700.0)</f>
        <v>45700</v>
      </c>
      <c r="F812" s="64">
        <f>IFERROR(__xludf.DUMMYFUNCTION("""COMPUTED_VALUE"""),0.2)</f>
        <v>0.2</v>
      </c>
      <c r="G812" s="19" t="str">
        <f>IFERROR(__xludf.DUMMYFUNCTION("""COMPUTED_VALUE"""),"Instant Forms")</f>
        <v>Instant Forms</v>
      </c>
      <c r="H812" s="19" t="str">
        <f>IFERROR(__xludf.DUMMYFUNCTION("""COMPUTED_VALUE"""),"Carmel Dwyer")</f>
        <v>Carmel Dwyer</v>
      </c>
      <c r="I812" s="62">
        <f>IFERROR(__xludf.DUMMYFUNCTION("""COMPUTED_VALUE"""),6.140751719E10)</f>
        <v>61407517190</v>
      </c>
      <c r="J812" s="19" t="str">
        <f>IFERROR(__xludf.DUMMYFUNCTION("""COMPUTED_VALUE"""),"Carmelgd@gmail.com")</f>
        <v>Carmelgd@gmail.com</v>
      </c>
    </row>
    <row r="813">
      <c r="A813" s="19" t="str">
        <f>IFERROR(__xludf.DUMMYFUNCTION("""COMPUTED_VALUE"""),"Daniel Sacco")</f>
        <v>Daniel Sacco</v>
      </c>
      <c r="B813" s="19" t="str">
        <f>IFERROR(__xludf.DUMMYFUNCTION("""COMPUTED_VALUE"""),"VIC")</f>
        <v>VIC</v>
      </c>
      <c r="C813" s="5" t="str">
        <f>IFERROR(__xludf.DUMMYFUNCTION("""COMPUTED_VALUE"""),"Greenvale")</f>
        <v>Greenvale</v>
      </c>
      <c r="D813" s="5" t="str">
        <f>IFERROR(__xludf.DUMMYFUNCTION("""COMPUTED_VALUE"""),"41 Lynton Court Greenvale 3059, Greenvale, 3059")</f>
        <v>41 Lynton Court Greenvale 3059, Greenvale, 3059</v>
      </c>
      <c r="E813" s="27">
        <f>IFERROR(__xludf.DUMMYFUNCTION("""COMPUTED_VALUE"""),45789.0)</f>
        <v>45789</v>
      </c>
      <c r="F813" s="64">
        <f>IFERROR(__xludf.DUMMYFUNCTION("""COMPUTED_VALUE"""),0.2)</f>
        <v>0.2</v>
      </c>
      <c r="G813" s="19" t="str">
        <f>IFERROR(__xludf.DUMMYFUNCTION("""COMPUTED_VALUE"""),"Meta Commission Report")</f>
        <v>Meta Commission Report</v>
      </c>
      <c r="H813" s="19" t="str">
        <f>IFERROR(__xludf.DUMMYFUNCTION("""COMPUTED_VALUE"""),"Magdy Yousef")</f>
        <v>Magdy Yousef</v>
      </c>
      <c r="I813" s="62">
        <f>IFERROR(__xludf.DUMMYFUNCTION("""COMPUTED_VALUE"""),6.1410257302E10)</f>
        <v>61410257302</v>
      </c>
      <c r="J813" s="19" t="str">
        <f>IFERROR(__xludf.DUMMYFUNCTION("""COMPUTED_VALUE"""),"magdymishraky@hotmail.com")</f>
        <v>magdymishraky@hotmail.com</v>
      </c>
    </row>
    <row r="814">
      <c r="A814" s="19" t="str">
        <f>IFERROR(__xludf.DUMMYFUNCTION("""COMPUTED_VALUE"""),"")</f>
        <v/>
      </c>
      <c r="B814" s="19" t="str">
        <f>IFERROR(__xludf.DUMMYFUNCTION("""COMPUTED_VALUE"""),"")</f>
        <v/>
      </c>
      <c r="C814" s="5" t="str">
        <f>IFERROR(__xludf.DUMMYFUNCTION("""COMPUTED_VALUE"""),"")</f>
        <v/>
      </c>
      <c r="D814" s="5" t="str">
        <f>IFERROR(__xludf.DUMMYFUNCTION("""COMPUTED_VALUE"""),"")</f>
        <v/>
      </c>
      <c r="E814" s="5" t="str">
        <f>IFERROR(__xludf.DUMMYFUNCTION("""COMPUTED_VALUE"""),"")</f>
        <v/>
      </c>
      <c r="F814" s="5" t="str">
        <f>IFERROR(__xludf.DUMMYFUNCTION("""COMPUTED_VALUE"""),"")</f>
        <v/>
      </c>
      <c r="G814" s="19" t="str">
        <f>IFERROR(__xludf.DUMMYFUNCTION("""COMPUTED_VALUE"""),"")</f>
        <v/>
      </c>
      <c r="H814" s="19" t="str">
        <f>IFERROR(__xludf.DUMMYFUNCTION("""COMPUTED_VALUE"""),"")</f>
        <v/>
      </c>
      <c r="I814" s="62" t="str">
        <f>IFERROR(__xludf.DUMMYFUNCTION("""COMPUTED_VALUE"""),"")</f>
        <v/>
      </c>
      <c r="J814" s="19" t="str">
        <f>IFERROR(__xludf.DUMMYFUNCTION("""COMPUTED_VALUE"""),"")</f>
        <v/>
      </c>
    </row>
    <row r="815">
      <c r="A815" s="19" t="str">
        <f>IFERROR(__xludf.DUMMYFUNCTION("""COMPUTED_VALUE"""),"")</f>
        <v/>
      </c>
      <c r="B815" s="19" t="str">
        <f>IFERROR(__xludf.DUMMYFUNCTION("""COMPUTED_VALUE"""),"")</f>
        <v/>
      </c>
      <c r="C815" s="5" t="str">
        <f>IFERROR(__xludf.DUMMYFUNCTION("""COMPUTED_VALUE"""),"")</f>
        <v/>
      </c>
      <c r="D815" s="5" t="str">
        <f>IFERROR(__xludf.DUMMYFUNCTION("""COMPUTED_VALUE"""),"")</f>
        <v/>
      </c>
      <c r="E815" s="5" t="str">
        <f>IFERROR(__xludf.DUMMYFUNCTION("""COMPUTED_VALUE"""),"")</f>
        <v/>
      </c>
      <c r="F815" s="5" t="str">
        <f>IFERROR(__xludf.DUMMYFUNCTION("""COMPUTED_VALUE"""),"")</f>
        <v/>
      </c>
      <c r="G815" s="19" t="str">
        <f>IFERROR(__xludf.DUMMYFUNCTION("""COMPUTED_VALUE"""),"")</f>
        <v/>
      </c>
      <c r="H815" s="19" t="str">
        <f>IFERROR(__xludf.DUMMYFUNCTION("""COMPUTED_VALUE"""),"")</f>
        <v/>
      </c>
      <c r="I815" s="62" t="str">
        <f>IFERROR(__xludf.DUMMYFUNCTION("""COMPUTED_VALUE"""),"")</f>
        <v/>
      </c>
      <c r="J815" s="19" t="str">
        <f>IFERROR(__xludf.DUMMYFUNCTION("""COMPUTED_VALUE"""),"")</f>
        <v/>
      </c>
    </row>
    <row r="816">
      <c r="A816" s="19" t="str">
        <f>IFERROR(__xludf.DUMMYFUNCTION("""COMPUTED_VALUE"""),"Daniel Sarzano")</f>
        <v>Daniel Sarzano</v>
      </c>
      <c r="B816" s="19" t="str">
        <f>IFERROR(__xludf.DUMMYFUNCTION("""COMPUTED_VALUE"""),"NSW")</f>
        <v>NSW</v>
      </c>
      <c r="C816" s="5" t="str">
        <f>IFERROR(__xludf.DUMMYFUNCTION("""COMPUTED_VALUE"""),"Rouse Hill")</f>
        <v>Rouse Hill</v>
      </c>
      <c r="D816" s="5" t="str">
        <f>IFERROR(__xludf.DUMMYFUNCTION("""COMPUTED_VALUE"""),"12 Scribblygum Circuit Rouse Hill NSW 2155")</f>
        <v>12 Scribblygum Circuit Rouse Hill NSW 2155</v>
      </c>
      <c r="E816" s="25">
        <f>IFERROR(__xludf.DUMMYFUNCTION("""COMPUTED_VALUE"""),45973.0)</f>
        <v>45973</v>
      </c>
      <c r="F816" s="5" t="str">
        <f>IFERROR(__xludf.DUMMYFUNCTION("""COMPUTED_VALUE"""),"Featured")</f>
        <v>Featured</v>
      </c>
      <c r="G816" s="19" t="str">
        <f>IFERROR(__xludf.DUMMYFUNCTION("""COMPUTED_VALUE"""),"Commission Comparison")</f>
        <v>Commission Comparison</v>
      </c>
      <c r="H816" s="19" t="str">
        <f>IFERROR(__xludf.DUMMYFUNCTION("""COMPUTED_VALUE"""),"Gabriele Bender")</f>
        <v>Gabriele Bender</v>
      </c>
      <c r="I816" s="62">
        <f>IFERROR(__xludf.DUMMYFUNCTION("""COMPUTED_VALUE"""),6.1466572167E10)</f>
        <v>61466572167</v>
      </c>
      <c r="J816" s="19" t="str">
        <f>IFERROR(__xludf.DUMMYFUNCTION("""COMPUTED_VALUE"""),"gabriele.bender@caesarstone.com.au")</f>
        <v>gabriele.bender@caesarstone.com.au</v>
      </c>
    </row>
    <row r="817">
      <c r="A817" s="19" t="str">
        <f>IFERROR(__xludf.DUMMYFUNCTION("""COMPUTED_VALUE"""),"Daniel Sarzano")</f>
        <v>Daniel Sarzano</v>
      </c>
      <c r="B817" s="19" t="str">
        <f>IFERROR(__xludf.DUMMYFUNCTION("""COMPUTED_VALUE"""),"NSW")</f>
        <v>NSW</v>
      </c>
      <c r="C817" s="5" t="str">
        <f>IFERROR(__xludf.DUMMYFUNCTION("""COMPUTED_VALUE"""),"Rouse Hill")</f>
        <v>Rouse Hill</v>
      </c>
      <c r="D817" s="5" t="str">
        <f>IFERROR(__xludf.DUMMYFUNCTION("""COMPUTED_VALUE"""),"21 Weeroona Pl, Rouse hill, 2155")</f>
        <v>21 Weeroona Pl, Rouse hill, 2155</v>
      </c>
      <c r="E817" s="25">
        <f>IFERROR(__xludf.DUMMYFUNCTION("""COMPUTED_VALUE"""),46002.0)</f>
        <v>46002</v>
      </c>
      <c r="F817" s="5" t="str">
        <f>IFERROR(__xludf.DUMMYFUNCTION("""COMPUTED_VALUE"""),"Featured")</f>
        <v>Featured</v>
      </c>
      <c r="G817" s="19" t="str">
        <f>IFERROR(__xludf.DUMMYFUNCTION("""COMPUTED_VALUE"""),"Meta Commission Report")</f>
        <v>Meta Commission Report</v>
      </c>
      <c r="H817" s="19" t="str">
        <f>IFERROR(__xludf.DUMMYFUNCTION("""COMPUTED_VALUE"""),"Richard Houghton")</f>
        <v>Richard Houghton</v>
      </c>
      <c r="I817" s="62">
        <f>IFERROR(__xludf.DUMMYFUNCTION("""COMPUTED_VALUE"""),6.1418611987E10)</f>
        <v>61418611987</v>
      </c>
      <c r="J817" s="19" t="str">
        <f>IFERROR(__xludf.DUMMYFUNCTION("""COMPUTED_VALUE"""),"jirish460@gmail.com")</f>
        <v>jirish460@gmail.com</v>
      </c>
    </row>
    <row r="818">
      <c r="A818" s="19" t="str">
        <f>IFERROR(__xludf.DUMMYFUNCTION("""COMPUTED_VALUE"""),"Daniel Sarzano")</f>
        <v>Daniel Sarzano</v>
      </c>
      <c r="B818" s="19" t="str">
        <f>IFERROR(__xludf.DUMMYFUNCTION("""COMPUTED_VALUE"""),"NSW")</f>
        <v>NSW</v>
      </c>
      <c r="C818" s="5" t="str">
        <f>IFERROR(__xludf.DUMMYFUNCTION("""COMPUTED_VALUE"""),"Schofields")</f>
        <v>Schofields</v>
      </c>
      <c r="D818" s="5" t="str">
        <f>IFERROR(__xludf.DUMMYFUNCTION("""COMPUTED_VALUE"""),"503/91A Grima Street Schofields NSW 2762")</f>
        <v>503/91A Grima Street Schofields NSW 2762</v>
      </c>
      <c r="E818" s="25">
        <f>IFERROR(__xludf.DUMMYFUNCTION("""COMPUTED_VALUE"""),45974.0)</f>
        <v>45974</v>
      </c>
      <c r="F818" s="5">
        <f>IFERROR(__xludf.DUMMYFUNCTION("""COMPUTED_VALUE"""),8.0)</f>
        <v>8</v>
      </c>
      <c r="G818" s="19" t="str">
        <f>IFERROR(__xludf.DUMMYFUNCTION("""COMPUTED_VALUE"""),"Instant Forms")</f>
        <v>Instant Forms</v>
      </c>
      <c r="H818" s="19" t="str">
        <f>IFERROR(__xludf.DUMMYFUNCTION("""COMPUTED_VALUE"""),"Sameer Arora")</f>
        <v>Sameer Arora</v>
      </c>
      <c r="I818" s="62">
        <f>IFERROR(__xludf.DUMMYFUNCTION("""COMPUTED_VALUE"""),6.1491942991E10)</f>
        <v>61491942991</v>
      </c>
      <c r="J818" s="19" t="str">
        <f>IFERROR(__xludf.DUMMYFUNCTION("""COMPUTED_VALUE"""),"Itsdifferent.47@gmail.com")</f>
        <v>Itsdifferent.47@gmail.com</v>
      </c>
    </row>
    <row r="819">
      <c r="A819" s="19" t="str">
        <f>IFERROR(__xludf.DUMMYFUNCTION("""COMPUTED_VALUE"""),"Daniel Sarzano")</f>
        <v>Daniel Sarzano</v>
      </c>
      <c r="B819" s="19" t="str">
        <f>IFERROR(__xludf.DUMMYFUNCTION("""COMPUTED_VALUE"""),"NSW")</f>
        <v>NSW</v>
      </c>
      <c r="C819" s="5">
        <f>IFERROR(__xludf.DUMMYFUNCTION("""COMPUTED_VALUE"""),2768.0)</f>
        <v>2768</v>
      </c>
      <c r="D819" s="5" t="str">
        <f>IFERROR(__xludf.DUMMYFUNCTION("""COMPUTED_VALUE"""),"12 Mimosa Grove Glenwood NSW 2768")</f>
        <v>12 Mimosa Grove Glenwood NSW 2768</v>
      </c>
      <c r="E819" s="25">
        <f>IFERROR(__xludf.DUMMYFUNCTION("""COMPUTED_VALUE"""),45977.0)</f>
        <v>45977</v>
      </c>
      <c r="F819" s="5">
        <f>IFERROR(__xludf.DUMMYFUNCTION("""COMPUTED_VALUE"""),8.0)</f>
        <v>8</v>
      </c>
      <c r="G819" s="19" t="str">
        <f>IFERROR(__xludf.DUMMYFUNCTION("""COMPUTED_VALUE"""),"Instant Forms")</f>
        <v>Instant Forms</v>
      </c>
      <c r="H819" s="19" t="str">
        <f>IFERROR(__xludf.DUMMYFUNCTION("""COMPUTED_VALUE"""),"Mark Cook")</f>
        <v>Mark Cook</v>
      </c>
      <c r="I819" s="62">
        <f>IFERROR(__xludf.DUMMYFUNCTION("""COMPUTED_VALUE"""),6.1408111962E10)</f>
        <v>61408111962</v>
      </c>
      <c r="J819" s="19" t="str">
        <f>IFERROR(__xludf.DUMMYFUNCTION("""COMPUTED_VALUE"""),"cooks247@bigpond.com")</f>
        <v>cooks247@bigpond.com</v>
      </c>
    </row>
    <row r="820">
      <c r="A820" s="19" t="str">
        <f>IFERROR(__xludf.DUMMYFUNCTION("""COMPUTED_VALUE"""),"Daniel Sarzano")</f>
        <v>Daniel Sarzano</v>
      </c>
      <c r="B820" s="19" t="str">
        <f>IFERROR(__xludf.DUMMYFUNCTION("""COMPUTED_VALUE"""),"NSW")</f>
        <v>NSW</v>
      </c>
      <c r="C820" s="5" t="str">
        <f>IFERROR(__xludf.DUMMYFUNCTION("""COMPUTED_VALUE"""),"Grantham Farm")</f>
        <v>Grantham Farm</v>
      </c>
      <c r="D820" s="5" t="str">
        <f>IFERROR(__xludf.DUMMYFUNCTION("""COMPUTED_VALUE"""),"13 Medlock Street Grantham Farm NSW 2765")</f>
        <v>13 Medlock Street Grantham Farm NSW 2765</v>
      </c>
      <c r="E820" s="25">
        <f>IFERROR(__xludf.DUMMYFUNCTION("""COMPUTED_VALUE"""),45978.0)</f>
        <v>45978</v>
      </c>
      <c r="F820" s="5">
        <f>IFERROR(__xludf.DUMMYFUNCTION("""COMPUTED_VALUE"""),6.0)</f>
        <v>6</v>
      </c>
      <c r="G820" s="19" t="str">
        <f>IFERROR(__xludf.DUMMYFUNCTION("""COMPUTED_VALUE"""),"Instant Forms")</f>
        <v>Instant Forms</v>
      </c>
      <c r="H820" s="19" t="str">
        <f>IFERROR(__xludf.DUMMYFUNCTION("""COMPUTED_VALUE"""),"Patricia Bowen")</f>
        <v>Patricia Bowen</v>
      </c>
      <c r="I820" s="62">
        <f>IFERROR(__xludf.DUMMYFUNCTION("""COMPUTED_VALUE"""),6.1416141965E10)</f>
        <v>61416141965</v>
      </c>
      <c r="J820" s="19" t="str">
        <f>IFERROR(__xludf.DUMMYFUNCTION("""COMPUTED_VALUE"""),"pbutterfly5@gmail.com")</f>
        <v>pbutterfly5@gmail.com</v>
      </c>
    </row>
    <row r="821">
      <c r="A821" s="19" t="str">
        <f>IFERROR(__xludf.DUMMYFUNCTION("""COMPUTED_VALUE"""),"Daniel Sarzano")</f>
        <v>Daniel Sarzano</v>
      </c>
      <c r="B821" s="19" t="str">
        <f>IFERROR(__xludf.DUMMYFUNCTION("""COMPUTED_VALUE"""),"NSW")</f>
        <v>NSW</v>
      </c>
      <c r="C821" s="5" t="str">
        <f>IFERROR(__xludf.DUMMYFUNCTION("""COMPUTED_VALUE"""),"Riverstone")</f>
        <v>Riverstone</v>
      </c>
      <c r="D821" s="5" t="str">
        <f>IFERROR(__xludf.DUMMYFUNCTION("""COMPUTED_VALUE"""),"13 Medlock Street, Riverstone, NSW, 2765, Australia")</f>
        <v>13 Medlock Street, Riverstone, NSW, 2765, Australia</v>
      </c>
      <c r="E821" s="25">
        <f>IFERROR(__xludf.DUMMYFUNCTION("""COMPUTED_VALUE"""),45978.0)</f>
        <v>45978</v>
      </c>
      <c r="F821" s="5" t="str">
        <f>IFERROR(__xludf.DUMMYFUNCTION("""COMPUTED_VALUE"""),"Featured")</f>
        <v>Featured</v>
      </c>
      <c r="G821" s="19" t="str">
        <f>IFERROR(__xludf.DUMMYFUNCTION("""COMPUTED_VALUE"""),"Commission Comparison")</f>
        <v>Commission Comparison</v>
      </c>
      <c r="H821" s="19" t="str">
        <f>IFERROR(__xludf.DUMMYFUNCTION("""COMPUTED_VALUE"""),"Patricia  Bowen ")</f>
        <v>Patricia  Bowen </v>
      </c>
      <c r="I821" s="62">
        <f>IFERROR(__xludf.DUMMYFUNCTION("""COMPUTED_VALUE"""),6.1416141965E10)</f>
        <v>61416141965</v>
      </c>
      <c r="J821" s="19" t="str">
        <f>IFERROR(__xludf.DUMMYFUNCTION("""COMPUTED_VALUE"""),"pbutterfly5@gmail.com")</f>
        <v>pbutterfly5@gmail.com</v>
      </c>
    </row>
    <row r="822">
      <c r="A822" s="19" t="str">
        <f>IFERROR(__xludf.DUMMYFUNCTION("""COMPUTED_VALUE"""),"Daniel Sarzano")</f>
        <v>Daniel Sarzano</v>
      </c>
      <c r="B822" s="19" t="str">
        <f>IFERROR(__xludf.DUMMYFUNCTION("""COMPUTED_VALUE"""),"NSW")</f>
        <v>NSW</v>
      </c>
      <c r="C822" s="5" t="str">
        <f>IFERROR(__xludf.DUMMYFUNCTION("""COMPUTED_VALUE"""),"Baulkham Hills")</f>
        <v>Baulkham Hills</v>
      </c>
      <c r="D822" s="5" t="str">
        <f>IFERROR(__xludf.DUMMYFUNCTION("""COMPUTED_VALUE"""),"Unit 51 5 Gladstone Road")</f>
        <v>Unit 51 5 Gladstone Road</v>
      </c>
      <c r="E822" s="25">
        <f>IFERROR(__xludf.DUMMYFUNCTION("""COMPUTED_VALUE"""),45978.0)</f>
        <v>45978</v>
      </c>
      <c r="F822" s="5" t="str">
        <f>IFERROR(__xludf.DUMMYFUNCTION("""COMPUTED_VALUE"""),"Featured")</f>
        <v>Featured</v>
      </c>
      <c r="G822" s="19" t="str">
        <f>IFERROR(__xludf.DUMMYFUNCTION("""COMPUTED_VALUE"""),"Commission Comparison")</f>
        <v>Commission Comparison</v>
      </c>
      <c r="H822" s="19" t="str">
        <f>IFERROR(__xludf.DUMMYFUNCTION("""COMPUTED_VALUE"""),"Charles Hill")</f>
        <v>Charles Hill</v>
      </c>
      <c r="I822" s="62">
        <f>IFERROR(__xludf.DUMMYFUNCTION("""COMPUTED_VALUE"""),6.1408247733E10)</f>
        <v>61408247733</v>
      </c>
      <c r="J822" s="19" t="str">
        <f>IFERROR(__xludf.DUMMYFUNCTION("""COMPUTED_VALUE"""),"chazh@ozemail.com.au")</f>
        <v>chazh@ozemail.com.au</v>
      </c>
    </row>
    <row r="823">
      <c r="A823" s="19" t="str">
        <f>IFERROR(__xludf.DUMMYFUNCTION("""COMPUTED_VALUE"""),"Daniel Sarzano")</f>
        <v>Daniel Sarzano</v>
      </c>
      <c r="B823" s="19" t="str">
        <f>IFERROR(__xludf.DUMMYFUNCTION("""COMPUTED_VALUE"""),"NSW")</f>
        <v>NSW</v>
      </c>
      <c r="C823" s="5" t="str">
        <f>IFERROR(__xludf.DUMMYFUNCTION("""COMPUTED_VALUE"""),"Riverstone")</f>
        <v>Riverstone</v>
      </c>
      <c r="D823" s="5" t="str">
        <f>IFERROR(__xludf.DUMMYFUNCTION("""COMPUTED_VALUE"""),"13 Medlock Street, Riverstone, NSW, 2765, Australia")</f>
        <v>13 Medlock Street, Riverstone, NSW, 2765, Australia</v>
      </c>
      <c r="E823" s="5" t="str">
        <f>IFERROR(__xludf.DUMMYFUNCTION("""COMPUTED_VALUE"""),"18/11/2025")</f>
        <v>18/11/2025</v>
      </c>
      <c r="F823" s="5" t="str">
        <f>IFERROR(__xludf.DUMMYFUNCTION("""COMPUTED_VALUE"""),"Featured")</f>
        <v>Featured</v>
      </c>
      <c r="G823" s="19" t="str">
        <f>IFERROR(__xludf.DUMMYFUNCTION("""COMPUTED_VALUE"""),"Commission Comparison")</f>
        <v>Commission Comparison</v>
      </c>
      <c r="H823" s="19" t="str">
        <f>IFERROR(__xludf.DUMMYFUNCTION("""COMPUTED_VALUE"""),"Patricia Bowen")</f>
        <v>Patricia Bowen</v>
      </c>
      <c r="I823" s="62">
        <f>IFERROR(__xludf.DUMMYFUNCTION("""COMPUTED_VALUE"""),6.1416141965E10)</f>
        <v>61416141965</v>
      </c>
      <c r="J823" s="19" t="str">
        <f>IFERROR(__xludf.DUMMYFUNCTION("""COMPUTED_VALUE"""),"pbutterfly5@gmail.com")</f>
        <v>pbutterfly5@gmail.com</v>
      </c>
    </row>
    <row r="824">
      <c r="A824" s="19" t="str">
        <f>IFERROR(__xludf.DUMMYFUNCTION("""COMPUTED_VALUE"""),"Daniel Sarzano")</f>
        <v>Daniel Sarzano</v>
      </c>
      <c r="B824" s="19" t="str">
        <f>IFERROR(__xludf.DUMMYFUNCTION("""COMPUTED_VALUE"""),"NSW")</f>
        <v>NSW</v>
      </c>
      <c r="C824" s="5" t="str">
        <f>IFERROR(__xludf.DUMMYFUNCTION("""COMPUTED_VALUE"""),"Bella Vista")</f>
        <v>Bella Vista</v>
      </c>
      <c r="D824" s="5" t="str">
        <f>IFERROR(__xludf.DUMMYFUNCTION("""COMPUTED_VALUE"""),"G11/105 Bella Vista Drive,Bella Vista 2153, Bella Vista, 2153")</f>
        <v>G11/105 Bella Vista Drive,Bella Vista 2153, Bella Vista, 2153</v>
      </c>
      <c r="E824" s="5" t="str">
        <f>IFERROR(__xludf.DUMMYFUNCTION("""COMPUTED_VALUE"""),"26/11/2025")</f>
        <v>26/11/2025</v>
      </c>
      <c r="F824" s="5" t="str">
        <f>IFERROR(__xludf.DUMMYFUNCTION("""COMPUTED_VALUE"""),"Featured")</f>
        <v>Featured</v>
      </c>
      <c r="G824" s="19" t="str">
        <f>IFERROR(__xludf.DUMMYFUNCTION("""COMPUTED_VALUE"""),"Meta Commission Report")</f>
        <v>Meta Commission Report</v>
      </c>
      <c r="H824" s="19" t="str">
        <f>IFERROR(__xludf.DUMMYFUNCTION("""COMPUTED_VALUE"""),"Brian Mayers")</f>
        <v>Brian Mayers</v>
      </c>
      <c r="I824" s="62">
        <f>IFERROR(__xludf.DUMMYFUNCTION("""COMPUTED_VALUE"""),6.1455301601E10)</f>
        <v>61455301601</v>
      </c>
      <c r="J824" s="19" t="str">
        <f>IFERROR(__xludf.DUMMYFUNCTION("""COMPUTED_VALUE"""),"bjmayers56@gmail.com")</f>
        <v>bjmayers56@gmail.com</v>
      </c>
    </row>
    <row r="825">
      <c r="A825" s="19" t="str">
        <f>IFERROR(__xludf.DUMMYFUNCTION("""COMPUTED_VALUE"""),"Daniel Sarzano")</f>
        <v>Daniel Sarzano</v>
      </c>
      <c r="B825" s="19" t="str">
        <f>IFERROR(__xludf.DUMMYFUNCTION("""COMPUTED_VALUE"""),"NSW")</f>
        <v>NSW</v>
      </c>
      <c r="C825" s="5" t="str">
        <f>IFERROR(__xludf.DUMMYFUNCTION("""COMPUTED_VALUE"""),"Kellyville Ridge")</f>
        <v>Kellyville Ridge</v>
      </c>
      <c r="D825" s="5" t="str">
        <f>IFERROR(__xludf.DUMMYFUNCTION("""COMPUTED_VALUE"""),"3 Candilla Street, 2155")</f>
        <v>3 Candilla Street, 2155</v>
      </c>
      <c r="E825" s="5" t="str">
        <f>IFERROR(__xludf.DUMMYFUNCTION("""COMPUTED_VALUE"""),"29/11/2025")</f>
        <v>29/11/2025</v>
      </c>
      <c r="F825" s="64">
        <f>IFERROR(__xludf.DUMMYFUNCTION("""COMPUTED_VALUE"""),0.2)</f>
        <v>0.2</v>
      </c>
      <c r="G825" s="19" t="str">
        <f>IFERROR(__xludf.DUMMYFUNCTION("""COMPUTED_VALUE"""),"Meta Commission Report")</f>
        <v>Meta Commission Report</v>
      </c>
      <c r="H825" s="19" t="str">
        <f>IFERROR(__xludf.DUMMYFUNCTION("""COMPUTED_VALUE"""),"Paul Cester")</f>
        <v>Paul Cester</v>
      </c>
      <c r="I825" s="62">
        <f>IFERROR(__xludf.DUMMYFUNCTION("""COMPUTED_VALUE"""),6.141597957E10)</f>
        <v>61415979570</v>
      </c>
      <c r="J825" s="19" t="str">
        <f>IFERROR(__xludf.DUMMYFUNCTION("""COMPUTED_VALUE"""),"paulcester79@gmail.com")</f>
        <v>paulcester79@gmail.com</v>
      </c>
    </row>
    <row r="826">
      <c r="A826" s="19" t="str">
        <f>IFERROR(__xludf.DUMMYFUNCTION("""COMPUTED_VALUE"""),"Daniel Sarzano")</f>
        <v>Daniel Sarzano</v>
      </c>
      <c r="B826" s="19" t="str">
        <f>IFERROR(__xludf.DUMMYFUNCTION("""COMPUTED_VALUE"""),"NSW")</f>
        <v>NSW</v>
      </c>
      <c r="C826" s="5" t="str">
        <f>IFERROR(__xludf.DUMMYFUNCTION("""COMPUTED_VALUE"""),"Kellyville Ridge")</f>
        <v>Kellyville Ridge</v>
      </c>
      <c r="D826" s="5" t="str">
        <f>IFERROR(__xludf.DUMMYFUNCTION("""COMPUTED_VALUE"""),"4 Oakvale Avenue Kellyville Ridge, 2155")</f>
        <v>4 Oakvale Avenue Kellyville Ridge, 2155</v>
      </c>
      <c r="E826" s="5" t="str">
        <f>IFERROR(__xludf.DUMMYFUNCTION("""COMPUTED_VALUE"""),"29/11/2025")</f>
        <v>29/11/2025</v>
      </c>
      <c r="F826" s="64">
        <f>IFERROR(__xludf.DUMMYFUNCTION("""COMPUTED_VALUE"""),0.2)</f>
        <v>0.2</v>
      </c>
      <c r="G826" s="19" t="str">
        <f>IFERROR(__xludf.DUMMYFUNCTION("""COMPUTED_VALUE"""),"Meta Commission Report")</f>
        <v>Meta Commission Report</v>
      </c>
      <c r="H826" s="19" t="str">
        <f>IFERROR(__xludf.DUMMYFUNCTION("""COMPUTED_VALUE"""),"Tuli Ray")</f>
        <v>Tuli Ray</v>
      </c>
      <c r="I826" s="62">
        <f>IFERROR(__xludf.DUMMYFUNCTION("""COMPUTED_VALUE"""),6.1407772546E10)</f>
        <v>61407772546</v>
      </c>
      <c r="J826" s="19" t="str">
        <f>IFERROR(__xludf.DUMMYFUNCTION("""COMPUTED_VALUE"""),"tuliray@hotmail.com")</f>
        <v>tuliray@hotmail.com</v>
      </c>
    </row>
    <row r="827">
      <c r="A827" s="19" t="str">
        <f>IFERROR(__xludf.DUMMYFUNCTION("""COMPUTED_VALUE"""),"Daniel Sarzano")</f>
        <v>Daniel Sarzano</v>
      </c>
      <c r="B827" s="19" t="str">
        <f>IFERROR(__xludf.DUMMYFUNCTION("""COMPUTED_VALUE"""),"NSW")</f>
        <v>NSW</v>
      </c>
      <c r="C827" s="5" t="str">
        <f>IFERROR(__xludf.DUMMYFUNCTION("""COMPUTED_VALUE"""),"Box Hill")</f>
        <v>Box Hill</v>
      </c>
      <c r="D827" s="5" t="str">
        <f>IFERROR(__xludf.DUMMYFUNCTION("""COMPUTED_VALUE"""),"33 Brocklebank Street Box Hill NSW 2765")</f>
        <v>33 Brocklebank Street Box Hill NSW 2765</v>
      </c>
      <c r="E827" s="27">
        <f>IFERROR(__xludf.DUMMYFUNCTION("""COMPUTED_VALUE"""),45669.0)</f>
        <v>45669</v>
      </c>
      <c r="F827" s="64">
        <f>IFERROR(__xludf.DUMMYFUNCTION("""COMPUTED_VALUE"""),0.2)</f>
        <v>0.2</v>
      </c>
      <c r="G827" s="19" t="str">
        <f>IFERROR(__xludf.DUMMYFUNCTION("""COMPUTED_VALUE"""),"Instant Forms")</f>
        <v>Instant Forms</v>
      </c>
      <c r="H827" s="19" t="str">
        <f>IFERROR(__xludf.DUMMYFUNCTION("""COMPUTED_VALUE"""),"David Popovic")</f>
        <v>David Popovic</v>
      </c>
      <c r="I827" s="62">
        <f>IFERROR(__xludf.DUMMYFUNCTION("""COMPUTED_VALUE"""),6.1420863643E10)</f>
        <v>61420863643</v>
      </c>
      <c r="J827" s="19" t="str">
        <f>IFERROR(__xludf.DUMMYFUNCTION("""COMPUTED_VALUE"""),"davidpopovic76@gmail.com")</f>
        <v>davidpopovic76@gmail.com</v>
      </c>
    </row>
    <row r="828">
      <c r="A828" s="19" t="str">
        <f>IFERROR(__xludf.DUMMYFUNCTION("""COMPUTED_VALUE"""),"")</f>
        <v/>
      </c>
      <c r="B828" s="19" t="str">
        <f>IFERROR(__xludf.DUMMYFUNCTION("""COMPUTED_VALUE"""),"")</f>
        <v/>
      </c>
      <c r="C828" s="5" t="str">
        <f>IFERROR(__xludf.DUMMYFUNCTION("""COMPUTED_VALUE"""),"")</f>
        <v/>
      </c>
      <c r="D828" s="5" t="str">
        <f>IFERROR(__xludf.DUMMYFUNCTION("""COMPUTED_VALUE"""),"")</f>
        <v/>
      </c>
      <c r="E828" s="5" t="str">
        <f>IFERROR(__xludf.DUMMYFUNCTION("""COMPUTED_VALUE"""),"")</f>
        <v/>
      </c>
      <c r="F828" s="5" t="str">
        <f>IFERROR(__xludf.DUMMYFUNCTION("""COMPUTED_VALUE"""),"")</f>
        <v/>
      </c>
      <c r="G828" s="19" t="str">
        <f>IFERROR(__xludf.DUMMYFUNCTION("""COMPUTED_VALUE"""),"")</f>
        <v/>
      </c>
      <c r="H828" s="19" t="str">
        <f>IFERROR(__xludf.DUMMYFUNCTION("""COMPUTED_VALUE"""),"")</f>
        <v/>
      </c>
      <c r="I828" s="62" t="str">
        <f>IFERROR(__xludf.DUMMYFUNCTION("""COMPUTED_VALUE"""),"")</f>
        <v/>
      </c>
      <c r="J828" s="19" t="str">
        <f>IFERROR(__xludf.DUMMYFUNCTION("""COMPUTED_VALUE"""),"")</f>
        <v/>
      </c>
    </row>
    <row r="829">
      <c r="A829" s="19" t="str">
        <f>IFERROR(__xludf.DUMMYFUNCTION("""COMPUTED_VALUE"""),"")</f>
        <v/>
      </c>
      <c r="B829" s="19" t="str">
        <f>IFERROR(__xludf.DUMMYFUNCTION("""COMPUTED_VALUE"""),"")</f>
        <v/>
      </c>
      <c r="C829" s="5" t="str">
        <f>IFERROR(__xludf.DUMMYFUNCTION("""COMPUTED_VALUE"""),"")</f>
        <v/>
      </c>
      <c r="D829" s="5" t="str">
        <f>IFERROR(__xludf.DUMMYFUNCTION("""COMPUTED_VALUE"""),"")</f>
        <v/>
      </c>
      <c r="E829" s="5" t="str">
        <f>IFERROR(__xludf.DUMMYFUNCTION("""COMPUTED_VALUE"""),"")</f>
        <v/>
      </c>
      <c r="F829" s="5" t="str">
        <f>IFERROR(__xludf.DUMMYFUNCTION("""COMPUTED_VALUE"""),"")</f>
        <v/>
      </c>
      <c r="G829" s="19" t="str">
        <f>IFERROR(__xludf.DUMMYFUNCTION("""COMPUTED_VALUE"""),"")</f>
        <v/>
      </c>
      <c r="H829" s="19" t="str">
        <f>IFERROR(__xludf.DUMMYFUNCTION("""COMPUTED_VALUE"""),"")</f>
        <v/>
      </c>
      <c r="I829" s="62" t="str">
        <f>IFERROR(__xludf.DUMMYFUNCTION("""COMPUTED_VALUE"""),"")</f>
        <v/>
      </c>
      <c r="J829" s="19" t="str">
        <f>IFERROR(__xludf.DUMMYFUNCTION("""COMPUTED_VALUE"""),"")</f>
        <v/>
      </c>
    </row>
    <row r="830">
      <c r="A830" s="19" t="str">
        <f>IFERROR(__xludf.DUMMYFUNCTION("""COMPUTED_VALUE"""),"Darren Cooper")</f>
        <v>Darren Cooper</v>
      </c>
      <c r="B830" s="19" t="str">
        <f>IFERROR(__xludf.DUMMYFUNCTION("""COMPUTED_VALUE"""),"QLD")</f>
        <v>QLD</v>
      </c>
      <c r="C830" s="5" t="str">
        <f>IFERROR(__xludf.DUMMYFUNCTION("""COMPUTED_VALUE"""),"Cabarlah")</f>
        <v>Cabarlah</v>
      </c>
      <c r="D830" s="5" t="str">
        <f>IFERROR(__xludf.DUMMYFUNCTION("""COMPUTED_VALUE"""),"35 Adams Rd Cabarlah")</f>
        <v>35 Adams Rd Cabarlah</v>
      </c>
      <c r="E830" s="27">
        <f>IFERROR(__xludf.DUMMYFUNCTION("""COMPUTED_VALUE"""),45819.0)</f>
        <v>45819</v>
      </c>
      <c r="F830" s="5" t="str">
        <f>IFERROR(__xludf.DUMMYFUNCTION("""COMPUTED_VALUE"""),"Plus")</f>
        <v>Plus</v>
      </c>
      <c r="G830" s="19" t="str">
        <f>IFERROR(__xludf.DUMMYFUNCTION("""COMPUTED_VALUE"""),"Commission Comparison")</f>
        <v>Commission Comparison</v>
      </c>
      <c r="H830" s="19" t="str">
        <f>IFERROR(__xludf.DUMMYFUNCTION("""COMPUTED_VALUE"""),"Michael Holt")</f>
        <v>Michael Holt</v>
      </c>
      <c r="I830" s="62">
        <f>IFERROR(__xludf.DUMMYFUNCTION("""COMPUTED_VALUE"""),6.1427113346E10)</f>
        <v>61427113346</v>
      </c>
      <c r="J830" s="19" t="str">
        <f>IFERROR(__xludf.DUMMYFUNCTION("""COMPUTED_VALUE"""),"michael.holt@pepsico.com")</f>
        <v>michael.holt@pepsico.com</v>
      </c>
    </row>
    <row r="831">
      <c r="A831" s="19" t="str">
        <f>IFERROR(__xludf.DUMMYFUNCTION("""COMPUTED_VALUE"""),"Darren Cooper")</f>
        <v>Darren Cooper</v>
      </c>
      <c r="B831" s="19" t="str">
        <f>IFERROR(__xludf.DUMMYFUNCTION("""COMPUTED_VALUE"""),"QLD")</f>
        <v>QLD</v>
      </c>
      <c r="C831" s="5" t="str">
        <f>IFERROR(__xludf.DUMMYFUNCTION("""COMPUTED_VALUE"""),"Westbrook")</f>
        <v>Westbrook</v>
      </c>
      <c r="D831" s="5" t="str">
        <f>IFERROR(__xludf.DUMMYFUNCTION("""COMPUTED_VALUE"""),"46 Fett Road Westbrook QLD 4350, Westbrook, 4350")</f>
        <v>46 Fett Road Westbrook QLD 4350, Westbrook, 4350</v>
      </c>
      <c r="E831" s="27">
        <f>IFERROR(__xludf.DUMMYFUNCTION("""COMPUTED_VALUE"""),45819.0)</f>
        <v>45819</v>
      </c>
      <c r="F831" s="5" t="str">
        <f>IFERROR(__xludf.DUMMYFUNCTION("""COMPUTED_VALUE"""),"Featured Plus")</f>
        <v>Featured Plus</v>
      </c>
      <c r="G831" s="19" t="str">
        <f>IFERROR(__xludf.DUMMYFUNCTION("""COMPUTED_VALUE"""),"Meta Commission Report")</f>
        <v>Meta Commission Report</v>
      </c>
      <c r="H831" s="19" t="str">
        <f>IFERROR(__xludf.DUMMYFUNCTION("""COMPUTED_VALUE"""),"Patrick Jones")</f>
        <v>Patrick Jones</v>
      </c>
      <c r="I831" s="62">
        <f>IFERROR(__xludf.DUMMYFUNCTION("""COMPUTED_VALUE"""),6.142866755E10)</f>
        <v>61428667550</v>
      </c>
      <c r="J831" s="19" t="str">
        <f>IFERROR(__xludf.DUMMYFUNCTION("""COMPUTED_VALUE"""),"patrickjones@bigpond.com.au")</f>
        <v>patrickjones@bigpond.com.au</v>
      </c>
    </row>
    <row r="832">
      <c r="A832" s="19" t="str">
        <f>IFERROR(__xludf.DUMMYFUNCTION("""COMPUTED_VALUE"""),"Darren Cooper")</f>
        <v>Darren Cooper</v>
      </c>
      <c r="B832" s="19" t="str">
        <f>IFERROR(__xludf.DUMMYFUNCTION("""COMPUTED_VALUE"""),"QLD")</f>
        <v>QLD</v>
      </c>
      <c r="C832" s="5" t="str">
        <f>IFERROR(__xludf.DUMMYFUNCTION("""COMPUTED_VALUE"""),"Highfields")</f>
        <v>Highfields</v>
      </c>
      <c r="D832" s="5" t="str">
        <f>IFERROR(__xludf.DUMMYFUNCTION("""COMPUTED_VALUE"""),"25 Highfields Road Highfields QLD 4352")</f>
        <v>25 Highfields Road Highfields QLD 4352</v>
      </c>
      <c r="E832" s="25">
        <f>IFERROR(__xludf.DUMMYFUNCTION("""COMPUTED_VALUE"""),45974.0)</f>
        <v>45974</v>
      </c>
      <c r="F832" s="5" t="str">
        <f>IFERROR(__xludf.DUMMYFUNCTION("""COMPUTED_VALUE"""),"Featured Plus")</f>
        <v>Featured Plus</v>
      </c>
      <c r="G832" s="19" t="str">
        <f>IFERROR(__xludf.DUMMYFUNCTION("""COMPUTED_VALUE"""),"Instant Forms")</f>
        <v>Instant Forms</v>
      </c>
      <c r="H832" s="19" t="str">
        <f>IFERROR(__xludf.DUMMYFUNCTION("""COMPUTED_VALUE"""),"John Buckley")</f>
        <v>John Buckley</v>
      </c>
      <c r="I832" s="62">
        <f>IFERROR(__xludf.DUMMYFUNCTION("""COMPUTED_VALUE"""),6.1417969337E10)</f>
        <v>61417969337</v>
      </c>
      <c r="J832" s="19" t="str">
        <f>IFERROR(__xludf.DUMMYFUNCTION("""COMPUTED_VALUE"""),"johnbuckos25@gmail.c")</f>
        <v>johnbuckos25@gmail.c</v>
      </c>
    </row>
    <row r="833">
      <c r="A833" s="19" t="str">
        <f>IFERROR(__xludf.DUMMYFUNCTION("""COMPUTED_VALUE"""),"Darren Cooper")</f>
        <v>Darren Cooper</v>
      </c>
      <c r="B833" s="19" t="str">
        <f>IFERROR(__xludf.DUMMYFUNCTION("""COMPUTED_VALUE"""),"QLD")</f>
        <v>QLD</v>
      </c>
      <c r="C833" s="5" t="str">
        <f>IFERROR(__xludf.DUMMYFUNCTION("""COMPUTED_VALUE"""),"Westbrook")</f>
        <v>Westbrook</v>
      </c>
      <c r="D833" s="5" t="str">
        <f>IFERROR(__xludf.DUMMYFUNCTION("""COMPUTED_VALUE"""),"15-17 Gore St Westbrook, Westbrook, 4350")</f>
        <v>15-17 Gore St Westbrook, Westbrook, 4350</v>
      </c>
      <c r="E833" s="25" t="str">
        <f>IFERROR(__xludf.DUMMYFUNCTION("""COMPUTED_VALUE"""),"17/11/2025")</f>
        <v>17/11/2025</v>
      </c>
      <c r="F833" s="5" t="str">
        <f>IFERROR(__xludf.DUMMYFUNCTION("""COMPUTED_VALUE"""),"Featured Plus")</f>
        <v>Featured Plus</v>
      </c>
      <c r="G833" s="19" t="str">
        <f>IFERROR(__xludf.DUMMYFUNCTION("""COMPUTED_VALUE"""),"Meta Commission Report")</f>
        <v>Meta Commission Report</v>
      </c>
      <c r="H833" s="19" t="str">
        <f>IFERROR(__xludf.DUMMYFUNCTION("""COMPUTED_VALUE"""),"Hannah Steger")</f>
        <v>Hannah Steger</v>
      </c>
      <c r="I833" s="62">
        <f>IFERROR(__xludf.DUMMYFUNCTION("""COMPUTED_VALUE"""),6.1407718326E10)</f>
        <v>61407718326</v>
      </c>
      <c r="J833" s="19" t="str">
        <f>IFERROR(__xludf.DUMMYFUNCTION("""COMPUTED_VALUE"""),"hannah.steger88@gmail.com")</f>
        <v>hannah.steger88@gmail.com</v>
      </c>
    </row>
    <row r="834">
      <c r="A834" s="19" t="str">
        <f>IFERROR(__xludf.DUMMYFUNCTION("""COMPUTED_VALUE"""),"Darren Cooper")</f>
        <v>Darren Cooper</v>
      </c>
      <c r="B834" s="19" t="str">
        <f>IFERROR(__xludf.DUMMYFUNCTION("""COMPUTED_VALUE"""),"QLD")</f>
        <v>QLD</v>
      </c>
      <c r="C834" s="5" t="str">
        <f>IFERROR(__xludf.DUMMYFUNCTION("""COMPUTED_VALUE"""),"Glenvale")</f>
        <v>Glenvale</v>
      </c>
      <c r="D834" s="5" t="str">
        <f>IFERROR(__xludf.DUMMYFUNCTION("""COMPUTED_VALUE"""),"Glenvale, 4350")</f>
        <v>Glenvale, 4350</v>
      </c>
      <c r="E834" s="27">
        <f>IFERROR(__xludf.DUMMYFUNCTION("""COMPUTED_VALUE"""),45700.0)</f>
        <v>45700</v>
      </c>
      <c r="F834" s="64">
        <f>IFERROR(__xludf.DUMMYFUNCTION("""COMPUTED_VALUE"""),0.2)</f>
        <v>0.2</v>
      </c>
      <c r="G834" s="19" t="str">
        <f>IFERROR(__xludf.DUMMYFUNCTION("""COMPUTED_VALUE"""),"Meta Commission Report")</f>
        <v>Meta Commission Report</v>
      </c>
      <c r="H834" s="19" t="str">
        <f>IFERROR(__xludf.DUMMYFUNCTION("""COMPUTED_VALUE"""),"Frank Moffatt")</f>
        <v>Frank Moffatt</v>
      </c>
      <c r="I834" s="62">
        <f>IFERROR(__xludf.DUMMYFUNCTION("""COMPUTED_VALUE"""),6.1474470172E10)</f>
        <v>61474470172</v>
      </c>
      <c r="J834" s="19" t="str">
        <f>IFERROR(__xludf.DUMMYFUNCTION("""COMPUTED_VALUE"""),"frmoffattt54@gmail.com")</f>
        <v>frmoffattt54@gmail.com</v>
      </c>
    </row>
    <row r="835">
      <c r="A835" s="19" t="str">
        <f>IFERROR(__xludf.DUMMYFUNCTION("""COMPUTED_VALUE"""),"Darren Cooper")</f>
        <v>Darren Cooper</v>
      </c>
      <c r="B835" s="19" t="str">
        <f>IFERROR(__xludf.DUMMYFUNCTION("""COMPUTED_VALUE"""),"QLD")</f>
        <v>QLD</v>
      </c>
      <c r="C835" s="5" t="str">
        <f>IFERROR(__xludf.DUMMYFUNCTION("""COMPUTED_VALUE"""),"Crows Nest")</f>
        <v>Crows Nest</v>
      </c>
      <c r="D835" s="5" t="str">
        <f>IFERROR(__xludf.DUMMYFUNCTION("""COMPUTED_VALUE"""),"29 Toowoomba Road Crows Nest QLD 4355")</f>
        <v>29 Toowoomba Road Crows Nest QLD 4355</v>
      </c>
      <c r="E835" s="27">
        <f>IFERROR(__xludf.DUMMYFUNCTION("""COMPUTED_VALUE"""),45820.0)</f>
        <v>45820</v>
      </c>
      <c r="F835" s="64">
        <f>IFERROR(__xludf.DUMMYFUNCTION("""COMPUTED_VALUE"""),0.2)</f>
        <v>0.2</v>
      </c>
      <c r="G835" s="19" t="str">
        <f>IFERROR(__xludf.DUMMYFUNCTION("""COMPUTED_VALUE"""),"Commission Comparison")</f>
        <v>Commission Comparison</v>
      </c>
      <c r="H835" s="19" t="str">
        <f>IFERROR(__xludf.DUMMYFUNCTION("""COMPUTED_VALUE"""),"Terry Roberts")</f>
        <v>Terry Roberts</v>
      </c>
      <c r="I835" s="62">
        <f>IFERROR(__xludf.DUMMYFUNCTION("""COMPUTED_VALUE"""),6.1414776226E10)</f>
        <v>61414776226</v>
      </c>
      <c r="J835" s="19" t="str">
        <f>IFERROR(__xludf.DUMMYFUNCTION("""COMPUTED_VALUE"""),"talarak@yahoo.com")</f>
        <v>talarak@yahoo.com</v>
      </c>
    </row>
    <row r="836">
      <c r="A836" s="19" t="str">
        <f>IFERROR(__xludf.DUMMYFUNCTION("""COMPUTED_VALUE"""),"")</f>
        <v/>
      </c>
      <c r="B836" s="19" t="str">
        <f>IFERROR(__xludf.DUMMYFUNCTION("""COMPUTED_VALUE"""),"")</f>
        <v/>
      </c>
      <c r="C836" s="5" t="str">
        <f>IFERROR(__xludf.DUMMYFUNCTION("""COMPUTED_VALUE"""),"")</f>
        <v/>
      </c>
      <c r="D836" s="5" t="str">
        <f>IFERROR(__xludf.DUMMYFUNCTION("""COMPUTED_VALUE"""),"")</f>
        <v/>
      </c>
      <c r="E836" s="5" t="str">
        <f>IFERROR(__xludf.DUMMYFUNCTION("""COMPUTED_VALUE"""),"")</f>
        <v/>
      </c>
      <c r="F836" s="5" t="str">
        <f>IFERROR(__xludf.DUMMYFUNCTION("""COMPUTED_VALUE"""),"")</f>
        <v/>
      </c>
      <c r="G836" s="19" t="str">
        <f>IFERROR(__xludf.DUMMYFUNCTION("""COMPUTED_VALUE"""),"")</f>
        <v/>
      </c>
      <c r="H836" s="19" t="str">
        <f>IFERROR(__xludf.DUMMYFUNCTION("""COMPUTED_VALUE"""),"")</f>
        <v/>
      </c>
      <c r="I836" s="62" t="str">
        <f>IFERROR(__xludf.DUMMYFUNCTION("""COMPUTED_VALUE"""),"")</f>
        <v/>
      </c>
      <c r="J836" s="19" t="str">
        <f>IFERROR(__xludf.DUMMYFUNCTION("""COMPUTED_VALUE"""),"")</f>
        <v/>
      </c>
    </row>
    <row r="837">
      <c r="A837" s="19" t="str">
        <f>IFERROR(__xludf.DUMMYFUNCTION("""COMPUTED_VALUE"""),"")</f>
        <v/>
      </c>
      <c r="B837" s="19" t="str">
        <f>IFERROR(__xludf.DUMMYFUNCTION("""COMPUTED_VALUE"""),"")</f>
        <v/>
      </c>
      <c r="C837" s="5" t="str">
        <f>IFERROR(__xludf.DUMMYFUNCTION("""COMPUTED_VALUE"""),"")</f>
        <v/>
      </c>
      <c r="D837" s="5" t="str">
        <f>IFERROR(__xludf.DUMMYFUNCTION("""COMPUTED_VALUE"""),"")</f>
        <v/>
      </c>
      <c r="E837" s="5" t="str">
        <f>IFERROR(__xludf.DUMMYFUNCTION("""COMPUTED_VALUE"""),"")</f>
        <v/>
      </c>
      <c r="F837" s="5" t="str">
        <f>IFERROR(__xludf.DUMMYFUNCTION("""COMPUTED_VALUE"""),"")</f>
        <v/>
      </c>
      <c r="G837" s="19" t="str">
        <f>IFERROR(__xludf.DUMMYFUNCTION("""COMPUTED_VALUE"""),"")</f>
        <v/>
      </c>
      <c r="H837" s="19" t="str">
        <f>IFERROR(__xludf.DUMMYFUNCTION("""COMPUTED_VALUE"""),"")</f>
        <v/>
      </c>
      <c r="I837" s="62" t="str">
        <f>IFERROR(__xludf.DUMMYFUNCTION("""COMPUTED_VALUE"""),"")</f>
        <v/>
      </c>
      <c r="J837" s="19" t="str">
        <f>IFERROR(__xludf.DUMMYFUNCTION("""COMPUTED_VALUE"""),"")</f>
        <v/>
      </c>
    </row>
    <row r="838">
      <c r="A838" s="19" t="str">
        <f>IFERROR(__xludf.DUMMYFUNCTION("""COMPUTED_VALUE"""),"David Bignoux")</f>
        <v>David Bignoux</v>
      </c>
      <c r="B838" s="19" t="str">
        <f>IFERROR(__xludf.DUMMYFUNCTION("""COMPUTED_VALUE"""),"VIC")</f>
        <v>VIC</v>
      </c>
      <c r="C838" s="5" t="str">
        <f>IFERROR(__xludf.DUMMYFUNCTION("""COMPUTED_VALUE"""),"Maidstone")</f>
        <v>Maidstone</v>
      </c>
      <c r="D838" s="5"/>
      <c r="E838" s="25">
        <f>IFERROR(__xludf.DUMMYFUNCTION("""COMPUTED_VALUE"""),45978.0)</f>
        <v>45978</v>
      </c>
      <c r="F838" s="5">
        <f>IFERROR(__xludf.DUMMYFUNCTION("""COMPUTED_VALUE"""),5.0)</f>
        <v>5</v>
      </c>
      <c r="G838" s="19" t="str">
        <f>IFERROR(__xludf.DUMMYFUNCTION("""COMPUTED_VALUE"""),"Instant Forms")</f>
        <v>Instant Forms</v>
      </c>
      <c r="H838" s="19" t="str">
        <f>IFERROR(__xludf.DUMMYFUNCTION("""COMPUTED_VALUE"""),"Greg Coggiola")</f>
        <v>Greg Coggiola</v>
      </c>
      <c r="I838" s="62">
        <f>IFERROR(__xludf.DUMMYFUNCTION("""COMPUTED_VALUE"""),6.1412905271E10)</f>
        <v>61412905271</v>
      </c>
      <c r="J838" s="19" t="str">
        <f>IFERROR(__xludf.DUMMYFUNCTION("""COMPUTED_VALUE"""),"gregcogg@gmail.com")</f>
        <v>gregcogg@gmail.com</v>
      </c>
    </row>
    <row r="839">
      <c r="A839" s="19" t="str">
        <f>IFERROR(__xludf.DUMMYFUNCTION("""COMPUTED_VALUE"""),"David Bignoux")</f>
        <v>David Bignoux</v>
      </c>
      <c r="B839" s="19" t="str">
        <f>IFERROR(__xludf.DUMMYFUNCTION("""COMPUTED_VALUE"""),"VIC")</f>
        <v>VIC</v>
      </c>
      <c r="C839" s="5" t="str">
        <f>IFERROR(__xludf.DUMMYFUNCTION("""COMPUTED_VALUE"""),"Maribyrnong")</f>
        <v>Maribyrnong</v>
      </c>
      <c r="D839" s="5" t="str">
        <f>IFERROR(__xludf.DUMMYFUNCTION("""COMPUTED_VALUE"""),"2 Primary Place Maribyrnong VIC 3032")</f>
        <v>2 Primary Place Maribyrnong VIC 3032</v>
      </c>
      <c r="E839" s="25">
        <f>IFERROR(__xludf.DUMMYFUNCTION("""COMPUTED_VALUE"""),45978.0)</f>
        <v>45978</v>
      </c>
      <c r="F839" s="5">
        <f>IFERROR(__xludf.DUMMYFUNCTION("""COMPUTED_VALUE"""),6.0)</f>
        <v>6</v>
      </c>
      <c r="G839" s="19" t="str">
        <f>IFERROR(__xludf.DUMMYFUNCTION("""COMPUTED_VALUE"""),"Instant Forms")</f>
        <v>Instant Forms</v>
      </c>
      <c r="H839" s="19" t="str">
        <f>IFERROR(__xludf.DUMMYFUNCTION("""COMPUTED_VALUE"""),"Ema Botonjic")</f>
        <v>Ema Botonjic</v>
      </c>
      <c r="I839" s="62">
        <f>IFERROR(__xludf.DUMMYFUNCTION("""COMPUTED_VALUE"""),6.1400402233E10)</f>
        <v>61400402233</v>
      </c>
      <c r="J839" s="19" t="str">
        <f>IFERROR(__xludf.DUMMYFUNCTION("""COMPUTED_VALUE"""),"botonjic@proton.me")</f>
        <v>botonjic@proton.me</v>
      </c>
    </row>
    <row r="840">
      <c r="A840" s="19" t="str">
        <f>IFERROR(__xludf.DUMMYFUNCTION("""COMPUTED_VALUE"""),"David Bignoux")</f>
        <v>David Bignoux</v>
      </c>
      <c r="B840" s="19" t="str">
        <f>IFERROR(__xludf.DUMMYFUNCTION("""COMPUTED_VALUE"""),"VIC")</f>
        <v>VIC</v>
      </c>
      <c r="C840" s="5" t="str">
        <f>IFERROR(__xludf.DUMMYFUNCTION("""COMPUTED_VALUE"""),"Maribyrnong")</f>
        <v>Maribyrnong</v>
      </c>
      <c r="D840" s="5" t="str">
        <f>IFERROR(__xludf.DUMMYFUNCTION("""COMPUTED_VALUE"""),"35 Monash Street, Maribyrnong, 3032")</f>
        <v>35 Monash Street, Maribyrnong, 3032</v>
      </c>
      <c r="E840" s="5" t="str">
        <f>IFERROR(__xludf.DUMMYFUNCTION("""COMPUTED_VALUE"""),"25/11/2025")</f>
        <v>25/11/2025</v>
      </c>
      <c r="F840" s="5" t="str">
        <f>IFERROR(__xludf.DUMMYFUNCTION("""COMPUTED_VALUE"""),"Featured")</f>
        <v>Featured</v>
      </c>
      <c r="G840" s="19" t="str">
        <f>IFERROR(__xludf.DUMMYFUNCTION("""COMPUTED_VALUE"""),"Meta Commission Report")</f>
        <v>Meta Commission Report</v>
      </c>
      <c r="H840" s="19" t="str">
        <f>IFERROR(__xludf.DUMMYFUNCTION("""COMPUTED_VALUE"""),"Gillian Miller")</f>
        <v>Gillian Miller</v>
      </c>
      <c r="I840" s="62">
        <f>IFERROR(__xludf.DUMMYFUNCTION("""COMPUTED_VALUE"""),6.1418143786E10)</f>
        <v>61418143786</v>
      </c>
      <c r="J840" s="19" t="str">
        <f>IFERROR(__xludf.DUMMYFUNCTION("""COMPUTED_VALUE"""),"gmiller2@vtown.com.au")</f>
        <v>gmiller2@vtown.com.au</v>
      </c>
    </row>
    <row r="841">
      <c r="A841" s="19" t="str">
        <f>IFERROR(__xludf.DUMMYFUNCTION("""COMPUTED_VALUE"""),"David Bignoux")</f>
        <v>David Bignoux</v>
      </c>
      <c r="B841" s="19" t="str">
        <f>IFERROR(__xludf.DUMMYFUNCTION("""COMPUTED_VALUE"""),"VIC")</f>
        <v>VIC</v>
      </c>
      <c r="C841" s="5" t="str">
        <f>IFERROR(__xludf.DUMMYFUNCTION("""COMPUTED_VALUE"""),"Ascot Vale")</f>
        <v>Ascot Vale</v>
      </c>
      <c r="D841" s="5" t="str">
        <f>IFERROR(__xludf.DUMMYFUNCTION("""COMPUTED_VALUE"""),"9 Warrick St, Ascot Vale, 3032")</f>
        <v>9 Warrick St, Ascot Vale, 3032</v>
      </c>
      <c r="E841" s="5" t="str">
        <f>IFERROR(__xludf.DUMMYFUNCTION("""COMPUTED_VALUE"""),"26/11/2025")</f>
        <v>26/11/2025</v>
      </c>
      <c r="F841" s="5" t="str">
        <f>IFERROR(__xludf.DUMMYFUNCTION("""COMPUTED_VALUE"""),"Featured")</f>
        <v>Featured</v>
      </c>
      <c r="G841" s="19" t="str">
        <f>IFERROR(__xludf.DUMMYFUNCTION("""COMPUTED_VALUE"""),"Meta Commission Report")</f>
        <v>Meta Commission Report</v>
      </c>
      <c r="H841" s="19" t="str">
        <f>IFERROR(__xludf.DUMMYFUNCTION("""COMPUTED_VALUE"""),"Heather Reid")</f>
        <v>Heather Reid</v>
      </c>
      <c r="I841" s="62">
        <f>IFERROR(__xludf.DUMMYFUNCTION("""COMPUTED_VALUE"""),6.1413347895E10)</f>
        <v>61413347895</v>
      </c>
      <c r="J841" s="19" t="str">
        <f>IFERROR(__xludf.DUMMYFUNCTION("""COMPUTED_VALUE"""),"heather.margaret.reid@gmail.com")</f>
        <v>heather.margaret.reid@gmail.com</v>
      </c>
    </row>
    <row r="842">
      <c r="A842" s="19" t="str">
        <f>IFERROR(__xludf.DUMMYFUNCTION("""COMPUTED_VALUE"""),"David Bignoux")</f>
        <v>David Bignoux</v>
      </c>
      <c r="B842" s="19" t="str">
        <f>IFERROR(__xludf.DUMMYFUNCTION("""COMPUTED_VALUE"""),"VIC")</f>
        <v>VIC</v>
      </c>
      <c r="C842" s="5">
        <f>IFERROR(__xludf.DUMMYFUNCTION("""COMPUTED_VALUE"""),3032.0)</f>
        <v>3032</v>
      </c>
      <c r="D842" s="5"/>
      <c r="E842" s="27">
        <f>IFERROR(__xludf.DUMMYFUNCTION("""COMPUTED_VALUE"""),45728.0)</f>
        <v>45728</v>
      </c>
      <c r="F842" s="64">
        <f>IFERROR(__xludf.DUMMYFUNCTION("""COMPUTED_VALUE"""),0.0)</f>
        <v>0</v>
      </c>
      <c r="G842" s="19" t="str">
        <f>IFERROR(__xludf.DUMMYFUNCTION("""COMPUTED_VALUE"""),"Instant Forms")</f>
        <v>Instant Forms</v>
      </c>
      <c r="H842" s="19" t="str">
        <f>IFERROR(__xludf.DUMMYFUNCTION("""COMPUTED_VALUE"""),"S Stoddart")</f>
        <v>S Stoddart</v>
      </c>
      <c r="I842" s="62">
        <f>IFERROR(__xludf.DUMMYFUNCTION("""COMPUTED_VALUE"""),6.1478018789E10)</f>
        <v>61478018789</v>
      </c>
      <c r="J842" s="19" t="str">
        <f>IFERROR(__xludf.DUMMYFUNCTION("""COMPUTED_VALUE"""),"selkirk@bigpond.net.au")</f>
        <v>selkirk@bigpond.net.au</v>
      </c>
    </row>
    <row r="843">
      <c r="A843" s="19" t="str">
        <f>IFERROR(__xludf.DUMMYFUNCTION("""COMPUTED_VALUE"""),"")</f>
        <v/>
      </c>
      <c r="B843" s="19" t="str">
        <f>IFERROR(__xludf.DUMMYFUNCTION("""COMPUTED_VALUE"""),"")</f>
        <v/>
      </c>
      <c r="C843" s="5" t="str">
        <f>IFERROR(__xludf.DUMMYFUNCTION("""COMPUTED_VALUE"""),"")</f>
        <v/>
      </c>
      <c r="D843" s="5" t="str">
        <f>IFERROR(__xludf.DUMMYFUNCTION("""COMPUTED_VALUE"""),"")</f>
        <v/>
      </c>
      <c r="E843" s="5" t="str">
        <f>IFERROR(__xludf.DUMMYFUNCTION("""COMPUTED_VALUE"""),"")</f>
        <v/>
      </c>
      <c r="F843" s="5" t="str">
        <f>IFERROR(__xludf.DUMMYFUNCTION("""COMPUTED_VALUE"""),"")</f>
        <v/>
      </c>
      <c r="G843" s="19" t="str">
        <f>IFERROR(__xludf.DUMMYFUNCTION("""COMPUTED_VALUE"""),"")</f>
        <v/>
      </c>
      <c r="H843" s="19" t="str">
        <f>IFERROR(__xludf.DUMMYFUNCTION("""COMPUTED_VALUE"""),"")</f>
        <v/>
      </c>
      <c r="I843" s="62" t="str">
        <f>IFERROR(__xludf.DUMMYFUNCTION("""COMPUTED_VALUE"""),"")</f>
        <v/>
      </c>
      <c r="J843" s="19" t="str">
        <f>IFERROR(__xludf.DUMMYFUNCTION("""COMPUTED_VALUE"""),"")</f>
        <v/>
      </c>
    </row>
    <row r="844">
      <c r="A844" s="19" t="str">
        <f>IFERROR(__xludf.DUMMYFUNCTION("""COMPUTED_VALUE"""),"")</f>
        <v/>
      </c>
      <c r="B844" s="19" t="str">
        <f>IFERROR(__xludf.DUMMYFUNCTION("""COMPUTED_VALUE"""),"")</f>
        <v/>
      </c>
      <c r="C844" s="5" t="str">
        <f>IFERROR(__xludf.DUMMYFUNCTION("""COMPUTED_VALUE"""),"")</f>
        <v/>
      </c>
      <c r="D844" s="5" t="str">
        <f>IFERROR(__xludf.DUMMYFUNCTION("""COMPUTED_VALUE"""),"")</f>
        <v/>
      </c>
      <c r="E844" s="5" t="str">
        <f>IFERROR(__xludf.DUMMYFUNCTION("""COMPUTED_VALUE"""),"")</f>
        <v/>
      </c>
      <c r="F844" s="5" t="str">
        <f>IFERROR(__xludf.DUMMYFUNCTION("""COMPUTED_VALUE"""),"")</f>
        <v/>
      </c>
      <c r="G844" s="19" t="str">
        <f>IFERROR(__xludf.DUMMYFUNCTION("""COMPUTED_VALUE"""),"")</f>
        <v/>
      </c>
      <c r="H844" s="19" t="str">
        <f>IFERROR(__xludf.DUMMYFUNCTION("""COMPUTED_VALUE"""),"")</f>
        <v/>
      </c>
      <c r="I844" s="62" t="str">
        <f>IFERROR(__xludf.DUMMYFUNCTION("""COMPUTED_VALUE"""),"")</f>
        <v/>
      </c>
      <c r="J844" s="19" t="str">
        <f>IFERROR(__xludf.DUMMYFUNCTION("""COMPUTED_VALUE"""),"")</f>
        <v/>
      </c>
    </row>
    <row r="845">
      <c r="A845" s="19" t="str">
        <f>IFERROR(__xludf.DUMMYFUNCTION("""COMPUTED_VALUE"""),"Davide Palermo")</f>
        <v>Davide Palermo</v>
      </c>
      <c r="B845" s="19" t="str">
        <f>IFERROR(__xludf.DUMMYFUNCTION("""COMPUTED_VALUE"""),"WA")</f>
        <v>WA</v>
      </c>
      <c r="C845" s="5" t="str">
        <f>IFERROR(__xludf.DUMMYFUNCTION("""COMPUTED_VALUE"""),"Armadale")</f>
        <v>Armadale</v>
      </c>
      <c r="D845" s="5" t="str">
        <f>IFERROR(__xludf.DUMMYFUNCTION("""COMPUTED_VALUE"""),"2/2 Egan Street Armadale WA 6112")</f>
        <v>2/2 Egan Street Armadale WA 6112</v>
      </c>
      <c r="E845" s="25">
        <f>IFERROR(__xludf.DUMMYFUNCTION("""COMPUTED_VALUE"""),45918.0)</f>
        <v>45918</v>
      </c>
      <c r="F845" s="5">
        <f>IFERROR(__xludf.DUMMYFUNCTION("""COMPUTED_VALUE"""),8.0)</f>
        <v>8</v>
      </c>
      <c r="G845" s="19" t="str">
        <f>IFERROR(__xludf.DUMMYFUNCTION("""COMPUTED_VALUE"""),"Instant Forms")</f>
        <v>Instant Forms</v>
      </c>
      <c r="H845" s="19" t="str">
        <f>IFERROR(__xludf.DUMMYFUNCTION("""COMPUTED_VALUE"""),"Kuini Hakopa")</f>
        <v>Kuini Hakopa</v>
      </c>
      <c r="I845" s="62"/>
      <c r="J845" s="19"/>
    </row>
    <row r="846">
      <c r="A846" s="19" t="str">
        <f>IFERROR(__xludf.DUMMYFUNCTION("""COMPUTED_VALUE"""),"Davide Palermo")</f>
        <v>Davide Palermo</v>
      </c>
      <c r="B846" s="19" t="str">
        <f>IFERROR(__xludf.DUMMYFUNCTION("""COMPUTED_VALUE"""),"WA")</f>
        <v>WA</v>
      </c>
      <c r="C846" s="5" t="str">
        <f>IFERROR(__xludf.DUMMYFUNCTION("""COMPUTED_VALUE"""),"Gosnells")</f>
        <v>Gosnells</v>
      </c>
      <c r="D846" s="5" t="str">
        <f>IFERROR(__xludf.DUMMYFUNCTION("""COMPUTED_VALUE"""),"4/31 Astley Street Gosnells WA 6110")</f>
        <v>4/31 Astley Street Gosnells WA 6110</v>
      </c>
      <c r="E846" s="25">
        <f>IFERROR(__xludf.DUMMYFUNCTION("""COMPUTED_VALUE"""),45918.0)</f>
        <v>45918</v>
      </c>
      <c r="F846" s="5">
        <f>IFERROR(__xludf.DUMMYFUNCTION("""COMPUTED_VALUE"""),8.0)</f>
        <v>8</v>
      </c>
      <c r="G846" s="19" t="str">
        <f>IFERROR(__xludf.DUMMYFUNCTION("""COMPUTED_VALUE"""),"Instant Forms")</f>
        <v>Instant Forms</v>
      </c>
      <c r="H846" s="19" t="str">
        <f>IFERROR(__xludf.DUMMYFUNCTION("""COMPUTED_VALUE"""),"Julie Mennen")</f>
        <v>Julie Mennen</v>
      </c>
      <c r="I846" s="62"/>
      <c r="J846" s="19"/>
    </row>
    <row r="847">
      <c r="A847" s="19" t="str">
        <f>IFERROR(__xludf.DUMMYFUNCTION("""COMPUTED_VALUE"""),"Davide Palermo")</f>
        <v>Davide Palermo</v>
      </c>
      <c r="B847" s="19" t="str">
        <f>IFERROR(__xludf.DUMMYFUNCTION("""COMPUTED_VALUE"""),"WA")</f>
        <v>WA</v>
      </c>
      <c r="C847" s="5" t="str">
        <f>IFERROR(__xludf.DUMMYFUNCTION("""COMPUTED_VALUE"""),"Southern River")</f>
        <v>Southern River</v>
      </c>
      <c r="D847" s="5" t="str">
        <f>IFERROR(__xludf.DUMMYFUNCTION("""COMPUTED_VALUE"""),"26 Dollarbird Road Southern River WA 6110")</f>
        <v>26 Dollarbird Road Southern River WA 6110</v>
      </c>
      <c r="E847" s="25">
        <f>IFERROR(__xludf.DUMMYFUNCTION("""COMPUTED_VALUE"""),45919.0)</f>
        <v>45919</v>
      </c>
      <c r="F847" s="5">
        <f>IFERROR(__xludf.DUMMYFUNCTION("""COMPUTED_VALUE"""),6.0)</f>
        <v>6</v>
      </c>
      <c r="G847" s="19" t="str">
        <f>IFERROR(__xludf.DUMMYFUNCTION("""COMPUTED_VALUE"""),"Instant Forms")</f>
        <v>Instant Forms</v>
      </c>
      <c r="H847" s="19" t="str">
        <f>IFERROR(__xludf.DUMMYFUNCTION("""COMPUTED_VALUE"""),"Ken Tomlinson")</f>
        <v>Ken Tomlinson</v>
      </c>
      <c r="I847" s="62"/>
      <c r="J847" s="19"/>
    </row>
    <row r="848">
      <c r="A848" s="19" t="str">
        <f>IFERROR(__xludf.DUMMYFUNCTION("""COMPUTED_VALUE"""),"Davide Palermo")</f>
        <v>Davide Palermo</v>
      </c>
      <c r="B848" s="19" t="str">
        <f>IFERROR(__xludf.DUMMYFUNCTION("""COMPUTED_VALUE"""),"WA")</f>
        <v>WA</v>
      </c>
      <c r="C848" s="5" t="str">
        <f>IFERROR(__xludf.DUMMYFUNCTION("""COMPUTED_VALUE"""),"Canning Vale")</f>
        <v>Canning Vale</v>
      </c>
      <c r="D848" s="5" t="str">
        <f>IFERROR(__xludf.DUMMYFUNCTION("""COMPUTED_VALUE"""),"4 Cheval Place Canning Vale WA 6155")</f>
        <v>4 Cheval Place Canning Vale WA 6155</v>
      </c>
      <c r="E848" s="25">
        <f>IFERROR(__xludf.DUMMYFUNCTION("""COMPUTED_VALUE"""),45920.0)</f>
        <v>45920</v>
      </c>
      <c r="F848" s="5">
        <f>IFERROR(__xludf.DUMMYFUNCTION("""COMPUTED_VALUE"""),8.0)</f>
        <v>8</v>
      </c>
      <c r="G848" s="19" t="str">
        <f>IFERROR(__xludf.DUMMYFUNCTION("""COMPUTED_VALUE"""),"Instant Forms")</f>
        <v>Instant Forms</v>
      </c>
      <c r="H848" s="19" t="str">
        <f>IFERROR(__xludf.DUMMYFUNCTION("""COMPUTED_VALUE"""),"Bunny Hema")</f>
        <v>Bunny Hema</v>
      </c>
      <c r="I848" s="62"/>
      <c r="J848" s="19"/>
    </row>
    <row r="849">
      <c r="A849" s="19" t="str">
        <f>IFERROR(__xludf.DUMMYFUNCTION("""COMPUTED_VALUE"""),"Davide Palermo")</f>
        <v>Davide Palermo</v>
      </c>
      <c r="B849" s="19" t="str">
        <f>IFERROR(__xludf.DUMMYFUNCTION("""COMPUTED_VALUE"""),"WA")</f>
        <v>WA</v>
      </c>
      <c r="C849" s="5" t="str">
        <f>IFERROR(__xludf.DUMMYFUNCTION("""COMPUTED_VALUE"""),"Huntingdale")</f>
        <v>Huntingdale</v>
      </c>
      <c r="D849" s="5" t="str">
        <f>IFERROR(__xludf.DUMMYFUNCTION("""COMPUTED_VALUE"""),"53 Leatherwood Way Huntingdale WA 6110")</f>
        <v>53 Leatherwood Way Huntingdale WA 6110</v>
      </c>
      <c r="E849" s="25">
        <f>IFERROR(__xludf.DUMMYFUNCTION("""COMPUTED_VALUE"""),45921.0)</f>
        <v>45921</v>
      </c>
      <c r="F849" s="5">
        <f>IFERROR(__xludf.DUMMYFUNCTION("""COMPUTED_VALUE"""),8.0)</f>
        <v>8</v>
      </c>
      <c r="G849" s="19" t="str">
        <f>IFERROR(__xludf.DUMMYFUNCTION("""COMPUTED_VALUE"""),"Instant Forms")</f>
        <v>Instant Forms</v>
      </c>
      <c r="H849" s="19" t="str">
        <f>IFERROR(__xludf.DUMMYFUNCTION("""COMPUTED_VALUE"""),"Sheila khandakar")</f>
        <v>Sheila khandakar</v>
      </c>
      <c r="I849" s="62"/>
      <c r="J849" s="19"/>
    </row>
    <row r="850">
      <c r="A850" s="19" t="str">
        <f>IFERROR(__xludf.DUMMYFUNCTION("""COMPUTED_VALUE"""),"Davide Palermo")</f>
        <v>Davide Palermo</v>
      </c>
      <c r="B850" s="19" t="str">
        <f>IFERROR(__xludf.DUMMYFUNCTION("""COMPUTED_VALUE"""),"WA")</f>
        <v>WA</v>
      </c>
      <c r="C850" s="5" t="str">
        <f>IFERROR(__xludf.DUMMYFUNCTION("""COMPUTED_VALUE"""),"Armadale")</f>
        <v>Armadale</v>
      </c>
      <c r="D850" s="5" t="str">
        <f>IFERROR(__xludf.DUMMYFUNCTION("""COMPUTED_VALUE"""),"40 Waltham Road Armadale WA 6112")</f>
        <v>40 Waltham Road Armadale WA 6112</v>
      </c>
      <c r="E850" s="25">
        <f>IFERROR(__xludf.DUMMYFUNCTION("""COMPUTED_VALUE"""),45922.0)</f>
        <v>45922</v>
      </c>
      <c r="F850" s="5">
        <f>IFERROR(__xludf.DUMMYFUNCTION("""COMPUTED_VALUE"""),8.0)</f>
        <v>8</v>
      </c>
      <c r="G850" s="19" t="str">
        <f>IFERROR(__xludf.DUMMYFUNCTION("""COMPUTED_VALUE"""),"Instant Forms")</f>
        <v>Instant Forms</v>
      </c>
      <c r="H850" s="19" t="str">
        <f>IFERROR(__xludf.DUMMYFUNCTION("""COMPUTED_VALUE"""),"Peter Daw")</f>
        <v>Peter Daw</v>
      </c>
      <c r="I850" s="62"/>
      <c r="J850" s="19"/>
    </row>
    <row r="851">
      <c r="A851" s="19" t="str">
        <f>IFERROR(__xludf.DUMMYFUNCTION("""COMPUTED_VALUE"""),"Davide Palermo")</f>
        <v>Davide Palermo</v>
      </c>
      <c r="B851" s="19" t="str">
        <f>IFERROR(__xludf.DUMMYFUNCTION("""COMPUTED_VALUE"""),"WA")</f>
        <v>WA</v>
      </c>
      <c r="C851" s="5" t="str">
        <f>IFERROR(__xludf.DUMMYFUNCTION("""COMPUTED_VALUE"""),"Armadale")</f>
        <v>Armadale</v>
      </c>
      <c r="D851" s="5" t="str">
        <f>IFERROR(__xludf.DUMMYFUNCTION("""COMPUTED_VALUE"""),"19 seventh road")</f>
        <v>19 seventh road</v>
      </c>
      <c r="E851" s="25">
        <f>IFERROR(__xludf.DUMMYFUNCTION("""COMPUTED_VALUE"""),45926.0)</f>
        <v>45926</v>
      </c>
      <c r="F851" s="5" t="str">
        <f>IFERROR(__xludf.DUMMYFUNCTION("""COMPUTED_VALUE"""),"Featured")</f>
        <v>Featured</v>
      </c>
      <c r="G851" s="19" t="str">
        <f>IFERROR(__xludf.DUMMYFUNCTION("""COMPUTED_VALUE"""),"Commission Comparison")</f>
        <v>Commission Comparison</v>
      </c>
      <c r="H851" s="19"/>
      <c r="I851" s="62"/>
      <c r="J851" s="19"/>
    </row>
    <row r="852">
      <c r="A852" s="19" t="str">
        <f>IFERROR(__xludf.DUMMYFUNCTION("""COMPUTED_VALUE"""),"Davide Palermo")</f>
        <v>Davide Palermo</v>
      </c>
      <c r="B852" s="19" t="str">
        <f>IFERROR(__xludf.DUMMYFUNCTION("""COMPUTED_VALUE"""),"WA")</f>
        <v>WA</v>
      </c>
      <c r="C852" s="5" t="str">
        <f>IFERROR(__xludf.DUMMYFUNCTION("""COMPUTED_VALUE"""),"Kelmscott")</f>
        <v>Kelmscott</v>
      </c>
      <c r="D852" s="5" t="str">
        <f>IFERROR(__xludf.DUMMYFUNCTION("""COMPUTED_VALUE"""),"9 Toscana Way Kelmscott WA 6111")</f>
        <v>9 Toscana Way Kelmscott WA 6111</v>
      </c>
      <c r="E852" s="25">
        <f>IFERROR(__xludf.DUMMYFUNCTION("""COMPUTED_VALUE"""),45926.0)</f>
        <v>45926</v>
      </c>
      <c r="F852" s="5">
        <f>IFERROR(__xludf.DUMMYFUNCTION("""COMPUTED_VALUE"""),8.0)</f>
        <v>8</v>
      </c>
      <c r="G852" s="19" t="str">
        <f>IFERROR(__xludf.DUMMYFUNCTION("""COMPUTED_VALUE"""),"Instant Forms")</f>
        <v>Instant Forms</v>
      </c>
      <c r="H852" s="19" t="str">
        <f>IFERROR(__xludf.DUMMYFUNCTION("""COMPUTED_VALUE"""),"Audrey Gray")</f>
        <v>Audrey Gray</v>
      </c>
      <c r="I852" s="62"/>
      <c r="J852" s="19"/>
    </row>
    <row r="853">
      <c r="A853" s="19" t="str">
        <f>IFERROR(__xludf.DUMMYFUNCTION("""COMPUTED_VALUE"""),"Davide Palermo")</f>
        <v>Davide Palermo</v>
      </c>
      <c r="B853" s="19" t="str">
        <f>IFERROR(__xludf.DUMMYFUNCTION("""COMPUTED_VALUE"""),"WA")</f>
        <v>WA</v>
      </c>
      <c r="C853" s="5" t="str">
        <f>IFERROR(__xludf.DUMMYFUNCTION("""COMPUTED_VALUE"""),"Gosnells")</f>
        <v>Gosnells</v>
      </c>
      <c r="D853" s="5" t="str">
        <f>IFERROR(__xludf.DUMMYFUNCTION("""COMPUTED_VALUE"""),"4 Bilby Place Gosnells WA 6110")</f>
        <v>4 Bilby Place Gosnells WA 6110</v>
      </c>
      <c r="E853" s="25">
        <f>IFERROR(__xludf.DUMMYFUNCTION("""COMPUTED_VALUE"""),45928.0)</f>
        <v>45928</v>
      </c>
      <c r="F853" s="5">
        <f>IFERROR(__xludf.DUMMYFUNCTION("""COMPUTED_VALUE"""),8.0)</f>
        <v>8</v>
      </c>
      <c r="G853" s="19" t="str">
        <f>IFERROR(__xludf.DUMMYFUNCTION("""COMPUTED_VALUE"""),"Instant Forms")</f>
        <v>Instant Forms</v>
      </c>
      <c r="H853" s="19" t="str">
        <f>IFERROR(__xludf.DUMMYFUNCTION("""COMPUTED_VALUE"""),"Jeff Bremner")</f>
        <v>Jeff Bremner</v>
      </c>
      <c r="I853" s="62"/>
      <c r="J853" s="19"/>
    </row>
    <row r="854">
      <c r="A854" s="19" t="str">
        <f>IFERROR(__xludf.DUMMYFUNCTION("""COMPUTED_VALUE"""),"Davide Palermo")</f>
        <v>Davide Palermo</v>
      </c>
      <c r="B854" s="19" t="str">
        <f>IFERROR(__xludf.DUMMYFUNCTION("""COMPUTED_VALUE"""),"WA")</f>
        <v>WA</v>
      </c>
      <c r="C854" s="5" t="str">
        <f>IFERROR(__xludf.DUMMYFUNCTION("""COMPUTED_VALUE"""),"Gosnells")</f>
        <v>Gosnells</v>
      </c>
      <c r="D854" s="5" t="str">
        <f>IFERROR(__xludf.DUMMYFUNCTION("""COMPUTED_VALUE"""),"5 Otley Place Gosnells WA 6110")</f>
        <v>5 Otley Place Gosnells WA 6110</v>
      </c>
      <c r="E854" s="25">
        <f>IFERROR(__xludf.DUMMYFUNCTION("""COMPUTED_VALUE"""),45933.0)</f>
        <v>45933</v>
      </c>
      <c r="F854" s="5">
        <f>IFERROR(__xludf.DUMMYFUNCTION("""COMPUTED_VALUE"""),8.0)</f>
        <v>8</v>
      </c>
      <c r="G854" s="19" t="str">
        <f>IFERROR(__xludf.DUMMYFUNCTION("""COMPUTED_VALUE"""),"Instant Forms")</f>
        <v>Instant Forms</v>
      </c>
      <c r="H854" s="19" t="str">
        <f>IFERROR(__xludf.DUMMYFUNCTION("""COMPUTED_VALUE"""),"Patrick O'Connor")</f>
        <v>Patrick O'Connor</v>
      </c>
      <c r="I854" s="62"/>
      <c r="J854" s="19"/>
    </row>
    <row r="855">
      <c r="A855" s="19" t="str">
        <f>IFERROR(__xludf.DUMMYFUNCTION("""COMPUTED_VALUE"""),"Davide Palermo")</f>
        <v>Davide Palermo</v>
      </c>
      <c r="B855" s="19" t="str">
        <f>IFERROR(__xludf.DUMMYFUNCTION("""COMPUTED_VALUE"""),"WA")</f>
        <v>WA</v>
      </c>
      <c r="C855" s="5" t="str">
        <f>IFERROR(__xludf.DUMMYFUNCTION("""COMPUTED_VALUE"""),"Kelmscott")</f>
        <v>Kelmscott</v>
      </c>
      <c r="D855" s="5" t="str">
        <f>IFERROR(__xludf.DUMMYFUNCTION("""COMPUTED_VALUE"""),"46 Tollington Park Road Kelmscott WA 6111")</f>
        <v>46 Tollington Park Road Kelmscott WA 6111</v>
      </c>
      <c r="E855" s="25">
        <f>IFERROR(__xludf.DUMMYFUNCTION("""COMPUTED_VALUE"""),45935.0)</f>
        <v>45935</v>
      </c>
      <c r="F855" s="5">
        <f>IFERROR(__xludf.DUMMYFUNCTION("""COMPUTED_VALUE"""),8.0)</f>
        <v>8</v>
      </c>
      <c r="G855" s="19" t="str">
        <f>IFERROR(__xludf.DUMMYFUNCTION("""COMPUTED_VALUE"""),"Instant Forms")</f>
        <v>Instant Forms</v>
      </c>
      <c r="H855" s="19" t="str">
        <f>IFERROR(__xludf.DUMMYFUNCTION("""COMPUTED_VALUE"""),"Vic Cook")</f>
        <v>Vic Cook</v>
      </c>
      <c r="I855" s="62"/>
      <c r="J855" s="19"/>
    </row>
    <row r="856">
      <c r="A856" s="19" t="str">
        <f>IFERROR(__xludf.DUMMYFUNCTION("""COMPUTED_VALUE"""),"Davide Palermo")</f>
        <v>Davide Palermo</v>
      </c>
      <c r="B856" s="19" t="str">
        <f>IFERROR(__xludf.DUMMYFUNCTION("""COMPUTED_VALUE"""),"WA")</f>
        <v>WA</v>
      </c>
      <c r="C856" s="5" t="str">
        <f>IFERROR(__xludf.DUMMYFUNCTION("""COMPUTED_VALUE"""),"Armadale")</f>
        <v>Armadale</v>
      </c>
      <c r="D856" s="5" t="str">
        <f>IFERROR(__xludf.DUMMYFUNCTION("""COMPUTED_VALUE"""),"2/2 Egan Street Armadale WA 6112")</f>
        <v>2/2 Egan Street Armadale WA 6112</v>
      </c>
      <c r="E856" s="25">
        <f>IFERROR(__xludf.DUMMYFUNCTION("""COMPUTED_VALUE"""),45943.0)</f>
        <v>45943</v>
      </c>
      <c r="F856" s="5">
        <f>IFERROR(__xludf.DUMMYFUNCTION("""COMPUTED_VALUE"""),10.0)</f>
        <v>10</v>
      </c>
      <c r="G856" s="19" t="str">
        <f>IFERROR(__xludf.DUMMYFUNCTION("""COMPUTED_VALUE"""),"Instant Forms")</f>
        <v>Instant Forms</v>
      </c>
      <c r="H856" s="19"/>
      <c r="I856" s="62"/>
      <c r="J856" s="19"/>
    </row>
    <row r="857">
      <c r="A857" s="19" t="str">
        <f>IFERROR(__xludf.DUMMYFUNCTION("""COMPUTED_VALUE"""),"Davide Palermo")</f>
        <v>Davide Palermo</v>
      </c>
      <c r="B857" s="19" t="str">
        <f>IFERROR(__xludf.DUMMYFUNCTION("""COMPUTED_VALUE"""),"WA")</f>
        <v>WA</v>
      </c>
      <c r="C857" s="5" t="str">
        <f>IFERROR(__xludf.DUMMYFUNCTION("""COMPUTED_VALUE"""),"Piara Waters")</f>
        <v>Piara Waters</v>
      </c>
      <c r="D857" s="5" t="str">
        <f>IFERROR(__xludf.DUMMYFUNCTION("""COMPUTED_VALUE"""),"64 Greywacke Entrance Piara Waters WA 6112")</f>
        <v>64 Greywacke Entrance Piara Waters WA 6112</v>
      </c>
      <c r="E857" s="25">
        <f>IFERROR(__xludf.DUMMYFUNCTION("""COMPUTED_VALUE"""),45943.0)</f>
        <v>45943</v>
      </c>
      <c r="F857" s="5">
        <f>IFERROR(__xludf.DUMMYFUNCTION("""COMPUTED_VALUE"""),8.0)</f>
        <v>8</v>
      </c>
      <c r="G857" s="19" t="str">
        <f>IFERROR(__xludf.DUMMYFUNCTION("""COMPUTED_VALUE"""),"Instant Forms")</f>
        <v>Instant Forms</v>
      </c>
      <c r="H857" s="19"/>
      <c r="I857" s="62"/>
      <c r="J857" s="19"/>
    </row>
    <row r="858">
      <c r="A858" s="19" t="str">
        <f>IFERROR(__xludf.DUMMYFUNCTION("""COMPUTED_VALUE"""),"Davide Palermo")</f>
        <v>Davide Palermo</v>
      </c>
      <c r="B858" s="19" t="str">
        <f>IFERROR(__xludf.DUMMYFUNCTION("""COMPUTED_VALUE"""),"WA")</f>
        <v>WA</v>
      </c>
      <c r="C858" s="5" t="str">
        <f>IFERROR(__xludf.DUMMYFUNCTION("""COMPUTED_VALUE"""),"Success")</f>
        <v>Success</v>
      </c>
      <c r="D858" s="5" t="str">
        <f>IFERROR(__xludf.DUMMYFUNCTION("""COMPUTED_VALUE"""),"27, Steiner AVE, Success. 6164")</f>
        <v>27, Steiner AVE, Success. 6164</v>
      </c>
      <c r="E858" s="25">
        <f>IFERROR(__xludf.DUMMYFUNCTION("""COMPUTED_VALUE"""),45944.0)</f>
        <v>45944</v>
      </c>
      <c r="F858" s="5" t="str">
        <f>IFERROR(__xludf.DUMMYFUNCTION("""COMPUTED_VALUE"""),"Featured")</f>
        <v>Featured</v>
      </c>
      <c r="G858" s="19" t="str">
        <f>IFERROR(__xludf.DUMMYFUNCTION("""COMPUTED_VALUE"""),"Commission Comparison")</f>
        <v>Commission Comparison</v>
      </c>
      <c r="H858" s="19"/>
      <c r="I858" s="62"/>
      <c r="J858" s="19"/>
    </row>
    <row r="859">
      <c r="A859" s="19" t="str">
        <f>IFERROR(__xludf.DUMMYFUNCTION("""COMPUTED_VALUE"""),"Davide Palermo")</f>
        <v>Davide Palermo</v>
      </c>
      <c r="B859" s="19" t="str">
        <f>IFERROR(__xludf.DUMMYFUNCTION("""COMPUTED_VALUE"""),"WA")</f>
        <v>WA</v>
      </c>
      <c r="C859" s="5" t="str">
        <f>IFERROR(__xludf.DUMMYFUNCTION("""COMPUTED_VALUE"""),"Aubin Grove")</f>
        <v>Aubin Grove</v>
      </c>
      <c r="D859" s="5" t="str">
        <f>IFERROR(__xludf.DUMMYFUNCTION("""COMPUTED_VALUE"""),"26 Durango turn Aubin Grove Aubin")</f>
        <v>26 Durango turn Aubin Grove Aubin</v>
      </c>
      <c r="E859" s="25">
        <f>IFERROR(__xludf.DUMMYFUNCTION("""COMPUTED_VALUE"""),45944.0)</f>
        <v>45944</v>
      </c>
      <c r="F859" s="5" t="str">
        <f>IFERROR(__xludf.DUMMYFUNCTION("""COMPUTED_VALUE"""),"Featured")</f>
        <v>Featured</v>
      </c>
      <c r="G859" s="19" t="str">
        <f>IFERROR(__xludf.DUMMYFUNCTION("""COMPUTED_VALUE"""),"Commission Comparison")</f>
        <v>Commission Comparison</v>
      </c>
      <c r="H859" s="19"/>
      <c r="I859" s="62"/>
      <c r="J859" s="19"/>
    </row>
    <row r="860">
      <c r="A860" s="19" t="str">
        <f>IFERROR(__xludf.DUMMYFUNCTION("""COMPUTED_VALUE"""),"Davide Palermo")</f>
        <v>Davide Palermo</v>
      </c>
      <c r="B860" s="19" t="str">
        <f>IFERROR(__xludf.DUMMYFUNCTION("""COMPUTED_VALUE"""),"WA")</f>
        <v>WA</v>
      </c>
      <c r="C860" s="5" t="str">
        <f>IFERROR(__xludf.DUMMYFUNCTION("""COMPUTED_VALUE"""),"Armadale")</f>
        <v>Armadale</v>
      </c>
      <c r="D860" s="5" t="str">
        <f>IFERROR(__xludf.DUMMYFUNCTION("""COMPUTED_VALUE"""),"10 Serls Street Armadale WA 6112")</f>
        <v>10 Serls Street Armadale WA 6112</v>
      </c>
      <c r="E860" s="25">
        <f>IFERROR(__xludf.DUMMYFUNCTION("""COMPUTED_VALUE"""),45946.0)</f>
        <v>45946</v>
      </c>
      <c r="F860" s="5">
        <f>IFERROR(__xludf.DUMMYFUNCTION("""COMPUTED_VALUE"""),9.0)</f>
        <v>9</v>
      </c>
      <c r="G860" s="19" t="str">
        <f>IFERROR(__xludf.DUMMYFUNCTION("""COMPUTED_VALUE"""),"Instant Forms")</f>
        <v>Instant Forms</v>
      </c>
      <c r="H860" s="19"/>
      <c r="I860" s="62"/>
      <c r="J860" s="19"/>
    </row>
    <row r="861">
      <c r="A861" s="19" t="str">
        <f>IFERROR(__xludf.DUMMYFUNCTION("""COMPUTED_VALUE"""),"Davide Palermo")</f>
        <v>Davide Palermo</v>
      </c>
      <c r="B861" s="19" t="str">
        <f>IFERROR(__xludf.DUMMYFUNCTION("""COMPUTED_VALUE"""),"WA")</f>
        <v>WA</v>
      </c>
      <c r="C861" s="5" t="str">
        <f>IFERROR(__xludf.DUMMYFUNCTION("""COMPUTED_VALUE"""),"Martin")</f>
        <v>Martin</v>
      </c>
      <c r="D861" s="5" t="str">
        <f>IFERROR(__xludf.DUMMYFUNCTION("""COMPUTED_VALUE"""),"1 Pages Way Martin WA 6110")</f>
        <v>1 Pages Way Martin WA 6110</v>
      </c>
      <c r="E861" s="25">
        <f>IFERROR(__xludf.DUMMYFUNCTION("""COMPUTED_VALUE"""),45947.0)</f>
        <v>45947</v>
      </c>
      <c r="F861" s="5">
        <f>IFERROR(__xludf.DUMMYFUNCTION("""COMPUTED_VALUE"""),8.0)</f>
        <v>8</v>
      </c>
      <c r="G861" s="19" t="str">
        <f>IFERROR(__xludf.DUMMYFUNCTION("""COMPUTED_VALUE"""),"Instant Forms")</f>
        <v>Instant Forms</v>
      </c>
      <c r="H861" s="19"/>
      <c r="I861" s="62"/>
      <c r="J861" s="19"/>
    </row>
    <row r="862">
      <c r="A862" s="19" t="str">
        <f>IFERROR(__xludf.DUMMYFUNCTION("""COMPUTED_VALUE"""),"Davide Palermo")</f>
        <v>Davide Palermo</v>
      </c>
      <c r="B862" s="19" t="str">
        <f>IFERROR(__xludf.DUMMYFUNCTION("""COMPUTED_VALUE"""),"WA")</f>
        <v>WA</v>
      </c>
      <c r="C862" s="5" t="str">
        <f>IFERROR(__xludf.DUMMYFUNCTION("""COMPUTED_VALUE"""),"Harrisdale")</f>
        <v>Harrisdale</v>
      </c>
      <c r="D862" s="5" t="str">
        <f>IFERROR(__xludf.DUMMYFUNCTION("""COMPUTED_VALUE"""),"15 Mingara Avenue Harrisdale WA 6112")</f>
        <v>15 Mingara Avenue Harrisdale WA 6112</v>
      </c>
      <c r="E862" s="25">
        <f>IFERROR(__xludf.DUMMYFUNCTION("""COMPUTED_VALUE"""),45948.0)</f>
        <v>45948</v>
      </c>
      <c r="F862" s="5">
        <f>IFERROR(__xludf.DUMMYFUNCTION("""COMPUTED_VALUE"""),6.0)</f>
        <v>6</v>
      </c>
      <c r="G862" s="19" t="str">
        <f>IFERROR(__xludf.DUMMYFUNCTION("""COMPUTED_VALUE"""),"Instant Forms")</f>
        <v>Instant Forms</v>
      </c>
      <c r="H862" s="19"/>
      <c r="I862" s="62"/>
      <c r="J862" s="19"/>
    </row>
    <row r="863">
      <c r="A863" s="19" t="str">
        <f>IFERROR(__xludf.DUMMYFUNCTION("""COMPUTED_VALUE"""),"Davide Palermo")</f>
        <v>Davide Palermo</v>
      </c>
      <c r="B863" s="19" t="str">
        <f>IFERROR(__xludf.DUMMYFUNCTION("""COMPUTED_VALUE"""),"WA")</f>
        <v>WA</v>
      </c>
      <c r="C863" s="5" t="str">
        <f>IFERROR(__xludf.DUMMYFUNCTION("""COMPUTED_VALUE"""),"huntingdale")</f>
        <v>huntingdale</v>
      </c>
      <c r="D863" s="5" t="str">
        <f>IFERROR(__xludf.DUMMYFUNCTION("""COMPUTED_VALUE"""),"4 gullima crt huntingdale")</f>
        <v>4 gullima crt huntingdale</v>
      </c>
      <c r="E863" s="25">
        <f>IFERROR(__xludf.DUMMYFUNCTION("""COMPUTED_VALUE"""),45948.0)</f>
        <v>45948</v>
      </c>
      <c r="F863" s="5" t="str">
        <f>IFERROR(__xludf.DUMMYFUNCTION("""COMPUTED_VALUE"""),"Featured")</f>
        <v>Featured</v>
      </c>
      <c r="G863" s="19" t="str">
        <f>IFERROR(__xludf.DUMMYFUNCTION("""COMPUTED_VALUE"""),"Commission Comparison")</f>
        <v>Commission Comparison</v>
      </c>
      <c r="H863" s="19"/>
      <c r="I863" s="62"/>
      <c r="J863" s="19"/>
    </row>
    <row r="864">
      <c r="A864" s="19" t="str">
        <f>IFERROR(__xludf.DUMMYFUNCTION("""COMPUTED_VALUE"""),"Davide Palermo")</f>
        <v>Davide Palermo</v>
      </c>
      <c r="B864" s="19" t="str">
        <f>IFERROR(__xludf.DUMMYFUNCTION("""COMPUTED_VALUE"""),"WA")</f>
        <v>WA</v>
      </c>
      <c r="C864" s="5" t="str">
        <f>IFERROR(__xludf.DUMMYFUNCTION("""COMPUTED_VALUE"""),"Canning Vale")</f>
        <v>Canning Vale</v>
      </c>
      <c r="D864" s="5" t="str">
        <f>IFERROR(__xludf.DUMMYFUNCTION("""COMPUTED_VALUE"""),"26 mclean road, canning vale wa")</f>
        <v>26 mclean road, canning vale wa</v>
      </c>
      <c r="E864" s="25">
        <f>IFERROR(__xludf.DUMMYFUNCTION("""COMPUTED_VALUE"""),45950.0)</f>
        <v>45950</v>
      </c>
      <c r="F864" s="5" t="str">
        <f>IFERROR(__xludf.DUMMYFUNCTION("""COMPUTED_VALUE"""),"Featured")</f>
        <v>Featured</v>
      </c>
      <c r="G864" s="19" t="str">
        <f>IFERROR(__xludf.DUMMYFUNCTION("""COMPUTED_VALUE"""),"Commission Comparison")</f>
        <v>Commission Comparison</v>
      </c>
      <c r="H864" s="19"/>
      <c r="I864" s="62"/>
      <c r="J864" s="19"/>
    </row>
    <row r="865">
      <c r="A865" s="19" t="str">
        <f>IFERROR(__xludf.DUMMYFUNCTION("""COMPUTED_VALUE"""),"Davide Palermo")</f>
        <v>Davide Palermo</v>
      </c>
      <c r="B865" s="19" t="str">
        <f>IFERROR(__xludf.DUMMYFUNCTION("""COMPUTED_VALUE"""),"WA")</f>
        <v>WA</v>
      </c>
      <c r="C865" s="5" t="str">
        <f>IFERROR(__xludf.DUMMYFUNCTION("""COMPUTED_VALUE"""),"Thornlie")</f>
        <v>Thornlie</v>
      </c>
      <c r="D865" s="5" t="str">
        <f>IFERROR(__xludf.DUMMYFUNCTION("""COMPUTED_VALUE"""),"3 Wicklow Street, Thornlie, WA, 6108, Australia")</f>
        <v>3 Wicklow Street, Thornlie, WA, 6108, Australia</v>
      </c>
      <c r="E865" s="25">
        <f>IFERROR(__xludf.DUMMYFUNCTION("""COMPUTED_VALUE"""),45953.0)</f>
        <v>45953</v>
      </c>
      <c r="F865" s="5" t="str">
        <f>IFERROR(__xludf.DUMMYFUNCTION("""COMPUTED_VALUE"""),"Featured")</f>
        <v>Featured</v>
      </c>
      <c r="G865" s="19" t="str">
        <f>IFERROR(__xludf.DUMMYFUNCTION("""COMPUTED_VALUE"""),"Commission Comparison")</f>
        <v>Commission Comparison</v>
      </c>
      <c r="H865" s="19"/>
      <c r="I865" s="62"/>
      <c r="J865" s="19"/>
    </row>
    <row r="866">
      <c r="A866" s="19" t="str">
        <f>IFERROR(__xludf.DUMMYFUNCTION("""COMPUTED_VALUE"""),"Davide Palermo")</f>
        <v>Davide Palermo</v>
      </c>
      <c r="B866" s="19" t="str">
        <f>IFERROR(__xludf.DUMMYFUNCTION("""COMPUTED_VALUE"""),"WA")</f>
        <v>WA</v>
      </c>
      <c r="C866" s="5" t="str">
        <f>IFERROR(__xludf.DUMMYFUNCTION("""COMPUTED_VALUE"""),"Thornlie")</f>
        <v>Thornlie</v>
      </c>
      <c r="D866" s="5" t="str">
        <f>IFERROR(__xludf.DUMMYFUNCTION("""COMPUTED_VALUE"""),"39 Timbercrest Road Thornlie 6108")</f>
        <v>39 Timbercrest Road Thornlie 6108</v>
      </c>
      <c r="E866" s="25">
        <f>IFERROR(__xludf.DUMMYFUNCTION("""COMPUTED_VALUE"""),45955.0)</f>
        <v>45955</v>
      </c>
      <c r="F866" s="5" t="str">
        <f>IFERROR(__xludf.DUMMYFUNCTION("""COMPUTED_VALUE"""),"Featured")</f>
        <v>Featured</v>
      </c>
      <c r="G866" s="19" t="str">
        <f>IFERROR(__xludf.DUMMYFUNCTION("""COMPUTED_VALUE"""),"Commission Comparison")</f>
        <v>Commission Comparison</v>
      </c>
      <c r="H866" s="19"/>
      <c r="I866" s="62"/>
      <c r="J866" s="19"/>
    </row>
    <row r="867">
      <c r="A867" s="19" t="str">
        <f>IFERROR(__xludf.DUMMYFUNCTION("""COMPUTED_VALUE"""),"Davide Palermo")</f>
        <v>Davide Palermo</v>
      </c>
      <c r="B867" s="19" t="str">
        <f>IFERROR(__xludf.DUMMYFUNCTION("""COMPUTED_VALUE"""),"WA")</f>
        <v>WA</v>
      </c>
      <c r="C867" s="5" t="str">
        <f>IFERROR(__xludf.DUMMYFUNCTION("""COMPUTED_VALUE"""),"Thornlie")</f>
        <v>Thornlie</v>
      </c>
      <c r="D867" s="5" t="str">
        <f>IFERROR(__xludf.DUMMYFUNCTION("""COMPUTED_VALUE"""),"26 pioneer drive Thornlie")</f>
        <v>26 pioneer drive Thornlie</v>
      </c>
      <c r="E867" s="25">
        <f>IFERROR(__xludf.DUMMYFUNCTION("""COMPUTED_VALUE"""),45955.0)</f>
        <v>45955</v>
      </c>
      <c r="F867" s="5" t="str">
        <f>IFERROR(__xludf.DUMMYFUNCTION("""COMPUTED_VALUE"""),"Featured")</f>
        <v>Featured</v>
      </c>
      <c r="G867" s="19" t="str">
        <f>IFERROR(__xludf.DUMMYFUNCTION("""COMPUTED_VALUE"""),"Commission Comparison")</f>
        <v>Commission Comparison</v>
      </c>
      <c r="H867" s="19"/>
      <c r="I867" s="62"/>
      <c r="J867" s="19"/>
    </row>
    <row r="868">
      <c r="A868" s="19" t="str">
        <f>IFERROR(__xludf.DUMMYFUNCTION("""COMPUTED_VALUE"""),"Davide Palermo")</f>
        <v>Davide Palermo</v>
      </c>
      <c r="B868" s="19" t="str">
        <f>IFERROR(__xludf.DUMMYFUNCTION("""COMPUTED_VALUE"""),"WA")</f>
        <v>WA</v>
      </c>
      <c r="C868" s="5" t="str">
        <f>IFERROR(__xludf.DUMMYFUNCTION("""COMPUTED_VALUE"""),"Southern River")</f>
        <v>Southern River</v>
      </c>
      <c r="D868" s="5" t="str">
        <f>IFERROR(__xludf.DUMMYFUNCTION("""COMPUTED_VALUE"""),"11 Trumpet Street Southern River WA 6110")</f>
        <v>11 Trumpet Street Southern River WA 6110</v>
      </c>
      <c r="E868" s="25">
        <f>IFERROR(__xludf.DUMMYFUNCTION("""COMPUTED_VALUE"""),45956.0)</f>
        <v>45956</v>
      </c>
      <c r="F868" s="5">
        <f>IFERROR(__xludf.DUMMYFUNCTION("""COMPUTED_VALUE"""),6.0)</f>
        <v>6</v>
      </c>
      <c r="G868" s="19" t="str">
        <f>IFERROR(__xludf.DUMMYFUNCTION("""COMPUTED_VALUE"""),"Instant Forms")</f>
        <v>Instant Forms</v>
      </c>
      <c r="H868" s="19"/>
      <c r="I868" s="62"/>
      <c r="J868" s="19"/>
    </row>
    <row r="869">
      <c r="A869" s="19" t="str">
        <f>IFERROR(__xludf.DUMMYFUNCTION("""COMPUTED_VALUE"""),"Davide Palermo")</f>
        <v>Davide Palermo</v>
      </c>
      <c r="B869" s="19" t="str">
        <f>IFERROR(__xludf.DUMMYFUNCTION("""COMPUTED_VALUE"""),"WA")</f>
        <v>WA</v>
      </c>
      <c r="C869" s="5" t="str">
        <f>IFERROR(__xludf.DUMMYFUNCTION("""COMPUTED_VALUE"""),"Armadale")</f>
        <v>Armadale</v>
      </c>
      <c r="D869" s="5" t="str">
        <f>IFERROR(__xludf.DUMMYFUNCTION("""COMPUTED_VALUE"""),"92 Doorigo Road Armadale WA 6112")</f>
        <v>92 Doorigo Road Armadale WA 6112</v>
      </c>
      <c r="E869" s="25">
        <f>IFERROR(__xludf.DUMMYFUNCTION("""COMPUTED_VALUE"""),45960.0)</f>
        <v>45960</v>
      </c>
      <c r="F869" s="5" t="str">
        <f>IFERROR(__xludf.DUMMYFUNCTION("""COMPUTED_VALUE"""),"Featured")</f>
        <v>Featured</v>
      </c>
      <c r="G869" s="19" t="str">
        <f>IFERROR(__xludf.DUMMYFUNCTION("""COMPUTED_VALUE"""),"Commission Comparison")</f>
        <v>Commission Comparison</v>
      </c>
      <c r="H869" s="19"/>
      <c r="I869" s="62"/>
      <c r="J869" s="19"/>
    </row>
    <row r="870">
      <c r="A870" s="19" t="str">
        <f>IFERROR(__xludf.DUMMYFUNCTION("""COMPUTED_VALUE"""),"Davide Palermo")</f>
        <v>Davide Palermo</v>
      </c>
      <c r="B870" s="19" t="str">
        <f>IFERROR(__xludf.DUMMYFUNCTION("""COMPUTED_VALUE"""),"WA")</f>
        <v>WA</v>
      </c>
      <c r="C870" s="5" t="str">
        <f>IFERROR(__xludf.DUMMYFUNCTION("""COMPUTED_VALUE"""),"Thornlie")</f>
        <v>Thornlie</v>
      </c>
      <c r="D870" s="5" t="str">
        <f>IFERROR(__xludf.DUMMYFUNCTION("""COMPUTED_VALUE"""),"17 Tarragon Place Thornlie")</f>
        <v>17 Tarragon Place Thornlie</v>
      </c>
      <c r="E870" s="25">
        <f>IFERROR(__xludf.DUMMYFUNCTION("""COMPUTED_VALUE"""),45964.0)</f>
        <v>45964</v>
      </c>
      <c r="F870" s="5" t="str">
        <f>IFERROR(__xludf.DUMMYFUNCTION("""COMPUTED_VALUE"""),"Featured")</f>
        <v>Featured</v>
      </c>
      <c r="G870" s="19" t="str">
        <f>IFERROR(__xludf.DUMMYFUNCTION("""COMPUTED_VALUE"""),"Commission Comparison")</f>
        <v>Commission Comparison</v>
      </c>
      <c r="H870" s="19"/>
      <c r="I870" s="62"/>
      <c r="J870" s="19"/>
    </row>
    <row r="871">
      <c r="A871" s="19" t="str">
        <f>IFERROR(__xludf.DUMMYFUNCTION("""COMPUTED_VALUE"""),"Davide Palermo")</f>
        <v>Davide Palermo</v>
      </c>
      <c r="B871" s="19" t="str">
        <f>IFERROR(__xludf.DUMMYFUNCTION("""COMPUTED_VALUE"""),"WA")</f>
        <v>WA</v>
      </c>
      <c r="C871" s="5" t="str">
        <f>IFERROR(__xludf.DUMMYFUNCTION("""COMPUTED_VALUE"""),"Byford")</f>
        <v>Byford</v>
      </c>
      <c r="D871" s="5" t="str">
        <f>IFERROR(__xludf.DUMMYFUNCTION("""COMPUTED_VALUE"""),"79 mead st Byford WA 6122, Byford, 6122")</f>
        <v>79 mead st Byford WA 6122, Byford, 6122</v>
      </c>
      <c r="E871" s="27">
        <f>IFERROR(__xludf.DUMMYFUNCTION("""COMPUTED_VALUE"""),45788.0)</f>
        <v>45788</v>
      </c>
      <c r="F871" s="5" t="str">
        <f>IFERROR(__xludf.DUMMYFUNCTION("""COMPUTED_VALUE"""),"Featured")</f>
        <v>Featured</v>
      </c>
      <c r="G871" s="19" t="str">
        <f>IFERROR(__xludf.DUMMYFUNCTION("""COMPUTED_VALUE"""),"Meta Commission Report")</f>
        <v>Meta Commission Report</v>
      </c>
      <c r="H871" s="19" t="str">
        <f>IFERROR(__xludf.DUMMYFUNCTION("""COMPUTED_VALUE"""),"Wayne Weber")</f>
        <v>Wayne Weber</v>
      </c>
      <c r="I871" s="62">
        <f>IFERROR(__xludf.DUMMYFUNCTION("""COMPUTED_VALUE"""),6.1491123671E10)</f>
        <v>61491123671</v>
      </c>
      <c r="J871" s="19" t="str">
        <f>IFERROR(__xludf.DUMMYFUNCTION("""COMPUTED_VALUE"""),"wobbly.weber@gmail.com")</f>
        <v>wobbly.weber@gmail.com</v>
      </c>
    </row>
    <row r="872">
      <c r="A872" s="19" t="str">
        <f>IFERROR(__xludf.DUMMYFUNCTION("""COMPUTED_VALUE"""),"Davide Palermo")</f>
        <v>Davide Palermo</v>
      </c>
      <c r="B872" s="19" t="str">
        <f>IFERROR(__xludf.DUMMYFUNCTION("""COMPUTED_VALUE"""),"WA")</f>
        <v>WA</v>
      </c>
      <c r="C872" s="5" t="str">
        <f>IFERROR(__xludf.DUMMYFUNCTION("""COMPUTED_VALUE"""),"Huntingdale")</f>
        <v>Huntingdale</v>
      </c>
      <c r="D872" s="5" t="str">
        <f>IFERROR(__xludf.DUMMYFUNCTION("""COMPUTED_VALUE"""),"4 fountain way huntingdale, Huntingdale, 6110")</f>
        <v>4 fountain way huntingdale, Huntingdale, 6110</v>
      </c>
      <c r="E872" s="27">
        <f>IFERROR(__xludf.DUMMYFUNCTION("""COMPUTED_VALUE"""),45819.0)</f>
        <v>45819</v>
      </c>
      <c r="F872" s="5" t="str">
        <f>IFERROR(__xludf.DUMMYFUNCTION("""COMPUTED_VALUE"""),"Featured")</f>
        <v>Featured</v>
      </c>
      <c r="G872" s="19" t="str">
        <f>IFERROR(__xludf.DUMMYFUNCTION("""COMPUTED_VALUE"""),"Meta Commission Report")</f>
        <v>Meta Commission Report</v>
      </c>
      <c r="H872" s="19" t="str">
        <f>IFERROR(__xludf.DUMMYFUNCTION("""COMPUTED_VALUE"""),"Erica Biagioni")</f>
        <v>Erica Biagioni</v>
      </c>
      <c r="I872" s="62">
        <f>IFERROR(__xludf.DUMMYFUNCTION("""COMPUTED_VALUE"""),6.1402521691E10)</f>
        <v>61402521691</v>
      </c>
      <c r="J872" s="19" t="str">
        <f>IFERROR(__xludf.DUMMYFUNCTION("""COMPUTED_VALUE"""),"ericasb@gmail.com.au")</f>
        <v>ericasb@gmail.com.au</v>
      </c>
    </row>
    <row r="873">
      <c r="A873" s="19" t="str">
        <f>IFERROR(__xludf.DUMMYFUNCTION("""COMPUTED_VALUE"""),"Davide Palermo")</f>
        <v>Davide Palermo</v>
      </c>
      <c r="B873" s="19" t="str">
        <f>IFERROR(__xludf.DUMMYFUNCTION("""COMPUTED_VALUE"""),"WA")</f>
        <v>WA</v>
      </c>
      <c r="C873" s="5" t="str">
        <f>IFERROR(__xludf.DUMMYFUNCTION("""COMPUTED_VALUE"""),"Hilbert")</f>
        <v>Hilbert</v>
      </c>
      <c r="D873" s="5" t="str">
        <f>IFERROR(__xludf.DUMMYFUNCTION("""COMPUTED_VALUE"""),"11 Ardara Lane  HILBERT 6112 WA, Hilbert, 6112")</f>
        <v>11 Ardara Lane  HILBERT 6112 WA, Hilbert, 6112</v>
      </c>
      <c r="E873" s="25">
        <f>IFERROR(__xludf.DUMMYFUNCTION("""COMPUTED_VALUE"""),45849.0)</f>
        <v>45849</v>
      </c>
      <c r="F873" s="5" t="str">
        <f>IFERROR(__xludf.DUMMYFUNCTION("""COMPUTED_VALUE"""),"Featured")</f>
        <v>Featured</v>
      </c>
      <c r="G873" s="19" t="str">
        <f>IFERROR(__xludf.DUMMYFUNCTION("""COMPUTED_VALUE"""),"Meta Commission Report")</f>
        <v>Meta Commission Report</v>
      </c>
      <c r="H873" s="19" t="str">
        <f>IFERROR(__xludf.DUMMYFUNCTION("""COMPUTED_VALUE"""),"Felly Abarquez Bacalla")</f>
        <v>Felly Abarquez Bacalla</v>
      </c>
      <c r="I873" s="62">
        <f>IFERROR(__xludf.DUMMYFUNCTION("""COMPUTED_VALUE"""),6.1417907267E10)</f>
        <v>61417907267</v>
      </c>
      <c r="J873" s="19" t="str">
        <f>IFERROR(__xludf.DUMMYFUNCTION("""COMPUTED_VALUE"""),"fely_reegan@yahoo.com")</f>
        <v>fely_reegan@yahoo.com</v>
      </c>
    </row>
    <row r="874">
      <c r="A874" s="19" t="str">
        <f>IFERROR(__xludf.DUMMYFUNCTION("""COMPUTED_VALUE"""),"Davide Palermo")</f>
        <v>Davide Palermo</v>
      </c>
      <c r="B874" s="19" t="str">
        <f>IFERROR(__xludf.DUMMYFUNCTION("""COMPUTED_VALUE"""),"WA")</f>
        <v>WA</v>
      </c>
      <c r="C874" s="5" t="str">
        <f>IFERROR(__xludf.DUMMYFUNCTION("""COMPUTED_VALUE"""),"Armadale")</f>
        <v>Armadale</v>
      </c>
      <c r="D874" s="5" t="str">
        <f>IFERROR(__xludf.DUMMYFUNCTION("""COMPUTED_VALUE"""),"24 Seventh Road Armadale WA 6112")</f>
        <v>24 Seventh Road Armadale WA 6112</v>
      </c>
      <c r="E874" s="25">
        <f>IFERROR(__xludf.DUMMYFUNCTION("""COMPUTED_VALUE"""),45971.0)</f>
        <v>45971</v>
      </c>
      <c r="F874" s="5">
        <f>IFERROR(__xludf.DUMMYFUNCTION("""COMPUTED_VALUE"""),8.0)</f>
        <v>8</v>
      </c>
      <c r="G874" s="19" t="str">
        <f>IFERROR(__xludf.DUMMYFUNCTION("""COMPUTED_VALUE"""),"Instant Forms")</f>
        <v>Instant Forms</v>
      </c>
      <c r="H874" s="19" t="str">
        <f>IFERROR(__xludf.DUMMYFUNCTION("""COMPUTED_VALUE"""),"Ian Cross")</f>
        <v>Ian Cross</v>
      </c>
      <c r="I874" s="62">
        <f>IFERROR(__xludf.DUMMYFUNCTION("""COMPUTED_VALUE"""),6.1450942028E10)</f>
        <v>61450942028</v>
      </c>
      <c r="J874" s="19" t="str">
        <f>IFERROR(__xludf.DUMMYFUNCTION("""COMPUTED_VALUE"""),"lowenhyt@icloud.com")</f>
        <v>lowenhyt@icloud.com</v>
      </c>
    </row>
    <row r="875">
      <c r="A875" s="19" t="str">
        <f>IFERROR(__xludf.DUMMYFUNCTION("""COMPUTED_VALUE"""),"Davide Palermo")</f>
        <v>Davide Palermo</v>
      </c>
      <c r="B875" s="19" t="str">
        <f>IFERROR(__xludf.DUMMYFUNCTION("""COMPUTED_VALUE"""),"WA")</f>
        <v>WA</v>
      </c>
      <c r="C875" s="5" t="str">
        <f>IFERROR(__xludf.DUMMYFUNCTION("""COMPUTED_VALUE"""),"Southern River")</f>
        <v>Southern River</v>
      </c>
      <c r="D875" s="5" t="str">
        <f>IFERROR(__xludf.DUMMYFUNCTION("""COMPUTED_VALUE"""),"91 holmes st. southern river.6110, Southern River, 6110")</f>
        <v>91 holmes st. southern river.6110, Southern River, 6110</v>
      </c>
      <c r="E875" s="25">
        <f>IFERROR(__xludf.DUMMYFUNCTION("""COMPUTED_VALUE"""),45972.0)</f>
        <v>45972</v>
      </c>
      <c r="F875" s="5" t="str">
        <f>IFERROR(__xludf.DUMMYFUNCTION("""COMPUTED_VALUE"""),"Featured")</f>
        <v>Featured</v>
      </c>
      <c r="G875" s="19" t="str">
        <f>IFERROR(__xludf.DUMMYFUNCTION("""COMPUTED_VALUE"""),"Meta Commission Report")</f>
        <v>Meta Commission Report</v>
      </c>
      <c r="H875" s="19" t="str">
        <f>IFERROR(__xludf.DUMMYFUNCTION("""COMPUTED_VALUE"""),"Mary ann jones")</f>
        <v>Mary ann jones</v>
      </c>
      <c r="I875" s="62">
        <f>IFERROR(__xludf.DUMMYFUNCTION("""COMPUTED_VALUE"""),6.1405934596E10)</f>
        <v>61405934596</v>
      </c>
      <c r="J875" s="19" t="str">
        <f>IFERROR(__xludf.DUMMYFUNCTION("""COMPUTED_VALUE"""),"maryannjones035@gmail.com")</f>
        <v>maryannjones035@gmail.com</v>
      </c>
    </row>
    <row r="876">
      <c r="A876" s="19" t="str">
        <f>IFERROR(__xludf.DUMMYFUNCTION("""COMPUTED_VALUE"""),"Davide Palermo")</f>
        <v>Davide Palermo</v>
      </c>
      <c r="B876" s="19" t="str">
        <f>IFERROR(__xludf.DUMMYFUNCTION("""COMPUTED_VALUE"""),"WA")</f>
        <v>WA</v>
      </c>
      <c r="C876" s="5" t="str">
        <f>IFERROR(__xludf.DUMMYFUNCTION("""COMPUTED_VALUE"""),"Gosnells")</f>
        <v>Gosnells</v>
      </c>
      <c r="D876" s="5" t="str">
        <f>IFERROR(__xludf.DUMMYFUNCTION("""COMPUTED_VALUE"""),"Billy place  Gosnells, Gosnells, 6109")</f>
        <v>Billy place  Gosnells, Gosnells, 6109</v>
      </c>
      <c r="E876" s="25">
        <f>IFERROR(__xludf.DUMMYFUNCTION("""COMPUTED_VALUE"""),46002.0)</f>
        <v>46002</v>
      </c>
      <c r="F876" s="5" t="str">
        <f>IFERROR(__xludf.DUMMYFUNCTION("""COMPUTED_VALUE"""),"Featured")</f>
        <v>Featured</v>
      </c>
      <c r="G876" s="19" t="str">
        <f>IFERROR(__xludf.DUMMYFUNCTION("""COMPUTED_VALUE"""),"Meta Commission Report")</f>
        <v>Meta Commission Report</v>
      </c>
      <c r="H876" s="19" t="str">
        <f>IFERROR(__xludf.DUMMYFUNCTION("""COMPUTED_VALUE"""),"Jeff Bremner")</f>
        <v>Jeff Bremner</v>
      </c>
      <c r="I876" s="62">
        <f>IFERROR(__xludf.DUMMYFUNCTION("""COMPUTED_VALUE"""),6.1412094476E10)</f>
        <v>61412094476</v>
      </c>
      <c r="J876" s="19" t="str">
        <f>IFERROR(__xludf.DUMMYFUNCTION("""COMPUTED_VALUE"""),"twasame@hotmail.com")</f>
        <v>twasame@hotmail.com</v>
      </c>
    </row>
    <row r="877">
      <c r="A877" s="19" t="str">
        <f>IFERROR(__xludf.DUMMYFUNCTION("""COMPUTED_VALUE"""),"Davide Palermo")</f>
        <v>Davide Palermo</v>
      </c>
      <c r="B877" s="19" t="str">
        <f>IFERROR(__xludf.DUMMYFUNCTION("""COMPUTED_VALUE"""),"WA")</f>
        <v>WA</v>
      </c>
      <c r="C877" s="5" t="str">
        <f>IFERROR(__xludf.DUMMYFUNCTION("""COMPUTED_VALUE"""),"Canning Vale")</f>
        <v>Canning Vale</v>
      </c>
      <c r="D877" s="5" t="str">
        <f>IFERROR(__xludf.DUMMYFUNCTION("""COMPUTED_VALUE"""),"12 Kingsway Gardens Canning Vale WA 6155")</f>
        <v>12 Kingsway Gardens Canning Vale WA 6155</v>
      </c>
      <c r="E877" s="25">
        <f>IFERROR(__xludf.DUMMYFUNCTION("""COMPUTED_VALUE"""),45974.0)</f>
        <v>45974</v>
      </c>
      <c r="F877" s="5">
        <f>IFERROR(__xludf.DUMMYFUNCTION("""COMPUTED_VALUE"""),8.0)</f>
        <v>8</v>
      </c>
      <c r="G877" s="19" t="str">
        <f>IFERROR(__xludf.DUMMYFUNCTION("""COMPUTED_VALUE"""),"Instant Forms")</f>
        <v>Instant Forms</v>
      </c>
      <c r="H877" s="19" t="str">
        <f>IFERROR(__xludf.DUMMYFUNCTION("""COMPUTED_VALUE"""),"Katherine Gan")</f>
        <v>Katherine Gan</v>
      </c>
      <c r="I877" s="62">
        <f>IFERROR(__xludf.DUMMYFUNCTION("""COMPUTED_VALUE"""),6.1411418596E10)</f>
        <v>61411418596</v>
      </c>
      <c r="J877" s="19" t="str">
        <f>IFERROR(__xludf.DUMMYFUNCTION("""COMPUTED_VALUE"""),"kat_kpi@yahoo.com")</f>
        <v>kat_kpi@yahoo.com</v>
      </c>
    </row>
    <row r="878">
      <c r="A878" s="19" t="str">
        <f>IFERROR(__xludf.DUMMYFUNCTION("""COMPUTED_VALUE"""),"Davide Palermo")</f>
        <v>Davide Palermo</v>
      </c>
      <c r="B878" s="19" t="str">
        <f>IFERROR(__xludf.DUMMYFUNCTION("""COMPUTED_VALUE"""),"WA")</f>
        <v>WA</v>
      </c>
      <c r="C878" s="5" t="str">
        <f>IFERROR(__xludf.DUMMYFUNCTION("""COMPUTED_VALUE"""),"Huntingdale")</f>
        <v>Huntingdale</v>
      </c>
      <c r="D878" s="5" t="str">
        <f>IFERROR(__xludf.DUMMYFUNCTION("""COMPUTED_VALUE"""),"13 bullock ct huntingdale w.a, huntingdale, 6110")</f>
        <v>13 bullock ct huntingdale w.a, huntingdale, 6110</v>
      </c>
      <c r="E878" s="25" t="str">
        <f>IFERROR(__xludf.DUMMYFUNCTION("""COMPUTED_VALUE"""),"17/11/2025")</f>
        <v>17/11/2025</v>
      </c>
      <c r="F878" s="5" t="str">
        <f>IFERROR(__xludf.DUMMYFUNCTION("""COMPUTED_VALUE"""),"Featured")</f>
        <v>Featured</v>
      </c>
      <c r="G878" s="19" t="str">
        <f>IFERROR(__xludf.DUMMYFUNCTION("""COMPUTED_VALUE"""),"Meta Commission Report")</f>
        <v>Meta Commission Report</v>
      </c>
      <c r="H878" s="19" t="str">
        <f>IFERROR(__xludf.DUMMYFUNCTION("""COMPUTED_VALUE"""),"Barry Best")</f>
        <v>Barry Best</v>
      </c>
      <c r="I878" s="62">
        <f>IFERROR(__xludf.DUMMYFUNCTION("""COMPUTED_VALUE"""),6.1419850559E10)</f>
        <v>61419850559</v>
      </c>
      <c r="J878" s="19" t="str">
        <f>IFERROR(__xludf.DUMMYFUNCTION("""COMPUTED_VALUE"""),"barry.best@bigpond.com")</f>
        <v>barry.best@bigpond.com</v>
      </c>
    </row>
    <row r="879">
      <c r="A879" s="19" t="str">
        <f>IFERROR(__xludf.DUMMYFUNCTION("""COMPUTED_VALUE"""),"Davide Palermo")</f>
        <v>Davide Palermo</v>
      </c>
      <c r="B879" s="19" t="str">
        <f>IFERROR(__xludf.DUMMYFUNCTION("""COMPUTED_VALUE"""),"WA")</f>
        <v>WA</v>
      </c>
      <c r="C879" s="5" t="str">
        <f>IFERROR(__xludf.DUMMYFUNCTION("""COMPUTED_VALUE"""),"Thornlie")</f>
        <v>Thornlie</v>
      </c>
      <c r="D879" s="5"/>
      <c r="E879" s="5" t="str">
        <f>IFERROR(__xludf.DUMMYFUNCTION("""COMPUTED_VALUE"""),"27/11/2025")</f>
        <v>27/11/2025</v>
      </c>
      <c r="F879" s="64">
        <f>IFERROR(__xludf.DUMMYFUNCTION("""COMPUTED_VALUE"""),0.0)</f>
        <v>0</v>
      </c>
      <c r="G879" s="19" t="str">
        <f>IFERROR(__xludf.DUMMYFUNCTION("""COMPUTED_VALUE"""),"Instant Forms")</f>
        <v>Instant Forms</v>
      </c>
      <c r="H879" s="19" t="str">
        <f>IFERROR(__xludf.DUMMYFUNCTION("""COMPUTED_VALUE"""),"Shantell Smith")</f>
        <v>Shantell Smith</v>
      </c>
      <c r="I879" s="62">
        <f>IFERROR(__xludf.DUMMYFUNCTION("""COMPUTED_VALUE"""),6.1433212315E10)</f>
        <v>61433212315</v>
      </c>
      <c r="J879" s="19" t="str">
        <f>IFERROR(__xludf.DUMMYFUNCTION("""COMPUTED_VALUE"""),"ssmithperth@hotmail.com")</f>
        <v>ssmithperth@hotmail.com</v>
      </c>
    </row>
    <row r="880">
      <c r="A880" s="19" t="str">
        <f>IFERROR(__xludf.DUMMYFUNCTION("""COMPUTED_VALUE"""),"Davide Palermo")</f>
        <v>Davide Palermo</v>
      </c>
      <c r="B880" s="19" t="str">
        <f>IFERROR(__xludf.DUMMYFUNCTION("""COMPUTED_VALUE"""),"WA")</f>
        <v>WA</v>
      </c>
      <c r="C880" s="5" t="str">
        <f>IFERROR(__xludf.DUMMYFUNCTION("""COMPUTED_VALUE"""),"Armadale")</f>
        <v>Armadale</v>
      </c>
      <c r="D880" s="5" t="str">
        <f>IFERROR(__xludf.DUMMYFUNCTION("""COMPUTED_VALUE"""),"51 Gribble Avenue")</f>
        <v>51 Gribble Avenue</v>
      </c>
      <c r="E880" s="27">
        <f>IFERROR(__xludf.DUMMYFUNCTION("""COMPUTED_VALUE"""),45669.0)</f>
        <v>45669</v>
      </c>
      <c r="F880" s="64">
        <f>IFERROR(__xludf.DUMMYFUNCTION("""COMPUTED_VALUE"""),0.2)</f>
        <v>0.2</v>
      </c>
      <c r="G880" s="19" t="str">
        <f>IFERROR(__xludf.DUMMYFUNCTION("""COMPUTED_VALUE"""),"Commission Comparison")</f>
        <v>Commission Comparison</v>
      </c>
      <c r="H880" s="19" t="str">
        <f>IFERROR(__xludf.DUMMYFUNCTION("""COMPUTED_VALUE"""),"Robert Bindahneem")</f>
        <v>Robert Bindahneem</v>
      </c>
      <c r="I880" s="62">
        <f>IFERROR(__xludf.DUMMYFUNCTION("""COMPUTED_VALUE"""),6.140181308E10)</f>
        <v>61401813080</v>
      </c>
      <c r="J880" s="19" t="str">
        <f>IFERROR(__xludf.DUMMYFUNCTION("""COMPUTED_VALUE"""),"bindahneem@gmail.com")</f>
        <v>bindahneem@gmail.com</v>
      </c>
    </row>
    <row r="881">
      <c r="A881" s="19" t="str">
        <f>IFERROR(__xludf.DUMMYFUNCTION("""COMPUTED_VALUE"""),"Davide Palermo")</f>
        <v>Davide Palermo</v>
      </c>
      <c r="B881" s="19" t="str">
        <f>IFERROR(__xludf.DUMMYFUNCTION("""COMPUTED_VALUE"""),"WA")</f>
        <v>WA</v>
      </c>
      <c r="C881" s="5" t="str">
        <f>IFERROR(__xludf.DUMMYFUNCTION("""COMPUTED_VALUE"""),"Armadale")</f>
        <v>Armadale</v>
      </c>
      <c r="D881" s="5" t="str">
        <f>IFERROR(__xludf.DUMMYFUNCTION("""COMPUTED_VALUE"""),"12a cheritons place Armadale, 6112")</f>
        <v>12a cheritons place Armadale, 6112</v>
      </c>
      <c r="E881" s="27">
        <f>IFERROR(__xludf.DUMMYFUNCTION("""COMPUTED_VALUE"""),45700.0)</f>
        <v>45700</v>
      </c>
      <c r="F881" s="64">
        <f>IFERROR(__xludf.DUMMYFUNCTION("""COMPUTED_VALUE"""),0.2)</f>
        <v>0.2</v>
      </c>
      <c r="G881" s="19" t="str">
        <f>IFERROR(__xludf.DUMMYFUNCTION("""COMPUTED_VALUE"""),"Meta Commission Report")</f>
        <v>Meta Commission Report</v>
      </c>
      <c r="H881" s="19" t="str">
        <f>IFERROR(__xludf.DUMMYFUNCTION("""COMPUTED_VALUE"""),"Rojjer Doyle")</f>
        <v>Rojjer Doyle</v>
      </c>
      <c r="I881" s="62">
        <f>IFERROR(__xludf.DUMMYFUNCTION("""COMPUTED_VALUE"""),6.1475611377E10)</f>
        <v>61475611377</v>
      </c>
      <c r="J881" s="19" t="str">
        <f>IFERROR(__xludf.DUMMYFUNCTION("""COMPUTED_VALUE"""),"rdale7707@gmail.com")</f>
        <v>rdale7707@gmail.com</v>
      </c>
    </row>
    <row r="882">
      <c r="A882" s="19" t="str">
        <f>IFERROR(__xludf.DUMMYFUNCTION("""COMPUTED_VALUE"""),"Davide Palermo")</f>
        <v>Davide Palermo</v>
      </c>
      <c r="B882" s="19" t="str">
        <f>IFERROR(__xludf.DUMMYFUNCTION("""COMPUTED_VALUE"""),"WA")</f>
        <v>WA</v>
      </c>
      <c r="C882" s="5" t="str">
        <f>IFERROR(__xludf.DUMMYFUNCTION("""COMPUTED_VALUE"""),"Byford")</f>
        <v>Byford</v>
      </c>
      <c r="D882" s="5" t="str">
        <f>IFERROR(__xludf.DUMMYFUNCTION("""COMPUTED_VALUE"""),"53 Dundatha Drive, 6122")</f>
        <v>53 Dundatha Drive, 6122</v>
      </c>
      <c r="E882" s="27">
        <f>IFERROR(__xludf.DUMMYFUNCTION("""COMPUTED_VALUE"""),45728.0)</f>
        <v>45728</v>
      </c>
      <c r="F882" s="64">
        <f>IFERROR(__xludf.DUMMYFUNCTION("""COMPUTED_VALUE"""),0.2)</f>
        <v>0.2</v>
      </c>
      <c r="G882" s="19" t="str">
        <f>IFERROR(__xludf.DUMMYFUNCTION("""COMPUTED_VALUE"""),"Meta Commission Report")</f>
        <v>Meta Commission Report</v>
      </c>
      <c r="H882" s="19" t="str">
        <f>IFERROR(__xludf.DUMMYFUNCTION("""COMPUTED_VALUE"""),"Ricky Farrell")</f>
        <v>Ricky Farrell</v>
      </c>
      <c r="I882" s="62">
        <f>IFERROR(__xludf.DUMMYFUNCTION("""COMPUTED_VALUE"""),6.1415940121E10)</f>
        <v>61415940121</v>
      </c>
      <c r="J882" s="19" t="str">
        <f>IFERROR(__xludf.DUMMYFUNCTION("""COMPUTED_VALUE"""),"Rickyfarrell79@gmail.com")</f>
        <v>Rickyfarrell79@gmail.com</v>
      </c>
    </row>
    <row r="883">
      <c r="A883" s="19" t="str">
        <f>IFERROR(__xludf.DUMMYFUNCTION("""COMPUTED_VALUE"""),"Davide Palermo")</f>
        <v>Davide Palermo</v>
      </c>
      <c r="B883" s="19" t="str">
        <f>IFERROR(__xludf.DUMMYFUNCTION("""COMPUTED_VALUE"""),"WA")</f>
        <v>WA</v>
      </c>
      <c r="C883" s="5" t="str">
        <f>IFERROR(__xludf.DUMMYFUNCTION("""COMPUTED_VALUE"""),"Gosnells")</f>
        <v>Gosnells</v>
      </c>
      <c r="D883" s="5" t="str">
        <f>IFERROR(__xludf.DUMMYFUNCTION("""COMPUTED_VALUE"""),"10 Breeze ct, Gosnells, 6111")</f>
        <v>10 Breeze ct, Gosnells, 6111</v>
      </c>
      <c r="E883" s="27">
        <f>IFERROR(__xludf.DUMMYFUNCTION("""COMPUTED_VALUE"""),45820.0)</f>
        <v>45820</v>
      </c>
      <c r="F883" s="64">
        <f>IFERROR(__xludf.DUMMYFUNCTION("""COMPUTED_VALUE"""),0.2)</f>
        <v>0.2</v>
      </c>
      <c r="G883" s="19" t="str">
        <f>IFERROR(__xludf.DUMMYFUNCTION("""COMPUTED_VALUE"""),"Meta Commission Report")</f>
        <v>Meta Commission Report</v>
      </c>
      <c r="H883" s="19" t="str">
        <f>IFERROR(__xludf.DUMMYFUNCTION("""COMPUTED_VALUE"""),"Rhett Dunn")</f>
        <v>Rhett Dunn</v>
      </c>
      <c r="I883" s="62">
        <f>IFERROR(__xludf.DUMMYFUNCTION("""COMPUTED_VALUE"""),6.1400087175E10)</f>
        <v>61400087175</v>
      </c>
      <c r="J883" s="19" t="str">
        <f>IFERROR(__xludf.DUMMYFUNCTION("""COMPUTED_VALUE"""),"rhett.dunn1@hotmail.com")</f>
        <v>rhett.dunn1@hotmail.com</v>
      </c>
    </row>
    <row r="884">
      <c r="A884" s="19" t="str">
        <f>IFERROR(__xludf.DUMMYFUNCTION("""COMPUTED_VALUE"""),"Davide Palermo")</f>
        <v>Davide Palermo</v>
      </c>
      <c r="B884" s="19" t="str">
        <f>IFERROR(__xludf.DUMMYFUNCTION("""COMPUTED_VALUE"""),"WA")</f>
        <v>WA</v>
      </c>
      <c r="C884" s="5" t="str">
        <f>IFERROR(__xludf.DUMMYFUNCTION("""COMPUTED_VALUE"""),"Thornlie")</f>
        <v>Thornlie</v>
      </c>
      <c r="D884" s="5"/>
      <c r="E884" s="27">
        <f>IFERROR(__xludf.DUMMYFUNCTION("""COMPUTED_VALUE"""),45820.0)</f>
        <v>45820</v>
      </c>
      <c r="F884" s="64">
        <f>IFERROR(__xludf.DUMMYFUNCTION("""COMPUTED_VALUE"""),0.2)</f>
        <v>0.2</v>
      </c>
      <c r="G884" s="19" t="str">
        <f>IFERROR(__xludf.DUMMYFUNCTION("""COMPUTED_VALUE"""),"Commission Comparison")</f>
        <v>Commission Comparison</v>
      </c>
      <c r="H884" s="19" t="str">
        <f>IFERROR(__xludf.DUMMYFUNCTION("""COMPUTED_VALUE"""),"Terri Nicolson")</f>
        <v>Terri Nicolson</v>
      </c>
      <c r="I884" s="62">
        <f>IFERROR(__xludf.DUMMYFUNCTION("""COMPUTED_VALUE"""),6.1415128337E10)</f>
        <v>61415128337</v>
      </c>
      <c r="J884" s="19" t="str">
        <f>IFERROR(__xludf.DUMMYFUNCTION("""COMPUTED_VALUE"""),"tezza.n@hotmail.com")</f>
        <v>tezza.n@hotmail.com</v>
      </c>
    </row>
    <row r="885">
      <c r="A885" s="19" t="str">
        <f>IFERROR(__xludf.DUMMYFUNCTION("""COMPUTED_VALUE"""),"Davide Palermo")</f>
        <v>Davide Palermo</v>
      </c>
      <c r="B885" s="19" t="str">
        <f>IFERROR(__xludf.DUMMYFUNCTION("""COMPUTED_VALUE"""),"WA")</f>
        <v>WA</v>
      </c>
      <c r="C885" s="5" t="str">
        <f>IFERROR(__xludf.DUMMYFUNCTION("""COMPUTED_VALUE"""),"Canning Vale")</f>
        <v>Canning Vale</v>
      </c>
      <c r="D885" s="5" t="str">
        <f>IFERROR(__xludf.DUMMYFUNCTION("""COMPUTED_VALUE"""),"28 Hedgeley Way, Canning Vale WA 6155, Canning Vale, 6155")</f>
        <v>28 Hedgeley Way, Canning Vale WA 6155, Canning Vale, 6155</v>
      </c>
      <c r="E885" s="27">
        <f>IFERROR(__xludf.DUMMYFUNCTION("""COMPUTED_VALUE"""),45820.0)</f>
        <v>45820</v>
      </c>
      <c r="F885" s="64">
        <f>IFERROR(__xludf.DUMMYFUNCTION("""COMPUTED_VALUE"""),0.2)</f>
        <v>0.2</v>
      </c>
      <c r="G885" s="19" t="str">
        <f>IFERROR(__xludf.DUMMYFUNCTION("""COMPUTED_VALUE"""),"Meta Commission Report")</f>
        <v>Meta Commission Report</v>
      </c>
      <c r="H885" s="19" t="str">
        <f>IFERROR(__xludf.DUMMYFUNCTION("""COMPUTED_VALUE"""),"Stephanie Hester Lee")</f>
        <v>Stephanie Hester Lee</v>
      </c>
      <c r="I885" s="62">
        <f>IFERROR(__xludf.DUMMYFUNCTION("""COMPUTED_VALUE"""),6.1409170681E10)</f>
        <v>61409170681</v>
      </c>
      <c r="J885" s="19" t="str">
        <f>IFERROR(__xludf.DUMMYFUNCTION("""COMPUTED_VALUE"""),"Stephanie6566@hotmail.com")</f>
        <v>Stephanie6566@hotmail.com</v>
      </c>
    </row>
    <row r="886">
      <c r="A886" s="19" t="str">
        <f>IFERROR(__xludf.DUMMYFUNCTION("""COMPUTED_VALUE"""),"")</f>
        <v/>
      </c>
      <c r="B886" s="19" t="str">
        <f>IFERROR(__xludf.DUMMYFUNCTION("""COMPUTED_VALUE"""),"")</f>
        <v/>
      </c>
      <c r="C886" s="5" t="str">
        <f>IFERROR(__xludf.DUMMYFUNCTION("""COMPUTED_VALUE"""),"")</f>
        <v/>
      </c>
      <c r="D886" s="5" t="str">
        <f>IFERROR(__xludf.DUMMYFUNCTION("""COMPUTED_VALUE"""),"")</f>
        <v/>
      </c>
      <c r="E886" s="5" t="str">
        <f>IFERROR(__xludf.DUMMYFUNCTION("""COMPUTED_VALUE"""),"")</f>
        <v/>
      </c>
      <c r="F886" s="5" t="str">
        <f>IFERROR(__xludf.DUMMYFUNCTION("""COMPUTED_VALUE"""),"")</f>
        <v/>
      </c>
      <c r="G886" s="19" t="str">
        <f>IFERROR(__xludf.DUMMYFUNCTION("""COMPUTED_VALUE"""),"")</f>
        <v/>
      </c>
      <c r="H886" s="19" t="str">
        <f>IFERROR(__xludf.DUMMYFUNCTION("""COMPUTED_VALUE"""),"")</f>
        <v/>
      </c>
      <c r="I886" s="62" t="str">
        <f>IFERROR(__xludf.DUMMYFUNCTION("""COMPUTED_VALUE"""),"")</f>
        <v/>
      </c>
      <c r="J886" s="19" t="str">
        <f>IFERROR(__xludf.DUMMYFUNCTION("""COMPUTED_VALUE"""),"")</f>
        <v/>
      </c>
    </row>
    <row r="887">
      <c r="A887" s="19" t="str">
        <f>IFERROR(__xludf.DUMMYFUNCTION("""COMPUTED_VALUE"""),"")</f>
        <v/>
      </c>
      <c r="B887" s="19" t="str">
        <f>IFERROR(__xludf.DUMMYFUNCTION("""COMPUTED_VALUE"""),"")</f>
        <v/>
      </c>
      <c r="C887" s="5" t="str">
        <f>IFERROR(__xludf.DUMMYFUNCTION("""COMPUTED_VALUE"""),"")</f>
        <v/>
      </c>
      <c r="D887" s="5" t="str">
        <f>IFERROR(__xludf.DUMMYFUNCTION("""COMPUTED_VALUE"""),"")</f>
        <v/>
      </c>
      <c r="E887" s="5" t="str">
        <f>IFERROR(__xludf.DUMMYFUNCTION("""COMPUTED_VALUE"""),"")</f>
        <v/>
      </c>
      <c r="F887" s="5" t="str">
        <f>IFERROR(__xludf.DUMMYFUNCTION("""COMPUTED_VALUE"""),"")</f>
        <v/>
      </c>
      <c r="G887" s="19" t="str">
        <f>IFERROR(__xludf.DUMMYFUNCTION("""COMPUTED_VALUE"""),"")</f>
        <v/>
      </c>
      <c r="H887" s="19" t="str">
        <f>IFERROR(__xludf.DUMMYFUNCTION("""COMPUTED_VALUE"""),"")</f>
        <v/>
      </c>
      <c r="I887" s="62" t="str">
        <f>IFERROR(__xludf.DUMMYFUNCTION("""COMPUTED_VALUE"""),"")</f>
        <v/>
      </c>
      <c r="J887" s="19" t="str">
        <f>IFERROR(__xludf.DUMMYFUNCTION("""COMPUTED_VALUE"""),"")</f>
        <v/>
      </c>
    </row>
    <row r="888">
      <c r="A888" s="19" t="str">
        <f>IFERROR(__xludf.DUMMYFUNCTION("""COMPUTED_VALUE"""),"Denean Hall")</f>
        <v>Denean Hall</v>
      </c>
      <c r="B888" s="19" t="str">
        <f>IFERROR(__xludf.DUMMYFUNCTION("""COMPUTED_VALUE"""),"QLD")</f>
        <v>QLD</v>
      </c>
      <c r="C888" s="5" t="str">
        <f>IFERROR(__xludf.DUMMYFUNCTION("""COMPUTED_VALUE"""),"Albany Creek")</f>
        <v>Albany Creek</v>
      </c>
      <c r="D888" s="5" t="str">
        <f>IFERROR(__xludf.DUMMYFUNCTION("""COMPUTED_VALUE"""),"15 Meranti Crescent Albany Creek QLD 4035")</f>
        <v>15 Meranti Crescent Albany Creek QLD 4035</v>
      </c>
      <c r="E888" s="25">
        <f>IFERROR(__xludf.DUMMYFUNCTION("""COMPUTED_VALUE"""),45890.0)</f>
        <v>45890</v>
      </c>
      <c r="F888" s="5" t="str">
        <f>IFERROR(__xludf.DUMMYFUNCTION("""COMPUTED_VALUE"""),"Featured")</f>
        <v>Featured</v>
      </c>
      <c r="G888" s="19" t="str">
        <f>IFERROR(__xludf.DUMMYFUNCTION("""COMPUTED_VALUE"""),"Instant Forms")</f>
        <v>Instant Forms</v>
      </c>
      <c r="H888" s="19"/>
      <c r="I888" s="62"/>
      <c r="J888" s="19"/>
    </row>
    <row r="889">
      <c r="A889" s="19" t="str">
        <f>IFERROR(__xludf.DUMMYFUNCTION("""COMPUTED_VALUE"""),"Denean Hall")</f>
        <v>Denean Hall</v>
      </c>
      <c r="B889" s="19" t="str">
        <f>IFERROR(__xludf.DUMMYFUNCTION("""COMPUTED_VALUE"""),"QLD")</f>
        <v>QLD</v>
      </c>
      <c r="C889" s="5" t="str">
        <f>IFERROR(__xludf.DUMMYFUNCTION("""COMPUTED_VALUE"""),"Bridgeman Downs")</f>
        <v>Bridgeman Downs</v>
      </c>
      <c r="D889" s="5" t="str">
        <f>IFERROR(__xludf.DUMMYFUNCTION("""COMPUTED_VALUE"""),"47/235 Albany Creek Road Bridgeman Downs QLD 4035")</f>
        <v>47/235 Albany Creek Road Bridgeman Downs QLD 4035</v>
      </c>
      <c r="E889" s="25">
        <f>IFERROR(__xludf.DUMMYFUNCTION("""COMPUTED_VALUE"""),45891.0)</f>
        <v>45891</v>
      </c>
      <c r="F889" s="5" t="str">
        <f>IFERROR(__xludf.DUMMYFUNCTION("""COMPUTED_VALUE"""),"Free")</f>
        <v>Free</v>
      </c>
      <c r="G889" s="19" t="str">
        <f>IFERROR(__xludf.DUMMYFUNCTION("""COMPUTED_VALUE"""),"Instant Forms")</f>
        <v>Instant Forms</v>
      </c>
      <c r="H889" s="19"/>
      <c r="I889" s="62"/>
      <c r="J889" s="19"/>
    </row>
    <row r="890">
      <c r="A890" s="19" t="str">
        <f>IFERROR(__xludf.DUMMYFUNCTION("""COMPUTED_VALUE"""),"Denean Hall")</f>
        <v>Denean Hall</v>
      </c>
      <c r="B890" s="19" t="str">
        <f>IFERROR(__xludf.DUMMYFUNCTION("""COMPUTED_VALUE"""),"QLD")</f>
        <v>QLD</v>
      </c>
      <c r="C890" s="5" t="str">
        <f>IFERROR(__xludf.DUMMYFUNCTION("""COMPUTED_VALUE"""),"Bracken Ridge")</f>
        <v>Bracken Ridge</v>
      </c>
      <c r="D890" s="5" t="str">
        <f>IFERROR(__xludf.DUMMYFUNCTION("""COMPUTED_VALUE"""),"8 Mell Street Bracken Ridge QLD 4017")</f>
        <v>8 Mell Street Bracken Ridge QLD 4017</v>
      </c>
      <c r="E890" s="25">
        <f>IFERROR(__xludf.DUMMYFUNCTION("""COMPUTED_VALUE"""),45907.0)</f>
        <v>45907</v>
      </c>
      <c r="F890" s="5" t="str">
        <f>IFERROR(__xludf.DUMMYFUNCTION("""COMPUTED_VALUE"""),"Featured")</f>
        <v>Featured</v>
      </c>
      <c r="G890" s="19" t="str">
        <f>IFERROR(__xludf.DUMMYFUNCTION("""COMPUTED_VALUE"""),"Instant Forms")</f>
        <v>Instant Forms</v>
      </c>
      <c r="H890" s="19"/>
      <c r="I890" s="62"/>
      <c r="J890" s="19"/>
    </row>
    <row r="891">
      <c r="A891" s="19" t="str">
        <f>IFERROR(__xludf.DUMMYFUNCTION("""COMPUTED_VALUE"""),"Denean Hall")</f>
        <v>Denean Hall</v>
      </c>
      <c r="B891" s="19" t="str">
        <f>IFERROR(__xludf.DUMMYFUNCTION("""COMPUTED_VALUE"""),"QLD")</f>
        <v>QLD</v>
      </c>
      <c r="C891" s="5" t="str">
        <f>IFERROR(__xludf.DUMMYFUNCTION("""COMPUTED_VALUE"""),"bray park")</f>
        <v>bray park</v>
      </c>
      <c r="D891" s="5"/>
      <c r="E891" s="25">
        <f>IFERROR(__xludf.DUMMYFUNCTION("""COMPUTED_VALUE"""),45908.0)</f>
        <v>45908</v>
      </c>
      <c r="F891" s="5" t="str">
        <f>IFERROR(__xludf.DUMMYFUNCTION("""COMPUTED_VALUE"""),"Featured")</f>
        <v>Featured</v>
      </c>
      <c r="G891" s="19" t="str">
        <f>IFERROR(__xludf.DUMMYFUNCTION("""COMPUTED_VALUE"""),"Instant Forms")</f>
        <v>Instant Forms</v>
      </c>
      <c r="H891" s="19"/>
      <c r="I891" s="62"/>
      <c r="J891" s="19"/>
    </row>
    <row r="892">
      <c r="A892" s="19" t="str">
        <f>IFERROR(__xludf.DUMMYFUNCTION("""COMPUTED_VALUE"""),"Denean Hall")</f>
        <v>Denean Hall</v>
      </c>
      <c r="B892" s="19" t="str">
        <f>IFERROR(__xludf.DUMMYFUNCTION("""COMPUTED_VALUE"""),"QLD")</f>
        <v>QLD</v>
      </c>
      <c r="C892" s="5" t="str">
        <f>IFERROR(__xludf.DUMMYFUNCTION("""COMPUTED_VALUE"""),"strathpine")</f>
        <v>strathpine</v>
      </c>
      <c r="D892" s="5" t="str">
        <f>IFERROR(__xludf.DUMMYFUNCTION("""COMPUTED_VALUE"""),"20 Ellerdale Street Strathpine QLD 4500")</f>
        <v>20 Ellerdale Street Strathpine QLD 4500</v>
      </c>
      <c r="E892" s="25">
        <f>IFERROR(__xludf.DUMMYFUNCTION("""COMPUTED_VALUE"""),45910.0)</f>
        <v>45910</v>
      </c>
      <c r="F892" s="5">
        <f>IFERROR(__xludf.DUMMYFUNCTION("""COMPUTED_VALUE"""),8.0)</f>
        <v>8</v>
      </c>
      <c r="G892" s="19" t="str">
        <f>IFERROR(__xludf.DUMMYFUNCTION("""COMPUTED_VALUE"""),"Instant Forms")</f>
        <v>Instant Forms</v>
      </c>
      <c r="H892" s="19" t="str">
        <f>IFERROR(__xludf.DUMMYFUNCTION("""COMPUTED_VALUE"""),"Margaret Cunningham")</f>
        <v>Margaret Cunningham</v>
      </c>
      <c r="I892" s="62"/>
      <c r="J892" s="19"/>
    </row>
    <row r="893">
      <c r="A893" s="19" t="str">
        <f>IFERROR(__xludf.DUMMYFUNCTION("""COMPUTED_VALUE"""),"Denean Hall")</f>
        <v>Denean Hall</v>
      </c>
      <c r="B893" s="19" t="str">
        <f>IFERROR(__xludf.DUMMYFUNCTION("""COMPUTED_VALUE"""),"QLD")</f>
        <v>QLD</v>
      </c>
      <c r="C893" s="5">
        <f>IFERROR(__xludf.DUMMYFUNCTION("""COMPUTED_VALUE"""),4500.0)</f>
        <v>4500</v>
      </c>
      <c r="D893" s="5"/>
      <c r="E893" s="25">
        <f>IFERROR(__xludf.DUMMYFUNCTION("""COMPUTED_VALUE"""),45917.0)</f>
        <v>45917</v>
      </c>
      <c r="F893" s="5">
        <f>IFERROR(__xludf.DUMMYFUNCTION("""COMPUTED_VALUE"""),5.0)</f>
        <v>5</v>
      </c>
      <c r="G893" s="19" t="str">
        <f>IFERROR(__xludf.DUMMYFUNCTION("""COMPUTED_VALUE"""),"Instant Forms")</f>
        <v>Instant Forms</v>
      </c>
      <c r="H893" s="19" t="str">
        <f>IFERROR(__xludf.DUMMYFUNCTION("""COMPUTED_VALUE"""),"Craig Pratt (May be a real estate agent, we are unsure)")</f>
        <v>Craig Pratt (May be a real estate agent, we are unsure)</v>
      </c>
      <c r="I893" s="62"/>
      <c r="J893" s="19"/>
    </row>
    <row r="894">
      <c r="A894" s="19" t="str">
        <f>IFERROR(__xludf.DUMMYFUNCTION("""COMPUTED_VALUE"""),"Denean Hall")</f>
        <v>Denean Hall</v>
      </c>
      <c r="B894" s="19" t="str">
        <f>IFERROR(__xludf.DUMMYFUNCTION("""COMPUTED_VALUE"""),"QLD")</f>
        <v>QLD</v>
      </c>
      <c r="C894" s="5" t="str">
        <f>IFERROR(__xludf.DUMMYFUNCTION("""COMPUTED_VALUE"""),"Petrie")</f>
        <v>Petrie</v>
      </c>
      <c r="D894" s="5" t="str">
        <f>IFERROR(__xludf.DUMMYFUNCTION("""COMPUTED_VALUE"""),"3 Oleron Terrace Petrie QLD 4502")</f>
        <v>3 Oleron Terrace Petrie QLD 4502</v>
      </c>
      <c r="E894" s="25">
        <f>IFERROR(__xludf.DUMMYFUNCTION("""COMPUTED_VALUE"""),45923.0)</f>
        <v>45923</v>
      </c>
      <c r="F894" s="5">
        <f>IFERROR(__xludf.DUMMYFUNCTION("""COMPUTED_VALUE"""),8.0)</f>
        <v>8</v>
      </c>
      <c r="G894" s="19" t="str">
        <f>IFERROR(__xludf.DUMMYFUNCTION("""COMPUTED_VALUE"""),"Instant Forms")</f>
        <v>Instant Forms</v>
      </c>
      <c r="H894" s="19" t="str">
        <f>IFERROR(__xludf.DUMMYFUNCTION("""COMPUTED_VALUE"""),"Robyn Cook")</f>
        <v>Robyn Cook</v>
      </c>
      <c r="I894" s="62"/>
      <c r="J894" s="19"/>
    </row>
    <row r="895">
      <c r="A895" s="19" t="str">
        <f>IFERROR(__xludf.DUMMYFUNCTION("""COMPUTED_VALUE"""),"Denean Hall")</f>
        <v>Denean Hall</v>
      </c>
      <c r="B895" s="19" t="str">
        <f>IFERROR(__xludf.DUMMYFUNCTION("""COMPUTED_VALUE"""),"QLD")</f>
        <v>QLD</v>
      </c>
      <c r="C895" s="5" t="str">
        <f>IFERROR(__xludf.DUMMYFUNCTION("""COMPUTED_VALUE"""),"Warner")</f>
        <v>Warner</v>
      </c>
      <c r="D895" s="5" t="str">
        <f>IFERROR(__xludf.DUMMYFUNCTION("""COMPUTED_VALUE"""),"69 Cootharaba Crescent Warner QLD 4500")</f>
        <v>69 Cootharaba Crescent Warner QLD 4500</v>
      </c>
      <c r="E895" s="25">
        <f>IFERROR(__xludf.DUMMYFUNCTION("""COMPUTED_VALUE"""),45925.0)</f>
        <v>45925</v>
      </c>
      <c r="F895" s="5">
        <f>IFERROR(__xludf.DUMMYFUNCTION("""COMPUTED_VALUE"""),8.0)</f>
        <v>8</v>
      </c>
      <c r="G895" s="19" t="str">
        <f>IFERROR(__xludf.DUMMYFUNCTION("""COMPUTED_VALUE"""),"Instant Forms")</f>
        <v>Instant Forms</v>
      </c>
      <c r="H895" s="19" t="str">
        <f>IFERROR(__xludf.DUMMYFUNCTION("""COMPUTED_VALUE"""),"David Low")</f>
        <v>David Low</v>
      </c>
      <c r="I895" s="62"/>
      <c r="J895" s="19"/>
    </row>
    <row r="896">
      <c r="A896" s="19" t="str">
        <f>IFERROR(__xludf.DUMMYFUNCTION("""COMPUTED_VALUE"""),"Denean Hall")</f>
        <v>Denean Hall</v>
      </c>
      <c r="B896" s="19" t="str">
        <f>IFERROR(__xludf.DUMMYFUNCTION("""COMPUTED_VALUE"""),"QLD")</f>
        <v>QLD</v>
      </c>
      <c r="C896" s="5" t="str">
        <f>IFERROR(__xludf.DUMMYFUNCTION("""COMPUTED_VALUE"""),"Eatons hill")</f>
        <v>Eatons hill</v>
      </c>
      <c r="D896" s="5" t="str">
        <f>IFERROR(__xludf.DUMMYFUNCTION("""COMPUTED_VALUE"""),"2 Starina Court Eatons Hill QLD 4037")</f>
        <v>2 Starina Court Eatons Hill QLD 4037</v>
      </c>
      <c r="E896" s="25">
        <f>IFERROR(__xludf.DUMMYFUNCTION("""COMPUTED_VALUE"""),45938.0)</f>
        <v>45938</v>
      </c>
      <c r="F896" s="5">
        <f>IFERROR(__xludf.DUMMYFUNCTION("""COMPUTED_VALUE"""),6.0)</f>
        <v>6</v>
      </c>
      <c r="G896" s="19" t="str">
        <f>IFERROR(__xludf.DUMMYFUNCTION("""COMPUTED_VALUE"""),"Instant Forms")</f>
        <v>Instant Forms</v>
      </c>
      <c r="H896" s="19"/>
      <c r="I896" s="62"/>
      <c r="J896" s="19"/>
    </row>
    <row r="897">
      <c r="A897" s="19" t="str">
        <f>IFERROR(__xludf.DUMMYFUNCTION("""COMPUTED_VALUE"""),"Denean Hall")</f>
        <v>Denean Hall</v>
      </c>
      <c r="B897" s="19" t="str">
        <f>IFERROR(__xludf.DUMMYFUNCTION("""COMPUTED_VALUE"""),"QLD")</f>
        <v>QLD</v>
      </c>
      <c r="C897" s="5" t="str">
        <f>IFERROR(__xludf.DUMMYFUNCTION("""COMPUTED_VALUE"""),"Kallangur")</f>
        <v>Kallangur</v>
      </c>
      <c r="D897" s="5" t="str">
        <f>IFERROR(__xludf.DUMMYFUNCTION("""COMPUTED_VALUE"""),"18 Melinda Street Kallangur QLD 4503")</f>
        <v>18 Melinda Street Kallangur QLD 4503</v>
      </c>
      <c r="E897" s="25">
        <f>IFERROR(__xludf.DUMMYFUNCTION("""COMPUTED_VALUE"""),45943.0)</f>
        <v>45943</v>
      </c>
      <c r="F897" s="5">
        <f>IFERROR(__xludf.DUMMYFUNCTION("""COMPUTED_VALUE"""),6.0)</f>
        <v>6</v>
      </c>
      <c r="G897" s="19" t="str">
        <f>IFERROR(__xludf.DUMMYFUNCTION("""COMPUTED_VALUE"""),"Instant Forms")</f>
        <v>Instant Forms</v>
      </c>
      <c r="H897" s="19"/>
      <c r="I897" s="62"/>
      <c r="J897" s="19"/>
    </row>
    <row r="898">
      <c r="A898" s="19" t="str">
        <f>IFERROR(__xludf.DUMMYFUNCTION("""COMPUTED_VALUE"""),"Denean Hall")</f>
        <v>Denean Hall</v>
      </c>
      <c r="B898" s="19" t="str">
        <f>IFERROR(__xludf.DUMMYFUNCTION("""COMPUTED_VALUE"""),"QLD")</f>
        <v>QLD</v>
      </c>
      <c r="C898" s="5" t="str">
        <f>IFERROR(__xludf.DUMMYFUNCTION("""COMPUTED_VALUE"""),"Warner")</f>
        <v>Warner</v>
      </c>
      <c r="D898" s="5" t="str">
        <f>IFERROR(__xludf.DUMMYFUNCTION("""COMPUTED_VALUE"""),"10 King Edward St")</f>
        <v>10 King Edward St</v>
      </c>
      <c r="E898" s="25">
        <f>IFERROR(__xludf.DUMMYFUNCTION("""COMPUTED_VALUE"""),45948.0)</f>
        <v>45948</v>
      </c>
      <c r="F898" s="5" t="str">
        <f>IFERROR(__xludf.DUMMYFUNCTION("""COMPUTED_VALUE"""),"Featured")</f>
        <v>Featured</v>
      </c>
      <c r="G898" s="19" t="str">
        <f>IFERROR(__xludf.DUMMYFUNCTION("""COMPUTED_VALUE"""),"Commission Comparison")</f>
        <v>Commission Comparison</v>
      </c>
      <c r="H898" s="19"/>
      <c r="I898" s="62"/>
      <c r="J898" s="19"/>
    </row>
    <row r="899">
      <c r="A899" s="19" t="str">
        <f>IFERROR(__xludf.DUMMYFUNCTION("""COMPUTED_VALUE"""),"Denean Hall")</f>
        <v>Denean Hall</v>
      </c>
      <c r="B899" s="19" t="str">
        <f>IFERROR(__xludf.DUMMYFUNCTION("""COMPUTED_VALUE"""),"QLD")</f>
        <v>QLD</v>
      </c>
      <c r="C899" s="5" t="str">
        <f>IFERROR(__xludf.DUMMYFUNCTION("""COMPUTED_VALUE"""),"Bray Park")</f>
        <v>Bray Park</v>
      </c>
      <c r="D899" s="5" t="str">
        <f>IFERROR(__xludf.DUMMYFUNCTION("""COMPUTED_VALUE"""),"26 Tolosa Street Bray Park QLD 4500")</f>
        <v>26 Tolosa Street Bray Park QLD 4500</v>
      </c>
      <c r="E899" s="25">
        <f>IFERROR(__xludf.DUMMYFUNCTION("""COMPUTED_VALUE"""),45949.0)</f>
        <v>45949</v>
      </c>
      <c r="F899" s="5">
        <f>IFERROR(__xludf.DUMMYFUNCTION("""COMPUTED_VALUE"""),8.0)</f>
        <v>8</v>
      </c>
      <c r="G899" s="19" t="str">
        <f>IFERROR(__xludf.DUMMYFUNCTION("""COMPUTED_VALUE"""),"Instant Forms")</f>
        <v>Instant Forms</v>
      </c>
      <c r="H899" s="19"/>
      <c r="I899" s="62"/>
      <c r="J899" s="19"/>
    </row>
    <row r="900">
      <c r="A900" s="19" t="str">
        <f>IFERROR(__xludf.DUMMYFUNCTION("""COMPUTED_VALUE"""),"Denean Hall")</f>
        <v>Denean Hall</v>
      </c>
      <c r="B900" s="19" t="str">
        <f>IFERROR(__xludf.DUMMYFUNCTION("""COMPUTED_VALUE"""),"QLD")</f>
        <v>QLD</v>
      </c>
      <c r="C900" s="5" t="str">
        <f>IFERROR(__xludf.DUMMYFUNCTION("""COMPUTED_VALUE"""),"cashmere")</f>
        <v>cashmere</v>
      </c>
      <c r="D900" s="5" t="str">
        <f>IFERROR(__xludf.DUMMYFUNCTION("""COMPUTED_VALUE"""),"12 Major Ct")</f>
        <v>12 Major Ct</v>
      </c>
      <c r="E900" s="25">
        <f>IFERROR(__xludf.DUMMYFUNCTION("""COMPUTED_VALUE"""),45950.0)</f>
        <v>45950</v>
      </c>
      <c r="F900" s="5" t="str">
        <f>IFERROR(__xludf.DUMMYFUNCTION("""COMPUTED_VALUE"""),"Featured")</f>
        <v>Featured</v>
      </c>
      <c r="G900" s="19" t="str">
        <f>IFERROR(__xludf.DUMMYFUNCTION("""COMPUTED_VALUE"""),"Commission Comparison")</f>
        <v>Commission Comparison</v>
      </c>
      <c r="H900" s="19"/>
      <c r="I900" s="62"/>
      <c r="J900" s="19"/>
    </row>
    <row r="901">
      <c r="A901" s="19" t="str">
        <f>IFERROR(__xludf.DUMMYFUNCTION("""COMPUTED_VALUE"""),"Denean Hall")</f>
        <v>Denean Hall</v>
      </c>
      <c r="B901" s="19" t="str">
        <f>IFERROR(__xludf.DUMMYFUNCTION("""COMPUTED_VALUE"""),"QLD")</f>
        <v>QLD</v>
      </c>
      <c r="C901" s="5" t="str">
        <f>IFERROR(__xludf.DUMMYFUNCTION("""COMPUTED_VALUE"""),"Bray Park")</f>
        <v>Bray Park</v>
      </c>
      <c r="D901" s="5" t="str">
        <f>IFERROR(__xludf.DUMMYFUNCTION("""COMPUTED_VALUE"""),"17 Ronald Street Bray Park QLD 4500")</f>
        <v>17 Ronald Street Bray Park QLD 4500</v>
      </c>
      <c r="E901" s="25">
        <f>IFERROR(__xludf.DUMMYFUNCTION("""COMPUTED_VALUE"""),45952.0)</f>
        <v>45952</v>
      </c>
      <c r="F901" s="5">
        <f>IFERROR(__xludf.DUMMYFUNCTION("""COMPUTED_VALUE"""),8.0)</f>
        <v>8</v>
      </c>
      <c r="G901" s="19" t="str">
        <f>IFERROR(__xludf.DUMMYFUNCTION("""COMPUTED_VALUE"""),"Instant Forms")</f>
        <v>Instant Forms</v>
      </c>
      <c r="H901" s="19"/>
      <c r="I901" s="62"/>
      <c r="J901" s="19"/>
    </row>
    <row r="902">
      <c r="A902" s="19" t="str">
        <f>IFERROR(__xludf.DUMMYFUNCTION("""COMPUTED_VALUE"""),"Denean Hall")</f>
        <v>Denean Hall</v>
      </c>
      <c r="B902" s="19" t="str">
        <f>IFERROR(__xludf.DUMMYFUNCTION("""COMPUTED_VALUE"""),"QLD")</f>
        <v>QLD</v>
      </c>
      <c r="C902" s="5" t="str">
        <f>IFERROR(__xludf.DUMMYFUNCTION("""COMPUTED_VALUE"""),"PETRIE")</f>
        <v>PETRIE</v>
      </c>
      <c r="D902" s="5"/>
      <c r="E902" s="25">
        <f>IFERROR(__xludf.DUMMYFUNCTION("""COMPUTED_VALUE"""),45952.0)</f>
        <v>45952</v>
      </c>
      <c r="F902" s="5">
        <f>IFERROR(__xludf.DUMMYFUNCTION("""COMPUTED_VALUE"""),5.0)</f>
        <v>5</v>
      </c>
      <c r="G902" s="19" t="str">
        <f>IFERROR(__xludf.DUMMYFUNCTION("""COMPUTED_VALUE"""),"Instant Forms")</f>
        <v>Instant Forms</v>
      </c>
      <c r="H902" s="19"/>
      <c r="I902" s="62"/>
      <c r="J902" s="19"/>
    </row>
    <row r="903">
      <c r="A903" s="19" t="str">
        <f>IFERROR(__xludf.DUMMYFUNCTION("""COMPUTED_VALUE"""),"Denean Hall")</f>
        <v>Denean Hall</v>
      </c>
      <c r="B903" s="19" t="str">
        <f>IFERROR(__xludf.DUMMYFUNCTION("""COMPUTED_VALUE"""),"QLD")</f>
        <v>QLD</v>
      </c>
      <c r="C903" s="5" t="str">
        <f>IFERROR(__xludf.DUMMYFUNCTION("""COMPUTED_VALUE"""),"Warner")</f>
        <v>Warner</v>
      </c>
      <c r="D903" s="5" t="str">
        <f>IFERROR(__xludf.DUMMYFUNCTION("""COMPUTED_VALUE"""),"69 Cootharaba Crescent, Warner, QLD, 4500, Australia")</f>
        <v>69 Cootharaba Crescent, Warner, QLD, 4500, Australia</v>
      </c>
      <c r="E903" s="25">
        <f>IFERROR(__xludf.DUMMYFUNCTION("""COMPUTED_VALUE"""),45955.0)</f>
        <v>45955</v>
      </c>
      <c r="F903" s="5" t="str">
        <f>IFERROR(__xludf.DUMMYFUNCTION("""COMPUTED_VALUE"""),"Featured")</f>
        <v>Featured</v>
      </c>
      <c r="G903" s="19" t="str">
        <f>IFERROR(__xludf.DUMMYFUNCTION("""COMPUTED_VALUE"""),"Commission Comparison")</f>
        <v>Commission Comparison</v>
      </c>
      <c r="H903" s="19"/>
      <c r="I903" s="62"/>
      <c r="J903" s="19"/>
    </row>
    <row r="904">
      <c r="A904" s="19" t="str">
        <f>IFERROR(__xludf.DUMMYFUNCTION("""COMPUTED_VALUE"""),"Denean Hall")</f>
        <v>Denean Hall</v>
      </c>
      <c r="B904" s="19" t="str">
        <f>IFERROR(__xludf.DUMMYFUNCTION("""COMPUTED_VALUE"""),"QLD")</f>
        <v>QLD</v>
      </c>
      <c r="C904" s="5" t="str">
        <f>IFERROR(__xludf.DUMMYFUNCTION("""COMPUTED_VALUE"""),"Kallangur")</f>
        <v>Kallangur</v>
      </c>
      <c r="D904" s="5" t="str">
        <f>IFERROR(__xludf.DUMMYFUNCTION("""COMPUTED_VALUE"""),"92 Brickworks Road Kallangur QLD 4503")</f>
        <v>92 Brickworks Road Kallangur QLD 4503</v>
      </c>
      <c r="E904" s="25">
        <f>IFERROR(__xludf.DUMMYFUNCTION("""COMPUTED_VALUE"""),45965.0)</f>
        <v>45965</v>
      </c>
      <c r="F904" s="5">
        <f>IFERROR(__xludf.DUMMYFUNCTION("""COMPUTED_VALUE"""),9.0)</f>
        <v>9</v>
      </c>
      <c r="G904" s="19" t="str">
        <f>IFERROR(__xludf.DUMMYFUNCTION("""COMPUTED_VALUE"""),"Instant Forms")</f>
        <v>Instant Forms</v>
      </c>
      <c r="H904" s="19" t="str">
        <f>IFERROR(__xludf.DUMMYFUNCTION("""COMPUTED_VALUE"""),"Name removed")</f>
        <v>Name removed</v>
      </c>
      <c r="I904" s="62"/>
      <c r="J904" s="19"/>
    </row>
    <row r="905">
      <c r="A905" s="19" t="str">
        <f>IFERROR(__xludf.DUMMYFUNCTION("""COMPUTED_VALUE"""),"Denean Hall")</f>
        <v>Denean Hall</v>
      </c>
      <c r="B905" s="19" t="str">
        <f>IFERROR(__xludf.DUMMYFUNCTION("""COMPUTED_VALUE"""),"QLD")</f>
        <v>QLD</v>
      </c>
      <c r="C905" s="5" t="str">
        <f>IFERROR(__xludf.DUMMYFUNCTION("""COMPUTED_VALUE"""),"Kallangur")</f>
        <v>Kallangur</v>
      </c>
      <c r="D905" s="5" t="str">
        <f>IFERROR(__xludf.DUMMYFUNCTION("""COMPUTED_VALUE"""),"2 Crest Street Kallangur QLD 4503")</f>
        <v>2 Crest Street Kallangur QLD 4503</v>
      </c>
      <c r="E905" s="25">
        <f>IFERROR(__xludf.DUMMYFUNCTION("""COMPUTED_VALUE"""),45971.0)</f>
        <v>45971</v>
      </c>
      <c r="F905" s="5">
        <f>IFERROR(__xludf.DUMMYFUNCTION("""COMPUTED_VALUE"""),8.0)</f>
        <v>8</v>
      </c>
      <c r="G905" s="19" t="str">
        <f>IFERROR(__xludf.DUMMYFUNCTION("""COMPUTED_VALUE"""),"Instant Forms")</f>
        <v>Instant Forms</v>
      </c>
      <c r="H905" s="19" t="str">
        <f>IFERROR(__xludf.DUMMYFUNCTION("""COMPUTED_VALUE"""),"Warren Clark")</f>
        <v>Warren Clark</v>
      </c>
      <c r="I905" s="62">
        <f>IFERROR(__xludf.DUMMYFUNCTION("""COMPUTED_VALUE"""),6.1416450305E10)</f>
        <v>61416450305</v>
      </c>
      <c r="J905" s="19" t="str">
        <f>IFERROR(__xludf.DUMMYFUNCTION("""COMPUTED_VALUE"""),"wozzaclak@gmail.com")</f>
        <v>wozzaclak@gmail.com</v>
      </c>
    </row>
    <row r="906">
      <c r="A906" s="19" t="str">
        <f>IFERROR(__xludf.DUMMYFUNCTION("""COMPUTED_VALUE"""),"Denean Hall")</f>
        <v>Denean Hall</v>
      </c>
      <c r="B906" s="19" t="str">
        <f>IFERROR(__xludf.DUMMYFUNCTION("""COMPUTED_VALUE"""),"QLD")</f>
        <v>QLD</v>
      </c>
      <c r="C906" s="5" t="str">
        <f>IFERROR(__xludf.DUMMYFUNCTION("""COMPUTED_VALUE"""),"Cashmere")</f>
        <v>Cashmere</v>
      </c>
      <c r="D906" s="5" t="str">
        <f>IFERROR(__xludf.DUMMYFUNCTION("""COMPUTED_VALUE"""),"8 Grandis Court Cashmere QLD 4500")</f>
        <v>8 Grandis Court Cashmere QLD 4500</v>
      </c>
      <c r="E906" s="5" t="str">
        <f>IFERROR(__xludf.DUMMYFUNCTION("""COMPUTED_VALUE"""),"21/11/2025")</f>
        <v>21/11/2025</v>
      </c>
      <c r="F906" s="5">
        <f>IFERROR(__xludf.DUMMYFUNCTION("""COMPUTED_VALUE"""),8.0)</f>
        <v>8</v>
      </c>
      <c r="G906" s="19" t="str">
        <f>IFERROR(__xludf.DUMMYFUNCTION("""COMPUTED_VALUE"""),"Instant Forms")</f>
        <v>Instant Forms</v>
      </c>
      <c r="H906" s="19" t="str">
        <f>IFERROR(__xludf.DUMMYFUNCTION("""COMPUTED_VALUE"""),"Christine Kenny")</f>
        <v>Christine Kenny</v>
      </c>
      <c r="I906" s="62">
        <f>IFERROR(__xludf.DUMMYFUNCTION("""COMPUTED_VALUE"""),6.1409767905E10)</f>
        <v>61409767905</v>
      </c>
      <c r="J906" s="19" t="str">
        <f>IFERROR(__xludf.DUMMYFUNCTION("""COMPUTED_VALUE"""),"jckenny7@bigpond.com")</f>
        <v>jckenny7@bigpond.com</v>
      </c>
    </row>
    <row r="907">
      <c r="A907" s="19" t="str">
        <f>IFERROR(__xludf.DUMMYFUNCTION("""COMPUTED_VALUE"""),"Denean Hall")</f>
        <v>Denean Hall</v>
      </c>
      <c r="B907" s="19" t="str">
        <f>IFERROR(__xludf.DUMMYFUNCTION("""COMPUTED_VALUE"""),"QLD")</f>
        <v>QLD</v>
      </c>
      <c r="C907" s="5" t="str">
        <f>IFERROR(__xludf.DUMMYFUNCTION("""COMPUTED_VALUE"""),"Bray Park")</f>
        <v>Bray Park</v>
      </c>
      <c r="D907" s="5" t="str">
        <f>IFERROR(__xludf.DUMMYFUNCTION("""COMPUTED_VALUE"""),"22-26 Raven Court Warner, Bray Park, 4500")</f>
        <v>22-26 Raven Court Warner, Bray Park, 4500</v>
      </c>
      <c r="E907" s="5" t="str">
        <f>IFERROR(__xludf.DUMMYFUNCTION("""COMPUTED_VALUE"""),"26/11/2025")</f>
        <v>26/11/2025</v>
      </c>
      <c r="F907" s="5" t="str">
        <f>IFERROR(__xludf.DUMMYFUNCTION("""COMPUTED_VALUE"""),"Featured")</f>
        <v>Featured</v>
      </c>
      <c r="G907" s="19" t="str">
        <f>IFERROR(__xludf.DUMMYFUNCTION("""COMPUTED_VALUE"""),"Meta Commission Report")</f>
        <v>Meta Commission Report</v>
      </c>
      <c r="H907" s="19" t="str">
        <f>IFERROR(__xludf.DUMMYFUNCTION("""COMPUTED_VALUE"""),"Ron Olsen")</f>
        <v>Ron Olsen</v>
      </c>
      <c r="I907" s="62">
        <f>IFERROR(__xludf.DUMMYFUNCTION("""COMPUTED_VALUE"""),6.1408180324E10)</f>
        <v>61408180324</v>
      </c>
      <c r="J907" s="19" t="str">
        <f>IFERROR(__xludf.DUMMYFUNCTION("""COMPUTED_VALUE"""),"ronolsen_lawns@hotmail.com")</f>
        <v>ronolsen_lawns@hotmail.com</v>
      </c>
    </row>
    <row r="908">
      <c r="A908" s="19" t="str">
        <f>IFERROR(__xludf.DUMMYFUNCTION("""COMPUTED_VALUE"""),"")</f>
        <v/>
      </c>
      <c r="B908" s="19" t="str">
        <f>IFERROR(__xludf.DUMMYFUNCTION("""COMPUTED_VALUE"""),"")</f>
        <v/>
      </c>
      <c r="C908" s="5" t="str">
        <f>IFERROR(__xludf.DUMMYFUNCTION("""COMPUTED_VALUE"""),"")</f>
        <v/>
      </c>
      <c r="D908" s="5" t="str">
        <f>IFERROR(__xludf.DUMMYFUNCTION("""COMPUTED_VALUE"""),"")</f>
        <v/>
      </c>
      <c r="E908" s="5" t="str">
        <f>IFERROR(__xludf.DUMMYFUNCTION("""COMPUTED_VALUE"""),"")</f>
        <v/>
      </c>
      <c r="F908" s="5" t="str">
        <f>IFERROR(__xludf.DUMMYFUNCTION("""COMPUTED_VALUE"""),"")</f>
        <v/>
      </c>
      <c r="G908" s="19" t="str">
        <f>IFERROR(__xludf.DUMMYFUNCTION("""COMPUTED_VALUE"""),"")</f>
        <v/>
      </c>
      <c r="H908" s="19" t="str">
        <f>IFERROR(__xludf.DUMMYFUNCTION("""COMPUTED_VALUE"""),"")</f>
        <v/>
      </c>
      <c r="I908" s="62" t="str">
        <f>IFERROR(__xludf.DUMMYFUNCTION("""COMPUTED_VALUE"""),"")</f>
        <v/>
      </c>
      <c r="J908" s="19" t="str">
        <f>IFERROR(__xludf.DUMMYFUNCTION("""COMPUTED_VALUE"""),"")</f>
        <v/>
      </c>
    </row>
    <row r="909">
      <c r="A909" s="19" t="str">
        <f>IFERROR(__xludf.DUMMYFUNCTION("""COMPUTED_VALUE"""),"")</f>
        <v/>
      </c>
      <c r="B909" s="19" t="str">
        <f>IFERROR(__xludf.DUMMYFUNCTION("""COMPUTED_VALUE"""),"")</f>
        <v/>
      </c>
      <c r="C909" s="5" t="str">
        <f>IFERROR(__xludf.DUMMYFUNCTION("""COMPUTED_VALUE"""),"")</f>
        <v/>
      </c>
      <c r="D909" s="5" t="str">
        <f>IFERROR(__xludf.DUMMYFUNCTION("""COMPUTED_VALUE"""),"")</f>
        <v/>
      </c>
      <c r="E909" s="5" t="str">
        <f>IFERROR(__xludf.DUMMYFUNCTION("""COMPUTED_VALUE"""),"")</f>
        <v/>
      </c>
      <c r="F909" s="5" t="str">
        <f>IFERROR(__xludf.DUMMYFUNCTION("""COMPUTED_VALUE"""),"")</f>
        <v/>
      </c>
      <c r="G909" s="19" t="str">
        <f>IFERROR(__xludf.DUMMYFUNCTION("""COMPUTED_VALUE"""),"")</f>
        <v/>
      </c>
      <c r="H909" s="19" t="str">
        <f>IFERROR(__xludf.DUMMYFUNCTION("""COMPUTED_VALUE"""),"")</f>
        <v/>
      </c>
      <c r="I909" s="62" t="str">
        <f>IFERROR(__xludf.DUMMYFUNCTION("""COMPUTED_VALUE"""),"")</f>
        <v/>
      </c>
      <c r="J909" s="19" t="str">
        <f>IFERROR(__xludf.DUMMYFUNCTION("""COMPUTED_VALUE"""),"")</f>
        <v/>
      </c>
    </row>
    <row r="910">
      <c r="A910" s="19" t="str">
        <f>IFERROR(__xludf.DUMMYFUNCTION("""COMPUTED_VALUE"""),"Dhaval Nainani")</f>
        <v>Dhaval Nainani</v>
      </c>
      <c r="B910" s="19" t="str">
        <f>IFERROR(__xludf.DUMMYFUNCTION("""COMPUTED_VALUE"""),"QLD")</f>
        <v>QLD</v>
      </c>
      <c r="C910" s="5" t="str">
        <f>IFERROR(__xludf.DUMMYFUNCTION("""COMPUTED_VALUE"""),"Shailer Park")</f>
        <v>Shailer Park</v>
      </c>
      <c r="D910" s="5" t="str">
        <f>IFERROR(__xludf.DUMMYFUNCTION("""COMPUTED_VALUE"""),"6 Brigalow Street Shailer Park QLD 4128")</f>
        <v>6 Brigalow Street Shailer Park QLD 4128</v>
      </c>
      <c r="E910" s="25">
        <f>IFERROR(__xludf.DUMMYFUNCTION("""COMPUTED_VALUE"""),45890.0)</f>
        <v>45890</v>
      </c>
      <c r="F910" s="5" t="str">
        <f>IFERROR(__xludf.DUMMYFUNCTION("""COMPUTED_VALUE"""),"Featured")</f>
        <v>Featured</v>
      </c>
      <c r="G910" s="19" t="str">
        <f>IFERROR(__xludf.DUMMYFUNCTION("""COMPUTED_VALUE"""),"Instant Forms")</f>
        <v>Instant Forms</v>
      </c>
      <c r="H910" s="19"/>
      <c r="I910" s="62"/>
      <c r="J910" s="19"/>
    </row>
    <row r="911">
      <c r="A911" s="19" t="str">
        <f>IFERROR(__xludf.DUMMYFUNCTION("""COMPUTED_VALUE"""),"Dhaval Nainani")</f>
        <v>Dhaval Nainani</v>
      </c>
      <c r="B911" s="19" t="str">
        <f>IFERROR(__xludf.DUMMYFUNCTION("""COMPUTED_VALUE"""),"QLD")</f>
        <v>QLD</v>
      </c>
      <c r="C911" s="5" t="str">
        <f>IFERROR(__xludf.DUMMYFUNCTION("""COMPUTED_VALUE"""),"Underwood")</f>
        <v>Underwood</v>
      </c>
      <c r="D911" s="5" t="str">
        <f>IFERROR(__xludf.DUMMYFUNCTION("""COMPUTED_VALUE"""),"3 Joanne Street Underwood QLD 4119")</f>
        <v>3 Joanne Street Underwood QLD 4119</v>
      </c>
      <c r="E911" s="25">
        <f>IFERROR(__xludf.DUMMYFUNCTION("""COMPUTED_VALUE"""),45893.0)</f>
        <v>45893</v>
      </c>
      <c r="F911" s="5" t="str">
        <f>IFERROR(__xludf.DUMMYFUNCTION("""COMPUTED_VALUE"""),"Featured")</f>
        <v>Featured</v>
      </c>
      <c r="G911" s="19" t="str">
        <f>IFERROR(__xludf.DUMMYFUNCTION("""COMPUTED_VALUE"""),"Instant Forms")</f>
        <v>Instant Forms</v>
      </c>
      <c r="H911" s="19"/>
      <c r="I911" s="62"/>
      <c r="J911" s="19"/>
    </row>
    <row r="912">
      <c r="A912" s="19" t="str">
        <f>IFERROR(__xludf.DUMMYFUNCTION("""COMPUTED_VALUE"""),"Dhaval Nainani")</f>
        <v>Dhaval Nainani</v>
      </c>
      <c r="B912" s="19" t="str">
        <f>IFERROR(__xludf.DUMMYFUNCTION("""COMPUTED_VALUE"""),"QLD")</f>
        <v>QLD</v>
      </c>
      <c r="C912" s="5" t="str">
        <f>IFERROR(__xludf.DUMMYFUNCTION("""COMPUTED_VALUE"""),"Woodridge")</f>
        <v>Woodridge</v>
      </c>
      <c r="D912" s="5" t="str">
        <f>IFERROR(__xludf.DUMMYFUNCTION("""COMPUTED_VALUE"""),"6 Shannon Street Woodridge QLD 4114")</f>
        <v>6 Shannon Street Woodridge QLD 4114</v>
      </c>
      <c r="E912" s="25">
        <f>IFERROR(__xludf.DUMMYFUNCTION("""COMPUTED_VALUE"""),45895.0)</f>
        <v>45895</v>
      </c>
      <c r="F912" s="5" t="str">
        <f>IFERROR(__xludf.DUMMYFUNCTION("""COMPUTED_VALUE"""),"Featured")</f>
        <v>Featured</v>
      </c>
      <c r="G912" s="19" t="str">
        <f>IFERROR(__xludf.DUMMYFUNCTION("""COMPUTED_VALUE"""),"Instant Forms")</f>
        <v>Instant Forms</v>
      </c>
      <c r="H912" s="19"/>
      <c r="I912" s="62"/>
      <c r="J912" s="19"/>
    </row>
    <row r="913">
      <c r="A913" s="19" t="str">
        <f>IFERROR(__xludf.DUMMYFUNCTION("""COMPUTED_VALUE"""),"Dhaval Nainani")</f>
        <v>Dhaval Nainani</v>
      </c>
      <c r="B913" s="19" t="str">
        <f>IFERROR(__xludf.DUMMYFUNCTION("""COMPUTED_VALUE"""),"QLD")</f>
        <v>QLD</v>
      </c>
      <c r="C913" s="5" t="str">
        <f>IFERROR(__xludf.DUMMYFUNCTION("""COMPUTED_VALUE"""),"Daisy Hill")</f>
        <v>Daisy Hill</v>
      </c>
      <c r="D913" s="5" t="str">
        <f>IFERROR(__xludf.DUMMYFUNCTION("""COMPUTED_VALUE"""),"181-183 Chatswood Road Daisy Hill QLD 4127")</f>
        <v>181-183 Chatswood Road Daisy Hill QLD 4127</v>
      </c>
      <c r="E913" s="25">
        <f>IFERROR(__xludf.DUMMYFUNCTION("""COMPUTED_VALUE"""),45901.0)</f>
        <v>45901</v>
      </c>
      <c r="F913" s="5" t="str">
        <f>IFERROR(__xludf.DUMMYFUNCTION("""COMPUTED_VALUE"""),"Featured")</f>
        <v>Featured</v>
      </c>
      <c r="G913" s="19" t="str">
        <f>IFERROR(__xludf.DUMMYFUNCTION("""COMPUTED_VALUE"""),"Instant Forms")</f>
        <v>Instant Forms</v>
      </c>
      <c r="H913" s="19"/>
      <c r="I913" s="62"/>
      <c r="J913" s="19"/>
    </row>
    <row r="914">
      <c r="A914" s="19" t="str">
        <f>IFERROR(__xludf.DUMMYFUNCTION("""COMPUTED_VALUE"""),"Dhaval Nainani")</f>
        <v>Dhaval Nainani</v>
      </c>
      <c r="B914" s="19" t="str">
        <f>IFERROR(__xludf.DUMMYFUNCTION("""COMPUTED_VALUE"""),"QLD")</f>
        <v>QLD</v>
      </c>
      <c r="C914" s="5" t="str">
        <f>IFERROR(__xludf.DUMMYFUNCTION("""COMPUTED_VALUE"""),"Crestmead")</f>
        <v>Crestmead</v>
      </c>
      <c r="D914" s="5" t="str">
        <f>IFERROR(__xludf.DUMMYFUNCTION("""COMPUTED_VALUE"""),"623 Browns Plains Road Crestmead QLD 4132")</f>
        <v>623 Browns Plains Road Crestmead QLD 4132</v>
      </c>
      <c r="E914" s="25">
        <f>IFERROR(__xludf.DUMMYFUNCTION("""COMPUTED_VALUE"""),45916.0)</f>
        <v>45916</v>
      </c>
      <c r="F914" s="5">
        <f>IFERROR(__xludf.DUMMYFUNCTION("""COMPUTED_VALUE"""),8.0)</f>
        <v>8</v>
      </c>
      <c r="G914" s="19" t="str">
        <f>IFERROR(__xludf.DUMMYFUNCTION("""COMPUTED_VALUE"""),"Instant Forms")</f>
        <v>Instant Forms</v>
      </c>
      <c r="H914" s="19" t="str">
        <f>IFERROR(__xludf.DUMMYFUNCTION("""COMPUTED_VALUE"""),"Geoff Wood")</f>
        <v>Geoff Wood</v>
      </c>
      <c r="I914" s="62"/>
      <c r="J914" s="19"/>
    </row>
    <row r="915">
      <c r="A915" s="19" t="str">
        <f>IFERROR(__xludf.DUMMYFUNCTION("""COMPUTED_VALUE"""),"Dhaval Nainani")</f>
        <v>Dhaval Nainani</v>
      </c>
      <c r="B915" s="19" t="str">
        <f>IFERROR(__xludf.DUMMYFUNCTION("""COMPUTED_VALUE"""),"QLD")</f>
        <v>QLD</v>
      </c>
      <c r="C915" s="5" t="str">
        <f>IFERROR(__xludf.DUMMYFUNCTION("""COMPUTED_VALUE"""),"Slacks creek")</f>
        <v>Slacks creek</v>
      </c>
      <c r="D915" s="5" t="str">
        <f>IFERROR(__xludf.DUMMYFUNCTION("""COMPUTED_VALUE"""),"40 Lowry Street Slacks Creek QLD 4127")</f>
        <v>40 Lowry Street Slacks Creek QLD 4127</v>
      </c>
      <c r="E915" s="25">
        <f>IFERROR(__xludf.DUMMYFUNCTION("""COMPUTED_VALUE"""),45918.0)</f>
        <v>45918</v>
      </c>
      <c r="F915" s="5">
        <f>IFERROR(__xludf.DUMMYFUNCTION("""COMPUTED_VALUE"""),6.0)</f>
        <v>6</v>
      </c>
      <c r="G915" s="19" t="str">
        <f>IFERROR(__xludf.DUMMYFUNCTION("""COMPUTED_VALUE"""),"Instant Forms")</f>
        <v>Instant Forms</v>
      </c>
      <c r="H915" s="19" t="str">
        <f>IFERROR(__xludf.DUMMYFUNCTION("""COMPUTED_VALUE"""),"Heather Ford")</f>
        <v>Heather Ford</v>
      </c>
      <c r="I915" s="62"/>
      <c r="J915" s="19"/>
    </row>
    <row r="916">
      <c r="A916" s="19" t="str">
        <f>IFERROR(__xludf.DUMMYFUNCTION("""COMPUTED_VALUE"""),"Dhaval Nainani")</f>
        <v>Dhaval Nainani</v>
      </c>
      <c r="B916" s="19" t="str">
        <f>IFERROR(__xludf.DUMMYFUNCTION("""COMPUTED_VALUE"""),"QLD")</f>
        <v>QLD</v>
      </c>
      <c r="C916" s="5" t="str">
        <f>IFERROR(__xludf.DUMMYFUNCTION("""COMPUTED_VALUE"""),"Kuraby")</f>
        <v>Kuraby</v>
      </c>
      <c r="D916" s="5" t="str">
        <f>IFERROR(__xludf.DUMMYFUNCTION("""COMPUTED_VALUE"""),"1/160 Chesterfield Crescent Kuraby QLD 4112")</f>
        <v>1/160 Chesterfield Crescent Kuraby QLD 4112</v>
      </c>
      <c r="E916" s="25">
        <f>IFERROR(__xludf.DUMMYFUNCTION("""COMPUTED_VALUE"""),45920.0)</f>
        <v>45920</v>
      </c>
      <c r="F916" s="5">
        <f>IFERROR(__xludf.DUMMYFUNCTION("""COMPUTED_VALUE"""),8.0)</f>
        <v>8</v>
      </c>
      <c r="G916" s="19" t="str">
        <f>IFERROR(__xludf.DUMMYFUNCTION("""COMPUTED_VALUE"""),"Instant Forms")</f>
        <v>Instant Forms</v>
      </c>
      <c r="H916" s="19" t="str">
        <f>IFERROR(__xludf.DUMMYFUNCTION("""COMPUTED_VALUE"""),"Chris Barlow")</f>
        <v>Chris Barlow</v>
      </c>
      <c r="I916" s="62"/>
      <c r="J916" s="19"/>
    </row>
    <row r="917">
      <c r="A917" s="19" t="str">
        <f>IFERROR(__xludf.DUMMYFUNCTION("""COMPUTED_VALUE"""),"Dhaval Nainani")</f>
        <v>Dhaval Nainani</v>
      </c>
      <c r="B917" s="19" t="str">
        <f>IFERROR(__xludf.DUMMYFUNCTION("""COMPUTED_VALUE"""),"QLD")</f>
        <v>QLD</v>
      </c>
      <c r="C917" s="5" t="str">
        <f>IFERROR(__xludf.DUMMYFUNCTION("""COMPUTED_VALUE"""),"Kuraby")</f>
        <v>Kuraby</v>
      </c>
      <c r="D917" s="5" t="str">
        <f>IFERROR(__xludf.DUMMYFUNCTION("""COMPUTED_VALUE"""),"12 Lily Circuit Kuraby QLD 4112")</f>
        <v>12 Lily Circuit Kuraby QLD 4112</v>
      </c>
      <c r="E917" s="25">
        <f>IFERROR(__xludf.DUMMYFUNCTION("""COMPUTED_VALUE"""),45923.0)</f>
        <v>45923</v>
      </c>
      <c r="F917" s="5">
        <f>IFERROR(__xludf.DUMMYFUNCTION("""COMPUTED_VALUE"""),8.0)</f>
        <v>8</v>
      </c>
      <c r="G917" s="19" t="str">
        <f>IFERROR(__xludf.DUMMYFUNCTION("""COMPUTED_VALUE"""),"Instant Forms")</f>
        <v>Instant Forms</v>
      </c>
      <c r="H917" s="19" t="str">
        <f>IFERROR(__xludf.DUMMYFUNCTION("""COMPUTED_VALUE"""),"Shilpie Alam")</f>
        <v>Shilpie Alam</v>
      </c>
      <c r="I917" s="62"/>
      <c r="J917" s="19"/>
    </row>
    <row r="918">
      <c r="A918" s="19" t="str">
        <f>IFERROR(__xludf.DUMMYFUNCTION("""COMPUTED_VALUE"""),"Dhaval Nainani")</f>
        <v>Dhaval Nainani</v>
      </c>
      <c r="B918" s="19" t="str">
        <f>IFERROR(__xludf.DUMMYFUNCTION("""COMPUTED_VALUE"""),"QLD")</f>
        <v>QLD</v>
      </c>
      <c r="C918" s="5" t="str">
        <f>IFERROR(__xludf.DUMMYFUNCTION("""COMPUTED_VALUE"""),"Kuraby")</f>
        <v>Kuraby</v>
      </c>
      <c r="D918" s="5" t="str">
        <f>IFERROR(__xludf.DUMMYFUNCTION("""COMPUTED_VALUE"""),"Sunnybank Hills Shoppingtown")</f>
        <v>Sunnybank Hills Shoppingtown</v>
      </c>
      <c r="E918" s="25">
        <f>IFERROR(__xludf.DUMMYFUNCTION("""COMPUTED_VALUE"""),45935.0)</f>
        <v>45935</v>
      </c>
      <c r="F918" s="5" t="str">
        <f>IFERROR(__xludf.DUMMYFUNCTION("""COMPUTED_VALUE"""),"Featured")</f>
        <v>Featured</v>
      </c>
      <c r="G918" s="19" t="str">
        <f>IFERROR(__xludf.DUMMYFUNCTION("""COMPUTED_VALUE"""),"Commission Comparison")</f>
        <v>Commission Comparison</v>
      </c>
      <c r="H918" s="19"/>
      <c r="I918" s="62"/>
      <c r="J918" s="19"/>
    </row>
    <row r="919">
      <c r="A919" s="19" t="str">
        <f>IFERROR(__xludf.DUMMYFUNCTION("""COMPUTED_VALUE"""),"")</f>
        <v/>
      </c>
      <c r="B919" s="19" t="str">
        <f>IFERROR(__xludf.DUMMYFUNCTION("""COMPUTED_VALUE"""),"")</f>
        <v/>
      </c>
      <c r="C919" s="5" t="str">
        <f>IFERROR(__xludf.DUMMYFUNCTION("""COMPUTED_VALUE"""),"")</f>
        <v/>
      </c>
      <c r="D919" s="5" t="str">
        <f>IFERROR(__xludf.DUMMYFUNCTION("""COMPUTED_VALUE"""),"")</f>
        <v/>
      </c>
      <c r="E919" s="5" t="str">
        <f>IFERROR(__xludf.DUMMYFUNCTION("""COMPUTED_VALUE"""),"")</f>
        <v/>
      </c>
      <c r="F919" s="5" t="str">
        <f>IFERROR(__xludf.DUMMYFUNCTION("""COMPUTED_VALUE"""),"")</f>
        <v/>
      </c>
      <c r="G919" s="19" t="str">
        <f>IFERROR(__xludf.DUMMYFUNCTION("""COMPUTED_VALUE"""),"")</f>
        <v/>
      </c>
      <c r="H919" s="19" t="str">
        <f>IFERROR(__xludf.DUMMYFUNCTION("""COMPUTED_VALUE"""),"")</f>
        <v/>
      </c>
      <c r="I919" s="62" t="str">
        <f>IFERROR(__xludf.DUMMYFUNCTION("""COMPUTED_VALUE"""),"")</f>
        <v/>
      </c>
      <c r="J919" s="19" t="str">
        <f>IFERROR(__xludf.DUMMYFUNCTION("""COMPUTED_VALUE"""),"")</f>
        <v/>
      </c>
    </row>
    <row r="920">
      <c r="A920" s="19" t="str">
        <f>IFERROR(__xludf.DUMMYFUNCTION("""COMPUTED_VALUE"""),"")</f>
        <v/>
      </c>
      <c r="B920" s="19" t="str">
        <f>IFERROR(__xludf.DUMMYFUNCTION("""COMPUTED_VALUE"""),"")</f>
        <v/>
      </c>
      <c r="C920" s="5" t="str">
        <f>IFERROR(__xludf.DUMMYFUNCTION("""COMPUTED_VALUE"""),"")</f>
        <v/>
      </c>
      <c r="D920" s="5" t="str">
        <f>IFERROR(__xludf.DUMMYFUNCTION("""COMPUTED_VALUE"""),"")</f>
        <v/>
      </c>
      <c r="E920" s="5" t="str">
        <f>IFERROR(__xludf.DUMMYFUNCTION("""COMPUTED_VALUE"""),"")</f>
        <v/>
      </c>
      <c r="F920" s="5" t="str">
        <f>IFERROR(__xludf.DUMMYFUNCTION("""COMPUTED_VALUE"""),"")</f>
        <v/>
      </c>
      <c r="G920" s="19" t="str">
        <f>IFERROR(__xludf.DUMMYFUNCTION("""COMPUTED_VALUE"""),"")</f>
        <v/>
      </c>
      <c r="H920" s="19" t="str">
        <f>IFERROR(__xludf.DUMMYFUNCTION("""COMPUTED_VALUE"""),"")</f>
        <v/>
      </c>
      <c r="I920" s="62" t="str">
        <f>IFERROR(__xludf.DUMMYFUNCTION("""COMPUTED_VALUE"""),"")</f>
        <v/>
      </c>
      <c r="J920" s="19" t="str">
        <f>IFERROR(__xludf.DUMMYFUNCTION("""COMPUTED_VALUE"""),"")</f>
        <v/>
      </c>
    </row>
    <row r="921">
      <c r="A921" s="19" t="str">
        <f>IFERROR(__xludf.DUMMYFUNCTION("""COMPUTED_VALUE"""),"Dilon Jukic")</f>
        <v>Dilon Jukic</v>
      </c>
      <c r="B921" s="19" t="str">
        <f>IFERROR(__xludf.DUMMYFUNCTION("""COMPUTED_VALUE"""),"QLD")</f>
        <v>QLD</v>
      </c>
      <c r="C921" s="5" t="str">
        <f>IFERROR(__xludf.DUMMYFUNCTION("""COMPUTED_VALUE"""),"Wavell Heights")</f>
        <v>Wavell Heights</v>
      </c>
      <c r="D921" s="5" t="str">
        <f>IFERROR(__xludf.DUMMYFUNCTION("""COMPUTED_VALUE"""),"10 Warril Street Wavell Heights QLD 4012")</f>
        <v>10 Warril Street Wavell Heights QLD 4012</v>
      </c>
      <c r="E921" s="25">
        <f>IFERROR(__xludf.DUMMYFUNCTION("""COMPUTED_VALUE"""),45894.0)</f>
        <v>45894</v>
      </c>
      <c r="F921" s="5" t="str">
        <f>IFERROR(__xludf.DUMMYFUNCTION("""COMPUTED_VALUE"""),"Featured")</f>
        <v>Featured</v>
      </c>
      <c r="G921" s="19" t="str">
        <f>IFERROR(__xludf.DUMMYFUNCTION("""COMPUTED_VALUE"""),"Instant Forms")</f>
        <v>Instant Forms</v>
      </c>
      <c r="H921" s="19"/>
      <c r="I921" s="62"/>
      <c r="J921" s="19"/>
    </row>
    <row r="922">
      <c r="A922" s="19" t="str">
        <f>IFERROR(__xludf.DUMMYFUNCTION("""COMPUTED_VALUE"""),"Dilon Jukic")</f>
        <v>Dilon Jukic</v>
      </c>
      <c r="B922" s="19" t="str">
        <f>IFERROR(__xludf.DUMMYFUNCTION("""COMPUTED_VALUE"""),"QLD")</f>
        <v>QLD</v>
      </c>
      <c r="C922" s="5">
        <f>IFERROR(__xludf.DUMMYFUNCTION("""COMPUTED_VALUE"""),4032.0)</f>
        <v>4032</v>
      </c>
      <c r="D922" s="5"/>
      <c r="E922" s="25">
        <f>IFERROR(__xludf.DUMMYFUNCTION("""COMPUTED_VALUE"""),45894.0)</f>
        <v>45894</v>
      </c>
      <c r="F922" s="5" t="str">
        <f>IFERROR(__xludf.DUMMYFUNCTION("""COMPUTED_VALUE"""),"Featured")</f>
        <v>Featured</v>
      </c>
      <c r="G922" s="19" t="str">
        <f>IFERROR(__xludf.DUMMYFUNCTION("""COMPUTED_VALUE"""),"Instant Forms")</f>
        <v>Instant Forms</v>
      </c>
      <c r="H922" s="19"/>
      <c r="I922" s="62"/>
      <c r="J922" s="19"/>
    </row>
    <row r="923">
      <c r="A923" s="19" t="str">
        <f>IFERROR(__xludf.DUMMYFUNCTION("""COMPUTED_VALUE"""),"Dilon Jukic")</f>
        <v>Dilon Jukic</v>
      </c>
      <c r="B923" s="19" t="str">
        <f>IFERROR(__xludf.DUMMYFUNCTION("""COMPUTED_VALUE"""),"QLD")</f>
        <v>QLD</v>
      </c>
      <c r="C923" s="5" t="str">
        <f>IFERROR(__xludf.DUMMYFUNCTION("""COMPUTED_VALUE"""),"Stafford Heights")</f>
        <v>Stafford Heights</v>
      </c>
      <c r="D923" s="5" t="str">
        <f>IFERROR(__xludf.DUMMYFUNCTION("""COMPUTED_VALUE"""),"5 Heston Street Stafford Heights QLD 4053")</f>
        <v>5 Heston Street Stafford Heights QLD 4053</v>
      </c>
      <c r="E923" s="25">
        <f>IFERROR(__xludf.DUMMYFUNCTION("""COMPUTED_VALUE"""),45909.0)</f>
        <v>45909</v>
      </c>
      <c r="F923" s="5">
        <f>IFERROR(__xludf.DUMMYFUNCTION("""COMPUTED_VALUE"""),8.0)</f>
        <v>8</v>
      </c>
      <c r="G923" s="19" t="str">
        <f>IFERROR(__xludf.DUMMYFUNCTION("""COMPUTED_VALUE"""),"Instant Forms")</f>
        <v>Instant Forms</v>
      </c>
      <c r="H923" s="19" t="str">
        <f>IFERROR(__xludf.DUMMYFUNCTION("""COMPUTED_VALUE"""),"Carmel Glover")</f>
        <v>Carmel Glover</v>
      </c>
      <c r="I923" s="62"/>
      <c r="J923" s="19"/>
    </row>
    <row r="924">
      <c r="A924" s="19" t="str">
        <f>IFERROR(__xludf.DUMMYFUNCTION("""COMPUTED_VALUE"""),"Dilon Jukic")</f>
        <v>Dilon Jukic</v>
      </c>
      <c r="B924" s="19" t="str">
        <f>IFERROR(__xludf.DUMMYFUNCTION("""COMPUTED_VALUE"""),"QLD")</f>
        <v>QLD</v>
      </c>
      <c r="C924" s="5" t="str">
        <f>IFERROR(__xludf.DUMMYFUNCTION("""COMPUTED_VALUE"""),"Wooloowin")</f>
        <v>Wooloowin</v>
      </c>
      <c r="D924" s="5" t="str">
        <f>IFERROR(__xludf.DUMMYFUNCTION("""COMPUTED_VALUE"""),"133 Dickson Street Wooloowin QLD 4030")</f>
        <v>133 Dickson Street Wooloowin QLD 4030</v>
      </c>
      <c r="E924" s="25">
        <f>IFERROR(__xludf.DUMMYFUNCTION("""COMPUTED_VALUE"""),45912.0)</f>
        <v>45912</v>
      </c>
      <c r="F924" s="5">
        <f>IFERROR(__xludf.DUMMYFUNCTION("""COMPUTED_VALUE"""),8.0)</f>
        <v>8</v>
      </c>
      <c r="G924" s="19" t="str">
        <f>IFERROR(__xludf.DUMMYFUNCTION("""COMPUTED_VALUE"""),"Instant Forms")</f>
        <v>Instant Forms</v>
      </c>
      <c r="H924" s="19" t="str">
        <f>IFERROR(__xludf.DUMMYFUNCTION("""COMPUTED_VALUE"""),"Phil Latham")</f>
        <v>Phil Latham</v>
      </c>
      <c r="I924" s="62"/>
      <c r="J924" s="19"/>
    </row>
    <row r="925">
      <c r="A925" s="19" t="str">
        <f>IFERROR(__xludf.DUMMYFUNCTION("""COMPUTED_VALUE"""),"Dilon Jukic")</f>
        <v>Dilon Jukic</v>
      </c>
      <c r="B925" s="19" t="str">
        <f>IFERROR(__xludf.DUMMYFUNCTION("""COMPUTED_VALUE"""),"QLD")</f>
        <v>QLD</v>
      </c>
      <c r="C925" s="5" t="str">
        <f>IFERROR(__xludf.DUMMYFUNCTION("""COMPUTED_VALUE"""),"Nundah")</f>
        <v>Nundah</v>
      </c>
      <c r="D925" s="5"/>
      <c r="E925" s="25">
        <f>IFERROR(__xludf.DUMMYFUNCTION("""COMPUTED_VALUE"""),45915.0)</f>
        <v>45915</v>
      </c>
      <c r="F925" s="5">
        <f>IFERROR(__xludf.DUMMYFUNCTION("""COMPUTED_VALUE"""),6.0)</f>
        <v>6</v>
      </c>
      <c r="G925" s="19" t="str">
        <f>IFERROR(__xludf.DUMMYFUNCTION("""COMPUTED_VALUE"""),"Instant Forms")</f>
        <v>Instant Forms</v>
      </c>
      <c r="H925" s="19" t="str">
        <f>IFERROR(__xludf.DUMMYFUNCTION("""COMPUTED_VALUE"""),"Suzy Bateup (Suzy has submitted a form before, previously in Buderim where she also owns a property. Unsure on her intentions as nothing came from the other lead a few months back)")</f>
        <v>Suzy Bateup (Suzy has submitted a form before, previously in Buderim where she also owns a property. Unsure on her intentions as nothing came from the other lead a few months back)</v>
      </c>
      <c r="I925" s="62"/>
      <c r="J925" s="19"/>
    </row>
    <row r="926">
      <c r="A926" s="19" t="str">
        <f>IFERROR(__xludf.DUMMYFUNCTION("""COMPUTED_VALUE"""),"Dilon Jukic")</f>
        <v>Dilon Jukic</v>
      </c>
      <c r="B926" s="19" t="str">
        <f>IFERROR(__xludf.DUMMYFUNCTION("""COMPUTED_VALUE"""),"QLD")</f>
        <v>QLD</v>
      </c>
      <c r="C926" s="5" t="str">
        <f>IFERROR(__xludf.DUMMYFUNCTION("""COMPUTED_VALUE"""),"Nundah")</f>
        <v>Nundah</v>
      </c>
      <c r="D926" s="5" t="str">
        <f>IFERROR(__xludf.DUMMYFUNCTION("""COMPUTED_VALUE"""),"16 New Street Nundah QLD 4012")</f>
        <v>16 New Street Nundah QLD 4012</v>
      </c>
      <c r="E926" s="25">
        <f>IFERROR(__xludf.DUMMYFUNCTION("""COMPUTED_VALUE"""),45916.0)</f>
        <v>45916</v>
      </c>
      <c r="F926" s="5">
        <f>IFERROR(__xludf.DUMMYFUNCTION("""COMPUTED_VALUE"""),8.0)</f>
        <v>8</v>
      </c>
      <c r="G926" s="19" t="str">
        <f>IFERROR(__xludf.DUMMYFUNCTION("""COMPUTED_VALUE"""),"Instant Forms")</f>
        <v>Instant Forms</v>
      </c>
      <c r="H926" s="19" t="str">
        <f>IFERROR(__xludf.DUMMYFUNCTION("""COMPUTED_VALUE"""),"Gavin McKee")</f>
        <v>Gavin McKee</v>
      </c>
      <c r="I926" s="62"/>
      <c r="J926" s="19"/>
    </row>
    <row r="927">
      <c r="A927" s="19" t="str">
        <f>IFERROR(__xludf.DUMMYFUNCTION("""COMPUTED_VALUE"""),"Dilon Jukic")</f>
        <v>Dilon Jukic</v>
      </c>
      <c r="B927" s="19" t="str">
        <f>IFERROR(__xludf.DUMMYFUNCTION("""COMPUTED_VALUE"""),"QLD")</f>
        <v>QLD</v>
      </c>
      <c r="C927" s="5" t="str">
        <f>IFERROR(__xludf.DUMMYFUNCTION("""COMPUTED_VALUE"""),"aspley")</f>
        <v>aspley</v>
      </c>
      <c r="D927" s="5" t="str">
        <f>IFERROR(__xludf.DUMMYFUNCTION("""COMPUTED_VALUE"""),"585 Robinson Road West Aspley QLD 4034")</f>
        <v>585 Robinson Road West Aspley QLD 4034</v>
      </c>
      <c r="E927" s="25">
        <f>IFERROR(__xludf.DUMMYFUNCTION("""COMPUTED_VALUE"""),45921.0)</f>
        <v>45921</v>
      </c>
      <c r="F927" s="5">
        <f>IFERROR(__xludf.DUMMYFUNCTION("""COMPUTED_VALUE"""),8.0)</f>
        <v>8</v>
      </c>
      <c r="G927" s="19" t="str">
        <f>IFERROR(__xludf.DUMMYFUNCTION("""COMPUTED_VALUE"""),"Instant Forms")</f>
        <v>Instant Forms</v>
      </c>
      <c r="H927" s="19" t="str">
        <f>IFERROR(__xludf.DUMMYFUNCTION("""COMPUTED_VALUE"""),"Elohisa Di Nardo")</f>
        <v>Elohisa Di Nardo</v>
      </c>
      <c r="I927" s="62"/>
      <c r="J927" s="19"/>
    </row>
    <row r="928">
      <c r="A928" s="19" t="str">
        <f>IFERROR(__xludf.DUMMYFUNCTION("""COMPUTED_VALUE"""),"Dilon Jukic")</f>
        <v>Dilon Jukic</v>
      </c>
      <c r="B928" s="19" t="str">
        <f>IFERROR(__xludf.DUMMYFUNCTION("""COMPUTED_VALUE"""),"QLD")</f>
        <v>QLD</v>
      </c>
      <c r="C928" s="5" t="str">
        <f>IFERROR(__xludf.DUMMYFUNCTION("""COMPUTED_VALUE"""),"Chermside west")</f>
        <v>Chermside west</v>
      </c>
      <c r="D928" s="5" t="str">
        <f>IFERROR(__xludf.DUMMYFUNCTION("""COMPUTED_VALUE"""),"34 Lawrence Road Chermside West QLD 4032")</f>
        <v>34 Lawrence Road Chermside West QLD 4032</v>
      </c>
      <c r="E928" s="25">
        <f>IFERROR(__xludf.DUMMYFUNCTION("""COMPUTED_VALUE"""),45924.0)</f>
        <v>45924</v>
      </c>
      <c r="F928" s="5">
        <f>IFERROR(__xludf.DUMMYFUNCTION("""COMPUTED_VALUE"""),8.0)</f>
        <v>8</v>
      </c>
      <c r="G928" s="19" t="str">
        <f>IFERROR(__xludf.DUMMYFUNCTION("""COMPUTED_VALUE"""),"Instant Forms")</f>
        <v>Instant Forms</v>
      </c>
      <c r="H928" s="19" t="str">
        <f>IFERROR(__xludf.DUMMYFUNCTION("""COMPUTED_VALUE"""),"Neale Webb")</f>
        <v>Neale Webb</v>
      </c>
      <c r="I928" s="62"/>
      <c r="J928" s="19"/>
    </row>
    <row r="929">
      <c r="A929" s="19" t="str">
        <f>IFERROR(__xludf.DUMMYFUNCTION("""COMPUTED_VALUE"""),"Dilon Jukic")</f>
        <v>Dilon Jukic</v>
      </c>
      <c r="B929" s="19" t="str">
        <f>IFERROR(__xludf.DUMMYFUNCTION("""COMPUTED_VALUE"""),"QLD")</f>
        <v>QLD</v>
      </c>
      <c r="C929" s="5" t="str">
        <f>IFERROR(__xludf.DUMMYFUNCTION("""COMPUTED_VALUE"""),"Stafford Heights")</f>
        <v>Stafford Heights</v>
      </c>
      <c r="D929" s="5" t="str">
        <f>IFERROR(__xludf.DUMMYFUNCTION("""COMPUTED_VALUE"""),"31 Karloff Drive Stafford Heights QLD 4053")</f>
        <v>31 Karloff Drive Stafford Heights QLD 4053</v>
      </c>
      <c r="E929" s="25">
        <f>IFERROR(__xludf.DUMMYFUNCTION("""COMPUTED_VALUE"""),45925.0)</f>
        <v>45925</v>
      </c>
      <c r="F929" s="5">
        <f>IFERROR(__xludf.DUMMYFUNCTION("""COMPUTED_VALUE"""),8.0)</f>
        <v>8</v>
      </c>
      <c r="G929" s="19" t="str">
        <f>IFERROR(__xludf.DUMMYFUNCTION("""COMPUTED_VALUE"""),"Instant Forms")</f>
        <v>Instant Forms</v>
      </c>
      <c r="H929" s="19" t="str">
        <f>IFERROR(__xludf.DUMMYFUNCTION("""COMPUTED_VALUE"""),"Angelo Galano")</f>
        <v>Angelo Galano</v>
      </c>
      <c r="I929" s="62"/>
      <c r="J929" s="19"/>
    </row>
    <row r="930">
      <c r="A930" s="19" t="str">
        <f>IFERROR(__xludf.DUMMYFUNCTION("""COMPUTED_VALUE"""),"Dilon Jukic")</f>
        <v>Dilon Jukic</v>
      </c>
      <c r="B930" s="19" t="str">
        <f>IFERROR(__xludf.DUMMYFUNCTION("""COMPUTED_VALUE"""),"QLD")</f>
        <v>QLD</v>
      </c>
      <c r="C930" s="5" t="str">
        <f>IFERROR(__xludf.DUMMYFUNCTION("""COMPUTED_VALUE"""),"Hendra")</f>
        <v>Hendra</v>
      </c>
      <c r="D930" s="5"/>
      <c r="E930" s="25">
        <f>IFERROR(__xludf.DUMMYFUNCTION("""COMPUTED_VALUE"""),45925.0)</f>
        <v>45925</v>
      </c>
      <c r="F930" s="5">
        <f>IFERROR(__xludf.DUMMYFUNCTION("""COMPUTED_VALUE"""),5.0)</f>
        <v>5</v>
      </c>
      <c r="G930" s="19" t="str">
        <f>IFERROR(__xludf.DUMMYFUNCTION("""COMPUTED_VALUE"""),"Instant Forms")</f>
        <v>Instant Forms</v>
      </c>
      <c r="H930" s="19" t="str">
        <f>IFERROR(__xludf.DUMMYFUNCTION("""COMPUTED_VALUE"""),"Darren Willersdorf")</f>
        <v>Darren Willersdorf</v>
      </c>
      <c r="I930" s="62"/>
      <c r="J930" s="19"/>
    </row>
    <row r="931">
      <c r="A931" s="19" t="str">
        <f>IFERROR(__xludf.DUMMYFUNCTION("""COMPUTED_VALUE"""),"Dilon Jukic")</f>
        <v>Dilon Jukic</v>
      </c>
      <c r="B931" s="19" t="str">
        <f>IFERROR(__xludf.DUMMYFUNCTION("""COMPUTED_VALUE"""),"QLD")</f>
        <v>QLD</v>
      </c>
      <c r="C931" s="5" t="str">
        <f>IFERROR(__xludf.DUMMYFUNCTION("""COMPUTED_VALUE"""),"Nudgee")</f>
        <v>Nudgee</v>
      </c>
      <c r="D931" s="5" t="str">
        <f>IFERROR(__xludf.DUMMYFUNCTION("""COMPUTED_VALUE"""),"34 Jessica Crescent Nudgee QLD 4014")</f>
        <v>34 Jessica Crescent Nudgee QLD 4014</v>
      </c>
      <c r="E931" s="25">
        <f>IFERROR(__xludf.DUMMYFUNCTION("""COMPUTED_VALUE"""),45926.0)</f>
        <v>45926</v>
      </c>
      <c r="F931" s="5">
        <f>IFERROR(__xludf.DUMMYFUNCTION("""COMPUTED_VALUE"""),6.0)</f>
        <v>6</v>
      </c>
      <c r="G931" s="19" t="str">
        <f>IFERROR(__xludf.DUMMYFUNCTION("""COMPUTED_VALUE"""),"Instant Forms")</f>
        <v>Instant Forms</v>
      </c>
      <c r="H931" s="19" t="str">
        <f>IFERROR(__xludf.DUMMYFUNCTION("""COMPUTED_VALUE"""),"Tony Gerard")</f>
        <v>Tony Gerard</v>
      </c>
      <c r="I931" s="62"/>
      <c r="J931" s="19"/>
    </row>
    <row r="932">
      <c r="A932" s="19" t="str">
        <f>IFERROR(__xludf.DUMMYFUNCTION("""COMPUTED_VALUE"""),"Dilon Jukic")</f>
        <v>Dilon Jukic</v>
      </c>
      <c r="B932" s="19" t="str">
        <f>IFERROR(__xludf.DUMMYFUNCTION("""COMPUTED_VALUE"""),"QLD")</f>
        <v>QLD</v>
      </c>
      <c r="C932" s="5" t="str">
        <f>IFERROR(__xludf.DUMMYFUNCTION("""COMPUTED_VALUE"""),"hendra")</f>
        <v>hendra</v>
      </c>
      <c r="D932" s="5"/>
      <c r="E932" s="25">
        <f>IFERROR(__xludf.DUMMYFUNCTION("""COMPUTED_VALUE"""),45928.0)</f>
        <v>45928</v>
      </c>
      <c r="F932" s="5">
        <f>IFERROR(__xludf.DUMMYFUNCTION("""COMPUTED_VALUE"""),6.0)</f>
        <v>6</v>
      </c>
      <c r="G932" s="19" t="str">
        <f>IFERROR(__xludf.DUMMYFUNCTION("""COMPUTED_VALUE"""),"Instant Forms")</f>
        <v>Instant Forms</v>
      </c>
      <c r="H932" s="19" t="str">
        <f>IFERROR(__xludf.DUMMYFUNCTION("""COMPUTED_VALUE"""),"mark thomas")</f>
        <v>mark thomas</v>
      </c>
      <c r="I932" s="62"/>
      <c r="J932" s="19"/>
    </row>
    <row r="933">
      <c r="A933" s="19" t="str">
        <f>IFERROR(__xludf.DUMMYFUNCTION("""COMPUTED_VALUE"""),"Dilon Jukic")</f>
        <v>Dilon Jukic</v>
      </c>
      <c r="B933" s="19" t="str">
        <f>IFERROR(__xludf.DUMMYFUNCTION("""COMPUTED_VALUE"""),"QLD")</f>
        <v>QLD</v>
      </c>
      <c r="C933" s="5" t="str">
        <f>IFERROR(__xludf.DUMMYFUNCTION("""COMPUTED_VALUE"""),"Somerton Park")</f>
        <v>Somerton Park</v>
      </c>
      <c r="D933" s="5" t="str">
        <f>IFERROR(__xludf.DUMMYFUNCTION("""COMPUTED_VALUE"""),"16 Prospect Place Upper Kedron QLD 4055")</f>
        <v>16 Prospect Place Upper Kedron QLD 4055</v>
      </c>
      <c r="E933" s="25">
        <f>IFERROR(__xludf.DUMMYFUNCTION("""COMPUTED_VALUE"""),45928.0)</f>
        <v>45928</v>
      </c>
      <c r="F933" s="5">
        <f>IFERROR(__xludf.DUMMYFUNCTION("""COMPUTED_VALUE"""),6.0)</f>
        <v>6</v>
      </c>
      <c r="G933" s="19" t="str">
        <f>IFERROR(__xludf.DUMMYFUNCTION("""COMPUTED_VALUE"""),"Instant Forms")</f>
        <v>Instant Forms</v>
      </c>
      <c r="H933" s="19" t="str">
        <f>IFERROR(__xludf.DUMMYFUNCTION("""COMPUTED_VALUE"""),"Lynn Hill")</f>
        <v>Lynn Hill</v>
      </c>
      <c r="I933" s="62"/>
      <c r="J933" s="19"/>
    </row>
    <row r="934">
      <c r="A934" s="19" t="str">
        <f>IFERROR(__xludf.DUMMYFUNCTION("""COMPUTED_VALUE"""),"Dilon Jukic")</f>
        <v>Dilon Jukic</v>
      </c>
      <c r="B934" s="19" t="str">
        <f>IFERROR(__xludf.DUMMYFUNCTION("""COMPUTED_VALUE"""),"QLD")</f>
        <v>QLD</v>
      </c>
      <c r="C934" s="5" t="str">
        <f>IFERROR(__xludf.DUMMYFUNCTION("""COMPUTED_VALUE"""),"Kedron")</f>
        <v>Kedron</v>
      </c>
      <c r="D934" s="5" t="str">
        <f>IFERROR(__xludf.DUMMYFUNCTION("""COMPUTED_VALUE"""),"45 Strathmore Street Kedron QLD 4031")</f>
        <v>45 Strathmore Street Kedron QLD 4031</v>
      </c>
      <c r="E934" s="25">
        <f>IFERROR(__xludf.DUMMYFUNCTION("""COMPUTED_VALUE"""),45931.0)</f>
        <v>45931</v>
      </c>
      <c r="F934" s="5">
        <f>IFERROR(__xludf.DUMMYFUNCTION("""COMPUTED_VALUE"""),8.0)</f>
        <v>8</v>
      </c>
      <c r="G934" s="19" t="str">
        <f>IFERROR(__xludf.DUMMYFUNCTION("""COMPUTED_VALUE"""),"Instant Forms")</f>
        <v>Instant Forms</v>
      </c>
      <c r="H934" s="19" t="str">
        <f>IFERROR(__xludf.DUMMYFUNCTION("""COMPUTED_VALUE"""),"Deb Spearritt")</f>
        <v>Deb Spearritt</v>
      </c>
      <c r="I934" s="62"/>
      <c r="J934" s="19"/>
    </row>
    <row r="935">
      <c r="A935" s="19" t="str">
        <f>IFERROR(__xludf.DUMMYFUNCTION("""COMPUTED_VALUE"""),"Dilon Jukic")</f>
        <v>Dilon Jukic</v>
      </c>
      <c r="B935" s="19" t="str">
        <f>IFERROR(__xludf.DUMMYFUNCTION("""COMPUTED_VALUE"""),"QLD")</f>
        <v>QLD</v>
      </c>
      <c r="C935" s="5" t="str">
        <f>IFERROR(__xludf.DUMMYFUNCTION("""COMPUTED_VALUE"""),"Wavell Heights")</f>
        <v>Wavell Heights</v>
      </c>
      <c r="D935" s="5" t="str">
        <f>IFERROR(__xludf.DUMMYFUNCTION("""COMPUTED_VALUE"""),"1 Silene Street Wavell Heights QLD 4012")</f>
        <v>1 Silene Street Wavell Heights QLD 4012</v>
      </c>
      <c r="E935" s="25">
        <f>IFERROR(__xludf.DUMMYFUNCTION("""COMPUTED_VALUE"""),45931.0)</f>
        <v>45931</v>
      </c>
      <c r="F935" s="5">
        <f>IFERROR(__xludf.DUMMYFUNCTION("""COMPUTED_VALUE"""),8.0)</f>
        <v>8</v>
      </c>
      <c r="G935" s="19" t="str">
        <f>IFERROR(__xludf.DUMMYFUNCTION("""COMPUTED_VALUE"""),"Instant Forms")</f>
        <v>Instant Forms</v>
      </c>
      <c r="H935" s="19" t="str">
        <f>IFERROR(__xludf.DUMMYFUNCTION("""COMPUTED_VALUE"""),"Anna Clay-O'Donoghue")</f>
        <v>Anna Clay-O'Donoghue</v>
      </c>
      <c r="I935" s="62"/>
      <c r="J935" s="19"/>
    </row>
    <row r="936">
      <c r="A936" s="19" t="str">
        <f>IFERROR(__xludf.DUMMYFUNCTION("""COMPUTED_VALUE"""),"Dilon Jukic")</f>
        <v>Dilon Jukic</v>
      </c>
      <c r="B936" s="19" t="str">
        <f>IFERROR(__xludf.DUMMYFUNCTION("""COMPUTED_VALUE"""),"QLD")</f>
        <v>QLD</v>
      </c>
      <c r="C936" s="5" t="str">
        <f>IFERROR(__xludf.DUMMYFUNCTION("""COMPUTED_VALUE"""),"Chermside West")</f>
        <v>Chermside West</v>
      </c>
      <c r="D936" s="5" t="str">
        <f>IFERROR(__xludf.DUMMYFUNCTION("""COMPUTED_VALUE"""),"12 Castlehaven Close Chermside West QLD 4032")</f>
        <v>12 Castlehaven Close Chermside West QLD 4032</v>
      </c>
      <c r="E936" s="25">
        <f>IFERROR(__xludf.DUMMYFUNCTION("""COMPUTED_VALUE"""),45934.0)</f>
        <v>45934</v>
      </c>
      <c r="F936" s="5">
        <f>IFERROR(__xludf.DUMMYFUNCTION("""COMPUTED_VALUE"""),8.0)</f>
        <v>8</v>
      </c>
      <c r="G936" s="19" t="str">
        <f>IFERROR(__xludf.DUMMYFUNCTION("""COMPUTED_VALUE"""),"Instant Forms")</f>
        <v>Instant Forms</v>
      </c>
      <c r="H936" s="19" t="str">
        <f>IFERROR(__xludf.DUMMYFUNCTION("""COMPUTED_VALUE"""),"Kenneth Boles")</f>
        <v>Kenneth Boles</v>
      </c>
      <c r="I936" s="62"/>
      <c r="J936" s="19"/>
    </row>
    <row r="937">
      <c r="A937" s="19" t="str">
        <f>IFERROR(__xludf.DUMMYFUNCTION("""COMPUTED_VALUE"""),"Dilon Jukic")</f>
        <v>Dilon Jukic</v>
      </c>
      <c r="B937" s="19" t="str">
        <f>IFERROR(__xludf.DUMMYFUNCTION("""COMPUTED_VALUE"""),"QLD")</f>
        <v>QLD</v>
      </c>
      <c r="C937" s="5" t="str">
        <f>IFERROR(__xludf.DUMMYFUNCTION("""COMPUTED_VALUE"""),"Nundah")</f>
        <v>Nundah</v>
      </c>
      <c r="D937" s="5" t="str">
        <f>IFERROR(__xludf.DUMMYFUNCTION("""COMPUTED_VALUE"""),"23 Nellie Street Nundah QLD 4012")</f>
        <v>23 Nellie Street Nundah QLD 4012</v>
      </c>
      <c r="E937" s="25">
        <f>IFERROR(__xludf.DUMMYFUNCTION("""COMPUTED_VALUE"""),45934.0)</f>
        <v>45934</v>
      </c>
      <c r="F937" s="5">
        <f>IFERROR(__xludf.DUMMYFUNCTION("""COMPUTED_VALUE"""),6.0)</f>
        <v>6</v>
      </c>
      <c r="G937" s="19" t="str">
        <f>IFERROR(__xludf.DUMMYFUNCTION("""COMPUTED_VALUE"""),"Instant Forms")</f>
        <v>Instant Forms</v>
      </c>
      <c r="H937" s="19" t="str">
        <f>IFERROR(__xludf.DUMMYFUNCTION("""COMPUTED_VALUE"""),"Emma-Lee")</f>
        <v>Emma-Lee</v>
      </c>
      <c r="I937" s="62"/>
      <c r="J937" s="19"/>
    </row>
    <row r="938">
      <c r="A938" s="19" t="str">
        <f>IFERROR(__xludf.DUMMYFUNCTION("""COMPUTED_VALUE"""),"Dilon Jukic")</f>
        <v>Dilon Jukic</v>
      </c>
      <c r="B938" s="19" t="str">
        <f>IFERROR(__xludf.DUMMYFUNCTION("""COMPUTED_VALUE"""),"QLD")</f>
        <v>QLD</v>
      </c>
      <c r="C938" s="5">
        <f>IFERROR(__xludf.DUMMYFUNCTION("""COMPUTED_VALUE"""),4034.0)</f>
        <v>4034</v>
      </c>
      <c r="D938" s="5"/>
      <c r="E938" s="25">
        <f>IFERROR(__xludf.DUMMYFUNCTION("""COMPUTED_VALUE"""),45936.0)</f>
        <v>45936</v>
      </c>
      <c r="F938" s="5">
        <f>IFERROR(__xludf.DUMMYFUNCTION("""COMPUTED_VALUE"""),5.0)</f>
        <v>5</v>
      </c>
      <c r="G938" s="19" t="str">
        <f>IFERROR(__xludf.DUMMYFUNCTION("""COMPUTED_VALUE"""),"Instant Forms")</f>
        <v>Instant Forms</v>
      </c>
      <c r="H938" s="19" t="str">
        <f>IFERROR(__xludf.DUMMYFUNCTION("""COMPUTED_VALUE"""),"Meg Purcell")</f>
        <v>Meg Purcell</v>
      </c>
      <c r="I938" s="62"/>
      <c r="J938" s="19"/>
    </row>
    <row r="939">
      <c r="A939" s="19" t="str">
        <f>IFERROR(__xludf.DUMMYFUNCTION("""COMPUTED_VALUE"""),"Dilon Jukic")</f>
        <v>Dilon Jukic</v>
      </c>
      <c r="B939" s="19" t="str">
        <f>IFERROR(__xludf.DUMMYFUNCTION("""COMPUTED_VALUE"""),"QLD")</f>
        <v>QLD</v>
      </c>
      <c r="C939" s="5" t="str">
        <f>IFERROR(__xludf.DUMMYFUNCTION("""COMPUTED_VALUE"""),"Wavell Heights")</f>
        <v>Wavell Heights</v>
      </c>
      <c r="D939" s="5" t="str">
        <f>IFERROR(__xludf.DUMMYFUNCTION("""COMPUTED_VALUE"""),"10 Warril Street, Wavell Heights  QLD")</f>
        <v>10 Warril Street, Wavell Heights  QLD</v>
      </c>
      <c r="E939" s="25">
        <f>IFERROR(__xludf.DUMMYFUNCTION("""COMPUTED_VALUE"""),45964.0)</f>
        <v>45964</v>
      </c>
      <c r="F939" s="5" t="str">
        <f>IFERROR(__xludf.DUMMYFUNCTION("""COMPUTED_VALUE"""),"Featured")</f>
        <v>Featured</v>
      </c>
      <c r="G939" s="19" t="str">
        <f>IFERROR(__xludf.DUMMYFUNCTION("""COMPUTED_VALUE"""),"Commission Comparison")</f>
        <v>Commission Comparison</v>
      </c>
      <c r="H939" s="19"/>
      <c r="I939" s="62"/>
      <c r="J939" s="19"/>
    </row>
    <row r="940">
      <c r="A940" s="19" t="str">
        <f>IFERROR(__xludf.DUMMYFUNCTION("""COMPUTED_VALUE"""),"Dilon Jukic")</f>
        <v>Dilon Jukic</v>
      </c>
      <c r="B940" s="19" t="str">
        <f>IFERROR(__xludf.DUMMYFUNCTION("""COMPUTED_VALUE"""),"QLD")</f>
        <v>QLD</v>
      </c>
      <c r="C940" s="5" t="str">
        <f>IFERROR(__xludf.DUMMYFUNCTION("""COMPUTED_VALUE"""),"Kedron")</f>
        <v>Kedron</v>
      </c>
      <c r="D940" s="5" t="str">
        <f>IFERROR(__xludf.DUMMYFUNCTION("""COMPUTED_VALUE"""),"41/49 Colac Street Kedron QLD 4031")</f>
        <v>41/49 Colac Street Kedron QLD 4031</v>
      </c>
      <c r="E940" s="25">
        <f>IFERROR(__xludf.DUMMYFUNCTION("""COMPUTED_VALUE"""),45977.0)</f>
        <v>45977</v>
      </c>
      <c r="F940" s="5">
        <f>IFERROR(__xludf.DUMMYFUNCTION("""COMPUTED_VALUE"""),8.0)</f>
        <v>8</v>
      </c>
      <c r="G940" s="19" t="str">
        <f>IFERROR(__xludf.DUMMYFUNCTION("""COMPUTED_VALUE"""),"Instant Forms")</f>
        <v>Instant Forms</v>
      </c>
      <c r="H940" s="19" t="str">
        <f>IFERROR(__xludf.DUMMYFUNCTION("""COMPUTED_VALUE"""),"Paul Hender")</f>
        <v>Paul Hender</v>
      </c>
      <c r="I940" s="62">
        <f>IFERROR(__xludf.DUMMYFUNCTION("""COMPUTED_VALUE"""),6.1432567424E10)</f>
        <v>61432567424</v>
      </c>
      <c r="J940" s="19" t="str">
        <f>IFERROR(__xludf.DUMMYFUNCTION("""COMPUTED_VALUE"""),"paul.hender7@gmail.com")</f>
        <v>paul.hender7@gmail.com</v>
      </c>
    </row>
    <row r="941">
      <c r="A941" s="19" t="str">
        <f>IFERROR(__xludf.DUMMYFUNCTION("""COMPUTED_VALUE"""),"Dilon Jukic")</f>
        <v>Dilon Jukic</v>
      </c>
      <c r="B941" s="19" t="str">
        <f>IFERROR(__xludf.DUMMYFUNCTION("""COMPUTED_VALUE"""),"QLD")</f>
        <v>QLD</v>
      </c>
      <c r="C941" s="5" t="str">
        <f>IFERROR(__xludf.DUMMYFUNCTION("""COMPUTED_VALUE"""),"Chermside")</f>
        <v>Chermside</v>
      </c>
      <c r="D941" s="5" t="str">
        <f>IFERROR(__xludf.DUMMYFUNCTION("""COMPUTED_VALUE"""),"2/17 View Street Chermside QLD 4032")</f>
        <v>2/17 View Street Chermside QLD 4032</v>
      </c>
      <c r="E941" s="25">
        <f>IFERROR(__xludf.DUMMYFUNCTION("""COMPUTED_VALUE"""),45977.0)</f>
        <v>45977</v>
      </c>
      <c r="F941" s="5">
        <f>IFERROR(__xludf.DUMMYFUNCTION("""COMPUTED_VALUE"""),8.0)</f>
        <v>8</v>
      </c>
      <c r="G941" s="19" t="str">
        <f>IFERROR(__xludf.DUMMYFUNCTION("""COMPUTED_VALUE"""),"Instant Forms")</f>
        <v>Instant Forms</v>
      </c>
      <c r="H941" s="19" t="str">
        <f>IFERROR(__xludf.DUMMYFUNCTION("""COMPUTED_VALUE"""),"Chelsea Eaton")</f>
        <v>Chelsea Eaton</v>
      </c>
      <c r="I941" s="62">
        <f>IFERROR(__xludf.DUMMYFUNCTION("""COMPUTED_VALUE"""),6.143486105E10)</f>
        <v>61434861050</v>
      </c>
      <c r="J941" s="19" t="str">
        <f>IFERROR(__xludf.DUMMYFUNCTION("""COMPUTED_VALUE"""),"chelsea.f.eaton@gmail.com")</f>
        <v>chelsea.f.eaton@gmail.com</v>
      </c>
    </row>
    <row r="942">
      <c r="A942" s="19" t="str">
        <f>IFERROR(__xludf.DUMMYFUNCTION("""COMPUTED_VALUE"""),"Dilon Jukic")</f>
        <v>Dilon Jukic</v>
      </c>
      <c r="B942" s="19" t="str">
        <f>IFERROR(__xludf.DUMMYFUNCTION("""COMPUTED_VALUE"""),"QLD")</f>
        <v>QLD</v>
      </c>
      <c r="C942" s="5" t="str">
        <f>IFERROR(__xludf.DUMMYFUNCTION("""COMPUTED_VALUE"""),"Wavell Heights")</f>
        <v>Wavell Heights</v>
      </c>
      <c r="D942" s="5" t="str">
        <f>IFERROR(__xludf.DUMMYFUNCTION("""COMPUTED_VALUE"""),"37 Sugarloaf Street Wavell Heights QLD 4012")</f>
        <v>37 Sugarloaf Street Wavell Heights QLD 4012</v>
      </c>
      <c r="E942" s="5" t="str">
        <f>IFERROR(__xludf.DUMMYFUNCTION("""COMPUTED_VALUE"""),"21/11/2025")</f>
        <v>21/11/2025</v>
      </c>
      <c r="F942" s="5">
        <f>IFERROR(__xludf.DUMMYFUNCTION("""COMPUTED_VALUE"""),6.0)</f>
        <v>6</v>
      </c>
      <c r="G942" s="19" t="str">
        <f>IFERROR(__xludf.DUMMYFUNCTION("""COMPUTED_VALUE"""),"Instant Forms")</f>
        <v>Instant Forms</v>
      </c>
      <c r="H942" s="19" t="str">
        <f>IFERROR(__xludf.DUMMYFUNCTION("""COMPUTED_VALUE"""),"Tina Oppes")</f>
        <v>Tina Oppes</v>
      </c>
      <c r="I942" s="62">
        <f>IFERROR(__xludf.DUMMYFUNCTION("""COMPUTED_VALUE"""),6.1405340513E10)</f>
        <v>61405340513</v>
      </c>
      <c r="J942" s="19" t="str">
        <f>IFERROR(__xludf.DUMMYFUNCTION("""COMPUTED_VALUE"""),"Sellinginoz@hotmail.com")</f>
        <v>Sellinginoz@hotmail.com</v>
      </c>
    </row>
    <row r="943">
      <c r="A943" s="19" t="str">
        <f>IFERROR(__xludf.DUMMYFUNCTION("""COMPUTED_VALUE"""),"Dilon Jukic")</f>
        <v>Dilon Jukic</v>
      </c>
      <c r="B943" s="19" t="str">
        <f>IFERROR(__xludf.DUMMYFUNCTION("""COMPUTED_VALUE"""),"QLD")</f>
        <v>QLD</v>
      </c>
      <c r="C943" s="5" t="str">
        <f>IFERROR(__xludf.DUMMYFUNCTION("""COMPUTED_VALUE"""),"Nudgee")</f>
        <v>Nudgee</v>
      </c>
      <c r="D943" s="5" t="str">
        <f>IFERROR(__xludf.DUMMYFUNCTION("""COMPUTED_VALUE"""),"9 Oakmere Street Nudgee QLD 4014")</f>
        <v>9 Oakmere Street Nudgee QLD 4014</v>
      </c>
      <c r="E943" s="5" t="str">
        <f>IFERROR(__xludf.DUMMYFUNCTION("""COMPUTED_VALUE"""),"27/11/2025")</f>
        <v>27/11/2025</v>
      </c>
      <c r="F943" s="64">
        <f>IFERROR(__xludf.DUMMYFUNCTION("""COMPUTED_VALUE"""),0.2)</f>
        <v>0.2</v>
      </c>
      <c r="G943" s="19" t="str">
        <f>IFERROR(__xludf.DUMMYFUNCTION("""COMPUTED_VALUE"""),"Instant Forms")</f>
        <v>Instant Forms</v>
      </c>
      <c r="H943" s="19" t="str">
        <f>IFERROR(__xludf.DUMMYFUNCTION("""COMPUTED_VALUE"""),"Warrick Smith")</f>
        <v>Warrick Smith</v>
      </c>
      <c r="I943" s="62">
        <f>IFERROR(__xludf.DUMMYFUNCTION("""COMPUTED_VALUE"""),6.1417741116E10)</f>
        <v>61417741116</v>
      </c>
      <c r="J943" s="19" t="str">
        <f>IFERROR(__xludf.DUMMYFUNCTION("""COMPUTED_VALUE"""),"warrick@construc.com.au")</f>
        <v>warrick@construc.com.au</v>
      </c>
    </row>
    <row r="944">
      <c r="A944" s="19" t="str">
        <f>IFERROR(__xludf.DUMMYFUNCTION("""COMPUTED_VALUE"""),"Dilon Jukic")</f>
        <v>Dilon Jukic</v>
      </c>
      <c r="B944" s="19" t="str">
        <f>IFERROR(__xludf.DUMMYFUNCTION("""COMPUTED_VALUE"""),"QLD")</f>
        <v>QLD</v>
      </c>
      <c r="C944" s="5" t="str">
        <f>IFERROR(__xludf.DUMMYFUNCTION("""COMPUTED_VALUE"""),"Nudgee")</f>
        <v>Nudgee</v>
      </c>
      <c r="D944" s="5" t="str">
        <f>IFERROR(__xludf.DUMMYFUNCTION("""COMPUTED_VALUE"""),"8 Primula Street Nudgee QLD 4014")</f>
        <v>8 Primula Street Nudgee QLD 4014</v>
      </c>
      <c r="E944" s="5" t="str">
        <f>IFERROR(__xludf.DUMMYFUNCTION("""COMPUTED_VALUE"""),"27/11/2025")</f>
        <v>27/11/2025</v>
      </c>
      <c r="F944" s="64">
        <f>IFERROR(__xludf.DUMMYFUNCTION("""COMPUTED_VALUE"""),0.2)</f>
        <v>0.2</v>
      </c>
      <c r="G944" s="19" t="str">
        <f>IFERROR(__xludf.DUMMYFUNCTION("""COMPUTED_VALUE"""),"Instant Forms")</f>
        <v>Instant Forms</v>
      </c>
      <c r="H944" s="19" t="str">
        <f>IFERROR(__xludf.DUMMYFUNCTION("""COMPUTED_VALUE"""),"Warrick Smith")</f>
        <v>Warrick Smith</v>
      </c>
      <c r="I944" s="62">
        <f>IFERROR(__xludf.DUMMYFUNCTION("""COMPUTED_VALUE"""),6.1417741116E10)</f>
        <v>61417741116</v>
      </c>
      <c r="J944" s="19" t="str">
        <f>IFERROR(__xludf.DUMMYFUNCTION("""COMPUTED_VALUE"""),"warrick@construc.com.au")</f>
        <v>warrick@construc.com.au</v>
      </c>
    </row>
    <row r="945">
      <c r="A945" s="19" t="str">
        <f>IFERROR(__xludf.DUMMYFUNCTION("""COMPUTED_VALUE"""),"Dilon Jukic")</f>
        <v>Dilon Jukic</v>
      </c>
      <c r="B945" s="19" t="str">
        <f>IFERROR(__xludf.DUMMYFUNCTION("""COMPUTED_VALUE"""),"QLD")</f>
        <v>QLD</v>
      </c>
      <c r="C945" s="5" t="str">
        <f>IFERROR(__xludf.DUMMYFUNCTION("""COMPUTED_VALUE"""),"Wavell heights")</f>
        <v>Wavell heights</v>
      </c>
      <c r="D945" s="5"/>
      <c r="E945" s="27">
        <f>IFERROR(__xludf.DUMMYFUNCTION("""COMPUTED_VALUE"""),45820.0)</f>
        <v>45820</v>
      </c>
      <c r="F945" s="64">
        <f>IFERROR(__xludf.DUMMYFUNCTION("""COMPUTED_VALUE"""),0.0)</f>
        <v>0</v>
      </c>
      <c r="G945" s="19" t="str">
        <f>IFERROR(__xludf.DUMMYFUNCTION("""COMPUTED_VALUE"""),"Instant Forms")</f>
        <v>Instant Forms</v>
      </c>
      <c r="H945" s="19" t="str">
        <f>IFERROR(__xludf.DUMMYFUNCTION("""COMPUTED_VALUE"""),"Dayna Bella")</f>
        <v>Dayna Bella</v>
      </c>
      <c r="I945" s="62">
        <f>IFERROR(__xludf.DUMMYFUNCTION("""COMPUTED_VALUE"""),6.1422227212E10)</f>
        <v>61422227212</v>
      </c>
      <c r="J945" s="19" t="str">
        <f>IFERROR(__xludf.DUMMYFUNCTION("""COMPUTED_VALUE"""),"dayna.wandrey1@gmail.com")</f>
        <v>dayna.wandrey1@gmail.com</v>
      </c>
    </row>
    <row r="946">
      <c r="A946" s="19" t="str">
        <f>IFERROR(__xludf.DUMMYFUNCTION("""COMPUTED_VALUE"""),"")</f>
        <v/>
      </c>
      <c r="B946" s="19" t="str">
        <f>IFERROR(__xludf.DUMMYFUNCTION("""COMPUTED_VALUE"""),"")</f>
        <v/>
      </c>
      <c r="C946" s="5" t="str">
        <f>IFERROR(__xludf.DUMMYFUNCTION("""COMPUTED_VALUE"""),"")</f>
        <v/>
      </c>
      <c r="D946" s="5" t="str">
        <f>IFERROR(__xludf.DUMMYFUNCTION("""COMPUTED_VALUE"""),"")</f>
        <v/>
      </c>
      <c r="E946" s="5" t="str">
        <f>IFERROR(__xludf.DUMMYFUNCTION("""COMPUTED_VALUE"""),"")</f>
        <v/>
      </c>
      <c r="F946" s="5" t="str">
        <f>IFERROR(__xludf.DUMMYFUNCTION("""COMPUTED_VALUE"""),"")</f>
        <v/>
      </c>
      <c r="G946" s="19" t="str">
        <f>IFERROR(__xludf.DUMMYFUNCTION("""COMPUTED_VALUE"""),"")</f>
        <v/>
      </c>
      <c r="H946" s="19" t="str">
        <f>IFERROR(__xludf.DUMMYFUNCTION("""COMPUTED_VALUE"""),"")</f>
        <v/>
      </c>
      <c r="I946" s="62" t="str">
        <f>IFERROR(__xludf.DUMMYFUNCTION("""COMPUTED_VALUE"""),"")</f>
        <v/>
      </c>
      <c r="J946" s="19" t="str">
        <f>IFERROR(__xludf.DUMMYFUNCTION("""COMPUTED_VALUE"""),"")</f>
        <v/>
      </c>
    </row>
    <row r="947">
      <c r="A947" s="19" t="str">
        <f>IFERROR(__xludf.DUMMYFUNCTION("""COMPUTED_VALUE"""),"")</f>
        <v/>
      </c>
      <c r="B947" s="19" t="str">
        <f>IFERROR(__xludf.DUMMYFUNCTION("""COMPUTED_VALUE"""),"")</f>
        <v/>
      </c>
      <c r="C947" s="5" t="str">
        <f>IFERROR(__xludf.DUMMYFUNCTION("""COMPUTED_VALUE"""),"")</f>
        <v/>
      </c>
      <c r="D947" s="5" t="str">
        <f>IFERROR(__xludf.DUMMYFUNCTION("""COMPUTED_VALUE"""),"")</f>
        <v/>
      </c>
      <c r="E947" s="5" t="str">
        <f>IFERROR(__xludf.DUMMYFUNCTION("""COMPUTED_VALUE"""),"")</f>
        <v/>
      </c>
      <c r="F947" s="5" t="str">
        <f>IFERROR(__xludf.DUMMYFUNCTION("""COMPUTED_VALUE"""),"")</f>
        <v/>
      </c>
      <c r="G947" s="19" t="str">
        <f>IFERROR(__xludf.DUMMYFUNCTION("""COMPUTED_VALUE"""),"")</f>
        <v/>
      </c>
      <c r="H947" s="19" t="str">
        <f>IFERROR(__xludf.DUMMYFUNCTION("""COMPUTED_VALUE"""),"")</f>
        <v/>
      </c>
      <c r="I947" s="62" t="str">
        <f>IFERROR(__xludf.DUMMYFUNCTION("""COMPUTED_VALUE"""),"")</f>
        <v/>
      </c>
      <c r="J947" s="19" t="str">
        <f>IFERROR(__xludf.DUMMYFUNCTION("""COMPUTED_VALUE"""),"")</f>
        <v/>
      </c>
    </row>
    <row r="948">
      <c r="A948" s="19" t="str">
        <f>IFERROR(__xludf.DUMMYFUNCTION("""COMPUTED_VALUE"""),"Donovan Biss")</f>
        <v>Donovan Biss</v>
      </c>
      <c r="B948" s="19" t="str">
        <f>IFERROR(__xludf.DUMMYFUNCTION("""COMPUTED_VALUE"""),"QLD")</f>
        <v>QLD</v>
      </c>
      <c r="C948" s="5" t="str">
        <f>IFERROR(__xludf.DUMMYFUNCTION("""COMPUTED_VALUE"""),"Noosaville")</f>
        <v>Noosaville</v>
      </c>
      <c r="D948" s="5" t="str">
        <f>IFERROR(__xludf.DUMMYFUNCTION("""COMPUTED_VALUE"""),"1307/57 Hofmann Drive Noosaville QLD 4566")</f>
        <v>1307/57 Hofmann Drive Noosaville QLD 4566</v>
      </c>
      <c r="E948" s="25">
        <f>IFERROR(__xludf.DUMMYFUNCTION("""COMPUTED_VALUE"""),45970.0)</f>
        <v>45970</v>
      </c>
      <c r="F948" s="5">
        <f>IFERROR(__xludf.DUMMYFUNCTION("""COMPUTED_VALUE"""),8.0)</f>
        <v>8</v>
      </c>
      <c r="G948" s="19" t="str">
        <f>IFERROR(__xludf.DUMMYFUNCTION("""COMPUTED_VALUE"""),"Instant Forms")</f>
        <v>Instant Forms</v>
      </c>
      <c r="H948" s="19" t="str">
        <f>IFERROR(__xludf.DUMMYFUNCTION("""COMPUTED_VALUE"""),"Brett Potter")</f>
        <v>Brett Potter</v>
      </c>
      <c r="I948" s="62">
        <f>IFERROR(__xludf.DUMMYFUNCTION("""COMPUTED_VALUE"""),6.1439711528E10)</f>
        <v>61439711528</v>
      </c>
      <c r="J948" s="19" t="str">
        <f>IFERROR(__xludf.DUMMYFUNCTION("""COMPUTED_VALUE"""),"brett.potter@yahoo.com.au")</f>
        <v>brett.potter@yahoo.com.au</v>
      </c>
    </row>
    <row r="949">
      <c r="A949" s="19" t="str">
        <f>IFERROR(__xludf.DUMMYFUNCTION("""COMPUTED_VALUE"""),"Donovan Biss")</f>
        <v>Donovan Biss</v>
      </c>
      <c r="B949" s="19" t="str">
        <f>IFERROR(__xludf.DUMMYFUNCTION("""COMPUTED_VALUE"""),"QLD")</f>
        <v>QLD</v>
      </c>
      <c r="C949" s="5" t="str">
        <f>IFERROR(__xludf.DUMMYFUNCTION("""COMPUTED_VALUE"""),"Noosa")</f>
        <v>Noosa</v>
      </c>
      <c r="D949" s="5"/>
      <c r="E949" s="25">
        <f>IFERROR(__xludf.DUMMYFUNCTION("""COMPUTED_VALUE"""),45971.0)</f>
        <v>45971</v>
      </c>
      <c r="F949" s="64">
        <f>IFERROR(__xludf.DUMMYFUNCTION("""COMPUTED_VALUE"""),0.15)</f>
        <v>0.15</v>
      </c>
      <c r="G949" s="19" t="str">
        <f>IFERROR(__xludf.DUMMYFUNCTION("""COMPUTED_VALUE"""),"Commission Comparison")</f>
        <v>Commission Comparison</v>
      </c>
      <c r="H949" s="19" t="str">
        <f>IFERROR(__xludf.DUMMYFUNCTION("""COMPUTED_VALUE"""),"Mia gow")</f>
        <v>Mia gow</v>
      </c>
      <c r="I949" s="62">
        <f>IFERROR(__xludf.DUMMYFUNCTION("""COMPUTED_VALUE"""),6.1402700256E10)</f>
        <v>61402700256</v>
      </c>
      <c r="J949" s="19" t="str">
        <f>IFERROR(__xludf.DUMMYFUNCTION("""COMPUTED_VALUE"""),"Info@theaustraliansleepco.com.au")</f>
        <v>Info@theaustraliansleepco.com.au</v>
      </c>
    </row>
    <row r="950">
      <c r="A950" s="19" t="str">
        <f>IFERROR(__xludf.DUMMYFUNCTION("""COMPUTED_VALUE"""),"Donovan Biss")</f>
        <v>Donovan Biss</v>
      </c>
      <c r="B950" s="19" t="str">
        <f>IFERROR(__xludf.DUMMYFUNCTION("""COMPUTED_VALUE"""),"QLD")</f>
        <v>QLD</v>
      </c>
      <c r="C950" s="5" t="str">
        <f>IFERROR(__xludf.DUMMYFUNCTION("""COMPUTED_VALUE"""),"gympie")</f>
        <v>gympie</v>
      </c>
      <c r="D950" s="5" t="str">
        <f>IFERROR(__xludf.DUMMYFUNCTION("""COMPUTED_VALUE"""),"53 james dean rd widgee crossing")</f>
        <v>53 james dean rd widgee crossing</v>
      </c>
      <c r="E950" s="25">
        <f>IFERROR(__xludf.DUMMYFUNCTION("""COMPUTED_VALUE"""),45971.0)</f>
        <v>45971</v>
      </c>
      <c r="F950" s="64">
        <f>IFERROR(__xludf.DUMMYFUNCTION("""COMPUTED_VALUE"""),0.15)</f>
        <v>0.15</v>
      </c>
      <c r="G950" s="19" t="str">
        <f>IFERROR(__xludf.DUMMYFUNCTION("""COMPUTED_VALUE"""),"Commission Comparison")</f>
        <v>Commission Comparison</v>
      </c>
      <c r="H950" s="19" t="str">
        <f>IFERROR(__xludf.DUMMYFUNCTION("""COMPUTED_VALUE"""),"Jane Potter")</f>
        <v>Jane Potter</v>
      </c>
      <c r="I950" s="62">
        <f>IFERROR(__xludf.DUMMYFUNCTION("""COMPUTED_VALUE"""),6.1400055776E10)</f>
        <v>61400055776</v>
      </c>
      <c r="J950" s="19" t="str">
        <f>IFERROR(__xludf.DUMMYFUNCTION("""COMPUTED_VALUE"""),"janepotter63@bigpond.com")</f>
        <v>janepotter63@bigpond.com</v>
      </c>
    </row>
    <row r="951">
      <c r="A951" s="19" t="str">
        <f>IFERROR(__xludf.DUMMYFUNCTION("""COMPUTED_VALUE"""),"Donovan Biss")</f>
        <v>Donovan Biss</v>
      </c>
      <c r="B951" s="19" t="str">
        <f>IFERROR(__xludf.DUMMYFUNCTION("""COMPUTED_VALUE"""),"QLD")</f>
        <v>QLD</v>
      </c>
      <c r="C951" s="5" t="str">
        <f>IFERROR(__xludf.DUMMYFUNCTION("""COMPUTED_VALUE"""),"Glenwood")</f>
        <v>Glenwood</v>
      </c>
      <c r="D951" s="5" t="str">
        <f>IFERROR(__xludf.DUMMYFUNCTION("""COMPUTED_VALUE"""),"81 Pine Ridge Road")</f>
        <v>81 Pine Ridge Road</v>
      </c>
      <c r="E951" s="25">
        <f>IFERROR(__xludf.DUMMYFUNCTION("""COMPUTED_VALUE"""),45971.0)</f>
        <v>45971</v>
      </c>
      <c r="F951" s="64">
        <f>IFERROR(__xludf.DUMMYFUNCTION("""COMPUTED_VALUE"""),0.15)</f>
        <v>0.15</v>
      </c>
      <c r="G951" s="19" t="str">
        <f>IFERROR(__xludf.DUMMYFUNCTION("""COMPUTED_VALUE"""),"Commission Comparison")</f>
        <v>Commission Comparison</v>
      </c>
      <c r="H951" s="19" t="str">
        <f>IFERROR(__xludf.DUMMYFUNCTION("""COMPUTED_VALUE"""),"Linda Debattista")</f>
        <v>Linda Debattista</v>
      </c>
      <c r="I951" s="62">
        <f>IFERROR(__xludf.DUMMYFUNCTION("""COMPUTED_VALUE"""),6.1404461402E10)</f>
        <v>61404461402</v>
      </c>
      <c r="J951" s="19" t="str">
        <f>IFERROR(__xludf.DUMMYFUNCTION("""COMPUTED_VALUE"""),"kiwiaussie77@hotmail.com")</f>
        <v>kiwiaussie77@hotmail.com</v>
      </c>
    </row>
    <row r="952">
      <c r="A952" s="19" t="str">
        <f>IFERROR(__xludf.DUMMYFUNCTION("""COMPUTED_VALUE"""),"Donovan Biss")</f>
        <v>Donovan Biss</v>
      </c>
      <c r="B952" s="19" t="str">
        <f>IFERROR(__xludf.DUMMYFUNCTION("""COMPUTED_VALUE"""),"QLD")</f>
        <v>QLD</v>
      </c>
      <c r="C952" s="5" t="str">
        <f>IFERROR(__xludf.DUMMYFUNCTION("""COMPUTED_VALUE"""),"Carters Ridge")</f>
        <v>Carters Ridge</v>
      </c>
      <c r="D952" s="5" t="str">
        <f>IFERROR(__xludf.DUMMYFUNCTION("""COMPUTED_VALUE"""),"384 Happy Jack Creek Road Carters Ridge QLD 4563")</f>
        <v>384 Happy Jack Creek Road Carters Ridge QLD 4563</v>
      </c>
      <c r="E952" s="25">
        <f>IFERROR(__xludf.DUMMYFUNCTION("""COMPUTED_VALUE"""),45971.0)</f>
        <v>45971</v>
      </c>
      <c r="F952" s="64">
        <f>IFERROR(__xludf.DUMMYFUNCTION("""COMPUTED_VALUE"""),0.15)</f>
        <v>0.15</v>
      </c>
      <c r="G952" s="19" t="str">
        <f>IFERROR(__xludf.DUMMYFUNCTION("""COMPUTED_VALUE"""),"Commission Comparison")</f>
        <v>Commission Comparison</v>
      </c>
      <c r="H952" s="19" t="str">
        <f>IFERROR(__xludf.DUMMYFUNCTION("""COMPUTED_VALUE"""),"Mark Anthony")</f>
        <v>Mark Anthony</v>
      </c>
      <c r="I952" s="62">
        <f>IFERROR(__xludf.DUMMYFUNCTION("""COMPUTED_VALUE"""),6.1400818153E10)</f>
        <v>61400818153</v>
      </c>
      <c r="J952" s="19" t="str">
        <f>IFERROR(__xludf.DUMMYFUNCTION("""COMPUTED_VALUE"""),"markwanthony.60@gmail.com")</f>
        <v>markwanthony.60@gmail.com</v>
      </c>
    </row>
    <row r="953">
      <c r="A953" s="19" t="str">
        <f>IFERROR(__xludf.DUMMYFUNCTION("""COMPUTED_VALUE"""),"Donovan Biss")</f>
        <v>Donovan Biss</v>
      </c>
      <c r="B953" s="19" t="str">
        <f>IFERROR(__xludf.DUMMYFUNCTION("""COMPUTED_VALUE"""),"QLD")</f>
        <v>QLD</v>
      </c>
      <c r="C953" s="5" t="str">
        <f>IFERROR(__xludf.DUMMYFUNCTION("""COMPUTED_VALUE"""),"Canina")</f>
        <v>Canina</v>
      </c>
      <c r="D953" s="5" t="str">
        <f>IFERROR(__xludf.DUMMYFUNCTION("""COMPUTED_VALUE"""),"15 Canina Road Canina QLD 4570")</f>
        <v>15 Canina Road Canina QLD 4570</v>
      </c>
      <c r="E953" s="25">
        <f>IFERROR(__xludf.DUMMYFUNCTION("""COMPUTED_VALUE"""),45971.0)</f>
        <v>45971</v>
      </c>
      <c r="F953" s="5">
        <f>IFERROR(__xludf.DUMMYFUNCTION("""COMPUTED_VALUE"""),8.0)</f>
        <v>8</v>
      </c>
      <c r="G953" s="19" t="str">
        <f>IFERROR(__xludf.DUMMYFUNCTION("""COMPUTED_VALUE"""),"Instant Forms")</f>
        <v>Instant Forms</v>
      </c>
      <c r="H953" s="19" t="str">
        <f>IFERROR(__xludf.DUMMYFUNCTION("""COMPUTED_VALUE"""),"Les Kahler")</f>
        <v>Les Kahler</v>
      </c>
      <c r="I953" s="62">
        <f>IFERROR(__xludf.DUMMYFUNCTION("""COMPUTED_VALUE"""),6.142283346E10)</f>
        <v>61422833460</v>
      </c>
      <c r="J953" s="19" t="str">
        <f>IFERROR(__xludf.DUMMYFUNCTION("""COMPUTED_VALUE"""),"leskahler4@bigpond.com")</f>
        <v>leskahler4@bigpond.com</v>
      </c>
    </row>
    <row r="954">
      <c r="A954" s="19" t="str">
        <f>IFERROR(__xludf.DUMMYFUNCTION("""COMPUTED_VALUE"""),"Donovan Biss")</f>
        <v>Donovan Biss</v>
      </c>
      <c r="B954" s="19" t="str">
        <f>IFERROR(__xludf.DUMMYFUNCTION("""COMPUTED_VALUE"""),"QLD")</f>
        <v>QLD</v>
      </c>
      <c r="C954" s="5" t="str">
        <f>IFERROR(__xludf.DUMMYFUNCTION("""COMPUTED_VALUE"""),"noosaville 4566")</f>
        <v>noosaville 4566</v>
      </c>
      <c r="D954" s="5" t="str">
        <f>IFERROR(__xludf.DUMMYFUNCTION("""COMPUTED_VALUE"""),"2 Aspera Place Noosaville QLD 4566")</f>
        <v>2 Aspera Place Noosaville QLD 4566</v>
      </c>
      <c r="E954" s="25">
        <f>IFERROR(__xludf.DUMMYFUNCTION("""COMPUTED_VALUE"""),45973.0)</f>
        <v>45973</v>
      </c>
      <c r="F954" s="5">
        <f>IFERROR(__xludf.DUMMYFUNCTION("""COMPUTED_VALUE"""),8.0)</f>
        <v>8</v>
      </c>
      <c r="G954" s="19" t="str">
        <f>IFERROR(__xludf.DUMMYFUNCTION("""COMPUTED_VALUE"""),"Instant Forms")</f>
        <v>Instant Forms</v>
      </c>
      <c r="H954" s="19" t="str">
        <f>IFERROR(__xludf.DUMMYFUNCTION("""COMPUTED_VALUE"""),"Beverly Prideaux")</f>
        <v>Beverly Prideaux</v>
      </c>
      <c r="I954" s="62">
        <f>IFERROR(__xludf.DUMMYFUNCTION("""COMPUTED_VALUE"""),6.1439788186E10)</f>
        <v>61439788186</v>
      </c>
      <c r="J954" s="19" t="str">
        <f>IFERROR(__xludf.DUMMYFUNCTION("""COMPUTED_VALUE"""),"prido.qld@bigpond.com")</f>
        <v>prido.qld@bigpond.com</v>
      </c>
    </row>
    <row r="955">
      <c r="A955" s="19" t="str">
        <f>IFERROR(__xludf.DUMMYFUNCTION("""COMPUTED_VALUE"""),"Donovan Biss")</f>
        <v>Donovan Biss</v>
      </c>
      <c r="B955" s="19" t="str">
        <f>IFERROR(__xludf.DUMMYFUNCTION("""COMPUTED_VALUE"""),"QLD")</f>
        <v>QLD</v>
      </c>
      <c r="C955" s="5" t="str">
        <f>IFERROR(__xludf.DUMMYFUNCTION("""COMPUTED_VALUE"""),"Noosa Heads")</f>
        <v>Noosa Heads</v>
      </c>
      <c r="D955" s="5" t="str">
        <f>IFERROR(__xludf.DUMMYFUNCTION("""COMPUTED_VALUE"""),"20 Currawong Street Noosa Heads QLD 4567")</f>
        <v>20 Currawong Street Noosa Heads QLD 4567</v>
      </c>
      <c r="E955" s="25">
        <f>IFERROR(__xludf.DUMMYFUNCTION("""COMPUTED_VALUE"""),45973.0)</f>
        <v>45973</v>
      </c>
      <c r="F955" s="5">
        <f>IFERROR(__xludf.DUMMYFUNCTION("""COMPUTED_VALUE"""),8.0)</f>
        <v>8</v>
      </c>
      <c r="G955" s="19" t="str">
        <f>IFERROR(__xludf.DUMMYFUNCTION("""COMPUTED_VALUE"""),"Instant Forms")</f>
        <v>Instant Forms</v>
      </c>
      <c r="H955" s="19" t="str">
        <f>IFERROR(__xludf.DUMMYFUNCTION("""COMPUTED_VALUE"""),"Nomes Waite")</f>
        <v>Nomes Waite</v>
      </c>
      <c r="I955" s="62">
        <f>IFERROR(__xludf.DUMMYFUNCTION("""COMPUTED_VALUE"""),6.1415384916E10)</f>
        <v>61415384916</v>
      </c>
      <c r="J955" s="19" t="str">
        <f>IFERROR(__xludf.DUMMYFUNCTION("""COMPUTED_VALUE"""),"Nomeswaite@outlook.com")</f>
        <v>Nomeswaite@outlook.com</v>
      </c>
    </row>
    <row r="956">
      <c r="A956" s="19" t="str">
        <f>IFERROR(__xludf.DUMMYFUNCTION("""COMPUTED_VALUE"""),"Donovan Biss")</f>
        <v>Donovan Biss</v>
      </c>
      <c r="B956" s="19" t="str">
        <f>IFERROR(__xludf.DUMMYFUNCTION("""COMPUTED_VALUE"""),"QLD")</f>
        <v>QLD</v>
      </c>
      <c r="C956" s="5" t="str">
        <f>IFERROR(__xludf.DUMMYFUNCTION("""COMPUTED_VALUE"""),"Noosaville")</f>
        <v>Noosaville</v>
      </c>
      <c r="D956" s="5" t="str">
        <f>IFERROR(__xludf.DUMMYFUNCTION("""COMPUTED_VALUE"""),"1/269 Weyba Road Noosaville QLD 4566")</f>
        <v>1/269 Weyba Road Noosaville QLD 4566</v>
      </c>
      <c r="E956" s="25">
        <f>IFERROR(__xludf.DUMMYFUNCTION("""COMPUTED_VALUE"""),46002.0)</f>
        <v>46002</v>
      </c>
      <c r="F956" s="5" t="str">
        <f>IFERROR(__xludf.DUMMYFUNCTION("""COMPUTED_VALUE"""),"Featured")</f>
        <v>Featured</v>
      </c>
      <c r="G956" s="19" t="str">
        <f>IFERROR(__xludf.DUMMYFUNCTION("""COMPUTED_VALUE"""),"Meta Commission Report")</f>
        <v>Meta Commission Report</v>
      </c>
      <c r="H956" s="19" t="str">
        <f>IFERROR(__xludf.DUMMYFUNCTION("""COMPUTED_VALUE"""),"Kristin Collett")</f>
        <v>Kristin Collett</v>
      </c>
      <c r="I956" s="62">
        <f>IFERROR(__xludf.DUMMYFUNCTION("""COMPUTED_VALUE"""),6.1459991902E10)</f>
        <v>61459991902</v>
      </c>
      <c r="J956" s="19" t="str">
        <f>IFERROR(__xludf.DUMMYFUNCTION("""COMPUTED_VALUE"""),"kristin.anniet@gmail.com")</f>
        <v>kristin.anniet@gmail.com</v>
      </c>
    </row>
    <row r="957">
      <c r="A957" s="19" t="str">
        <f>IFERROR(__xludf.DUMMYFUNCTION("""COMPUTED_VALUE"""),"Donovan Biss")</f>
        <v>Donovan Biss</v>
      </c>
      <c r="B957" s="19" t="str">
        <f>IFERROR(__xludf.DUMMYFUNCTION("""COMPUTED_VALUE"""),"QLD")</f>
        <v>QLD</v>
      </c>
      <c r="C957" s="5" t="str">
        <f>IFERROR(__xludf.DUMMYFUNCTION("""COMPUTED_VALUE"""),"Noosaville")</f>
        <v>Noosaville</v>
      </c>
      <c r="D957" s="5" t="str">
        <f>IFERROR(__xludf.DUMMYFUNCTION("""COMPUTED_VALUE"""),"12 Starboard Avenue, Noosaville, QLD, 4566, Australia")</f>
        <v>12 Starboard Avenue, Noosaville, QLD, 4566, Australia</v>
      </c>
      <c r="E957" s="25" t="str">
        <f>IFERROR(__xludf.DUMMYFUNCTION("""COMPUTED_VALUE"""),"14/11/2025")</f>
        <v>14/11/2025</v>
      </c>
      <c r="F957" s="5" t="str">
        <f>IFERROR(__xludf.DUMMYFUNCTION("""COMPUTED_VALUE"""),"Plus")</f>
        <v>Plus</v>
      </c>
      <c r="G957" s="19" t="str">
        <f>IFERROR(__xludf.DUMMYFUNCTION("""COMPUTED_VALUE"""),"Commission Comparison")</f>
        <v>Commission Comparison</v>
      </c>
      <c r="H957" s="19" t="str">
        <f>IFERROR(__xludf.DUMMYFUNCTION("""COMPUTED_VALUE"""),"Sue Dingas")</f>
        <v>Sue Dingas</v>
      </c>
      <c r="I957" s="62">
        <f>IFERROR(__xludf.DUMMYFUNCTION("""COMPUTED_VALUE"""),6.1477312706E10)</f>
        <v>61477312706</v>
      </c>
      <c r="J957" s="19" t="str">
        <f>IFERROR(__xludf.DUMMYFUNCTION("""COMPUTED_VALUE"""),"suedingas@hotmail.com")</f>
        <v>suedingas@hotmail.com</v>
      </c>
    </row>
    <row r="958">
      <c r="A958" s="19" t="str">
        <f>IFERROR(__xludf.DUMMYFUNCTION("""COMPUTED_VALUE"""),"Donovan Biss")</f>
        <v>Donovan Biss</v>
      </c>
      <c r="B958" s="19" t="str">
        <f>IFERROR(__xludf.DUMMYFUNCTION("""COMPUTED_VALUE"""),"QLD")</f>
        <v>QLD</v>
      </c>
      <c r="C958" s="5" t="str">
        <f>IFERROR(__xludf.DUMMYFUNCTION("""COMPUTED_VALUE"""),"Noosaville")</f>
        <v>Noosaville</v>
      </c>
      <c r="D958" s="5" t="str">
        <f>IFERROR(__xludf.DUMMYFUNCTION("""COMPUTED_VALUE"""),"12 Starboard Avenue, Noosaville, QLD, 4566, Australia")</f>
        <v>12 Starboard Avenue, Noosaville, QLD, 4566, Australia</v>
      </c>
      <c r="E958" s="25" t="str">
        <f>IFERROR(__xludf.DUMMYFUNCTION("""COMPUTED_VALUE"""),"14/11/2025")</f>
        <v>14/11/2025</v>
      </c>
      <c r="F958" s="5" t="str">
        <f>IFERROR(__xludf.DUMMYFUNCTION("""COMPUTED_VALUE"""),"Plus")</f>
        <v>Plus</v>
      </c>
      <c r="G958" s="19" t="str">
        <f>IFERROR(__xludf.DUMMYFUNCTION("""COMPUTED_VALUE"""),"Commission Comparison")</f>
        <v>Commission Comparison</v>
      </c>
      <c r="H958" s="19" t="str">
        <f>IFERROR(__xludf.DUMMYFUNCTION("""COMPUTED_VALUE"""),"Sue Dingas")</f>
        <v>Sue Dingas</v>
      </c>
      <c r="I958" s="62">
        <f>IFERROR(__xludf.DUMMYFUNCTION("""COMPUTED_VALUE"""),6.1477312706E10)</f>
        <v>61477312706</v>
      </c>
      <c r="J958" s="19" t="str">
        <f>IFERROR(__xludf.DUMMYFUNCTION("""COMPUTED_VALUE"""),"suedingas@hotmail.com")</f>
        <v>suedingas@hotmail.com</v>
      </c>
    </row>
    <row r="959">
      <c r="A959" s="19" t="str">
        <f>IFERROR(__xludf.DUMMYFUNCTION("""COMPUTED_VALUE"""),"Donovan Biss")</f>
        <v>Donovan Biss</v>
      </c>
      <c r="B959" s="19" t="str">
        <f>IFERROR(__xludf.DUMMYFUNCTION("""COMPUTED_VALUE"""),"QLD")</f>
        <v>QLD</v>
      </c>
      <c r="C959" s="5">
        <f>IFERROR(__xludf.DUMMYFUNCTION("""COMPUTED_VALUE"""),4567.0)</f>
        <v>4567</v>
      </c>
      <c r="D959" s="5"/>
      <c r="E959" s="25">
        <f>IFERROR(__xludf.DUMMYFUNCTION("""COMPUTED_VALUE"""),45975.0)</f>
        <v>45975</v>
      </c>
      <c r="F959" s="5">
        <f>IFERROR(__xludf.DUMMYFUNCTION("""COMPUTED_VALUE"""),5.0)</f>
        <v>5</v>
      </c>
      <c r="G959" s="19" t="str">
        <f>IFERROR(__xludf.DUMMYFUNCTION("""COMPUTED_VALUE"""),"Instant Forms")</f>
        <v>Instant Forms</v>
      </c>
      <c r="H959" s="19" t="str">
        <f>IFERROR(__xludf.DUMMYFUNCTION("""COMPUTED_VALUE"""),"Julie Hansen")</f>
        <v>Julie Hansen</v>
      </c>
      <c r="I959" s="62">
        <f>IFERROR(__xludf.DUMMYFUNCTION("""COMPUTED_VALUE"""),6.1401277592E10)</f>
        <v>61401277592</v>
      </c>
      <c r="J959" s="19" t="str">
        <f>IFERROR(__xludf.DUMMYFUNCTION("""COMPUTED_VALUE"""),"juliehansen1959@gmail.com")</f>
        <v>juliehansen1959@gmail.com</v>
      </c>
    </row>
    <row r="960">
      <c r="A960" s="19" t="str">
        <f>IFERROR(__xludf.DUMMYFUNCTION("""COMPUTED_VALUE"""),"Donovan Biss")</f>
        <v>Donovan Biss</v>
      </c>
      <c r="B960" s="19" t="str">
        <f>IFERROR(__xludf.DUMMYFUNCTION("""COMPUTED_VALUE"""),"QLD")</f>
        <v>QLD</v>
      </c>
      <c r="C960" s="5" t="str">
        <f>IFERROR(__xludf.DUMMYFUNCTION("""COMPUTED_VALUE"""),"Sunshine Beach")</f>
        <v>Sunshine Beach</v>
      </c>
      <c r="D960" s="5" t="str">
        <f>IFERROR(__xludf.DUMMYFUNCTION("""COMPUTED_VALUE"""),"U 2 45 Tingira Cres, Sunshine Beach, 4567")</f>
        <v>U 2 45 Tingira Cres, Sunshine Beach, 4567</v>
      </c>
      <c r="E960" s="25" t="str">
        <f>IFERROR(__xludf.DUMMYFUNCTION("""COMPUTED_VALUE"""),"16/11/2025")</f>
        <v>16/11/2025</v>
      </c>
      <c r="F960" s="5" t="str">
        <f>IFERROR(__xludf.DUMMYFUNCTION("""COMPUTED_VALUE"""),"Featured")</f>
        <v>Featured</v>
      </c>
      <c r="G960" s="19" t="str">
        <f>IFERROR(__xludf.DUMMYFUNCTION("""COMPUTED_VALUE"""),"Meta Commission Report")</f>
        <v>Meta Commission Report</v>
      </c>
      <c r="H960" s="19" t="str">
        <f>IFERROR(__xludf.DUMMYFUNCTION("""COMPUTED_VALUE"""),"Kaz O'Brien")</f>
        <v>Kaz O'Brien</v>
      </c>
      <c r="I960" s="62">
        <f>IFERROR(__xludf.DUMMYFUNCTION("""COMPUTED_VALUE"""),6.1412885718E10)</f>
        <v>61412885718</v>
      </c>
      <c r="J960" s="19" t="str">
        <f>IFERROR(__xludf.DUMMYFUNCTION("""COMPUTED_VALUE"""),"obriens41@bigpond.com")</f>
        <v>obriens41@bigpond.com</v>
      </c>
    </row>
    <row r="961">
      <c r="A961" s="19" t="str">
        <f>IFERROR(__xludf.DUMMYFUNCTION("""COMPUTED_VALUE"""),"Donovan Biss")</f>
        <v>Donovan Biss</v>
      </c>
      <c r="B961" s="19" t="str">
        <f>IFERROR(__xludf.DUMMYFUNCTION("""COMPUTED_VALUE"""),"QLD")</f>
        <v>QLD</v>
      </c>
      <c r="C961" s="5" t="str">
        <f>IFERROR(__xludf.DUMMYFUNCTION("""COMPUTED_VALUE"""),"Eumundi")</f>
        <v>Eumundi</v>
      </c>
      <c r="D961" s="5" t="str">
        <f>IFERROR(__xludf.DUMMYFUNCTION("""COMPUTED_VALUE"""),"210 Lone Hand Road Eumundi QLD 4562")</f>
        <v>210 Lone Hand Road Eumundi QLD 4562</v>
      </c>
      <c r="E961" s="25">
        <f>IFERROR(__xludf.DUMMYFUNCTION("""COMPUTED_VALUE"""),45978.0)</f>
        <v>45978</v>
      </c>
      <c r="F961" s="5">
        <f>IFERROR(__xludf.DUMMYFUNCTION("""COMPUTED_VALUE"""),8.0)</f>
        <v>8</v>
      </c>
      <c r="G961" s="19" t="str">
        <f>IFERROR(__xludf.DUMMYFUNCTION("""COMPUTED_VALUE"""),"Instant Forms")</f>
        <v>Instant Forms</v>
      </c>
      <c r="H961" s="19" t="str">
        <f>IFERROR(__xludf.DUMMYFUNCTION("""COMPUTED_VALUE"""),"Jason Pollock")</f>
        <v>Jason Pollock</v>
      </c>
      <c r="I961" s="62">
        <f>IFERROR(__xludf.DUMMYFUNCTION("""COMPUTED_VALUE"""),6.1407389453E10)</f>
        <v>61407389453</v>
      </c>
      <c r="J961" s="19" t="str">
        <f>IFERROR(__xludf.DUMMYFUNCTION("""COMPUTED_VALUE"""),"jasonpollock00@gmail.com")</f>
        <v>jasonpollock00@gmail.com</v>
      </c>
    </row>
    <row r="962">
      <c r="A962" s="19" t="str">
        <f>IFERROR(__xludf.DUMMYFUNCTION("""COMPUTED_VALUE"""),"Donovan Biss")</f>
        <v>Donovan Biss</v>
      </c>
      <c r="B962" s="19" t="str">
        <f>IFERROR(__xludf.DUMMYFUNCTION("""COMPUTED_VALUE"""),"QLD")</f>
        <v>QLD</v>
      </c>
      <c r="C962" s="5" t="str">
        <f>IFERROR(__xludf.DUMMYFUNCTION("""COMPUTED_VALUE"""),"Lake MacDonald")</f>
        <v>Lake MacDonald</v>
      </c>
      <c r="D962" s="5" t="str">
        <f>IFERROR(__xludf.DUMMYFUNCTION("""COMPUTED_VALUE"""),"17 Forest Acres Drive Lake MacDonald")</f>
        <v>17 Forest Acres Drive Lake MacDonald</v>
      </c>
      <c r="E962" s="5" t="str">
        <f>IFERROR(__xludf.DUMMYFUNCTION("""COMPUTED_VALUE"""),"29/11/2025")</f>
        <v>29/11/2025</v>
      </c>
      <c r="F962" s="64">
        <f>IFERROR(__xludf.DUMMYFUNCTION("""COMPUTED_VALUE"""),0.2)</f>
        <v>0.2</v>
      </c>
      <c r="G962" s="19" t="str">
        <f>IFERROR(__xludf.DUMMYFUNCTION("""COMPUTED_VALUE"""),"Commission Comparison")</f>
        <v>Commission Comparison</v>
      </c>
      <c r="H962" s="19" t="str">
        <f>IFERROR(__xludf.DUMMYFUNCTION("""COMPUTED_VALUE"""),"Kevin Shipp")</f>
        <v>Kevin Shipp</v>
      </c>
      <c r="I962" s="62">
        <f>IFERROR(__xludf.DUMMYFUNCTION("""COMPUTED_VALUE"""),6.1423235953E10)</f>
        <v>61423235953</v>
      </c>
      <c r="J962" s="19" t="str">
        <f>IFERROR(__xludf.DUMMYFUNCTION("""COMPUTED_VALUE"""),"tarragoncarterton@gmail.com")</f>
        <v>tarragoncarterton@gmail.com</v>
      </c>
    </row>
    <row r="963">
      <c r="A963" s="19" t="str">
        <f>IFERROR(__xludf.DUMMYFUNCTION("""COMPUTED_VALUE"""),"Donovan Biss")</f>
        <v>Donovan Biss</v>
      </c>
      <c r="B963" s="19" t="str">
        <f>IFERROR(__xludf.DUMMYFUNCTION("""COMPUTED_VALUE"""),"QLD")</f>
        <v>QLD</v>
      </c>
      <c r="C963" s="5" t="str">
        <f>IFERROR(__xludf.DUMMYFUNCTION("""COMPUTED_VALUE"""),"Bauple")</f>
        <v>Bauple</v>
      </c>
      <c r="D963" s="5" t="str">
        <f>IFERROR(__xludf.DUMMYFUNCTION("""COMPUTED_VALUE"""),"72 Van Hensbroek Road Bauple QLD 4650")</f>
        <v>72 Van Hensbroek Road Bauple QLD 4650</v>
      </c>
      <c r="E963" s="5" t="str">
        <f>IFERROR(__xludf.DUMMYFUNCTION("""COMPUTED_VALUE"""),"29/11/2025")</f>
        <v>29/11/2025</v>
      </c>
      <c r="F963" s="64">
        <f>IFERROR(__xludf.DUMMYFUNCTION("""COMPUTED_VALUE"""),0.2)</f>
        <v>0.2</v>
      </c>
      <c r="G963" s="19" t="str">
        <f>IFERROR(__xludf.DUMMYFUNCTION("""COMPUTED_VALUE"""),"Instant Forms")</f>
        <v>Instant Forms</v>
      </c>
      <c r="H963" s="19" t="str">
        <f>IFERROR(__xludf.DUMMYFUNCTION("""COMPUTED_VALUE"""),"Peter Sutton")</f>
        <v>Peter Sutton</v>
      </c>
      <c r="I963" s="62">
        <f>IFERROR(__xludf.DUMMYFUNCTION("""COMPUTED_VALUE"""),6.1436472504E10)</f>
        <v>61436472504</v>
      </c>
      <c r="J963" s="19" t="str">
        <f>IFERROR(__xludf.DUMMYFUNCTION("""COMPUTED_VALUE"""),"arthur.sutton49@gmail.com")</f>
        <v>arthur.sutton49@gmail.com</v>
      </c>
    </row>
    <row r="964">
      <c r="A964" s="19" t="str">
        <f>IFERROR(__xludf.DUMMYFUNCTION("""COMPUTED_VALUE"""),"Donovan Biss")</f>
        <v>Donovan Biss</v>
      </c>
      <c r="B964" s="19" t="str">
        <f>IFERROR(__xludf.DUMMYFUNCTION("""COMPUTED_VALUE"""),"QLD")</f>
        <v>QLD</v>
      </c>
      <c r="C964" s="5" t="str">
        <f>IFERROR(__xludf.DUMMYFUNCTION("""COMPUTED_VALUE"""),"Noosaville")</f>
        <v>Noosaville</v>
      </c>
      <c r="D964" s="5" t="str">
        <f>IFERROR(__xludf.DUMMYFUNCTION("""COMPUTED_VALUE"""),"1 Gumdale Court, Noosaville, QLD, 4566, Australia")</f>
        <v>1 Gumdale Court, Noosaville, QLD, 4566, Australia</v>
      </c>
      <c r="E964" s="27">
        <f>IFERROR(__xludf.DUMMYFUNCTION("""COMPUTED_VALUE"""),45669.0)</f>
        <v>45669</v>
      </c>
      <c r="F964" s="64">
        <f>IFERROR(__xludf.DUMMYFUNCTION("""COMPUTED_VALUE"""),0.2)</f>
        <v>0.2</v>
      </c>
      <c r="G964" s="19" t="str">
        <f>IFERROR(__xludf.DUMMYFUNCTION("""COMPUTED_VALUE"""),"Commission Comparison")</f>
        <v>Commission Comparison</v>
      </c>
      <c r="H964" s="19" t="str">
        <f>IFERROR(__xludf.DUMMYFUNCTION("""COMPUTED_VALUE"""),"Alex Milanes")</f>
        <v>Alex Milanes</v>
      </c>
      <c r="I964" s="62">
        <f>IFERROR(__xludf.DUMMYFUNCTION("""COMPUTED_VALUE"""),6.1483803707E10)</f>
        <v>61483803707</v>
      </c>
      <c r="J964" s="19" t="str">
        <f>IFERROR(__xludf.DUMMYFUNCTION("""COMPUTED_VALUE"""),"rexmalex01@gmail.com")</f>
        <v>rexmalex01@gmail.com</v>
      </c>
    </row>
    <row r="965">
      <c r="A965" s="19" t="str">
        <f>IFERROR(__xludf.DUMMYFUNCTION("""COMPUTED_VALUE"""),"Donovan Biss")</f>
        <v>Donovan Biss</v>
      </c>
      <c r="B965" s="19" t="str">
        <f>IFERROR(__xludf.DUMMYFUNCTION("""COMPUTED_VALUE"""),"QLD")</f>
        <v>QLD</v>
      </c>
      <c r="C965" s="5" t="str">
        <f>IFERROR(__xludf.DUMMYFUNCTION("""COMPUTED_VALUE"""),"Sunrise Beach")</f>
        <v>Sunrise Beach</v>
      </c>
      <c r="D965" s="5" t="str">
        <f>IFERROR(__xludf.DUMMYFUNCTION("""COMPUTED_VALUE"""),"2/32 Orealla Crescent Sunrise Beach QLD 4567")</f>
        <v>2/32 Orealla Crescent Sunrise Beach QLD 4567</v>
      </c>
      <c r="E965" s="27">
        <f>IFERROR(__xludf.DUMMYFUNCTION("""COMPUTED_VALUE"""),45669.0)</f>
        <v>45669</v>
      </c>
      <c r="F965" s="64">
        <f>IFERROR(__xludf.DUMMYFUNCTION("""COMPUTED_VALUE"""),0.2)</f>
        <v>0.2</v>
      </c>
      <c r="G965" s="19" t="str">
        <f>IFERROR(__xludf.DUMMYFUNCTION("""COMPUTED_VALUE"""),"Instant Forms")</f>
        <v>Instant Forms</v>
      </c>
      <c r="H965" s="19" t="str">
        <f>IFERROR(__xludf.DUMMYFUNCTION("""COMPUTED_VALUE"""),"Suze Garozzo")</f>
        <v>Suze Garozzo</v>
      </c>
      <c r="I965" s="62">
        <f>IFERROR(__xludf.DUMMYFUNCTION("""COMPUTED_VALUE"""),6.1412951898E10)</f>
        <v>61412951898</v>
      </c>
      <c r="J965" s="19" t="str">
        <f>IFERROR(__xludf.DUMMYFUNCTION("""COMPUTED_VALUE"""),"susannegarozzo@bigpond.com")</f>
        <v>susannegarozzo@bigpond.com</v>
      </c>
    </row>
    <row r="966">
      <c r="A966" s="19" t="str">
        <f>IFERROR(__xludf.DUMMYFUNCTION("""COMPUTED_VALUE"""),"Donovan Biss")</f>
        <v>Donovan Biss</v>
      </c>
      <c r="B966" s="19" t="str">
        <f>IFERROR(__xludf.DUMMYFUNCTION("""COMPUTED_VALUE"""),"QLD")</f>
        <v>QLD</v>
      </c>
      <c r="C966" s="5" t="str">
        <f>IFERROR(__xludf.DUMMYFUNCTION("""COMPUTED_VALUE"""),"Noosaville")</f>
        <v>Noosaville</v>
      </c>
      <c r="D966" s="5" t="str">
        <f>IFERROR(__xludf.DUMMYFUNCTION("""COMPUTED_VALUE"""),"16 Wyuna Drive Noosaville QLD 4566")</f>
        <v>16 Wyuna Drive Noosaville QLD 4566</v>
      </c>
      <c r="E966" s="27">
        <f>IFERROR(__xludf.DUMMYFUNCTION("""COMPUTED_VALUE"""),45700.0)</f>
        <v>45700</v>
      </c>
      <c r="F966" s="64">
        <f>IFERROR(__xludf.DUMMYFUNCTION("""COMPUTED_VALUE"""),0.2)</f>
        <v>0.2</v>
      </c>
      <c r="G966" s="19" t="str">
        <f>IFERROR(__xludf.DUMMYFUNCTION("""COMPUTED_VALUE"""),"Commission Comparison")</f>
        <v>Commission Comparison</v>
      </c>
      <c r="H966" s="19" t="str">
        <f>IFERROR(__xludf.DUMMYFUNCTION("""COMPUTED_VALUE"""),"Maggie Howard")</f>
        <v>Maggie Howard</v>
      </c>
      <c r="I966" s="62">
        <f>IFERROR(__xludf.DUMMYFUNCTION("""COMPUTED_VALUE"""),6.1403808234E10)</f>
        <v>61403808234</v>
      </c>
      <c r="J966" s="19" t="str">
        <f>IFERROR(__xludf.DUMMYFUNCTION("""COMPUTED_VALUE"""),"magghoward@bigpond.com")</f>
        <v>magghoward@bigpond.com</v>
      </c>
    </row>
    <row r="967">
      <c r="A967" s="19" t="str">
        <f>IFERROR(__xludf.DUMMYFUNCTION("""COMPUTED_VALUE"""),"Donovan Biss")</f>
        <v>Donovan Biss</v>
      </c>
      <c r="B967" s="19" t="str">
        <f>IFERROR(__xludf.DUMMYFUNCTION("""COMPUTED_VALUE"""),"QLD")</f>
        <v>QLD</v>
      </c>
      <c r="C967" s="5" t="str">
        <f>IFERROR(__xludf.DUMMYFUNCTION("""COMPUTED_VALUE"""),"Noosaville")</f>
        <v>Noosaville</v>
      </c>
      <c r="D967" s="5" t="str">
        <f>IFERROR(__xludf.DUMMYFUNCTION("""COMPUTED_VALUE"""),"21 Shipyard Circuit, Noosaville, QLD, 4566, Australia")</f>
        <v>21 Shipyard Circuit, Noosaville, QLD, 4566, Australia</v>
      </c>
      <c r="E967" s="27">
        <f>IFERROR(__xludf.DUMMYFUNCTION("""COMPUTED_VALUE"""),45728.0)</f>
        <v>45728</v>
      </c>
      <c r="F967" s="64">
        <f>IFERROR(__xludf.DUMMYFUNCTION("""COMPUTED_VALUE"""),0.2)</f>
        <v>0.2</v>
      </c>
      <c r="G967" s="19" t="str">
        <f>IFERROR(__xludf.DUMMYFUNCTION("""COMPUTED_VALUE"""),"Commission Comparison")</f>
        <v>Commission Comparison</v>
      </c>
      <c r="H967" s="19" t="str">
        <f>IFERROR(__xludf.DUMMYFUNCTION("""COMPUTED_VALUE"""),"Ann Mulligan")</f>
        <v>Ann Mulligan</v>
      </c>
      <c r="I967" s="62">
        <f>IFERROR(__xludf.DUMMYFUNCTION("""COMPUTED_VALUE"""),6.10419000131E11)</f>
        <v>610419000131</v>
      </c>
      <c r="J967" s="19" t="str">
        <f>IFERROR(__xludf.DUMMYFUNCTION("""COMPUTED_VALUE"""),"annmulligan@ozemail.com.au")</f>
        <v>annmulligan@ozemail.com.au</v>
      </c>
    </row>
    <row r="968">
      <c r="A968" s="19" t="str">
        <f>IFERROR(__xludf.DUMMYFUNCTION("""COMPUTED_VALUE"""),"Donovan Biss")</f>
        <v>Donovan Biss</v>
      </c>
      <c r="B968" s="19" t="str">
        <f>IFERROR(__xludf.DUMMYFUNCTION("""COMPUTED_VALUE"""),"QLD")</f>
        <v>QLD</v>
      </c>
      <c r="C968" s="5" t="str">
        <f>IFERROR(__xludf.DUMMYFUNCTION("""COMPUTED_VALUE"""),"Noosaville")</f>
        <v>Noosaville</v>
      </c>
      <c r="D968" s="5" t="str">
        <f>IFERROR(__xludf.DUMMYFUNCTION("""COMPUTED_VALUE"""),"Po Box 1835 Pp, 4566")</f>
        <v>Po Box 1835 Pp, 4566</v>
      </c>
      <c r="E968" s="27">
        <f>IFERROR(__xludf.DUMMYFUNCTION("""COMPUTED_VALUE"""),45728.0)</f>
        <v>45728</v>
      </c>
      <c r="F968" s="64">
        <f>IFERROR(__xludf.DUMMYFUNCTION("""COMPUTED_VALUE"""),0.2)</f>
        <v>0.2</v>
      </c>
      <c r="G968" s="19" t="str">
        <f>IFERROR(__xludf.DUMMYFUNCTION("""COMPUTED_VALUE"""),"Meta Commission Report")</f>
        <v>Meta Commission Report</v>
      </c>
      <c r="H968" s="19" t="str">
        <f>IFERROR(__xludf.DUMMYFUNCTION("""COMPUTED_VALUE"""),"Ann Mulligan")</f>
        <v>Ann Mulligan</v>
      </c>
      <c r="I968" s="62">
        <f>IFERROR(__xludf.DUMMYFUNCTION("""COMPUTED_VALUE"""),6.1419000131E10)</f>
        <v>61419000131</v>
      </c>
      <c r="J968" s="19" t="str">
        <f>IFERROR(__xludf.DUMMYFUNCTION("""COMPUTED_VALUE"""),"ann@mulligan.name")</f>
        <v>ann@mulligan.name</v>
      </c>
    </row>
    <row r="969">
      <c r="A969" s="19" t="str">
        <f>IFERROR(__xludf.DUMMYFUNCTION("""COMPUTED_VALUE"""),"Donovan Biss")</f>
        <v>Donovan Biss</v>
      </c>
      <c r="B969" s="19" t="str">
        <f>IFERROR(__xludf.DUMMYFUNCTION("""COMPUTED_VALUE"""),"QLD")</f>
        <v>QLD</v>
      </c>
      <c r="C969" s="5" t="str">
        <f>IFERROR(__xludf.DUMMYFUNCTION("""COMPUTED_VALUE"""),"Noosa Heads")</f>
        <v>Noosa Heads</v>
      </c>
      <c r="D969" s="5" t="str">
        <f>IFERROR(__xludf.DUMMYFUNCTION("""COMPUTED_VALUE"""),"1 Sittella Court Noosa Heads QLD 4567")</f>
        <v>1 Sittella Court Noosa Heads QLD 4567</v>
      </c>
      <c r="E969" s="27">
        <f>IFERROR(__xludf.DUMMYFUNCTION("""COMPUTED_VALUE"""),45820.0)</f>
        <v>45820</v>
      </c>
      <c r="F969" s="64">
        <f>IFERROR(__xludf.DUMMYFUNCTION("""COMPUTED_VALUE"""),0.1)</f>
        <v>0.1</v>
      </c>
      <c r="G969" s="19" t="str">
        <f>IFERROR(__xludf.DUMMYFUNCTION("""COMPUTED_VALUE"""),"Instant Forms")</f>
        <v>Instant Forms</v>
      </c>
      <c r="H969" s="19" t="str">
        <f>IFERROR(__xludf.DUMMYFUNCTION("""COMPUTED_VALUE"""),"Pip Whittaker")</f>
        <v>Pip Whittaker</v>
      </c>
      <c r="I969" s="62">
        <f>IFERROR(__xludf.DUMMYFUNCTION("""COMPUTED_VALUE"""),6.1419239855E10)</f>
        <v>61419239855</v>
      </c>
      <c r="J969" s="19" t="str">
        <f>IFERROR(__xludf.DUMMYFUNCTION("""COMPUTED_VALUE"""),"flipwhitt@outlook.com")</f>
        <v>flipwhitt@outlook.com</v>
      </c>
    </row>
    <row r="970">
      <c r="A970" s="19" t="str">
        <f>IFERROR(__xludf.DUMMYFUNCTION("""COMPUTED_VALUE"""),"")</f>
        <v/>
      </c>
      <c r="B970" s="19" t="str">
        <f>IFERROR(__xludf.DUMMYFUNCTION("""COMPUTED_VALUE"""),"")</f>
        <v/>
      </c>
      <c r="C970" s="5" t="str">
        <f>IFERROR(__xludf.DUMMYFUNCTION("""COMPUTED_VALUE"""),"")</f>
        <v/>
      </c>
      <c r="D970" s="5" t="str">
        <f>IFERROR(__xludf.DUMMYFUNCTION("""COMPUTED_VALUE"""),"")</f>
        <v/>
      </c>
      <c r="E970" s="5" t="str">
        <f>IFERROR(__xludf.DUMMYFUNCTION("""COMPUTED_VALUE"""),"")</f>
        <v/>
      </c>
      <c r="F970" s="5" t="str">
        <f>IFERROR(__xludf.DUMMYFUNCTION("""COMPUTED_VALUE"""),"")</f>
        <v/>
      </c>
      <c r="G970" s="19" t="str">
        <f>IFERROR(__xludf.DUMMYFUNCTION("""COMPUTED_VALUE"""),"")</f>
        <v/>
      </c>
      <c r="H970" s="19" t="str">
        <f>IFERROR(__xludf.DUMMYFUNCTION("""COMPUTED_VALUE"""),"")</f>
        <v/>
      </c>
      <c r="I970" s="62" t="str">
        <f>IFERROR(__xludf.DUMMYFUNCTION("""COMPUTED_VALUE"""),"")</f>
        <v/>
      </c>
      <c r="J970" s="19" t="str">
        <f>IFERROR(__xludf.DUMMYFUNCTION("""COMPUTED_VALUE"""),"")</f>
        <v/>
      </c>
    </row>
    <row r="971">
      <c r="A971" s="19" t="str">
        <f>IFERROR(__xludf.DUMMYFUNCTION("""COMPUTED_VALUE"""),"")</f>
        <v/>
      </c>
      <c r="B971" s="19" t="str">
        <f>IFERROR(__xludf.DUMMYFUNCTION("""COMPUTED_VALUE"""),"")</f>
        <v/>
      </c>
      <c r="C971" s="5" t="str">
        <f>IFERROR(__xludf.DUMMYFUNCTION("""COMPUTED_VALUE"""),"")</f>
        <v/>
      </c>
      <c r="D971" s="5" t="str">
        <f>IFERROR(__xludf.DUMMYFUNCTION("""COMPUTED_VALUE"""),"")</f>
        <v/>
      </c>
      <c r="E971" s="5" t="str">
        <f>IFERROR(__xludf.DUMMYFUNCTION("""COMPUTED_VALUE"""),"")</f>
        <v/>
      </c>
      <c r="F971" s="5" t="str">
        <f>IFERROR(__xludf.DUMMYFUNCTION("""COMPUTED_VALUE"""),"")</f>
        <v/>
      </c>
      <c r="G971" s="19" t="str">
        <f>IFERROR(__xludf.DUMMYFUNCTION("""COMPUTED_VALUE"""),"")</f>
        <v/>
      </c>
      <c r="H971" s="19" t="str">
        <f>IFERROR(__xludf.DUMMYFUNCTION("""COMPUTED_VALUE"""),"")</f>
        <v/>
      </c>
      <c r="I971" s="62" t="str">
        <f>IFERROR(__xludf.DUMMYFUNCTION("""COMPUTED_VALUE"""),"")</f>
        <v/>
      </c>
      <c r="J971" s="19" t="str">
        <f>IFERROR(__xludf.DUMMYFUNCTION("""COMPUTED_VALUE"""),"")</f>
        <v/>
      </c>
    </row>
    <row r="972">
      <c r="A972" s="19" t="str">
        <f>IFERROR(__xludf.DUMMYFUNCTION("""COMPUTED_VALUE"""),"Emily Read")</f>
        <v>Emily Read</v>
      </c>
      <c r="B972" s="19" t="str">
        <f>IFERROR(__xludf.DUMMYFUNCTION("""COMPUTED_VALUE"""),"NSW")</f>
        <v>NSW</v>
      </c>
      <c r="C972" s="5" t="str">
        <f>IFERROR(__xludf.DUMMYFUNCTION("""COMPUTED_VALUE"""),"North Curl Curl")</f>
        <v>North Curl Curl</v>
      </c>
      <c r="D972" s="5" t="str">
        <f>IFERROR(__xludf.DUMMYFUNCTION("""COMPUTED_VALUE"""),"13 Pitt Road North Curl Curl NSW 2099")</f>
        <v>13 Pitt Road North Curl Curl NSW 2099</v>
      </c>
      <c r="E972" s="5" t="str">
        <f>IFERROR(__xludf.DUMMYFUNCTION("""COMPUTED_VALUE"""),"19/11/2025")</f>
        <v>19/11/2025</v>
      </c>
      <c r="F972" s="5">
        <f>IFERROR(__xludf.DUMMYFUNCTION("""COMPUTED_VALUE"""),8.0)</f>
        <v>8</v>
      </c>
      <c r="G972" s="19" t="str">
        <f>IFERROR(__xludf.DUMMYFUNCTION("""COMPUTED_VALUE"""),"Instant Forms")</f>
        <v>Instant Forms</v>
      </c>
      <c r="H972" s="19" t="str">
        <f>IFERROR(__xludf.DUMMYFUNCTION("""COMPUTED_VALUE"""),"Haydon Bray")</f>
        <v>Haydon Bray</v>
      </c>
      <c r="I972" s="62">
        <f>IFERROR(__xludf.DUMMYFUNCTION("""COMPUTED_VALUE"""),4.10553404E8)</f>
        <v>410553404</v>
      </c>
      <c r="J972" s="19" t="str">
        <f>IFERROR(__xludf.DUMMYFUNCTION("""COMPUTED_VALUE"""),"haydon@audienceprecision.com")</f>
        <v>haydon@audienceprecision.com</v>
      </c>
    </row>
    <row r="973">
      <c r="A973" s="19" t="str">
        <f>IFERROR(__xludf.DUMMYFUNCTION("""COMPUTED_VALUE"""),"Emily Read")</f>
        <v>Emily Read</v>
      </c>
      <c r="B973" s="19" t="str">
        <f>IFERROR(__xludf.DUMMYFUNCTION("""COMPUTED_VALUE"""),"NSW")</f>
        <v>NSW</v>
      </c>
      <c r="C973" s="5" t="str">
        <f>IFERROR(__xludf.DUMMYFUNCTION("""COMPUTED_VALUE"""),"North Curl Curl")</f>
        <v>North Curl Curl</v>
      </c>
      <c r="D973" s="5" t="str">
        <f>IFERROR(__xludf.DUMMYFUNCTION("""COMPUTED_VALUE"""),"13 Pitt Road North Curl Curl NSW 2099")</f>
        <v>13 Pitt Road North Curl Curl NSW 2099</v>
      </c>
      <c r="E973" s="5" t="str">
        <f>IFERROR(__xludf.DUMMYFUNCTION("""COMPUTED_VALUE"""),"21/11/2025")</f>
        <v>21/11/2025</v>
      </c>
      <c r="F973" s="5">
        <f>IFERROR(__xludf.DUMMYFUNCTION("""COMPUTED_VALUE"""),8.0)</f>
        <v>8</v>
      </c>
      <c r="G973" s="19" t="str">
        <f>IFERROR(__xludf.DUMMYFUNCTION("""COMPUTED_VALUE"""),"Instant Forms")</f>
        <v>Instant Forms</v>
      </c>
      <c r="H973" s="19" t="str">
        <f>IFERROR(__xludf.DUMMYFUNCTION("""COMPUTED_VALUE"""),"Haydon Bray")</f>
        <v>Haydon Bray</v>
      </c>
      <c r="I973" s="62">
        <f>IFERROR(__xludf.DUMMYFUNCTION("""COMPUTED_VALUE"""),6.1410553404E10)</f>
        <v>61410553404</v>
      </c>
      <c r="J973" s="19" t="str">
        <f>IFERROR(__xludf.DUMMYFUNCTION("""COMPUTED_VALUE"""),"haydon@audienceprecision.com")</f>
        <v>haydon@audienceprecision.com</v>
      </c>
    </row>
    <row r="974">
      <c r="A974" s="19" t="str">
        <f>IFERROR(__xludf.DUMMYFUNCTION("""COMPUTED_VALUE"""),"")</f>
        <v/>
      </c>
      <c r="B974" s="19" t="str">
        <f>IFERROR(__xludf.DUMMYFUNCTION("""COMPUTED_VALUE"""),"")</f>
        <v/>
      </c>
      <c r="C974" s="5" t="str">
        <f>IFERROR(__xludf.DUMMYFUNCTION("""COMPUTED_VALUE"""),"")</f>
        <v/>
      </c>
      <c r="D974" s="5" t="str">
        <f>IFERROR(__xludf.DUMMYFUNCTION("""COMPUTED_VALUE"""),"")</f>
        <v/>
      </c>
      <c r="E974" s="5" t="str">
        <f>IFERROR(__xludf.DUMMYFUNCTION("""COMPUTED_VALUE"""),"")</f>
        <v/>
      </c>
      <c r="F974" s="5" t="str">
        <f>IFERROR(__xludf.DUMMYFUNCTION("""COMPUTED_VALUE"""),"")</f>
        <v/>
      </c>
      <c r="G974" s="19" t="str">
        <f>IFERROR(__xludf.DUMMYFUNCTION("""COMPUTED_VALUE"""),"")</f>
        <v/>
      </c>
      <c r="H974" s="19" t="str">
        <f>IFERROR(__xludf.DUMMYFUNCTION("""COMPUTED_VALUE"""),"")</f>
        <v/>
      </c>
      <c r="I974" s="62" t="str">
        <f>IFERROR(__xludf.DUMMYFUNCTION("""COMPUTED_VALUE"""),"")</f>
        <v/>
      </c>
      <c r="J974" s="19" t="str">
        <f>IFERROR(__xludf.DUMMYFUNCTION("""COMPUTED_VALUE"""),"")</f>
        <v/>
      </c>
    </row>
    <row r="975">
      <c r="A975" s="19" t="str">
        <f>IFERROR(__xludf.DUMMYFUNCTION("""COMPUTED_VALUE"""),"")</f>
        <v/>
      </c>
      <c r="B975" s="19" t="str">
        <f>IFERROR(__xludf.DUMMYFUNCTION("""COMPUTED_VALUE"""),"")</f>
        <v/>
      </c>
      <c r="C975" s="5" t="str">
        <f>IFERROR(__xludf.DUMMYFUNCTION("""COMPUTED_VALUE"""),"")</f>
        <v/>
      </c>
      <c r="D975" s="5" t="str">
        <f>IFERROR(__xludf.DUMMYFUNCTION("""COMPUTED_VALUE"""),"")</f>
        <v/>
      </c>
      <c r="E975" s="5" t="str">
        <f>IFERROR(__xludf.DUMMYFUNCTION("""COMPUTED_VALUE"""),"")</f>
        <v/>
      </c>
      <c r="F975" s="5" t="str">
        <f>IFERROR(__xludf.DUMMYFUNCTION("""COMPUTED_VALUE"""),"")</f>
        <v/>
      </c>
      <c r="G975" s="19" t="str">
        <f>IFERROR(__xludf.DUMMYFUNCTION("""COMPUTED_VALUE"""),"")</f>
        <v/>
      </c>
      <c r="H975" s="19" t="str">
        <f>IFERROR(__xludf.DUMMYFUNCTION("""COMPUTED_VALUE"""),"")</f>
        <v/>
      </c>
      <c r="I975" s="62" t="str">
        <f>IFERROR(__xludf.DUMMYFUNCTION("""COMPUTED_VALUE"""),"")</f>
        <v/>
      </c>
      <c r="J975" s="19" t="str">
        <f>IFERROR(__xludf.DUMMYFUNCTION("""COMPUTED_VALUE"""),"")</f>
        <v/>
      </c>
    </row>
    <row r="976">
      <c r="A976" s="19" t="str">
        <f>IFERROR(__xludf.DUMMYFUNCTION("""COMPUTED_VALUE"""),"Ethan Forbes")</f>
        <v>Ethan Forbes</v>
      </c>
      <c r="B976" s="19" t="str">
        <f>IFERROR(__xludf.DUMMYFUNCTION("""COMPUTED_VALUE"""),"QLD")</f>
        <v>QLD</v>
      </c>
      <c r="C976" s="5" t="str">
        <f>IFERROR(__xludf.DUMMYFUNCTION("""COMPUTED_VALUE"""),"Baringa")</f>
        <v>Baringa</v>
      </c>
      <c r="D976" s="5" t="str">
        <f>IFERROR(__xludf.DUMMYFUNCTION("""COMPUTED_VALUE"""),"33 Marybell Drive, Baringa, QLD, 4551, Australia")</f>
        <v>33 Marybell Drive, Baringa, QLD, 4551, Australia</v>
      </c>
      <c r="E976" s="63">
        <f>IFERROR(__xludf.DUMMYFUNCTION("""COMPUTED_VALUE"""),45861.0)</f>
        <v>45861</v>
      </c>
      <c r="F976" s="5" t="str">
        <f>IFERROR(__xludf.DUMMYFUNCTION("""COMPUTED_VALUE"""),"Featured")</f>
        <v>Featured</v>
      </c>
      <c r="G976" s="19" t="str">
        <f>IFERROR(__xludf.DUMMYFUNCTION("""COMPUTED_VALUE"""),"Commission Comparison")</f>
        <v>Commission Comparison</v>
      </c>
      <c r="H976" s="19"/>
      <c r="I976" s="62"/>
      <c r="J976" s="19"/>
    </row>
    <row r="977">
      <c r="A977" s="19" t="str">
        <f>IFERROR(__xludf.DUMMYFUNCTION("""COMPUTED_VALUE"""),"Ethan Forbes")</f>
        <v>Ethan Forbes</v>
      </c>
      <c r="B977" s="19" t="str">
        <f>IFERROR(__xludf.DUMMYFUNCTION("""COMPUTED_VALUE"""),"QLD")</f>
        <v>QLD</v>
      </c>
      <c r="C977" s="5" t="str">
        <f>IFERROR(__xludf.DUMMYFUNCTION("""COMPUTED_VALUE"""),"Nirimba")</f>
        <v>Nirimba</v>
      </c>
      <c r="D977" s="5" t="str">
        <f>IFERROR(__xludf.DUMMYFUNCTION("""COMPUTED_VALUE"""),"30 nicholas street")</f>
        <v>30 nicholas street</v>
      </c>
      <c r="E977" s="25">
        <f>IFERROR(__xludf.DUMMYFUNCTION("""COMPUTED_VALUE"""),45945.0)</f>
        <v>45945</v>
      </c>
      <c r="F977" s="5" t="str">
        <f>IFERROR(__xludf.DUMMYFUNCTION("""COMPUTED_VALUE"""),"Featured")</f>
        <v>Featured</v>
      </c>
      <c r="G977" s="19" t="str">
        <f>IFERROR(__xludf.DUMMYFUNCTION("""COMPUTED_VALUE"""),"Commission Comparison")</f>
        <v>Commission Comparison</v>
      </c>
      <c r="H977" s="19"/>
      <c r="I977" s="62"/>
      <c r="J977" s="19"/>
    </row>
    <row r="978">
      <c r="A978" s="19" t="str">
        <f>IFERROR(__xludf.DUMMYFUNCTION("""COMPUTED_VALUE"""),"")</f>
        <v/>
      </c>
      <c r="B978" s="19" t="str">
        <f>IFERROR(__xludf.DUMMYFUNCTION("""COMPUTED_VALUE"""),"")</f>
        <v/>
      </c>
      <c r="C978" s="5" t="str">
        <f>IFERROR(__xludf.DUMMYFUNCTION("""COMPUTED_VALUE"""),"")</f>
        <v/>
      </c>
      <c r="D978" s="5" t="str">
        <f>IFERROR(__xludf.DUMMYFUNCTION("""COMPUTED_VALUE"""),"")</f>
        <v/>
      </c>
      <c r="E978" s="5" t="str">
        <f>IFERROR(__xludf.DUMMYFUNCTION("""COMPUTED_VALUE"""),"")</f>
        <v/>
      </c>
      <c r="F978" s="5" t="str">
        <f>IFERROR(__xludf.DUMMYFUNCTION("""COMPUTED_VALUE"""),"")</f>
        <v/>
      </c>
      <c r="G978" s="19" t="str">
        <f>IFERROR(__xludf.DUMMYFUNCTION("""COMPUTED_VALUE"""),"")</f>
        <v/>
      </c>
      <c r="H978" s="19" t="str">
        <f>IFERROR(__xludf.DUMMYFUNCTION("""COMPUTED_VALUE"""),"")</f>
        <v/>
      </c>
      <c r="I978" s="62" t="str">
        <f>IFERROR(__xludf.DUMMYFUNCTION("""COMPUTED_VALUE"""),"")</f>
        <v/>
      </c>
      <c r="J978" s="19" t="str">
        <f>IFERROR(__xludf.DUMMYFUNCTION("""COMPUTED_VALUE"""),"")</f>
        <v/>
      </c>
    </row>
    <row r="979">
      <c r="A979" s="19" t="str">
        <f>IFERROR(__xludf.DUMMYFUNCTION("""COMPUTED_VALUE"""),"")</f>
        <v/>
      </c>
      <c r="B979" s="19" t="str">
        <f>IFERROR(__xludf.DUMMYFUNCTION("""COMPUTED_VALUE"""),"")</f>
        <v/>
      </c>
      <c r="C979" s="5" t="str">
        <f>IFERROR(__xludf.DUMMYFUNCTION("""COMPUTED_VALUE"""),"")</f>
        <v/>
      </c>
      <c r="D979" s="5" t="str">
        <f>IFERROR(__xludf.DUMMYFUNCTION("""COMPUTED_VALUE"""),"")</f>
        <v/>
      </c>
      <c r="E979" s="5" t="str">
        <f>IFERROR(__xludf.DUMMYFUNCTION("""COMPUTED_VALUE"""),"")</f>
        <v/>
      </c>
      <c r="F979" s="5" t="str">
        <f>IFERROR(__xludf.DUMMYFUNCTION("""COMPUTED_VALUE"""),"")</f>
        <v/>
      </c>
      <c r="G979" s="19" t="str">
        <f>IFERROR(__xludf.DUMMYFUNCTION("""COMPUTED_VALUE"""),"")</f>
        <v/>
      </c>
      <c r="H979" s="19" t="str">
        <f>IFERROR(__xludf.DUMMYFUNCTION("""COMPUTED_VALUE"""),"")</f>
        <v/>
      </c>
      <c r="I979" s="62" t="str">
        <f>IFERROR(__xludf.DUMMYFUNCTION("""COMPUTED_VALUE"""),"")</f>
        <v/>
      </c>
      <c r="J979" s="19" t="str">
        <f>IFERROR(__xludf.DUMMYFUNCTION("""COMPUTED_VALUE"""),"")</f>
        <v/>
      </c>
    </row>
    <row r="980">
      <c r="A980" s="19" t="str">
        <f>IFERROR(__xludf.DUMMYFUNCTION("""COMPUTED_VALUE"""),"George Karasalidis")</f>
        <v>George Karasalidis</v>
      </c>
      <c r="B980" s="19" t="str">
        <f>IFERROR(__xludf.DUMMYFUNCTION("""COMPUTED_VALUE"""),"NSW")</f>
        <v>NSW</v>
      </c>
      <c r="C980" s="5" t="str">
        <f>IFERROR(__xludf.DUMMYFUNCTION("""COMPUTED_VALUE"""),"Earlwood")</f>
        <v>Earlwood</v>
      </c>
      <c r="D980" s="5" t="str">
        <f>IFERROR(__xludf.DUMMYFUNCTION("""COMPUTED_VALUE"""),"11 Riverview Road, Earlwood, NSW, 2206, Australia")</f>
        <v>11 Riverview Road, Earlwood, NSW, 2206, Australia</v>
      </c>
      <c r="E980" s="5" t="str">
        <f>IFERROR(__xludf.DUMMYFUNCTION("""COMPUTED_VALUE"""),"16/06/2025")</f>
        <v>16/06/2025</v>
      </c>
      <c r="F980" s="5" t="str">
        <f>IFERROR(__xludf.DUMMYFUNCTION("""COMPUTED_VALUE"""),"Featured")</f>
        <v>Featured</v>
      </c>
      <c r="G980" s="19"/>
      <c r="H980" s="19"/>
      <c r="I980" s="62"/>
      <c r="J980" s="19"/>
    </row>
    <row r="981">
      <c r="A981" s="19" t="str">
        <f>IFERROR(__xludf.DUMMYFUNCTION("""COMPUTED_VALUE"""),"George Karasalidis")</f>
        <v>George Karasalidis</v>
      </c>
      <c r="B981" s="19" t="str">
        <f>IFERROR(__xludf.DUMMYFUNCTION("""COMPUTED_VALUE"""),"NSW")</f>
        <v>NSW</v>
      </c>
      <c r="C981" s="5">
        <f>IFERROR(__xludf.DUMMYFUNCTION("""COMPUTED_VALUE"""),2206.0)</f>
        <v>2206</v>
      </c>
      <c r="D981" s="5"/>
      <c r="E981" s="63">
        <f>IFERROR(__xludf.DUMMYFUNCTION("""COMPUTED_VALUE"""),45724.0)</f>
        <v>45724</v>
      </c>
      <c r="F981" s="5" t="str">
        <f>IFERROR(__xludf.DUMMYFUNCTION("""COMPUTED_VALUE"""),"Featured")</f>
        <v>Featured</v>
      </c>
      <c r="G981" s="19" t="str">
        <f>IFERROR(__xludf.DUMMYFUNCTION("""COMPUTED_VALUE"""),"Instant Forms")</f>
        <v>Instant Forms</v>
      </c>
      <c r="H981" s="19"/>
      <c r="I981" s="62"/>
      <c r="J981" s="19"/>
    </row>
    <row r="982">
      <c r="A982" s="19" t="str">
        <f>IFERROR(__xludf.DUMMYFUNCTION("""COMPUTED_VALUE"""),"George Karasalidis")</f>
        <v>George Karasalidis</v>
      </c>
      <c r="B982" s="19" t="str">
        <f>IFERROR(__xludf.DUMMYFUNCTION("""COMPUTED_VALUE"""),"NSW")</f>
        <v>NSW</v>
      </c>
      <c r="C982" s="5">
        <f>IFERROR(__xludf.DUMMYFUNCTION("""COMPUTED_VALUE"""),2205.0)</f>
        <v>2205</v>
      </c>
      <c r="D982" s="5"/>
      <c r="E982" s="25">
        <f>IFERROR(__xludf.DUMMYFUNCTION("""COMPUTED_VALUE"""),45874.0)</f>
        <v>45874</v>
      </c>
      <c r="F982" s="5" t="str">
        <f>IFERROR(__xludf.DUMMYFUNCTION("""COMPUTED_VALUE"""),"Featured")</f>
        <v>Featured</v>
      </c>
      <c r="G982" s="19" t="str">
        <f>IFERROR(__xludf.DUMMYFUNCTION("""COMPUTED_VALUE"""),"Instant Forms")</f>
        <v>Instant Forms</v>
      </c>
      <c r="H982" s="19"/>
      <c r="I982" s="62"/>
      <c r="J982" s="19"/>
    </row>
    <row r="983">
      <c r="A983" s="19" t="str">
        <f>IFERROR(__xludf.DUMMYFUNCTION("""COMPUTED_VALUE"""),"George Karasalidis")</f>
        <v>George Karasalidis</v>
      </c>
      <c r="B983" s="19" t="str">
        <f>IFERROR(__xludf.DUMMYFUNCTION("""COMPUTED_VALUE"""),"NSW")</f>
        <v>NSW</v>
      </c>
      <c r="C983" s="5" t="str">
        <f>IFERROR(__xludf.DUMMYFUNCTION("""COMPUTED_VALUE"""),"Enfield")</f>
        <v>Enfield</v>
      </c>
      <c r="D983" s="5"/>
      <c r="E983" s="25">
        <f>IFERROR(__xludf.DUMMYFUNCTION("""COMPUTED_VALUE"""),45875.0)</f>
        <v>45875</v>
      </c>
      <c r="F983" s="5" t="str">
        <f>IFERROR(__xludf.DUMMYFUNCTION("""COMPUTED_VALUE"""),"Featured")</f>
        <v>Featured</v>
      </c>
      <c r="G983" s="19" t="str">
        <f>IFERROR(__xludf.DUMMYFUNCTION("""COMPUTED_VALUE"""),"Instant Forms")</f>
        <v>Instant Forms</v>
      </c>
      <c r="H983" s="19"/>
      <c r="I983" s="62"/>
      <c r="J983" s="19"/>
    </row>
    <row r="984">
      <c r="A984" s="19" t="str">
        <f>IFERROR(__xludf.DUMMYFUNCTION("""COMPUTED_VALUE"""),"George Karasalidis")</f>
        <v>George Karasalidis</v>
      </c>
      <c r="B984" s="19" t="str">
        <f>IFERROR(__xludf.DUMMYFUNCTION("""COMPUTED_VALUE"""),"NSW")</f>
        <v>NSW</v>
      </c>
      <c r="C984" s="5" t="str">
        <f>IFERROR(__xludf.DUMMYFUNCTION("""COMPUTED_VALUE"""),"Earlwood")</f>
        <v>Earlwood</v>
      </c>
      <c r="D984" s="5" t="str">
        <f>IFERROR(__xludf.DUMMYFUNCTION("""COMPUTED_VALUE"""),"38 Gueudecourt Avenue Earlwood NSW 2206")</f>
        <v>38 Gueudecourt Avenue Earlwood NSW 2206</v>
      </c>
      <c r="E984" s="25">
        <f>IFERROR(__xludf.DUMMYFUNCTION("""COMPUTED_VALUE"""),45892.0)</f>
        <v>45892</v>
      </c>
      <c r="F984" s="5" t="str">
        <f>IFERROR(__xludf.DUMMYFUNCTION("""COMPUTED_VALUE"""),"Featured")</f>
        <v>Featured</v>
      </c>
      <c r="G984" s="19" t="str">
        <f>IFERROR(__xludf.DUMMYFUNCTION("""COMPUTED_VALUE"""),"Instant Forms")</f>
        <v>Instant Forms</v>
      </c>
      <c r="H984" s="19"/>
      <c r="I984" s="62"/>
      <c r="J984" s="19"/>
    </row>
    <row r="985">
      <c r="A985" s="19" t="str">
        <f>IFERROR(__xludf.DUMMYFUNCTION("""COMPUTED_VALUE"""),"George Karasalidis")</f>
        <v>George Karasalidis</v>
      </c>
      <c r="B985" s="19" t="str">
        <f>IFERROR(__xludf.DUMMYFUNCTION("""COMPUTED_VALUE"""),"NSW")</f>
        <v>NSW</v>
      </c>
      <c r="C985" s="5" t="str">
        <f>IFERROR(__xludf.DUMMYFUNCTION("""COMPUTED_VALUE"""),"Wolli Creek")</f>
        <v>Wolli Creek</v>
      </c>
      <c r="D985" s="5" t="str">
        <f>IFERROR(__xludf.DUMMYFUNCTION("""COMPUTED_VALUE"""),"26/80-90 Bonar Street Wolli Creek NSW 2205")</f>
        <v>26/80-90 Bonar Street Wolli Creek NSW 2205</v>
      </c>
      <c r="E985" s="25">
        <f>IFERROR(__xludf.DUMMYFUNCTION("""COMPUTED_VALUE"""),45925.0)</f>
        <v>45925</v>
      </c>
      <c r="F985" s="5">
        <f>IFERROR(__xludf.DUMMYFUNCTION("""COMPUTED_VALUE"""),8.0)</f>
        <v>8</v>
      </c>
      <c r="G985" s="19" t="str">
        <f>IFERROR(__xludf.DUMMYFUNCTION("""COMPUTED_VALUE"""),"Instant Forms")</f>
        <v>Instant Forms</v>
      </c>
      <c r="H985" s="19" t="str">
        <f>IFERROR(__xludf.DUMMYFUNCTION("""COMPUTED_VALUE"""),"Glenn Langley")</f>
        <v>Glenn Langley</v>
      </c>
      <c r="I985" s="62"/>
      <c r="J985" s="19"/>
    </row>
    <row r="986">
      <c r="A986" s="19" t="str">
        <f>IFERROR(__xludf.DUMMYFUNCTION("""COMPUTED_VALUE"""),"George Karasalidis")</f>
        <v>George Karasalidis</v>
      </c>
      <c r="B986" s="19" t="str">
        <f>IFERROR(__xludf.DUMMYFUNCTION("""COMPUTED_VALUE"""),"NSW")</f>
        <v>NSW</v>
      </c>
      <c r="C986" s="5" t="str">
        <f>IFERROR(__xludf.DUMMYFUNCTION("""COMPUTED_VALUE"""),"st peters")</f>
        <v>st peters</v>
      </c>
      <c r="D986" s="5" t="str">
        <f>IFERROR(__xludf.DUMMYFUNCTION("""COMPUTED_VALUE"""),"80 Alfred St St Peters NSW Australia")</f>
        <v>80 Alfred St St Peters NSW Australia</v>
      </c>
      <c r="E986" s="25">
        <f>IFERROR(__xludf.DUMMYFUNCTION("""COMPUTED_VALUE"""),45953.0)</f>
        <v>45953</v>
      </c>
      <c r="F986" s="5" t="str">
        <f>IFERROR(__xludf.DUMMYFUNCTION("""COMPUTED_VALUE"""),"Featured")</f>
        <v>Featured</v>
      </c>
      <c r="G986" s="19" t="str">
        <f>IFERROR(__xludf.DUMMYFUNCTION("""COMPUTED_VALUE"""),"Commission Comparison")</f>
        <v>Commission Comparison</v>
      </c>
      <c r="H986" s="19"/>
      <c r="I986" s="62"/>
      <c r="J986" s="19"/>
    </row>
    <row r="987">
      <c r="A987" s="19" t="str">
        <f>IFERROR(__xludf.DUMMYFUNCTION("""COMPUTED_VALUE"""),"George Karasalidis")</f>
        <v>George Karasalidis</v>
      </c>
      <c r="B987" s="19" t="str">
        <f>IFERROR(__xludf.DUMMYFUNCTION("""COMPUTED_VALUE"""),"NSW")</f>
        <v>NSW</v>
      </c>
      <c r="C987" s="5" t="str">
        <f>IFERROR(__xludf.DUMMYFUNCTION("""COMPUTED_VALUE"""),"Roselands")</f>
        <v>Roselands</v>
      </c>
      <c r="D987" s="5" t="str">
        <f>IFERROR(__xludf.DUMMYFUNCTION("""COMPUTED_VALUE"""),"3/7 Myers Street Roselands NSW 2196")</f>
        <v>3/7 Myers Street Roselands NSW 2196</v>
      </c>
      <c r="E987" s="25">
        <f>IFERROR(__xludf.DUMMYFUNCTION("""COMPUTED_VALUE"""),45958.0)</f>
        <v>45958</v>
      </c>
      <c r="F987" s="5" t="str">
        <f>IFERROR(__xludf.DUMMYFUNCTION("""COMPUTED_VALUE"""),"Featured")</f>
        <v>Featured</v>
      </c>
      <c r="G987" s="19" t="str">
        <f>IFERROR(__xludf.DUMMYFUNCTION("""COMPUTED_VALUE"""),"Commission Comparison")</f>
        <v>Commission Comparison</v>
      </c>
      <c r="H987" s="19"/>
      <c r="I987" s="62"/>
      <c r="J987" s="19"/>
    </row>
    <row r="988">
      <c r="A988" s="19" t="str">
        <f>IFERROR(__xludf.DUMMYFUNCTION("""COMPUTED_VALUE"""),"George Karasalidis")</f>
        <v>George Karasalidis</v>
      </c>
      <c r="B988" s="19" t="str">
        <f>IFERROR(__xludf.DUMMYFUNCTION("""COMPUTED_VALUE"""),"NSW")</f>
        <v>NSW</v>
      </c>
      <c r="C988" s="5" t="str">
        <f>IFERROR(__xludf.DUMMYFUNCTION("""COMPUTED_VALUE"""),"Belmore")</f>
        <v>Belmore</v>
      </c>
      <c r="D988" s="5" t="str">
        <f>IFERROR(__xludf.DUMMYFUNCTION("""COMPUTED_VALUE"""),"11 Garden Street Belmore NSW 2192")</f>
        <v>11 Garden Street Belmore NSW 2192</v>
      </c>
      <c r="E988" s="25">
        <f>IFERROR(__xludf.DUMMYFUNCTION("""COMPUTED_VALUE"""),45960.0)</f>
        <v>45960</v>
      </c>
      <c r="F988" s="5">
        <f>IFERROR(__xludf.DUMMYFUNCTION("""COMPUTED_VALUE"""),8.0)</f>
        <v>8</v>
      </c>
      <c r="G988" s="19" t="str">
        <f>IFERROR(__xludf.DUMMYFUNCTION("""COMPUTED_VALUE"""),"Instant Forms")</f>
        <v>Instant Forms</v>
      </c>
      <c r="H988" s="19"/>
      <c r="I988" s="62"/>
      <c r="J988" s="19"/>
    </row>
    <row r="989">
      <c r="A989" s="19" t="str">
        <f>IFERROR(__xludf.DUMMYFUNCTION("""COMPUTED_VALUE"""),"George Karasalidis")</f>
        <v>George Karasalidis</v>
      </c>
      <c r="B989" s="19" t="str">
        <f>IFERROR(__xludf.DUMMYFUNCTION("""COMPUTED_VALUE"""),"NSW")</f>
        <v>NSW</v>
      </c>
      <c r="C989" s="5" t="str">
        <f>IFERROR(__xludf.DUMMYFUNCTION("""COMPUTED_VALUE"""),"Ashfield")</f>
        <v>Ashfield</v>
      </c>
      <c r="D989" s="5" t="str">
        <f>IFERROR(__xludf.DUMMYFUNCTION("""COMPUTED_VALUE"""),"40 William Street Ashfield NSW 2131")</f>
        <v>40 William Street Ashfield NSW 2131</v>
      </c>
      <c r="E989" s="25">
        <f>IFERROR(__xludf.DUMMYFUNCTION("""COMPUTED_VALUE"""),45977.0)</f>
        <v>45977</v>
      </c>
      <c r="F989" s="5">
        <f>IFERROR(__xludf.DUMMYFUNCTION("""COMPUTED_VALUE"""),8.0)</f>
        <v>8</v>
      </c>
      <c r="G989" s="19" t="str">
        <f>IFERROR(__xludf.DUMMYFUNCTION("""COMPUTED_VALUE"""),"Instant Forms")</f>
        <v>Instant Forms</v>
      </c>
      <c r="H989" s="19" t="str">
        <f>IFERROR(__xludf.DUMMYFUNCTION("""COMPUTED_VALUE"""),"phil carrick")</f>
        <v>phil carrick</v>
      </c>
      <c r="I989" s="62">
        <f>IFERROR(__xludf.DUMMYFUNCTION("""COMPUTED_VALUE"""),6.1425295597E10)</f>
        <v>61425295597</v>
      </c>
      <c r="J989" s="19" t="str">
        <f>IFERROR(__xludf.DUMMYFUNCTION("""COMPUTED_VALUE"""),"collandphil@gmail.com")</f>
        <v>collandphil@gmail.com</v>
      </c>
    </row>
    <row r="990">
      <c r="A990" s="19" t="str">
        <f>IFERROR(__xludf.DUMMYFUNCTION("""COMPUTED_VALUE"""),"George Karasalidis")</f>
        <v>George Karasalidis</v>
      </c>
      <c r="B990" s="19" t="str">
        <f>IFERROR(__xludf.DUMMYFUNCTION("""COMPUTED_VALUE"""),"NSW")</f>
        <v>NSW</v>
      </c>
      <c r="C990" s="5" t="str">
        <f>IFERROR(__xludf.DUMMYFUNCTION("""COMPUTED_VALUE"""),"Rockdale")</f>
        <v>Rockdale</v>
      </c>
      <c r="D990" s="5" t="str">
        <f>IFERROR(__xludf.DUMMYFUNCTION("""COMPUTED_VALUE"""),"51 Herbert Street Rockdale NSW 2216")</f>
        <v>51 Herbert Street Rockdale NSW 2216</v>
      </c>
      <c r="E990" s="5" t="str">
        <f>IFERROR(__xludf.DUMMYFUNCTION("""COMPUTED_VALUE"""),"19/11/2025")</f>
        <v>19/11/2025</v>
      </c>
      <c r="F990" s="5">
        <f>IFERROR(__xludf.DUMMYFUNCTION("""COMPUTED_VALUE"""),8.0)</f>
        <v>8</v>
      </c>
      <c r="G990" s="19" t="str">
        <f>IFERROR(__xludf.DUMMYFUNCTION("""COMPUTED_VALUE"""),"Instant Forms")</f>
        <v>Instant Forms</v>
      </c>
      <c r="H990" s="19" t="str">
        <f>IFERROR(__xludf.DUMMYFUNCTION("""COMPUTED_VALUE"""),"Billy Moffat")</f>
        <v>Billy Moffat</v>
      </c>
      <c r="I990" s="62">
        <f>IFERROR(__xludf.DUMMYFUNCTION("""COMPUTED_VALUE"""),6.1478416021E10)</f>
        <v>61478416021</v>
      </c>
      <c r="J990" s="19" t="str">
        <f>IFERROR(__xludf.DUMMYFUNCTION("""COMPUTED_VALUE"""),"sydbear@yahoo.com")</f>
        <v>sydbear@yahoo.com</v>
      </c>
    </row>
    <row r="991">
      <c r="A991" s="19" t="str">
        <f>IFERROR(__xludf.DUMMYFUNCTION("""COMPUTED_VALUE"""),"George Karasalidis")</f>
        <v>George Karasalidis</v>
      </c>
      <c r="B991" s="19" t="str">
        <f>IFERROR(__xludf.DUMMYFUNCTION("""COMPUTED_VALUE"""),"NSW")</f>
        <v>NSW</v>
      </c>
      <c r="C991" s="5" t="str">
        <f>IFERROR(__xludf.DUMMYFUNCTION("""COMPUTED_VALUE"""),"Earlwood")</f>
        <v>Earlwood</v>
      </c>
      <c r="D991" s="5" t="str">
        <f>IFERROR(__xludf.DUMMYFUNCTION("""COMPUTED_VALUE"""),"15 Dawson Avenue, Earlwood, NSW, 2206, Australia")</f>
        <v>15 Dawson Avenue, Earlwood, NSW, 2206, Australia</v>
      </c>
      <c r="E991" s="5" t="str">
        <f>IFERROR(__xludf.DUMMYFUNCTION("""COMPUTED_VALUE"""),"28/11/2025")</f>
        <v>28/11/2025</v>
      </c>
      <c r="F991" s="64">
        <f>IFERROR(__xludf.DUMMYFUNCTION("""COMPUTED_VALUE"""),0.2)</f>
        <v>0.2</v>
      </c>
      <c r="G991" s="19" t="str">
        <f>IFERROR(__xludf.DUMMYFUNCTION("""COMPUTED_VALUE"""),"Commission Comparison")</f>
        <v>Commission Comparison</v>
      </c>
      <c r="H991" s="19" t="str">
        <f>IFERROR(__xludf.DUMMYFUNCTION("""COMPUTED_VALUE"""),"Aldo Travia")</f>
        <v>Aldo Travia</v>
      </c>
      <c r="I991" s="62">
        <f>IFERROR(__xludf.DUMMYFUNCTION("""COMPUTED_VALUE"""),6.1401777666E10)</f>
        <v>61401777666</v>
      </c>
      <c r="J991" s="19" t="str">
        <f>IFERROR(__xludf.DUMMYFUNCTION("""COMPUTED_VALUE"""),"aldo.travia@gmail.com")</f>
        <v>aldo.travia@gmail.com</v>
      </c>
    </row>
    <row r="992">
      <c r="A992" s="19" t="str">
        <f>IFERROR(__xludf.DUMMYFUNCTION("""COMPUTED_VALUE"""),"George Karasalidis")</f>
        <v>George Karasalidis</v>
      </c>
      <c r="B992" s="19" t="str">
        <f>IFERROR(__xludf.DUMMYFUNCTION("""COMPUTED_VALUE"""),"NSW")</f>
        <v>NSW</v>
      </c>
      <c r="C992" s="5" t="str">
        <f>IFERROR(__xludf.DUMMYFUNCTION("""COMPUTED_VALUE"""),"Earlwood")</f>
        <v>Earlwood</v>
      </c>
      <c r="D992" s="5"/>
      <c r="E992" s="5" t="str">
        <f>IFERROR(__xludf.DUMMYFUNCTION("""COMPUTED_VALUE"""),"29/11/2025")</f>
        <v>29/11/2025</v>
      </c>
      <c r="F992" s="64">
        <f>IFERROR(__xludf.DUMMYFUNCTION("""COMPUTED_VALUE"""),0.1)</f>
        <v>0.1</v>
      </c>
      <c r="G992" s="19" t="str">
        <f>IFERROR(__xludf.DUMMYFUNCTION("""COMPUTED_VALUE"""),"Commission Comparison")</f>
        <v>Commission Comparison</v>
      </c>
      <c r="H992" s="19" t="str">
        <f>IFERROR(__xludf.DUMMYFUNCTION("""COMPUTED_VALUE"""),"Aldo Travia")</f>
        <v>Aldo Travia</v>
      </c>
      <c r="I992" s="62">
        <f>IFERROR(__xludf.DUMMYFUNCTION("""COMPUTED_VALUE"""),6.1401777666E10)</f>
        <v>61401777666</v>
      </c>
      <c r="J992" s="19" t="str">
        <f>IFERROR(__xludf.DUMMYFUNCTION("""COMPUTED_VALUE"""),"aldo.travia@gmail.com")</f>
        <v>aldo.travia@gmail.com</v>
      </c>
    </row>
    <row r="993">
      <c r="A993" s="19" t="str">
        <f>IFERROR(__xludf.DUMMYFUNCTION("""COMPUTED_VALUE"""),"George Karasalidis")</f>
        <v>George Karasalidis</v>
      </c>
      <c r="B993" s="19" t="str">
        <f>IFERROR(__xludf.DUMMYFUNCTION("""COMPUTED_VALUE"""),"NSW")</f>
        <v>NSW</v>
      </c>
      <c r="C993" s="5" t="str">
        <f>IFERROR(__xludf.DUMMYFUNCTION("""COMPUTED_VALUE"""),"Earlwood")</f>
        <v>Earlwood</v>
      </c>
      <c r="D993" s="5" t="str">
        <f>IFERROR(__xludf.DUMMYFUNCTION("""COMPUTED_VALUE"""),"21 Frost Street Earlwood NSW 2206")</f>
        <v>21 Frost Street Earlwood NSW 2206</v>
      </c>
      <c r="E993" s="5" t="str">
        <f>IFERROR(__xludf.DUMMYFUNCTION("""COMPUTED_VALUE"""),"29/11/2025")</f>
        <v>29/11/2025</v>
      </c>
      <c r="F993" s="64">
        <f>IFERROR(__xludf.DUMMYFUNCTION("""COMPUTED_VALUE"""),0.2)</f>
        <v>0.2</v>
      </c>
      <c r="G993" s="19" t="str">
        <f>IFERROR(__xludf.DUMMYFUNCTION("""COMPUTED_VALUE"""),"Instant Forms")</f>
        <v>Instant Forms</v>
      </c>
      <c r="H993" s="19" t="str">
        <f>IFERROR(__xludf.DUMMYFUNCTION("""COMPUTED_VALUE"""),"Mark King")</f>
        <v>Mark King</v>
      </c>
      <c r="I993" s="62">
        <f>IFERROR(__xludf.DUMMYFUNCTION("""COMPUTED_VALUE"""),6.1432516747E10)</f>
        <v>61432516747</v>
      </c>
      <c r="J993" s="19" t="str">
        <f>IFERROR(__xludf.DUMMYFUNCTION("""COMPUTED_VALUE"""),"markk0272@gmail.com")</f>
        <v>markk0272@gmail.com</v>
      </c>
    </row>
    <row r="994">
      <c r="A994" s="19" t="str">
        <f>IFERROR(__xludf.DUMMYFUNCTION("""COMPUTED_VALUE"""),"")</f>
        <v/>
      </c>
      <c r="B994" s="19" t="str">
        <f>IFERROR(__xludf.DUMMYFUNCTION("""COMPUTED_VALUE"""),"")</f>
        <v/>
      </c>
      <c r="C994" s="5" t="str">
        <f>IFERROR(__xludf.DUMMYFUNCTION("""COMPUTED_VALUE"""),"")</f>
        <v/>
      </c>
      <c r="D994" s="5" t="str">
        <f>IFERROR(__xludf.DUMMYFUNCTION("""COMPUTED_VALUE"""),"")</f>
        <v/>
      </c>
      <c r="E994" s="5" t="str">
        <f>IFERROR(__xludf.DUMMYFUNCTION("""COMPUTED_VALUE"""),"")</f>
        <v/>
      </c>
      <c r="F994" s="5" t="str">
        <f>IFERROR(__xludf.DUMMYFUNCTION("""COMPUTED_VALUE"""),"")</f>
        <v/>
      </c>
      <c r="G994" s="19" t="str">
        <f>IFERROR(__xludf.DUMMYFUNCTION("""COMPUTED_VALUE"""),"")</f>
        <v/>
      </c>
      <c r="H994" s="19" t="str">
        <f>IFERROR(__xludf.DUMMYFUNCTION("""COMPUTED_VALUE"""),"")</f>
        <v/>
      </c>
      <c r="I994" s="62" t="str">
        <f>IFERROR(__xludf.DUMMYFUNCTION("""COMPUTED_VALUE"""),"")</f>
        <v/>
      </c>
      <c r="J994" s="19" t="str">
        <f>IFERROR(__xludf.DUMMYFUNCTION("""COMPUTED_VALUE"""),"")</f>
        <v/>
      </c>
    </row>
    <row r="995">
      <c r="A995" s="19" t="str">
        <f>IFERROR(__xludf.DUMMYFUNCTION("""COMPUTED_VALUE"""),"")</f>
        <v/>
      </c>
      <c r="B995" s="19" t="str">
        <f>IFERROR(__xludf.DUMMYFUNCTION("""COMPUTED_VALUE"""),"")</f>
        <v/>
      </c>
      <c r="C995" s="5" t="str">
        <f>IFERROR(__xludf.DUMMYFUNCTION("""COMPUTED_VALUE"""),"")</f>
        <v/>
      </c>
      <c r="D995" s="5" t="str">
        <f>IFERROR(__xludf.DUMMYFUNCTION("""COMPUTED_VALUE"""),"")</f>
        <v/>
      </c>
      <c r="E995" s="5" t="str">
        <f>IFERROR(__xludf.DUMMYFUNCTION("""COMPUTED_VALUE"""),"")</f>
        <v/>
      </c>
      <c r="F995" s="5" t="str">
        <f>IFERROR(__xludf.DUMMYFUNCTION("""COMPUTED_VALUE"""),"")</f>
        <v/>
      </c>
      <c r="G995" s="19" t="str">
        <f>IFERROR(__xludf.DUMMYFUNCTION("""COMPUTED_VALUE"""),"")</f>
        <v/>
      </c>
      <c r="H995" s="19" t="str">
        <f>IFERROR(__xludf.DUMMYFUNCTION("""COMPUTED_VALUE"""),"")</f>
        <v/>
      </c>
      <c r="I995" s="62" t="str">
        <f>IFERROR(__xludf.DUMMYFUNCTION("""COMPUTED_VALUE"""),"")</f>
        <v/>
      </c>
      <c r="J995" s="19" t="str">
        <f>IFERROR(__xludf.DUMMYFUNCTION("""COMPUTED_VALUE"""),"")</f>
        <v/>
      </c>
    </row>
    <row r="996">
      <c r="A996" s="19" t="str">
        <f>IFERROR(__xludf.DUMMYFUNCTION("""COMPUTED_VALUE"""),"Glen Foster")</f>
        <v>Glen Foster</v>
      </c>
      <c r="B996" s="19" t="str">
        <f>IFERROR(__xludf.DUMMYFUNCTION("""COMPUTED_VALUE"""),"QLD")</f>
        <v>QLD</v>
      </c>
      <c r="C996" s="5" t="str">
        <f>IFERROR(__xludf.DUMMYFUNCTION("""COMPUTED_VALUE"""),"Surfers Paradise")</f>
        <v>Surfers Paradise</v>
      </c>
      <c r="D996" s="5" t="str">
        <f>IFERROR(__xludf.DUMMYFUNCTION("""COMPUTED_VALUE"""),"9 Norseman Court")</f>
        <v>9 Norseman Court</v>
      </c>
      <c r="E996" s="63"/>
      <c r="F996" s="5" t="str">
        <f>IFERROR(__xludf.DUMMYFUNCTION("""COMPUTED_VALUE"""),"Featured")</f>
        <v>Featured</v>
      </c>
      <c r="G996" s="19" t="str">
        <f>IFERROR(__xludf.DUMMYFUNCTION("""COMPUTED_VALUE"""),"Commission Comparison")</f>
        <v>Commission Comparison</v>
      </c>
      <c r="H996" s="19"/>
      <c r="I996" s="62"/>
      <c r="J996" s="19"/>
    </row>
    <row r="997">
      <c r="A997" s="19" t="str">
        <f>IFERROR(__xludf.DUMMYFUNCTION("""COMPUTED_VALUE"""),"Glen Foster")</f>
        <v>Glen Foster</v>
      </c>
      <c r="B997" s="19" t="str">
        <f>IFERROR(__xludf.DUMMYFUNCTION("""COMPUTED_VALUE"""),"QLD")</f>
        <v>QLD</v>
      </c>
      <c r="C997" s="5">
        <f>IFERROR(__xludf.DUMMYFUNCTION("""COMPUTED_VALUE"""),4217.0)</f>
        <v>4217</v>
      </c>
      <c r="D997" s="5"/>
      <c r="E997" s="63">
        <f>IFERROR(__xludf.DUMMYFUNCTION("""COMPUTED_VALUE"""),45859.0)</f>
        <v>45859</v>
      </c>
      <c r="F997" s="5" t="str">
        <f>IFERROR(__xludf.DUMMYFUNCTION("""COMPUTED_VALUE"""),"Free")</f>
        <v>Free</v>
      </c>
      <c r="G997" s="19" t="str">
        <f>IFERROR(__xludf.DUMMYFUNCTION("""COMPUTED_VALUE"""),"Instant Forms")</f>
        <v>Instant Forms</v>
      </c>
      <c r="H997" s="19"/>
      <c r="I997" s="62"/>
      <c r="J997" s="19"/>
    </row>
    <row r="998">
      <c r="A998" s="19" t="str">
        <f>IFERROR(__xludf.DUMMYFUNCTION("""COMPUTED_VALUE"""),"Glen Foster")</f>
        <v>Glen Foster</v>
      </c>
      <c r="B998" s="19" t="str">
        <f>IFERROR(__xludf.DUMMYFUNCTION("""COMPUTED_VALUE"""),"QLD")</f>
        <v>QLD</v>
      </c>
      <c r="C998" s="5" t="str">
        <f>IFERROR(__xludf.DUMMYFUNCTION("""COMPUTED_VALUE"""),"Southport")</f>
        <v>Southport</v>
      </c>
      <c r="D998" s="5" t="str">
        <f>IFERROR(__xludf.DUMMYFUNCTION("""COMPUTED_VALUE"""),"12 Biggs Place Southport QLD 4215")</f>
        <v>12 Biggs Place Southport QLD 4215</v>
      </c>
      <c r="E998" s="25">
        <f>IFERROR(__xludf.DUMMYFUNCTION("""COMPUTED_VALUE"""),45918.0)</f>
        <v>45918</v>
      </c>
      <c r="F998" s="5">
        <f>IFERROR(__xludf.DUMMYFUNCTION("""COMPUTED_VALUE"""),8.0)</f>
        <v>8</v>
      </c>
      <c r="G998" s="19" t="str">
        <f>IFERROR(__xludf.DUMMYFUNCTION("""COMPUTED_VALUE"""),"Instant Forms")</f>
        <v>Instant Forms</v>
      </c>
      <c r="H998" s="19" t="str">
        <f>IFERROR(__xludf.DUMMYFUNCTION("""COMPUTED_VALUE"""),"Peter blowes")</f>
        <v>Peter blowes</v>
      </c>
      <c r="I998" s="62"/>
      <c r="J998" s="19"/>
    </row>
    <row r="999">
      <c r="A999" s="19" t="str">
        <f>IFERROR(__xludf.DUMMYFUNCTION("""COMPUTED_VALUE"""),"Glen Foster")</f>
        <v>Glen Foster</v>
      </c>
      <c r="B999" s="19" t="str">
        <f>IFERROR(__xludf.DUMMYFUNCTION("""COMPUTED_VALUE"""),"QLD")</f>
        <v>QLD</v>
      </c>
      <c r="C999" s="5" t="str">
        <f>IFERROR(__xludf.DUMMYFUNCTION("""COMPUTED_VALUE"""),"Southport")</f>
        <v>Southport</v>
      </c>
      <c r="D999" s="5" t="str">
        <f>IFERROR(__xludf.DUMMYFUNCTION("""COMPUTED_VALUE"""),"1/1 Fairway Ave, Southport 4215")</f>
        <v>1/1 Fairway Ave, Southport 4215</v>
      </c>
      <c r="E999" s="25">
        <f>IFERROR(__xludf.DUMMYFUNCTION("""COMPUTED_VALUE"""),45921.0)</f>
        <v>45921</v>
      </c>
      <c r="F999" s="5" t="str">
        <f>IFERROR(__xludf.DUMMYFUNCTION("""COMPUTED_VALUE"""),"Featured")</f>
        <v>Featured</v>
      </c>
      <c r="G999" s="19" t="str">
        <f>IFERROR(__xludf.DUMMYFUNCTION("""COMPUTED_VALUE"""),"Commission Comparison")</f>
        <v>Commission Comparison</v>
      </c>
      <c r="H999" s="19"/>
      <c r="I999" s="62"/>
      <c r="J999" s="19"/>
    </row>
    <row r="1000">
      <c r="A1000" s="19" t="str">
        <f>IFERROR(__xludf.DUMMYFUNCTION("""COMPUTED_VALUE"""),"Glen Foster")</f>
        <v>Glen Foster</v>
      </c>
      <c r="B1000" s="19" t="str">
        <f>IFERROR(__xludf.DUMMYFUNCTION("""COMPUTED_VALUE"""),"QLD")</f>
        <v>QLD</v>
      </c>
      <c r="C1000" s="5" t="str">
        <f>IFERROR(__xludf.DUMMYFUNCTION("""COMPUTED_VALUE"""),"Southport")</f>
        <v>Southport</v>
      </c>
      <c r="D1000" s="5" t="str">
        <f>IFERROR(__xludf.DUMMYFUNCTION("""COMPUTED_VALUE"""),"1/1 Fairway Avenue")</f>
        <v>1/1 Fairway Avenue</v>
      </c>
      <c r="E1000" s="25">
        <f>IFERROR(__xludf.DUMMYFUNCTION("""COMPUTED_VALUE"""),45922.0)</f>
        <v>45922</v>
      </c>
      <c r="F1000" s="5" t="str">
        <f>IFERROR(__xludf.DUMMYFUNCTION("""COMPUTED_VALUE"""),"Featured")</f>
        <v>Featured</v>
      </c>
      <c r="G1000" s="19" t="str">
        <f>IFERROR(__xludf.DUMMYFUNCTION("""COMPUTED_VALUE"""),"Commission Comparison")</f>
        <v>Commission Comparison</v>
      </c>
      <c r="H1000" s="19"/>
      <c r="I1000" s="62"/>
      <c r="J1000" s="19"/>
    </row>
    <row r="1001">
      <c r="A1001" s="19" t="str">
        <f>IFERROR(__xludf.DUMMYFUNCTION("""COMPUTED_VALUE"""),"Glen Foster")</f>
        <v>Glen Foster</v>
      </c>
      <c r="B1001" s="19" t="str">
        <f>IFERROR(__xludf.DUMMYFUNCTION("""COMPUTED_VALUE"""),"QLD")</f>
        <v>QLD</v>
      </c>
      <c r="C1001" s="5" t="str">
        <f>IFERROR(__xludf.DUMMYFUNCTION("""COMPUTED_VALUE"""),"Benowa")</f>
        <v>Benowa</v>
      </c>
      <c r="D1001" s="5" t="str">
        <f>IFERROR(__xludf.DUMMYFUNCTION("""COMPUTED_VALUE"""),"4 Adler Court Benowa QLD 4217")</f>
        <v>4 Adler Court Benowa QLD 4217</v>
      </c>
      <c r="E1001" s="25">
        <f>IFERROR(__xludf.DUMMYFUNCTION("""COMPUTED_VALUE"""),45924.0)</f>
        <v>45924</v>
      </c>
      <c r="F1001" s="5">
        <f>IFERROR(__xludf.DUMMYFUNCTION("""COMPUTED_VALUE"""),8.0)</f>
        <v>8</v>
      </c>
      <c r="G1001" s="19" t="str">
        <f>IFERROR(__xludf.DUMMYFUNCTION("""COMPUTED_VALUE"""),"Instant Forms")</f>
        <v>Instant Forms</v>
      </c>
      <c r="H1001" s="19" t="str">
        <f>IFERROR(__xludf.DUMMYFUNCTION("""COMPUTED_VALUE"""),"Paul Hartin")</f>
        <v>Paul Hartin</v>
      </c>
      <c r="I1001" s="62"/>
      <c r="J1001" s="19"/>
    </row>
    <row r="1002">
      <c r="A1002" s="19" t="str">
        <f>IFERROR(__xludf.DUMMYFUNCTION("""COMPUTED_VALUE"""),"Glen Foster")</f>
        <v>Glen Foster</v>
      </c>
      <c r="B1002" s="19" t="str">
        <f>IFERROR(__xludf.DUMMYFUNCTION("""COMPUTED_VALUE"""),"QLD")</f>
        <v>QLD</v>
      </c>
      <c r="C1002" s="5" t="str">
        <f>IFERROR(__xludf.DUMMYFUNCTION("""COMPUTED_VALUE"""),"Sorrento")</f>
        <v>Sorrento</v>
      </c>
      <c r="D1002" s="5" t="str">
        <f>IFERROR(__xludf.DUMMYFUNCTION("""COMPUTED_VALUE"""),"22 Platypus Avenue Bundall QLD 4217")</f>
        <v>22 Platypus Avenue Bundall QLD 4217</v>
      </c>
      <c r="E1002" s="25">
        <f>IFERROR(__xludf.DUMMYFUNCTION("""COMPUTED_VALUE"""),45925.0)</f>
        <v>45925</v>
      </c>
      <c r="F1002" s="5">
        <f>IFERROR(__xludf.DUMMYFUNCTION("""COMPUTED_VALUE"""),5.0)</f>
        <v>5</v>
      </c>
      <c r="G1002" s="19" t="str">
        <f>IFERROR(__xludf.DUMMYFUNCTION("""COMPUTED_VALUE"""),"Instant Forms")</f>
        <v>Instant Forms</v>
      </c>
      <c r="H1002" s="19" t="str">
        <f>IFERROR(__xludf.DUMMYFUNCTION("""COMPUTED_VALUE"""),"Julie Dodson")</f>
        <v>Julie Dodson</v>
      </c>
      <c r="I1002" s="62"/>
      <c r="J1002" s="19"/>
    </row>
    <row r="1003">
      <c r="A1003" s="19" t="str">
        <f>IFERROR(__xludf.DUMMYFUNCTION("""COMPUTED_VALUE"""),"Glen Foster")</f>
        <v>Glen Foster</v>
      </c>
      <c r="B1003" s="19" t="str">
        <f>IFERROR(__xludf.DUMMYFUNCTION("""COMPUTED_VALUE"""),"QLD")</f>
        <v>QLD</v>
      </c>
      <c r="C1003" s="5" t="str">
        <f>IFERROR(__xludf.DUMMYFUNCTION("""COMPUTED_VALUE"""),"Runaway")</f>
        <v>Runaway</v>
      </c>
      <c r="D1003" s="5" t="str">
        <f>IFERROR(__xludf.DUMMYFUNCTION("""COMPUTED_VALUE"""),"2/40 Markham Avenue Runaway Bay QLD 4216")</f>
        <v>2/40 Markham Avenue Runaway Bay QLD 4216</v>
      </c>
      <c r="E1003" s="25">
        <f>IFERROR(__xludf.DUMMYFUNCTION("""COMPUTED_VALUE"""),45933.0)</f>
        <v>45933</v>
      </c>
      <c r="F1003" s="5">
        <f>IFERROR(__xludf.DUMMYFUNCTION("""COMPUTED_VALUE"""),8.0)</f>
        <v>8</v>
      </c>
      <c r="G1003" s="19" t="str">
        <f>IFERROR(__xludf.DUMMYFUNCTION("""COMPUTED_VALUE"""),"Instant Forms")</f>
        <v>Instant Forms</v>
      </c>
      <c r="H1003" s="19" t="str">
        <f>IFERROR(__xludf.DUMMYFUNCTION("""COMPUTED_VALUE"""),"Bruce Judith Wood")</f>
        <v>Bruce Judith Wood</v>
      </c>
      <c r="I1003" s="62"/>
      <c r="J1003" s="19"/>
    </row>
    <row r="1004">
      <c r="A1004" s="19" t="str">
        <f>IFERROR(__xludf.DUMMYFUNCTION("""COMPUTED_VALUE"""),"Glen Foster")</f>
        <v>Glen Foster</v>
      </c>
      <c r="B1004" s="19" t="str">
        <f>IFERROR(__xludf.DUMMYFUNCTION("""COMPUTED_VALUE"""),"QLD")</f>
        <v>QLD</v>
      </c>
      <c r="C1004" s="5" t="str">
        <f>IFERROR(__xludf.DUMMYFUNCTION("""COMPUTED_VALUE"""),"Mermaid Waters")</f>
        <v>Mermaid Waters</v>
      </c>
      <c r="D1004" s="5" t="str">
        <f>IFERROR(__xludf.DUMMYFUNCTION("""COMPUTED_VALUE"""),"4/22 Peter Parade Mermaid Waters QLD 4218")</f>
        <v>4/22 Peter Parade Mermaid Waters QLD 4218</v>
      </c>
      <c r="E1004" s="25">
        <f>IFERROR(__xludf.DUMMYFUNCTION("""COMPUTED_VALUE"""),45935.0)</f>
        <v>45935</v>
      </c>
      <c r="F1004" s="5">
        <f>IFERROR(__xludf.DUMMYFUNCTION("""COMPUTED_VALUE"""),9.0)</f>
        <v>9</v>
      </c>
      <c r="G1004" s="19" t="str">
        <f>IFERROR(__xludf.DUMMYFUNCTION("""COMPUTED_VALUE"""),"Instant Forms")</f>
        <v>Instant Forms</v>
      </c>
      <c r="H1004" s="19" t="str">
        <f>IFERROR(__xludf.DUMMYFUNCTION("""COMPUTED_VALUE"""),"Jerildine Stevenson")</f>
        <v>Jerildine Stevenson</v>
      </c>
      <c r="I1004" s="62"/>
      <c r="J1004" s="19"/>
    </row>
    <row r="1005">
      <c r="A1005" s="19" t="str">
        <f>IFERROR(__xludf.DUMMYFUNCTION("""COMPUTED_VALUE"""),"Glen Foster")</f>
        <v>Glen Foster</v>
      </c>
      <c r="B1005" s="19" t="str">
        <f>IFERROR(__xludf.DUMMYFUNCTION("""COMPUTED_VALUE"""),"QLD")</f>
        <v>QLD</v>
      </c>
      <c r="C1005" s="5" t="str">
        <f>IFERROR(__xludf.DUMMYFUNCTION("""COMPUTED_VALUE"""),"Southport")</f>
        <v>Southport</v>
      </c>
      <c r="D1005" s="5" t="str">
        <f>IFERROR(__xludf.DUMMYFUNCTION("""COMPUTED_VALUE"""),"12 Petersen Avenue Southport QLD 4215")</f>
        <v>12 Petersen Avenue Southport QLD 4215</v>
      </c>
      <c r="E1005" s="25">
        <f>IFERROR(__xludf.DUMMYFUNCTION("""COMPUTED_VALUE"""),45939.0)</f>
        <v>45939</v>
      </c>
      <c r="F1005" s="5">
        <f>IFERROR(__xludf.DUMMYFUNCTION("""COMPUTED_VALUE"""),8.0)</f>
        <v>8</v>
      </c>
      <c r="G1005" s="19" t="str">
        <f>IFERROR(__xludf.DUMMYFUNCTION("""COMPUTED_VALUE"""),"Instant Forms")</f>
        <v>Instant Forms</v>
      </c>
      <c r="H1005" s="19"/>
      <c r="I1005" s="62"/>
      <c r="J1005" s="19"/>
    </row>
    <row r="1006">
      <c r="A1006" s="19" t="str">
        <f>IFERROR(__xludf.DUMMYFUNCTION("""COMPUTED_VALUE"""),"Glen Foster")</f>
        <v>Glen Foster</v>
      </c>
      <c r="B1006" s="19" t="str">
        <f>IFERROR(__xludf.DUMMYFUNCTION("""COMPUTED_VALUE"""),"QLD")</f>
        <v>QLD</v>
      </c>
      <c r="C1006" s="5" t="str">
        <f>IFERROR(__xludf.DUMMYFUNCTION("""COMPUTED_VALUE"""),"Labrador")</f>
        <v>Labrador</v>
      </c>
      <c r="D1006" s="5" t="str">
        <f>IFERROR(__xludf.DUMMYFUNCTION("""COMPUTED_VALUE"""),"68 Central Street Labrador QLD 4215")</f>
        <v>68 Central Street Labrador QLD 4215</v>
      </c>
      <c r="E1006" s="25">
        <f>IFERROR(__xludf.DUMMYFUNCTION("""COMPUTED_VALUE"""),45941.0)</f>
        <v>45941</v>
      </c>
      <c r="F1006" s="5">
        <f>IFERROR(__xludf.DUMMYFUNCTION("""COMPUTED_VALUE"""),8.0)</f>
        <v>8</v>
      </c>
      <c r="G1006" s="19" t="str">
        <f>IFERROR(__xludf.DUMMYFUNCTION("""COMPUTED_VALUE"""),"Instant Forms")</f>
        <v>Instant Forms</v>
      </c>
      <c r="H1006" s="19"/>
      <c r="I1006" s="62"/>
      <c r="J1006" s="19"/>
    </row>
    <row r="1007">
      <c r="A1007" s="19" t="str">
        <f>IFERROR(__xludf.DUMMYFUNCTION("""COMPUTED_VALUE"""),"Glen Foster")</f>
        <v>Glen Foster</v>
      </c>
      <c r="B1007" s="19" t="str">
        <f>IFERROR(__xludf.DUMMYFUNCTION("""COMPUTED_VALUE"""),"QLD")</f>
        <v>QLD</v>
      </c>
      <c r="C1007" s="5" t="str">
        <f>IFERROR(__xludf.DUMMYFUNCTION("""COMPUTED_VALUE"""),"Surfers Paradise")</f>
        <v>Surfers Paradise</v>
      </c>
      <c r="D1007" s="5" t="str">
        <f>IFERROR(__xludf.DUMMYFUNCTION("""COMPUTED_VALUE"""),"2704/3422 Surfers Paradise Boulevard Surfers Paradise QLD 4217")</f>
        <v>2704/3422 Surfers Paradise Boulevard Surfers Paradise QLD 4217</v>
      </c>
      <c r="E1007" s="25">
        <f>IFERROR(__xludf.DUMMYFUNCTION("""COMPUTED_VALUE"""),45943.0)</f>
        <v>45943</v>
      </c>
      <c r="F1007" s="5">
        <f>IFERROR(__xludf.DUMMYFUNCTION("""COMPUTED_VALUE"""),8.0)</f>
        <v>8</v>
      </c>
      <c r="G1007" s="19" t="str">
        <f>IFERROR(__xludf.DUMMYFUNCTION("""COMPUTED_VALUE"""),"Instant Forms")</f>
        <v>Instant Forms</v>
      </c>
      <c r="H1007" s="19"/>
      <c r="I1007" s="62"/>
      <c r="J1007" s="19"/>
    </row>
    <row r="1008">
      <c r="A1008" s="19" t="str">
        <f>IFERROR(__xludf.DUMMYFUNCTION("""COMPUTED_VALUE"""),"Glen Foster")</f>
        <v>Glen Foster</v>
      </c>
      <c r="B1008" s="19" t="str">
        <f>IFERROR(__xludf.DUMMYFUNCTION("""COMPUTED_VALUE"""),"QLD")</f>
        <v>QLD</v>
      </c>
      <c r="C1008" s="5" t="str">
        <f>IFERROR(__xludf.DUMMYFUNCTION("""COMPUTED_VALUE"""),"Arundel")</f>
        <v>Arundel</v>
      </c>
      <c r="D1008" s="5" t="str">
        <f>IFERROR(__xludf.DUMMYFUNCTION("""COMPUTED_VALUE"""),"Central street, Arundel, 4214")</f>
        <v>Central street, Arundel, 4214</v>
      </c>
      <c r="E1008" s="25" t="str">
        <f>IFERROR(__xludf.DUMMYFUNCTION("""COMPUTED_VALUE"""),"29/10/2025")</f>
        <v>29/10/2025</v>
      </c>
      <c r="F1008" s="5" t="str">
        <f>IFERROR(__xludf.DUMMYFUNCTION("""COMPUTED_VALUE"""),"Featured")</f>
        <v>Featured</v>
      </c>
      <c r="G1008" s="19" t="str">
        <f>IFERROR(__xludf.DUMMYFUNCTION("""COMPUTED_VALUE"""),"Meta Commission Report")</f>
        <v>Meta Commission Report</v>
      </c>
      <c r="H1008" s="19" t="str">
        <f>IFERROR(__xludf.DUMMYFUNCTION("""COMPUTED_VALUE"""),"Jenny Allen")</f>
        <v>Jenny Allen</v>
      </c>
      <c r="I1008" s="62"/>
      <c r="J1008" s="19"/>
    </row>
    <row r="1009">
      <c r="A1009" s="19" t="str">
        <f>IFERROR(__xludf.DUMMYFUNCTION("""COMPUTED_VALUE"""),"Glen Foster")</f>
        <v>Glen Foster</v>
      </c>
      <c r="B1009" s="19" t="str">
        <f>IFERROR(__xludf.DUMMYFUNCTION("""COMPUTED_VALUE"""),"QLD")</f>
        <v>QLD</v>
      </c>
      <c r="C1009" s="5" t="str">
        <f>IFERROR(__xludf.DUMMYFUNCTION("""COMPUTED_VALUE"""),"Labrador")</f>
        <v>Labrador</v>
      </c>
      <c r="D1009" s="5" t="str">
        <f>IFERROR(__xludf.DUMMYFUNCTION("""COMPUTED_VALUE"""),"24/62-66 Brown Street Labrador QLD 4215")</f>
        <v>24/62-66 Brown Street Labrador QLD 4215</v>
      </c>
      <c r="E1009" s="25">
        <f>IFERROR(__xludf.DUMMYFUNCTION("""COMPUTED_VALUE"""),45970.0)</f>
        <v>45970</v>
      </c>
      <c r="F1009" s="5">
        <f>IFERROR(__xludf.DUMMYFUNCTION("""COMPUTED_VALUE"""),8.0)</f>
        <v>8</v>
      </c>
      <c r="G1009" s="19" t="str">
        <f>IFERROR(__xludf.DUMMYFUNCTION("""COMPUTED_VALUE"""),"Instant Forms")</f>
        <v>Instant Forms</v>
      </c>
      <c r="H1009" s="19" t="str">
        <f>IFERROR(__xludf.DUMMYFUNCTION("""COMPUTED_VALUE"""),"Mikala Smith")</f>
        <v>Mikala Smith</v>
      </c>
      <c r="I1009" s="62">
        <f>IFERROR(__xludf.DUMMYFUNCTION("""COMPUTED_VALUE"""),6.1411226595E10)</f>
        <v>61411226595</v>
      </c>
      <c r="J1009" s="19" t="str">
        <f>IFERROR(__xludf.DUMMYFUNCTION("""COMPUTED_VALUE"""),"mikala0111@gmail.com")</f>
        <v>mikala0111@gmail.com</v>
      </c>
    </row>
    <row r="1010">
      <c r="A1010" s="19" t="str">
        <f>IFERROR(__xludf.DUMMYFUNCTION("""COMPUTED_VALUE"""),"Glen Foster")</f>
        <v>Glen Foster</v>
      </c>
      <c r="B1010" s="19" t="str">
        <f>IFERROR(__xludf.DUMMYFUNCTION("""COMPUTED_VALUE"""),"QLD")</f>
        <v>QLD</v>
      </c>
      <c r="C1010" s="5" t="str">
        <f>IFERROR(__xludf.DUMMYFUNCTION("""COMPUTED_VALUE"""),"Hope Island")</f>
        <v>Hope Island</v>
      </c>
      <c r="D1010" s="5" t="str">
        <f>IFERROR(__xludf.DUMMYFUNCTION("""COMPUTED_VALUE"""),"66 Sickle Avenue, Hope Island, QLD, 4212, Australia")</f>
        <v>66 Sickle Avenue, Hope Island, QLD, 4212, Australia</v>
      </c>
      <c r="E1010" s="25">
        <f>IFERROR(__xludf.DUMMYFUNCTION("""COMPUTED_VALUE"""),45975.0)</f>
        <v>45975</v>
      </c>
      <c r="F1010" s="5" t="str">
        <f>IFERROR(__xludf.DUMMYFUNCTION("""COMPUTED_VALUE"""),"Featured")</f>
        <v>Featured</v>
      </c>
      <c r="G1010" s="19" t="str">
        <f>IFERROR(__xludf.DUMMYFUNCTION("""COMPUTED_VALUE"""),"Commission Comparison")</f>
        <v>Commission Comparison</v>
      </c>
      <c r="H1010" s="19" t="str">
        <f>IFERROR(__xludf.DUMMYFUNCTION("""COMPUTED_VALUE"""),"Quinton Howe")</f>
        <v>Quinton Howe</v>
      </c>
      <c r="I1010" s="62">
        <f>IFERROR(__xludf.DUMMYFUNCTION("""COMPUTED_VALUE"""),6.1409318796E10)</f>
        <v>61409318796</v>
      </c>
      <c r="J1010" s="19" t="str">
        <f>IFERROR(__xludf.DUMMYFUNCTION("""COMPUTED_VALUE"""),"qmhowe@gmail.com")</f>
        <v>qmhowe@gmail.com</v>
      </c>
    </row>
    <row r="1011">
      <c r="A1011" s="19" t="str">
        <f>IFERROR(__xludf.DUMMYFUNCTION("""COMPUTED_VALUE"""),"Glen Foster")</f>
        <v>Glen Foster</v>
      </c>
      <c r="B1011" s="19" t="str">
        <f>IFERROR(__xludf.DUMMYFUNCTION("""COMPUTED_VALUE"""),"QLD")</f>
        <v>QLD</v>
      </c>
      <c r="C1011" s="5">
        <f>IFERROR(__xludf.DUMMYFUNCTION("""COMPUTED_VALUE"""),4212.0)</f>
        <v>4212</v>
      </c>
      <c r="D1011" s="5"/>
      <c r="E1011" s="25">
        <f>IFERROR(__xludf.DUMMYFUNCTION("""COMPUTED_VALUE"""),45975.0)</f>
        <v>45975</v>
      </c>
      <c r="F1011" s="5">
        <f>IFERROR(__xludf.DUMMYFUNCTION("""COMPUTED_VALUE"""),5.0)</f>
        <v>5</v>
      </c>
      <c r="G1011" s="19" t="str">
        <f>IFERROR(__xludf.DUMMYFUNCTION("""COMPUTED_VALUE"""),"Instant Forms")</f>
        <v>Instant Forms</v>
      </c>
      <c r="H1011" s="19" t="str">
        <f>IFERROR(__xludf.DUMMYFUNCTION("""COMPUTED_VALUE"""),"Quinton Howe")</f>
        <v>Quinton Howe</v>
      </c>
      <c r="I1011" s="62">
        <f>IFERROR(__xludf.DUMMYFUNCTION("""COMPUTED_VALUE"""),6.1409318796E10)</f>
        <v>61409318796</v>
      </c>
      <c r="J1011" s="19" t="str">
        <f>IFERROR(__xludf.DUMMYFUNCTION("""COMPUTED_VALUE"""),"qmhowe@gmail.com")</f>
        <v>qmhowe@gmail.com</v>
      </c>
    </row>
    <row r="1012">
      <c r="A1012" s="19" t="str">
        <f>IFERROR(__xludf.DUMMYFUNCTION("""COMPUTED_VALUE"""),"Glen Foster")</f>
        <v>Glen Foster</v>
      </c>
      <c r="B1012" s="19" t="str">
        <f>IFERROR(__xludf.DUMMYFUNCTION("""COMPUTED_VALUE"""),"QLD")</f>
        <v>QLD</v>
      </c>
      <c r="C1012" s="5" t="str">
        <f>IFERROR(__xludf.DUMMYFUNCTION("""COMPUTED_VALUE"""),"Helensvale")</f>
        <v>Helensvale</v>
      </c>
      <c r="D1012" s="5" t="str">
        <f>IFERROR(__xludf.DUMMYFUNCTION("""COMPUTED_VALUE"""),"1 Katoomba Court Helensvale QLD 4212")</f>
        <v>1 Katoomba Court Helensvale QLD 4212</v>
      </c>
      <c r="E1012" s="25">
        <f>IFERROR(__xludf.DUMMYFUNCTION("""COMPUTED_VALUE"""),45977.0)</f>
        <v>45977</v>
      </c>
      <c r="F1012" s="5">
        <f>IFERROR(__xludf.DUMMYFUNCTION("""COMPUTED_VALUE"""),8.0)</f>
        <v>8</v>
      </c>
      <c r="G1012" s="19" t="str">
        <f>IFERROR(__xludf.DUMMYFUNCTION("""COMPUTED_VALUE"""),"Instant Forms")</f>
        <v>Instant Forms</v>
      </c>
      <c r="H1012" s="19" t="str">
        <f>IFERROR(__xludf.DUMMYFUNCTION("""COMPUTED_VALUE"""),"Chealtzie Haggart")</f>
        <v>Chealtzie Haggart</v>
      </c>
      <c r="I1012" s="62">
        <f>IFERROR(__xludf.DUMMYFUNCTION("""COMPUTED_VALUE"""),6.1421275643E10)</f>
        <v>61421275643</v>
      </c>
      <c r="J1012" s="19" t="str">
        <f>IFERROR(__xludf.DUMMYFUNCTION("""COMPUTED_VALUE"""),"chealtzie@hotmail.com")</f>
        <v>chealtzie@hotmail.com</v>
      </c>
    </row>
    <row r="1013">
      <c r="A1013" s="19" t="str">
        <f>IFERROR(__xludf.DUMMYFUNCTION("""COMPUTED_VALUE"""),"Glen Foster")</f>
        <v>Glen Foster</v>
      </c>
      <c r="B1013" s="19" t="str">
        <f>IFERROR(__xludf.DUMMYFUNCTION("""COMPUTED_VALUE"""),"QLD")</f>
        <v>QLD</v>
      </c>
      <c r="C1013" s="5" t="str">
        <f>IFERROR(__xludf.DUMMYFUNCTION("""COMPUTED_VALUE"""),"Pacific Pines")</f>
        <v>Pacific Pines</v>
      </c>
      <c r="D1013" s="5" t="str">
        <f>IFERROR(__xludf.DUMMYFUNCTION("""COMPUTED_VALUE"""),"47 Capricorn Drive Pacific Pines QLD 4211")</f>
        <v>47 Capricorn Drive Pacific Pines QLD 4211</v>
      </c>
      <c r="E1013" s="5" t="str">
        <f>IFERROR(__xludf.DUMMYFUNCTION("""COMPUTED_VALUE"""),"20/11/2025")</f>
        <v>20/11/2025</v>
      </c>
      <c r="F1013" s="5">
        <f>IFERROR(__xludf.DUMMYFUNCTION("""COMPUTED_VALUE"""),8.0)</f>
        <v>8</v>
      </c>
      <c r="G1013" s="19" t="str">
        <f>IFERROR(__xludf.DUMMYFUNCTION("""COMPUTED_VALUE"""),"Instant Forms")</f>
        <v>Instant Forms</v>
      </c>
      <c r="H1013" s="19" t="str">
        <f>IFERROR(__xludf.DUMMYFUNCTION("""COMPUTED_VALUE"""),"Hika Wanakore")</f>
        <v>Hika Wanakore</v>
      </c>
      <c r="I1013" s="62">
        <f>IFERROR(__xludf.DUMMYFUNCTION("""COMPUTED_VALUE"""),6.1488687308E10)</f>
        <v>61488687308</v>
      </c>
      <c r="J1013" s="19" t="str">
        <f>IFERROR(__xludf.DUMMYFUNCTION("""COMPUTED_VALUE"""),"tama.wanakore@hotmail.com")</f>
        <v>tama.wanakore@hotmail.com</v>
      </c>
    </row>
    <row r="1014">
      <c r="A1014" s="19" t="str">
        <f>IFERROR(__xludf.DUMMYFUNCTION("""COMPUTED_VALUE"""),"Glen Foster")</f>
        <v>Glen Foster</v>
      </c>
      <c r="B1014" s="19" t="str">
        <f>IFERROR(__xludf.DUMMYFUNCTION("""COMPUTED_VALUE"""),"QLD")</f>
        <v>QLD</v>
      </c>
      <c r="C1014" s="5" t="str">
        <f>IFERROR(__xludf.DUMMYFUNCTION("""COMPUTED_VALUE"""),"Arundel")</f>
        <v>Arundel</v>
      </c>
      <c r="D1014" s="5" t="str">
        <f>IFERROR(__xludf.DUMMYFUNCTION("""COMPUTED_VALUE"""),"16 Fitzalan Circuit Arundel QLD 4214")</f>
        <v>16 Fitzalan Circuit Arundel QLD 4214</v>
      </c>
      <c r="E1014" s="5" t="str">
        <f>IFERROR(__xludf.DUMMYFUNCTION("""COMPUTED_VALUE"""),"27/11/2025")</f>
        <v>27/11/2025</v>
      </c>
      <c r="F1014" s="64">
        <f>IFERROR(__xludf.DUMMYFUNCTION("""COMPUTED_VALUE"""),0.2)</f>
        <v>0.2</v>
      </c>
      <c r="G1014" s="19" t="str">
        <f>IFERROR(__xludf.DUMMYFUNCTION("""COMPUTED_VALUE"""),"Instant Forms")</f>
        <v>Instant Forms</v>
      </c>
      <c r="H1014" s="19" t="str">
        <f>IFERROR(__xludf.DUMMYFUNCTION("""COMPUTED_VALUE"""),"Pauline Liong")</f>
        <v>Pauline Liong</v>
      </c>
      <c r="I1014" s="62">
        <f>IFERROR(__xludf.DUMMYFUNCTION("""COMPUTED_VALUE"""),6.1413707122E10)</f>
        <v>61413707122</v>
      </c>
      <c r="J1014" s="19" t="str">
        <f>IFERROR(__xludf.DUMMYFUNCTION("""COMPUTED_VALUE"""),"pliong100@yahoo.com.au")</f>
        <v>pliong100@yahoo.com.au</v>
      </c>
    </row>
    <row r="1015">
      <c r="A1015" s="19" t="str">
        <f>IFERROR(__xludf.DUMMYFUNCTION("""COMPUTED_VALUE"""),"Glen Foster")</f>
        <v>Glen Foster</v>
      </c>
      <c r="B1015" s="19" t="str">
        <f>IFERROR(__xludf.DUMMYFUNCTION("""COMPUTED_VALUE"""),"QLD")</f>
        <v>QLD</v>
      </c>
      <c r="C1015" s="5" t="str">
        <f>IFERROR(__xludf.DUMMYFUNCTION("""COMPUTED_VALUE"""),"Arundel")</f>
        <v>Arundel</v>
      </c>
      <c r="D1015" s="5" t="str">
        <f>IFERROR(__xludf.DUMMYFUNCTION("""COMPUTED_VALUE"""),"16 Golden Bear Dr, Arundel, 4214")</f>
        <v>16 Golden Bear Dr, Arundel, 4214</v>
      </c>
      <c r="E1015" s="27">
        <f>IFERROR(__xludf.DUMMYFUNCTION("""COMPUTED_VALUE"""),45700.0)</f>
        <v>45700</v>
      </c>
      <c r="F1015" s="64">
        <f>IFERROR(__xludf.DUMMYFUNCTION("""COMPUTED_VALUE"""),0.2)</f>
        <v>0.2</v>
      </c>
      <c r="G1015" s="19" t="str">
        <f>IFERROR(__xludf.DUMMYFUNCTION("""COMPUTED_VALUE"""),"Meta Commission Report")</f>
        <v>Meta Commission Report</v>
      </c>
      <c r="H1015" s="19" t="str">
        <f>IFERROR(__xludf.DUMMYFUNCTION("""COMPUTED_VALUE"""),"Seng Maindonald")</f>
        <v>Seng Maindonald</v>
      </c>
      <c r="I1015" s="62">
        <f>IFERROR(__xludf.DUMMYFUNCTION("""COMPUTED_VALUE"""),6.1429640744E10)</f>
        <v>61429640744</v>
      </c>
      <c r="J1015" s="19" t="str">
        <f>IFERROR(__xludf.DUMMYFUNCTION("""COMPUTED_VALUE"""),"seng.maindonald@hotmail.com")</f>
        <v>seng.maindonald@hotmail.com</v>
      </c>
    </row>
    <row r="1016">
      <c r="A1016" s="19" t="str">
        <f>IFERROR(__xludf.DUMMYFUNCTION("""COMPUTED_VALUE"""),"Glen Foster")</f>
        <v>Glen Foster</v>
      </c>
      <c r="B1016" s="19" t="str">
        <f>IFERROR(__xludf.DUMMYFUNCTION("""COMPUTED_VALUE"""),"QLD")</f>
        <v>QLD</v>
      </c>
      <c r="C1016" s="5" t="str">
        <f>IFERROR(__xludf.DUMMYFUNCTION("""COMPUTED_VALUE"""),"replace(replace(replace(trim(7/39 Back Street Biggera Waters QLD 4216); /,/g; "" ""); /\s+/g; "" ""); /.\b(?:avenue|ave|boulevard|blvd|bvd|circuit|cct|close|cl|court|ct|crescent|cres|drive|dr|esplanade|esp|grove|gr|highway|hwy|lane|ln|laneway|lnwy|parade|"&amp;"pde|place|pl|promenade|prom|road|rd|row|ro|street|st|terrace|tce|way|wy)\b\s+(.+?)\s+(NSW|QLD|VIC|WA|SA|TAS|ACT|NT)\s+\d{4}\b.$/i; ""$1"")")</f>
        <v>replace(replace(replace(trim(7/39 Back Street Biggera Waters QLD 4216);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016" s="5" t="str">
        <f>IFERROR(__xludf.DUMMYFUNCTION("""COMPUTED_VALUE"""),"7/39 Back Street Biggera Waters QLD 4216")</f>
        <v>7/39 Back Street Biggera Waters QLD 4216</v>
      </c>
      <c r="E1016" s="27">
        <f>IFERROR(__xludf.DUMMYFUNCTION("""COMPUTED_VALUE"""),45728.0)</f>
        <v>45728</v>
      </c>
      <c r="F1016" s="64">
        <f>IFERROR(__xludf.DUMMYFUNCTION("""COMPUTED_VALUE"""),0.2)</f>
        <v>0.2</v>
      </c>
      <c r="G1016" s="19" t="str">
        <f>IFERROR(__xludf.DUMMYFUNCTION("""COMPUTED_VALUE"""),"Instant Forms")</f>
        <v>Instant Forms</v>
      </c>
      <c r="H1016" s="19" t="str">
        <f>IFERROR(__xludf.DUMMYFUNCTION("""COMPUTED_VALUE"""),"Theresa Yates")</f>
        <v>Theresa Yates</v>
      </c>
      <c r="I1016" s="62">
        <f>IFERROR(__xludf.DUMMYFUNCTION("""COMPUTED_VALUE"""),6.1458851243E10)</f>
        <v>61458851243</v>
      </c>
      <c r="J1016" s="19" t="str">
        <f>IFERROR(__xludf.DUMMYFUNCTION("""COMPUTED_VALUE"""),"tyates9110@hotmail.com")</f>
        <v>tyates9110@hotmail.com</v>
      </c>
    </row>
    <row r="1017">
      <c r="A1017" s="19" t="str">
        <f>IFERROR(__xludf.DUMMYFUNCTION("""COMPUTED_VALUE"""),"")</f>
        <v/>
      </c>
      <c r="B1017" s="19" t="str">
        <f>IFERROR(__xludf.DUMMYFUNCTION("""COMPUTED_VALUE"""),"")</f>
        <v/>
      </c>
      <c r="C1017" s="5" t="str">
        <f>IFERROR(__xludf.DUMMYFUNCTION("""COMPUTED_VALUE"""),"")</f>
        <v/>
      </c>
      <c r="D1017" s="5" t="str">
        <f>IFERROR(__xludf.DUMMYFUNCTION("""COMPUTED_VALUE"""),"")</f>
        <v/>
      </c>
      <c r="E1017" s="5" t="str">
        <f>IFERROR(__xludf.DUMMYFUNCTION("""COMPUTED_VALUE"""),"")</f>
        <v/>
      </c>
      <c r="F1017" s="5" t="str">
        <f>IFERROR(__xludf.DUMMYFUNCTION("""COMPUTED_VALUE"""),"")</f>
        <v/>
      </c>
      <c r="G1017" s="19" t="str">
        <f>IFERROR(__xludf.DUMMYFUNCTION("""COMPUTED_VALUE"""),"")</f>
        <v/>
      </c>
      <c r="H1017" s="19" t="str">
        <f>IFERROR(__xludf.DUMMYFUNCTION("""COMPUTED_VALUE"""),"")</f>
        <v/>
      </c>
      <c r="I1017" s="62" t="str">
        <f>IFERROR(__xludf.DUMMYFUNCTION("""COMPUTED_VALUE"""),"")</f>
        <v/>
      </c>
      <c r="J1017" s="19" t="str">
        <f>IFERROR(__xludf.DUMMYFUNCTION("""COMPUTED_VALUE"""),"")</f>
        <v/>
      </c>
    </row>
    <row r="1018">
      <c r="A1018" s="19" t="str">
        <f>IFERROR(__xludf.DUMMYFUNCTION("""COMPUTED_VALUE"""),"")</f>
        <v/>
      </c>
      <c r="B1018" s="19" t="str">
        <f>IFERROR(__xludf.DUMMYFUNCTION("""COMPUTED_VALUE"""),"")</f>
        <v/>
      </c>
      <c r="C1018" s="5" t="str">
        <f>IFERROR(__xludf.DUMMYFUNCTION("""COMPUTED_VALUE"""),"")</f>
        <v/>
      </c>
      <c r="D1018" s="5" t="str">
        <f>IFERROR(__xludf.DUMMYFUNCTION("""COMPUTED_VALUE"""),"")</f>
        <v/>
      </c>
      <c r="E1018" s="5" t="str">
        <f>IFERROR(__xludf.DUMMYFUNCTION("""COMPUTED_VALUE"""),"")</f>
        <v/>
      </c>
      <c r="F1018" s="5" t="str">
        <f>IFERROR(__xludf.DUMMYFUNCTION("""COMPUTED_VALUE"""),"")</f>
        <v/>
      </c>
      <c r="G1018" s="19" t="str">
        <f>IFERROR(__xludf.DUMMYFUNCTION("""COMPUTED_VALUE"""),"")</f>
        <v/>
      </c>
      <c r="H1018" s="19" t="str">
        <f>IFERROR(__xludf.DUMMYFUNCTION("""COMPUTED_VALUE"""),"")</f>
        <v/>
      </c>
      <c r="I1018" s="62" t="str">
        <f>IFERROR(__xludf.DUMMYFUNCTION("""COMPUTED_VALUE"""),"")</f>
        <v/>
      </c>
      <c r="J1018" s="19" t="str">
        <f>IFERROR(__xludf.DUMMYFUNCTION("""COMPUTED_VALUE"""),"")</f>
        <v/>
      </c>
    </row>
    <row r="1019">
      <c r="A1019" s="19" t="str">
        <f>IFERROR(__xludf.DUMMYFUNCTION("""COMPUTED_VALUE"""),"Greg Cooper")</f>
        <v>Greg Cooper</v>
      </c>
      <c r="B1019" s="19" t="str">
        <f>IFERROR(__xludf.DUMMYFUNCTION("""COMPUTED_VALUE"""),"QLD")</f>
        <v>QLD</v>
      </c>
      <c r="C1019" s="5">
        <f>IFERROR(__xludf.DUMMYFUNCTION("""COMPUTED_VALUE"""),4157.0)</f>
        <v>4157</v>
      </c>
      <c r="D1019" s="5"/>
      <c r="E1019" s="63">
        <f>IFERROR(__xludf.DUMMYFUNCTION("""COMPUTED_VALUE"""),45852.389340277776)</f>
        <v>45852.38934</v>
      </c>
      <c r="F1019" s="5" t="str">
        <f>IFERROR(__xludf.DUMMYFUNCTION("""COMPUTED_VALUE"""),"Free")</f>
        <v>Free</v>
      </c>
      <c r="G1019" s="19" t="str">
        <f>IFERROR(__xludf.DUMMYFUNCTION("""COMPUTED_VALUE"""),"Instant Forms")</f>
        <v>Instant Forms</v>
      </c>
      <c r="H1019" s="19"/>
      <c r="I1019" s="62"/>
      <c r="J1019" s="19"/>
    </row>
    <row r="1020">
      <c r="A1020" s="19" t="str">
        <f>IFERROR(__xludf.DUMMYFUNCTION("""COMPUTED_VALUE"""),"")</f>
        <v/>
      </c>
      <c r="B1020" s="19" t="str">
        <f>IFERROR(__xludf.DUMMYFUNCTION("""COMPUTED_VALUE"""),"")</f>
        <v/>
      </c>
      <c r="C1020" s="5" t="str">
        <f>IFERROR(__xludf.DUMMYFUNCTION("""COMPUTED_VALUE"""),"")</f>
        <v/>
      </c>
      <c r="D1020" s="5" t="str">
        <f>IFERROR(__xludf.DUMMYFUNCTION("""COMPUTED_VALUE"""),"")</f>
        <v/>
      </c>
      <c r="E1020" s="5" t="str">
        <f>IFERROR(__xludf.DUMMYFUNCTION("""COMPUTED_VALUE"""),"")</f>
        <v/>
      </c>
      <c r="F1020" s="5" t="str">
        <f>IFERROR(__xludf.DUMMYFUNCTION("""COMPUTED_VALUE"""),"")</f>
        <v/>
      </c>
      <c r="G1020" s="19" t="str">
        <f>IFERROR(__xludf.DUMMYFUNCTION("""COMPUTED_VALUE"""),"")</f>
        <v/>
      </c>
      <c r="H1020" s="19" t="str">
        <f>IFERROR(__xludf.DUMMYFUNCTION("""COMPUTED_VALUE"""),"")</f>
        <v/>
      </c>
      <c r="I1020" s="62" t="str">
        <f>IFERROR(__xludf.DUMMYFUNCTION("""COMPUTED_VALUE"""),"")</f>
        <v/>
      </c>
      <c r="J1020" s="19" t="str">
        <f>IFERROR(__xludf.DUMMYFUNCTION("""COMPUTED_VALUE"""),"")</f>
        <v/>
      </c>
    </row>
    <row r="1021">
      <c r="A1021" s="19" t="str">
        <f>IFERROR(__xludf.DUMMYFUNCTION("""COMPUTED_VALUE"""),"")</f>
        <v/>
      </c>
      <c r="B1021" s="19" t="str">
        <f>IFERROR(__xludf.DUMMYFUNCTION("""COMPUTED_VALUE"""),"")</f>
        <v/>
      </c>
      <c r="C1021" s="5" t="str">
        <f>IFERROR(__xludf.DUMMYFUNCTION("""COMPUTED_VALUE"""),"")</f>
        <v/>
      </c>
      <c r="D1021" s="5" t="str">
        <f>IFERROR(__xludf.DUMMYFUNCTION("""COMPUTED_VALUE"""),"")</f>
        <v/>
      </c>
      <c r="E1021" s="5" t="str">
        <f>IFERROR(__xludf.DUMMYFUNCTION("""COMPUTED_VALUE"""),"")</f>
        <v/>
      </c>
      <c r="F1021" s="5" t="str">
        <f>IFERROR(__xludf.DUMMYFUNCTION("""COMPUTED_VALUE"""),"")</f>
        <v/>
      </c>
      <c r="G1021" s="19" t="str">
        <f>IFERROR(__xludf.DUMMYFUNCTION("""COMPUTED_VALUE"""),"")</f>
        <v/>
      </c>
      <c r="H1021" s="19" t="str">
        <f>IFERROR(__xludf.DUMMYFUNCTION("""COMPUTED_VALUE"""),"")</f>
        <v/>
      </c>
      <c r="I1021" s="62" t="str">
        <f>IFERROR(__xludf.DUMMYFUNCTION("""COMPUTED_VALUE"""),"")</f>
        <v/>
      </c>
      <c r="J1021" s="19" t="str">
        <f>IFERROR(__xludf.DUMMYFUNCTION("""COMPUTED_VALUE"""),"")</f>
        <v/>
      </c>
    </row>
    <row r="1022">
      <c r="A1022" s="19" t="str">
        <f>IFERROR(__xludf.DUMMYFUNCTION("""COMPUTED_VALUE"""),"Greg Parker")</f>
        <v>Greg Parker</v>
      </c>
      <c r="B1022" s="19" t="str">
        <f>IFERROR(__xludf.DUMMYFUNCTION("""COMPUTED_VALUE"""),"QLD")</f>
        <v>QLD</v>
      </c>
      <c r="C1022" s="5" t="str">
        <f>IFERROR(__xludf.DUMMYFUNCTION("""COMPUTED_VALUE"""),"Advancetown")</f>
        <v>Advancetown</v>
      </c>
      <c r="D1022" s="5" t="str">
        <f>IFERROR(__xludf.DUMMYFUNCTION("""COMPUTED_VALUE"""),"39 Whiptail Place Advancetown QLD 4211")</f>
        <v>39 Whiptail Place Advancetown QLD 4211</v>
      </c>
      <c r="E1022" s="25">
        <f>IFERROR(__xludf.DUMMYFUNCTION("""COMPUTED_VALUE"""),45891.0)</f>
        <v>45891</v>
      </c>
      <c r="F1022" s="5" t="str">
        <f>IFERROR(__xludf.DUMMYFUNCTION("""COMPUTED_VALUE"""),"Featured")</f>
        <v>Featured</v>
      </c>
      <c r="G1022" s="19" t="str">
        <f>IFERROR(__xludf.DUMMYFUNCTION("""COMPUTED_VALUE"""),"Instant Forms")</f>
        <v>Instant Forms</v>
      </c>
      <c r="H1022" s="19"/>
      <c r="I1022" s="62"/>
      <c r="J1022" s="19"/>
    </row>
    <row r="1023">
      <c r="A1023" s="19" t="str">
        <f>IFERROR(__xludf.DUMMYFUNCTION("""COMPUTED_VALUE"""),"Greg Parker")</f>
        <v>Greg Parker</v>
      </c>
      <c r="B1023" s="19" t="str">
        <f>IFERROR(__xludf.DUMMYFUNCTION("""COMPUTED_VALUE"""),"QLD")</f>
        <v>QLD</v>
      </c>
      <c r="C1023" s="5" t="str">
        <f>IFERROR(__xludf.DUMMYFUNCTION("""COMPUTED_VALUE"""),"Nerang")</f>
        <v>Nerang</v>
      </c>
      <c r="D1023" s="5"/>
      <c r="E1023" s="25">
        <f>IFERROR(__xludf.DUMMYFUNCTION("""COMPUTED_VALUE"""),45896.0)</f>
        <v>45896</v>
      </c>
      <c r="F1023" s="5" t="str">
        <f>IFERROR(__xludf.DUMMYFUNCTION("""COMPUTED_VALUE"""),"Free")</f>
        <v>Free</v>
      </c>
      <c r="G1023" s="19" t="str">
        <f>IFERROR(__xludf.DUMMYFUNCTION("""COMPUTED_VALUE"""),"Instant Forms")</f>
        <v>Instant Forms</v>
      </c>
      <c r="H1023" s="19"/>
      <c r="I1023" s="62"/>
      <c r="J1023" s="19"/>
    </row>
    <row r="1024">
      <c r="A1024" s="19" t="str">
        <f>IFERROR(__xludf.DUMMYFUNCTION("""COMPUTED_VALUE"""),"Greg Parker")</f>
        <v>Greg Parker</v>
      </c>
      <c r="B1024" s="19" t="str">
        <f>IFERROR(__xludf.DUMMYFUNCTION("""COMPUTED_VALUE"""),"QLD")</f>
        <v>QLD</v>
      </c>
      <c r="C1024" s="5" t="str">
        <f>IFERROR(__xludf.DUMMYFUNCTION("""COMPUTED_VALUE"""),"Carrara")</f>
        <v>Carrara</v>
      </c>
      <c r="D1024" s="5" t="str">
        <f>IFERROR(__xludf.DUMMYFUNCTION("""COMPUTED_VALUE"""),"13 Gregory Drive Carrara QLD 4211")</f>
        <v>13 Gregory Drive Carrara QLD 4211</v>
      </c>
      <c r="E1024" s="25">
        <f>IFERROR(__xludf.DUMMYFUNCTION("""COMPUTED_VALUE"""),45900.0)</f>
        <v>45900</v>
      </c>
      <c r="F1024" s="5" t="str">
        <f>IFERROR(__xludf.DUMMYFUNCTION("""COMPUTED_VALUE"""),"Featured")</f>
        <v>Featured</v>
      </c>
      <c r="G1024" s="19" t="str">
        <f>IFERROR(__xludf.DUMMYFUNCTION("""COMPUTED_VALUE"""),"Instant Forms")</f>
        <v>Instant Forms</v>
      </c>
      <c r="H1024" s="19"/>
      <c r="I1024" s="62"/>
      <c r="J1024" s="19"/>
    </row>
    <row r="1025">
      <c r="A1025" s="19" t="str">
        <f>IFERROR(__xludf.DUMMYFUNCTION("""COMPUTED_VALUE"""),"Greg Parker")</f>
        <v>Greg Parker</v>
      </c>
      <c r="B1025" s="19" t="str">
        <f>IFERROR(__xludf.DUMMYFUNCTION("""COMPUTED_VALUE"""),"QLD")</f>
        <v>QLD</v>
      </c>
      <c r="C1025" s="5" t="str">
        <f>IFERROR(__xludf.DUMMYFUNCTION("""COMPUTED_VALUE"""),"Benowa")</f>
        <v>Benowa</v>
      </c>
      <c r="D1025" s="5"/>
      <c r="E1025" s="25">
        <f>IFERROR(__xludf.DUMMYFUNCTION("""COMPUTED_VALUE"""),45901.0)</f>
        <v>45901</v>
      </c>
      <c r="F1025" s="5" t="str">
        <f>IFERROR(__xludf.DUMMYFUNCTION("""COMPUTED_VALUE"""),"Free")</f>
        <v>Free</v>
      </c>
      <c r="G1025" s="19" t="str">
        <f>IFERROR(__xludf.DUMMYFUNCTION("""COMPUTED_VALUE"""),"Instant Forms")</f>
        <v>Instant Forms</v>
      </c>
      <c r="H1025" s="19"/>
      <c r="I1025" s="62"/>
      <c r="J1025" s="19"/>
    </row>
    <row r="1026">
      <c r="A1026" s="19" t="str">
        <f>IFERROR(__xludf.DUMMYFUNCTION("""COMPUTED_VALUE"""),"Greg Parker")</f>
        <v>Greg Parker</v>
      </c>
      <c r="B1026" s="19" t="str">
        <f>IFERROR(__xludf.DUMMYFUNCTION("""COMPUTED_VALUE"""),"QLD")</f>
        <v>QLD</v>
      </c>
      <c r="C1026" s="5" t="str">
        <f>IFERROR(__xludf.DUMMYFUNCTION("""COMPUTED_VALUE"""),"Molendinar")</f>
        <v>Molendinar</v>
      </c>
      <c r="D1026" s="5" t="str">
        <f>IFERROR(__xludf.DUMMYFUNCTION("""COMPUTED_VALUE"""),"42 Mitchell Avenue Molendinar QLD 4214")</f>
        <v>42 Mitchell Avenue Molendinar QLD 4214</v>
      </c>
      <c r="E1026" s="25">
        <f>IFERROR(__xludf.DUMMYFUNCTION("""COMPUTED_VALUE"""),45903.0)</f>
        <v>45903</v>
      </c>
      <c r="F1026" s="5" t="str">
        <f>IFERROR(__xludf.DUMMYFUNCTION("""COMPUTED_VALUE"""),"Featured")</f>
        <v>Featured</v>
      </c>
      <c r="G1026" s="19" t="str">
        <f>IFERROR(__xludf.DUMMYFUNCTION("""COMPUTED_VALUE"""),"Instant Forms")</f>
        <v>Instant Forms</v>
      </c>
      <c r="H1026" s="19"/>
      <c r="I1026" s="62"/>
      <c r="J1026" s="19"/>
    </row>
    <row r="1027">
      <c r="A1027" s="19" t="str">
        <f>IFERROR(__xludf.DUMMYFUNCTION("""COMPUTED_VALUE"""),"Greg Parker")</f>
        <v>Greg Parker</v>
      </c>
      <c r="B1027" s="19" t="str">
        <f>IFERROR(__xludf.DUMMYFUNCTION("""COMPUTED_VALUE"""),"QLD")</f>
        <v>QLD</v>
      </c>
      <c r="C1027" s="5" t="str">
        <f>IFERROR(__xludf.DUMMYFUNCTION("""COMPUTED_VALUE"""),"Mudgeeraba")</f>
        <v>Mudgeeraba</v>
      </c>
      <c r="D1027" s="5" t="str">
        <f>IFERROR(__xludf.DUMMYFUNCTION("""COMPUTED_VALUE"""),"9 Soma Court Mudgeeraba QLD 4213")</f>
        <v>9 Soma Court Mudgeeraba QLD 4213</v>
      </c>
      <c r="E1027" s="25">
        <f>IFERROR(__xludf.DUMMYFUNCTION("""COMPUTED_VALUE"""),45905.0)</f>
        <v>45905</v>
      </c>
      <c r="F1027" s="5" t="str">
        <f>IFERROR(__xludf.DUMMYFUNCTION("""COMPUTED_VALUE"""),"Featured")</f>
        <v>Featured</v>
      </c>
      <c r="G1027" s="19" t="str">
        <f>IFERROR(__xludf.DUMMYFUNCTION("""COMPUTED_VALUE"""),"Instant Forms")</f>
        <v>Instant Forms</v>
      </c>
      <c r="H1027" s="19"/>
      <c r="I1027" s="62"/>
      <c r="J1027" s="19"/>
    </row>
    <row r="1028">
      <c r="A1028" s="19" t="str">
        <f>IFERROR(__xludf.DUMMYFUNCTION("""COMPUTED_VALUE"""),"Greg Parker")</f>
        <v>Greg Parker</v>
      </c>
      <c r="B1028" s="19" t="str">
        <f>IFERROR(__xludf.DUMMYFUNCTION("""COMPUTED_VALUE"""),"QLD")</f>
        <v>QLD</v>
      </c>
      <c r="C1028" s="5" t="str">
        <f>IFERROR(__xludf.DUMMYFUNCTION("""COMPUTED_VALUE"""),"Carrara")</f>
        <v>Carrara</v>
      </c>
      <c r="D1028" s="5" t="str">
        <f>IFERROR(__xludf.DUMMYFUNCTION("""COMPUTED_VALUE"""),"7 Mitchell Court Carrara QLD 4211")</f>
        <v>7 Mitchell Court Carrara QLD 4211</v>
      </c>
      <c r="E1028" s="25">
        <f>IFERROR(__xludf.DUMMYFUNCTION("""COMPUTED_VALUE"""),45908.0)</f>
        <v>45908</v>
      </c>
      <c r="F1028" s="5" t="str">
        <f>IFERROR(__xludf.DUMMYFUNCTION("""COMPUTED_VALUE"""),"Featured")</f>
        <v>Featured</v>
      </c>
      <c r="G1028" s="19" t="str">
        <f>IFERROR(__xludf.DUMMYFUNCTION("""COMPUTED_VALUE"""),"Instant Forms")</f>
        <v>Instant Forms</v>
      </c>
      <c r="H1028" s="19"/>
      <c r="I1028" s="62"/>
      <c r="J1028" s="19"/>
    </row>
    <row r="1029">
      <c r="A1029" s="19" t="str">
        <f>IFERROR(__xludf.DUMMYFUNCTION("""COMPUTED_VALUE"""),"Greg Parker")</f>
        <v>Greg Parker</v>
      </c>
      <c r="B1029" s="19" t="str">
        <f>IFERROR(__xludf.DUMMYFUNCTION("""COMPUTED_VALUE"""),"QLD")</f>
        <v>QLD</v>
      </c>
      <c r="C1029" s="5" t="str">
        <f>IFERROR(__xludf.DUMMYFUNCTION("""COMPUTED_VALUE"""),"Nerang")</f>
        <v>Nerang</v>
      </c>
      <c r="D1029" s="5" t="str">
        <f>IFERROR(__xludf.DUMMYFUNCTION("""COMPUTED_VALUE"""),"6 Nikau Crescent Nerang QLD 4211")</f>
        <v>6 Nikau Crescent Nerang QLD 4211</v>
      </c>
      <c r="E1029" s="25">
        <f>IFERROR(__xludf.DUMMYFUNCTION("""COMPUTED_VALUE"""),45909.0)</f>
        <v>45909</v>
      </c>
      <c r="F1029" s="5">
        <f>IFERROR(__xludf.DUMMYFUNCTION("""COMPUTED_VALUE"""),8.0)</f>
        <v>8</v>
      </c>
      <c r="G1029" s="19" t="str">
        <f>IFERROR(__xludf.DUMMYFUNCTION("""COMPUTED_VALUE"""),"Instant Forms")</f>
        <v>Instant Forms</v>
      </c>
      <c r="H1029" s="19" t="str">
        <f>IFERROR(__xludf.DUMMYFUNCTION("""COMPUTED_VALUE"""),"Robbie Ventura")</f>
        <v>Robbie Ventura</v>
      </c>
      <c r="I1029" s="62"/>
      <c r="J1029" s="19"/>
    </row>
    <row r="1030">
      <c r="A1030" s="19" t="str">
        <f>IFERROR(__xludf.DUMMYFUNCTION("""COMPUTED_VALUE"""),"Greg Parker")</f>
        <v>Greg Parker</v>
      </c>
      <c r="B1030" s="19" t="str">
        <f>IFERROR(__xludf.DUMMYFUNCTION("""COMPUTED_VALUE"""),"QLD")</f>
        <v>QLD</v>
      </c>
      <c r="C1030" s="5" t="str">
        <f>IFERROR(__xludf.DUMMYFUNCTION("""COMPUTED_VALUE"""),"Carrara")</f>
        <v>Carrara</v>
      </c>
      <c r="D1030" s="5" t="str">
        <f>IFERROR(__xludf.DUMMYFUNCTION("""COMPUTED_VALUE"""),"14/2 Pappas Way, Carrara, 4211")</f>
        <v>14/2 Pappas Way, Carrara, 4211</v>
      </c>
      <c r="E1030" s="5" t="str">
        <f>IFERROR(__xludf.DUMMYFUNCTION("""COMPUTED_VALUE"""),"22/09/2025")</f>
        <v>22/09/2025</v>
      </c>
      <c r="F1030" s="5" t="str">
        <f>IFERROR(__xludf.DUMMYFUNCTION("""COMPUTED_VALUE"""),"Featured")</f>
        <v>Featured</v>
      </c>
      <c r="G1030" s="19" t="str">
        <f>IFERROR(__xludf.DUMMYFUNCTION("""COMPUTED_VALUE"""),"Meta Commission Report")</f>
        <v>Meta Commission Report</v>
      </c>
      <c r="H1030" s="19" t="str">
        <f>IFERROR(__xludf.DUMMYFUNCTION("""COMPUTED_VALUE"""),"Scott Nolan")</f>
        <v>Scott Nolan</v>
      </c>
      <c r="I1030" s="62"/>
      <c r="J1030" s="19"/>
    </row>
    <row r="1031">
      <c r="A1031" s="19" t="str">
        <f>IFERROR(__xludf.DUMMYFUNCTION("""COMPUTED_VALUE"""),"Greg Parker")</f>
        <v>Greg Parker</v>
      </c>
      <c r="B1031" s="19" t="str">
        <f>IFERROR(__xludf.DUMMYFUNCTION("""COMPUTED_VALUE"""),"QLD")</f>
        <v>QLD</v>
      </c>
      <c r="C1031" s="5" t="str">
        <f>IFERROR(__xludf.DUMMYFUNCTION("""COMPUTED_VALUE"""),"Burleigh waters")</f>
        <v>Burleigh waters</v>
      </c>
      <c r="D1031" s="5" t="str">
        <f>IFERROR(__xludf.DUMMYFUNCTION("""COMPUTED_VALUE"""),"14 Whitehead Drive Burleigh Waters QLD 4220")</f>
        <v>14 Whitehead Drive Burleigh Waters QLD 4220</v>
      </c>
      <c r="E1031" s="25">
        <f>IFERROR(__xludf.DUMMYFUNCTION("""COMPUTED_VALUE"""),45938.0)</f>
        <v>45938</v>
      </c>
      <c r="F1031" s="5" t="str">
        <f>IFERROR(__xludf.DUMMYFUNCTION("""COMPUTED_VALUE"""),"Featured")</f>
        <v>Featured</v>
      </c>
      <c r="G1031" s="19" t="str">
        <f>IFERROR(__xludf.DUMMYFUNCTION("""COMPUTED_VALUE"""),"Commission Comparison")</f>
        <v>Commission Comparison</v>
      </c>
      <c r="H1031" s="19"/>
      <c r="I1031" s="62"/>
      <c r="J1031" s="19"/>
    </row>
    <row r="1032">
      <c r="A1032" s="19" t="str">
        <f>IFERROR(__xludf.DUMMYFUNCTION("""COMPUTED_VALUE"""),"Greg Parker")</f>
        <v>Greg Parker</v>
      </c>
      <c r="B1032" s="19" t="str">
        <f>IFERROR(__xludf.DUMMYFUNCTION("""COMPUTED_VALUE"""),"QLD")</f>
        <v>QLD</v>
      </c>
      <c r="C1032" s="5" t="str">
        <f>IFERROR(__xludf.DUMMYFUNCTION("""COMPUTED_VALUE"""),"Clagiraba")</f>
        <v>Clagiraba</v>
      </c>
      <c r="D1032" s="5" t="str">
        <f>IFERROR(__xludf.DUMMYFUNCTION("""COMPUTED_VALUE"""),"136 Henri Robert Drive Clagiraba QLD 4211")</f>
        <v>136 Henri Robert Drive Clagiraba QLD 4211</v>
      </c>
      <c r="E1032" s="25">
        <f>IFERROR(__xludf.DUMMYFUNCTION("""COMPUTED_VALUE"""),45943.0)</f>
        <v>45943</v>
      </c>
      <c r="F1032" s="5">
        <f>IFERROR(__xludf.DUMMYFUNCTION("""COMPUTED_VALUE"""),8.0)</f>
        <v>8</v>
      </c>
      <c r="G1032" s="19" t="str">
        <f>IFERROR(__xludf.DUMMYFUNCTION("""COMPUTED_VALUE"""),"Instant Forms")</f>
        <v>Instant Forms</v>
      </c>
      <c r="H1032" s="19"/>
      <c r="I1032" s="62"/>
      <c r="J1032" s="19"/>
    </row>
    <row r="1033">
      <c r="A1033" s="19" t="str">
        <f>IFERROR(__xludf.DUMMYFUNCTION("""COMPUTED_VALUE"""),"Greg Parker")</f>
        <v>Greg Parker</v>
      </c>
      <c r="B1033" s="19" t="str">
        <f>IFERROR(__xludf.DUMMYFUNCTION("""COMPUTED_VALUE"""),"QLD")</f>
        <v>QLD</v>
      </c>
      <c r="C1033" s="5" t="str">
        <f>IFERROR(__xludf.DUMMYFUNCTION("""COMPUTED_VALUE"""),"Nerang")</f>
        <v>Nerang</v>
      </c>
      <c r="D1033" s="5" t="str">
        <f>IFERROR(__xludf.DUMMYFUNCTION("""COMPUTED_VALUE"""),"298/64 Gilston Road Nerang QLD 4211")</f>
        <v>298/64 Gilston Road Nerang QLD 4211</v>
      </c>
      <c r="E1033" s="25" t="str">
        <f>IFERROR(__xludf.DUMMYFUNCTION("""COMPUTED_VALUE"""),"15/10/2025")</f>
        <v>15/10/2025</v>
      </c>
      <c r="F1033" s="5" t="str">
        <f>IFERROR(__xludf.DUMMYFUNCTION("""COMPUTED_VALUE"""),"Featured")</f>
        <v>Featured</v>
      </c>
      <c r="G1033" s="19" t="str">
        <f>IFERROR(__xludf.DUMMYFUNCTION("""COMPUTED_VALUE"""),"Meta Commission Report")</f>
        <v>Meta Commission Report</v>
      </c>
      <c r="H1033" s="19" t="str">
        <f>IFERROR(__xludf.DUMMYFUNCTION("""COMPUTED_VALUE"""),"Karmeille Mathes")</f>
        <v>Karmeille Mathes</v>
      </c>
      <c r="I1033" s="62"/>
      <c r="J1033" s="19"/>
    </row>
    <row r="1034">
      <c r="A1034" s="19" t="str">
        <f>IFERROR(__xludf.DUMMYFUNCTION("""COMPUTED_VALUE"""),"Greg Parker")</f>
        <v>Greg Parker</v>
      </c>
      <c r="B1034" s="19" t="str">
        <f>IFERROR(__xludf.DUMMYFUNCTION("""COMPUTED_VALUE"""),"QLD")</f>
        <v>QLD</v>
      </c>
      <c r="C1034" s="5" t="str">
        <f>IFERROR(__xludf.DUMMYFUNCTION("""COMPUTED_VALUE"""),"Nerang")</f>
        <v>Nerang</v>
      </c>
      <c r="D1034" s="5" t="str">
        <f>IFERROR(__xludf.DUMMYFUNCTION("""COMPUTED_VALUE"""),"298 / 64 Gilston Road, Nerang, QLD, 4211, Australia")</f>
        <v>298 / 64 Gilston Road, Nerang, QLD, 4211, Australia</v>
      </c>
      <c r="E1034" s="25" t="str">
        <f>IFERROR(__xludf.DUMMYFUNCTION("""COMPUTED_VALUE"""),"15/10/2025")</f>
        <v>15/10/2025</v>
      </c>
      <c r="F1034" s="5" t="str">
        <f>IFERROR(__xludf.DUMMYFUNCTION("""COMPUTED_VALUE"""),"Featured")</f>
        <v>Featured</v>
      </c>
      <c r="G1034" s="19"/>
      <c r="H1034" s="19"/>
      <c r="I1034" s="62"/>
      <c r="J1034" s="19"/>
    </row>
    <row r="1035">
      <c r="A1035" s="19" t="str">
        <f>IFERROR(__xludf.DUMMYFUNCTION("""COMPUTED_VALUE"""),"Greg Parker")</f>
        <v>Greg Parker</v>
      </c>
      <c r="B1035" s="19" t="str">
        <f>IFERROR(__xludf.DUMMYFUNCTION("""COMPUTED_VALUE"""),"QLD")</f>
        <v>QLD</v>
      </c>
      <c r="C1035" s="5" t="str">
        <f>IFERROR(__xludf.DUMMYFUNCTION("""COMPUTED_VALUE"""),"Carrara")</f>
        <v>Carrara</v>
      </c>
      <c r="D1035" s="5" t="str">
        <f>IFERROR(__xludf.DUMMYFUNCTION("""COMPUTED_VALUE"""),"14/2 Pappas Way, Carrara, 4211")</f>
        <v>14/2 Pappas Way, Carrara, 4211</v>
      </c>
      <c r="E1035" s="25" t="str">
        <f>IFERROR(__xludf.DUMMYFUNCTION("""COMPUTED_VALUE"""),"17/10/2025")</f>
        <v>17/10/2025</v>
      </c>
      <c r="F1035" s="5" t="str">
        <f>IFERROR(__xludf.DUMMYFUNCTION("""COMPUTED_VALUE"""),"Featured")</f>
        <v>Featured</v>
      </c>
      <c r="G1035" s="19" t="str">
        <f>IFERROR(__xludf.DUMMYFUNCTION("""COMPUTED_VALUE"""),"Meta Commission Report")</f>
        <v>Meta Commission Report</v>
      </c>
      <c r="H1035" s="19" t="str">
        <f>IFERROR(__xludf.DUMMYFUNCTION("""COMPUTED_VALUE"""),"Scott Nolan")</f>
        <v>Scott Nolan</v>
      </c>
      <c r="I1035" s="62"/>
      <c r="J1035" s="19"/>
    </row>
    <row r="1036">
      <c r="A1036" s="19" t="str">
        <f>IFERROR(__xludf.DUMMYFUNCTION("""COMPUTED_VALUE"""),"Greg Parker")</f>
        <v>Greg Parker</v>
      </c>
      <c r="B1036" s="19" t="str">
        <f>IFERROR(__xludf.DUMMYFUNCTION("""COMPUTED_VALUE"""),"QLD")</f>
        <v>QLD</v>
      </c>
      <c r="C1036" s="5" t="str">
        <f>IFERROR(__xludf.DUMMYFUNCTION("""COMPUTED_VALUE"""),"Merrimac")</f>
        <v>Merrimac</v>
      </c>
      <c r="D1036" s="5" t="str">
        <f>IFERROR(__xludf.DUMMYFUNCTION("""COMPUTED_VALUE"""),"29 Macadie Way Merrimac QLD 4226")</f>
        <v>29 Macadie Way Merrimac QLD 4226</v>
      </c>
      <c r="E1036" s="25">
        <f>IFERROR(__xludf.DUMMYFUNCTION("""COMPUTED_VALUE"""),45952.0)</f>
        <v>45952</v>
      </c>
      <c r="F1036" s="5">
        <f>IFERROR(__xludf.DUMMYFUNCTION("""COMPUTED_VALUE"""),6.0)</f>
        <v>6</v>
      </c>
      <c r="G1036" s="19" t="str">
        <f>IFERROR(__xludf.DUMMYFUNCTION("""COMPUTED_VALUE"""),"Instant Forms")</f>
        <v>Instant Forms</v>
      </c>
      <c r="H1036" s="19"/>
      <c r="I1036" s="62"/>
      <c r="J1036" s="19"/>
    </row>
    <row r="1037">
      <c r="A1037" s="19" t="str">
        <f>IFERROR(__xludf.DUMMYFUNCTION("""COMPUTED_VALUE"""),"Greg Parker")</f>
        <v>Greg Parker</v>
      </c>
      <c r="B1037" s="19" t="str">
        <f>IFERROR(__xludf.DUMMYFUNCTION("""COMPUTED_VALUE"""),"QLD")</f>
        <v>QLD</v>
      </c>
      <c r="C1037" s="5" t="str">
        <f>IFERROR(__xludf.DUMMYFUNCTION("""COMPUTED_VALUE"""),"Merrimac")</f>
        <v>Merrimac</v>
      </c>
      <c r="D1037" s="5" t="str">
        <f>IFERROR(__xludf.DUMMYFUNCTION("""COMPUTED_VALUE"""),"48/6-10 Bourton Road Merrimac QLD 4226")</f>
        <v>48/6-10 Bourton Road Merrimac QLD 4226</v>
      </c>
      <c r="E1037" s="25">
        <f>IFERROR(__xludf.DUMMYFUNCTION("""COMPUTED_VALUE"""),45955.0)</f>
        <v>45955</v>
      </c>
      <c r="F1037" s="5">
        <f>IFERROR(__xludf.DUMMYFUNCTION("""COMPUTED_VALUE"""),8.0)</f>
        <v>8</v>
      </c>
      <c r="G1037" s="19" t="str">
        <f>IFERROR(__xludf.DUMMYFUNCTION("""COMPUTED_VALUE"""),"Instant Forms")</f>
        <v>Instant Forms</v>
      </c>
      <c r="H1037" s="19"/>
      <c r="I1037" s="62"/>
      <c r="J1037" s="19"/>
    </row>
    <row r="1038">
      <c r="A1038" s="19" t="str">
        <f>IFERROR(__xludf.DUMMYFUNCTION("""COMPUTED_VALUE"""),"Greg Parker")</f>
        <v>Greg Parker</v>
      </c>
      <c r="B1038" s="19" t="str">
        <f>IFERROR(__xludf.DUMMYFUNCTION("""COMPUTED_VALUE"""),"QLD")</f>
        <v>QLD</v>
      </c>
      <c r="C1038" s="5" t="str">
        <f>IFERROR(__xludf.DUMMYFUNCTION("""COMPUTED_VALUE"""),"Highland Park")</f>
        <v>Highland Park</v>
      </c>
      <c r="D1038" s="5" t="str">
        <f>IFERROR(__xludf.DUMMYFUNCTION("""COMPUTED_VALUE"""),"2/45 Alexander Drive, highland Park, 4211")</f>
        <v>2/45 Alexander Drive, highland Park, 4211</v>
      </c>
      <c r="E1038" s="27">
        <f>IFERROR(__xludf.DUMMYFUNCTION("""COMPUTED_VALUE"""),45699.0)</f>
        <v>45699</v>
      </c>
      <c r="F1038" s="5" t="str">
        <f>IFERROR(__xludf.DUMMYFUNCTION("""COMPUTED_VALUE"""),"Featured")</f>
        <v>Featured</v>
      </c>
      <c r="G1038" s="19" t="str">
        <f>IFERROR(__xludf.DUMMYFUNCTION("""COMPUTED_VALUE"""),"Meta Commission Report")</f>
        <v>Meta Commission Report</v>
      </c>
      <c r="H1038" s="19" t="str">
        <f>IFERROR(__xludf.DUMMYFUNCTION("""COMPUTED_VALUE"""),"Mary E Mitchell")</f>
        <v>Mary E Mitchell</v>
      </c>
      <c r="I1038" s="62"/>
      <c r="J1038" s="19"/>
    </row>
    <row r="1039">
      <c r="A1039" s="19" t="str">
        <f>IFERROR(__xludf.DUMMYFUNCTION("""COMPUTED_VALUE"""),"Greg Parker")</f>
        <v>Greg Parker</v>
      </c>
      <c r="B1039" s="19" t="str">
        <f>IFERROR(__xludf.DUMMYFUNCTION("""COMPUTED_VALUE"""),"QLD")</f>
        <v>QLD</v>
      </c>
      <c r="C1039" s="5" t="str">
        <f>IFERROR(__xludf.DUMMYFUNCTION("""COMPUTED_VALUE"""),"Highland Park")</f>
        <v>Highland Park</v>
      </c>
      <c r="D1039" s="5" t="str">
        <f>IFERROR(__xludf.DUMMYFUNCTION("""COMPUTED_VALUE"""),"2/45 Alexander Drive, Highland Park, 4211")</f>
        <v>2/45 Alexander Drive, Highland Park, 4211</v>
      </c>
      <c r="E1039" s="27">
        <f>IFERROR(__xludf.DUMMYFUNCTION("""COMPUTED_VALUE"""),45699.0)</f>
        <v>45699</v>
      </c>
      <c r="F1039" s="5" t="str">
        <f>IFERROR(__xludf.DUMMYFUNCTION("""COMPUTED_VALUE"""),"Featured")</f>
        <v>Featured</v>
      </c>
      <c r="G1039" s="19" t="str">
        <f>IFERROR(__xludf.DUMMYFUNCTION("""COMPUTED_VALUE"""),"Meta Commission Report")</f>
        <v>Meta Commission Report</v>
      </c>
      <c r="H1039" s="19" t="str">
        <f>IFERROR(__xludf.DUMMYFUNCTION("""COMPUTED_VALUE"""),"Mary E Mitchell")</f>
        <v>Mary E Mitchell</v>
      </c>
      <c r="I1039" s="62"/>
      <c r="J1039" s="19"/>
    </row>
    <row r="1040">
      <c r="A1040" s="19" t="str">
        <f>IFERROR(__xludf.DUMMYFUNCTION("""COMPUTED_VALUE"""),"Greg Parker")</f>
        <v>Greg Parker</v>
      </c>
      <c r="B1040" s="19" t="str">
        <f>IFERROR(__xludf.DUMMYFUNCTION("""COMPUTED_VALUE"""),"QLD")</f>
        <v>QLD</v>
      </c>
      <c r="C1040" s="5" t="str">
        <f>IFERROR(__xludf.DUMMYFUNCTION("""COMPUTED_VALUE"""),"Tallai")</f>
        <v>Tallai</v>
      </c>
      <c r="D1040" s="5" t="str">
        <f>IFERROR(__xludf.DUMMYFUNCTION("""COMPUTED_VALUE"""),"13 Earle Court Tallai QLD 4213")</f>
        <v>13 Earle Court Tallai QLD 4213</v>
      </c>
      <c r="E1040" s="25">
        <f>IFERROR(__xludf.DUMMYFUNCTION("""COMPUTED_VALUE"""),45966.0)</f>
        <v>45966</v>
      </c>
      <c r="F1040" s="5">
        <f>IFERROR(__xludf.DUMMYFUNCTION("""COMPUTED_VALUE"""),8.0)</f>
        <v>8</v>
      </c>
      <c r="G1040" s="19" t="str">
        <f>IFERROR(__xludf.DUMMYFUNCTION("""COMPUTED_VALUE"""),"Instant Forms")</f>
        <v>Instant Forms</v>
      </c>
      <c r="H1040" s="19" t="str">
        <f>IFERROR(__xludf.DUMMYFUNCTION("""COMPUTED_VALUE"""),"Scott Hallam")</f>
        <v>Scott Hallam</v>
      </c>
      <c r="I1040" s="62">
        <f>IFERROR(__xludf.DUMMYFUNCTION("""COMPUTED_VALUE"""),6.1493303978E10)</f>
        <v>61493303978</v>
      </c>
      <c r="J1040" s="19" t="str">
        <f>IFERROR(__xludf.DUMMYFUNCTION("""COMPUTED_VALUE"""),"Scotthallam71@gmail.com")</f>
        <v>Scotthallam71@gmail.com</v>
      </c>
    </row>
    <row r="1041">
      <c r="A1041" s="19" t="str">
        <f>IFERROR(__xludf.DUMMYFUNCTION("""COMPUTED_VALUE"""),"Greg Parker")</f>
        <v>Greg Parker</v>
      </c>
      <c r="B1041" s="19" t="str">
        <f>IFERROR(__xludf.DUMMYFUNCTION("""COMPUTED_VALUE"""),"QLD")</f>
        <v>QLD</v>
      </c>
      <c r="C1041" s="5" t="str">
        <f>IFERROR(__xludf.DUMMYFUNCTION("""COMPUTED_VALUE"""),"Worongary")</f>
        <v>Worongary</v>
      </c>
      <c r="D1041" s="5" t="str">
        <f>IFERROR(__xludf.DUMMYFUNCTION("""COMPUTED_VALUE"""),"15 Grosvenor Court Worongary QLD 4213")</f>
        <v>15 Grosvenor Court Worongary QLD 4213</v>
      </c>
      <c r="E1041" s="25">
        <f>IFERROR(__xludf.DUMMYFUNCTION("""COMPUTED_VALUE"""),45968.0)</f>
        <v>45968</v>
      </c>
      <c r="F1041" s="5">
        <f>IFERROR(__xludf.DUMMYFUNCTION("""COMPUTED_VALUE"""),8.0)</f>
        <v>8</v>
      </c>
      <c r="G1041" s="19" t="str">
        <f>IFERROR(__xludf.DUMMYFUNCTION("""COMPUTED_VALUE"""),"Instant Forms")</f>
        <v>Instant Forms</v>
      </c>
      <c r="H1041" s="19" t="str">
        <f>IFERROR(__xludf.DUMMYFUNCTION("""COMPUTED_VALUE"""),"Loryn McMeekin")</f>
        <v>Loryn McMeekin</v>
      </c>
      <c r="I1041" s="62">
        <f>IFERROR(__xludf.DUMMYFUNCTION("""COMPUTED_VALUE"""),6.1426264808E10)</f>
        <v>61426264808</v>
      </c>
      <c r="J1041" s="19" t="str">
        <f>IFERROR(__xludf.DUMMYFUNCTION("""COMPUTED_VALUE"""),"lorynhilliard@hotmail.com")</f>
        <v>lorynhilliard@hotmail.com</v>
      </c>
    </row>
    <row r="1042">
      <c r="A1042" s="19" t="str">
        <f>IFERROR(__xludf.DUMMYFUNCTION("""COMPUTED_VALUE"""),"Greg Parker")</f>
        <v>Greg Parker</v>
      </c>
      <c r="B1042" s="19" t="str">
        <f>IFERROR(__xludf.DUMMYFUNCTION("""COMPUTED_VALUE"""),"QLD")</f>
        <v>QLD</v>
      </c>
      <c r="C1042" s="5" t="str">
        <f>IFERROR(__xludf.DUMMYFUNCTION("""COMPUTED_VALUE"""),"Mudgeeraba")</f>
        <v>Mudgeeraba</v>
      </c>
      <c r="D1042" s="5" t="str">
        <f>IFERROR(__xludf.DUMMYFUNCTION("""COMPUTED_VALUE"""),"36 Pinetree Court Mudgeeraba QLD 4213")</f>
        <v>36 Pinetree Court Mudgeeraba QLD 4213</v>
      </c>
      <c r="E1042" s="25">
        <f>IFERROR(__xludf.DUMMYFUNCTION("""COMPUTED_VALUE"""),45974.0)</f>
        <v>45974</v>
      </c>
      <c r="F1042" s="5">
        <f>IFERROR(__xludf.DUMMYFUNCTION("""COMPUTED_VALUE"""),9.0)</f>
        <v>9</v>
      </c>
      <c r="G1042" s="19" t="str">
        <f>IFERROR(__xludf.DUMMYFUNCTION("""COMPUTED_VALUE"""),"Instant Forms")</f>
        <v>Instant Forms</v>
      </c>
      <c r="H1042" s="19" t="str">
        <f>IFERROR(__xludf.DUMMYFUNCTION("""COMPUTED_VALUE"""),"Simone Skrobar")</f>
        <v>Simone Skrobar</v>
      </c>
      <c r="I1042" s="62">
        <f>IFERROR(__xludf.DUMMYFUNCTION("""COMPUTED_VALUE"""),6.14073039E10)</f>
        <v>61407303900</v>
      </c>
      <c r="J1042" s="19" t="str">
        <f>IFERROR(__xludf.DUMMYFUNCTION("""COMPUTED_VALUE"""),"ssdali@gmail.com")</f>
        <v>ssdali@gmail.com</v>
      </c>
    </row>
    <row r="1043">
      <c r="A1043" s="19" t="str">
        <f>IFERROR(__xludf.DUMMYFUNCTION("""COMPUTED_VALUE"""),"Greg Parker")</f>
        <v>Greg Parker</v>
      </c>
      <c r="B1043" s="19" t="str">
        <f>IFERROR(__xludf.DUMMYFUNCTION("""COMPUTED_VALUE"""),"QLD")</f>
        <v>QLD</v>
      </c>
      <c r="C1043" s="5" t="str">
        <f>IFERROR(__xludf.DUMMYFUNCTION("""COMPUTED_VALUE"""),"Broadbeach")</f>
        <v>Broadbeach</v>
      </c>
      <c r="D1043" s="5" t="str">
        <f>IFERROR(__xludf.DUMMYFUNCTION("""COMPUTED_VALUE"""),"67 River Crescent Broadbeach Waters QLD 4218")</f>
        <v>67 River Crescent Broadbeach Waters QLD 4218</v>
      </c>
      <c r="E1043" s="5" t="str">
        <f>IFERROR(__xludf.DUMMYFUNCTION("""COMPUTED_VALUE"""),"26/11/2025")</f>
        <v>26/11/2025</v>
      </c>
      <c r="F1043" s="5">
        <f>IFERROR(__xludf.DUMMYFUNCTION("""COMPUTED_VALUE"""),8.0)</f>
        <v>8</v>
      </c>
      <c r="G1043" s="19" t="str">
        <f>IFERROR(__xludf.DUMMYFUNCTION("""COMPUTED_VALUE"""),"Instant Forms")</f>
        <v>Instant Forms</v>
      </c>
      <c r="H1043" s="19" t="str">
        <f>IFERROR(__xludf.DUMMYFUNCTION("""COMPUTED_VALUE"""),"Fiona Stenton")</f>
        <v>Fiona Stenton</v>
      </c>
      <c r="I1043" s="62">
        <f>IFERROR(__xludf.DUMMYFUNCTION("""COMPUTED_VALUE"""),6.1409484095E10)</f>
        <v>61409484095</v>
      </c>
      <c r="J1043" s="19" t="str">
        <f>IFERROR(__xludf.DUMMYFUNCTION("""COMPUTED_VALUE"""),"fstenton@hotmail.com")</f>
        <v>fstenton@hotmail.com</v>
      </c>
    </row>
    <row r="1044">
      <c r="A1044" s="19" t="str">
        <f>IFERROR(__xludf.DUMMYFUNCTION("""COMPUTED_VALUE"""),"Greg Parker")</f>
        <v>Greg Parker</v>
      </c>
      <c r="B1044" s="19" t="str">
        <f>IFERROR(__xludf.DUMMYFUNCTION("""COMPUTED_VALUE"""),"QLD")</f>
        <v>QLD</v>
      </c>
      <c r="C1044" s="5" t="str">
        <f>IFERROR(__xludf.DUMMYFUNCTION("""COMPUTED_VALUE"""),"Broadbeach Waters")</f>
        <v>Broadbeach Waters</v>
      </c>
      <c r="D1044" s="5" t="str">
        <f>IFERROR(__xludf.DUMMYFUNCTION("""COMPUTED_VALUE"""),"67 River Cres")</f>
        <v>67 River Cres</v>
      </c>
      <c r="E1044" s="5" t="str">
        <f>IFERROR(__xludf.DUMMYFUNCTION("""COMPUTED_VALUE"""),"26/11/2025")</f>
        <v>26/11/2025</v>
      </c>
      <c r="F1044" s="5" t="str">
        <f>IFERROR(__xludf.DUMMYFUNCTION("""COMPUTED_VALUE"""),"Featured")</f>
        <v>Featured</v>
      </c>
      <c r="G1044" s="19" t="str">
        <f>IFERROR(__xludf.DUMMYFUNCTION("""COMPUTED_VALUE"""),"Commission Comparison")</f>
        <v>Commission Comparison</v>
      </c>
      <c r="H1044" s="19" t="str">
        <f>IFERROR(__xludf.DUMMYFUNCTION("""COMPUTED_VALUE"""),"Fiona Stenton")</f>
        <v>Fiona Stenton</v>
      </c>
      <c r="I1044" s="62">
        <f>IFERROR(__xludf.DUMMYFUNCTION("""COMPUTED_VALUE"""),6.1409484095E10)</f>
        <v>61409484095</v>
      </c>
      <c r="J1044" s="19" t="str">
        <f>IFERROR(__xludf.DUMMYFUNCTION("""COMPUTED_VALUE"""),"fstenton@hotmail.com")</f>
        <v>fstenton@hotmail.com</v>
      </c>
    </row>
    <row r="1045">
      <c r="A1045" s="19" t="str">
        <f>IFERROR(__xludf.DUMMYFUNCTION("""COMPUTED_VALUE"""),"Greg Parker")</f>
        <v>Greg Parker</v>
      </c>
      <c r="B1045" s="19" t="str">
        <f>IFERROR(__xludf.DUMMYFUNCTION("""COMPUTED_VALUE"""),"QLD")</f>
        <v>QLD</v>
      </c>
      <c r="C1045" s="5" t="str">
        <f>IFERROR(__xludf.DUMMYFUNCTION("""COMPUTED_VALUE"""),"Nerang")</f>
        <v>Nerang</v>
      </c>
      <c r="D1045" s="5" t="str">
        <f>IFERROR(__xludf.DUMMYFUNCTION("""COMPUTED_VALUE"""),"41 Teasdale Drive Nerang QLD 4211")</f>
        <v>41 Teasdale Drive Nerang QLD 4211</v>
      </c>
      <c r="E1045" s="5" t="str">
        <f>IFERROR(__xludf.DUMMYFUNCTION("""COMPUTED_VALUE"""),"27/11/2025")</f>
        <v>27/11/2025</v>
      </c>
      <c r="F1045" s="64">
        <f>IFERROR(__xludf.DUMMYFUNCTION("""COMPUTED_VALUE"""),0.2)</f>
        <v>0.2</v>
      </c>
      <c r="G1045" s="19" t="str">
        <f>IFERROR(__xludf.DUMMYFUNCTION("""COMPUTED_VALUE"""),"Instant Forms")</f>
        <v>Instant Forms</v>
      </c>
      <c r="H1045" s="19" t="str">
        <f>IFERROR(__xludf.DUMMYFUNCTION("""COMPUTED_VALUE"""),"Pete Van Loon")</f>
        <v>Pete Van Loon</v>
      </c>
      <c r="I1045" s="62">
        <f>IFERROR(__xludf.DUMMYFUNCTION("""COMPUTED_VALUE"""),6.1439226483E10)</f>
        <v>61439226483</v>
      </c>
      <c r="J1045" s="19" t="str">
        <f>IFERROR(__xludf.DUMMYFUNCTION("""COMPUTED_VALUE"""),"pvanloon@goldcoast.qld.gov.au")</f>
        <v>pvanloon@goldcoast.qld.gov.au</v>
      </c>
    </row>
    <row r="1046">
      <c r="A1046" s="19" t="str">
        <f>IFERROR(__xludf.DUMMYFUNCTION("""COMPUTED_VALUE"""),"Greg Parker")</f>
        <v>Greg Parker</v>
      </c>
      <c r="B1046" s="19" t="str">
        <f>IFERROR(__xludf.DUMMYFUNCTION("""COMPUTED_VALUE"""),"QLD")</f>
        <v>QLD</v>
      </c>
      <c r="C1046" s="5" t="str">
        <f>IFERROR(__xludf.DUMMYFUNCTION("""COMPUTED_VALUE"""),"Mudgeeraba")</f>
        <v>Mudgeeraba</v>
      </c>
      <c r="D1046" s="5" t="str">
        <f>IFERROR(__xludf.DUMMYFUNCTION("""COMPUTED_VALUE"""),"11 Milky Way, Mudgeeraba, QLD, 4213, Australia")</f>
        <v>11 Milky Way, Mudgeeraba, QLD, 4213, Australia</v>
      </c>
      <c r="E1046" s="27">
        <f>IFERROR(__xludf.DUMMYFUNCTION("""COMPUTED_VALUE"""),45669.0)</f>
        <v>45669</v>
      </c>
      <c r="F1046" s="64">
        <f>IFERROR(__xludf.DUMMYFUNCTION("""COMPUTED_VALUE"""),0.2)</f>
        <v>0.2</v>
      </c>
      <c r="G1046" s="19" t="str">
        <f>IFERROR(__xludf.DUMMYFUNCTION("""COMPUTED_VALUE"""),"Commission Comparison")</f>
        <v>Commission Comparison</v>
      </c>
      <c r="H1046" s="19" t="str">
        <f>IFERROR(__xludf.DUMMYFUNCTION("""COMPUTED_VALUE"""),"Shireen Blakeway-Smith")</f>
        <v>Shireen Blakeway-Smith</v>
      </c>
      <c r="I1046" s="62">
        <f>IFERROR(__xludf.DUMMYFUNCTION("""COMPUTED_VALUE"""),6.140360304E10)</f>
        <v>61403603040</v>
      </c>
      <c r="J1046" s="19" t="str">
        <f>IFERROR(__xludf.DUMMYFUNCTION("""COMPUTED_VALUE"""),"shireenblakeway@yahoo.com")</f>
        <v>shireenblakeway@yahoo.com</v>
      </c>
    </row>
    <row r="1047">
      <c r="A1047" s="19" t="str">
        <f>IFERROR(__xludf.DUMMYFUNCTION("""COMPUTED_VALUE"""),"Greg Parker")</f>
        <v>Greg Parker</v>
      </c>
      <c r="B1047" s="19" t="str">
        <f>IFERROR(__xludf.DUMMYFUNCTION("""COMPUTED_VALUE"""),"QLD")</f>
        <v>QLD</v>
      </c>
      <c r="C1047" s="5" t="str">
        <f>IFERROR(__xludf.DUMMYFUNCTION("""COMPUTED_VALUE"""),"Tallai")</f>
        <v>Tallai</v>
      </c>
      <c r="D1047" s="5" t="str">
        <f>IFERROR(__xludf.DUMMYFUNCTION("""COMPUTED_VALUE"""),"1&amp;2/22 Baileys Road Tallai QLD 4213")</f>
        <v>1&amp;2/22 Baileys Road Tallai QLD 4213</v>
      </c>
      <c r="E1047" s="27">
        <f>IFERROR(__xludf.DUMMYFUNCTION("""COMPUTED_VALUE"""),45669.0)</f>
        <v>45669</v>
      </c>
      <c r="F1047" s="64">
        <f>IFERROR(__xludf.DUMMYFUNCTION("""COMPUTED_VALUE"""),0.2)</f>
        <v>0.2</v>
      </c>
      <c r="G1047" s="19" t="str">
        <f>IFERROR(__xludf.DUMMYFUNCTION("""COMPUTED_VALUE"""),"Instant Forms")</f>
        <v>Instant Forms</v>
      </c>
      <c r="H1047" s="19" t="str">
        <f>IFERROR(__xludf.DUMMYFUNCTION("""COMPUTED_VALUE"""),"Steve Halford-Smith")</f>
        <v>Steve Halford-Smith</v>
      </c>
      <c r="I1047" s="62">
        <f>IFERROR(__xludf.DUMMYFUNCTION("""COMPUTED_VALUE"""),6.1408155447E10)</f>
        <v>61408155447</v>
      </c>
      <c r="J1047" s="19" t="str">
        <f>IFERROR(__xludf.DUMMYFUNCTION("""COMPUTED_VALUE"""),"mlspty@outlook.com")</f>
        <v>mlspty@outlook.com</v>
      </c>
    </row>
    <row r="1048">
      <c r="A1048" s="19" t="str">
        <f>IFERROR(__xludf.DUMMYFUNCTION("""COMPUTED_VALUE"""),"Greg Parker")</f>
        <v>Greg Parker</v>
      </c>
      <c r="B1048" s="19" t="str">
        <f>IFERROR(__xludf.DUMMYFUNCTION("""COMPUTED_VALUE"""),"QLD")</f>
        <v>QLD</v>
      </c>
      <c r="C1048" s="5" t="str">
        <f>IFERROR(__xludf.DUMMYFUNCTION("""COMPUTED_VALUE"""),"Merrimac")</f>
        <v>Merrimac</v>
      </c>
      <c r="D1048" s="5" t="str">
        <f>IFERROR(__xludf.DUMMYFUNCTION("""COMPUTED_VALUE"""),"25 County Lane Merrimac QLD 4226")</f>
        <v>25 County Lane Merrimac QLD 4226</v>
      </c>
      <c r="E1048" s="27">
        <f>IFERROR(__xludf.DUMMYFUNCTION("""COMPUTED_VALUE"""),45669.0)</f>
        <v>45669</v>
      </c>
      <c r="F1048" s="64">
        <f>IFERROR(__xludf.DUMMYFUNCTION("""COMPUTED_VALUE"""),0.2)</f>
        <v>0.2</v>
      </c>
      <c r="G1048" s="19" t="str">
        <f>IFERROR(__xludf.DUMMYFUNCTION("""COMPUTED_VALUE"""),"Instant Forms")</f>
        <v>Instant Forms</v>
      </c>
      <c r="H1048" s="19" t="str">
        <f>IFERROR(__xludf.DUMMYFUNCTION("""COMPUTED_VALUE"""),"Mary Galagher")</f>
        <v>Mary Galagher</v>
      </c>
      <c r="I1048" s="62">
        <f>IFERROR(__xludf.DUMMYFUNCTION("""COMPUTED_VALUE"""),6.1490028561E10)</f>
        <v>61490028561</v>
      </c>
      <c r="J1048" s="19" t="str">
        <f>IFERROR(__xludf.DUMMYFUNCTION("""COMPUTED_VALUE"""),"mgalagher@gmail.com")</f>
        <v>mgalagher@gmail.com</v>
      </c>
    </row>
    <row r="1049">
      <c r="A1049" s="19" t="str">
        <f>IFERROR(__xludf.DUMMYFUNCTION("""COMPUTED_VALUE"""),"")</f>
        <v/>
      </c>
      <c r="B1049" s="19" t="str">
        <f>IFERROR(__xludf.DUMMYFUNCTION("""COMPUTED_VALUE"""),"")</f>
        <v/>
      </c>
      <c r="C1049" s="5" t="str">
        <f>IFERROR(__xludf.DUMMYFUNCTION("""COMPUTED_VALUE"""),"")</f>
        <v/>
      </c>
      <c r="D1049" s="5" t="str">
        <f>IFERROR(__xludf.DUMMYFUNCTION("""COMPUTED_VALUE"""),"")</f>
        <v/>
      </c>
      <c r="E1049" s="5" t="str">
        <f>IFERROR(__xludf.DUMMYFUNCTION("""COMPUTED_VALUE"""),"")</f>
        <v/>
      </c>
      <c r="F1049" s="5" t="str">
        <f>IFERROR(__xludf.DUMMYFUNCTION("""COMPUTED_VALUE"""),"")</f>
        <v/>
      </c>
      <c r="G1049" s="19" t="str">
        <f>IFERROR(__xludf.DUMMYFUNCTION("""COMPUTED_VALUE"""),"")</f>
        <v/>
      </c>
      <c r="H1049" s="19" t="str">
        <f>IFERROR(__xludf.DUMMYFUNCTION("""COMPUTED_VALUE"""),"")</f>
        <v/>
      </c>
      <c r="I1049" s="62" t="str">
        <f>IFERROR(__xludf.DUMMYFUNCTION("""COMPUTED_VALUE"""),"")</f>
        <v/>
      </c>
      <c r="J1049" s="19" t="str">
        <f>IFERROR(__xludf.DUMMYFUNCTION("""COMPUTED_VALUE"""),"")</f>
        <v/>
      </c>
    </row>
    <row r="1050">
      <c r="A1050" s="19" t="str">
        <f>IFERROR(__xludf.DUMMYFUNCTION("""COMPUTED_VALUE"""),"")</f>
        <v/>
      </c>
      <c r="B1050" s="19" t="str">
        <f>IFERROR(__xludf.DUMMYFUNCTION("""COMPUTED_VALUE"""),"")</f>
        <v/>
      </c>
      <c r="C1050" s="5" t="str">
        <f>IFERROR(__xludf.DUMMYFUNCTION("""COMPUTED_VALUE"""),"")</f>
        <v/>
      </c>
      <c r="D1050" s="5" t="str">
        <f>IFERROR(__xludf.DUMMYFUNCTION("""COMPUTED_VALUE"""),"")</f>
        <v/>
      </c>
      <c r="E1050" s="5" t="str">
        <f>IFERROR(__xludf.DUMMYFUNCTION("""COMPUTED_VALUE"""),"")</f>
        <v/>
      </c>
      <c r="F1050" s="5" t="str">
        <f>IFERROR(__xludf.DUMMYFUNCTION("""COMPUTED_VALUE"""),"")</f>
        <v/>
      </c>
      <c r="G1050" s="19" t="str">
        <f>IFERROR(__xludf.DUMMYFUNCTION("""COMPUTED_VALUE"""),"")</f>
        <v/>
      </c>
      <c r="H1050" s="19" t="str">
        <f>IFERROR(__xludf.DUMMYFUNCTION("""COMPUTED_VALUE"""),"")</f>
        <v/>
      </c>
      <c r="I1050" s="62" t="str">
        <f>IFERROR(__xludf.DUMMYFUNCTION("""COMPUTED_VALUE"""),"")</f>
        <v/>
      </c>
      <c r="J1050" s="19" t="str">
        <f>IFERROR(__xludf.DUMMYFUNCTION("""COMPUTED_VALUE"""),"")</f>
        <v/>
      </c>
    </row>
    <row r="1051">
      <c r="A1051" s="19" t="str">
        <f>IFERROR(__xludf.DUMMYFUNCTION("""COMPUTED_VALUE"""),"Hayley Kidson")</f>
        <v>Hayley Kidson</v>
      </c>
      <c r="B1051" s="19" t="str">
        <f>IFERROR(__xludf.DUMMYFUNCTION("""COMPUTED_VALUE"""),"QLD")</f>
        <v>QLD</v>
      </c>
      <c r="C1051" s="5" t="str">
        <f>IFERROR(__xludf.DUMMYFUNCTION("""COMPUTED_VALUE"""),"Tallebudgera")</f>
        <v>Tallebudgera</v>
      </c>
      <c r="D1051" s="5" t="str">
        <f>IFERROR(__xludf.DUMMYFUNCTION("""COMPUTED_VALUE"""),"2 Tyalla Court, Tallebudgera, QLD, 4228, Australia")</f>
        <v>2 Tyalla Court, Tallebudgera, QLD, 4228, Australia</v>
      </c>
      <c r="E1051" s="25">
        <f>IFERROR(__xludf.DUMMYFUNCTION("""COMPUTED_VALUE"""),45881.0)</f>
        <v>45881</v>
      </c>
      <c r="F1051" s="5" t="str">
        <f>IFERROR(__xludf.DUMMYFUNCTION("""COMPUTED_VALUE"""),"Featured")</f>
        <v>Featured</v>
      </c>
      <c r="G1051" s="19" t="str">
        <f>IFERROR(__xludf.DUMMYFUNCTION("""COMPUTED_VALUE"""),"Commission Comparison")</f>
        <v>Commission Comparison</v>
      </c>
      <c r="H1051" s="19"/>
      <c r="I1051" s="62"/>
      <c r="J1051" s="19"/>
    </row>
    <row r="1052">
      <c r="A1052" s="19" t="str">
        <f>IFERROR(__xludf.DUMMYFUNCTION("""COMPUTED_VALUE"""),"")</f>
        <v/>
      </c>
      <c r="B1052" s="19" t="str">
        <f>IFERROR(__xludf.DUMMYFUNCTION("""COMPUTED_VALUE"""),"")</f>
        <v/>
      </c>
      <c r="C1052" s="5" t="str">
        <f>IFERROR(__xludf.DUMMYFUNCTION("""COMPUTED_VALUE"""),"")</f>
        <v/>
      </c>
      <c r="D1052" s="5" t="str">
        <f>IFERROR(__xludf.DUMMYFUNCTION("""COMPUTED_VALUE"""),"")</f>
        <v/>
      </c>
      <c r="E1052" s="5" t="str">
        <f>IFERROR(__xludf.DUMMYFUNCTION("""COMPUTED_VALUE"""),"")</f>
        <v/>
      </c>
      <c r="F1052" s="5" t="str">
        <f>IFERROR(__xludf.DUMMYFUNCTION("""COMPUTED_VALUE"""),"")</f>
        <v/>
      </c>
      <c r="G1052" s="19" t="str">
        <f>IFERROR(__xludf.DUMMYFUNCTION("""COMPUTED_VALUE"""),"")</f>
        <v/>
      </c>
      <c r="H1052" s="19" t="str">
        <f>IFERROR(__xludf.DUMMYFUNCTION("""COMPUTED_VALUE"""),"")</f>
        <v/>
      </c>
      <c r="I1052" s="62" t="str">
        <f>IFERROR(__xludf.DUMMYFUNCTION("""COMPUTED_VALUE"""),"")</f>
        <v/>
      </c>
      <c r="J1052" s="19" t="str">
        <f>IFERROR(__xludf.DUMMYFUNCTION("""COMPUTED_VALUE"""),"")</f>
        <v/>
      </c>
    </row>
    <row r="1053">
      <c r="A1053" s="19" t="str">
        <f>IFERROR(__xludf.DUMMYFUNCTION("""COMPUTED_VALUE"""),"")</f>
        <v/>
      </c>
      <c r="B1053" s="19" t="str">
        <f>IFERROR(__xludf.DUMMYFUNCTION("""COMPUTED_VALUE"""),"")</f>
        <v/>
      </c>
      <c r="C1053" s="5" t="str">
        <f>IFERROR(__xludf.DUMMYFUNCTION("""COMPUTED_VALUE"""),"")</f>
        <v/>
      </c>
      <c r="D1053" s="5" t="str">
        <f>IFERROR(__xludf.DUMMYFUNCTION("""COMPUTED_VALUE"""),"")</f>
        <v/>
      </c>
      <c r="E1053" s="5" t="str">
        <f>IFERROR(__xludf.DUMMYFUNCTION("""COMPUTED_VALUE"""),"")</f>
        <v/>
      </c>
      <c r="F1053" s="5" t="str">
        <f>IFERROR(__xludf.DUMMYFUNCTION("""COMPUTED_VALUE"""),"")</f>
        <v/>
      </c>
      <c r="G1053" s="19" t="str">
        <f>IFERROR(__xludf.DUMMYFUNCTION("""COMPUTED_VALUE"""),"")</f>
        <v/>
      </c>
      <c r="H1053" s="19" t="str">
        <f>IFERROR(__xludf.DUMMYFUNCTION("""COMPUTED_VALUE"""),"")</f>
        <v/>
      </c>
      <c r="I1053" s="62" t="str">
        <f>IFERROR(__xludf.DUMMYFUNCTION("""COMPUTED_VALUE"""),"")</f>
        <v/>
      </c>
      <c r="J1053" s="19" t="str">
        <f>IFERROR(__xludf.DUMMYFUNCTION("""COMPUTED_VALUE"""),"")</f>
        <v/>
      </c>
    </row>
    <row r="1054">
      <c r="A1054" s="19" t="str">
        <f>IFERROR(__xludf.DUMMYFUNCTION("""COMPUTED_VALUE"""),"Howie Hill")</f>
        <v>Howie Hill</v>
      </c>
      <c r="B1054" s="19" t="str">
        <f>IFERROR(__xludf.DUMMYFUNCTION("""COMPUTED_VALUE"""),"NSW")</f>
        <v>NSW</v>
      </c>
      <c r="C1054" s="5">
        <f>IFERROR(__xludf.DUMMYFUNCTION("""COMPUTED_VALUE"""),2097.0)</f>
        <v>2097</v>
      </c>
      <c r="D1054" s="5"/>
      <c r="E1054" s="63">
        <f>IFERROR(__xludf.DUMMYFUNCTION("""COMPUTED_VALUE"""),45850.786944444444)</f>
        <v>45850.78694</v>
      </c>
      <c r="F1054" s="5" t="str">
        <f>IFERROR(__xludf.DUMMYFUNCTION("""COMPUTED_VALUE"""),"Featured")</f>
        <v>Featured</v>
      </c>
      <c r="G1054" s="19" t="str">
        <f>IFERROR(__xludf.DUMMYFUNCTION("""COMPUTED_VALUE"""),"Instant Forms")</f>
        <v>Instant Forms</v>
      </c>
      <c r="H1054" s="19"/>
      <c r="I1054" s="62"/>
      <c r="J1054" s="19"/>
    </row>
    <row r="1055">
      <c r="A1055" s="19" t="str">
        <f>IFERROR(__xludf.DUMMYFUNCTION("""COMPUTED_VALUE"""),"Howie Hill")</f>
        <v>Howie Hill</v>
      </c>
      <c r="B1055" s="19" t="str">
        <f>IFERROR(__xludf.DUMMYFUNCTION("""COMPUTED_VALUE"""),"NSW")</f>
        <v>NSW</v>
      </c>
      <c r="C1055" s="5">
        <f>IFERROR(__xludf.DUMMYFUNCTION("""COMPUTED_VALUE"""),2086.0)</f>
        <v>2086</v>
      </c>
      <c r="D1055" s="5"/>
      <c r="E1055" s="63" t="str">
        <f>IFERROR(__xludf.DUMMYFUNCTION("""COMPUTED_VALUE"""),"19/07/2025")</f>
        <v>19/07/2025</v>
      </c>
      <c r="F1055" s="5" t="str">
        <f>IFERROR(__xludf.DUMMYFUNCTION("""COMPUTED_VALUE"""),"Free")</f>
        <v>Free</v>
      </c>
      <c r="G1055" s="19" t="str">
        <f>IFERROR(__xludf.DUMMYFUNCTION("""COMPUTED_VALUE"""),"Instant Forms")</f>
        <v>Instant Forms</v>
      </c>
      <c r="H1055" s="19"/>
      <c r="I1055" s="62"/>
      <c r="J1055" s="19"/>
    </row>
    <row r="1056">
      <c r="A1056" s="19" t="str">
        <f>IFERROR(__xludf.DUMMYFUNCTION("""COMPUTED_VALUE"""),"Howie Hill")</f>
        <v>Howie Hill</v>
      </c>
      <c r="B1056" s="19" t="str">
        <f>IFERROR(__xludf.DUMMYFUNCTION("""COMPUTED_VALUE"""),"NSW")</f>
        <v>NSW</v>
      </c>
      <c r="C1056" s="5" t="str">
        <f>IFERROR(__xludf.DUMMYFUNCTION("""COMPUTED_VALUE"""),"Frenchs Forest")</f>
        <v>Frenchs Forest</v>
      </c>
      <c r="D1056" s="5" t="str">
        <f>IFERROR(__xludf.DUMMYFUNCTION("""COMPUTED_VALUE"""),"5 Gilbert Place Frenchs Forest NSW 2086")</f>
        <v>5 Gilbert Place Frenchs Forest NSW 2086</v>
      </c>
      <c r="E1056" s="25">
        <f>IFERROR(__xludf.DUMMYFUNCTION("""COMPUTED_VALUE"""),45904.0)</f>
        <v>45904</v>
      </c>
      <c r="F1056" s="5" t="str">
        <f>IFERROR(__xludf.DUMMYFUNCTION("""COMPUTED_VALUE"""),"Featured")</f>
        <v>Featured</v>
      </c>
      <c r="G1056" s="19" t="str">
        <f>IFERROR(__xludf.DUMMYFUNCTION("""COMPUTED_VALUE"""),"Instant Forms")</f>
        <v>Instant Forms</v>
      </c>
      <c r="H1056" s="19"/>
      <c r="I1056" s="62"/>
      <c r="J1056" s="19"/>
    </row>
    <row r="1057">
      <c r="A1057" s="19" t="str">
        <f>IFERROR(__xludf.DUMMYFUNCTION("""COMPUTED_VALUE"""),"Howie Hill")</f>
        <v>Howie Hill</v>
      </c>
      <c r="B1057" s="19" t="str">
        <f>IFERROR(__xludf.DUMMYFUNCTION("""COMPUTED_VALUE"""),"NSW")</f>
        <v>NSW</v>
      </c>
      <c r="C1057" s="5" t="str">
        <f>IFERROR(__xludf.DUMMYFUNCTION("""COMPUTED_VALUE"""),"Collaroy Plateau")</f>
        <v>Collaroy Plateau</v>
      </c>
      <c r="D1057" s="5" t="str">
        <f>IFERROR(__xludf.DUMMYFUNCTION("""COMPUTED_VALUE"""),"22 David Road Collaroy Plateau NSW 2097")</f>
        <v>22 David Road Collaroy Plateau NSW 2097</v>
      </c>
      <c r="E1057" s="25">
        <f>IFERROR(__xludf.DUMMYFUNCTION("""COMPUTED_VALUE"""),45908.0)</f>
        <v>45908</v>
      </c>
      <c r="F1057" s="5" t="str">
        <f>IFERROR(__xludf.DUMMYFUNCTION("""COMPUTED_VALUE"""),"Featured")</f>
        <v>Featured</v>
      </c>
      <c r="G1057" s="19" t="str">
        <f>IFERROR(__xludf.DUMMYFUNCTION("""COMPUTED_VALUE"""),"Instant Forms")</f>
        <v>Instant Forms</v>
      </c>
      <c r="H1057" s="19"/>
      <c r="I1057" s="62"/>
      <c r="J1057" s="19"/>
    </row>
    <row r="1058">
      <c r="A1058" s="19" t="str">
        <f>IFERROR(__xludf.DUMMYFUNCTION("""COMPUTED_VALUE"""),"Howie Hill")</f>
        <v>Howie Hill</v>
      </c>
      <c r="B1058" s="19" t="str">
        <f>IFERROR(__xludf.DUMMYFUNCTION("""COMPUTED_VALUE"""),"NSW")</f>
        <v>NSW</v>
      </c>
      <c r="C1058" s="5" t="str">
        <f>IFERROR(__xludf.DUMMYFUNCTION("""COMPUTED_VALUE"""),"Forsestville")</f>
        <v>Forsestville</v>
      </c>
      <c r="D1058" s="5" t="str">
        <f>IFERROR(__xludf.DUMMYFUNCTION("""COMPUTED_VALUE"""),"14 Boree Road Forestville NSW 2087")</f>
        <v>14 Boree Road Forestville NSW 2087</v>
      </c>
      <c r="E1058" s="25">
        <f>IFERROR(__xludf.DUMMYFUNCTION("""COMPUTED_VALUE"""),45916.0)</f>
        <v>45916</v>
      </c>
      <c r="F1058" s="5">
        <f>IFERROR(__xludf.DUMMYFUNCTION("""COMPUTED_VALUE"""),8.0)</f>
        <v>8</v>
      </c>
      <c r="G1058" s="19" t="str">
        <f>IFERROR(__xludf.DUMMYFUNCTION("""COMPUTED_VALUE"""),"Instant Forms")</f>
        <v>Instant Forms</v>
      </c>
      <c r="H1058" s="19" t="str">
        <f>IFERROR(__xludf.DUMMYFUNCTION("""COMPUTED_VALUE"""),"Margaret santone")</f>
        <v>Margaret santone</v>
      </c>
      <c r="I1058" s="62"/>
      <c r="J1058" s="19"/>
    </row>
    <row r="1059">
      <c r="A1059" s="19" t="str">
        <f>IFERROR(__xludf.DUMMYFUNCTION("""COMPUTED_VALUE"""),"Howie Hill")</f>
        <v>Howie Hill</v>
      </c>
      <c r="B1059" s="19" t="str">
        <f>IFERROR(__xludf.DUMMYFUNCTION("""COMPUTED_VALUE"""),"NSW")</f>
        <v>NSW</v>
      </c>
      <c r="C1059" s="5" t="str">
        <f>IFERROR(__xludf.DUMMYFUNCTION("""COMPUTED_VALUE"""),"Beacon hill")</f>
        <v>Beacon hill</v>
      </c>
      <c r="D1059" s="5" t="str">
        <f>IFERROR(__xludf.DUMMYFUNCTION("""COMPUTED_VALUE"""),"91 Ryan Place Beacon Hill NSW 2100")</f>
        <v>91 Ryan Place Beacon Hill NSW 2100</v>
      </c>
      <c r="E1059" s="25">
        <f>IFERROR(__xludf.DUMMYFUNCTION("""COMPUTED_VALUE"""),45924.0)</f>
        <v>45924</v>
      </c>
      <c r="F1059" s="5">
        <f>IFERROR(__xludf.DUMMYFUNCTION("""COMPUTED_VALUE"""),8.0)</f>
        <v>8</v>
      </c>
      <c r="G1059" s="19" t="str">
        <f>IFERROR(__xludf.DUMMYFUNCTION("""COMPUTED_VALUE"""),"Instant Forms")</f>
        <v>Instant Forms</v>
      </c>
      <c r="H1059" s="19" t="str">
        <f>IFERROR(__xludf.DUMMYFUNCTION("""COMPUTED_VALUE"""),"Allison Dixon")</f>
        <v>Allison Dixon</v>
      </c>
      <c r="I1059" s="62"/>
      <c r="J1059" s="19"/>
    </row>
    <row r="1060">
      <c r="A1060" s="19" t="str">
        <f>IFERROR(__xludf.DUMMYFUNCTION("""COMPUTED_VALUE"""),"Howie Hill")</f>
        <v>Howie Hill</v>
      </c>
      <c r="B1060" s="19" t="str">
        <f>IFERROR(__xludf.DUMMYFUNCTION("""COMPUTED_VALUE"""),"NSW")</f>
        <v>NSW</v>
      </c>
      <c r="C1060" s="5" t="str">
        <f>IFERROR(__xludf.DUMMYFUNCTION("""COMPUTED_VALUE"""),"Davidson")</f>
        <v>Davidson</v>
      </c>
      <c r="D1060" s="5"/>
      <c r="E1060" s="25">
        <f>IFERROR(__xludf.DUMMYFUNCTION("""COMPUTED_VALUE"""),45937.0)</f>
        <v>45937</v>
      </c>
      <c r="F1060" s="5">
        <f>IFERROR(__xludf.DUMMYFUNCTION("""COMPUTED_VALUE"""),5.0)</f>
        <v>5</v>
      </c>
      <c r="G1060" s="19" t="str">
        <f>IFERROR(__xludf.DUMMYFUNCTION("""COMPUTED_VALUE"""),"Instant Forms")</f>
        <v>Instant Forms</v>
      </c>
      <c r="H1060" s="19" t="str">
        <f>IFERROR(__xludf.DUMMYFUNCTION("""COMPUTED_VALUE"""),"Andrea Crespo (Feel free to pass to Pete Capindale or something. don't have anyone else close. Lead is quite low quality too)")</f>
        <v>Andrea Crespo (Feel free to pass to Pete Capindale or something. don't have anyone else close. Lead is quite low quality too)</v>
      </c>
      <c r="I1060" s="62"/>
      <c r="J1060" s="19"/>
    </row>
    <row r="1061">
      <c r="A1061" s="19" t="str">
        <f>IFERROR(__xludf.DUMMYFUNCTION("""COMPUTED_VALUE"""),"Howie Hill")</f>
        <v>Howie Hill</v>
      </c>
      <c r="B1061" s="19" t="str">
        <f>IFERROR(__xludf.DUMMYFUNCTION("""COMPUTED_VALUE"""),"NSW")</f>
        <v>NSW</v>
      </c>
      <c r="C1061" s="5" t="str">
        <f>IFERROR(__xludf.DUMMYFUNCTION("""COMPUTED_VALUE"""),"Frenchs Forest")</f>
        <v>Frenchs Forest</v>
      </c>
      <c r="D1061" s="5" t="str">
        <f>IFERROR(__xludf.DUMMYFUNCTION("""COMPUTED_VALUE"""),"36 Paxton Street Frenchs Forest NSW 2086")</f>
        <v>36 Paxton Street Frenchs Forest NSW 2086</v>
      </c>
      <c r="E1061" s="25">
        <f>IFERROR(__xludf.DUMMYFUNCTION("""COMPUTED_VALUE"""),45939.0)</f>
        <v>45939</v>
      </c>
      <c r="F1061" s="5">
        <f>IFERROR(__xludf.DUMMYFUNCTION("""COMPUTED_VALUE"""),8.0)</f>
        <v>8</v>
      </c>
      <c r="G1061" s="19" t="str">
        <f>IFERROR(__xludf.DUMMYFUNCTION("""COMPUTED_VALUE"""),"Instant Forms")</f>
        <v>Instant Forms</v>
      </c>
      <c r="H1061" s="19"/>
      <c r="I1061" s="62"/>
      <c r="J1061" s="19"/>
    </row>
    <row r="1062">
      <c r="A1062" s="19" t="str">
        <f>IFERROR(__xludf.DUMMYFUNCTION("""COMPUTED_VALUE"""),"Howie Hill")</f>
        <v>Howie Hill</v>
      </c>
      <c r="B1062" s="19" t="str">
        <f>IFERROR(__xludf.DUMMYFUNCTION("""COMPUTED_VALUE"""),"NSW")</f>
        <v>NSW</v>
      </c>
      <c r="C1062" s="5" t="str">
        <f>IFERROR(__xludf.DUMMYFUNCTION("""COMPUTED_VALUE"""),"Davidson")</f>
        <v>Davidson</v>
      </c>
      <c r="D1062" s="5" t="str">
        <f>IFERROR(__xludf.DUMMYFUNCTION("""COMPUTED_VALUE"""),"20 Borgnis Street Davidson NSW 2085")</f>
        <v>20 Borgnis Street Davidson NSW 2085</v>
      </c>
      <c r="E1062" s="25">
        <f>IFERROR(__xludf.DUMMYFUNCTION("""COMPUTED_VALUE"""),45953.0)</f>
        <v>45953</v>
      </c>
      <c r="F1062" s="5">
        <f>IFERROR(__xludf.DUMMYFUNCTION("""COMPUTED_VALUE"""),8.0)</f>
        <v>8</v>
      </c>
      <c r="G1062" s="19" t="str">
        <f>IFERROR(__xludf.DUMMYFUNCTION("""COMPUTED_VALUE"""),"Instant Forms")</f>
        <v>Instant Forms</v>
      </c>
      <c r="H1062" s="19"/>
      <c r="I1062" s="62"/>
      <c r="J1062" s="19"/>
    </row>
    <row r="1063">
      <c r="A1063" s="19" t="str">
        <f>IFERROR(__xludf.DUMMYFUNCTION("""COMPUTED_VALUE"""),"Howie Hill")</f>
        <v>Howie Hill</v>
      </c>
      <c r="B1063" s="19" t="str">
        <f>IFERROR(__xludf.DUMMYFUNCTION("""COMPUTED_VALUE"""),"NSW")</f>
        <v>NSW</v>
      </c>
      <c r="C1063" s="5" t="str">
        <f>IFERROR(__xludf.DUMMYFUNCTION("""COMPUTED_VALUE"""),"Beacon Hill")</f>
        <v>Beacon Hill</v>
      </c>
      <c r="D1063" s="5" t="str">
        <f>IFERROR(__xludf.DUMMYFUNCTION("""COMPUTED_VALUE"""),"6 Warekila Road")</f>
        <v>6 Warekila Road</v>
      </c>
      <c r="E1063" s="25">
        <f>IFERROR(__xludf.DUMMYFUNCTION("""COMPUTED_VALUE"""),45957.0)</f>
        <v>45957</v>
      </c>
      <c r="F1063" s="5" t="str">
        <f>IFERROR(__xludf.DUMMYFUNCTION("""COMPUTED_VALUE"""),"Featured")</f>
        <v>Featured</v>
      </c>
      <c r="G1063" s="19" t="str">
        <f>IFERROR(__xludf.DUMMYFUNCTION("""COMPUTED_VALUE"""),"Commission Comparison")</f>
        <v>Commission Comparison</v>
      </c>
      <c r="H1063" s="19"/>
      <c r="I1063" s="62"/>
      <c r="J1063" s="19"/>
    </row>
    <row r="1064">
      <c r="A1064" s="19" t="str">
        <f>IFERROR(__xludf.DUMMYFUNCTION("""COMPUTED_VALUE"""),"")</f>
        <v/>
      </c>
      <c r="B1064" s="19" t="str">
        <f>IFERROR(__xludf.DUMMYFUNCTION("""COMPUTED_VALUE"""),"")</f>
        <v/>
      </c>
      <c r="C1064" s="5" t="str">
        <f>IFERROR(__xludf.DUMMYFUNCTION("""COMPUTED_VALUE"""),"")</f>
        <v/>
      </c>
      <c r="D1064" s="5" t="str">
        <f>IFERROR(__xludf.DUMMYFUNCTION("""COMPUTED_VALUE"""),"")</f>
        <v/>
      </c>
      <c r="E1064" s="5" t="str">
        <f>IFERROR(__xludf.DUMMYFUNCTION("""COMPUTED_VALUE"""),"")</f>
        <v/>
      </c>
      <c r="F1064" s="5" t="str">
        <f>IFERROR(__xludf.DUMMYFUNCTION("""COMPUTED_VALUE"""),"")</f>
        <v/>
      </c>
      <c r="G1064" s="19" t="str">
        <f>IFERROR(__xludf.DUMMYFUNCTION("""COMPUTED_VALUE"""),"")</f>
        <v/>
      </c>
      <c r="H1064" s="19" t="str">
        <f>IFERROR(__xludf.DUMMYFUNCTION("""COMPUTED_VALUE"""),"")</f>
        <v/>
      </c>
      <c r="I1064" s="62" t="str">
        <f>IFERROR(__xludf.DUMMYFUNCTION("""COMPUTED_VALUE"""),"")</f>
        <v/>
      </c>
      <c r="J1064" s="19" t="str">
        <f>IFERROR(__xludf.DUMMYFUNCTION("""COMPUTED_VALUE"""),"")</f>
        <v/>
      </c>
    </row>
    <row r="1065">
      <c r="A1065" s="19" t="str">
        <f>IFERROR(__xludf.DUMMYFUNCTION("""COMPUTED_VALUE"""),"")</f>
        <v/>
      </c>
      <c r="B1065" s="19" t="str">
        <f>IFERROR(__xludf.DUMMYFUNCTION("""COMPUTED_VALUE"""),"")</f>
        <v/>
      </c>
      <c r="C1065" s="5" t="str">
        <f>IFERROR(__xludf.DUMMYFUNCTION("""COMPUTED_VALUE"""),"")</f>
        <v/>
      </c>
      <c r="D1065" s="5" t="str">
        <f>IFERROR(__xludf.DUMMYFUNCTION("""COMPUTED_VALUE"""),"")</f>
        <v/>
      </c>
      <c r="E1065" s="5" t="str">
        <f>IFERROR(__xludf.DUMMYFUNCTION("""COMPUTED_VALUE"""),"")</f>
        <v/>
      </c>
      <c r="F1065" s="5" t="str">
        <f>IFERROR(__xludf.DUMMYFUNCTION("""COMPUTED_VALUE"""),"")</f>
        <v/>
      </c>
      <c r="G1065" s="19" t="str">
        <f>IFERROR(__xludf.DUMMYFUNCTION("""COMPUTED_VALUE"""),"")</f>
        <v/>
      </c>
      <c r="H1065" s="19" t="str">
        <f>IFERROR(__xludf.DUMMYFUNCTION("""COMPUTED_VALUE"""),"")</f>
        <v/>
      </c>
      <c r="I1065" s="62" t="str">
        <f>IFERROR(__xludf.DUMMYFUNCTION("""COMPUTED_VALUE"""),"")</f>
        <v/>
      </c>
      <c r="J1065" s="19" t="str">
        <f>IFERROR(__xludf.DUMMYFUNCTION("""COMPUTED_VALUE"""),"")</f>
        <v/>
      </c>
    </row>
    <row r="1066">
      <c r="A1066" s="19" t="str">
        <f>IFERROR(__xludf.DUMMYFUNCTION("""COMPUTED_VALUE"""),"Ian Knight")</f>
        <v>Ian Knight</v>
      </c>
      <c r="B1066" s="19" t="str">
        <f>IFERROR(__xludf.DUMMYFUNCTION("""COMPUTED_VALUE"""),"WA")</f>
        <v>WA</v>
      </c>
      <c r="C1066" s="5" t="str">
        <f>IFERROR(__xludf.DUMMYFUNCTION("""COMPUTED_VALUE"""),"Alkimos")</f>
        <v>Alkimos</v>
      </c>
      <c r="D1066" s="5" t="str">
        <f>IFERROR(__xludf.DUMMYFUNCTION("""COMPUTED_VALUE"""),"1 Parups Lane, Alkimos, WA, 6038, Australia")</f>
        <v>1 Parups Lane, Alkimos, WA, 6038, Australia</v>
      </c>
      <c r="E1066" s="5" t="str">
        <f>IFERROR(__xludf.DUMMYFUNCTION("""COMPUTED_VALUE"""),"28/05/2025")</f>
        <v>28/05/2025</v>
      </c>
      <c r="F1066" s="5" t="str">
        <f>IFERROR(__xludf.DUMMYFUNCTION("""COMPUTED_VALUE"""),"Featured")</f>
        <v>Featured</v>
      </c>
      <c r="G1066" s="19"/>
      <c r="H1066" s="19"/>
      <c r="I1066" s="62"/>
      <c r="J1066" s="19"/>
    </row>
    <row r="1067">
      <c r="A1067" s="19" t="str">
        <f>IFERROR(__xludf.DUMMYFUNCTION("""COMPUTED_VALUE"""),"Ian Knight")</f>
        <v>Ian Knight</v>
      </c>
      <c r="B1067" s="19" t="str">
        <f>IFERROR(__xludf.DUMMYFUNCTION("""COMPUTED_VALUE"""),"WA")</f>
        <v>WA</v>
      </c>
      <c r="C1067" s="5" t="str">
        <f>IFERROR(__xludf.DUMMYFUNCTION("""COMPUTED_VALUE"""),"Clarkson")</f>
        <v>Clarkson</v>
      </c>
      <c r="D1067" s="5" t="str">
        <f>IFERROR(__xludf.DUMMYFUNCTION("""COMPUTED_VALUE"""),"94 Antares Street, Clarkson, WA, 6030, Australia")</f>
        <v>94 Antares Street, Clarkson, WA, 6030, Australia</v>
      </c>
      <c r="E1067" s="5" t="str">
        <f>IFERROR(__xludf.DUMMYFUNCTION("""COMPUTED_VALUE"""),"28/05/2025")</f>
        <v>28/05/2025</v>
      </c>
      <c r="F1067" s="5" t="str">
        <f>IFERROR(__xludf.DUMMYFUNCTION("""COMPUTED_VALUE"""),"Featured")</f>
        <v>Featured</v>
      </c>
      <c r="G1067" s="19"/>
      <c r="H1067" s="19"/>
      <c r="I1067" s="62"/>
      <c r="J1067" s="19"/>
    </row>
    <row r="1068">
      <c r="A1068" s="19" t="str">
        <f>IFERROR(__xludf.DUMMYFUNCTION("""COMPUTED_VALUE"""),"Ian Knight")</f>
        <v>Ian Knight</v>
      </c>
      <c r="B1068" s="19" t="str">
        <f>IFERROR(__xludf.DUMMYFUNCTION("""COMPUTED_VALUE"""),"WA")</f>
        <v>WA</v>
      </c>
      <c r="C1068" s="5" t="str">
        <f>IFERROR(__xludf.DUMMYFUNCTION("""COMPUTED_VALUE"""),"Alkimos")</f>
        <v>Alkimos</v>
      </c>
      <c r="D1068" s="5" t="str">
        <f>IFERROR(__xludf.DUMMYFUNCTION("""COMPUTED_VALUE"""),"34 Myrlea Trail, Alkimos, WA, 6038, Australia")</f>
        <v>34 Myrlea Trail, Alkimos, WA, 6038, Australia</v>
      </c>
      <c r="E1068" s="5" t="str">
        <f>IFERROR(__xludf.DUMMYFUNCTION("""COMPUTED_VALUE"""),"31/05/2025")</f>
        <v>31/05/2025</v>
      </c>
      <c r="F1068" s="5" t="str">
        <f>IFERROR(__xludf.DUMMYFUNCTION("""COMPUTED_VALUE"""),"Featured")</f>
        <v>Featured</v>
      </c>
      <c r="G1068" s="19"/>
      <c r="H1068" s="19"/>
      <c r="I1068" s="62"/>
      <c r="J1068" s="19"/>
    </row>
    <row r="1069">
      <c r="A1069" s="19" t="str">
        <f>IFERROR(__xludf.DUMMYFUNCTION("""COMPUTED_VALUE"""),"Ian Knight")</f>
        <v>Ian Knight</v>
      </c>
      <c r="B1069" s="19" t="str">
        <f>IFERROR(__xludf.DUMMYFUNCTION("""COMPUTED_VALUE"""),"WA")</f>
        <v>WA</v>
      </c>
      <c r="C1069" s="5" t="str">
        <f>IFERROR(__xludf.DUMMYFUNCTION("""COMPUTED_VALUE"""),"Eglinton")</f>
        <v>Eglinton</v>
      </c>
      <c r="D1069" s="5" t="str">
        <f>IFERROR(__xludf.DUMMYFUNCTION("""COMPUTED_VALUE"""),"10 Giallo Way, Eglinton, WA, 6034, Australia")</f>
        <v>10 Giallo Way, Eglinton, WA, 6034, Australia</v>
      </c>
      <c r="E1069" s="27">
        <f>IFERROR(__xludf.DUMMYFUNCTION("""COMPUTED_VALUE"""),45753.0)</f>
        <v>45753</v>
      </c>
      <c r="F1069" s="5" t="str">
        <f>IFERROR(__xludf.DUMMYFUNCTION("""COMPUTED_VALUE"""),"Featured")</f>
        <v>Featured</v>
      </c>
      <c r="G1069" s="19"/>
      <c r="H1069" s="19"/>
      <c r="I1069" s="62"/>
      <c r="J1069" s="19"/>
    </row>
    <row r="1070">
      <c r="A1070" s="19" t="str">
        <f>IFERROR(__xludf.DUMMYFUNCTION("""COMPUTED_VALUE"""),"Ian Knight")</f>
        <v>Ian Knight</v>
      </c>
      <c r="B1070" s="19" t="str">
        <f>IFERROR(__xludf.DUMMYFUNCTION("""COMPUTED_VALUE"""),"WA")</f>
        <v>WA</v>
      </c>
      <c r="C1070" s="5" t="str">
        <f>IFERROR(__xludf.DUMMYFUNCTION("""COMPUTED_VALUE"""),"Alkimos")</f>
        <v>Alkimos</v>
      </c>
      <c r="D1070" s="5" t="str">
        <f>IFERROR(__xludf.DUMMYFUNCTION("""COMPUTED_VALUE"""),"3 Partridge View, Alkimos, WA, 6038, Australia")</f>
        <v>3 Partridge View, Alkimos, WA, 6038, Australia</v>
      </c>
      <c r="E1070" s="63">
        <f>IFERROR(__xludf.DUMMYFUNCTION("""COMPUTED_VALUE"""),25569.949050925927)</f>
        <v>25569.94905</v>
      </c>
      <c r="F1070" s="5" t="str">
        <f>IFERROR(__xludf.DUMMYFUNCTION("""COMPUTED_VALUE"""),"Featured")</f>
        <v>Featured</v>
      </c>
      <c r="G1070" s="19"/>
      <c r="H1070" s="19"/>
      <c r="I1070" s="62"/>
      <c r="J1070" s="19"/>
    </row>
    <row r="1071">
      <c r="A1071" s="19" t="str">
        <f>IFERROR(__xludf.DUMMYFUNCTION("""COMPUTED_VALUE"""),"Ian Knight")</f>
        <v>Ian Knight</v>
      </c>
      <c r="B1071" s="19" t="str">
        <f>IFERROR(__xludf.DUMMYFUNCTION("""COMPUTED_VALUE"""),"WA")</f>
        <v>WA</v>
      </c>
      <c r="C1071" s="5">
        <f>IFERROR(__xludf.DUMMYFUNCTION("""COMPUTED_VALUE"""),6034.0)</f>
        <v>6034</v>
      </c>
      <c r="D1071" s="5"/>
      <c r="E1071" s="63">
        <f>IFERROR(__xludf.DUMMYFUNCTION("""COMPUTED_VALUE"""),45850.44605324074)</f>
        <v>45850.44605</v>
      </c>
      <c r="F1071" s="5" t="str">
        <f>IFERROR(__xludf.DUMMYFUNCTION("""COMPUTED_VALUE"""),"Featured")</f>
        <v>Featured</v>
      </c>
      <c r="G1071" s="19" t="str">
        <f>IFERROR(__xludf.DUMMYFUNCTION("""COMPUTED_VALUE"""),"Instant Forms")</f>
        <v>Instant Forms</v>
      </c>
      <c r="H1071" s="19"/>
      <c r="I1071" s="62"/>
      <c r="J1071" s="19"/>
    </row>
    <row r="1072">
      <c r="A1072" s="19" t="str">
        <f>IFERROR(__xludf.DUMMYFUNCTION("""COMPUTED_VALUE"""),"Ian Knight")</f>
        <v>Ian Knight</v>
      </c>
      <c r="B1072" s="19" t="str">
        <f>IFERROR(__xludf.DUMMYFUNCTION("""COMPUTED_VALUE"""),"WA")</f>
        <v>WA</v>
      </c>
      <c r="C1072" s="5">
        <f>IFERROR(__xludf.DUMMYFUNCTION("""COMPUTED_VALUE"""),6030.0)</f>
        <v>6030</v>
      </c>
      <c r="D1072" s="5"/>
      <c r="E1072" s="63" t="str">
        <f>IFERROR(__xludf.DUMMYFUNCTION("""COMPUTED_VALUE"""),"19/07/2025")</f>
        <v>19/07/2025</v>
      </c>
      <c r="F1072" s="5" t="str">
        <f>IFERROR(__xludf.DUMMYFUNCTION("""COMPUTED_VALUE"""),"Featured")</f>
        <v>Featured</v>
      </c>
      <c r="G1072" s="19" t="str">
        <f>IFERROR(__xludf.DUMMYFUNCTION("""COMPUTED_VALUE"""),"Instant Forms")</f>
        <v>Instant Forms</v>
      </c>
      <c r="H1072" s="19"/>
      <c r="I1072" s="62"/>
      <c r="J1072" s="19"/>
    </row>
    <row r="1073">
      <c r="A1073" s="19" t="str">
        <f>IFERROR(__xludf.DUMMYFUNCTION("""COMPUTED_VALUE"""),"Ian Knight")</f>
        <v>Ian Knight</v>
      </c>
      <c r="B1073" s="19" t="str">
        <f>IFERROR(__xludf.DUMMYFUNCTION("""COMPUTED_VALUE"""),"WA")</f>
        <v>WA</v>
      </c>
      <c r="C1073" s="5">
        <f>IFERROR(__xludf.DUMMYFUNCTION("""COMPUTED_VALUE"""),6026.0)</f>
        <v>6026</v>
      </c>
      <c r="D1073" s="5"/>
      <c r="E1073" s="63">
        <f>IFERROR(__xludf.DUMMYFUNCTION("""COMPUTED_VALUE"""),45857.865706018514)</f>
        <v>45857.86571</v>
      </c>
      <c r="F1073" s="5" t="str">
        <f>IFERROR(__xludf.DUMMYFUNCTION("""COMPUTED_VALUE"""),"Featured")</f>
        <v>Featured</v>
      </c>
      <c r="G1073" s="19" t="str">
        <f>IFERROR(__xludf.DUMMYFUNCTION("""COMPUTED_VALUE"""),"Instant Forms")</f>
        <v>Instant Forms</v>
      </c>
      <c r="H1073" s="19"/>
      <c r="I1073" s="62"/>
      <c r="J1073" s="19"/>
    </row>
    <row r="1074">
      <c r="A1074" s="19" t="str">
        <f>IFERROR(__xludf.DUMMYFUNCTION("""COMPUTED_VALUE"""),"Ian Knight")</f>
        <v>Ian Knight</v>
      </c>
      <c r="B1074" s="19" t="str">
        <f>IFERROR(__xludf.DUMMYFUNCTION("""COMPUTED_VALUE"""),"WA")</f>
        <v>WA</v>
      </c>
      <c r="C1074" s="5" t="str">
        <f>IFERROR(__xludf.DUMMYFUNCTION("""COMPUTED_VALUE"""),"Butler")</f>
        <v>Butler</v>
      </c>
      <c r="D1074" s="5" t="str">
        <f>IFERROR(__xludf.DUMMYFUNCTION("""COMPUTED_VALUE"""),"19 Killcarry Avenue")</f>
        <v>19 Killcarry Avenue</v>
      </c>
      <c r="E1074" s="63"/>
      <c r="F1074" s="5" t="str">
        <f>IFERROR(__xludf.DUMMYFUNCTION("""COMPUTED_VALUE"""),"Featured")</f>
        <v>Featured</v>
      </c>
      <c r="G1074" s="19" t="str">
        <f>IFERROR(__xludf.DUMMYFUNCTION("""COMPUTED_VALUE"""),"Commission Comparison")</f>
        <v>Commission Comparison</v>
      </c>
      <c r="H1074" s="19"/>
      <c r="I1074" s="62"/>
      <c r="J1074" s="19"/>
    </row>
    <row r="1075">
      <c r="A1075" s="19" t="str">
        <f>IFERROR(__xludf.DUMMYFUNCTION("""COMPUTED_VALUE"""),"Ian Knight")</f>
        <v>Ian Knight</v>
      </c>
      <c r="B1075" s="19" t="str">
        <f>IFERROR(__xludf.DUMMYFUNCTION("""COMPUTED_VALUE"""),"WA")</f>
        <v>WA</v>
      </c>
      <c r="C1075" s="5" t="str">
        <f>IFERROR(__xludf.DUMMYFUNCTION("""COMPUTED_VALUE"""),"Alkimos")</f>
        <v>Alkimos</v>
      </c>
      <c r="D1075" s="5" t="str">
        <f>IFERROR(__xludf.DUMMYFUNCTION("""COMPUTED_VALUE"""),"186 Hawksbill Drive, Alkimos, WA, 6038, Australia")</f>
        <v>186 Hawksbill Drive, Alkimos, WA, 6038, Australia</v>
      </c>
      <c r="E1075" s="63" t="str">
        <f>IFERROR(__xludf.DUMMYFUNCTION("""COMPUTED_VALUE"""),"25/07/2025")</f>
        <v>25/07/2025</v>
      </c>
      <c r="F1075" s="5" t="str">
        <f>IFERROR(__xludf.DUMMYFUNCTION("""COMPUTED_VALUE"""),"Featured")</f>
        <v>Featured</v>
      </c>
      <c r="G1075" s="19"/>
      <c r="H1075" s="19"/>
      <c r="I1075" s="62"/>
      <c r="J1075" s="19"/>
    </row>
    <row r="1076">
      <c r="A1076" s="19" t="str">
        <f>IFERROR(__xludf.DUMMYFUNCTION("""COMPUTED_VALUE"""),"Ian Knight")</f>
        <v>Ian Knight</v>
      </c>
      <c r="B1076" s="19" t="str">
        <f>IFERROR(__xludf.DUMMYFUNCTION("""COMPUTED_VALUE"""),"WA")</f>
        <v>WA</v>
      </c>
      <c r="C1076" s="5">
        <f>IFERROR(__xludf.DUMMYFUNCTION("""COMPUTED_VALUE"""),6028.0)</f>
        <v>6028</v>
      </c>
      <c r="D1076" s="5"/>
      <c r="E1076" s="63">
        <f>IFERROR(__xludf.DUMMYFUNCTION("""COMPUTED_VALUE"""),45724.0)</f>
        <v>45724</v>
      </c>
      <c r="F1076" s="5" t="str">
        <f>IFERROR(__xludf.DUMMYFUNCTION("""COMPUTED_VALUE"""),"Featured")</f>
        <v>Featured</v>
      </c>
      <c r="G1076" s="19" t="str">
        <f>IFERROR(__xludf.DUMMYFUNCTION("""COMPUTED_VALUE"""),"Instant Forms")</f>
        <v>Instant Forms</v>
      </c>
      <c r="H1076" s="19"/>
      <c r="I1076" s="62"/>
      <c r="J1076" s="19"/>
    </row>
    <row r="1077">
      <c r="A1077" s="19" t="str">
        <f>IFERROR(__xludf.DUMMYFUNCTION("""COMPUTED_VALUE"""),"Ian Knight")</f>
        <v>Ian Knight</v>
      </c>
      <c r="B1077" s="19" t="str">
        <f>IFERROR(__xludf.DUMMYFUNCTION("""COMPUTED_VALUE"""),"WA")</f>
        <v>WA</v>
      </c>
      <c r="C1077" s="5" t="str">
        <f>IFERROR(__xludf.DUMMYFUNCTION("""COMPUTED_VALUE"""),"Clarkson")</f>
        <v>Clarkson</v>
      </c>
      <c r="D1077" s="5"/>
      <c r="E1077" s="25">
        <f>IFERROR(__xludf.DUMMYFUNCTION("""COMPUTED_VALUE"""),45874.0)</f>
        <v>45874</v>
      </c>
      <c r="F1077" s="5" t="str">
        <f>IFERROR(__xludf.DUMMYFUNCTION("""COMPUTED_VALUE"""),"Featured")</f>
        <v>Featured</v>
      </c>
      <c r="G1077" s="19" t="str">
        <f>IFERROR(__xludf.DUMMYFUNCTION("""COMPUTED_VALUE"""),"Instant Forms")</f>
        <v>Instant Forms</v>
      </c>
      <c r="H1077" s="19"/>
      <c r="I1077" s="62"/>
      <c r="J1077" s="19"/>
    </row>
    <row r="1078">
      <c r="A1078" s="19" t="str">
        <f>IFERROR(__xludf.DUMMYFUNCTION("""COMPUTED_VALUE"""),"Ian Knight")</f>
        <v>Ian Knight</v>
      </c>
      <c r="B1078" s="19" t="str">
        <f>IFERROR(__xludf.DUMMYFUNCTION("""COMPUTED_VALUE"""),"WA")</f>
        <v>WA</v>
      </c>
      <c r="C1078" s="5" t="str">
        <f>IFERROR(__xludf.DUMMYFUNCTION("""COMPUTED_VALUE"""),"Edgewater")</f>
        <v>Edgewater</v>
      </c>
      <c r="D1078" s="5" t="str">
        <f>IFERROR(__xludf.DUMMYFUNCTION("""COMPUTED_VALUE"""),"7 Lilac Gardens Edgewater WA 6027")</f>
        <v>7 Lilac Gardens Edgewater WA 6027</v>
      </c>
      <c r="E1078" s="25">
        <f>IFERROR(__xludf.DUMMYFUNCTION("""COMPUTED_VALUE"""),45902.0)</f>
        <v>45902</v>
      </c>
      <c r="F1078" s="5" t="str">
        <f>IFERROR(__xludf.DUMMYFUNCTION("""COMPUTED_VALUE"""),"Featured")</f>
        <v>Featured</v>
      </c>
      <c r="G1078" s="19" t="str">
        <f>IFERROR(__xludf.DUMMYFUNCTION("""COMPUTED_VALUE"""),"Instant Forms")</f>
        <v>Instant Forms</v>
      </c>
      <c r="H1078" s="19"/>
      <c r="I1078" s="62"/>
      <c r="J1078" s="19"/>
    </row>
    <row r="1079">
      <c r="A1079" s="19" t="str">
        <f>IFERROR(__xludf.DUMMYFUNCTION("""COMPUTED_VALUE"""),"Ian Knight")</f>
        <v>Ian Knight</v>
      </c>
      <c r="B1079" s="19" t="str">
        <f>IFERROR(__xludf.DUMMYFUNCTION("""COMPUTED_VALUE"""),"WA")</f>
        <v>WA</v>
      </c>
      <c r="C1079" s="5" t="str">
        <f>IFERROR(__xludf.DUMMYFUNCTION("""COMPUTED_VALUE"""),"Mullaoo")</f>
        <v>Mullaoo</v>
      </c>
      <c r="D1079" s="5" t="str">
        <f>IFERROR(__xludf.DUMMYFUNCTION("""COMPUTED_VALUE"""),"108 Oceanside Promenade Mullaloo WA 6027")</f>
        <v>108 Oceanside Promenade Mullaloo WA 6027</v>
      </c>
      <c r="E1079" s="25">
        <f>IFERROR(__xludf.DUMMYFUNCTION("""COMPUTED_VALUE"""),45904.0)</f>
        <v>45904</v>
      </c>
      <c r="F1079" s="5" t="str">
        <f>IFERROR(__xludf.DUMMYFUNCTION("""COMPUTED_VALUE"""),"Featured")</f>
        <v>Featured</v>
      </c>
      <c r="G1079" s="19" t="str">
        <f>IFERROR(__xludf.DUMMYFUNCTION("""COMPUTED_VALUE"""),"Instant Forms")</f>
        <v>Instant Forms</v>
      </c>
      <c r="H1079" s="19"/>
      <c r="I1079" s="62"/>
      <c r="J1079" s="19"/>
    </row>
    <row r="1080">
      <c r="A1080" s="19" t="str">
        <f>IFERROR(__xludf.DUMMYFUNCTION("""COMPUTED_VALUE"""),"Ian Knight")</f>
        <v>Ian Knight</v>
      </c>
      <c r="B1080" s="19" t="str">
        <f>IFERROR(__xludf.DUMMYFUNCTION("""COMPUTED_VALUE"""),"WA")</f>
        <v>WA</v>
      </c>
      <c r="C1080" s="5" t="str">
        <f>IFERROR(__xludf.DUMMYFUNCTION("""COMPUTED_VALUE"""),"Heathridge")</f>
        <v>Heathridge</v>
      </c>
      <c r="D1080" s="5" t="str">
        <f>IFERROR(__xludf.DUMMYFUNCTION("""COMPUTED_VALUE"""),"26 Janthina Crescent Heathridge WA 6027")</f>
        <v>26 Janthina Crescent Heathridge WA 6027</v>
      </c>
      <c r="E1080" s="25">
        <f>IFERROR(__xludf.DUMMYFUNCTION("""COMPUTED_VALUE"""),45904.0)</f>
        <v>45904</v>
      </c>
      <c r="F1080" s="5" t="str">
        <f>IFERROR(__xludf.DUMMYFUNCTION("""COMPUTED_VALUE"""),"Featured")</f>
        <v>Featured</v>
      </c>
      <c r="G1080" s="19" t="str">
        <f>IFERROR(__xludf.DUMMYFUNCTION("""COMPUTED_VALUE"""),"Instant Forms")</f>
        <v>Instant Forms</v>
      </c>
      <c r="H1080" s="19"/>
      <c r="I1080" s="62"/>
      <c r="J1080" s="19"/>
    </row>
    <row r="1081">
      <c r="A1081" s="19" t="str">
        <f>IFERROR(__xludf.DUMMYFUNCTION("""COMPUTED_VALUE"""),"Ian Knight")</f>
        <v>Ian Knight</v>
      </c>
      <c r="B1081" s="19" t="str">
        <f>IFERROR(__xludf.DUMMYFUNCTION("""COMPUTED_VALUE"""),"WA")</f>
        <v>WA</v>
      </c>
      <c r="C1081" s="5" t="str">
        <f>IFERROR(__xludf.DUMMYFUNCTION("""COMPUTED_VALUE"""),"Wanneroo")</f>
        <v>Wanneroo</v>
      </c>
      <c r="D1081" s="5" t="str">
        <f>IFERROR(__xludf.DUMMYFUNCTION("""COMPUTED_VALUE"""),"10 Lyssos Way Tapping WA 6065")</f>
        <v>10 Lyssos Way Tapping WA 6065</v>
      </c>
      <c r="E1081" s="25">
        <f>IFERROR(__xludf.DUMMYFUNCTION("""COMPUTED_VALUE"""),45905.0)</f>
        <v>45905</v>
      </c>
      <c r="F1081" s="5" t="str">
        <f>IFERROR(__xludf.DUMMYFUNCTION("""COMPUTED_VALUE"""),"Featured")</f>
        <v>Featured</v>
      </c>
      <c r="G1081" s="19" t="str">
        <f>IFERROR(__xludf.DUMMYFUNCTION("""COMPUTED_VALUE"""),"Instant Forms")</f>
        <v>Instant Forms</v>
      </c>
      <c r="H1081" s="19"/>
      <c r="I1081" s="62"/>
      <c r="J1081" s="19"/>
    </row>
    <row r="1082">
      <c r="A1082" s="19" t="str">
        <f>IFERROR(__xludf.DUMMYFUNCTION("""COMPUTED_VALUE"""),"Ian Knight")</f>
        <v>Ian Knight</v>
      </c>
      <c r="B1082" s="19" t="str">
        <f>IFERROR(__xludf.DUMMYFUNCTION("""COMPUTED_VALUE"""),"WA")</f>
        <v>WA</v>
      </c>
      <c r="C1082" s="5" t="str">
        <f>IFERROR(__xludf.DUMMYFUNCTION("""COMPUTED_VALUE"""),"Mindarie")</f>
        <v>Mindarie</v>
      </c>
      <c r="D1082" s="5" t="str">
        <f>IFERROR(__xludf.DUMMYFUNCTION("""COMPUTED_VALUE"""),"4 Sea Edge Mindarie WA 6030")</f>
        <v>4 Sea Edge Mindarie WA 6030</v>
      </c>
      <c r="E1082" s="25">
        <f>IFERROR(__xludf.DUMMYFUNCTION("""COMPUTED_VALUE"""),45906.0)</f>
        <v>45906</v>
      </c>
      <c r="F1082" s="5" t="str">
        <f>IFERROR(__xludf.DUMMYFUNCTION("""COMPUTED_VALUE"""),"Featured")</f>
        <v>Featured</v>
      </c>
      <c r="G1082" s="19" t="str">
        <f>IFERROR(__xludf.DUMMYFUNCTION("""COMPUTED_VALUE"""),"Instant Forms")</f>
        <v>Instant Forms</v>
      </c>
      <c r="H1082" s="19"/>
      <c r="I1082" s="62"/>
      <c r="J1082" s="19"/>
    </row>
    <row r="1083">
      <c r="A1083" s="19" t="str">
        <f>IFERROR(__xludf.DUMMYFUNCTION("""COMPUTED_VALUE"""),"Ian Knight")</f>
        <v>Ian Knight</v>
      </c>
      <c r="B1083" s="19" t="str">
        <f>IFERROR(__xludf.DUMMYFUNCTION("""COMPUTED_VALUE"""),"WA")</f>
        <v>WA</v>
      </c>
      <c r="C1083" s="5" t="str">
        <f>IFERROR(__xludf.DUMMYFUNCTION("""COMPUTED_VALUE"""),"Hillarys")</f>
        <v>Hillarys</v>
      </c>
      <c r="D1083" s="5" t="str">
        <f>IFERROR(__xludf.DUMMYFUNCTION("""COMPUTED_VALUE"""),"54 Armytage Way Hillarys WA 6025")</f>
        <v>54 Armytage Way Hillarys WA 6025</v>
      </c>
      <c r="E1083" s="25">
        <f>IFERROR(__xludf.DUMMYFUNCTION("""COMPUTED_VALUE"""),45906.0)</f>
        <v>45906</v>
      </c>
      <c r="F1083" s="5" t="str">
        <f>IFERROR(__xludf.DUMMYFUNCTION("""COMPUTED_VALUE"""),"Featured")</f>
        <v>Featured</v>
      </c>
      <c r="G1083" s="19" t="str">
        <f>IFERROR(__xludf.DUMMYFUNCTION("""COMPUTED_VALUE"""),"Instant Forms")</f>
        <v>Instant Forms</v>
      </c>
      <c r="H1083" s="19"/>
      <c r="I1083" s="62"/>
      <c r="J1083" s="19"/>
    </row>
    <row r="1084">
      <c r="A1084" s="19" t="str">
        <f>IFERROR(__xludf.DUMMYFUNCTION("""COMPUTED_VALUE"""),"Ian Knight")</f>
        <v>Ian Knight</v>
      </c>
      <c r="B1084" s="19" t="str">
        <f>IFERROR(__xludf.DUMMYFUNCTION("""COMPUTED_VALUE"""),"WA")</f>
        <v>WA</v>
      </c>
      <c r="C1084" s="5" t="str">
        <f>IFERROR(__xludf.DUMMYFUNCTION("""COMPUTED_VALUE"""),"Heathridge")</f>
        <v>Heathridge</v>
      </c>
      <c r="D1084" s="5" t="str">
        <f>IFERROR(__xludf.DUMMYFUNCTION("""COMPUTED_VALUE"""),"5 Berkeley Street Heathridge WA 6027")</f>
        <v>5 Berkeley Street Heathridge WA 6027</v>
      </c>
      <c r="E1084" s="25">
        <f>IFERROR(__xludf.DUMMYFUNCTION("""COMPUTED_VALUE"""),45918.0)</f>
        <v>45918</v>
      </c>
      <c r="F1084" s="5">
        <f>IFERROR(__xludf.DUMMYFUNCTION("""COMPUTED_VALUE"""),8.0)</f>
        <v>8</v>
      </c>
      <c r="G1084" s="19" t="str">
        <f>IFERROR(__xludf.DUMMYFUNCTION("""COMPUTED_VALUE"""),"Instant Forms")</f>
        <v>Instant Forms</v>
      </c>
      <c r="H1084" s="19" t="str">
        <f>IFERROR(__xludf.DUMMYFUNCTION("""COMPUTED_VALUE"""),"Sanjay Patel")</f>
        <v>Sanjay Patel</v>
      </c>
      <c r="I1084" s="62"/>
      <c r="J1084" s="19"/>
    </row>
    <row r="1085">
      <c r="A1085" s="19" t="str">
        <f>IFERROR(__xludf.DUMMYFUNCTION("""COMPUTED_VALUE"""),"Ian Knight")</f>
        <v>Ian Knight</v>
      </c>
      <c r="B1085" s="19" t="str">
        <f>IFERROR(__xludf.DUMMYFUNCTION("""COMPUTED_VALUE"""),"WA")</f>
        <v>WA</v>
      </c>
      <c r="C1085" s="5" t="str">
        <f>IFERROR(__xludf.DUMMYFUNCTION("""COMPUTED_VALUE"""),"Iluka")</f>
        <v>Iluka</v>
      </c>
      <c r="D1085" s="5" t="str">
        <f>IFERROR(__xludf.DUMMYFUNCTION("""COMPUTED_VALUE"""),"505 Burns Beach Road Iluka WA 6028")</f>
        <v>505 Burns Beach Road Iluka WA 6028</v>
      </c>
      <c r="E1085" s="25">
        <f>IFERROR(__xludf.DUMMYFUNCTION("""COMPUTED_VALUE"""),45919.0)</f>
        <v>45919</v>
      </c>
      <c r="F1085" s="5">
        <f>IFERROR(__xludf.DUMMYFUNCTION("""COMPUTED_VALUE"""),8.0)</f>
        <v>8</v>
      </c>
      <c r="G1085" s="19" t="str">
        <f>IFERROR(__xludf.DUMMYFUNCTION("""COMPUTED_VALUE"""),"Instant Forms")</f>
        <v>Instant Forms</v>
      </c>
      <c r="H1085" s="19" t="str">
        <f>IFERROR(__xludf.DUMMYFUNCTION("""COMPUTED_VALUE"""),"Dalibor Aćimić")</f>
        <v>Dalibor Aćimić</v>
      </c>
      <c r="I1085" s="62"/>
      <c r="J1085" s="19"/>
    </row>
    <row r="1086">
      <c r="A1086" s="19" t="str">
        <f>IFERROR(__xludf.DUMMYFUNCTION("""COMPUTED_VALUE"""),"Ian Knight")</f>
        <v>Ian Knight</v>
      </c>
      <c r="B1086" s="19" t="str">
        <f>IFERROR(__xludf.DUMMYFUNCTION("""COMPUTED_VALUE"""),"WA")</f>
        <v>WA</v>
      </c>
      <c r="C1086" s="5" t="str">
        <f>IFERROR(__xludf.DUMMYFUNCTION("""COMPUTED_VALUE"""),"Alkimos")</f>
        <v>Alkimos</v>
      </c>
      <c r="D1086" s="5" t="str">
        <f>IFERROR(__xludf.DUMMYFUNCTION("""COMPUTED_VALUE"""),"34 Myrlea Trail Alkimos WA 6038")</f>
        <v>34 Myrlea Trail Alkimos WA 6038</v>
      </c>
      <c r="E1086" s="25">
        <f>IFERROR(__xludf.DUMMYFUNCTION("""COMPUTED_VALUE"""),45922.0)</f>
        <v>45922</v>
      </c>
      <c r="F1086" s="5">
        <f>IFERROR(__xludf.DUMMYFUNCTION("""COMPUTED_VALUE"""),8.0)</f>
        <v>8</v>
      </c>
      <c r="G1086" s="19" t="str">
        <f>IFERROR(__xludf.DUMMYFUNCTION("""COMPUTED_VALUE"""),"Instant Forms")</f>
        <v>Instant Forms</v>
      </c>
      <c r="H1086" s="19" t="str">
        <f>IFERROR(__xludf.DUMMYFUNCTION("""COMPUTED_VALUE"""),"Paul Wesley")</f>
        <v>Paul Wesley</v>
      </c>
      <c r="I1086" s="62"/>
      <c r="J1086" s="19"/>
    </row>
    <row r="1087">
      <c r="A1087" s="19" t="str">
        <f>IFERROR(__xludf.DUMMYFUNCTION("""COMPUTED_VALUE"""),"Ian Knight")</f>
        <v>Ian Knight</v>
      </c>
      <c r="B1087" s="19" t="str">
        <f>IFERROR(__xludf.DUMMYFUNCTION("""COMPUTED_VALUE"""),"WA")</f>
        <v>WA</v>
      </c>
      <c r="C1087" s="5" t="str">
        <f>IFERROR(__xludf.DUMMYFUNCTION("""COMPUTED_VALUE"""),"Sinagra")</f>
        <v>Sinagra</v>
      </c>
      <c r="D1087" s="5" t="str">
        <f>IFERROR(__xludf.DUMMYFUNCTION("""COMPUTED_VALUE"""),"23 Plumeria Rise Sinagra WA 6065")</f>
        <v>23 Plumeria Rise Sinagra WA 6065</v>
      </c>
      <c r="E1087" s="25">
        <f>IFERROR(__xludf.DUMMYFUNCTION("""COMPUTED_VALUE"""),45925.0)</f>
        <v>45925</v>
      </c>
      <c r="F1087" s="5">
        <f>IFERROR(__xludf.DUMMYFUNCTION("""COMPUTED_VALUE"""),8.0)</f>
        <v>8</v>
      </c>
      <c r="G1087" s="19" t="str">
        <f>IFERROR(__xludf.DUMMYFUNCTION("""COMPUTED_VALUE"""),"Instant Forms")</f>
        <v>Instant Forms</v>
      </c>
      <c r="H1087" s="19" t="str">
        <f>IFERROR(__xludf.DUMMYFUNCTION("""COMPUTED_VALUE"""),"Ron Costen")</f>
        <v>Ron Costen</v>
      </c>
      <c r="I1087" s="62"/>
      <c r="J1087" s="19"/>
    </row>
    <row r="1088">
      <c r="A1088" s="19" t="str">
        <f>IFERROR(__xludf.DUMMYFUNCTION("""COMPUTED_VALUE"""),"Ian Knight")</f>
        <v>Ian Knight</v>
      </c>
      <c r="B1088" s="19" t="str">
        <f>IFERROR(__xludf.DUMMYFUNCTION("""COMPUTED_VALUE"""),"WA")</f>
        <v>WA</v>
      </c>
      <c r="C1088" s="5" t="str">
        <f>IFERROR(__xludf.DUMMYFUNCTION("""COMPUTED_VALUE"""),"Edgewater")</f>
        <v>Edgewater</v>
      </c>
      <c r="D1088" s="5" t="str">
        <f>IFERROR(__xludf.DUMMYFUNCTION("""COMPUTED_VALUE"""),"9 Whelk Place Mullaloo WA 6027")</f>
        <v>9 Whelk Place Mullaloo WA 6027</v>
      </c>
      <c r="E1088" s="25">
        <f>IFERROR(__xludf.DUMMYFUNCTION("""COMPUTED_VALUE"""),45925.0)</f>
        <v>45925</v>
      </c>
      <c r="F1088" s="5">
        <f>IFERROR(__xludf.DUMMYFUNCTION("""COMPUTED_VALUE"""),6.0)</f>
        <v>6</v>
      </c>
      <c r="G1088" s="19" t="str">
        <f>IFERROR(__xludf.DUMMYFUNCTION("""COMPUTED_VALUE"""),"Instant Forms")</f>
        <v>Instant Forms</v>
      </c>
      <c r="H1088" s="19" t="str">
        <f>IFERROR(__xludf.DUMMYFUNCTION("""COMPUTED_VALUE"""),"Loana Sica")</f>
        <v>Loana Sica</v>
      </c>
      <c r="I1088" s="62"/>
      <c r="J1088" s="19"/>
    </row>
    <row r="1089">
      <c r="A1089" s="19" t="str">
        <f>IFERROR(__xludf.DUMMYFUNCTION("""COMPUTED_VALUE"""),"Ian Knight")</f>
        <v>Ian Knight</v>
      </c>
      <c r="B1089" s="19" t="str">
        <f>IFERROR(__xludf.DUMMYFUNCTION("""COMPUTED_VALUE"""),"WA")</f>
        <v>WA</v>
      </c>
      <c r="C1089" s="5" t="str">
        <f>IFERROR(__xludf.DUMMYFUNCTION("""COMPUTED_VALUE"""),"Carramar")</f>
        <v>Carramar</v>
      </c>
      <c r="D1089" s="5" t="str">
        <f>IFERROR(__xludf.DUMMYFUNCTION("""COMPUTED_VALUE"""),"11 Lyndavale Loop Carramar WA 6031")</f>
        <v>11 Lyndavale Loop Carramar WA 6031</v>
      </c>
      <c r="E1089" s="25">
        <f>IFERROR(__xludf.DUMMYFUNCTION("""COMPUTED_VALUE"""),45925.0)</f>
        <v>45925</v>
      </c>
      <c r="F1089" s="5">
        <f>IFERROR(__xludf.DUMMYFUNCTION("""COMPUTED_VALUE"""),8.0)</f>
        <v>8</v>
      </c>
      <c r="G1089" s="19" t="str">
        <f>IFERROR(__xludf.DUMMYFUNCTION("""COMPUTED_VALUE"""),"Instant Forms")</f>
        <v>Instant Forms</v>
      </c>
      <c r="H1089" s="19" t="str">
        <f>IFERROR(__xludf.DUMMYFUNCTION("""COMPUTED_VALUE"""),"Mike Clarke")</f>
        <v>Mike Clarke</v>
      </c>
      <c r="I1089" s="62"/>
      <c r="J1089" s="19"/>
    </row>
    <row r="1090">
      <c r="A1090" s="19" t="str">
        <f>IFERROR(__xludf.DUMMYFUNCTION("""COMPUTED_VALUE"""),"Ian Knight")</f>
        <v>Ian Knight</v>
      </c>
      <c r="B1090" s="19" t="str">
        <f>IFERROR(__xludf.DUMMYFUNCTION("""COMPUTED_VALUE"""),"WA")</f>
        <v>WA</v>
      </c>
      <c r="C1090" s="5" t="str">
        <f>IFERROR(__xludf.DUMMYFUNCTION("""COMPUTED_VALUE"""),"Heathridge")</f>
        <v>Heathridge</v>
      </c>
      <c r="D1090" s="5"/>
      <c r="E1090" s="25">
        <f>IFERROR(__xludf.DUMMYFUNCTION("""COMPUTED_VALUE"""),45928.0)</f>
        <v>45928</v>
      </c>
      <c r="F1090" s="5">
        <f>IFERROR(__xludf.DUMMYFUNCTION("""COMPUTED_VALUE"""),5.0)</f>
        <v>5</v>
      </c>
      <c r="G1090" s="19" t="str">
        <f>IFERROR(__xludf.DUMMYFUNCTION("""COMPUTED_VALUE"""),"Instant Forms")</f>
        <v>Instant Forms</v>
      </c>
      <c r="H1090" s="19" t="str">
        <f>IFERROR(__xludf.DUMMYFUNCTION("""COMPUTED_VALUE"""),"Kerryn Touzel")</f>
        <v>Kerryn Touzel</v>
      </c>
      <c r="I1090" s="62"/>
      <c r="J1090" s="19"/>
    </row>
    <row r="1091">
      <c r="A1091" s="19" t="str">
        <f>IFERROR(__xludf.DUMMYFUNCTION("""COMPUTED_VALUE"""),"Ian Knight")</f>
        <v>Ian Knight</v>
      </c>
      <c r="B1091" s="19" t="str">
        <f>IFERROR(__xludf.DUMMYFUNCTION("""COMPUTED_VALUE"""),"WA")</f>
        <v>WA</v>
      </c>
      <c r="C1091" s="5">
        <f>IFERROR(__xludf.DUMMYFUNCTION("""COMPUTED_VALUE"""),6027.0)</f>
        <v>6027</v>
      </c>
      <c r="D1091" s="5"/>
      <c r="E1091" s="25">
        <f>IFERROR(__xludf.DUMMYFUNCTION("""COMPUTED_VALUE"""),45928.0)</f>
        <v>45928</v>
      </c>
      <c r="F1091" s="5">
        <f>IFERROR(__xludf.DUMMYFUNCTION("""COMPUTED_VALUE"""),6.0)</f>
        <v>6</v>
      </c>
      <c r="G1091" s="19" t="str">
        <f>IFERROR(__xludf.DUMMYFUNCTION("""COMPUTED_VALUE"""),"Instant Forms")</f>
        <v>Instant Forms</v>
      </c>
      <c r="H1091" s="19" t="str">
        <f>IFERROR(__xludf.DUMMYFUNCTION("""COMPUTED_VALUE"""),"Michael Lai")</f>
        <v>Michael Lai</v>
      </c>
      <c r="I1091" s="62"/>
      <c r="J1091" s="19"/>
    </row>
    <row r="1092">
      <c r="A1092" s="19" t="str">
        <f>IFERROR(__xludf.DUMMYFUNCTION("""COMPUTED_VALUE"""),"Ian Knight")</f>
        <v>Ian Knight</v>
      </c>
      <c r="B1092" s="19" t="str">
        <f>IFERROR(__xludf.DUMMYFUNCTION("""COMPUTED_VALUE"""),"WA")</f>
        <v>WA</v>
      </c>
      <c r="C1092" s="5" t="str">
        <f>IFERROR(__xludf.DUMMYFUNCTION("""COMPUTED_VALUE"""),"clarkson")</f>
        <v>clarkson</v>
      </c>
      <c r="D1092" s="5" t="str">
        <f>IFERROR(__xludf.DUMMYFUNCTION("""COMPUTED_VALUE"""),"10 Antares Street Clarkson WA 6030")</f>
        <v>10 Antares Street Clarkson WA 6030</v>
      </c>
      <c r="E1092" s="25">
        <f>IFERROR(__xludf.DUMMYFUNCTION("""COMPUTED_VALUE"""),45931.0)</f>
        <v>45931</v>
      </c>
      <c r="F1092" s="5">
        <f>IFERROR(__xludf.DUMMYFUNCTION("""COMPUTED_VALUE"""),8.0)</f>
        <v>8</v>
      </c>
      <c r="G1092" s="19" t="str">
        <f>IFERROR(__xludf.DUMMYFUNCTION("""COMPUTED_VALUE"""),"Instant Forms")</f>
        <v>Instant Forms</v>
      </c>
      <c r="H1092" s="19" t="str">
        <f>IFERROR(__xludf.DUMMYFUNCTION("""COMPUTED_VALUE"""),"Joan Martin")</f>
        <v>Joan Martin</v>
      </c>
      <c r="I1092" s="62"/>
      <c r="J1092" s="19"/>
    </row>
    <row r="1093">
      <c r="A1093" s="19" t="str">
        <f>IFERROR(__xludf.DUMMYFUNCTION("""COMPUTED_VALUE"""),"Ian Knight")</f>
        <v>Ian Knight</v>
      </c>
      <c r="B1093" s="19" t="str">
        <f>IFERROR(__xludf.DUMMYFUNCTION("""COMPUTED_VALUE"""),"WA")</f>
        <v>WA</v>
      </c>
      <c r="C1093" s="5" t="str">
        <f>IFERROR(__xludf.DUMMYFUNCTION("""COMPUTED_VALUE"""),"Kinross")</f>
        <v>Kinross</v>
      </c>
      <c r="D1093" s="5" t="str">
        <f>IFERROR(__xludf.DUMMYFUNCTION("""COMPUTED_VALUE"""),"45 Stonehaven Parade")</f>
        <v>45 Stonehaven Parade</v>
      </c>
      <c r="E1093" s="25">
        <f>IFERROR(__xludf.DUMMYFUNCTION("""COMPUTED_VALUE"""),45931.0)</f>
        <v>45931</v>
      </c>
      <c r="F1093" s="5" t="str">
        <f>IFERROR(__xludf.DUMMYFUNCTION("""COMPUTED_VALUE"""),"Featured")</f>
        <v>Featured</v>
      </c>
      <c r="G1093" s="19" t="str">
        <f>IFERROR(__xludf.DUMMYFUNCTION("""COMPUTED_VALUE"""),"Commission Comparison")</f>
        <v>Commission Comparison</v>
      </c>
      <c r="H1093" s="19"/>
      <c r="I1093" s="62"/>
      <c r="J1093" s="19"/>
    </row>
    <row r="1094">
      <c r="A1094" s="19" t="str">
        <f>IFERROR(__xludf.DUMMYFUNCTION("""COMPUTED_VALUE"""),"Ian Knight")</f>
        <v>Ian Knight</v>
      </c>
      <c r="B1094" s="19" t="str">
        <f>IFERROR(__xludf.DUMMYFUNCTION("""COMPUTED_VALUE"""),"WA")</f>
        <v>WA</v>
      </c>
      <c r="C1094" s="5" t="str">
        <f>IFERROR(__xludf.DUMMYFUNCTION("""COMPUTED_VALUE"""),"Kinross")</f>
        <v>Kinross</v>
      </c>
      <c r="D1094" s="5" t="str">
        <f>IFERROR(__xludf.DUMMYFUNCTION("""COMPUTED_VALUE"""),"7/157 Kinross Drive Kinross WA 6028")</f>
        <v>7/157 Kinross Drive Kinross WA 6028</v>
      </c>
      <c r="E1094" s="25">
        <f>IFERROR(__xludf.DUMMYFUNCTION("""COMPUTED_VALUE"""),45931.0)</f>
        <v>45931</v>
      </c>
      <c r="F1094" s="5">
        <f>IFERROR(__xludf.DUMMYFUNCTION("""COMPUTED_VALUE"""),8.0)</f>
        <v>8</v>
      </c>
      <c r="G1094" s="19" t="str">
        <f>IFERROR(__xludf.DUMMYFUNCTION("""COMPUTED_VALUE"""),"Instant Forms")</f>
        <v>Instant Forms</v>
      </c>
      <c r="H1094" s="19" t="str">
        <f>IFERROR(__xludf.DUMMYFUNCTION("""COMPUTED_VALUE"""),"Danielle Hayes")</f>
        <v>Danielle Hayes</v>
      </c>
      <c r="I1094" s="62"/>
      <c r="J1094" s="19"/>
    </row>
    <row r="1095">
      <c r="A1095" s="19" t="str">
        <f>IFERROR(__xludf.DUMMYFUNCTION("""COMPUTED_VALUE"""),"Ian Knight")</f>
        <v>Ian Knight</v>
      </c>
      <c r="B1095" s="19" t="str">
        <f>IFERROR(__xludf.DUMMYFUNCTION("""COMPUTED_VALUE"""),"WA")</f>
        <v>WA</v>
      </c>
      <c r="C1095" s="5" t="str">
        <f>IFERROR(__xludf.DUMMYFUNCTION("""COMPUTED_VALUE"""),"Landsdale")</f>
        <v>Landsdale</v>
      </c>
      <c r="D1095" s="5" t="str">
        <f>IFERROR(__xludf.DUMMYFUNCTION("""COMPUTED_VALUE"""),"38 Sissinghurst Crescent Landsdale WA 6065")</f>
        <v>38 Sissinghurst Crescent Landsdale WA 6065</v>
      </c>
      <c r="E1095" s="25">
        <f>IFERROR(__xludf.DUMMYFUNCTION("""COMPUTED_VALUE"""),45934.0)</f>
        <v>45934</v>
      </c>
      <c r="F1095" s="5">
        <f>IFERROR(__xludf.DUMMYFUNCTION("""COMPUTED_VALUE"""),8.0)</f>
        <v>8</v>
      </c>
      <c r="G1095" s="19" t="str">
        <f>IFERROR(__xludf.DUMMYFUNCTION("""COMPUTED_VALUE"""),"Instant Forms")</f>
        <v>Instant Forms</v>
      </c>
      <c r="H1095" s="19" t="str">
        <f>IFERROR(__xludf.DUMMYFUNCTION("""COMPUTED_VALUE"""),"Neil Stewart")</f>
        <v>Neil Stewart</v>
      </c>
      <c r="I1095" s="62"/>
      <c r="J1095" s="19"/>
    </row>
    <row r="1096">
      <c r="A1096" s="19" t="str">
        <f>IFERROR(__xludf.DUMMYFUNCTION("""COMPUTED_VALUE"""),"Ian Knight")</f>
        <v>Ian Knight</v>
      </c>
      <c r="B1096" s="19" t="str">
        <f>IFERROR(__xludf.DUMMYFUNCTION("""COMPUTED_VALUE"""),"WA")</f>
        <v>WA</v>
      </c>
      <c r="C1096" s="5" t="str">
        <f>IFERROR(__xludf.DUMMYFUNCTION("""COMPUTED_VALUE"""),"Butler")</f>
        <v>Butler</v>
      </c>
      <c r="D1096" s="5" t="str">
        <f>IFERROR(__xludf.DUMMYFUNCTION("""COMPUTED_VALUE"""),"53 Tollesbury Avenue Butler, Butler, 6036")</f>
        <v>53 Tollesbury Avenue Butler, Butler, 6036</v>
      </c>
      <c r="E1096" s="27">
        <f>IFERROR(__xludf.DUMMYFUNCTION("""COMPUTED_VALUE"""),45848.0)</f>
        <v>45848</v>
      </c>
      <c r="F1096" s="5" t="str">
        <f>IFERROR(__xludf.DUMMYFUNCTION("""COMPUTED_VALUE"""),"Featured")</f>
        <v>Featured</v>
      </c>
      <c r="G1096" s="19" t="str">
        <f>IFERROR(__xludf.DUMMYFUNCTION("""COMPUTED_VALUE"""),"Meta Commission Report")</f>
        <v>Meta Commission Report</v>
      </c>
      <c r="H1096" s="19" t="str">
        <f>IFERROR(__xludf.DUMMYFUNCTION("""COMPUTED_VALUE"""),"Susan Falk")</f>
        <v>Susan Falk</v>
      </c>
      <c r="I1096" s="62"/>
      <c r="J1096" s="19"/>
    </row>
    <row r="1097">
      <c r="A1097" s="19" t="str">
        <f>IFERROR(__xludf.DUMMYFUNCTION("""COMPUTED_VALUE"""),"Ian Knight")</f>
        <v>Ian Knight</v>
      </c>
      <c r="B1097" s="19" t="str">
        <f>IFERROR(__xludf.DUMMYFUNCTION("""COMPUTED_VALUE"""),"WA")</f>
        <v>WA</v>
      </c>
      <c r="C1097" s="5" t="str">
        <f>IFERROR(__xludf.DUMMYFUNCTION("""COMPUTED_VALUE"""),"Eglinton")</f>
        <v>Eglinton</v>
      </c>
      <c r="D1097" s="5" t="str">
        <f>IFERROR(__xludf.DUMMYFUNCTION("""COMPUTED_VALUE"""),"21 Lowlands Avenue Eglinton WA 6034")</f>
        <v>21 Lowlands Avenue Eglinton WA 6034</v>
      </c>
      <c r="E1097" s="25">
        <f>IFERROR(__xludf.DUMMYFUNCTION("""COMPUTED_VALUE"""),45937.0)</f>
        <v>45937</v>
      </c>
      <c r="F1097" s="5">
        <f>IFERROR(__xludf.DUMMYFUNCTION("""COMPUTED_VALUE"""),8.0)</f>
        <v>8</v>
      </c>
      <c r="G1097" s="19" t="str">
        <f>IFERROR(__xludf.DUMMYFUNCTION("""COMPUTED_VALUE"""),"Instant Forms")</f>
        <v>Instant Forms</v>
      </c>
      <c r="H1097" s="19" t="str">
        <f>IFERROR(__xludf.DUMMYFUNCTION("""COMPUTED_VALUE"""),"Sandra Palmer")</f>
        <v>Sandra Palmer</v>
      </c>
      <c r="I1097" s="62"/>
      <c r="J1097" s="19"/>
    </row>
    <row r="1098">
      <c r="A1098" s="19" t="str">
        <f>IFERROR(__xludf.DUMMYFUNCTION("""COMPUTED_VALUE"""),"Ian Knight")</f>
        <v>Ian Knight</v>
      </c>
      <c r="B1098" s="19" t="str">
        <f>IFERROR(__xludf.DUMMYFUNCTION("""COMPUTED_VALUE"""),"WA")</f>
        <v>WA</v>
      </c>
      <c r="C1098" s="5" t="str">
        <f>IFERROR(__xludf.DUMMYFUNCTION("""COMPUTED_VALUE"""),"Ocean reef")</f>
        <v>Ocean reef</v>
      </c>
      <c r="D1098" s="5" t="str">
        <f>IFERROR(__xludf.DUMMYFUNCTION("""COMPUTED_VALUE"""),"72 Bacchante Circle Ocean Reef WA 6027")</f>
        <v>72 Bacchante Circle Ocean Reef WA 6027</v>
      </c>
      <c r="E1098" s="25">
        <f>IFERROR(__xludf.DUMMYFUNCTION("""COMPUTED_VALUE"""),45937.0)</f>
        <v>45937</v>
      </c>
      <c r="F1098" s="5">
        <f>IFERROR(__xludf.DUMMYFUNCTION("""COMPUTED_VALUE"""),8.0)</f>
        <v>8</v>
      </c>
      <c r="G1098" s="19" t="str">
        <f>IFERROR(__xludf.DUMMYFUNCTION("""COMPUTED_VALUE"""),"Instant Forms")</f>
        <v>Instant Forms</v>
      </c>
      <c r="H1098" s="19" t="str">
        <f>IFERROR(__xludf.DUMMYFUNCTION("""COMPUTED_VALUE"""),"Renae Horan")</f>
        <v>Renae Horan</v>
      </c>
      <c r="I1098" s="62"/>
      <c r="J1098" s="19"/>
    </row>
    <row r="1099">
      <c r="A1099" s="19" t="str">
        <f>IFERROR(__xludf.DUMMYFUNCTION("""COMPUTED_VALUE"""),"Ian Knight")</f>
        <v>Ian Knight</v>
      </c>
      <c r="B1099" s="19" t="str">
        <f>IFERROR(__xludf.DUMMYFUNCTION("""COMPUTED_VALUE"""),"WA")</f>
        <v>WA</v>
      </c>
      <c r="C1099" s="5" t="str">
        <f>IFERROR(__xludf.DUMMYFUNCTION("""COMPUTED_VALUE"""),"Wanneroo")</f>
        <v>Wanneroo</v>
      </c>
      <c r="D1099" s="5" t="str">
        <f>IFERROR(__xludf.DUMMYFUNCTION("""COMPUTED_VALUE"""),"26 Andrews Turn,")</f>
        <v>26 Andrews Turn,</v>
      </c>
      <c r="E1099" s="25">
        <f>IFERROR(__xludf.DUMMYFUNCTION("""COMPUTED_VALUE"""),45944.0)</f>
        <v>45944</v>
      </c>
      <c r="F1099" s="5" t="str">
        <f>IFERROR(__xludf.DUMMYFUNCTION("""COMPUTED_VALUE"""),"Featured")</f>
        <v>Featured</v>
      </c>
      <c r="G1099" s="19" t="str">
        <f>IFERROR(__xludf.DUMMYFUNCTION("""COMPUTED_VALUE"""),"Commission Comparison")</f>
        <v>Commission Comparison</v>
      </c>
      <c r="H1099" s="19"/>
      <c r="I1099" s="62"/>
      <c r="J1099" s="19"/>
    </row>
    <row r="1100">
      <c r="A1100" s="19" t="str">
        <f>IFERROR(__xludf.DUMMYFUNCTION("""COMPUTED_VALUE"""),"Ian Knight")</f>
        <v>Ian Knight</v>
      </c>
      <c r="B1100" s="19" t="str">
        <f>IFERROR(__xludf.DUMMYFUNCTION("""COMPUTED_VALUE"""),"WA")</f>
        <v>WA</v>
      </c>
      <c r="C1100" s="5" t="str">
        <f>IFERROR(__xludf.DUMMYFUNCTION("""COMPUTED_VALUE"""),"Butler")</f>
        <v>Butler</v>
      </c>
      <c r="D1100" s="5" t="str">
        <f>IFERROR(__xludf.DUMMYFUNCTION("""COMPUTED_VALUE"""),"96 Mansfield Avenue, Butler, WA, 6036, Australia")</f>
        <v>96 Mansfield Avenue, Butler, WA, 6036, Australia</v>
      </c>
      <c r="E1100" s="25" t="str">
        <f>IFERROR(__xludf.DUMMYFUNCTION("""COMPUTED_VALUE"""),"15/10/2025")</f>
        <v>15/10/2025</v>
      </c>
      <c r="F1100" s="5" t="str">
        <f>IFERROR(__xludf.DUMMYFUNCTION("""COMPUTED_VALUE"""),"Featured")</f>
        <v>Featured</v>
      </c>
      <c r="G1100" s="19"/>
      <c r="H1100" s="19"/>
      <c r="I1100" s="62"/>
      <c r="J1100" s="19"/>
    </row>
    <row r="1101">
      <c r="A1101" s="19" t="str">
        <f>IFERROR(__xludf.DUMMYFUNCTION("""COMPUTED_VALUE"""),"Ian Knight")</f>
        <v>Ian Knight</v>
      </c>
      <c r="B1101" s="19" t="str">
        <f>IFERROR(__xludf.DUMMYFUNCTION("""COMPUTED_VALUE"""),"WA")</f>
        <v>WA</v>
      </c>
      <c r="C1101" s="5" t="str">
        <f>IFERROR(__xludf.DUMMYFUNCTION("""COMPUTED_VALUE"""),"Banksia grove")</f>
        <v>Banksia grove</v>
      </c>
      <c r="D1101" s="5" t="str">
        <f>IFERROR(__xludf.DUMMYFUNCTION("""COMPUTED_VALUE"""),"23 Cuddlepie Turn Banksia Grove WA 6031")</f>
        <v>23 Cuddlepie Turn Banksia Grove WA 6031</v>
      </c>
      <c r="E1101" s="25">
        <f>IFERROR(__xludf.DUMMYFUNCTION("""COMPUTED_VALUE"""),45945.0)</f>
        <v>45945</v>
      </c>
      <c r="F1101" s="5">
        <f>IFERROR(__xludf.DUMMYFUNCTION("""COMPUTED_VALUE"""),8.0)</f>
        <v>8</v>
      </c>
      <c r="G1101" s="19" t="str">
        <f>IFERROR(__xludf.DUMMYFUNCTION("""COMPUTED_VALUE"""),"Instant Forms")</f>
        <v>Instant Forms</v>
      </c>
      <c r="H1101" s="19" t="str">
        <f>IFERROR(__xludf.DUMMYFUNCTION("""COMPUTED_VALUE"""),"John Gaffney")</f>
        <v>John Gaffney</v>
      </c>
      <c r="I1101" s="62"/>
      <c r="J1101" s="19"/>
    </row>
    <row r="1102">
      <c r="A1102" s="19" t="str">
        <f>IFERROR(__xludf.DUMMYFUNCTION("""COMPUTED_VALUE"""),"Ian Knight")</f>
        <v>Ian Knight</v>
      </c>
      <c r="B1102" s="19" t="str">
        <f>IFERROR(__xludf.DUMMYFUNCTION("""COMPUTED_VALUE"""),"WA")</f>
        <v>WA</v>
      </c>
      <c r="C1102" s="5" t="str">
        <f>IFERROR(__xludf.DUMMYFUNCTION("""COMPUTED_VALUE"""),"Tapping")</f>
        <v>Tapping</v>
      </c>
      <c r="D1102" s="5" t="str">
        <f>IFERROR(__xludf.DUMMYFUNCTION("""COMPUTED_VALUE"""),"18 Daimler Drive TAPPING WA 6065")</f>
        <v>18 Daimler Drive TAPPING WA 6065</v>
      </c>
      <c r="E1102" s="25">
        <f>IFERROR(__xludf.DUMMYFUNCTION("""COMPUTED_VALUE"""),45945.0)</f>
        <v>45945</v>
      </c>
      <c r="F1102" s="5">
        <f>IFERROR(__xludf.DUMMYFUNCTION("""COMPUTED_VALUE"""),8.0)</f>
        <v>8</v>
      </c>
      <c r="G1102" s="19" t="str">
        <f>IFERROR(__xludf.DUMMYFUNCTION("""COMPUTED_VALUE"""),"Instant Forms")</f>
        <v>Instant Forms</v>
      </c>
      <c r="H1102" s="19"/>
      <c r="I1102" s="62"/>
      <c r="J1102" s="19"/>
    </row>
    <row r="1103">
      <c r="A1103" s="19" t="str">
        <f>IFERROR(__xludf.DUMMYFUNCTION("""COMPUTED_VALUE"""),"Ian Knight")</f>
        <v>Ian Knight</v>
      </c>
      <c r="B1103" s="19" t="str">
        <f>IFERROR(__xludf.DUMMYFUNCTION("""COMPUTED_VALUE"""),"WA")</f>
        <v>WA</v>
      </c>
      <c r="C1103" s="5" t="str">
        <f>IFERROR(__xludf.DUMMYFUNCTION("""COMPUTED_VALUE"""),"Ashby")</f>
        <v>Ashby</v>
      </c>
      <c r="D1103" s="5" t="str">
        <f>IFERROR(__xludf.DUMMYFUNCTION("""COMPUTED_VALUE"""),"4 Dusart Way Ashby WA 6065")</f>
        <v>4 Dusart Way Ashby WA 6065</v>
      </c>
      <c r="E1103" s="25">
        <f>IFERROR(__xludf.DUMMYFUNCTION("""COMPUTED_VALUE"""),45951.0)</f>
        <v>45951</v>
      </c>
      <c r="F1103" s="5">
        <f>IFERROR(__xludf.DUMMYFUNCTION("""COMPUTED_VALUE"""),8.0)</f>
        <v>8</v>
      </c>
      <c r="G1103" s="19" t="str">
        <f>IFERROR(__xludf.DUMMYFUNCTION("""COMPUTED_VALUE"""),"Instant Forms")</f>
        <v>Instant Forms</v>
      </c>
      <c r="H1103" s="19"/>
      <c r="I1103" s="62"/>
      <c r="J1103" s="19"/>
    </row>
    <row r="1104">
      <c r="A1104" s="19" t="str">
        <f>IFERROR(__xludf.DUMMYFUNCTION("""COMPUTED_VALUE"""),"Ian Knight")</f>
        <v>Ian Knight</v>
      </c>
      <c r="B1104" s="19" t="str">
        <f>IFERROR(__xludf.DUMMYFUNCTION("""COMPUTED_VALUE"""),"WA")</f>
        <v>WA</v>
      </c>
      <c r="C1104" s="5" t="str">
        <f>IFERROR(__xludf.DUMMYFUNCTION("""COMPUTED_VALUE"""),"Ridgewood WA")</f>
        <v>Ridgewood WA</v>
      </c>
      <c r="D1104" s="5" t="str">
        <f>IFERROR(__xludf.DUMMYFUNCTION("""COMPUTED_VALUE"""),"10 Denison Turn Ridgewood")</f>
        <v>10 Denison Turn Ridgewood</v>
      </c>
      <c r="E1104" s="25">
        <f>IFERROR(__xludf.DUMMYFUNCTION("""COMPUTED_VALUE"""),45951.0)</f>
        <v>45951</v>
      </c>
      <c r="F1104" s="5" t="str">
        <f>IFERROR(__xludf.DUMMYFUNCTION("""COMPUTED_VALUE"""),"Featured")</f>
        <v>Featured</v>
      </c>
      <c r="G1104" s="19" t="str">
        <f>IFERROR(__xludf.DUMMYFUNCTION("""COMPUTED_VALUE"""),"Commission Comparison")</f>
        <v>Commission Comparison</v>
      </c>
      <c r="H1104" s="19"/>
      <c r="I1104" s="62"/>
      <c r="J1104" s="19"/>
    </row>
    <row r="1105">
      <c r="A1105" s="19" t="str">
        <f>IFERROR(__xludf.DUMMYFUNCTION("""COMPUTED_VALUE"""),"Ian Knight")</f>
        <v>Ian Knight</v>
      </c>
      <c r="B1105" s="19" t="str">
        <f>IFERROR(__xludf.DUMMYFUNCTION("""COMPUTED_VALUE"""),"WA")</f>
        <v>WA</v>
      </c>
      <c r="C1105" s="5" t="str">
        <f>IFERROR(__xludf.DUMMYFUNCTION("""COMPUTED_VALUE"""),"Butler")</f>
        <v>Butler</v>
      </c>
      <c r="D1105" s="5" t="str">
        <f>IFERROR(__xludf.DUMMYFUNCTION("""COMPUTED_VALUE"""),"3 Maryport Way, Butler, 6036")</f>
        <v>3 Maryport Way, Butler, 6036</v>
      </c>
      <c r="E1105" s="25" t="str">
        <f>IFERROR(__xludf.DUMMYFUNCTION("""COMPUTED_VALUE"""),"22/10/2025")</f>
        <v>22/10/2025</v>
      </c>
      <c r="F1105" s="5" t="str">
        <f>IFERROR(__xludf.DUMMYFUNCTION("""COMPUTED_VALUE"""),"Featured")</f>
        <v>Featured</v>
      </c>
      <c r="G1105" s="19" t="str">
        <f>IFERROR(__xludf.DUMMYFUNCTION("""COMPUTED_VALUE"""),"Meta Commission Report")</f>
        <v>Meta Commission Report</v>
      </c>
      <c r="H1105" s="19" t="str">
        <f>IFERROR(__xludf.DUMMYFUNCTION("""COMPUTED_VALUE"""),"Trevor Lawson")</f>
        <v>Trevor Lawson</v>
      </c>
      <c r="I1105" s="62"/>
      <c r="J1105" s="19"/>
    </row>
    <row r="1106">
      <c r="A1106" s="19" t="str">
        <f>IFERROR(__xludf.DUMMYFUNCTION("""COMPUTED_VALUE"""),"Ian Knight")</f>
        <v>Ian Knight</v>
      </c>
      <c r="B1106" s="19" t="str">
        <f>IFERROR(__xludf.DUMMYFUNCTION("""COMPUTED_VALUE"""),"WA")</f>
        <v>WA</v>
      </c>
      <c r="C1106" s="5" t="str">
        <f>IFERROR(__xludf.DUMMYFUNCTION("""COMPUTED_VALUE"""),"Eglinton")</f>
        <v>Eglinton</v>
      </c>
      <c r="D1106" s="5" t="str">
        <f>IFERROR(__xludf.DUMMYFUNCTION("""COMPUTED_VALUE"""),"21 Carmine Street Eglinton WA 6034")</f>
        <v>21 Carmine Street Eglinton WA 6034</v>
      </c>
      <c r="E1106" s="25">
        <f>IFERROR(__xludf.DUMMYFUNCTION("""COMPUTED_VALUE"""),45956.0)</f>
        <v>45956</v>
      </c>
      <c r="F1106" s="5">
        <f>IFERROR(__xludf.DUMMYFUNCTION("""COMPUTED_VALUE"""),8.0)</f>
        <v>8</v>
      </c>
      <c r="G1106" s="19" t="str">
        <f>IFERROR(__xludf.DUMMYFUNCTION("""COMPUTED_VALUE"""),"Instant Forms")</f>
        <v>Instant Forms</v>
      </c>
      <c r="H1106" s="19"/>
      <c r="I1106" s="62"/>
      <c r="J1106" s="19"/>
    </row>
    <row r="1107">
      <c r="A1107" s="19" t="str">
        <f>IFERROR(__xludf.DUMMYFUNCTION("""COMPUTED_VALUE"""),"Ian Knight")</f>
        <v>Ian Knight</v>
      </c>
      <c r="B1107" s="19" t="str">
        <f>IFERROR(__xludf.DUMMYFUNCTION("""COMPUTED_VALUE"""),"WA")</f>
        <v>WA</v>
      </c>
      <c r="C1107" s="5" t="str">
        <f>IFERROR(__xludf.DUMMYFUNCTION("""COMPUTED_VALUE"""),"Merriwa")</f>
        <v>Merriwa</v>
      </c>
      <c r="D1107" s="5" t="str">
        <f>IFERROR(__xludf.DUMMYFUNCTION("""COMPUTED_VALUE"""),"Leave At Front Door, Merriwa, 6030")</f>
        <v>Leave At Front Door, Merriwa, 6030</v>
      </c>
      <c r="E1107" s="25" t="str">
        <f>IFERROR(__xludf.DUMMYFUNCTION("""COMPUTED_VALUE"""),"27/10/2025")</f>
        <v>27/10/2025</v>
      </c>
      <c r="F1107" s="5" t="str">
        <f>IFERROR(__xludf.DUMMYFUNCTION("""COMPUTED_VALUE"""),"Featured")</f>
        <v>Featured</v>
      </c>
      <c r="G1107" s="19" t="str">
        <f>IFERROR(__xludf.DUMMYFUNCTION("""COMPUTED_VALUE"""),"Meta Commission Report")</f>
        <v>Meta Commission Report</v>
      </c>
      <c r="H1107" s="19" t="str">
        <f>IFERROR(__xludf.DUMMYFUNCTION("""COMPUTED_VALUE"""),"Julia Johnson")</f>
        <v>Julia Johnson</v>
      </c>
      <c r="I1107" s="62"/>
      <c r="J1107" s="19"/>
    </row>
    <row r="1108">
      <c r="A1108" s="19" t="str">
        <f>IFERROR(__xludf.DUMMYFUNCTION("""COMPUTED_VALUE"""),"Ian Knight")</f>
        <v>Ian Knight</v>
      </c>
      <c r="B1108" s="19" t="str">
        <f>IFERROR(__xludf.DUMMYFUNCTION("""COMPUTED_VALUE"""),"WA")</f>
        <v>WA</v>
      </c>
      <c r="C1108" s="5" t="str">
        <f>IFERROR(__xludf.DUMMYFUNCTION("""COMPUTED_VALUE"""),"Butler")</f>
        <v>Butler</v>
      </c>
      <c r="D1108" s="5" t="str">
        <f>IFERROR(__xludf.DUMMYFUNCTION("""COMPUTED_VALUE"""),", Butler, 6036")</f>
        <v>, Butler, 6036</v>
      </c>
      <c r="E1108" s="25" t="str">
        <f>IFERROR(__xludf.DUMMYFUNCTION("""COMPUTED_VALUE"""),"30/10/2025")</f>
        <v>30/10/2025</v>
      </c>
      <c r="F1108" s="5" t="str">
        <f>IFERROR(__xludf.DUMMYFUNCTION("""COMPUTED_VALUE"""),"Featured")</f>
        <v>Featured</v>
      </c>
      <c r="G1108" s="19" t="str">
        <f>IFERROR(__xludf.DUMMYFUNCTION("""COMPUTED_VALUE"""),"Meta Commission Report")</f>
        <v>Meta Commission Report</v>
      </c>
      <c r="H1108" s="19" t="str">
        <f>IFERROR(__xludf.DUMMYFUNCTION("""COMPUTED_VALUE"""),"Lance O'Neill")</f>
        <v>Lance O'Neill</v>
      </c>
      <c r="I1108" s="62"/>
      <c r="J1108" s="19"/>
    </row>
    <row r="1109">
      <c r="A1109" s="19" t="str">
        <f>IFERROR(__xludf.DUMMYFUNCTION("""COMPUTED_VALUE"""),"Ian Knight")</f>
        <v>Ian Knight</v>
      </c>
      <c r="B1109" s="19" t="str">
        <f>IFERROR(__xludf.DUMMYFUNCTION("""COMPUTED_VALUE"""),"WA")</f>
        <v>WA</v>
      </c>
      <c r="C1109" s="5" t="str">
        <f>IFERROR(__xludf.DUMMYFUNCTION("""COMPUTED_VALUE"""),"Merriwa")</f>
        <v>Merriwa</v>
      </c>
      <c r="D1109" s="5" t="str">
        <f>IFERROR(__xludf.DUMMYFUNCTION("""COMPUTED_VALUE"""),"3 Badja Place Merriwa WA 6030")</f>
        <v>3 Badja Place Merriwa WA 6030</v>
      </c>
      <c r="E1109" s="25">
        <f>IFERROR(__xludf.DUMMYFUNCTION("""COMPUTED_VALUE"""),45961.0)</f>
        <v>45961</v>
      </c>
      <c r="F1109" s="5">
        <f>IFERROR(__xludf.DUMMYFUNCTION("""COMPUTED_VALUE"""),8.0)</f>
        <v>8</v>
      </c>
      <c r="G1109" s="19" t="str">
        <f>IFERROR(__xludf.DUMMYFUNCTION("""COMPUTED_VALUE"""),"Instant Forms")</f>
        <v>Instant Forms</v>
      </c>
      <c r="H1109" s="19"/>
      <c r="I1109" s="62"/>
      <c r="J1109" s="19"/>
    </row>
    <row r="1110">
      <c r="A1110" s="19" t="str">
        <f>IFERROR(__xludf.DUMMYFUNCTION("""COMPUTED_VALUE"""),"Ian Knight")</f>
        <v>Ian Knight</v>
      </c>
      <c r="B1110" s="19" t="str">
        <f>IFERROR(__xludf.DUMMYFUNCTION("""COMPUTED_VALUE"""),"WA")</f>
        <v>WA</v>
      </c>
      <c r="C1110" s="5" t="str">
        <f>IFERROR(__xludf.DUMMYFUNCTION("""COMPUTED_VALUE"""),"Alkimos")</f>
        <v>Alkimos</v>
      </c>
      <c r="D1110" s="5" t="str">
        <f>IFERROR(__xludf.DUMMYFUNCTION("""COMPUTED_VALUE"""),"11 Whistling Drive Alkimos WA 6038")</f>
        <v>11 Whistling Drive Alkimos WA 6038</v>
      </c>
      <c r="E1110" s="25">
        <f>IFERROR(__xludf.DUMMYFUNCTION("""COMPUTED_VALUE"""),45961.0)</f>
        <v>45961</v>
      </c>
      <c r="F1110" s="5">
        <f>IFERROR(__xludf.DUMMYFUNCTION("""COMPUTED_VALUE"""),6.0)</f>
        <v>6</v>
      </c>
      <c r="G1110" s="19" t="str">
        <f>IFERROR(__xludf.DUMMYFUNCTION("""COMPUTED_VALUE"""),"Instant Forms")</f>
        <v>Instant Forms</v>
      </c>
      <c r="H1110" s="19"/>
      <c r="I1110" s="62"/>
      <c r="J1110" s="19"/>
    </row>
    <row r="1111">
      <c r="A1111" s="19" t="str">
        <f>IFERROR(__xludf.DUMMYFUNCTION("""COMPUTED_VALUE"""),"Ian Knight")</f>
        <v>Ian Knight</v>
      </c>
      <c r="B1111" s="19" t="str">
        <f>IFERROR(__xludf.DUMMYFUNCTION("""COMPUTED_VALUE"""),"WA")</f>
        <v>WA</v>
      </c>
      <c r="C1111" s="5" t="str">
        <f>IFERROR(__xludf.DUMMYFUNCTION("""COMPUTED_VALUE"""),"Kingsley")</f>
        <v>Kingsley</v>
      </c>
      <c r="D1111" s="5" t="str">
        <f>IFERROR(__xludf.DUMMYFUNCTION("""COMPUTED_VALUE"""),"33 Peregrine Drive Kingsley WA 6026")</f>
        <v>33 Peregrine Drive Kingsley WA 6026</v>
      </c>
      <c r="E1111" s="25">
        <f>IFERROR(__xludf.DUMMYFUNCTION("""COMPUTED_VALUE"""),45963.0)</f>
        <v>45963</v>
      </c>
      <c r="F1111" s="5">
        <f>IFERROR(__xludf.DUMMYFUNCTION("""COMPUTED_VALUE"""),8.0)</f>
        <v>8</v>
      </c>
      <c r="G1111" s="19" t="str">
        <f>IFERROR(__xludf.DUMMYFUNCTION("""COMPUTED_VALUE"""),"Instant Forms")</f>
        <v>Instant Forms</v>
      </c>
      <c r="H1111" s="19"/>
      <c r="I1111" s="62"/>
      <c r="J1111" s="19"/>
    </row>
    <row r="1112">
      <c r="A1112" s="19" t="str">
        <f>IFERROR(__xludf.DUMMYFUNCTION("""COMPUTED_VALUE"""),"Ian Knight")</f>
        <v>Ian Knight</v>
      </c>
      <c r="B1112" s="19" t="str">
        <f>IFERROR(__xludf.DUMMYFUNCTION("""COMPUTED_VALUE"""),"WA")</f>
        <v>WA</v>
      </c>
      <c r="C1112" s="5" t="str">
        <f>IFERROR(__xludf.DUMMYFUNCTION("""COMPUTED_VALUE"""),"Kinross")</f>
        <v>Kinross</v>
      </c>
      <c r="D1112" s="5" t="str">
        <f>IFERROR(__xludf.DUMMYFUNCTION("""COMPUTED_VALUE"""),"78 Roxburgh Cir")</f>
        <v>78 Roxburgh Cir</v>
      </c>
      <c r="E1112" s="25">
        <f>IFERROR(__xludf.DUMMYFUNCTION("""COMPUTED_VALUE"""),45964.0)</f>
        <v>45964</v>
      </c>
      <c r="F1112" s="5" t="str">
        <f>IFERROR(__xludf.DUMMYFUNCTION("""COMPUTED_VALUE"""),"Featured")</f>
        <v>Featured</v>
      </c>
      <c r="G1112" s="19" t="str">
        <f>IFERROR(__xludf.DUMMYFUNCTION("""COMPUTED_VALUE"""),"Commission Comparison")</f>
        <v>Commission Comparison</v>
      </c>
      <c r="H1112" s="19"/>
      <c r="I1112" s="62"/>
      <c r="J1112" s="19"/>
    </row>
    <row r="1113">
      <c r="A1113" s="19" t="str">
        <f>IFERROR(__xludf.DUMMYFUNCTION("""COMPUTED_VALUE"""),"Ian Knight")</f>
        <v>Ian Knight</v>
      </c>
      <c r="B1113" s="19" t="str">
        <f>IFERROR(__xludf.DUMMYFUNCTION("""COMPUTED_VALUE"""),"WA")</f>
        <v>WA</v>
      </c>
      <c r="C1113" s="5" t="str">
        <f>IFERROR(__xludf.DUMMYFUNCTION("""COMPUTED_VALUE"""),"Kinross")</f>
        <v>Kinross</v>
      </c>
      <c r="D1113" s="5" t="str">
        <f>IFERROR(__xludf.DUMMYFUNCTION("""COMPUTED_VALUE"""),"50 Ailsacraig  Ramble,  Kinross  6028")</f>
        <v>50 Ailsacraig  Ramble,  Kinross  6028</v>
      </c>
      <c r="E1113" s="25">
        <f>IFERROR(__xludf.DUMMYFUNCTION("""COMPUTED_VALUE"""),45971.0)</f>
        <v>45971</v>
      </c>
      <c r="F1113" s="5" t="str">
        <f>IFERROR(__xludf.DUMMYFUNCTION("""COMPUTED_VALUE"""),"Featured")</f>
        <v>Featured</v>
      </c>
      <c r="G1113" s="19" t="str">
        <f>IFERROR(__xludf.DUMMYFUNCTION("""COMPUTED_VALUE"""),"Commission Comparison")</f>
        <v>Commission Comparison</v>
      </c>
      <c r="H1113" s="19" t="str">
        <f>IFERROR(__xludf.DUMMYFUNCTION("""COMPUTED_VALUE"""),"Bryan Martin")</f>
        <v>Bryan Martin</v>
      </c>
      <c r="I1113" s="62">
        <f>IFERROR(__xludf.DUMMYFUNCTION("""COMPUTED_VALUE"""),6.1439094616E10)</f>
        <v>61439094616</v>
      </c>
      <c r="J1113" s="19" t="str">
        <f>IFERROR(__xludf.DUMMYFUNCTION("""COMPUTED_VALUE"""),"jamesbryanmartin47@gmail.com")</f>
        <v>jamesbryanmartin47@gmail.com</v>
      </c>
    </row>
    <row r="1114">
      <c r="A1114" s="19" t="str">
        <f>IFERROR(__xludf.DUMMYFUNCTION("""COMPUTED_VALUE"""),"Ian Knight")</f>
        <v>Ian Knight</v>
      </c>
      <c r="B1114" s="19" t="str">
        <f>IFERROR(__xludf.DUMMYFUNCTION("""COMPUTED_VALUE"""),"WA")</f>
        <v>WA</v>
      </c>
      <c r="C1114" s="5" t="str">
        <f>IFERROR(__xludf.DUMMYFUNCTION("""COMPUTED_VALUE"""),"Eglinton")</f>
        <v>Eglinton</v>
      </c>
      <c r="D1114" s="5" t="str">
        <f>IFERROR(__xludf.DUMMYFUNCTION("""COMPUTED_VALUE"""),"18 Leggatt Street Eglinton WA 6034")</f>
        <v>18 Leggatt Street Eglinton WA 6034</v>
      </c>
      <c r="E1114" s="25">
        <f>IFERROR(__xludf.DUMMYFUNCTION("""COMPUTED_VALUE"""),45972.0)</f>
        <v>45972</v>
      </c>
      <c r="F1114" s="5">
        <f>IFERROR(__xludf.DUMMYFUNCTION("""COMPUTED_VALUE"""),8.0)</f>
        <v>8</v>
      </c>
      <c r="G1114" s="19" t="str">
        <f>IFERROR(__xludf.DUMMYFUNCTION("""COMPUTED_VALUE"""),"Instant Forms")</f>
        <v>Instant Forms</v>
      </c>
      <c r="H1114" s="19" t="str">
        <f>IFERROR(__xludf.DUMMYFUNCTION("""COMPUTED_VALUE"""),"Madeline Mcloughlin")</f>
        <v>Madeline Mcloughlin</v>
      </c>
      <c r="I1114" s="62">
        <f>IFERROR(__xludf.DUMMYFUNCTION("""COMPUTED_VALUE"""),6.1415670852E10)</f>
        <v>61415670852</v>
      </c>
      <c r="J1114" s="19" t="str">
        <f>IFERROR(__xludf.DUMMYFUNCTION("""COMPUTED_VALUE"""),"Madelinemcloughlin1@gmail.com")</f>
        <v>Madelinemcloughlin1@gmail.com</v>
      </c>
    </row>
    <row r="1115">
      <c r="A1115" s="19" t="str">
        <f>IFERROR(__xludf.DUMMYFUNCTION("""COMPUTED_VALUE"""),"Ian Knight")</f>
        <v>Ian Knight</v>
      </c>
      <c r="B1115" s="19" t="str">
        <f>IFERROR(__xludf.DUMMYFUNCTION("""COMPUTED_VALUE"""),"WA")</f>
        <v>WA</v>
      </c>
      <c r="C1115" s="5" t="str">
        <f>IFERROR(__xludf.DUMMYFUNCTION("""COMPUTED_VALUE"""),"Alkimos")</f>
        <v>Alkimos</v>
      </c>
      <c r="D1115" s="5" t="str">
        <f>IFERROR(__xludf.DUMMYFUNCTION("""COMPUTED_VALUE"""),"11 Whistling Drive, Alkimos, WA, 6038, Australia")</f>
        <v>11 Whistling Drive, Alkimos, WA, 6038, Australia</v>
      </c>
      <c r="E1115" s="25" t="str">
        <f>IFERROR(__xludf.DUMMYFUNCTION("""COMPUTED_VALUE"""),"17/11/2025")</f>
        <v>17/11/2025</v>
      </c>
      <c r="F1115" s="5" t="str">
        <f>IFERROR(__xludf.DUMMYFUNCTION("""COMPUTED_VALUE"""),"Featured")</f>
        <v>Featured</v>
      </c>
      <c r="G1115" s="19" t="str">
        <f>IFERROR(__xludf.DUMMYFUNCTION("""COMPUTED_VALUE"""),"Commission Comparison")</f>
        <v>Commission Comparison</v>
      </c>
      <c r="H1115" s="19" t="str">
        <f>IFERROR(__xludf.DUMMYFUNCTION("""COMPUTED_VALUE"""),"Lexi Moore")</f>
        <v>Lexi Moore</v>
      </c>
      <c r="I1115" s="62">
        <f>IFERROR(__xludf.DUMMYFUNCTION("""COMPUTED_VALUE"""),6.1043255402E11)</f>
        <v>610432554020</v>
      </c>
      <c r="J1115" s="19" t="str">
        <f>IFERROR(__xludf.DUMMYFUNCTION("""COMPUTED_VALUE"""),"lexdorop@hotmail.com")</f>
        <v>lexdorop@hotmail.com</v>
      </c>
    </row>
    <row r="1116">
      <c r="A1116" s="19" t="str">
        <f>IFERROR(__xludf.DUMMYFUNCTION("""COMPUTED_VALUE"""),"Ian Knight")</f>
        <v>Ian Knight</v>
      </c>
      <c r="B1116" s="19" t="str">
        <f>IFERROR(__xludf.DUMMYFUNCTION("""COMPUTED_VALUE"""),"WA")</f>
        <v>WA</v>
      </c>
      <c r="C1116" s="5" t="str">
        <f>IFERROR(__xludf.DUMMYFUNCTION("""COMPUTED_VALUE"""),"Butler")</f>
        <v>Butler</v>
      </c>
      <c r="D1116" s="5" t="str">
        <f>IFERROR(__xludf.DUMMYFUNCTION("""COMPUTED_VALUE"""),"10 Maryport Way Butler WA 6036, Butler, 6036")</f>
        <v>10 Maryport Way Butler WA 6036, Butler, 6036</v>
      </c>
      <c r="E1116" s="5" t="str">
        <f>IFERROR(__xludf.DUMMYFUNCTION("""COMPUTED_VALUE"""),"22/11/2025")</f>
        <v>22/11/2025</v>
      </c>
      <c r="F1116" s="5" t="str">
        <f>IFERROR(__xludf.DUMMYFUNCTION("""COMPUTED_VALUE"""),"Featured")</f>
        <v>Featured</v>
      </c>
      <c r="G1116" s="19" t="str">
        <f>IFERROR(__xludf.DUMMYFUNCTION("""COMPUTED_VALUE"""),"Meta Commission Report")</f>
        <v>Meta Commission Report</v>
      </c>
      <c r="H1116" s="19" t="str">
        <f>IFERROR(__xludf.DUMMYFUNCTION("""COMPUTED_VALUE"""),"Nellie David")</f>
        <v>Nellie David</v>
      </c>
      <c r="I1116" s="62">
        <f>IFERROR(__xludf.DUMMYFUNCTION("""COMPUTED_VALUE"""),6.1432346914E10)</f>
        <v>61432346914</v>
      </c>
      <c r="J1116" s="19" t="str">
        <f>IFERROR(__xludf.DUMMYFUNCTION("""COMPUTED_VALUE"""),"nelliesfdc@gmail.com")</f>
        <v>nelliesfdc@gmail.com</v>
      </c>
    </row>
    <row r="1117">
      <c r="A1117" s="19" t="str">
        <f>IFERROR(__xludf.DUMMYFUNCTION("""COMPUTED_VALUE"""),"Ian Knight")</f>
        <v>Ian Knight</v>
      </c>
      <c r="B1117" s="19" t="str">
        <f>IFERROR(__xludf.DUMMYFUNCTION("""COMPUTED_VALUE"""),"WA")</f>
        <v>WA</v>
      </c>
      <c r="C1117" s="5" t="str">
        <f>IFERROR(__xludf.DUMMYFUNCTION("""COMPUTED_VALUE"""),"Alkimos")</f>
        <v>Alkimos</v>
      </c>
      <c r="D1117" s="5" t="str">
        <f>IFERROR(__xludf.DUMMYFUNCTION("""COMPUTED_VALUE"""),"30 Missingham Avenue Alkimos WA 6038")</f>
        <v>30 Missingham Avenue Alkimos WA 6038</v>
      </c>
      <c r="E1117" s="5" t="str">
        <f>IFERROR(__xludf.DUMMYFUNCTION("""COMPUTED_VALUE"""),"29/11/2025")</f>
        <v>29/11/2025</v>
      </c>
      <c r="F1117" s="64">
        <f>IFERROR(__xludf.DUMMYFUNCTION("""COMPUTED_VALUE"""),0.2)</f>
        <v>0.2</v>
      </c>
      <c r="G1117" s="19" t="str">
        <f>IFERROR(__xludf.DUMMYFUNCTION("""COMPUTED_VALUE"""),"Instant Forms")</f>
        <v>Instant Forms</v>
      </c>
      <c r="H1117" s="19" t="str">
        <f>IFERROR(__xludf.DUMMYFUNCTION("""COMPUTED_VALUE"""),"Linda Mathieson")</f>
        <v>Linda Mathieson</v>
      </c>
      <c r="I1117" s="62">
        <f>IFERROR(__xludf.DUMMYFUNCTION("""COMPUTED_VALUE"""),6.1433359697E10)</f>
        <v>61433359697</v>
      </c>
      <c r="J1117" s="19" t="str">
        <f>IFERROR(__xludf.DUMMYFUNCTION("""COMPUTED_VALUE"""),"linda.mathieson@yahoo.com")</f>
        <v>linda.mathieson@yahoo.com</v>
      </c>
    </row>
    <row r="1118">
      <c r="A1118" s="19" t="str">
        <f>IFERROR(__xludf.DUMMYFUNCTION("""COMPUTED_VALUE"""),"Ian Knight")</f>
        <v>Ian Knight</v>
      </c>
      <c r="B1118" s="19" t="str">
        <f>IFERROR(__xludf.DUMMYFUNCTION("""COMPUTED_VALUE"""),"WA")</f>
        <v>WA</v>
      </c>
      <c r="C1118" s="5" t="str">
        <f>IFERROR(__xludf.DUMMYFUNCTION("""COMPUTED_VALUE"""),"Mindarie")</f>
        <v>Mindarie</v>
      </c>
      <c r="D1118" s="5" t="str">
        <f>IFERROR(__xludf.DUMMYFUNCTION("""COMPUTED_VALUE"""),"5 Long Beach Promenade Mindarie WA 6030")</f>
        <v>5 Long Beach Promenade Mindarie WA 6030</v>
      </c>
      <c r="E1118" s="5" t="str">
        <f>IFERROR(__xludf.DUMMYFUNCTION("""COMPUTED_VALUE"""),"29/11/2025")</f>
        <v>29/11/2025</v>
      </c>
      <c r="F1118" s="64">
        <f>IFERROR(__xludf.DUMMYFUNCTION("""COMPUTED_VALUE"""),0.2)</f>
        <v>0.2</v>
      </c>
      <c r="G1118" s="19" t="str">
        <f>IFERROR(__xludf.DUMMYFUNCTION("""COMPUTED_VALUE"""),"Instant Forms")</f>
        <v>Instant Forms</v>
      </c>
      <c r="H1118" s="19" t="str">
        <f>IFERROR(__xludf.DUMMYFUNCTION("""COMPUTED_VALUE"""),"Susan Schutte")</f>
        <v>Susan Schutte</v>
      </c>
      <c r="I1118" s="62">
        <f>IFERROR(__xludf.DUMMYFUNCTION("""COMPUTED_VALUE"""),6.1405610848E10)</f>
        <v>61405610848</v>
      </c>
      <c r="J1118" s="19" t="str">
        <f>IFERROR(__xludf.DUMMYFUNCTION("""COMPUTED_VALUE"""),"sa.schutte@gmail.com")</f>
        <v>sa.schutte@gmail.com</v>
      </c>
    </row>
    <row r="1119">
      <c r="A1119" s="19" t="str">
        <f>IFERROR(__xludf.DUMMYFUNCTION("""COMPUTED_VALUE"""),"Ian Knight")</f>
        <v>Ian Knight</v>
      </c>
      <c r="B1119" s="19" t="str">
        <f>IFERROR(__xludf.DUMMYFUNCTION("""COMPUTED_VALUE"""),"WA")</f>
        <v>WA</v>
      </c>
      <c r="C1119" s="5" t="str">
        <f>IFERROR(__xludf.DUMMYFUNCTION("""COMPUTED_VALUE"""),"Butler")</f>
        <v>Butler</v>
      </c>
      <c r="D1119" s="5" t="str">
        <f>IFERROR(__xludf.DUMMYFUNCTION("""COMPUTED_VALUE"""),"60 Billericay CCT Butler, 6036")</f>
        <v>60 Billericay CCT Butler, 6036</v>
      </c>
      <c r="E1119" s="27">
        <f>IFERROR(__xludf.DUMMYFUNCTION("""COMPUTED_VALUE"""),45700.0)</f>
        <v>45700</v>
      </c>
      <c r="F1119" s="64">
        <f>IFERROR(__xludf.DUMMYFUNCTION("""COMPUTED_VALUE"""),0.2)</f>
        <v>0.2</v>
      </c>
      <c r="G1119" s="19" t="str">
        <f>IFERROR(__xludf.DUMMYFUNCTION("""COMPUTED_VALUE"""),"Meta Commission Report")</f>
        <v>Meta Commission Report</v>
      </c>
      <c r="H1119" s="19" t="str">
        <f>IFERROR(__xludf.DUMMYFUNCTION("""COMPUTED_VALUE"""),"Marie Madamadiotis")</f>
        <v>Marie Madamadiotis</v>
      </c>
      <c r="I1119" s="62">
        <f>IFERROR(__xludf.DUMMYFUNCTION("""COMPUTED_VALUE"""),6.1451479837E10)</f>
        <v>61451479837</v>
      </c>
      <c r="J1119" s="19" t="str">
        <f>IFERROR(__xludf.DUMMYFUNCTION("""COMPUTED_VALUE"""),"accfashionw@gmail.com")</f>
        <v>accfashionw@gmail.com</v>
      </c>
    </row>
    <row r="1120">
      <c r="A1120" s="19" t="str">
        <f>IFERROR(__xludf.DUMMYFUNCTION("""COMPUTED_VALUE"""),"")</f>
        <v/>
      </c>
      <c r="B1120" s="19" t="str">
        <f>IFERROR(__xludf.DUMMYFUNCTION("""COMPUTED_VALUE"""),"")</f>
        <v/>
      </c>
      <c r="C1120" s="5" t="str">
        <f>IFERROR(__xludf.DUMMYFUNCTION("""COMPUTED_VALUE"""),"")</f>
        <v/>
      </c>
      <c r="D1120" s="5" t="str">
        <f>IFERROR(__xludf.DUMMYFUNCTION("""COMPUTED_VALUE"""),"")</f>
        <v/>
      </c>
      <c r="E1120" s="5" t="str">
        <f>IFERROR(__xludf.DUMMYFUNCTION("""COMPUTED_VALUE"""),"")</f>
        <v/>
      </c>
      <c r="F1120" s="5" t="str">
        <f>IFERROR(__xludf.DUMMYFUNCTION("""COMPUTED_VALUE"""),"")</f>
        <v/>
      </c>
      <c r="G1120" s="19" t="str">
        <f>IFERROR(__xludf.DUMMYFUNCTION("""COMPUTED_VALUE"""),"")</f>
        <v/>
      </c>
      <c r="H1120" s="19" t="str">
        <f>IFERROR(__xludf.DUMMYFUNCTION("""COMPUTED_VALUE"""),"")</f>
        <v/>
      </c>
      <c r="I1120" s="62" t="str">
        <f>IFERROR(__xludf.DUMMYFUNCTION("""COMPUTED_VALUE"""),"")</f>
        <v/>
      </c>
      <c r="J1120" s="19" t="str">
        <f>IFERROR(__xludf.DUMMYFUNCTION("""COMPUTED_VALUE"""),"")</f>
        <v/>
      </c>
    </row>
    <row r="1121">
      <c r="A1121" s="19" t="str">
        <f>IFERROR(__xludf.DUMMYFUNCTION("""COMPUTED_VALUE"""),"")</f>
        <v/>
      </c>
      <c r="B1121" s="19" t="str">
        <f>IFERROR(__xludf.DUMMYFUNCTION("""COMPUTED_VALUE"""),"")</f>
        <v/>
      </c>
      <c r="C1121" s="5" t="str">
        <f>IFERROR(__xludf.DUMMYFUNCTION("""COMPUTED_VALUE"""),"")</f>
        <v/>
      </c>
      <c r="D1121" s="5" t="str">
        <f>IFERROR(__xludf.DUMMYFUNCTION("""COMPUTED_VALUE"""),"")</f>
        <v/>
      </c>
      <c r="E1121" s="5" t="str">
        <f>IFERROR(__xludf.DUMMYFUNCTION("""COMPUTED_VALUE"""),"")</f>
        <v/>
      </c>
      <c r="F1121" s="5" t="str">
        <f>IFERROR(__xludf.DUMMYFUNCTION("""COMPUTED_VALUE"""),"")</f>
        <v/>
      </c>
      <c r="G1121" s="19" t="str">
        <f>IFERROR(__xludf.DUMMYFUNCTION("""COMPUTED_VALUE"""),"")</f>
        <v/>
      </c>
      <c r="H1121" s="19" t="str">
        <f>IFERROR(__xludf.DUMMYFUNCTION("""COMPUTED_VALUE"""),"")</f>
        <v/>
      </c>
      <c r="I1121" s="62" t="str">
        <f>IFERROR(__xludf.DUMMYFUNCTION("""COMPUTED_VALUE"""),"")</f>
        <v/>
      </c>
      <c r="J1121" s="19" t="str">
        <f>IFERROR(__xludf.DUMMYFUNCTION("""COMPUTED_VALUE"""),"")</f>
        <v/>
      </c>
    </row>
    <row r="1122">
      <c r="A1122" s="19" t="str">
        <f>IFERROR(__xludf.DUMMYFUNCTION("""COMPUTED_VALUE"""),"Itin Bhardwaj")</f>
        <v>Itin Bhardwaj</v>
      </c>
      <c r="B1122" s="19" t="str">
        <f>IFERROR(__xludf.DUMMYFUNCTION("""COMPUTED_VALUE"""),"QLD")</f>
        <v>QLD</v>
      </c>
      <c r="C1122" s="5">
        <f>IFERROR(__xludf.DUMMYFUNCTION("""COMPUTED_VALUE"""),4507.0)</f>
        <v>4507</v>
      </c>
      <c r="D1122" s="5"/>
      <c r="E1122" s="63">
        <f>IFERROR(__xludf.DUMMYFUNCTION("""COMPUTED_VALUE"""),45842.55434027778)</f>
        <v>45842.55434</v>
      </c>
      <c r="F1122" s="5" t="str">
        <f>IFERROR(__xludf.DUMMYFUNCTION("""COMPUTED_VALUE"""),"Free")</f>
        <v>Free</v>
      </c>
      <c r="G1122" s="19" t="str">
        <f>IFERROR(__xludf.DUMMYFUNCTION("""COMPUTED_VALUE"""),"Instant Forms")</f>
        <v>Instant Forms</v>
      </c>
      <c r="H1122" s="19"/>
      <c r="I1122" s="62"/>
      <c r="J1122" s="19"/>
    </row>
    <row r="1123">
      <c r="A1123" s="19" t="str">
        <f>IFERROR(__xludf.DUMMYFUNCTION("""COMPUTED_VALUE"""),"Itin Bhardwaj")</f>
        <v>Itin Bhardwaj</v>
      </c>
      <c r="B1123" s="19" t="str">
        <f>IFERROR(__xludf.DUMMYFUNCTION("""COMPUTED_VALUE"""),"QLD")</f>
        <v>QLD</v>
      </c>
      <c r="C1123" s="5" t="str">
        <f>IFERROR(__xludf.DUMMYFUNCTION("""COMPUTED_VALUE"""),"Sandstone Point")</f>
        <v>Sandstone Point</v>
      </c>
      <c r="D1123" s="5" t="str">
        <f>IFERROR(__xludf.DUMMYFUNCTION("""COMPUTED_VALUE"""),"3 Praeger Place, Sandstone Point, QLD, 4511, Australia")</f>
        <v>3 Praeger Place, Sandstone Point, QLD, 4511, Australia</v>
      </c>
      <c r="E1123" s="63">
        <f>IFERROR(__xludf.DUMMYFUNCTION("""COMPUTED_VALUE"""),25569.94763888889)</f>
        <v>25569.94764</v>
      </c>
      <c r="F1123" s="5" t="str">
        <f>IFERROR(__xludf.DUMMYFUNCTION("""COMPUTED_VALUE"""),"Featured")</f>
        <v>Featured</v>
      </c>
      <c r="G1123" s="19"/>
      <c r="H1123" s="19"/>
      <c r="I1123" s="62"/>
      <c r="J1123" s="19"/>
    </row>
    <row r="1124">
      <c r="A1124" s="19" t="str">
        <f>IFERROR(__xludf.DUMMYFUNCTION("""COMPUTED_VALUE"""),"Itin Bhardwaj")</f>
        <v>Itin Bhardwaj</v>
      </c>
      <c r="B1124" s="19" t="str">
        <f>IFERROR(__xludf.DUMMYFUNCTION("""COMPUTED_VALUE"""),"QLD")</f>
        <v>QLD</v>
      </c>
      <c r="C1124" s="5">
        <f>IFERROR(__xludf.DUMMYFUNCTION("""COMPUTED_VALUE"""),4506.0)</f>
        <v>4506</v>
      </c>
      <c r="D1124" s="5"/>
      <c r="E1124" s="63">
        <f>IFERROR(__xludf.DUMMYFUNCTION("""COMPUTED_VALUE"""),45848.75267361111)</f>
        <v>45848.75267</v>
      </c>
      <c r="F1124" s="5" t="str">
        <f>IFERROR(__xludf.DUMMYFUNCTION("""COMPUTED_VALUE"""),"Featured")</f>
        <v>Featured</v>
      </c>
      <c r="G1124" s="19" t="str">
        <f>IFERROR(__xludf.DUMMYFUNCTION("""COMPUTED_VALUE"""),"Instant Forms")</f>
        <v>Instant Forms</v>
      </c>
      <c r="H1124" s="19"/>
      <c r="I1124" s="62"/>
      <c r="J1124" s="19"/>
    </row>
    <row r="1125">
      <c r="A1125" s="19" t="str">
        <f>IFERROR(__xludf.DUMMYFUNCTION("""COMPUTED_VALUE"""),"Itin Bhardwaj")</f>
        <v>Itin Bhardwaj</v>
      </c>
      <c r="B1125" s="19" t="str">
        <f>IFERROR(__xludf.DUMMYFUNCTION("""COMPUTED_VALUE"""),"QLD")</f>
        <v>QLD</v>
      </c>
      <c r="C1125" s="5">
        <f>IFERROR(__xludf.DUMMYFUNCTION("""COMPUTED_VALUE"""),4507.0)</f>
        <v>4507</v>
      </c>
      <c r="D1125" s="5"/>
      <c r="E1125" s="63" t="str">
        <f>IFERROR(__xludf.DUMMYFUNCTION("""COMPUTED_VALUE"""),"28/07/2025")</f>
        <v>28/07/2025</v>
      </c>
      <c r="F1125" s="5" t="str">
        <f>IFERROR(__xludf.DUMMYFUNCTION("""COMPUTED_VALUE"""),"Featured")</f>
        <v>Featured</v>
      </c>
      <c r="G1125" s="19" t="str">
        <f>IFERROR(__xludf.DUMMYFUNCTION("""COMPUTED_VALUE"""),"Instant Forms")</f>
        <v>Instant Forms</v>
      </c>
      <c r="H1125" s="19"/>
      <c r="I1125" s="62"/>
      <c r="J1125" s="19"/>
    </row>
    <row r="1126">
      <c r="A1126" s="19" t="str">
        <f>IFERROR(__xludf.DUMMYFUNCTION("""COMPUTED_VALUE"""),"Itin Bhardwaj")</f>
        <v>Itin Bhardwaj</v>
      </c>
      <c r="B1126" s="19" t="str">
        <f>IFERROR(__xludf.DUMMYFUNCTION("""COMPUTED_VALUE"""),"QLD")</f>
        <v>QLD</v>
      </c>
      <c r="C1126" s="5" t="str">
        <f>IFERROR(__xludf.DUMMYFUNCTION("""COMPUTED_VALUE"""),"Burpengary East")</f>
        <v>Burpengary East</v>
      </c>
      <c r="D1126" s="5"/>
      <c r="E1126" s="63" t="str">
        <f>IFERROR(__xludf.DUMMYFUNCTION("""COMPUTED_VALUE"""),"31/07/2025")</f>
        <v>31/07/2025</v>
      </c>
      <c r="F1126" s="5" t="str">
        <f>IFERROR(__xludf.DUMMYFUNCTION("""COMPUTED_VALUE"""),"Featured")</f>
        <v>Featured</v>
      </c>
      <c r="G1126" s="19" t="str">
        <f>IFERROR(__xludf.DUMMYFUNCTION("""COMPUTED_VALUE"""),"Instant Forms")</f>
        <v>Instant Forms</v>
      </c>
      <c r="H1126" s="19"/>
      <c r="I1126" s="62"/>
      <c r="J1126" s="19"/>
    </row>
    <row r="1127">
      <c r="A1127" s="19" t="str">
        <f>IFERROR(__xludf.DUMMYFUNCTION("""COMPUTED_VALUE"""),"Itin Bhardwaj")</f>
        <v>Itin Bhardwaj</v>
      </c>
      <c r="B1127" s="19" t="str">
        <f>IFERROR(__xludf.DUMMYFUNCTION("""COMPUTED_VALUE"""),"QLD")</f>
        <v>QLD</v>
      </c>
      <c r="C1127" s="5">
        <f>IFERROR(__xludf.DUMMYFUNCTION("""COMPUTED_VALUE"""),4518.0)</f>
        <v>4518</v>
      </c>
      <c r="D1127" s="5"/>
      <c r="E1127" s="25">
        <f>IFERROR(__xludf.DUMMYFUNCTION("""COMPUTED_VALUE"""),45874.0)</f>
        <v>45874</v>
      </c>
      <c r="F1127" s="5" t="str">
        <f>IFERROR(__xludf.DUMMYFUNCTION("""COMPUTED_VALUE"""),"Free")</f>
        <v>Free</v>
      </c>
      <c r="G1127" s="19" t="str">
        <f>IFERROR(__xludf.DUMMYFUNCTION("""COMPUTED_VALUE"""),"Instant Forms")</f>
        <v>Instant Forms</v>
      </c>
      <c r="H1127" s="19"/>
      <c r="I1127" s="62"/>
      <c r="J1127" s="19"/>
    </row>
    <row r="1128">
      <c r="A1128" s="19" t="str">
        <f>IFERROR(__xludf.DUMMYFUNCTION("""COMPUTED_VALUE"""),"Itin Bhardwaj")</f>
        <v>Itin Bhardwaj</v>
      </c>
      <c r="B1128" s="19" t="str">
        <f>IFERROR(__xludf.DUMMYFUNCTION("""COMPUTED_VALUE"""),"QLD")</f>
        <v>QLD</v>
      </c>
      <c r="C1128" s="5" t="str">
        <f>IFERROR(__xludf.DUMMYFUNCTION("""COMPUTED_VALUE"""),"Glasshouse mt")</f>
        <v>Glasshouse mt</v>
      </c>
      <c r="D1128" s="5"/>
      <c r="E1128" s="25">
        <f>IFERROR(__xludf.DUMMYFUNCTION("""COMPUTED_VALUE"""),45885.0)</f>
        <v>45885</v>
      </c>
      <c r="F1128" s="5" t="str">
        <f>IFERROR(__xludf.DUMMYFUNCTION("""COMPUTED_VALUE"""),"Featured")</f>
        <v>Featured</v>
      </c>
      <c r="G1128" s="19" t="str">
        <f>IFERROR(__xludf.DUMMYFUNCTION("""COMPUTED_VALUE"""),"Instant Forms")</f>
        <v>Instant Forms</v>
      </c>
      <c r="H1128" s="19"/>
      <c r="I1128" s="62"/>
      <c r="J1128" s="19"/>
    </row>
    <row r="1129">
      <c r="A1129" s="19" t="str">
        <f>IFERROR(__xludf.DUMMYFUNCTION("""COMPUTED_VALUE"""),"Itin Bhardwaj")</f>
        <v>Itin Bhardwaj</v>
      </c>
      <c r="B1129" s="19" t="str">
        <f>IFERROR(__xludf.DUMMYFUNCTION("""COMPUTED_VALUE"""),"QLD")</f>
        <v>QLD</v>
      </c>
      <c r="C1129" s="5" t="str">
        <f>IFERROR(__xludf.DUMMYFUNCTION("""COMPUTED_VALUE"""),"Beerwah")</f>
        <v>Beerwah</v>
      </c>
      <c r="D1129" s="5" t="str">
        <f>IFERROR(__xludf.DUMMYFUNCTION("""COMPUTED_VALUE"""),"12 Lapwing Circuit Beerwah QLD 4519")</f>
        <v>12 Lapwing Circuit Beerwah QLD 4519</v>
      </c>
      <c r="E1129" s="25">
        <f>IFERROR(__xludf.DUMMYFUNCTION("""COMPUTED_VALUE"""),45889.0)</f>
        <v>45889</v>
      </c>
      <c r="F1129" s="5" t="str">
        <f>IFERROR(__xludf.DUMMYFUNCTION("""COMPUTED_VALUE"""),"Featured")</f>
        <v>Featured</v>
      </c>
      <c r="G1129" s="19" t="str">
        <f>IFERROR(__xludf.DUMMYFUNCTION("""COMPUTED_VALUE"""),"Instant Forms")</f>
        <v>Instant Forms</v>
      </c>
      <c r="H1129" s="19"/>
      <c r="I1129" s="62"/>
      <c r="J1129" s="19"/>
    </row>
    <row r="1130">
      <c r="A1130" s="19" t="str">
        <f>IFERROR(__xludf.DUMMYFUNCTION("""COMPUTED_VALUE"""),"Itin Bhardwaj")</f>
        <v>Itin Bhardwaj</v>
      </c>
      <c r="B1130" s="19" t="str">
        <f>IFERROR(__xludf.DUMMYFUNCTION("""COMPUTED_VALUE"""),"QLD")</f>
        <v>QLD</v>
      </c>
      <c r="C1130" s="5" t="str">
        <f>IFERROR(__xludf.DUMMYFUNCTION("""COMPUTED_VALUE"""),"Burpengary")</f>
        <v>Burpengary</v>
      </c>
      <c r="D1130" s="5"/>
      <c r="E1130" s="25">
        <f>IFERROR(__xludf.DUMMYFUNCTION("""COMPUTED_VALUE"""),45891.0)</f>
        <v>45891</v>
      </c>
      <c r="F1130" s="5" t="str">
        <f>IFERROR(__xludf.DUMMYFUNCTION("""COMPUTED_VALUE"""),"Free")</f>
        <v>Free</v>
      </c>
      <c r="G1130" s="19" t="str">
        <f>IFERROR(__xludf.DUMMYFUNCTION("""COMPUTED_VALUE"""),"Instant Forms")</f>
        <v>Instant Forms</v>
      </c>
      <c r="H1130" s="19"/>
      <c r="I1130" s="62"/>
      <c r="J1130" s="19"/>
    </row>
    <row r="1131">
      <c r="A1131" s="19" t="str">
        <f>IFERROR(__xludf.DUMMYFUNCTION("""COMPUTED_VALUE"""),"Itin Bhardwaj")</f>
        <v>Itin Bhardwaj</v>
      </c>
      <c r="B1131" s="19" t="str">
        <f>IFERROR(__xludf.DUMMYFUNCTION("""COMPUTED_VALUE"""),"QLD")</f>
        <v>QLD</v>
      </c>
      <c r="C1131" s="5" t="str">
        <f>IFERROR(__xludf.DUMMYFUNCTION("""COMPUTED_VALUE"""),"Beachmere")</f>
        <v>Beachmere</v>
      </c>
      <c r="D1131" s="5" t="str">
        <f>IFERROR(__xludf.DUMMYFUNCTION("""COMPUTED_VALUE"""),"45 James Road Beachmere QLD 4510")</f>
        <v>45 James Road Beachmere QLD 4510</v>
      </c>
      <c r="E1131" s="25">
        <f>IFERROR(__xludf.DUMMYFUNCTION("""COMPUTED_VALUE"""),45891.0)</f>
        <v>45891</v>
      </c>
      <c r="F1131" s="5" t="str">
        <f>IFERROR(__xludf.DUMMYFUNCTION("""COMPUTED_VALUE"""),"Featured")</f>
        <v>Featured</v>
      </c>
      <c r="G1131" s="19" t="str">
        <f>IFERROR(__xludf.DUMMYFUNCTION("""COMPUTED_VALUE"""),"Instant Forms")</f>
        <v>Instant Forms</v>
      </c>
      <c r="H1131" s="19"/>
      <c r="I1131" s="62"/>
      <c r="J1131" s="19"/>
    </row>
    <row r="1132">
      <c r="A1132" s="19" t="str">
        <f>IFERROR(__xludf.DUMMYFUNCTION("""COMPUTED_VALUE"""),"Itin Bhardwaj")</f>
        <v>Itin Bhardwaj</v>
      </c>
      <c r="B1132" s="19" t="str">
        <f>IFERROR(__xludf.DUMMYFUNCTION("""COMPUTED_VALUE"""),"QLD")</f>
        <v>QLD</v>
      </c>
      <c r="C1132" s="5" t="str">
        <f>IFERROR(__xludf.DUMMYFUNCTION("""COMPUTED_VALUE"""),"Elimbah")</f>
        <v>Elimbah</v>
      </c>
      <c r="D1132" s="5" t="str">
        <f>IFERROR(__xludf.DUMMYFUNCTION("""COMPUTED_VALUE"""),"136 Boden Road, Elimbah, QLD, 4516, Australia")</f>
        <v>136 Boden Road, Elimbah, QLD, 4516, Australia</v>
      </c>
      <c r="E1132" s="25">
        <f>IFERROR(__xludf.DUMMYFUNCTION("""COMPUTED_VALUE"""),45891.0)</f>
        <v>45891</v>
      </c>
      <c r="F1132" s="5" t="str">
        <f>IFERROR(__xludf.DUMMYFUNCTION("""COMPUTED_VALUE"""),"Featured")</f>
        <v>Featured</v>
      </c>
      <c r="G1132" s="19" t="str">
        <f>IFERROR(__xludf.DUMMYFUNCTION("""COMPUTED_VALUE"""),"Commission Comparison")</f>
        <v>Commission Comparison</v>
      </c>
      <c r="H1132" s="19"/>
      <c r="I1132" s="62"/>
      <c r="J1132" s="19"/>
    </row>
    <row r="1133">
      <c r="A1133" s="19" t="str">
        <f>IFERROR(__xludf.DUMMYFUNCTION("""COMPUTED_VALUE"""),"Itin Bhardwaj")</f>
        <v>Itin Bhardwaj</v>
      </c>
      <c r="B1133" s="19" t="str">
        <f>IFERROR(__xludf.DUMMYFUNCTION("""COMPUTED_VALUE"""),"QLD")</f>
        <v>QLD</v>
      </c>
      <c r="C1133" s="5" t="str">
        <f>IFERROR(__xludf.DUMMYFUNCTION("""COMPUTED_VALUE"""),"Burpengary")</f>
        <v>Burpengary</v>
      </c>
      <c r="D1133" s="5" t="str">
        <f>IFERROR(__xludf.DUMMYFUNCTION("""COMPUTED_VALUE"""),"1/15 Jill Street Burpengary QLD 4505")</f>
        <v>1/15 Jill Street Burpengary QLD 4505</v>
      </c>
      <c r="E1133" s="25">
        <f>IFERROR(__xludf.DUMMYFUNCTION("""COMPUTED_VALUE"""),45894.0)</f>
        <v>45894</v>
      </c>
      <c r="F1133" s="5" t="str">
        <f>IFERROR(__xludf.DUMMYFUNCTION("""COMPUTED_VALUE"""),"Featured")</f>
        <v>Featured</v>
      </c>
      <c r="G1133" s="19" t="str">
        <f>IFERROR(__xludf.DUMMYFUNCTION("""COMPUTED_VALUE"""),"Instant Forms")</f>
        <v>Instant Forms</v>
      </c>
      <c r="H1133" s="19"/>
      <c r="I1133" s="62"/>
      <c r="J1133" s="19"/>
    </row>
    <row r="1134">
      <c r="A1134" s="19" t="str">
        <f>IFERROR(__xludf.DUMMYFUNCTION("""COMPUTED_VALUE"""),"Itin Bhardwaj")</f>
        <v>Itin Bhardwaj</v>
      </c>
      <c r="B1134" s="19" t="str">
        <f>IFERROR(__xludf.DUMMYFUNCTION("""COMPUTED_VALUE"""),"QLD")</f>
        <v>QLD</v>
      </c>
      <c r="C1134" s="5" t="str">
        <f>IFERROR(__xludf.DUMMYFUNCTION("""COMPUTED_VALUE"""),"Caboolture")</f>
        <v>Caboolture</v>
      </c>
      <c r="D1134" s="5" t="str">
        <f>IFERROR(__xludf.DUMMYFUNCTION("""COMPUTED_VALUE"""),"3 Candle Crescent Caboolture QLD 4510")</f>
        <v>3 Candle Crescent Caboolture QLD 4510</v>
      </c>
      <c r="E1134" s="25">
        <f>IFERROR(__xludf.DUMMYFUNCTION("""COMPUTED_VALUE"""),45898.0)</f>
        <v>45898</v>
      </c>
      <c r="F1134" s="5" t="str">
        <f>IFERROR(__xludf.DUMMYFUNCTION("""COMPUTED_VALUE"""),"Featured")</f>
        <v>Featured</v>
      </c>
      <c r="G1134" s="19" t="str">
        <f>IFERROR(__xludf.DUMMYFUNCTION("""COMPUTED_VALUE"""),"Instant Forms")</f>
        <v>Instant Forms</v>
      </c>
      <c r="H1134" s="19"/>
      <c r="I1134" s="62"/>
      <c r="J1134" s="19"/>
    </row>
    <row r="1135">
      <c r="A1135" s="19" t="str">
        <f>IFERROR(__xludf.DUMMYFUNCTION("""COMPUTED_VALUE"""),"Itin Bhardwaj")</f>
        <v>Itin Bhardwaj</v>
      </c>
      <c r="B1135" s="19" t="str">
        <f>IFERROR(__xludf.DUMMYFUNCTION("""COMPUTED_VALUE"""),"QLD")</f>
        <v>QLD</v>
      </c>
      <c r="C1135" s="5" t="str">
        <f>IFERROR(__xludf.DUMMYFUNCTION("""COMPUTED_VALUE"""),"Godwin Beach")</f>
        <v>Godwin Beach</v>
      </c>
      <c r="D1135" s="5"/>
      <c r="E1135" s="25">
        <f>IFERROR(__xludf.DUMMYFUNCTION("""COMPUTED_VALUE"""),45900.0)</f>
        <v>45900</v>
      </c>
      <c r="F1135" s="5" t="str">
        <f>IFERROR(__xludf.DUMMYFUNCTION("""COMPUTED_VALUE"""),"Featured")</f>
        <v>Featured</v>
      </c>
      <c r="G1135" s="19" t="str">
        <f>IFERROR(__xludf.DUMMYFUNCTION("""COMPUTED_VALUE"""),"Instant Forms")</f>
        <v>Instant Forms</v>
      </c>
      <c r="H1135" s="19"/>
      <c r="I1135" s="62"/>
      <c r="J1135" s="19"/>
    </row>
    <row r="1136">
      <c r="A1136" s="19" t="str">
        <f>IFERROR(__xludf.DUMMYFUNCTION("""COMPUTED_VALUE"""),"Itin Bhardwaj")</f>
        <v>Itin Bhardwaj</v>
      </c>
      <c r="B1136" s="19" t="str">
        <f>IFERROR(__xludf.DUMMYFUNCTION("""COMPUTED_VALUE"""),"QLD")</f>
        <v>QLD</v>
      </c>
      <c r="C1136" s="5">
        <f>IFERROR(__xludf.DUMMYFUNCTION("""COMPUTED_VALUE"""),4506.0)</f>
        <v>4506</v>
      </c>
      <c r="D1136" s="5"/>
      <c r="E1136" s="25">
        <f>IFERROR(__xludf.DUMMYFUNCTION("""COMPUTED_VALUE"""),45901.0)</f>
        <v>45901</v>
      </c>
      <c r="F1136" s="5" t="str">
        <f>IFERROR(__xludf.DUMMYFUNCTION("""COMPUTED_VALUE"""),"Featured")</f>
        <v>Featured</v>
      </c>
      <c r="G1136" s="19" t="str">
        <f>IFERROR(__xludf.DUMMYFUNCTION("""COMPUTED_VALUE"""),"Instant Forms")</f>
        <v>Instant Forms</v>
      </c>
      <c r="H1136" s="19"/>
      <c r="I1136" s="62"/>
      <c r="J1136" s="19"/>
    </row>
    <row r="1137">
      <c r="A1137" s="19" t="str">
        <f>IFERROR(__xludf.DUMMYFUNCTION("""COMPUTED_VALUE"""),"Itin Bhardwaj")</f>
        <v>Itin Bhardwaj</v>
      </c>
      <c r="B1137" s="19" t="str">
        <f>IFERROR(__xludf.DUMMYFUNCTION("""COMPUTED_VALUE"""),"QLD")</f>
        <v>QLD</v>
      </c>
      <c r="C1137" s="5" t="str">
        <f>IFERROR(__xludf.DUMMYFUNCTION("""COMPUTED_VALUE"""),"Burpengary")</f>
        <v>Burpengary</v>
      </c>
      <c r="D1137" s="5" t="str">
        <f>IFERROR(__xludf.DUMMYFUNCTION("""COMPUTED_VALUE"""),"33 Ruatoka Court Burpengary QLD 4505")</f>
        <v>33 Ruatoka Court Burpengary QLD 4505</v>
      </c>
      <c r="E1137" s="25">
        <f>IFERROR(__xludf.DUMMYFUNCTION("""COMPUTED_VALUE"""),45902.0)</f>
        <v>45902</v>
      </c>
      <c r="F1137" s="5" t="str">
        <f>IFERROR(__xludf.DUMMYFUNCTION("""COMPUTED_VALUE"""),"Featured")</f>
        <v>Featured</v>
      </c>
      <c r="G1137" s="19" t="str">
        <f>IFERROR(__xludf.DUMMYFUNCTION("""COMPUTED_VALUE"""),"Instant Forms")</f>
        <v>Instant Forms</v>
      </c>
      <c r="H1137" s="19"/>
      <c r="I1137" s="62"/>
      <c r="J1137" s="19"/>
    </row>
    <row r="1138">
      <c r="A1138" s="19" t="str">
        <f>IFERROR(__xludf.DUMMYFUNCTION("""COMPUTED_VALUE"""),"Itin Bhardwaj")</f>
        <v>Itin Bhardwaj</v>
      </c>
      <c r="B1138" s="19" t="str">
        <f>IFERROR(__xludf.DUMMYFUNCTION("""COMPUTED_VALUE"""),"QLD")</f>
        <v>QLD</v>
      </c>
      <c r="C1138" s="5" t="str">
        <f>IFERROR(__xludf.DUMMYFUNCTION("""COMPUTED_VALUE"""),"Beerburrum")</f>
        <v>Beerburrum</v>
      </c>
      <c r="D1138" s="5" t="str">
        <f>IFERROR(__xludf.DUMMYFUNCTION("""COMPUTED_VALUE"""),"1 Wollemi Street Beerburrum QLD 4517")</f>
        <v>1 Wollemi Street Beerburrum QLD 4517</v>
      </c>
      <c r="E1138" s="25">
        <f>IFERROR(__xludf.DUMMYFUNCTION("""COMPUTED_VALUE"""),45902.0)</f>
        <v>45902</v>
      </c>
      <c r="F1138" s="5" t="str">
        <f>IFERROR(__xludf.DUMMYFUNCTION("""COMPUTED_VALUE"""),"Featured")</f>
        <v>Featured</v>
      </c>
      <c r="G1138" s="19" t="str">
        <f>IFERROR(__xludf.DUMMYFUNCTION("""COMPUTED_VALUE"""),"Instant Forms")</f>
        <v>Instant Forms</v>
      </c>
      <c r="H1138" s="19"/>
      <c r="I1138" s="62"/>
      <c r="J1138" s="19"/>
    </row>
    <row r="1139">
      <c r="A1139" s="19" t="str">
        <f>IFERROR(__xludf.DUMMYFUNCTION("""COMPUTED_VALUE"""),"Itin Bhardwaj")</f>
        <v>Itin Bhardwaj</v>
      </c>
      <c r="B1139" s="19" t="str">
        <f>IFERROR(__xludf.DUMMYFUNCTION("""COMPUTED_VALUE"""),"QLD")</f>
        <v>QLD</v>
      </c>
      <c r="C1139" s="5" t="str">
        <f>IFERROR(__xludf.DUMMYFUNCTION("""COMPUTED_VALUE"""),"Mount Pleasant")</f>
        <v>Mount Pleasant</v>
      </c>
      <c r="D1139" s="5" t="str">
        <f>IFERROR(__xludf.DUMMYFUNCTION("""COMPUTED_VALUE"""),"431 Mount Brisbane Road Mount Pleasant QLD 4521")</f>
        <v>431 Mount Brisbane Road Mount Pleasant QLD 4521</v>
      </c>
      <c r="E1139" s="25">
        <f>IFERROR(__xludf.DUMMYFUNCTION("""COMPUTED_VALUE"""),45903.0)</f>
        <v>45903</v>
      </c>
      <c r="F1139" s="5" t="str">
        <f>IFERROR(__xludf.DUMMYFUNCTION("""COMPUTED_VALUE"""),"Featured")</f>
        <v>Featured</v>
      </c>
      <c r="G1139" s="19" t="str">
        <f>IFERROR(__xludf.DUMMYFUNCTION("""COMPUTED_VALUE"""),"Instant Forms")</f>
        <v>Instant Forms</v>
      </c>
      <c r="H1139" s="19"/>
      <c r="I1139" s="62"/>
      <c r="J1139" s="19"/>
    </row>
    <row r="1140">
      <c r="A1140" s="19" t="str">
        <f>IFERROR(__xludf.DUMMYFUNCTION("""COMPUTED_VALUE"""),"Itin Bhardwaj")</f>
        <v>Itin Bhardwaj</v>
      </c>
      <c r="B1140" s="19" t="str">
        <f>IFERROR(__xludf.DUMMYFUNCTION("""COMPUTED_VALUE"""),"QLD")</f>
        <v>QLD</v>
      </c>
      <c r="C1140" s="5" t="str">
        <f>IFERROR(__xludf.DUMMYFUNCTION("""COMPUTED_VALUE"""),"North lakes")</f>
        <v>North lakes</v>
      </c>
      <c r="D1140" s="5" t="str">
        <f>IFERROR(__xludf.DUMMYFUNCTION("""COMPUTED_VALUE"""),"17/3 Sibley Street North Lakes QLD 4509")</f>
        <v>17/3 Sibley Street North Lakes QLD 4509</v>
      </c>
      <c r="E1140" s="25">
        <f>IFERROR(__xludf.DUMMYFUNCTION("""COMPUTED_VALUE"""),45904.0)</f>
        <v>45904</v>
      </c>
      <c r="F1140" s="5" t="str">
        <f>IFERROR(__xludf.DUMMYFUNCTION("""COMPUTED_VALUE"""),"Featured")</f>
        <v>Featured</v>
      </c>
      <c r="G1140" s="19" t="str">
        <f>IFERROR(__xludf.DUMMYFUNCTION("""COMPUTED_VALUE"""),"Instant Forms")</f>
        <v>Instant Forms</v>
      </c>
      <c r="H1140" s="19"/>
      <c r="I1140" s="62"/>
      <c r="J1140" s="19"/>
    </row>
    <row r="1141">
      <c r="A1141" s="19" t="str">
        <f>IFERROR(__xludf.DUMMYFUNCTION("""COMPUTED_VALUE"""),"Itin Bhardwaj")</f>
        <v>Itin Bhardwaj</v>
      </c>
      <c r="B1141" s="19" t="str">
        <f>IFERROR(__xludf.DUMMYFUNCTION("""COMPUTED_VALUE"""),"QLD")</f>
        <v>QLD</v>
      </c>
      <c r="C1141" s="5" t="str">
        <f>IFERROR(__xludf.DUMMYFUNCTION("""COMPUTED_VALUE"""),"Banksia beach")</f>
        <v>Banksia beach</v>
      </c>
      <c r="D1141" s="5" t="str">
        <f>IFERROR(__xludf.DUMMYFUNCTION("""COMPUTED_VALUE"""),"60 Topsail Circuit Banksia Beach QLD 4507")</f>
        <v>60 Topsail Circuit Banksia Beach QLD 4507</v>
      </c>
      <c r="E1141" s="25">
        <f>IFERROR(__xludf.DUMMYFUNCTION("""COMPUTED_VALUE"""),45907.0)</f>
        <v>45907</v>
      </c>
      <c r="F1141" s="5" t="str">
        <f>IFERROR(__xludf.DUMMYFUNCTION("""COMPUTED_VALUE"""),"Featured")</f>
        <v>Featured</v>
      </c>
      <c r="G1141" s="19" t="str">
        <f>IFERROR(__xludf.DUMMYFUNCTION("""COMPUTED_VALUE"""),"Instant Forms")</f>
        <v>Instant Forms</v>
      </c>
      <c r="H1141" s="19"/>
      <c r="I1141" s="62"/>
      <c r="J1141" s="19"/>
    </row>
    <row r="1142">
      <c r="A1142" s="19" t="str">
        <f>IFERROR(__xludf.DUMMYFUNCTION("""COMPUTED_VALUE"""),"Itin Bhardwaj")</f>
        <v>Itin Bhardwaj</v>
      </c>
      <c r="B1142" s="19" t="str">
        <f>IFERROR(__xludf.DUMMYFUNCTION("""COMPUTED_VALUE"""),"QLD")</f>
        <v>QLD</v>
      </c>
      <c r="C1142" s="5" t="str">
        <f>IFERROR(__xludf.DUMMYFUNCTION("""COMPUTED_VALUE"""),"Morayfield")</f>
        <v>Morayfield</v>
      </c>
      <c r="D1142" s="5" t="str">
        <f>IFERROR(__xludf.DUMMYFUNCTION("""COMPUTED_VALUE"""),"3 Griffin Court Morayfield QLD 4506")</f>
        <v>3 Griffin Court Morayfield QLD 4506</v>
      </c>
      <c r="E1142" s="25">
        <f>IFERROR(__xludf.DUMMYFUNCTION("""COMPUTED_VALUE"""),45908.0)</f>
        <v>45908</v>
      </c>
      <c r="F1142" s="5" t="str">
        <f>IFERROR(__xludf.DUMMYFUNCTION("""COMPUTED_VALUE"""),"Featured")</f>
        <v>Featured</v>
      </c>
      <c r="G1142" s="19" t="str">
        <f>IFERROR(__xludf.DUMMYFUNCTION("""COMPUTED_VALUE"""),"Instant Forms")</f>
        <v>Instant Forms</v>
      </c>
      <c r="H1142" s="19"/>
      <c r="I1142" s="62"/>
      <c r="J1142" s="19"/>
    </row>
    <row r="1143">
      <c r="A1143" s="19" t="str">
        <f>IFERROR(__xludf.DUMMYFUNCTION("""COMPUTED_VALUE"""),"Itin Bhardwaj")</f>
        <v>Itin Bhardwaj</v>
      </c>
      <c r="B1143" s="19" t="str">
        <f>IFERROR(__xludf.DUMMYFUNCTION("""COMPUTED_VALUE"""),"QLD")</f>
        <v>QLD</v>
      </c>
      <c r="C1143" s="5" t="str">
        <f>IFERROR(__xludf.DUMMYFUNCTION("""COMPUTED_VALUE"""),"Caboolture")</f>
        <v>Caboolture</v>
      </c>
      <c r="D1143" s="5" t="str">
        <f>IFERROR(__xludf.DUMMYFUNCTION("""COMPUTED_VALUE"""),"19 Winterbrook Court Caboolture QLD 4510")</f>
        <v>19 Winterbrook Court Caboolture QLD 4510</v>
      </c>
      <c r="E1143" s="25">
        <f>IFERROR(__xludf.DUMMYFUNCTION("""COMPUTED_VALUE"""),45908.0)</f>
        <v>45908</v>
      </c>
      <c r="F1143" s="5" t="str">
        <f>IFERROR(__xludf.DUMMYFUNCTION("""COMPUTED_VALUE"""),"Featured")</f>
        <v>Featured</v>
      </c>
      <c r="G1143" s="19" t="str">
        <f>IFERROR(__xludf.DUMMYFUNCTION("""COMPUTED_VALUE"""),"Instant Forms")</f>
        <v>Instant Forms</v>
      </c>
      <c r="H1143" s="19"/>
      <c r="I1143" s="62"/>
      <c r="J1143" s="19"/>
    </row>
    <row r="1144">
      <c r="A1144" s="19" t="str">
        <f>IFERROR(__xludf.DUMMYFUNCTION("""COMPUTED_VALUE"""),"Itin Bhardwaj")</f>
        <v>Itin Bhardwaj</v>
      </c>
      <c r="B1144" s="19" t="str">
        <f>IFERROR(__xludf.DUMMYFUNCTION("""COMPUTED_VALUE"""),"QLD")</f>
        <v>QLD</v>
      </c>
      <c r="C1144" s="5" t="str">
        <f>IFERROR(__xludf.DUMMYFUNCTION("""COMPUTED_VALUE"""),"Caboolture")</f>
        <v>Caboolture</v>
      </c>
      <c r="D1144" s="5" t="str">
        <f>IFERROR(__xludf.DUMMYFUNCTION("""COMPUTED_VALUE"""),"7 Timberedge Court Upper Caboolture QLD 4510")</f>
        <v>7 Timberedge Court Upper Caboolture QLD 4510</v>
      </c>
      <c r="E1144" s="25">
        <f>IFERROR(__xludf.DUMMYFUNCTION("""COMPUTED_VALUE"""),45908.0)</f>
        <v>45908</v>
      </c>
      <c r="F1144" s="5" t="str">
        <f>IFERROR(__xludf.DUMMYFUNCTION("""COMPUTED_VALUE"""),"Featured")</f>
        <v>Featured</v>
      </c>
      <c r="G1144" s="19" t="str">
        <f>IFERROR(__xludf.DUMMYFUNCTION("""COMPUTED_VALUE"""),"Instant Forms")</f>
        <v>Instant Forms</v>
      </c>
      <c r="H1144" s="19"/>
      <c r="I1144" s="62"/>
      <c r="J1144" s="19"/>
    </row>
    <row r="1145">
      <c r="A1145" s="19" t="str">
        <f>IFERROR(__xludf.DUMMYFUNCTION("""COMPUTED_VALUE"""),"Itin Bhardwaj")</f>
        <v>Itin Bhardwaj</v>
      </c>
      <c r="B1145" s="19" t="str">
        <f>IFERROR(__xludf.DUMMYFUNCTION("""COMPUTED_VALUE"""),"QLD")</f>
        <v>QLD</v>
      </c>
      <c r="C1145" s="5" t="str">
        <f>IFERROR(__xludf.DUMMYFUNCTION("""COMPUTED_VALUE"""),"Narangba")</f>
        <v>Narangba</v>
      </c>
      <c r="D1145" s="5" t="str">
        <f>IFERROR(__xludf.DUMMYFUNCTION("""COMPUTED_VALUE"""),"19 Borumba Court Narangba QLD 4504")</f>
        <v>19 Borumba Court Narangba QLD 4504</v>
      </c>
      <c r="E1145" s="25">
        <f>IFERROR(__xludf.DUMMYFUNCTION("""COMPUTED_VALUE"""),45910.0)</f>
        <v>45910</v>
      </c>
      <c r="F1145" s="5">
        <f>IFERROR(__xludf.DUMMYFUNCTION("""COMPUTED_VALUE"""),8.0)</f>
        <v>8</v>
      </c>
      <c r="G1145" s="19" t="str">
        <f>IFERROR(__xludf.DUMMYFUNCTION("""COMPUTED_VALUE"""),"Instant Forms")</f>
        <v>Instant Forms</v>
      </c>
      <c r="H1145" s="19" t="str">
        <f>IFERROR(__xludf.DUMMYFUNCTION("""COMPUTED_VALUE"""),"Leah Rosewarne")</f>
        <v>Leah Rosewarne</v>
      </c>
      <c r="I1145" s="62"/>
      <c r="J1145" s="19"/>
    </row>
    <row r="1146">
      <c r="A1146" s="19" t="str">
        <f>IFERROR(__xludf.DUMMYFUNCTION("""COMPUTED_VALUE"""),"Itin Bhardwaj")</f>
        <v>Itin Bhardwaj</v>
      </c>
      <c r="B1146" s="19" t="str">
        <f>IFERROR(__xludf.DUMMYFUNCTION("""COMPUTED_VALUE"""),"QLD")</f>
        <v>QLD</v>
      </c>
      <c r="C1146" s="5" t="str">
        <f>IFERROR(__xludf.DUMMYFUNCTION("""COMPUTED_VALUE"""),"bribie island")</f>
        <v>bribie island</v>
      </c>
      <c r="D1146" s="5" t="str">
        <f>IFERROR(__xludf.DUMMYFUNCTION("""COMPUTED_VALUE"""),"83 Boronia Drive Bellara QLD 4507")</f>
        <v>83 Boronia Drive Bellara QLD 4507</v>
      </c>
      <c r="E1146" s="25">
        <f>IFERROR(__xludf.DUMMYFUNCTION("""COMPUTED_VALUE"""),45912.0)</f>
        <v>45912</v>
      </c>
      <c r="F1146" s="5">
        <f>IFERROR(__xludf.DUMMYFUNCTION("""COMPUTED_VALUE"""),8.0)</f>
        <v>8</v>
      </c>
      <c r="G1146" s="19" t="str">
        <f>IFERROR(__xludf.DUMMYFUNCTION("""COMPUTED_VALUE"""),"Instant Forms")</f>
        <v>Instant Forms</v>
      </c>
      <c r="H1146" s="19" t="str">
        <f>IFERROR(__xludf.DUMMYFUNCTION("""COMPUTED_VALUE"""),"Ian Samuels")</f>
        <v>Ian Samuels</v>
      </c>
      <c r="I1146" s="62"/>
      <c r="J1146" s="19"/>
    </row>
    <row r="1147">
      <c r="A1147" s="19" t="str">
        <f>IFERROR(__xludf.DUMMYFUNCTION("""COMPUTED_VALUE"""),"Itin Bhardwaj")</f>
        <v>Itin Bhardwaj</v>
      </c>
      <c r="B1147" s="19" t="str">
        <f>IFERROR(__xludf.DUMMYFUNCTION("""COMPUTED_VALUE"""),"QLD")</f>
        <v>QLD</v>
      </c>
      <c r="C1147" s="5" t="str">
        <f>IFERROR(__xludf.DUMMYFUNCTION("""COMPUTED_VALUE"""),"Burpengary east")</f>
        <v>Burpengary east</v>
      </c>
      <c r="D1147" s="5" t="str">
        <f>IFERROR(__xludf.DUMMYFUNCTION("""COMPUTED_VALUE"""),"25 Thorncliffe Drive Burpengary East QLD 4505")</f>
        <v>25 Thorncliffe Drive Burpengary East QLD 4505</v>
      </c>
      <c r="E1147" s="25">
        <f>IFERROR(__xludf.DUMMYFUNCTION("""COMPUTED_VALUE"""),45912.0)</f>
        <v>45912</v>
      </c>
      <c r="F1147" s="5">
        <f>IFERROR(__xludf.DUMMYFUNCTION("""COMPUTED_VALUE"""),8.0)</f>
        <v>8</v>
      </c>
      <c r="G1147" s="19" t="str">
        <f>IFERROR(__xludf.DUMMYFUNCTION("""COMPUTED_VALUE"""),"Instant Forms")</f>
        <v>Instant Forms</v>
      </c>
      <c r="H1147" s="19" t="str">
        <f>IFERROR(__xludf.DUMMYFUNCTION("""COMPUTED_VALUE"""),"Paolo Boni")</f>
        <v>Paolo Boni</v>
      </c>
      <c r="I1147" s="62"/>
      <c r="J1147" s="19"/>
    </row>
    <row r="1148">
      <c r="A1148" s="19" t="str">
        <f>IFERROR(__xludf.DUMMYFUNCTION("""COMPUTED_VALUE"""),"Itin Bhardwaj")</f>
        <v>Itin Bhardwaj</v>
      </c>
      <c r="B1148" s="19" t="str">
        <f>IFERROR(__xludf.DUMMYFUNCTION("""COMPUTED_VALUE"""),"QLD")</f>
        <v>QLD</v>
      </c>
      <c r="C1148" s="5" t="str">
        <f>IFERROR(__xludf.DUMMYFUNCTION("""COMPUTED_VALUE"""),"Bongaree")</f>
        <v>Bongaree</v>
      </c>
      <c r="D1148" s="5" t="str">
        <f>IFERROR(__xludf.DUMMYFUNCTION("""COMPUTED_VALUE"""),"49 Lungfish Circuit Bongaree QLD 4507")</f>
        <v>49 Lungfish Circuit Bongaree QLD 4507</v>
      </c>
      <c r="E1148" s="25">
        <f>IFERROR(__xludf.DUMMYFUNCTION("""COMPUTED_VALUE"""),45918.0)</f>
        <v>45918</v>
      </c>
      <c r="F1148" s="5">
        <f>IFERROR(__xludf.DUMMYFUNCTION("""COMPUTED_VALUE"""),8.0)</f>
        <v>8</v>
      </c>
      <c r="G1148" s="19" t="str">
        <f>IFERROR(__xludf.DUMMYFUNCTION("""COMPUTED_VALUE"""),"Instant Forms")</f>
        <v>Instant Forms</v>
      </c>
      <c r="H1148" s="19" t="str">
        <f>IFERROR(__xludf.DUMMYFUNCTION("""COMPUTED_VALUE"""),"Ann Trubshaw")</f>
        <v>Ann Trubshaw</v>
      </c>
      <c r="I1148" s="62"/>
      <c r="J1148" s="19"/>
    </row>
    <row r="1149">
      <c r="A1149" s="19" t="str">
        <f>IFERROR(__xludf.DUMMYFUNCTION("""COMPUTED_VALUE"""),"Itin Bhardwaj")</f>
        <v>Itin Bhardwaj</v>
      </c>
      <c r="B1149" s="19" t="str">
        <f>IFERROR(__xludf.DUMMYFUNCTION("""COMPUTED_VALUE"""),"QLD")</f>
        <v>QLD</v>
      </c>
      <c r="C1149" s="5" t="str">
        <f>IFERROR(__xludf.DUMMYFUNCTION("""COMPUTED_VALUE"""),"Sandstone Point")</f>
        <v>Sandstone Point</v>
      </c>
      <c r="D1149" s="5" t="str">
        <f>IFERROR(__xludf.DUMMYFUNCTION("""COMPUTED_VALUE"""),"13 Queenscliff Court Sandstone Point QLD 4511")</f>
        <v>13 Queenscliff Court Sandstone Point QLD 4511</v>
      </c>
      <c r="E1149" s="25">
        <f>IFERROR(__xludf.DUMMYFUNCTION("""COMPUTED_VALUE"""),45919.0)</f>
        <v>45919</v>
      </c>
      <c r="F1149" s="5">
        <f>IFERROR(__xludf.DUMMYFUNCTION("""COMPUTED_VALUE"""),8.0)</f>
        <v>8</v>
      </c>
      <c r="G1149" s="19" t="str">
        <f>IFERROR(__xludf.DUMMYFUNCTION("""COMPUTED_VALUE"""),"Instant Forms")</f>
        <v>Instant Forms</v>
      </c>
      <c r="H1149" s="19" t="str">
        <f>IFERROR(__xludf.DUMMYFUNCTION("""COMPUTED_VALUE"""),"Marianna Peto")</f>
        <v>Marianna Peto</v>
      </c>
      <c r="I1149" s="62"/>
      <c r="J1149" s="19"/>
    </row>
    <row r="1150">
      <c r="A1150" s="19" t="str">
        <f>IFERROR(__xludf.DUMMYFUNCTION("""COMPUTED_VALUE"""),"Itin Bhardwaj")</f>
        <v>Itin Bhardwaj</v>
      </c>
      <c r="B1150" s="19" t="str">
        <f>IFERROR(__xludf.DUMMYFUNCTION("""COMPUTED_VALUE"""),"QLD")</f>
        <v>QLD</v>
      </c>
      <c r="C1150" s="5" t="str">
        <f>IFERROR(__xludf.DUMMYFUNCTION("""COMPUTED_VALUE"""),"Beerburrum")</f>
        <v>Beerburrum</v>
      </c>
      <c r="D1150" s="5" t="str">
        <f>IFERROR(__xludf.DUMMYFUNCTION("""COMPUTED_VALUE"""),"1 Wollemi Street Beerburrum")</f>
        <v>1 Wollemi Street Beerburrum</v>
      </c>
      <c r="E1150" s="25">
        <f>IFERROR(__xludf.DUMMYFUNCTION("""COMPUTED_VALUE"""),45921.0)</f>
        <v>45921</v>
      </c>
      <c r="F1150" s="5" t="str">
        <f>IFERROR(__xludf.DUMMYFUNCTION("""COMPUTED_VALUE"""),"Featured")</f>
        <v>Featured</v>
      </c>
      <c r="G1150" s="19" t="str">
        <f>IFERROR(__xludf.DUMMYFUNCTION("""COMPUTED_VALUE"""),"Commission Comparison")</f>
        <v>Commission Comparison</v>
      </c>
      <c r="H1150" s="19"/>
      <c r="I1150" s="62"/>
      <c r="J1150" s="19"/>
    </row>
    <row r="1151">
      <c r="A1151" s="19" t="str">
        <f>IFERROR(__xludf.DUMMYFUNCTION("""COMPUTED_VALUE"""),"Itin Bhardwaj")</f>
        <v>Itin Bhardwaj</v>
      </c>
      <c r="B1151" s="19" t="str">
        <f>IFERROR(__xludf.DUMMYFUNCTION("""COMPUTED_VALUE"""),"QLD")</f>
        <v>QLD</v>
      </c>
      <c r="C1151" s="5" t="str">
        <f>IFERROR(__xludf.DUMMYFUNCTION("""COMPUTED_VALUE"""),"Beachmere")</f>
        <v>Beachmere</v>
      </c>
      <c r="D1151" s="5" t="str">
        <f>IFERROR(__xludf.DUMMYFUNCTION("""COMPUTED_VALUE"""),"45 James Road Beachmere QLD 4510")</f>
        <v>45 James Road Beachmere QLD 4510</v>
      </c>
      <c r="E1151" s="25">
        <f>IFERROR(__xludf.DUMMYFUNCTION("""COMPUTED_VALUE"""),45924.0)</f>
        <v>45924</v>
      </c>
      <c r="F1151" s="5">
        <f>IFERROR(__xludf.DUMMYFUNCTION("""COMPUTED_VALUE"""),8.0)</f>
        <v>8</v>
      </c>
      <c r="G1151" s="19" t="str">
        <f>IFERROR(__xludf.DUMMYFUNCTION("""COMPUTED_VALUE"""),"Instant Forms")</f>
        <v>Instant Forms</v>
      </c>
      <c r="H1151" s="19" t="str">
        <f>IFERROR(__xludf.DUMMYFUNCTION("""COMPUTED_VALUE"""),"Sharon Brown")</f>
        <v>Sharon Brown</v>
      </c>
      <c r="I1151" s="62"/>
      <c r="J1151" s="19"/>
    </row>
    <row r="1152">
      <c r="A1152" s="19" t="str">
        <f>IFERROR(__xludf.DUMMYFUNCTION("""COMPUTED_VALUE"""),"Itin Bhardwaj")</f>
        <v>Itin Bhardwaj</v>
      </c>
      <c r="B1152" s="19" t="str">
        <f>IFERROR(__xludf.DUMMYFUNCTION("""COMPUTED_VALUE"""),"QLD")</f>
        <v>QLD</v>
      </c>
      <c r="C1152" s="5" t="str">
        <f>IFERROR(__xludf.DUMMYFUNCTION("""COMPUTED_VALUE"""),"elimbah")</f>
        <v>elimbah</v>
      </c>
      <c r="D1152" s="5" t="str">
        <f>IFERROR(__xludf.DUMMYFUNCTION("""COMPUTED_VALUE"""),"45-49 Hall Road ELIMBAH QLD 4516/1-3 Greentree Road Elimbah QLD 4516")</f>
        <v>45-49 Hall Road ELIMBAH QLD 4516/1-3 Greentree Road Elimbah QLD 4516</v>
      </c>
      <c r="E1152" s="25">
        <f>IFERROR(__xludf.DUMMYFUNCTION("""COMPUTED_VALUE"""),45924.0)</f>
        <v>45924</v>
      </c>
      <c r="F1152" s="5">
        <f>IFERROR(__xludf.DUMMYFUNCTION("""COMPUTED_VALUE"""),8.0)</f>
        <v>8</v>
      </c>
      <c r="G1152" s="19" t="str">
        <f>IFERROR(__xludf.DUMMYFUNCTION("""COMPUTED_VALUE"""),"Instant Forms")</f>
        <v>Instant Forms</v>
      </c>
      <c r="H1152" s="19" t="str">
        <f>IFERROR(__xludf.DUMMYFUNCTION("""COMPUTED_VALUE"""),"melissa Wood")</f>
        <v>melissa Wood</v>
      </c>
      <c r="I1152" s="62"/>
      <c r="J1152" s="19"/>
    </row>
    <row r="1153">
      <c r="A1153" s="19" t="str">
        <f>IFERROR(__xludf.DUMMYFUNCTION("""COMPUTED_VALUE"""),"Itin Bhardwaj")</f>
        <v>Itin Bhardwaj</v>
      </c>
      <c r="B1153" s="19" t="str">
        <f>IFERROR(__xludf.DUMMYFUNCTION("""COMPUTED_VALUE"""),"QLD")</f>
        <v>QLD</v>
      </c>
      <c r="C1153" s="5" t="str">
        <f>IFERROR(__xludf.DUMMYFUNCTION("""COMPUTED_VALUE"""),"Bongaree")</f>
        <v>Bongaree</v>
      </c>
      <c r="D1153" s="5" t="str">
        <f>IFERROR(__xludf.DUMMYFUNCTION("""COMPUTED_VALUE"""),"48 Protea Drive Bongaree QLD 4507")</f>
        <v>48 Protea Drive Bongaree QLD 4507</v>
      </c>
      <c r="E1153" s="25">
        <f>IFERROR(__xludf.DUMMYFUNCTION("""COMPUTED_VALUE"""),45924.0)</f>
        <v>45924</v>
      </c>
      <c r="F1153" s="5">
        <f>IFERROR(__xludf.DUMMYFUNCTION("""COMPUTED_VALUE"""),8.0)</f>
        <v>8</v>
      </c>
      <c r="G1153" s="19" t="str">
        <f>IFERROR(__xludf.DUMMYFUNCTION("""COMPUTED_VALUE"""),"Instant Forms")</f>
        <v>Instant Forms</v>
      </c>
      <c r="H1153" s="19" t="str">
        <f>IFERROR(__xludf.DUMMYFUNCTION("""COMPUTED_VALUE"""),"Andy Photellis")</f>
        <v>Andy Photellis</v>
      </c>
      <c r="I1153" s="62"/>
      <c r="J1153" s="19"/>
    </row>
    <row r="1154">
      <c r="A1154" s="19" t="str">
        <f>IFERROR(__xludf.DUMMYFUNCTION("""COMPUTED_VALUE"""),"Itin Bhardwaj")</f>
        <v>Itin Bhardwaj</v>
      </c>
      <c r="B1154" s="19" t="str">
        <f>IFERROR(__xludf.DUMMYFUNCTION("""COMPUTED_VALUE"""),"QLD")</f>
        <v>QLD</v>
      </c>
      <c r="C1154" s="5" t="str">
        <f>IFERROR(__xludf.DUMMYFUNCTION("""COMPUTED_VALUE"""),"Elimbah")</f>
        <v>Elimbah</v>
      </c>
      <c r="D1154" s="5" t="str">
        <f>IFERROR(__xludf.DUMMYFUNCTION("""COMPUTED_VALUE"""),"9 Levy Road Elimbah QLD 4516")</f>
        <v>9 Levy Road Elimbah QLD 4516</v>
      </c>
      <c r="E1154" s="25">
        <f>IFERROR(__xludf.DUMMYFUNCTION("""COMPUTED_VALUE"""),45925.0)</f>
        <v>45925</v>
      </c>
      <c r="F1154" s="5">
        <f>IFERROR(__xludf.DUMMYFUNCTION("""COMPUTED_VALUE"""),8.0)</f>
        <v>8</v>
      </c>
      <c r="G1154" s="19" t="str">
        <f>IFERROR(__xludf.DUMMYFUNCTION("""COMPUTED_VALUE"""),"Instant Forms")</f>
        <v>Instant Forms</v>
      </c>
      <c r="H1154" s="19" t="str">
        <f>IFERROR(__xludf.DUMMYFUNCTION("""COMPUTED_VALUE"""),"Donna Poll")</f>
        <v>Donna Poll</v>
      </c>
      <c r="I1154" s="62"/>
      <c r="J1154" s="19"/>
    </row>
    <row r="1155">
      <c r="A1155" s="19" t="str">
        <f>IFERROR(__xludf.DUMMYFUNCTION("""COMPUTED_VALUE"""),"Itin Bhardwaj")</f>
        <v>Itin Bhardwaj</v>
      </c>
      <c r="B1155" s="19" t="str">
        <f>IFERROR(__xludf.DUMMYFUNCTION("""COMPUTED_VALUE"""),"QLD")</f>
        <v>QLD</v>
      </c>
      <c r="C1155" s="5" t="str">
        <f>IFERROR(__xludf.DUMMYFUNCTION("""COMPUTED_VALUE"""),"Beachmere")</f>
        <v>Beachmere</v>
      </c>
      <c r="D1155" s="5" t="str">
        <f>IFERROR(__xludf.DUMMYFUNCTION("""COMPUTED_VALUE"""),"15 Coffey Court, Beachmere, QLD, 4510, Australia")</f>
        <v>15 Coffey Court, Beachmere, QLD, 4510, Australia</v>
      </c>
      <c r="E1155" s="25">
        <f>IFERROR(__xludf.DUMMYFUNCTION("""COMPUTED_VALUE"""),45928.0)</f>
        <v>45928</v>
      </c>
      <c r="F1155" s="5" t="str">
        <f>IFERROR(__xludf.DUMMYFUNCTION("""COMPUTED_VALUE"""),"Featured")</f>
        <v>Featured</v>
      </c>
      <c r="G1155" s="19" t="str">
        <f>IFERROR(__xludf.DUMMYFUNCTION("""COMPUTED_VALUE"""),"Commission Comparison")</f>
        <v>Commission Comparison</v>
      </c>
      <c r="H1155" s="19"/>
      <c r="I1155" s="62"/>
      <c r="J1155" s="19"/>
    </row>
    <row r="1156">
      <c r="A1156" s="19" t="str">
        <f>IFERROR(__xludf.DUMMYFUNCTION("""COMPUTED_VALUE"""),"Itin Bhardwaj")</f>
        <v>Itin Bhardwaj</v>
      </c>
      <c r="B1156" s="19" t="str">
        <f>IFERROR(__xludf.DUMMYFUNCTION("""COMPUTED_VALUE"""),"QLD")</f>
        <v>QLD</v>
      </c>
      <c r="C1156" s="5" t="str">
        <f>IFERROR(__xludf.DUMMYFUNCTION("""COMPUTED_VALUE"""),"Caboolture")</f>
        <v>Caboolture</v>
      </c>
      <c r="D1156" s="5" t="str">
        <f>IFERROR(__xludf.DUMMYFUNCTION("""COMPUTED_VALUE"""),"211 King Street Caboolture QLD 4510")</f>
        <v>211 King Street Caboolture QLD 4510</v>
      </c>
      <c r="E1156" s="25">
        <f>IFERROR(__xludf.DUMMYFUNCTION("""COMPUTED_VALUE"""),45930.0)</f>
        <v>45930</v>
      </c>
      <c r="F1156" s="5">
        <f>IFERROR(__xludf.DUMMYFUNCTION("""COMPUTED_VALUE"""),8.0)</f>
        <v>8</v>
      </c>
      <c r="G1156" s="19" t="str">
        <f>IFERROR(__xludf.DUMMYFUNCTION("""COMPUTED_VALUE"""),"Instant Forms")</f>
        <v>Instant Forms</v>
      </c>
      <c r="H1156" s="19" t="str">
        <f>IFERROR(__xludf.DUMMYFUNCTION("""COMPUTED_VALUE"""),"Wendy Marsh")</f>
        <v>Wendy Marsh</v>
      </c>
      <c r="I1156" s="62"/>
      <c r="J1156" s="19"/>
    </row>
    <row r="1157">
      <c r="A1157" s="19" t="str">
        <f>IFERROR(__xludf.DUMMYFUNCTION("""COMPUTED_VALUE"""),"Itin Bhardwaj")</f>
        <v>Itin Bhardwaj</v>
      </c>
      <c r="B1157" s="19" t="str">
        <f>IFERROR(__xludf.DUMMYFUNCTION("""COMPUTED_VALUE"""),"QLD")</f>
        <v>QLD</v>
      </c>
      <c r="C1157" s="5" t="str">
        <f>IFERROR(__xludf.DUMMYFUNCTION("""COMPUTED_VALUE"""),"Elimbah")</f>
        <v>Elimbah</v>
      </c>
      <c r="D1157" s="5" t="str">
        <f>IFERROR(__xludf.DUMMYFUNCTION("""COMPUTED_VALUE"""),"5 Bigita Place Elimbah QLD 4516")</f>
        <v>5 Bigita Place Elimbah QLD 4516</v>
      </c>
      <c r="E1157" s="25">
        <f>IFERROR(__xludf.DUMMYFUNCTION("""COMPUTED_VALUE"""),45933.0)</f>
        <v>45933</v>
      </c>
      <c r="F1157" s="5">
        <f>IFERROR(__xludf.DUMMYFUNCTION("""COMPUTED_VALUE"""),8.0)</f>
        <v>8</v>
      </c>
      <c r="G1157" s="19" t="str">
        <f>IFERROR(__xludf.DUMMYFUNCTION("""COMPUTED_VALUE"""),"Instant Forms")</f>
        <v>Instant Forms</v>
      </c>
      <c r="H1157" s="19" t="str">
        <f>IFERROR(__xludf.DUMMYFUNCTION("""COMPUTED_VALUE"""),"Michelle Finlay")</f>
        <v>Michelle Finlay</v>
      </c>
      <c r="I1157" s="62"/>
      <c r="J1157" s="19"/>
    </row>
    <row r="1158">
      <c r="A1158" s="19" t="str">
        <f>IFERROR(__xludf.DUMMYFUNCTION("""COMPUTED_VALUE"""),"Itin Bhardwaj")</f>
        <v>Itin Bhardwaj</v>
      </c>
      <c r="B1158" s="19" t="str">
        <f>IFERROR(__xludf.DUMMYFUNCTION("""COMPUTED_VALUE"""),"QLD")</f>
        <v>QLD</v>
      </c>
      <c r="C1158" s="5" t="str">
        <f>IFERROR(__xludf.DUMMYFUNCTION("""COMPUTED_VALUE"""),"Bongaree")</f>
        <v>Bongaree</v>
      </c>
      <c r="D1158" s="5" t="str">
        <f>IFERROR(__xludf.DUMMYFUNCTION("""COMPUTED_VALUE"""),"77 Phoenix Avenue Bongaree QLD 4507")</f>
        <v>77 Phoenix Avenue Bongaree QLD 4507</v>
      </c>
      <c r="E1158" s="25">
        <f>IFERROR(__xludf.DUMMYFUNCTION("""COMPUTED_VALUE"""),45933.0)</f>
        <v>45933</v>
      </c>
      <c r="F1158" s="5">
        <f>IFERROR(__xludf.DUMMYFUNCTION("""COMPUTED_VALUE"""),8.0)</f>
        <v>8</v>
      </c>
      <c r="G1158" s="19" t="str">
        <f>IFERROR(__xludf.DUMMYFUNCTION("""COMPUTED_VALUE"""),"Instant Forms")</f>
        <v>Instant Forms</v>
      </c>
      <c r="H1158" s="19" t="str">
        <f>IFERROR(__xludf.DUMMYFUNCTION("""COMPUTED_VALUE"""),"Tim Amourous")</f>
        <v>Tim Amourous</v>
      </c>
      <c r="I1158" s="62"/>
      <c r="J1158" s="19"/>
    </row>
    <row r="1159">
      <c r="A1159" s="19" t="str">
        <f>IFERROR(__xludf.DUMMYFUNCTION("""COMPUTED_VALUE"""),"Itin Bhardwaj")</f>
        <v>Itin Bhardwaj</v>
      </c>
      <c r="B1159" s="19" t="str">
        <f>IFERROR(__xludf.DUMMYFUNCTION("""COMPUTED_VALUE"""),"QLD")</f>
        <v>QLD</v>
      </c>
      <c r="C1159" s="5" t="str">
        <f>IFERROR(__xludf.DUMMYFUNCTION("""COMPUTED_VALUE"""),"Beachmere")</f>
        <v>Beachmere</v>
      </c>
      <c r="D1159" s="5" t="str">
        <f>IFERROR(__xludf.DUMMYFUNCTION("""COMPUTED_VALUE"""),"129 Biggs avenue")</f>
        <v>129 Biggs avenue</v>
      </c>
      <c r="E1159" s="25">
        <f>IFERROR(__xludf.DUMMYFUNCTION("""COMPUTED_VALUE"""),45933.0)</f>
        <v>45933</v>
      </c>
      <c r="F1159" s="5" t="str">
        <f>IFERROR(__xludf.DUMMYFUNCTION("""COMPUTED_VALUE"""),"Featured")</f>
        <v>Featured</v>
      </c>
      <c r="G1159" s="19" t="str">
        <f>IFERROR(__xludf.DUMMYFUNCTION("""COMPUTED_VALUE"""),"Commission Comparison")</f>
        <v>Commission Comparison</v>
      </c>
      <c r="H1159" s="19"/>
      <c r="I1159" s="62"/>
      <c r="J1159" s="19"/>
    </row>
    <row r="1160">
      <c r="A1160" s="19" t="str">
        <f>IFERROR(__xludf.DUMMYFUNCTION("""COMPUTED_VALUE"""),"Itin Bhardwaj")</f>
        <v>Itin Bhardwaj</v>
      </c>
      <c r="B1160" s="19" t="str">
        <f>IFERROR(__xludf.DUMMYFUNCTION("""COMPUTED_VALUE"""),"QLD")</f>
        <v>QLD</v>
      </c>
      <c r="C1160" s="5" t="str">
        <f>IFERROR(__xludf.DUMMYFUNCTION("""COMPUTED_VALUE"""),"Bellara")</f>
        <v>Bellara</v>
      </c>
      <c r="D1160" s="5" t="str">
        <f>IFERROR(__xludf.DUMMYFUNCTION("""COMPUTED_VALUE"""),"29 Pumicestone Street Bellara QLD 4507")</f>
        <v>29 Pumicestone Street Bellara QLD 4507</v>
      </c>
      <c r="E1160" s="25">
        <f>IFERROR(__xludf.DUMMYFUNCTION("""COMPUTED_VALUE"""),45935.0)</f>
        <v>45935</v>
      </c>
      <c r="F1160" s="5">
        <f>IFERROR(__xludf.DUMMYFUNCTION("""COMPUTED_VALUE"""),8.0)</f>
        <v>8</v>
      </c>
      <c r="G1160" s="19" t="str">
        <f>IFERROR(__xludf.DUMMYFUNCTION("""COMPUTED_VALUE"""),"Instant Forms")</f>
        <v>Instant Forms</v>
      </c>
      <c r="H1160" s="19" t="str">
        <f>IFERROR(__xludf.DUMMYFUNCTION("""COMPUTED_VALUE"""),"Kath Gardner")</f>
        <v>Kath Gardner</v>
      </c>
      <c r="I1160" s="62"/>
      <c r="J1160" s="19"/>
    </row>
    <row r="1161">
      <c r="A1161" s="19" t="str">
        <f>IFERROR(__xludf.DUMMYFUNCTION("""COMPUTED_VALUE"""),"Itin Bhardwaj")</f>
        <v>Itin Bhardwaj</v>
      </c>
      <c r="B1161" s="19" t="str">
        <f>IFERROR(__xludf.DUMMYFUNCTION("""COMPUTED_VALUE"""),"QLD")</f>
        <v>QLD</v>
      </c>
      <c r="C1161" s="5" t="str">
        <f>IFERROR(__xludf.DUMMYFUNCTION("""COMPUTED_VALUE"""),"Bongaree")</f>
        <v>Bongaree</v>
      </c>
      <c r="D1161" s="5"/>
      <c r="E1161" s="25">
        <f>IFERROR(__xludf.DUMMYFUNCTION("""COMPUTED_VALUE"""),45937.0)</f>
        <v>45937</v>
      </c>
      <c r="F1161" s="5">
        <f>IFERROR(__xludf.DUMMYFUNCTION("""COMPUTED_VALUE"""),6.0)</f>
        <v>6</v>
      </c>
      <c r="G1161" s="19" t="str">
        <f>IFERROR(__xludf.DUMMYFUNCTION("""COMPUTED_VALUE"""),"Instant Forms")</f>
        <v>Instant Forms</v>
      </c>
      <c r="H1161" s="19" t="str">
        <f>IFERROR(__xludf.DUMMYFUNCTION("""COMPUTED_VALUE"""),"Sooz Mann")</f>
        <v>Sooz Mann</v>
      </c>
      <c r="I1161" s="62"/>
      <c r="J1161" s="19"/>
    </row>
    <row r="1162">
      <c r="A1162" s="19" t="str">
        <f>IFERROR(__xludf.DUMMYFUNCTION("""COMPUTED_VALUE"""),"Itin Bhardwaj")</f>
        <v>Itin Bhardwaj</v>
      </c>
      <c r="B1162" s="19" t="str">
        <f>IFERROR(__xludf.DUMMYFUNCTION("""COMPUTED_VALUE"""),"QLD")</f>
        <v>QLD</v>
      </c>
      <c r="C1162" s="5" t="str">
        <f>IFERROR(__xludf.DUMMYFUNCTION("""COMPUTED_VALUE"""),"Bellmere")</f>
        <v>Bellmere</v>
      </c>
      <c r="D1162" s="5" t="str">
        <f>IFERROR(__xludf.DUMMYFUNCTION("""COMPUTED_VALUE"""),"10-12 Wade Road Bellmere QLD 4510")</f>
        <v>10-12 Wade Road Bellmere QLD 4510</v>
      </c>
      <c r="E1162" s="25">
        <f>IFERROR(__xludf.DUMMYFUNCTION("""COMPUTED_VALUE"""),45945.0)</f>
        <v>45945</v>
      </c>
      <c r="F1162" s="5">
        <f>IFERROR(__xludf.DUMMYFUNCTION("""COMPUTED_VALUE"""),8.0)</f>
        <v>8</v>
      </c>
      <c r="G1162" s="19" t="str">
        <f>IFERROR(__xludf.DUMMYFUNCTION("""COMPUTED_VALUE"""),"Instant Forms")</f>
        <v>Instant Forms</v>
      </c>
      <c r="H1162" s="19" t="str">
        <f>IFERROR(__xludf.DUMMYFUNCTION("""COMPUTED_VALUE"""),"Helen Staveley")</f>
        <v>Helen Staveley</v>
      </c>
      <c r="I1162" s="62"/>
      <c r="J1162" s="19"/>
    </row>
    <row r="1163">
      <c r="A1163" s="19" t="str">
        <f>IFERROR(__xludf.DUMMYFUNCTION("""COMPUTED_VALUE"""),"Itin Bhardwaj")</f>
        <v>Itin Bhardwaj</v>
      </c>
      <c r="B1163" s="19" t="str">
        <f>IFERROR(__xludf.DUMMYFUNCTION("""COMPUTED_VALUE"""),"QLD")</f>
        <v>QLD</v>
      </c>
      <c r="C1163" s="5" t="str">
        <f>IFERROR(__xludf.DUMMYFUNCTION("""COMPUTED_VALUE"""),"Banksia Beach")</f>
        <v>Banksia Beach</v>
      </c>
      <c r="D1163" s="5" t="str">
        <f>IFERROR(__xludf.DUMMYFUNCTION("""COMPUTED_VALUE"""),"7 Voyagers Drive Banksia Beach QLD 4507")</f>
        <v>7 Voyagers Drive Banksia Beach QLD 4507</v>
      </c>
      <c r="E1163" s="25">
        <f>IFERROR(__xludf.DUMMYFUNCTION("""COMPUTED_VALUE"""),45945.0)</f>
        <v>45945</v>
      </c>
      <c r="F1163" s="5">
        <f>IFERROR(__xludf.DUMMYFUNCTION("""COMPUTED_VALUE"""),8.0)</f>
        <v>8</v>
      </c>
      <c r="G1163" s="19" t="str">
        <f>IFERROR(__xludf.DUMMYFUNCTION("""COMPUTED_VALUE"""),"Instant Forms")</f>
        <v>Instant Forms</v>
      </c>
      <c r="H1163" s="19"/>
      <c r="I1163" s="62"/>
      <c r="J1163" s="19"/>
    </row>
    <row r="1164">
      <c r="A1164" s="19" t="str">
        <f>IFERROR(__xludf.DUMMYFUNCTION("""COMPUTED_VALUE"""),"Itin Bhardwaj")</f>
        <v>Itin Bhardwaj</v>
      </c>
      <c r="B1164" s="19" t="str">
        <f>IFERROR(__xludf.DUMMYFUNCTION("""COMPUTED_VALUE"""),"QLD")</f>
        <v>QLD</v>
      </c>
      <c r="C1164" s="5">
        <f>IFERROR(__xludf.DUMMYFUNCTION("""COMPUTED_VALUE"""),4510.0)</f>
        <v>4510</v>
      </c>
      <c r="D1164" s="5"/>
      <c r="E1164" s="25">
        <f>IFERROR(__xludf.DUMMYFUNCTION("""COMPUTED_VALUE"""),45950.0)</f>
        <v>45950</v>
      </c>
      <c r="F1164" s="5">
        <f>IFERROR(__xludf.DUMMYFUNCTION("""COMPUTED_VALUE"""),5.0)</f>
        <v>5</v>
      </c>
      <c r="G1164" s="19" t="str">
        <f>IFERROR(__xludf.DUMMYFUNCTION("""COMPUTED_VALUE"""),"Instant Forms")</f>
        <v>Instant Forms</v>
      </c>
      <c r="H1164" s="19"/>
      <c r="I1164" s="62"/>
      <c r="J1164" s="19"/>
    </row>
    <row r="1165">
      <c r="A1165" s="19" t="str">
        <f>IFERROR(__xludf.DUMMYFUNCTION("""COMPUTED_VALUE"""),"Itin Bhardwaj")</f>
        <v>Itin Bhardwaj</v>
      </c>
      <c r="B1165" s="19" t="str">
        <f>IFERROR(__xludf.DUMMYFUNCTION("""COMPUTED_VALUE"""),"QLD")</f>
        <v>QLD</v>
      </c>
      <c r="C1165" s="5" t="str">
        <f>IFERROR(__xludf.DUMMYFUNCTION("""COMPUTED_VALUE"""),"Elimbah")</f>
        <v>Elimbah</v>
      </c>
      <c r="D1165" s="5" t="str">
        <f>IFERROR(__xludf.DUMMYFUNCTION("""COMPUTED_VALUE"""),"25-31 Spoonbill Dr")</f>
        <v>25-31 Spoonbill Dr</v>
      </c>
      <c r="E1165" s="25">
        <f>IFERROR(__xludf.DUMMYFUNCTION("""COMPUTED_VALUE"""),45964.0)</f>
        <v>45964</v>
      </c>
      <c r="F1165" s="5" t="str">
        <f>IFERROR(__xludf.DUMMYFUNCTION("""COMPUTED_VALUE"""),"Featured")</f>
        <v>Featured</v>
      </c>
      <c r="G1165" s="19" t="str">
        <f>IFERROR(__xludf.DUMMYFUNCTION("""COMPUTED_VALUE"""),"Commission Comparison")</f>
        <v>Commission Comparison</v>
      </c>
      <c r="H1165" s="19"/>
      <c r="I1165" s="62"/>
      <c r="J1165" s="19"/>
    </row>
    <row r="1166">
      <c r="A1166" s="19" t="str">
        <f>IFERROR(__xludf.DUMMYFUNCTION("""COMPUTED_VALUE"""),"Itin Bhardwaj")</f>
        <v>Itin Bhardwaj</v>
      </c>
      <c r="B1166" s="19" t="str">
        <f>IFERROR(__xludf.DUMMYFUNCTION("""COMPUTED_VALUE"""),"QLD")</f>
        <v>QLD</v>
      </c>
      <c r="C1166" s="5" t="str">
        <f>IFERROR(__xludf.DUMMYFUNCTION("""COMPUTED_VALUE"""),"Bellmere")</f>
        <v>Bellmere</v>
      </c>
      <c r="D1166" s="5" t="str">
        <f>IFERROR(__xludf.DUMMYFUNCTION("""COMPUTED_VALUE"""),"142 Behrens Road Bellmere QLD 4510")</f>
        <v>142 Behrens Road Bellmere QLD 4510</v>
      </c>
      <c r="E1166" s="25">
        <f>IFERROR(__xludf.DUMMYFUNCTION("""COMPUTED_VALUE"""),45969.0)</f>
        <v>45969</v>
      </c>
      <c r="F1166" s="5">
        <f>IFERROR(__xludf.DUMMYFUNCTION("""COMPUTED_VALUE"""),8.0)</f>
        <v>8</v>
      </c>
      <c r="G1166" s="19" t="str">
        <f>IFERROR(__xludf.DUMMYFUNCTION("""COMPUTED_VALUE"""),"Instant Forms")</f>
        <v>Instant Forms</v>
      </c>
      <c r="H1166" s="19" t="str">
        <f>IFERROR(__xludf.DUMMYFUNCTION("""COMPUTED_VALUE"""),"Roland Kilgus")</f>
        <v>Roland Kilgus</v>
      </c>
      <c r="I1166" s="62">
        <f>IFERROR(__xludf.DUMMYFUNCTION("""COMPUTED_VALUE"""),6.14471123E10)</f>
        <v>61447112300</v>
      </c>
      <c r="J1166" s="19" t="str">
        <f>IFERROR(__xludf.DUMMYFUNCTION("""COMPUTED_VALUE"""),"rolandkilgus@gmail.com")</f>
        <v>rolandkilgus@gmail.com</v>
      </c>
    </row>
    <row r="1167">
      <c r="A1167" s="19" t="str">
        <f>IFERROR(__xludf.DUMMYFUNCTION("""COMPUTED_VALUE"""),"Itin Bhardwaj")</f>
        <v>Itin Bhardwaj</v>
      </c>
      <c r="B1167" s="19" t="str">
        <f>IFERROR(__xludf.DUMMYFUNCTION("""COMPUTED_VALUE"""),"QLD")</f>
        <v>QLD</v>
      </c>
      <c r="C1167" s="5" t="str">
        <f>IFERROR(__xludf.DUMMYFUNCTION("""COMPUTED_VALUE"""),"Beachmere")</f>
        <v>Beachmere</v>
      </c>
      <c r="D1167" s="5" t="str">
        <f>IFERROR(__xludf.DUMMYFUNCTION("""COMPUTED_VALUE"""),"91 Moreton Terrace Beachmere, Beachmere, 4241")</f>
        <v>91 Moreton Terrace Beachmere, Beachmere, 4241</v>
      </c>
      <c r="E1167" s="25">
        <f>IFERROR(__xludf.DUMMYFUNCTION("""COMPUTED_VALUE"""),46002.0)</f>
        <v>46002</v>
      </c>
      <c r="F1167" s="5" t="str">
        <f>IFERROR(__xludf.DUMMYFUNCTION("""COMPUTED_VALUE"""),"Featured")</f>
        <v>Featured</v>
      </c>
      <c r="G1167" s="19" t="str">
        <f>IFERROR(__xludf.DUMMYFUNCTION("""COMPUTED_VALUE"""),"Meta Commission Report")</f>
        <v>Meta Commission Report</v>
      </c>
      <c r="H1167" s="19" t="str">
        <f>IFERROR(__xludf.DUMMYFUNCTION("""COMPUTED_VALUE"""),"Melissa Dugon")</f>
        <v>Melissa Dugon</v>
      </c>
      <c r="I1167" s="62">
        <f>IFERROR(__xludf.DUMMYFUNCTION("""COMPUTED_VALUE"""),6.147826853E10)</f>
        <v>61478268530</v>
      </c>
      <c r="J1167" s="19" t="str">
        <f>IFERROR(__xludf.DUMMYFUNCTION("""COMPUTED_VALUE"""),"lisswightman@hotmail.com")</f>
        <v>lisswightman@hotmail.com</v>
      </c>
    </row>
    <row r="1168">
      <c r="A1168" s="19" t="str">
        <f>IFERROR(__xludf.DUMMYFUNCTION("""COMPUTED_VALUE"""),"Itin Bhardwaj")</f>
        <v>Itin Bhardwaj</v>
      </c>
      <c r="B1168" s="19" t="str">
        <f>IFERROR(__xludf.DUMMYFUNCTION("""COMPUTED_VALUE"""),"QLD")</f>
        <v>QLD</v>
      </c>
      <c r="C1168" s="5" t="str">
        <f>IFERROR(__xludf.DUMMYFUNCTION("""COMPUTED_VALUE"""),"Ningi")</f>
        <v>Ningi</v>
      </c>
      <c r="D1168" s="5" t="str">
        <f>IFERROR(__xludf.DUMMYFUNCTION("""COMPUTED_VALUE"""),"31 Aylward Rd Ningi")</f>
        <v>31 Aylward Rd Ningi</v>
      </c>
      <c r="E1168" s="5" t="str">
        <f>IFERROR(__xludf.DUMMYFUNCTION("""COMPUTED_VALUE"""),"27/11/2025")</f>
        <v>27/11/2025</v>
      </c>
      <c r="F1168" s="64">
        <f>IFERROR(__xludf.DUMMYFUNCTION("""COMPUTED_VALUE"""),0.2)</f>
        <v>0.2</v>
      </c>
      <c r="G1168" s="19" t="str">
        <f>IFERROR(__xludf.DUMMYFUNCTION("""COMPUTED_VALUE"""),"Commission Comparison")</f>
        <v>Commission Comparison</v>
      </c>
      <c r="H1168" s="19" t="str">
        <f>IFERROR(__xludf.DUMMYFUNCTION("""COMPUTED_VALUE"""),"Northside AussieBulldogs")</f>
        <v>Northside AussieBulldogs</v>
      </c>
      <c r="I1168" s="62">
        <f>IFERROR(__xludf.DUMMYFUNCTION("""COMPUTED_VALUE"""),6.1419024126E10)</f>
        <v>61419024126</v>
      </c>
      <c r="J1168" s="19" t="str">
        <f>IFERROR(__xludf.DUMMYFUNCTION("""COMPUTED_VALUE"""),"heavenhere@iprimus.com.au")</f>
        <v>heavenhere@iprimus.com.au</v>
      </c>
    </row>
    <row r="1169">
      <c r="A1169" s="19" t="str">
        <f>IFERROR(__xludf.DUMMYFUNCTION("""COMPUTED_VALUE"""),"")</f>
        <v/>
      </c>
      <c r="B1169" s="19" t="str">
        <f>IFERROR(__xludf.DUMMYFUNCTION("""COMPUTED_VALUE"""),"")</f>
        <v/>
      </c>
      <c r="C1169" s="5" t="str">
        <f>IFERROR(__xludf.DUMMYFUNCTION("""COMPUTED_VALUE"""),"")</f>
        <v/>
      </c>
      <c r="D1169" s="5" t="str">
        <f>IFERROR(__xludf.DUMMYFUNCTION("""COMPUTED_VALUE"""),"")</f>
        <v/>
      </c>
      <c r="E1169" s="5" t="str">
        <f>IFERROR(__xludf.DUMMYFUNCTION("""COMPUTED_VALUE"""),"")</f>
        <v/>
      </c>
      <c r="F1169" s="5" t="str">
        <f>IFERROR(__xludf.DUMMYFUNCTION("""COMPUTED_VALUE"""),"")</f>
        <v/>
      </c>
      <c r="G1169" s="19" t="str">
        <f>IFERROR(__xludf.DUMMYFUNCTION("""COMPUTED_VALUE"""),"")</f>
        <v/>
      </c>
      <c r="H1169" s="19" t="str">
        <f>IFERROR(__xludf.DUMMYFUNCTION("""COMPUTED_VALUE"""),"")</f>
        <v/>
      </c>
      <c r="I1169" s="62" t="str">
        <f>IFERROR(__xludf.DUMMYFUNCTION("""COMPUTED_VALUE"""),"")</f>
        <v/>
      </c>
      <c r="J1169" s="19" t="str">
        <f>IFERROR(__xludf.DUMMYFUNCTION("""COMPUTED_VALUE"""),"")</f>
        <v/>
      </c>
    </row>
    <row r="1170">
      <c r="A1170" s="19" t="str">
        <f>IFERROR(__xludf.DUMMYFUNCTION("""COMPUTED_VALUE"""),"")</f>
        <v/>
      </c>
      <c r="B1170" s="19" t="str">
        <f>IFERROR(__xludf.DUMMYFUNCTION("""COMPUTED_VALUE"""),"")</f>
        <v/>
      </c>
      <c r="C1170" s="5" t="str">
        <f>IFERROR(__xludf.DUMMYFUNCTION("""COMPUTED_VALUE"""),"")</f>
        <v/>
      </c>
      <c r="D1170" s="5" t="str">
        <f>IFERROR(__xludf.DUMMYFUNCTION("""COMPUTED_VALUE"""),"")</f>
        <v/>
      </c>
      <c r="E1170" s="5" t="str">
        <f>IFERROR(__xludf.DUMMYFUNCTION("""COMPUTED_VALUE"""),"")</f>
        <v/>
      </c>
      <c r="F1170" s="5" t="str">
        <f>IFERROR(__xludf.DUMMYFUNCTION("""COMPUTED_VALUE"""),"")</f>
        <v/>
      </c>
      <c r="G1170" s="19" t="str">
        <f>IFERROR(__xludf.DUMMYFUNCTION("""COMPUTED_VALUE"""),"")</f>
        <v/>
      </c>
      <c r="H1170" s="19" t="str">
        <f>IFERROR(__xludf.DUMMYFUNCTION("""COMPUTED_VALUE"""),"")</f>
        <v/>
      </c>
      <c r="I1170" s="62" t="str">
        <f>IFERROR(__xludf.DUMMYFUNCTION("""COMPUTED_VALUE"""),"")</f>
        <v/>
      </c>
      <c r="J1170" s="19" t="str">
        <f>IFERROR(__xludf.DUMMYFUNCTION("""COMPUTED_VALUE"""),"")</f>
        <v/>
      </c>
    </row>
    <row r="1171">
      <c r="A1171" s="19" t="str">
        <f>IFERROR(__xludf.DUMMYFUNCTION("""COMPUTED_VALUE"""),"Jack Di Prima")</f>
        <v>Jack Di Prima</v>
      </c>
      <c r="B1171" s="19" t="str">
        <f>IFERROR(__xludf.DUMMYFUNCTION("""COMPUTED_VALUE"""),"QLD")</f>
        <v>QLD</v>
      </c>
      <c r="C1171" s="5" t="str">
        <f>IFERROR(__xludf.DUMMYFUNCTION("""COMPUTED_VALUE"""),"Everton Hills")</f>
        <v>Everton Hills</v>
      </c>
      <c r="D1171" s="5"/>
      <c r="E1171" s="25">
        <f>IFERROR(__xludf.DUMMYFUNCTION("""COMPUTED_VALUE"""),45881.0)</f>
        <v>45881</v>
      </c>
      <c r="F1171" s="5" t="str">
        <f>IFERROR(__xludf.DUMMYFUNCTION("""COMPUTED_VALUE"""),"Free")</f>
        <v>Free</v>
      </c>
      <c r="G1171" s="19" t="str">
        <f>IFERROR(__xludf.DUMMYFUNCTION("""COMPUTED_VALUE"""),"Instant Forms")</f>
        <v>Instant Forms</v>
      </c>
      <c r="H1171" s="19"/>
      <c r="I1171" s="62"/>
      <c r="J1171" s="19"/>
    </row>
    <row r="1172">
      <c r="A1172" s="19" t="str">
        <f>IFERROR(__xludf.DUMMYFUNCTION("""COMPUTED_VALUE"""),"Jack Di Prima")</f>
        <v>Jack Di Prima</v>
      </c>
      <c r="B1172" s="19" t="str">
        <f>IFERROR(__xludf.DUMMYFUNCTION("""COMPUTED_VALUE"""),"QLD")</f>
        <v>QLD</v>
      </c>
      <c r="C1172" s="5" t="str">
        <f>IFERROR(__xludf.DUMMYFUNCTION("""COMPUTED_VALUE"""),"Ashgrove")</f>
        <v>Ashgrove</v>
      </c>
      <c r="D1172" s="5"/>
      <c r="E1172" s="25">
        <f>IFERROR(__xludf.DUMMYFUNCTION("""COMPUTED_VALUE"""),45881.0)</f>
        <v>45881</v>
      </c>
      <c r="F1172" s="5" t="str">
        <f>IFERROR(__xludf.DUMMYFUNCTION("""COMPUTED_VALUE"""),"Featured")</f>
        <v>Featured</v>
      </c>
      <c r="G1172" s="19" t="str">
        <f>IFERROR(__xludf.DUMMYFUNCTION("""COMPUTED_VALUE"""),"Instant Forms")</f>
        <v>Instant Forms</v>
      </c>
      <c r="H1172" s="19"/>
      <c r="I1172" s="62"/>
      <c r="J1172" s="19"/>
    </row>
    <row r="1173">
      <c r="A1173" s="19" t="str">
        <f>IFERROR(__xludf.DUMMYFUNCTION("""COMPUTED_VALUE"""),"Jack Di Prima")</f>
        <v>Jack Di Prima</v>
      </c>
      <c r="B1173" s="19" t="str">
        <f>IFERROR(__xludf.DUMMYFUNCTION("""COMPUTED_VALUE"""),"QLD")</f>
        <v>QLD</v>
      </c>
      <c r="C1173" s="5">
        <f>IFERROR(__xludf.DUMMYFUNCTION("""COMPUTED_VALUE"""),4064.0)</f>
        <v>4064</v>
      </c>
      <c r="D1173" s="5"/>
      <c r="E1173" s="25">
        <f>IFERROR(__xludf.DUMMYFUNCTION("""COMPUTED_VALUE"""),45882.0)</f>
        <v>45882</v>
      </c>
      <c r="F1173" s="5" t="str">
        <f>IFERROR(__xludf.DUMMYFUNCTION("""COMPUTED_VALUE"""),"Free")</f>
        <v>Free</v>
      </c>
      <c r="G1173" s="19" t="str">
        <f>IFERROR(__xludf.DUMMYFUNCTION("""COMPUTED_VALUE"""),"Instant Forms")</f>
        <v>Instant Forms</v>
      </c>
      <c r="H1173" s="19"/>
      <c r="I1173" s="62"/>
      <c r="J1173" s="19"/>
    </row>
    <row r="1174">
      <c r="A1174" s="19" t="str">
        <f>IFERROR(__xludf.DUMMYFUNCTION("""COMPUTED_VALUE"""),"Jack Di Prima")</f>
        <v>Jack Di Prima</v>
      </c>
      <c r="B1174" s="19" t="str">
        <f>IFERROR(__xludf.DUMMYFUNCTION("""COMPUTED_VALUE"""),"QLD")</f>
        <v>QLD</v>
      </c>
      <c r="C1174" s="5" t="str">
        <f>IFERROR(__xludf.DUMMYFUNCTION("""COMPUTED_VALUE"""),"Ashgrove")</f>
        <v>Ashgrove</v>
      </c>
      <c r="D1174" s="5" t="str">
        <f>IFERROR(__xludf.DUMMYFUNCTION("""COMPUTED_VALUE"""),"9 Glasgow Street Ashgrove QLD 4060")</f>
        <v>9 Glasgow Street Ashgrove QLD 4060</v>
      </c>
      <c r="E1174" s="25">
        <f>IFERROR(__xludf.DUMMYFUNCTION("""COMPUTED_VALUE"""),45882.0)</f>
        <v>45882</v>
      </c>
      <c r="F1174" s="5" t="str">
        <f>IFERROR(__xludf.DUMMYFUNCTION("""COMPUTED_VALUE"""),"Featured")</f>
        <v>Featured</v>
      </c>
      <c r="G1174" s="19" t="str">
        <f>IFERROR(__xludf.DUMMYFUNCTION("""COMPUTED_VALUE"""),"Instant Forms")</f>
        <v>Instant Forms</v>
      </c>
      <c r="H1174" s="19"/>
      <c r="I1174" s="62"/>
      <c r="J1174" s="19"/>
    </row>
    <row r="1175">
      <c r="A1175" s="19" t="str">
        <f>IFERROR(__xludf.DUMMYFUNCTION("""COMPUTED_VALUE"""),"Jack Di Prima")</f>
        <v>Jack Di Prima</v>
      </c>
      <c r="B1175" s="19" t="str">
        <f>IFERROR(__xludf.DUMMYFUNCTION("""COMPUTED_VALUE"""),"QLD")</f>
        <v>QLD</v>
      </c>
      <c r="C1175" s="5" t="str">
        <f>IFERROR(__xludf.DUMMYFUNCTION("""COMPUTED_VALUE"""),"Indooroopilly")</f>
        <v>Indooroopilly</v>
      </c>
      <c r="D1175" s="5"/>
      <c r="E1175" s="25">
        <f>IFERROR(__xludf.DUMMYFUNCTION("""COMPUTED_VALUE"""),45883.0)</f>
        <v>45883</v>
      </c>
      <c r="F1175" s="5" t="str">
        <f>IFERROR(__xludf.DUMMYFUNCTION("""COMPUTED_VALUE"""),"Featured")</f>
        <v>Featured</v>
      </c>
      <c r="G1175" s="19" t="str">
        <f>IFERROR(__xludf.DUMMYFUNCTION("""COMPUTED_VALUE"""),"Instant Forms")</f>
        <v>Instant Forms</v>
      </c>
      <c r="H1175" s="19"/>
      <c r="I1175" s="62"/>
      <c r="J1175" s="19"/>
    </row>
    <row r="1176">
      <c r="A1176" s="19" t="str">
        <f>IFERROR(__xludf.DUMMYFUNCTION("""COMPUTED_VALUE"""),"Jack Di Prima")</f>
        <v>Jack Di Prima</v>
      </c>
      <c r="B1176" s="19" t="str">
        <f>IFERROR(__xludf.DUMMYFUNCTION("""COMPUTED_VALUE"""),"QLD")</f>
        <v>QLD</v>
      </c>
      <c r="C1176" s="5" t="str">
        <f>IFERROR(__xludf.DUMMYFUNCTION("""COMPUTED_VALUE"""),"Ashgrove")</f>
        <v>Ashgrove</v>
      </c>
      <c r="D1176" s="5" t="str">
        <f>IFERROR(__xludf.DUMMYFUNCTION("""COMPUTED_VALUE"""),"86 Acacia Drive Ashgrove QLD 4060")</f>
        <v>86 Acacia Drive Ashgrove QLD 4060</v>
      </c>
      <c r="E1176" s="25">
        <f>IFERROR(__xludf.DUMMYFUNCTION("""COMPUTED_VALUE"""),45884.0)</f>
        <v>45884</v>
      </c>
      <c r="F1176" s="5" t="str">
        <f>IFERROR(__xludf.DUMMYFUNCTION("""COMPUTED_VALUE"""),"Featured")</f>
        <v>Featured</v>
      </c>
      <c r="G1176" s="19" t="str">
        <f>IFERROR(__xludf.DUMMYFUNCTION("""COMPUTED_VALUE"""),"Instant Forms")</f>
        <v>Instant Forms</v>
      </c>
      <c r="H1176" s="19"/>
      <c r="I1176" s="62"/>
      <c r="J1176" s="19"/>
    </row>
    <row r="1177">
      <c r="A1177" s="19" t="str">
        <f>IFERROR(__xludf.DUMMYFUNCTION("""COMPUTED_VALUE"""),"Jack Di Prima")</f>
        <v>Jack Di Prima</v>
      </c>
      <c r="B1177" s="19" t="str">
        <f>IFERROR(__xludf.DUMMYFUNCTION("""COMPUTED_VALUE"""),"QLD")</f>
        <v>QLD</v>
      </c>
      <c r="C1177" s="5" t="str">
        <f>IFERROR(__xludf.DUMMYFUNCTION("""COMPUTED_VALUE"""),"Everton Hills")</f>
        <v>Everton Hills</v>
      </c>
      <c r="D1177" s="5" t="str">
        <f>IFERROR(__xludf.DUMMYFUNCTION("""COMPUTED_VALUE"""),"56 Olearia Street East Everton Hills QLD 4053")</f>
        <v>56 Olearia Street East Everton Hills QLD 4053</v>
      </c>
      <c r="E1177" s="25">
        <f>IFERROR(__xludf.DUMMYFUNCTION("""COMPUTED_VALUE"""),45888.0)</f>
        <v>45888</v>
      </c>
      <c r="F1177" s="5" t="str">
        <f>IFERROR(__xludf.DUMMYFUNCTION("""COMPUTED_VALUE"""),"Featured")</f>
        <v>Featured</v>
      </c>
      <c r="G1177" s="19" t="str">
        <f>IFERROR(__xludf.DUMMYFUNCTION("""COMPUTED_VALUE"""),"Instant Forms")</f>
        <v>Instant Forms</v>
      </c>
      <c r="H1177" s="19"/>
      <c r="I1177" s="62"/>
      <c r="J1177" s="19"/>
    </row>
    <row r="1178">
      <c r="A1178" s="19" t="str">
        <f>IFERROR(__xludf.DUMMYFUNCTION("""COMPUTED_VALUE"""),"Jack Di Prima")</f>
        <v>Jack Di Prima</v>
      </c>
      <c r="B1178" s="19" t="str">
        <f>IFERROR(__xludf.DUMMYFUNCTION("""COMPUTED_VALUE"""),"QLD")</f>
        <v>QLD</v>
      </c>
      <c r="C1178" s="5" t="str">
        <f>IFERROR(__xludf.DUMMYFUNCTION("""COMPUTED_VALUE"""),"Auchenflower")</f>
        <v>Auchenflower</v>
      </c>
      <c r="D1178" s="5" t="str">
        <f>IFERROR(__xludf.DUMMYFUNCTION("""COMPUTED_VALUE"""),"31/8 Dunmore Terrace Auchenflower QLD 4066")</f>
        <v>31/8 Dunmore Terrace Auchenflower QLD 4066</v>
      </c>
      <c r="E1178" s="25">
        <f>IFERROR(__xludf.DUMMYFUNCTION("""COMPUTED_VALUE"""),45889.0)</f>
        <v>45889</v>
      </c>
      <c r="F1178" s="5" t="str">
        <f>IFERROR(__xludf.DUMMYFUNCTION("""COMPUTED_VALUE"""),"Featured")</f>
        <v>Featured</v>
      </c>
      <c r="G1178" s="19" t="str">
        <f>IFERROR(__xludf.DUMMYFUNCTION("""COMPUTED_VALUE"""),"Instant Forms")</f>
        <v>Instant Forms</v>
      </c>
      <c r="H1178" s="19"/>
      <c r="I1178" s="62"/>
      <c r="J1178" s="19"/>
    </row>
    <row r="1179">
      <c r="A1179" s="19" t="str">
        <f>IFERROR(__xludf.DUMMYFUNCTION("""COMPUTED_VALUE"""),"Jack Di Prima")</f>
        <v>Jack Di Prima</v>
      </c>
      <c r="B1179" s="19" t="str">
        <f>IFERROR(__xludf.DUMMYFUNCTION("""COMPUTED_VALUE"""),"QLD")</f>
        <v>QLD</v>
      </c>
      <c r="C1179" s="5" t="str">
        <f>IFERROR(__xludf.DUMMYFUNCTION("""COMPUTED_VALUE"""),"Ashgrove")</f>
        <v>Ashgrove</v>
      </c>
      <c r="D1179" s="5" t="str">
        <f>IFERROR(__xludf.DUMMYFUNCTION("""COMPUTED_VALUE"""),"86 Acacia Drive Ashgrove QLD 4060")</f>
        <v>86 Acacia Drive Ashgrove QLD 4060</v>
      </c>
      <c r="E1179" s="25">
        <f>IFERROR(__xludf.DUMMYFUNCTION("""COMPUTED_VALUE"""),45889.0)</f>
        <v>45889</v>
      </c>
      <c r="F1179" s="5" t="str">
        <f>IFERROR(__xludf.DUMMYFUNCTION("""COMPUTED_VALUE"""),"Featured")</f>
        <v>Featured</v>
      </c>
      <c r="G1179" s="19" t="str">
        <f>IFERROR(__xludf.DUMMYFUNCTION("""COMPUTED_VALUE"""),"Instant Forms")</f>
        <v>Instant Forms</v>
      </c>
      <c r="H1179" s="19"/>
      <c r="I1179" s="62"/>
      <c r="J1179" s="19"/>
    </row>
    <row r="1180">
      <c r="A1180" s="19" t="str">
        <f>IFERROR(__xludf.DUMMYFUNCTION("""COMPUTED_VALUE"""),"Jack Di Prima")</f>
        <v>Jack Di Prima</v>
      </c>
      <c r="B1180" s="19" t="str">
        <f>IFERROR(__xludf.DUMMYFUNCTION("""COMPUTED_VALUE"""),"QLD")</f>
        <v>QLD</v>
      </c>
      <c r="C1180" s="5" t="str">
        <f>IFERROR(__xludf.DUMMYFUNCTION("""COMPUTED_VALUE"""),"Chapel hill")</f>
        <v>Chapel hill</v>
      </c>
      <c r="D1180" s="5"/>
      <c r="E1180" s="25">
        <f>IFERROR(__xludf.DUMMYFUNCTION("""COMPUTED_VALUE"""),45889.0)</f>
        <v>45889</v>
      </c>
      <c r="F1180" s="5" t="str">
        <f>IFERROR(__xludf.DUMMYFUNCTION("""COMPUTED_VALUE"""),"Free")</f>
        <v>Free</v>
      </c>
      <c r="G1180" s="19" t="str">
        <f>IFERROR(__xludf.DUMMYFUNCTION("""COMPUTED_VALUE"""),"Instant Forms")</f>
        <v>Instant Forms</v>
      </c>
      <c r="H1180" s="19"/>
      <c r="I1180" s="62"/>
      <c r="J1180" s="19"/>
    </row>
    <row r="1181">
      <c r="A1181" s="19" t="str">
        <f>IFERROR(__xludf.DUMMYFUNCTION("""COMPUTED_VALUE"""),"Jack Di Prima")</f>
        <v>Jack Di Prima</v>
      </c>
      <c r="B1181" s="19" t="str">
        <f>IFERROR(__xludf.DUMMYFUNCTION("""COMPUTED_VALUE"""),"QLD")</f>
        <v>QLD</v>
      </c>
      <c r="C1181" s="5" t="str">
        <f>IFERROR(__xludf.DUMMYFUNCTION("""COMPUTED_VALUE"""),"West end")</f>
        <v>West end</v>
      </c>
      <c r="D1181" s="5"/>
      <c r="E1181" s="25">
        <f>IFERROR(__xludf.DUMMYFUNCTION("""COMPUTED_VALUE"""),45890.0)</f>
        <v>45890</v>
      </c>
      <c r="F1181" s="5" t="str">
        <f>IFERROR(__xludf.DUMMYFUNCTION("""COMPUTED_VALUE"""),"Free")</f>
        <v>Free</v>
      </c>
      <c r="G1181" s="19" t="str">
        <f>IFERROR(__xludf.DUMMYFUNCTION("""COMPUTED_VALUE"""),"Instant Forms")</f>
        <v>Instant Forms</v>
      </c>
      <c r="H1181" s="19"/>
      <c r="I1181" s="62"/>
      <c r="J1181" s="19"/>
    </row>
    <row r="1182">
      <c r="A1182" s="19" t="str">
        <f>IFERROR(__xludf.DUMMYFUNCTION("""COMPUTED_VALUE"""),"Jack Di Prima")</f>
        <v>Jack Di Prima</v>
      </c>
      <c r="B1182" s="19" t="str">
        <f>IFERROR(__xludf.DUMMYFUNCTION("""COMPUTED_VALUE"""),"QLD")</f>
        <v>QLD</v>
      </c>
      <c r="C1182" s="5" t="str">
        <f>IFERROR(__xludf.DUMMYFUNCTION("""COMPUTED_VALUE"""),"Kenmore")</f>
        <v>Kenmore</v>
      </c>
      <c r="D1182" s="5" t="str">
        <f>IFERROR(__xludf.DUMMYFUNCTION("""COMPUTED_VALUE"""),"76 Kenmore Road, Kenmore, QLD, 4069, Australia")</f>
        <v>76 Kenmore Road, Kenmore, QLD, 4069, Australia</v>
      </c>
      <c r="E1182" s="25">
        <f>IFERROR(__xludf.DUMMYFUNCTION("""COMPUTED_VALUE"""),45890.0)</f>
        <v>45890</v>
      </c>
      <c r="F1182" s="5" t="str">
        <f>IFERROR(__xludf.DUMMYFUNCTION("""COMPUTED_VALUE"""),"Featured")</f>
        <v>Featured</v>
      </c>
      <c r="G1182" s="19" t="str">
        <f>IFERROR(__xludf.DUMMYFUNCTION("""COMPUTED_VALUE"""),"Commission Comparison")</f>
        <v>Commission Comparison</v>
      </c>
      <c r="H1182" s="19"/>
      <c r="I1182" s="62"/>
      <c r="J1182" s="19"/>
    </row>
    <row r="1183">
      <c r="A1183" s="19" t="str">
        <f>IFERROR(__xludf.DUMMYFUNCTION("""COMPUTED_VALUE"""),"Jack Di Prima")</f>
        <v>Jack Di Prima</v>
      </c>
      <c r="B1183" s="19" t="str">
        <f>IFERROR(__xludf.DUMMYFUNCTION("""COMPUTED_VALUE"""),"QLD")</f>
        <v>QLD</v>
      </c>
      <c r="C1183" s="5" t="str">
        <f>IFERROR(__xludf.DUMMYFUNCTION("""COMPUTED_VALUE"""),"Fig tree pocket")</f>
        <v>Fig tree pocket</v>
      </c>
      <c r="D1183" s="5" t="str">
        <f>IFERROR(__xludf.DUMMYFUNCTION("""COMPUTED_VALUE"""),"19 Rivergum Place Fig Tree Pocket QLD 4069")</f>
        <v>19 Rivergum Place Fig Tree Pocket QLD 4069</v>
      </c>
      <c r="E1183" s="25">
        <f>IFERROR(__xludf.DUMMYFUNCTION("""COMPUTED_VALUE"""),45891.0)</f>
        <v>45891</v>
      </c>
      <c r="F1183" s="5" t="str">
        <f>IFERROR(__xludf.DUMMYFUNCTION("""COMPUTED_VALUE"""),"Featured")</f>
        <v>Featured</v>
      </c>
      <c r="G1183" s="19" t="str">
        <f>IFERROR(__xludf.DUMMYFUNCTION("""COMPUTED_VALUE"""),"Instant Forms")</f>
        <v>Instant Forms</v>
      </c>
      <c r="H1183" s="19"/>
      <c r="I1183" s="62"/>
      <c r="J1183" s="19"/>
    </row>
    <row r="1184">
      <c r="A1184" s="19" t="str">
        <f>IFERROR(__xludf.DUMMYFUNCTION("""COMPUTED_VALUE"""),"Jack Di Prima")</f>
        <v>Jack Di Prima</v>
      </c>
      <c r="B1184" s="19" t="str">
        <f>IFERROR(__xludf.DUMMYFUNCTION("""COMPUTED_VALUE"""),"QLD")</f>
        <v>QLD</v>
      </c>
      <c r="C1184" s="5" t="str">
        <f>IFERROR(__xludf.DUMMYFUNCTION("""COMPUTED_VALUE"""),"Yeronga")</f>
        <v>Yeronga</v>
      </c>
      <c r="D1184" s="5" t="str">
        <f>IFERROR(__xludf.DUMMYFUNCTION("""COMPUTED_VALUE"""),"28 Stevens Street Yeronga QLD 4104")</f>
        <v>28 Stevens Street Yeronga QLD 4104</v>
      </c>
      <c r="E1184" s="25">
        <f>IFERROR(__xludf.DUMMYFUNCTION("""COMPUTED_VALUE"""),45891.0)</f>
        <v>45891</v>
      </c>
      <c r="F1184" s="5" t="str">
        <f>IFERROR(__xludf.DUMMYFUNCTION("""COMPUTED_VALUE"""),"Featured")</f>
        <v>Featured</v>
      </c>
      <c r="G1184" s="19" t="str">
        <f>IFERROR(__xludf.DUMMYFUNCTION("""COMPUTED_VALUE"""),"Instant Forms")</f>
        <v>Instant Forms</v>
      </c>
      <c r="H1184" s="19"/>
      <c r="I1184" s="62"/>
      <c r="J1184" s="19"/>
    </row>
    <row r="1185">
      <c r="A1185" s="19" t="str">
        <f>IFERROR(__xludf.DUMMYFUNCTION("""COMPUTED_VALUE"""),"Jack Di Prima")</f>
        <v>Jack Di Prima</v>
      </c>
      <c r="B1185" s="19" t="str">
        <f>IFERROR(__xludf.DUMMYFUNCTION("""COMPUTED_VALUE"""),"QLD")</f>
        <v>QLD</v>
      </c>
      <c r="C1185" s="5" t="str">
        <f>IFERROR(__xludf.DUMMYFUNCTION("""COMPUTED_VALUE"""),"Chelmer")</f>
        <v>Chelmer</v>
      </c>
      <c r="D1185" s="5" t="str">
        <f>IFERROR(__xludf.DUMMYFUNCTION("""COMPUTED_VALUE"""),"98 Harte Street Chelmer QLD 4068")</f>
        <v>98 Harte Street Chelmer QLD 4068</v>
      </c>
      <c r="E1185" s="25">
        <f>IFERROR(__xludf.DUMMYFUNCTION("""COMPUTED_VALUE"""),45891.0)</f>
        <v>45891</v>
      </c>
      <c r="F1185" s="5" t="str">
        <f>IFERROR(__xludf.DUMMYFUNCTION("""COMPUTED_VALUE"""),"Featured")</f>
        <v>Featured</v>
      </c>
      <c r="G1185" s="19" t="str">
        <f>IFERROR(__xludf.DUMMYFUNCTION("""COMPUTED_VALUE"""),"Instant Forms")</f>
        <v>Instant Forms</v>
      </c>
      <c r="H1185" s="19"/>
      <c r="I1185" s="62"/>
      <c r="J1185" s="19"/>
    </row>
    <row r="1186">
      <c r="A1186" s="19" t="str">
        <f>IFERROR(__xludf.DUMMYFUNCTION("""COMPUTED_VALUE"""),"Jack Di Prima")</f>
        <v>Jack Di Prima</v>
      </c>
      <c r="B1186" s="19" t="str">
        <f>IFERROR(__xludf.DUMMYFUNCTION("""COMPUTED_VALUE"""),"QLD")</f>
        <v>QLD</v>
      </c>
      <c r="C1186" s="5" t="str">
        <f>IFERROR(__xludf.DUMMYFUNCTION("""COMPUTED_VALUE"""),"Jindalee")</f>
        <v>Jindalee</v>
      </c>
      <c r="D1186" s="5" t="str">
        <f>IFERROR(__xludf.DUMMYFUNCTION("""COMPUTED_VALUE"""),"17 Tangara Street Jindalee QLD 4074")</f>
        <v>17 Tangara Street Jindalee QLD 4074</v>
      </c>
      <c r="E1186" s="25">
        <f>IFERROR(__xludf.DUMMYFUNCTION("""COMPUTED_VALUE"""),45891.0)</f>
        <v>45891</v>
      </c>
      <c r="F1186" s="5" t="str">
        <f>IFERROR(__xludf.DUMMYFUNCTION("""COMPUTED_VALUE"""),"Featured")</f>
        <v>Featured</v>
      </c>
      <c r="G1186" s="19" t="str">
        <f>IFERROR(__xludf.DUMMYFUNCTION("""COMPUTED_VALUE"""),"Instant Forms")</f>
        <v>Instant Forms</v>
      </c>
      <c r="H1186" s="19"/>
      <c r="I1186" s="62"/>
      <c r="J1186" s="19"/>
    </row>
    <row r="1187">
      <c r="A1187" s="19" t="str">
        <f>IFERROR(__xludf.DUMMYFUNCTION("""COMPUTED_VALUE"""),"Jack Di Prima")</f>
        <v>Jack Di Prima</v>
      </c>
      <c r="B1187" s="19" t="str">
        <f>IFERROR(__xludf.DUMMYFUNCTION("""COMPUTED_VALUE"""),"QLD")</f>
        <v>QLD</v>
      </c>
      <c r="C1187" s="5" t="str">
        <f>IFERROR(__xludf.DUMMYFUNCTION("""COMPUTED_VALUE"""),"Mcdowall")</f>
        <v>Mcdowall</v>
      </c>
      <c r="D1187" s="5" t="str">
        <f>IFERROR(__xludf.DUMMYFUNCTION("""COMPUTED_VALUE"""),"13 Landis Street McDowall QLD 4053")</f>
        <v>13 Landis Street McDowall QLD 4053</v>
      </c>
      <c r="E1187" s="25">
        <f>IFERROR(__xludf.DUMMYFUNCTION("""COMPUTED_VALUE"""),45892.0)</f>
        <v>45892</v>
      </c>
      <c r="F1187" s="5" t="str">
        <f>IFERROR(__xludf.DUMMYFUNCTION("""COMPUTED_VALUE"""),"Featured")</f>
        <v>Featured</v>
      </c>
      <c r="G1187" s="19" t="str">
        <f>IFERROR(__xludf.DUMMYFUNCTION("""COMPUTED_VALUE"""),"Instant Forms")</f>
        <v>Instant Forms</v>
      </c>
      <c r="H1187" s="19"/>
      <c r="I1187" s="62"/>
      <c r="J1187" s="19"/>
    </row>
    <row r="1188">
      <c r="A1188" s="19" t="str">
        <f>IFERROR(__xludf.DUMMYFUNCTION("""COMPUTED_VALUE"""),"Jack Di Prima")</f>
        <v>Jack Di Prima</v>
      </c>
      <c r="B1188" s="19" t="str">
        <f>IFERROR(__xludf.DUMMYFUNCTION("""COMPUTED_VALUE"""),"QLD")</f>
        <v>QLD</v>
      </c>
      <c r="C1188" s="5" t="str">
        <f>IFERROR(__xludf.DUMMYFUNCTION("""COMPUTED_VALUE"""),"Ferny Grove")</f>
        <v>Ferny Grove</v>
      </c>
      <c r="D1188" s="5"/>
      <c r="E1188" s="25">
        <f>IFERROR(__xludf.DUMMYFUNCTION("""COMPUTED_VALUE"""),45893.0)</f>
        <v>45893</v>
      </c>
      <c r="F1188" s="5" t="str">
        <f>IFERROR(__xludf.DUMMYFUNCTION("""COMPUTED_VALUE"""),"Free")</f>
        <v>Free</v>
      </c>
      <c r="G1188" s="19" t="str">
        <f>IFERROR(__xludf.DUMMYFUNCTION("""COMPUTED_VALUE"""),"Instant Forms")</f>
        <v>Instant Forms</v>
      </c>
      <c r="H1188" s="19"/>
      <c r="I1188" s="62"/>
      <c r="J1188" s="19"/>
    </row>
    <row r="1189">
      <c r="A1189" s="19" t="str">
        <f>IFERROR(__xludf.DUMMYFUNCTION("""COMPUTED_VALUE"""),"Jack Di Prima")</f>
        <v>Jack Di Prima</v>
      </c>
      <c r="B1189" s="19" t="str">
        <f>IFERROR(__xludf.DUMMYFUNCTION("""COMPUTED_VALUE"""),"QLD")</f>
        <v>QLD</v>
      </c>
      <c r="C1189" s="5">
        <f>IFERROR(__xludf.DUMMYFUNCTION("""COMPUTED_VALUE"""),4073.0)</f>
        <v>4073</v>
      </c>
      <c r="D1189" s="5"/>
      <c r="E1189" s="25">
        <f>IFERROR(__xludf.DUMMYFUNCTION("""COMPUTED_VALUE"""),45894.0)</f>
        <v>45894</v>
      </c>
      <c r="F1189" s="5" t="str">
        <f>IFERROR(__xludf.DUMMYFUNCTION("""COMPUTED_VALUE"""),"Free")</f>
        <v>Free</v>
      </c>
      <c r="G1189" s="19" t="str">
        <f>IFERROR(__xludf.DUMMYFUNCTION("""COMPUTED_VALUE"""),"Instant Forms")</f>
        <v>Instant Forms</v>
      </c>
      <c r="H1189" s="19"/>
      <c r="I1189" s="62"/>
      <c r="J1189" s="19"/>
    </row>
    <row r="1190">
      <c r="A1190" s="19" t="str">
        <f>IFERROR(__xludf.DUMMYFUNCTION("""COMPUTED_VALUE"""),"Jack Di Prima")</f>
        <v>Jack Di Prima</v>
      </c>
      <c r="B1190" s="19" t="str">
        <f>IFERROR(__xludf.DUMMYFUNCTION("""COMPUTED_VALUE"""),"QLD")</f>
        <v>QLD</v>
      </c>
      <c r="C1190" s="5" t="str">
        <f>IFERROR(__xludf.DUMMYFUNCTION("""COMPUTED_VALUE"""),"West end")</f>
        <v>West end</v>
      </c>
      <c r="D1190" s="5" t="str">
        <f>IFERROR(__xludf.DUMMYFUNCTION("""COMPUTED_VALUE"""),"109/17-21 Duncan Street West End QLD 4101")</f>
        <v>109/17-21 Duncan Street West End QLD 4101</v>
      </c>
      <c r="E1190" s="25">
        <f>IFERROR(__xludf.DUMMYFUNCTION("""COMPUTED_VALUE"""),45894.0)</f>
        <v>45894</v>
      </c>
      <c r="F1190" s="5" t="str">
        <f>IFERROR(__xludf.DUMMYFUNCTION("""COMPUTED_VALUE"""),"Featured")</f>
        <v>Featured</v>
      </c>
      <c r="G1190" s="19" t="str">
        <f>IFERROR(__xludf.DUMMYFUNCTION("""COMPUTED_VALUE"""),"Instant Forms")</f>
        <v>Instant Forms</v>
      </c>
      <c r="H1190" s="19"/>
      <c r="I1190" s="62"/>
      <c r="J1190" s="19"/>
    </row>
    <row r="1191">
      <c r="A1191" s="19" t="str">
        <f>IFERROR(__xludf.DUMMYFUNCTION("""COMPUTED_VALUE"""),"Jack Di Prima")</f>
        <v>Jack Di Prima</v>
      </c>
      <c r="B1191" s="19" t="str">
        <f>IFERROR(__xludf.DUMMYFUNCTION("""COMPUTED_VALUE"""),"QLD")</f>
        <v>QLD</v>
      </c>
      <c r="C1191" s="5" t="str">
        <f>IFERROR(__xludf.DUMMYFUNCTION("""COMPUTED_VALUE"""),"Arana Hills")</f>
        <v>Arana Hills</v>
      </c>
      <c r="D1191" s="5" t="str">
        <f>IFERROR(__xludf.DUMMYFUNCTION("""COMPUTED_VALUE"""),"17/52 Plucks Road Arana Hills QLD 4054")</f>
        <v>17/52 Plucks Road Arana Hills QLD 4054</v>
      </c>
      <c r="E1191" s="25">
        <f>IFERROR(__xludf.DUMMYFUNCTION("""COMPUTED_VALUE"""),45895.0)</f>
        <v>45895</v>
      </c>
      <c r="F1191" s="5" t="str">
        <f>IFERROR(__xludf.DUMMYFUNCTION("""COMPUTED_VALUE"""),"Featured")</f>
        <v>Featured</v>
      </c>
      <c r="G1191" s="19" t="str">
        <f>IFERROR(__xludf.DUMMYFUNCTION("""COMPUTED_VALUE"""),"Instant Forms")</f>
        <v>Instant Forms</v>
      </c>
      <c r="H1191" s="19"/>
      <c r="I1191" s="62"/>
      <c r="J1191" s="19"/>
    </row>
    <row r="1192">
      <c r="A1192" s="19" t="str">
        <f>IFERROR(__xludf.DUMMYFUNCTION("""COMPUTED_VALUE"""),"Jack Di Prima")</f>
        <v>Jack Di Prima</v>
      </c>
      <c r="B1192" s="19" t="str">
        <f>IFERROR(__xludf.DUMMYFUNCTION("""COMPUTED_VALUE"""),"QLD")</f>
        <v>QLD</v>
      </c>
      <c r="C1192" s="5" t="str">
        <f>IFERROR(__xludf.DUMMYFUNCTION("""COMPUTED_VALUE"""),"The Gap")</f>
        <v>The Gap</v>
      </c>
      <c r="D1192" s="5" t="str">
        <f>IFERROR(__xludf.DUMMYFUNCTION("""COMPUTED_VALUE"""),"75 Belclare Street ")</f>
        <v>75 Belclare Street </v>
      </c>
      <c r="E1192" s="25">
        <f>IFERROR(__xludf.DUMMYFUNCTION("""COMPUTED_VALUE"""),45896.0)</f>
        <v>45896</v>
      </c>
      <c r="F1192" s="5" t="str">
        <f>IFERROR(__xludf.DUMMYFUNCTION("""COMPUTED_VALUE"""),"Featured")</f>
        <v>Featured</v>
      </c>
      <c r="G1192" s="19" t="str">
        <f>IFERROR(__xludf.DUMMYFUNCTION("""COMPUTED_VALUE"""),"Instant Forms")</f>
        <v>Instant Forms</v>
      </c>
      <c r="H1192" s="19"/>
      <c r="I1192" s="62"/>
      <c r="J1192" s="19"/>
    </row>
    <row r="1193">
      <c r="A1193" s="19" t="str">
        <f>IFERROR(__xludf.DUMMYFUNCTION("""COMPUTED_VALUE"""),"Jack Di Prima")</f>
        <v>Jack Di Prima</v>
      </c>
      <c r="B1193" s="19" t="str">
        <f>IFERROR(__xludf.DUMMYFUNCTION("""COMPUTED_VALUE"""),"QLD")</f>
        <v>QLD</v>
      </c>
      <c r="C1193" s="5" t="str">
        <f>IFERROR(__xludf.DUMMYFUNCTION("""COMPUTED_VALUE"""),"South Brisbane")</f>
        <v>South Brisbane</v>
      </c>
      <c r="D1193" s="5" t="str">
        <f>IFERROR(__xludf.DUMMYFUNCTION("""COMPUTED_VALUE"""),"4/321 Vulture Street South Brisbane QLD 4101")</f>
        <v>4/321 Vulture Street South Brisbane QLD 4101</v>
      </c>
      <c r="E1193" s="25">
        <f>IFERROR(__xludf.DUMMYFUNCTION("""COMPUTED_VALUE"""),45896.0)</f>
        <v>45896</v>
      </c>
      <c r="F1193" s="5" t="str">
        <f>IFERROR(__xludf.DUMMYFUNCTION("""COMPUTED_VALUE"""),"Featured")</f>
        <v>Featured</v>
      </c>
      <c r="G1193" s="19" t="str">
        <f>IFERROR(__xludf.DUMMYFUNCTION("""COMPUTED_VALUE"""),"Instant Forms")</f>
        <v>Instant Forms</v>
      </c>
      <c r="H1193" s="19"/>
      <c r="I1193" s="62"/>
      <c r="J1193" s="19"/>
    </row>
    <row r="1194">
      <c r="A1194" s="19" t="str">
        <f>IFERROR(__xludf.DUMMYFUNCTION("""COMPUTED_VALUE"""),"Jack Di Prima")</f>
        <v>Jack Di Prima</v>
      </c>
      <c r="B1194" s="19" t="str">
        <f>IFERROR(__xludf.DUMMYFUNCTION("""COMPUTED_VALUE"""),"QLD")</f>
        <v>QLD</v>
      </c>
      <c r="C1194" s="5" t="str">
        <f>IFERROR(__xludf.DUMMYFUNCTION("""COMPUTED_VALUE"""),"Everton Park")</f>
        <v>Everton Park</v>
      </c>
      <c r="D1194" s="5"/>
      <c r="E1194" s="25">
        <f>IFERROR(__xludf.DUMMYFUNCTION("""COMPUTED_VALUE"""),45897.0)</f>
        <v>45897</v>
      </c>
      <c r="F1194" s="5" t="str">
        <f>IFERROR(__xludf.DUMMYFUNCTION("""COMPUTED_VALUE"""),"Free")</f>
        <v>Free</v>
      </c>
      <c r="G1194" s="19" t="str">
        <f>IFERROR(__xludf.DUMMYFUNCTION("""COMPUTED_VALUE"""),"Instant Forms")</f>
        <v>Instant Forms</v>
      </c>
      <c r="H1194" s="19"/>
      <c r="I1194" s="62"/>
      <c r="J1194" s="19"/>
    </row>
    <row r="1195">
      <c r="A1195" s="19" t="str">
        <f>IFERROR(__xludf.DUMMYFUNCTION("""COMPUTED_VALUE"""),"Jack Di Prima")</f>
        <v>Jack Di Prima</v>
      </c>
      <c r="B1195" s="19" t="str">
        <f>IFERROR(__xludf.DUMMYFUNCTION("""COMPUTED_VALUE"""),"QLD")</f>
        <v>QLD</v>
      </c>
      <c r="C1195" s="5" t="str">
        <f>IFERROR(__xludf.DUMMYFUNCTION("""COMPUTED_VALUE"""),"Wilston")</f>
        <v>Wilston</v>
      </c>
      <c r="D1195" s="5" t="str">
        <f>IFERROR(__xludf.DUMMYFUNCTION("""COMPUTED_VALUE"""),"17 Munna Street Wilston QLD 4051")</f>
        <v>17 Munna Street Wilston QLD 4051</v>
      </c>
      <c r="E1195" s="25">
        <f>IFERROR(__xludf.DUMMYFUNCTION("""COMPUTED_VALUE"""),45898.0)</f>
        <v>45898</v>
      </c>
      <c r="F1195" s="5" t="str">
        <f>IFERROR(__xludf.DUMMYFUNCTION("""COMPUTED_VALUE"""),"Featured")</f>
        <v>Featured</v>
      </c>
      <c r="G1195" s="19" t="str">
        <f>IFERROR(__xludf.DUMMYFUNCTION("""COMPUTED_VALUE"""),"Instant Forms")</f>
        <v>Instant Forms</v>
      </c>
      <c r="H1195" s="19"/>
      <c r="I1195" s="62"/>
      <c r="J1195" s="19"/>
    </row>
    <row r="1196">
      <c r="A1196" s="19" t="str">
        <f>IFERROR(__xludf.DUMMYFUNCTION("""COMPUTED_VALUE"""),"Jack Di Prima")</f>
        <v>Jack Di Prima</v>
      </c>
      <c r="B1196" s="19" t="str">
        <f>IFERROR(__xludf.DUMMYFUNCTION("""COMPUTED_VALUE"""),"QLD")</f>
        <v>QLD</v>
      </c>
      <c r="C1196" s="5" t="str">
        <f>IFERROR(__xludf.DUMMYFUNCTION("""COMPUTED_VALUE"""),"bunya")</f>
        <v>bunya</v>
      </c>
      <c r="D1196" s="5" t="str">
        <f>IFERROR(__xludf.DUMMYFUNCTION("""COMPUTED_VALUE"""),"1 Allen Road Bunya QLD 4055")</f>
        <v>1 Allen Road Bunya QLD 4055</v>
      </c>
      <c r="E1196" s="25">
        <f>IFERROR(__xludf.DUMMYFUNCTION("""COMPUTED_VALUE"""),45898.0)</f>
        <v>45898</v>
      </c>
      <c r="F1196" s="5" t="str">
        <f>IFERROR(__xludf.DUMMYFUNCTION("""COMPUTED_VALUE"""),"Featured")</f>
        <v>Featured</v>
      </c>
      <c r="G1196" s="19" t="str">
        <f>IFERROR(__xludf.DUMMYFUNCTION("""COMPUTED_VALUE"""),"Instant Forms")</f>
        <v>Instant Forms</v>
      </c>
      <c r="H1196" s="19"/>
      <c r="I1196" s="62"/>
      <c r="J1196" s="19"/>
    </row>
    <row r="1197">
      <c r="A1197" s="19" t="str">
        <f>IFERROR(__xludf.DUMMYFUNCTION("""COMPUTED_VALUE"""),"Jack Di Prima")</f>
        <v>Jack Di Prima</v>
      </c>
      <c r="B1197" s="19" t="str">
        <f>IFERROR(__xludf.DUMMYFUNCTION("""COMPUTED_VALUE"""),"QLD")</f>
        <v>QLD</v>
      </c>
      <c r="C1197" s="5" t="str">
        <f>IFERROR(__xludf.DUMMYFUNCTION("""COMPUTED_VALUE"""),"McDowall")</f>
        <v>McDowall</v>
      </c>
      <c r="D1197" s="5" t="str">
        <f>IFERROR(__xludf.DUMMYFUNCTION("""COMPUTED_VALUE"""),"8 Gleason Street McDowall QLD 4053")</f>
        <v>8 Gleason Street McDowall QLD 4053</v>
      </c>
      <c r="E1197" s="25">
        <f>IFERROR(__xludf.DUMMYFUNCTION("""COMPUTED_VALUE"""),45898.0)</f>
        <v>45898</v>
      </c>
      <c r="F1197" s="5" t="str">
        <f>IFERROR(__xludf.DUMMYFUNCTION("""COMPUTED_VALUE"""),"Featured")</f>
        <v>Featured</v>
      </c>
      <c r="G1197" s="19" t="str">
        <f>IFERROR(__xludf.DUMMYFUNCTION("""COMPUTED_VALUE"""),"Instant Forms")</f>
        <v>Instant Forms</v>
      </c>
      <c r="H1197" s="19"/>
      <c r="I1197" s="62"/>
      <c r="J1197" s="19"/>
    </row>
    <row r="1198">
      <c r="A1198" s="19" t="str">
        <f>IFERROR(__xludf.DUMMYFUNCTION("""COMPUTED_VALUE"""),"Jack Di Prima")</f>
        <v>Jack Di Prima</v>
      </c>
      <c r="B1198" s="19" t="str">
        <f>IFERROR(__xludf.DUMMYFUNCTION("""COMPUTED_VALUE"""),"QLD")</f>
        <v>QLD</v>
      </c>
      <c r="C1198" s="5" t="str">
        <f>IFERROR(__xludf.DUMMYFUNCTION("""COMPUTED_VALUE"""),"Everton Park")</f>
        <v>Everton Park</v>
      </c>
      <c r="D1198" s="5" t="str">
        <f>IFERROR(__xludf.DUMMYFUNCTION("""COMPUTED_VALUE"""),"26 Bates Drive Everton Hills QLD 4053")</f>
        <v>26 Bates Drive Everton Hills QLD 4053</v>
      </c>
      <c r="E1198" s="25">
        <f>IFERROR(__xludf.DUMMYFUNCTION("""COMPUTED_VALUE"""),45900.0)</f>
        <v>45900</v>
      </c>
      <c r="F1198" s="5" t="str">
        <f>IFERROR(__xludf.DUMMYFUNCTION("""COMPUTED_VALUE"""),"Featured")</f>
        <v>Featured</v>
      </c>
      <c r="G1198" s="19" t="str">
        <f>IFERROR(__xludf.DUMMYFUNCTION("""COMPUTED_VALUE"""),"Instant Forms")</f>
        <v>Instant Forms</v>
      </c>
      <c r="H1198" s="19"/>
      <c r="I1198" s="62"/>
      <c r="J1198" s="19"/>
    </row>
    <row r="1199">
      <c r="A1199" s="19" t="str">
        <f>IFERROR(__xludf.DUMMYFUNCTION("""COMPUTED_VALUE"""),"Jack Di Prima")</f>
        <v>Jack Di Prima</v>
      </c>
      <c r="B1199" s="19" t="str">
        <f>IFERROR(__xludf.DUMMYFUNCTION("""COMPUTED_VALUE"""),"QLD")</f>
        <v>QLD</v>
      </c>
      <c r="C1199" s="5" t="str">
        <f>IFERROR(__xludf.DUMMYFUNCTION("""COMPUTED_VALUE"""),"mt ommaney")</f>
        <v>mt ommaney</v>
      </c>
      <c r="D1199" s="5" t="str">
        <f>IFERROR(__xludf.DUMMYFUNCTION("""COMPUTED_VALUE"""),"18 Mozart Place Mount Ommaney QLD 4074")</f>
        <v>18 Mozart Place Mount Ommaney QLD 4074</v>
      </c>
      <c r="E1199" s="25">
        <f>IFERROR(__xludf.DUMMYFUNCTION("""COMPUTED_VALUE"""),45900.0)</f>
        <v>45900</v>
      </c>
      <c r="F1199" s="5" t="str">
        <f>IFERROR(__xludf.DUMMYFUNCTION("""COMPUTED_VALUE"""),"Featured")</f>
        <v>Featured</v>
      </c>
      <c r="G1199" s="19" t="str">
        <f>IFERROR(__xludf.DUMMYFUNCTION("""COMPUTED_VALUE"""),"Instant Forms")</f>
        <v>Instant Forms</v>
      </c>
      <c r="H1199" s="19"/>
      <c r="I1199" s="62"/>
      <c r="J1199" s="19"/>
    </row>
    <row r="1200">
      <c r="A1200" s="19" t="str">
        <f>IFERROR(__xludf.DUMMYFUNCTION("""COMPUTED_VALUE"""),"Jack Di Prima")</f>
        <v>Jack Di Prima</v>
      </c>
      <c r="B1200" s="19" t="str">
        <f>IFERROR(__xludf.DUMMYFUNCTION("""COMPUTED_VALUE"""),"QLD")</f>
        <v>QLD</v>
      </c>
      <c r="C1200" s="5" t="str">
        <f>IFERROR(__xludf.DUMMYFUNCTION("""COMPUTED_VALUE"""),"Bardon")</f>
        <v>Bardon</v>
      </c>
      <c r="D1200" s="5" t="str">
        <f>IFERROR(__xludf.DUMMYFUNCTION("""COMPUTED_VALUE"""),"27 Moonya Street Bardon QLD 4065")</f>
        <v>27 Moonya Street Bardon QLD 4065</v>
      </c>
      <c r="E1200" s="25">
        <f>IFERROR(__xludf.DUMMYFUNCTION("""COMPUTED_VALUE"""),45901.0)</f>
        <v>45901</v>
      </c>
      <c r="F1200" s="5" t="str">
        <f>IFERROR(__xludf.DUMMYFUNCTION("""COMPUTED_VALUE"""),"Featured")</f>
        <v>Featured</v>
      </c>
      <c r="G1200" s="19" t="str">
        <f>IFERROR(__xludf.DUMMYFUNCTION("""COMPUTED_VALUE"""),"Instant Forms")</f>
        <v>Instant Forms</v>
      </c>
      <c r="H1200" s="19"/>
      <c r="I1200" s="62"/>
      <c r="J1200" s="19"/>
    </row>
    <row r="1201">
      <c r="A1201" s="19" t="str">
        <f>IFERROR(__xludf.DUMMYFUNCTION("""COMPUTED_VALUE"""),"Jack Di Prima")</f>
        <v>Jack Di Prima</v>
      </c>
      <c r="B1201" s="19" t="str">
        <f>IFERROR(__xludf.DUMMYFUNCTION("""COMPUTED_VALUE"""),"QLD")</f>
        <v>QLD</v>
      </c>
      <c r="C1201" s="5" t="str">
        <f>IFERROR(__xludf.DUMMYFUNCTION("""COMPUTED_VALUE"""),"Highgate Hill")</f>
        <v>Highgate Hill</v>
      </c>
      <c r="D1201" s="5" t="str">
        <f>IFERROR(__xludf.DUMMYFUNCTION("""COMPUTED_VALUE"""),"12 Marly Street Highgate Hill QLD 4101")</f>
        <v>12 Marly Street Highgate Hill QLD 4101</v>
      </c>
      <c r="E1201" s="25">
        <f>IFERROR(__xludf.DUMMYFUNCTION("""COMPUTED_VALUE"""),45901.0)</f>
        <v>45901</v>
      </c>
      <c r="F1201" s="5" t="str">
        <f>IFERROR(__xludf.DUMMYFUNCTION("""COMPUTED_VALUE"""),"Featured")</f>
        <v>Featured</v>
      </c>
      <c r="G1201" s="19" t="str">
        <f>IFERROR(__xludf.DUMMYFUNCTION("""COMPUTED_VALUE"""),"Instant Forms")</f>
        <v>Instant Forms</v>
      </c>
      <c r="H1201" s="19"/>
      <c r="I1201" s="62"/>
      <c r="J1201" s="19"/>
    </row>
    <row r="1202">
      <c r="A1202" s="19" t="str">
        <f>IFERROR(__xludf.DUMMYFUNCTION("""COMPUTED_VALUE"""),"Jack Di Prima")</f>
        <v>Jack Di Prima</v>
      </c>
      <c r="B1202" s="19" t="str">
        <f>IFERROR(__xludf.DUMMYFUNCTION("""COMPUTED_VALUE"""),"QLD")</f>
        <v>QLD</v>
      </c>
      <c r="C1202" s="5" t="str">
        <f>IFERROR(__xludf.DUMMYFUNCTION("""COMPUTED_VALUE"""),"Paddington")</f>
        <v>Paddington</v>
      </c>
      <c r="D1202" s="5" t="str">
        <f>IFERROR(__xludf.DUMMYFUNCTION("""COMPUTED_VALUE"""),"58 Stevenson Street Paddington QLD 4064")</f>
        <v>58 Stevenson Street Paddington QLD 4064</v>
      </c>
      <c r="E1202" s="25">
        <f>IFERROR(__xludf.DUMMYFUNCTION("""COMPUTED_VALUE"""),45901.0)</f>
        <v>45901</v>
      </c>
      <c r="F1202" s="5" t="str">
        <f>IFERROR(__xludf.DUMMYFUNCTION("""COMPUTED_VALUE"""),"Featured")</f>
        <v>Featured</v>
      </c>
      <c r="G1202" s="19" t="str">
        <f>IFERROR(__xludf.DUMMYFUNCTION("""COMPUTED_VALUE"""),"Instant Forms")</f>
        <v>Instant Forms</v>
      </c>
      <c r="H1202" s="19"/>
      <c r="I1202" s="62"/>
      <c r="J1202" s="19"/>
    </row>
    <row r="1203">
      <c r="A1203" s="19" t="str">
        <f>IFERROR(__xludf.DUMMYFUNCTION("""COMPUTED_VALUE"""),"Jack Di Prima")</f>
        <v>Jack Di Prima</v>
      </c>
      <c r="B1203" s="19" t="str">
        <f>IFERROR(__xludf.DUMMYFUNCTION("""COMPUTED_VALUE"""),"QLD")</f>
        <v>QLD</v>
      </c>
      <c r="C1203" s="5" t="str">
        <f>IFERROR(__xludf.DUMMYFUNCTION("""COMPUTED_VALUE"""),"Annerley")</f>
        <v>Annerley</v>
      </c>
      <c r="D1203" s="5" t="str">
        <f>IFERROR(__xludf.DUMMYFUNCTION("""COMPUTED_VALUE"""),"9 Broadmere Street Annerley QLD 4103")</f>
        <v>9 Broadmere Street Annerley QLD 4103</v>
      </c>
      <c r="E1203" s="25">
        <f>IFERROR(__xludf.DUMMYFUNCTION("""COMPUTED_VALUE"""),45903.0)</f>
        <v>45903</v>
      </c>
      <c r="F1203" s="5" t="str">
        <f>IFERROR(__xludf.DUMMYFUNCTION("""COMPUTED_VALUE"""),"Featured")</f>
        <v>Featured</v>
      </c>
      <c r="G1203" s="19" t="str">
        <f>IFERROR(__xludf.DUMMYFUNCTION("""COMPUTED_VALUE"""),"Instant Forms")</f>
        <v>Instant Forms</v>
      </c>
      <c r="H1203" s="19"/>
      <c r="I1203" s="62"/>
      <c r="J1203" s="19"/>
    </row>
    <row r="1204">
      <c r="A1204" s="19" t="str">
        <f>IFERROR(__xludf.DUMMYFUNCTION("""COMPUTED_VALUE"""),"Jack Di Prima")</f>
        <v>Jack Di Prima</v>
      </c>
      <c r="B1204" s="19" t="str">
        <f>IFERROR(__xludf.DUMMYFUNCTION("""COMPUTED_VALUE"""),"QLD")</f>
        <v>QLD</v>
      </c>
      <c r="C1204" s="5" t="str">
        <f>IFERROR(__xludf.DUMMYFUNCTION("""COMPUTED_VALUE"""),"Everton Park")</f>
        <v>Everton Park</v>
      </c>
      <c r="D1204" s="5" t="str">
        <f>IFERROR(__xludf.DUMMYFUNCTION("""COMPUTED_VALUE"""),"1/13 French Street Everton Park QLD 4053")</f>
        <v>1/13 French Street Everton Park QLD 4053</v>
      </c>
      <c r="E1204" s="25">
        <f>IFERROR(__xludf.DUMMYFUNCTION("""COMPUTED_VALUE"""),45904.0)</f>
        <v>45904</v>
      </c>
      <c r="F1204" s="5" t="str">
        <f>IFERROR(__xludf.DUMMYFUNCTION("""COMPUTED_VALUE"""),"Featured")</f>
        <v>Featured</v>
      </c>
      <c r="G1204" s="19" t="str">
        <f>IFERROR(__xludf.DUMMYFUNCTION("""COMPUTED_VALUE"""),"Instant Forms")</f>
        <v>Instant Forms</v>
      </c>
      <c r="H1204" s="19"/>
      <c r="I1204" s="62"/>
      <c r="J1204" s="19"/>
    </row>
    <row r="1205">
      <c r="A1205" s="19" t="str">
        <f>IFERROR(__xludf.DUMMYFUNCTION("""COMPUTED_VALUE"""),"Jack Di Prima")</f>
        <v>Jack Di Prima</v>
      </c>
      <c r="B1205" s="19" t="str">
        <f>IFERROR(__xludf.DUMMYFUNCTION("""COMPUTED_VALUE"""),"QLD")</f>
        <v>QLD</v>
      </c>
      <c r="C1205" s="5" t="str">
        <f>IFERROR(__xludf.DUMMYFUNCTION("""COMPUTED_VALUE"""),"Bardon")</f>
        <v>Bardon</v>
      </c>
      <c r="D1205" s="5" t="str">
        <f>IFERROR(__xludf.DUMMYFUNCTION("""COMPUTED_VALUE"""),"136 Simpsons Road BARDON QLD 4065")</f>
        <v>136 Simpsons Road BARDON QLD 4065</v>
      </c>
      <c r="E1205" s="25">
        <f>IFERROR(__xludf.DUMMYFUNCTION("""COMPUTED_VALUE"""),45904.0)</f>
        <v>45904</v>
      </c>
      <c r="F1205" s="5" t="str">
        <f>IFERROR(__xludf.DUMMYFUNCTION("""COMPUTED_VALUE"""),"Featured")</f>
        <v>Featured</v>
      </c>
      <c r="G1205" s="19" t="str">
        <f>IFERROR(__xludf.DUMMYFUNCTION("""COMPUTED_VALUE"""),"Instant Forms")</f>
        <v>Instant Forms</v>
      </c>
      <c r="H1205" s="19"/>
      <c r="I1205" s="62"/>
      <c r="J1205" s="19"/>
    </row>
    <row r="1206">
      <c r="A1206" s="19" t="str">
        <f>IFERROR(__xludf.DUMMYFUNCTION("""COMPUTED_VALUE"""),"Jack Di Prima")</f>
        <v>Jack Di Prima</v>
      </c>
      <c r="B1206" s="19" t="str">
        <f>IFERROR(__xludf.DUMMYFUNCTION("""COMPUTED_VALUE"""),"QLD")</f>
        <v>QLD</v>
      </c>
      <c r="C1206" s="5" t="str">
        <f>IFERROR(__xludf.DUMMYFUNCTION("""COMPUTED_VALUE"""),"Chermside West")</f>
        <v>Chermside West</v>
      </c>
      <c r="D1206" s="5" t="str">
        <f>IFERROR(__xludf.DUMMYFUNCTION("""COMPUTED_VALUE"""),"19 Killarney Place Chermside West QLD 4032")</f>
        <v>19 Killarney Place Chermside West QLD 4032</v>
      </c>
      <c r="E1206" s="25">
        <f>IFERROR(__xludf.DUMMYFUNCTION("""COMPUTED_VALUE"""),45904.0)</f>
        <v>45904</v>
      </c>
      <c r="F1206" s="5" t="str">
        <f>IFERROR(__xludf.DUMMYFUNCTION("""COMPUTED_VALUE"""),"Featured")</f>
        <v>Featured</v>
      </c>
      <c r="G1206" s="19" t="str">
        <f>IFERROR(__xludf.DUMMYFUNCTION("""COMPUTED_VALUE"""),"Instant Forms")</f>
        <v>Instant Forms</v>
      </c>
      <c r="H1206" s="19"/>
      <c r="I1206" s="62"/>
      <c r="J1206" s="19"/>
    </row>
    <row r="1207">
      <c r="A1207" s="19" t="str">
        <f>IFERROR(__xludf.DUMMYFUNCTION("""COMPUTED_VALUE"""),"Jack Di Prima")</f>
        <v>Jack Di Prima</v>
      </c>
      <c r="B1207" s="19" t="str">
        <f>IFERROR(__xludf.DUMMYFUNCTION("""COMPUTED_VALUE"""),"QLD")</f>
        <v>QLD</v>
      </c>
      <c r="C1207" s="5" t="str">
        <f>IFERROR(__xludf.DUMMYFUNCTION("""COMPUTED_VALUE"""),"Jindalee")</f>
        <v>Jindalee</v>
      </c>
      <c r="D1207" s="5"/>
      <c r="E1207" s="25">
        <f>IFERROR(__xludf.DUMMYFUNCTION("""COMPUTED_VALUE"""),45905.0)</f>
        <v>45905</v>
      </c>
      <c r="F1207" s="5" t="str">
        <f>IFERROR(__xludf.DUMMYFUNCTION("""COMPUTED_VALUE"""),"Featured")</f>
        <v>Featured</v>
      </c>
      <c r="G1207" s="19" t="str">
        <f>IFERROR(__xludf.DUMMYFUNCTION("""COMPUTED_VALUE"""),"Instant Forms")</f>
        <v>Instant Forms</v>
      </c>
      <c r="H1207" s="19"/>
      <c r="I1207" s="62"/>
      <c r="J1207" s="19"/>
    </row>
    <row r="1208">
      <c r="A1208" s="19" t="str">
        <f>IFERROR(__xludf.DUMMYFUNCTION("""COMPUTED_VALUE"""),"Jack Di Prima")</f>
        <v>Jack Di Prima</v>
      </c>
      <c r="B1208" s="19" t="str">
        <f>IFERROR(__xludf.DUMMYFUNCTION("""COMPUTED_VALUE"""),"QLD")</f>
        <v>QLD</v>
      </c>
      <c r="C1208" s="5" t="str">
        <f>IFERROR(__xludf.DUMMYFUNCTION("""COMPUTED_VALUE"""),"Graceville")</f>
        <v>Graceville</v>
      </c>
      <c r="D1208" s="5" t="str">
        <f>IFERROR(__xludf.DUMMYFUNCTION("""COMPUTED_VALUE"""),"316 Long Street East, Graceville, Queensland, 4075, Australia")</f>
        <v>316 Long Street East, Graceville, Queensland, 4075, Australia</v>
      </c>
      <c r="E1208" s="25">
        <f>IFERROR(__xludf.DUMMYFUNCTION("""COMPUTED_VALUE"""),45906.0)</f>
        <v>45906</v>
      </c>
      <c r="F1208" s="5" t="str">
        <f>IFERROR(__xludf.DUMMYFUNCTION("""COMPUTED_VALUE"""),"Featured")</f>
        <v>Featured</v>
      </c>
      <c r="G1208" s="19" t="str">
        <f>IFERROR(__xludf.DUMMYFUNCTION("""COMPUTED_VALUE"""),"Instant Forms")</f>
        <v>Instant Forms</v>
      </c>
      <c r="H1208" s="19"/>
      <c r="I1208" s="62"/>
      <c r="J1208" s="19"/>
    </row>
    <row r="1209">
      <c r="A1209" s="19" t="str">
        <f>IFERROR(__xludf.DUMMYFUNCTION("""COMPUTED_VALUE"""),"Jack Di Prima")</f>
        <v>Jack Di Prima</v>
      </c>
      <c r="B1209" s="19" t="str">
        <f>IFERROR(__xludf.DUMMYFUNCTION("""COMPUTED_VALUE"""),"QLD")</f>
        <v>QLD</v>
      </c>
      <c r="C1209" s="5" t="str">
        <f>IFERROR(__xludf.DUMMYFUNCTION("""COMPUTED_VALUE"""),"chelmer")</f>
        <v>chelmer</v>
      </c>
      <c r="D1209" s="5" t="str">
        <f>IFERROR(__xludf.DUMMYFUNCTION("""COMPUTED_VALUE"""),"129 Harte Street Chelmer QLD 4068")</f>
        <v>129 Harte Street Chelmer QLD 4068</v>
      </c>
      <c r="E1209" s="25">
        <f>IFERROR(__xludf.DUMMYFUNCTION("""COMPUTED_VALUE"""),45906.0)</f>
        <v>45906</v>
      </c>
      <c r="F1209" s="5" t="str">
        <f>IFERROR(__xludf.DUMMYFUNCTION("""COMPUTED_VALUE"""),"Featured")</f>
        <v>Featured</v>
      </c>
      <c r="G1209" s="19" t="str">
        <f>IFERROR(__xludf.DUMMYFUNCTION("""COMPUTED_VALUE"""),"Instant Forms")</f>
        <v>Instant Forms</v>
      </c>
      <c r="H1209" s="19"/>
      <c r="I1209" s="62"/>
      <c r="J1209" s="19"/>
    </row>
    <row r="1210">
      <c r="A1210" s="19" t="str">
        <f>IFERROR(__xludf.DUMMYFUNCTION("""COMPUTED_VALUE"""),"Jack Di Prima")</f>
        <v>Jack Di Prima</v>
      </c>
      <c r="B1210" s="19" t="str">
        <f>IFERROR(__xludf.DUMMYFUNCTION("""COMPUTED_VALUE"""),"QLD")</f>
        <v>QLD</v>
      </c>
      <c r="C1210" s="5" t="str">
        <f>IFERROR(__xludf.DUMMYFUNCTION("""COMPUTED_VALUE"""),"Toowong")</f>
        <v>Toowong</v>
      </c>
      <c r="D1210" s="5" t="str">
        <f>IFERROR(__xludf.DUMMYFUNCTION("""COMPUTED_VALUE"""),"43D Terrace Street Toowong QLD 4066")</f>
        <v>43D Terrace Street Toowong QLD 4066</v>
      </c>
      <c r="E1210" s="25">
        <f>IFERROR(__xludf.DUMMYFUNCTION("""COMPUTED_VALUE"""),45909.0)</f>
        <v>45909</v>
      </c>
      <c r="F1210" s="5">
        <f>IFERROR(__xludf.DUMMYFUNCTION("""COMPUTED_VALUE"""),8.0)</f>
        <v>8</v>
      </c>
      <c r="G1210" s="19" t="str">
        <f>IFERROR(__xludf.DUMMYFUNCTION("""COMPUTED_VALUE"""),"Instant Forms")</f>
        <v>Instant Forms</v>
      </c>
      <c r="H1210" s="19" t="str">
        <f>IFERROR(__xludf.DUMMYFUNCTION("""COMPUTED_VALUE"""),"Stephen Harris")</f>
        <v>Stephen Harris</v>
      </c>
      <c r="I1210" s="62"/>
      <c r="J1210" s="19"/>
    </row>
    <row r="1211">
      <c r="A1211" s="19" t="str">
        <f>IFERROR(__xludf.DUMMYFUNCTION("""COMPUTED_VALUE"""),"Jack Di Prima")</f>
        <v>Jack Di Prima</v>
      </c>
      <c r="B1211" s="19" t="str">
        <f>IFERROR(__xludf.DUMMYFUNCTION("""COMPUTED_VALUE"""),"QLD")</f>
        <v>QLD</v>
      </c>
      <c r="C1211" s="5" t="str">
        <f>IFERROR(__xludf.DUMMYFUNCTION("""COMPUTED_VALUE"""),"Chapel Hill")</f>
        <v>Chapel Hill</v>
      </c>
      <c r="D1211" s="5" t="str">
        <f>IFERROR(__xludf.DUMMYFUNCTION("""COMPUTED_VALUE"""),"133 Chapel Hill Road Chapel Hill QLD 4069")</f>
        <v>133 Chapel Hill Road Chapel Hill QLD 4069</v>
      </c>
      <c r="E1211" s="25">
        <f>IFERROR(__xludf.DUMMYFUNCTION("""COMPUTED_VALUE"""),45910.0)</f>
        <v>45910</v>
      </c>
      <c r="F1211" s="5">
        <f>IFERROR(__xludf.DUMMYFUNCTION("""COMPUTED_VALUE"""),8.0)</f>
        <v>8</v>
      </c>
      <c r="G1211" s="19" t="str">
        <f>IFERROR(__xludf.DUMMYFUNCTION("""COMPUTED_VALUE"""),"Instant Forms")</f>
        <v>Instant Forms</v>
      </c>
      <c r="H1211" s="19" t="str">
        <f>IFERROR(__xludf.DUMMYFUNCTION("""COMPUTED_VALUE"""),"Patrick Burns")</f>
        <v>Patrick Burns</v>
      </c>
      <c r="I1211" s="62"/>
      <c r="J1211" s="19"/>
    </row>
    <row r="1212">
      <c r="A1212" s="19" t="str">
        <f>IFERROR(__xludf.DUMMYFUNCTION("""COMPUTED_VALUE"""),"Jack Di Prima")</f>
        <v>Jack Di Prima</v>
      </c>
      <c r="B1212" s="19" t="str">
        <f>IFERROR(__xludf.DUMMYFUNCTION("""COMPUTED_VALUE"""),"QLD")</f>
        <v>QLD</v>
      </c>
      <c r="C1212" s="5" t="str">
        <f>IFERROR(__xludf.DUMMYFUNCTION("""COMPUTED_VALUE"""),"Annerley")</f>
        <v>Annerley</v>
      </c>
      <c r="D1212" s="5"/>
      <c r="E1212" s="25">
        <f>IFERROR(__xludf.DUMMYFUNCTION("""COMPUTED_VALUE"""),45912.0)</f>
        <v>45912</v>
      </c>
      <c r="F1212" s="5">
        <f>IFERROR(__xludf.DUMMYFUNCTION("""COMPUTED_VALUE"""),6.0)</f>
        <v>6</v>
      </c>
      <c r="G1212" s="19" t="str">
        <f>IFERROR(__xludf.DUMMYFUNCTION("""COMPUTED_VALUE"""),"Instant Forms")</f>
        <v>Instant Forms</v>
      </c>
      <c r="H1212" s="19" t="str">
        <f>IFERROR(__xludf.DUMMYFUNCTION("""COMPUTED_VALUE"""),"Claire Jones")</f>
        <v>Claire Jones</v>
      </c>
      <c r="I1212" s="62"/>
      <c r="J1212" s="19"/>
    </row>
    <row r="1213">
      <c r="A1213" s="19" t="str">
        <f>IFERROR(__xludf.DUMMYFUNCTION("""COMPUTED_VALUE"""),"Jack Di Prima")</f>
        <v>Jack Di Prima</v>
      </c>
      <c r="B1213" s="19" t="str">
        <f>IFERROR(__xludf.DUMMYFUNCTION("""COMPUTED_VALUE"""),"QLD")</f>
        <v>QLD</v>
      </c>
      <c r="C1213" s="5" t="str">
        <f>IFERROR(__xludf.DUMMYFUNCTION("""COMPUTED_VALUE"""),"Upper kedron")</f>
        <v>Upper kedron</v>
      </c>
      <c r="D1213" s="5" t="str">
        <f>IFERROR(__xludf.DUMMYFUNCTION("""COMPUTED_VALUE"""),"260 Levitt Road Upper Kedron QLD 4055")</f>
        <v>260 Levitt Road Upper Kedron QLD 4055</v>
      </c>
      <c r="E1213" s="25">
        <f>IFERROR(__xludf.DUMMYFUNCTION("""COMPUTED_VALUE"""),45912.0)</f>
        <v>45912</v>
      </c>
      <c r="F1213" s="5">
        <f>IFERROR(__xludf.DUMMYFUNCTION("""COMPUTED_VALUE"""),8.0)</f>
        <v>8</v>
      </c>
      <c r="G1213" s="19" t="str">
        <f>IFERROR(__xludf.DUMMYFUNCTION("""COMPUTED_VALUE"""),"Instant Forms")</f>
        <v>Instant Forms</v>
      </c>
      <c r="H1213" s="19" t="str">
        <f>IFERROR(__xludf.DUMMYFUNCTION("""COMPUTED_VALUE"""),"Daniel Trew")</f>
        <v>Daniel Trew</v>
      </c>
      <c r="I1213" s="62"/>
      <c r="J1213" s="19"/>
    </row>
    <row r="1214">
      <c r="A1214" s="19" t="str">
        <f>IFERROR(__xludf.DUMMYFUNCTION("""COMPUTED_VALUE"""),"Jack Di Prima")</f>
        <v>Jack Di Prima</v>
      </c>
      <c r="B1214" s="19" t="str">
        <f>IFERROR(__xludf.DUMMYFUNCTION("""COMPUTED_VALUE"""),"QLD")</f>
        <v>QLD</v>
      </c>
      <c r="C1214" s="5" t="str">
        <f>IFERROR(__xludf.DUMMYFUNCTION("""COMPUTED_VALUE"""),"Chapel Hill")</f>
        <v>Chapel Hill</v>
      </c>
      <c r="D1214" s="5" t="str">
        <f>IFERROR(__xludf.DUMMYFUNCTION("""COMPUTED_VALUE"""),"11 Burbong Street Chapel Hill QLD 4069")</f>
        <v>11 Burbong Street Chapel Hill QLD 4069</v>
      </c>
      <c r="E1214" s="25">
        <f>IFERROR(__xludf.DUMMYFUNCTION("""COMPUTED_VALUE"""),45916.0)</f>
        <v>45916</v>
      </c>
      <c r="F1214" s="5">
        <f>IFERROR(__xludf.DUMMYFUNCTION("""COMPUTED_VALUE"""),8.0)</f>
        <v>8</v>
      </c>
      <c r="G1214" s="19" t="str">
        <f>IFERROR(__xludf.DUMMYFUNCTION("""COMPUTED_VALUE"""),"Instant Forms")</f>
        <v>Instant Forms</v>
      </c>
      <c r="H1214" s="19" t="str">
        <f>IFERROR(__xludf.DUMMYFUNCTION("""COMPUTED_VALUE"""),"Brett Griffiths")</f>
        <v>Brett Griffiths</v>
      </c>
      <c r="I1214" s="62"/>
      <c r="J1214" s="19"/>
    </row>
    <row r="1215">
      <c r="A1215" s="19" t="str">
        <f>IFERROR(__xludf.DUMMYFUNCTION("""COMPUTED_VALUE"""),"Jack Di Prima")</f>
        <v>Jack Di Prima</v>
      </c>
      <c r="B1215" s="19" t="str">
        <f>IFERROR(__xludf.DUMMYFUNCTION("""COMPUTED_VALUE"""),"QLD")</f>
        <v>QLD</v>
      </c>
      <c r="C1215" s="5" t="str">
        <f>IFERROR(__xludf.DUMMYFUNCTION("""COMPUTED_VALUE"""),"Indooroopilly")</f>
        <v>Indooroopilly</v>
      </c>
      <c r="D1215" s="5" t="str">
        <f>IFERROR(__xludf.DUMMYFUNCTION("""COMPUTED_VALUE"""),"8 Isles Road, Indooroopilly, QLD, 4068, Australia")</f>
        <v>8 Isles Road, Indooroopilly, QLD, 4068, Australia</v>
      </c>
      <c r="E1215" s="5" t="str">
        <f>IFERROR(__xludf.DUMMYFUNCTION("""COMPUTED_VALUE"""),"16/09/2025")</f>
        <v>16/09/2025</v>
      </c>
      <c r="F1215" s="5" t="str">
        <f>IFERROR(__xludf.DUMMYFUNCTION("""COMPUTED_VALUE"""),"Featured")</f>
        <v>Featured</v>
      </c>
      <c r="G1215" s="19"/>
      <c r="H1215" s="19"/>
      <c r="I1215" s="62"/>
      <c r="J1215" s="19"/>
    </row>
    <row r="1216">
      <c r="A1216" s="19" t="str">
        <f>IFERROR(__xludf.DUMMYFUNCTION("""COMPUTED_VALUE"""),"Jack Di Prima")</f>
        <v>Jack Di Prima</v>
      </c>
      <c r="B1216" s="19" t="str">
        <f>IFERROR(__xludf.DUMMYFUNCTION("""COMPUTED_VALUE"""),"QLD")</f>
        <v>QLD</v>
      </c>
      <c r="C1216" s="5" t="str">
        <f>IFERROR(__xludf.DUMMYFUNCTION("""COMPUTED_VALUE"""),"Ashgrove")</f>
        <v>Ashgrove</v>
      </c>
      <c r="D1216" s="5" t="str">
        <f>IFERROR(__xludf.DUMMYFUNCTION("""COMPUTED_VALUE"""),"34/10 Chapman Place, Oxley &amp; 55 Trout Street, Ashgrove")</f>
        <v>34/10 Chapman Place, Oxley &amp; 55 Trout Street, Ashgrove</v>
      </c>
      <c r="E1216" s="25">
        <f>IFERROR(__xludf.DUMMYFUNCTION("""COMPUTED_VALUE"""),45917.0)</f>
        <v>45917</v>
      </c>
      <c r="F1216" s="5" t="str">
        <f>IFERROR(__xludf.DUMMYFUNCTION("""COMPUTED_VALUE"""),"5% referral")</f>
        <v>5% referral</v>
      </c>
      <c r="G1216" s="19" t="str">
        <f>IFERROR(__xludf.DUMMYFUNCTION("""COMPUTED_VALUE"""),"Instant Forms")</f>
        <v>Instant Forms</v>
      </c>
      <c r="H1216" s="19"/>
      <c r="I1216" s="62"/>
      <c r="J1216" s="19"/>
    </row>
    <row r="1217">
      <c r="A1217" s="19" t="str">
        <f>IFERROR(__xludf.DUMMYFUNCTION("""COMPUTED_VALUE"""),"Jack Di Prima")</f>
        <v>Jack Di Prima</v>
      </c>
      <c r="B1217" s="19" t="str">
        <f>IFERROR(__xludf.DUMMYFUNCTION("""COMPUTED_VALUE"""),"QLD")</f>
        <v>QLD</v>
      </c>
      <c r="C1217" s="5" t="str">
        <f>IFERROR(__xludf.DUMMYFUNCTION("""COMPUTED_VALUE"""),"Kelvin grove")</f>
        <v>Kelvin grove</v>
      </c>
      <c r="D1217" s="5" t="str">
        <f>IFERROR(__xludf.DUMMYFUNCTION("""COMPUTED_VALUE"""),"42 Eureka Street Kelvin Grove QLD 4059")</f>
        <v>42 Eureka Street Kelvin Grove QLD 4059</v>
      </c>
      <c r="E1217" s="25">
        <f>IFERROR(__xludf.DUMMYFUNCTION("""COMPUTED_VALUE"""),45918.0)</f>
        <v>45918</v>
      </c>
      <c r="F1217" s="5">
        <f>IFERROR(__xludf.DUMMYFUNCTION("""COMPUTED_VALUE"""),9.0)</f>
        <v>9</v>
      </c>
      <c r="G1217" s="19" t="str">
        <f>IFERROR(__xludf.DUMMYFUNCTION("""COMPUTED_VALUE"""),"Instant Forms")</f>
        <v>Instant Forms</v>
      </c>
      <c r="H1217" s="19" t="str">
        <f>IFERROR(__xludf.DUMMYFUNCTION("""COMPUTED_VALUE"""),"Glenys Keir")</f>
        <v>Glenys Keir</v>
      </c>
      <c r="I1217" s="62"/>
      <c r="J1217" s="19"/>
    </row>
    <row r="1218">
      <c r="A1218" s="19" t="str">
        <f>IFERROR(__xludf.DUMMYFUNCTION("""COMPUTED_VALUE"""),"Jack Di Prima")</f>
        <v>Jack Di Prima</v>
      </c>
      <c r="B1218" s="19" t="str">
        <f>IFERROR(__xludf.DUMMYFUNCTION("""COMPUTED_VALUE"""),"QLD")</f>
        <v>QLD</v>
      </c>
      <c r="C1218" s="5" t="str">
        <f>IFERROR(__xludf.DUMMYFUNCTION("""COMPUTED_VALUE"""),"ferny grove")</f>
        <v>ferny grove</v>
      </c>
      <c r="D1218" s="5" t="str">
        <f>IFERROR(__xludf.DUMMYFUNCTION("""COMPUTED_VALUE"""),"22 monash place ferny grove")</f>
        <v>22 monash place ferny grove</v>
      </c>
      <c r="E1218" s="25">
        <f>IFERROR(__xludf.DUMMYFUNCTION("""COMPUTED_VALUE"""),45921.0)</f>
        <v>45921</v>
      </c>
      <c r="F1218" s="5" t="str">
        <f>IFERROR(__xludf.DUMMYFUNCTION("""COMPUTED_VALUE"""),"Featured")</f>
        <v>Featured</v>
      </c>
      <c r="G1218" s="19" t="str">
        <f>IFERROR(__xludf.DUMMYFUNCTION("""COMPUTED_VALUE"""),"Commission Comparison")</f>
        <v>Commission Comparison</v>
      </c>
      <c r="H1218" s="19"/>
      <c r="I1218" s="62"/>
      <c r="J1218" s="19"/>
    </row>
    <row r="1219">
      <c r="A1219" s="19" t="str">
        <f>IFERROR(__xludf.DUMMYFUNCTION("""COMPUTED_VALUE"""),"Jack Di Prima")</f>
        <v>Jack Di Prima</v>
      </c>
      <c r="B1219" s="19" t="str">
        <f>IFERROR(__xludf.DUMMYFUNCTION("""COMPUTED_VALUE"""),"QLD")</f>
        <v>QLD</v>
      </c>
      <c r="C1219" s="5" t="str">
        <f>IFERROR(__xludf.DUMMYFUNCTION("""COMPUTED_VALUE"""),"Darra")</f>
        <v>Darra</v>
      </c>
      <c r="D1219" s="5" t="str">
        <f>IFERROR(__xludf.DUMMYFUNCTION("""COMPUTED_VALUE"""),"43 Ellen st Oxley 4075")</f>
        <v>43 Ellen st Oxley 4075</v>
      </c>
      <c r="E1219" s="25">
        <f>IFERROR(__xludf.DUMMYFUNCTION("""COMPUTED_VALUE"""),45923.0)</f>
        <v>45923</v>
      </c>
      <c r="F1219" s="5" t="str">
        <f>IFERROR(__xludf.DUMMYFUNCTION("""COMPUTED_VALUE"""),"Featured")</f>
        <v>Featured</v>
      </c>
      <c r="G1219" s="19" t="str">
        <f>IFERROR(__xludf.DUMMYFUNCTION("""COMPUTED_VALUE"""),"Commission Comparison")</f>
        <v>Commission Comparison</v>
      </c>
      <c r="H1219" s="19"/>
      <c r="I1219" s="62"/>
      <c r="J1219" s="19"/>
    </row>
    <row r="1220">
      <c r="A1220" s="19" t="str">
        <f>IFERROR(__xludf.DUMMYFUNCTION("""COMPUTED_VALUE"""),"Jack Di Prima")</f>
        <v>Jack Di Prima</v>
      </c>
      <c r="B1220" s="19" t="str">
        <f>IFERROR(__xludf.DUMMYFUNCTION("""COMPUTED_VALUE"""),"QLD")</f>
        <v>QLD</v>
      </c>
      <c r="C1220" s="5" t="str">
        <f>IFERROR(__xludf.DUMMYFUNCTION("""COMPUTED_VALUE"""),"Everton Park")</f>
        <v>Everton Park</v>
      </c>
      <c r="D1220" s="5" t="str">
        <f>IFERROR(__xludf.DUMMYFUNCTION("""COMPUTED_VALUE"""),"38 Gearside Street Everton Park QLD 4053")</f>
        <v>38 Gearside Street Everton Park QLD 4053</v>
      </c>
      <c r="E1220" s="25">
        <f>IFERROR(__xludf.DUMMYFUNCTION("""COMPUTED_VALUE"""),45924.0)</f>
        <v>45924</v>
      </c>
      <c r="F1220" s="5">
        <f>IFERROR(__xludf.DUMMYFUNCTION("""COMPUTED_VALUE"""),8.0)</f>
        <v>8</v>
      </c>
      <c r="G1220" s="19" t="str">
        <f>IFERROR(__xludf.DUMMYFUNCTION("""COMPUTED_VALUE"""),"Instant Forms")</f>
        <v>Instant Forms</v>
      </c>
      <c r="H1220" s="19" t="str">
        <f>IFERROR(__xludf.DUMMYFUNCTION("""COMPUTED_VALUE"""),"Beth Lehmann")</f>
        <v>Beth Lehmann</v>
      </c>
      <c r="I1220" s="62"/>
      <c r="J1220" s="19"/>
    </row>
    <row r="1221">
      <c r="A1221" s="19" t="str">
        <f>IFERROR(__xludf.DUMMYFUNCTION("""COMPUTED_VALUE"""),"Jack Di Prima")</f>
        <v>Jack Di Prima</v>
      </c>
      <c r="B1221" s="19" t="str">
        <f>IFERROR(__xludf.DUMMYFUNCTION("""COMPUTED_VALUE"""),"QLD")</f>
        <v>QLD</v>
      </c>
      <c r="C1221" s="5" t="str">
        <f>IFERROR(__xludf.DUMMYFUNCTION("""COMPUTED_VALUE"""),"Mitchelton")</f>
        <v>Mitchelton</v>
      </c>
      <c r="D1221" s="5" t="str">
        <f>IFERROR(__xludf.DUMMYFUNCTION("""COMPUTED_VALUE"""),"49A Kooya Road Mitchelton QLD 4053")</f>
        <v>49A Kooya Road Mitchelton QLD 4053</v>
      </c>
      <c r="E1221" s="25">
        <f>IFERROR(__xludf.DUMMYFUNCTION("""COMPUTED_VALUE"""),45925.0)</f>
        <v>45925</v>
      </c>
      <c r="F1221" s="5">
        <f>IFERROR(__xludf.DUMMYFUNCTION("""COMPUTED_VALUE"""),6.0)</f>
        <v>6</v>
      </c>
      <c r="G1221" s="19" t="str">
        <f>IFERROR(__xludf.DUMMYFUNCTION("""COMPUTED_VALUE"""),"Instant Forms")</f>
        <v>Instant Forms</v>
      </c>
      <c r="H1221" s="19" t="str">
        <f>IFERROR(__xludf.DUMMYFUNCTION("""COMPUTED_VALUE"""),"Tracey Winders")</f>
        <v>Tracey Winders</v>
      </c>
      <c r="I1221" s="62"/>
      <c r="J1221" s="19"/>
    </row>
    <row r="1222">
      <c r="A1222" s="19" t="str">
        <f>IFERROR(__xludf.DUMMYFUNCTION("""COMPUTED_VALUE"""),"Jack Di Prima")</f>
        <v>Jack Di Prima</v>
      </c>
      <c r="B1222" s="19" t="str">
        <f>IFERROR(__xludf.DUMMYFUNCTION("""COMPUTED_VALUE"""),"QLD")</f>
        <v>QLD</v>
      </c>
      <c r="C1222" s="5" t="str">
        <f>IFERROR(__xludf.DUMMYFUNCTION("""COMPUTED_VALUE"""),"Ashgrove")</f>
        <v>Ashgrove</v>
      </c>
      <c r="D1222" s="5" t="str">
        <f>IFERROR(__xludf.DUMMYFUNCTION("""COMPUTED_VALUE"""),"45 Moola Road Ashgrove QLD 4060")</f>
        <v>45 Moola Road Ashgrove QLD 4060</v>
      </c>
      <c r="E1222" s="25">
        <f>IFERROR(__xludf.DUMMYFUNCTION("""COMPUTED_VALUE"""),45926.0)</f>
        <v>45926</v>
      </c>
      <c r="F1222" s="5">
        <f>IFERROR(__xludf.DUMMYFUNCTION("""COMPUTED_VALUE"""),8.0)</f>
        <v>8</v>
      </c>
      <c r="G1222" s="19" t="str">
        <f>IFERROR(__xludf.DUMMYFUNCTION("""COMPUTED_VALUE"""),"Instant Forms")</f>
        <v>Instant Forms</v>
      </c>
      <c r="H1222" s="19" t="str">
        <f>IFERROR(__xludf.DUMMYFUNCTION("""COMPUTED_VALUE"""),"Stephanie Jackson")</f>
        <v>Stephanie Jackson</v>
      </c>
      <c r="I1222" s="62"/>
      <c r="J1222" s="19"/>
    </row>
    <row r="1223">
      <c r="A1223" s="19" t="str">
        <f>IFERROR(__xludf.DUMMYFUNCTION("""COMPUTED_VALUE"""),"Jack Di Prima")</f>
        <v>Jack Di Prima</v>
      </c>
      <c r="B1223" s="19" t="str">
        <f>IFERROR(__xludf.DUMMYFUNCTION("""COMPUTED_VALUE"""),"QLD")</f>
        <v>QLD</v>
      </c>
      <c r="C1223" s="5" t="str">
        <f>IFERROR(__xludf.DUMMYFUNCTION("""COMPUTED_VALUE"""),"The Gap")</f>
        <v>The Gap</v>
      </c>
      <c r="D1223" s="5" t="str">
        <f>IFERROR(__xludf.DUMMYFUNCTION("""COMPUTED_VALUE"""),"25 Paten Road The Gap QLD 4061")</f>
        <v>25 Paten Road The Gap QLD 4061</v>
      </c>
      <c r="E1223" s="25">
        <f>IFERROR(__xludf.DUMMYFUNCTION("""COMPUTED_VALUE"""),45926.0)</f>
        <v>45926</v>
      </c>
      <c r="F1223" s="5">
        <f>IFERROR(__xludf.DUMMYFUNCTION("""COMPUTED_VALUE"""),8.0)</f>
        <v>8</v>
      </c>
      <c r="G1223" s="19" t="str">
        <f>IFERROR(__xludf.DUMMYFUNCTION("""COMPUTED_VALUE"""),"Instant Forms")</f>
        <v>Instant Forms</v>
      </c>
      <c r="H1223" s="19" t="str">
        <f>IFERROR(__xludf.DUMMYFUNCTION("""COMPUTED_VALUE"""),"Cara Cox")</f>
        <v>Cara Cox</v>
      </c>
      <c r="I1223" s="62"/>
      <c r="J1223" s="19"/>
    </row>
    <row r="1224">
      <c r="A1224" s="19" t="str">
        <f>IFERROR(__xludf.DUMMYFUNCTION("""COMPUTED_VALUE"""),"Jack Di Prima")</f>
        <v>Jack Di Prima</v>
      </c>
      <c r="B1224" s="19" t="str">
        <f>IFERROR(__xludf.DUMMYFUNCTION("""COMPUTED_VALUE"""),"QLD")</f>
        <v>QLD</v>
      </c>
      <c r="C1224" s="5">
        <f>IFERROR(__xludf.DUMMYFUNCTION("""COMPUTED_VALUE"""),25000.0)</f>
        <v>25000</v>
      </c>
      <c r="D1224" s="5" t="str">
        <f>IFERROR(__xludf.DUMMYFUNCTION("""COMPUTED_VALUE"""),"3/33 Sundridge St,Taringa")</f>
        <v>3/33 Sundridge St,Taringa</v>
      </c>
      <c r="E1224" s="25">
        <f>IFERROR(__xludf.DUMMYFUNCTION("""COMPUTED_VALUE"""),45928.0)</f>
        <v>45928</v>
      </c>
      <c r="F1224" s="5" t="str">
        <f>IFERROR(__xludf.DUMMYFUNCTION("""COMPUTED_VALUE"""),"Featured")</f>
        <v>Featured</v>
      </c>
      <c r="G1224" s="19" t="str">
        <f>IFERROR(__xludf.DUMMYFUNCTION("""COMPUTED_VALUE"""),"Commission Comparison")</f>
        <v>Commission Comparison</v>
      </c>
      <c r="H1224" s="19"/>
      <c r="I1224" s="62"/>
      <c r="J1224" s="19"/>
    </row>
    <row r="1225">
      <c r="A1225" s="19" t="str">
        <f>IFERROR(__xludf.DUMMYFUNCTION("""COMPUTED_VALUE"""),"Jack Di Prima")</f>
        <v>Jack Di Prima</v>
      </c>
      <c r="B1225" s="19" t="str">
        <f>IFERROR(__xludf.DUMMYFUNCTION("""COMPUTED_VALUE"""),"QLD")</f>
        <v>QLD</v>
      </c>
      <c r="C1225" s="5" t="str">
        <f>IFERROR(__xludf.DUMMYFUNCTION("""COMPUTED_VALUE"""),"Toowong")</f>
        <v>Toowong</v>
      </c>
      <c r="D1225" s="5" t="str">
        <f>IFERROR(__xludf.DUMMYFUNCTION("""COMPUTED_VALUE"""),"11 Kent Street Toowong QLD 4066")</f>
        <v>11 Kent Street Toowong QLD 4066</v>
      </c>
      <c r="E1225" s="25">
        <f>IFERROR(__xludf.DUMMYFUNCTION("""COMPUTED_VALUE"""),45929.0)</f>
        <v>45929</v>
      </c>
      <c r="F1225" s="5">
        <f>IFERROR(__xludf.DUMMYFUNCTION("""COMPUTED_VALUE"""),8.0)</f>
        <v>8</v>
      </c>
      <c r="G1225" s="19" t="str">
        <f>IFERROR(__xludf.DUMMYFUNCTION("""COMPUTED_VALUE"""),"Instant Forms")</f>
        <v>Instant Forms</v>
      </c>
      <c r="H1225" s="19" t="str">
        <f>IFERROR(__xludf.DUMMYFUNCTION("""COMPUTED_VALUE"""),"Lyn Harrison")</f>
        <v>Lyn Harrison</v>
      </c>
      <c r="I1225" s="62"/>
      <c r="J1225" s="19"/>
    </row>
    <row r="1226">
      <c r="A1226" s="19" t="str">
        <f>IFERROR(__xludf.DUMMYFUNCTION("""COMPUTED_VALUE"""),"Jack Di Prima")</f>
        <v>Jack Di Prima</v>
      </c>
      <c r="B1226" s="19" t="str">
        <f>IFERROR(__xludf.DUMMYFUNCTION("""COMPUTED_VALUE"""),"QLD")</f>
        <v>QLD</v>
      </c>
      <c r="C1226" s="5" t="str">
        <f>IFERROR(__xludf.DUMMYFUNCTION("""COMPUTED_VALUE"""),"Upper Kedron")</f>
        <v>Upper Kedron</v>
      </c>
      <c r="D1226" s="5" t="str">
        <f>IFERROR(__xludf.DUMMYFUNCTION("""COMPUTED_VALUE"""),"52 Skye Place Upper Kedron QLD 4055")</f>
        <v>52 Skye Place Upper Kedron QLD 4055</v>
      </c>
      <c r="E1226" s="25">
        <f>IFERROR(__xludf.DUMMYFUNCTION("""COMPUTED_VALUE"""),45929.0)</f>
        <v>45929</v>
      </c>
      <c r="F1226" s="5">
        <f>IFERROR(__xludf.DUMMYFUNCTION("""COMPUTED_VALUE"""),8.0)</f>
        <v>8</v>
      </c>
      <c r="G1226" s="19" t="str">
        <f>IFERROR(__xludf.DUMMYFUNCTION("""COMPUTED_VALUE"""),"Instant Forms")</f>
        <v>Instant Forms</v>
      </c>
      <c r="H1226" s="19" t="str">
        <f>IFERROR(__xludf.DUMMYFUNCTION("""COMPUTED_VALUE"""),"Lauri Meiklejohn")</f>
        <v>Lauri Meiklejohn</v>
      </c>
      <c r="I1226" s="62"/>
      <c r="J1226" s="19"/>
    </row>
    <row r="1227">
      <c r="A1227" s="19" t="str">
        <f>IFERROR(__xludf.DUMMYFUNCTION("""COMPUTED_VALUE"""),"Jack Di Prima")</f>
        <v>Jack Di Prima</v>
      </c>
      <c r="B1227" s="19" t="str">
        <f>IFERROR(__xludf.DUMMYFUNCTION("""COMPUTED_VALUE"""),"QLD")</f>
        <v>QLD</v>
      </c>
      <c r="C1227" s="5" t="str">
        <f>IFERROR(__xludf.DUMMYFUNCTION("""COMPUTED_VALUE"""),"Toowong")</f>
        <v>Toowong</v>
      </c>
      <c r="D1227" s="5" t="str">
        <f>IFERROR(__xludf.DUMMYFUNCTION("""COMPUTED_VALUE"""),"41 Grove Crescent TOOWONG QLD 4066")</f>
        <v>41 Grove Crescent TOOWONG QLD 4066</v>
      </c>
      <c r="E1227" s="25">
        <f>IFERROR(__xludf.DUMMYFUNCTION("""COMPUTED_VALUE"""),45929.0)</f>
        <v>45929</v>
      </c>
      <c r="F1227" s="5">
        <f>IFERROR(__xludf.DUMMYFUNCTION("""COMPUTED_VALUE"""),8.0)</f>
        <v>8</v>
      </c>
      <c r="G1227" s="19" t="str">
        <f>IFERROR(__xludf.DUMMYFUNCTION("""COMPUTED_VALUE"""),"Instant Forms")</f>
        <v>Instant Forms</v>
      </c>
      <c r="H1227" s="19" t="str">
        <f>IFERROR(__xludf.DUMMYFUNCTION("""COMPUTED_VALUE"""),"Bec Kenny")</f>
        <v>Bec Kenny</v>
      </c>
      <c r="I1227" s="62"/>
      <c r="J1227" s="19"/>
    </row>
    <row r="1228">
      <c r="A1228" s="19" t="str">
        <f>IFERROR(__xludf.DUMMYFUNCTION("""COMPUTED_VALUE"""),"Jack Di Prima")</f>
        <v>Jack Di Prima</v>
      </c>
      <c r="B1228" s="19" t="str">
        <f>IFERROR(__xludf.DUMMYFUNCTION("""COMPUTED_VALUE"""),"QLD")</f>
        <v>QLD</v>
      </c>
      <c r="C1228" s="5" t="str">
        <f>IFERROR(__xludf.DUMMYFUNCTION("""COMPUTED_VALUE"""),"Fig tree pocket")</f>
        <v>Fig tree pocket</v>
      </c>
      <c r="D1228" s="5" t="str">
        <f>IFERROR(__xludf.DUMMYFUNCTION("""COMPUTED_VALUE"""),"16 Emma Place Fig Tree Pocket QLD 4069 &amp; 14 Ramada Place Fig Tree Pocket QLD 4069 (Publicly sourced these addresses owned by Heather - not confident in her selling)")</f>
        <v>16 Emma Place Fig Tree Pocket QLD 4069 &amp; 14 Ramada Place Fig Tree Pocket QLD 4069 (Publicly sourced these addresses owned by Heather - not confident in her selling)</v>
      </c>
      <c r="E1228" s="25">
        <f>IFERROR(__xludf.DUMMYFUNCTION("""COMPUTED_VALUE"""),45931.0)</f>
        <v>45931</v>
      </c>
      <c r="F1228" s="5">
        <f>IFERROR(__xludf.DUMMYFUNCTION("""COMPUTED_VALUE"""),6.0)</f>
        <v>6</v>
      </c>
      <c r="G1228" s="19" t="str">
        <f>IFERROR(__xludf.DUMMYFUNCTION("""COMPUTED_VALUE"""),"Instant Forms")</f>
        <v>Instant Forms</v>
      </c>
      <c r="H1228" s="19" t="str">
        <f>IFERROR(__xludf.DUMMYFUNCTION("""COMPUTED_VALUE"""),"Heather Geary")</f>
        <v>Heather Geary</v>
      </c>
      <c r="I1228" s="62"/>
      <c r="J1228" s="19"/>
    </row>
    <row r="1229">
      <c r="A1229" s="19" t="str">
        <f>IFERROR(__xludf.DUMMYFUNCTION("""COMPUTED_VALUE"""),"Jack Di Prima")</f>
        <v>Jack Di Prima</v>
      </c>
      <c r="B1229" s="19" t="str">
        <f>IFERROR(__xludf.DUMMYFUNCTION("""COMPUTED_VALUE"""),"QLD")</f>
        <v>QLD</v>
      </c>
      <c r="C1229" s="5" t="str">
        <f>IFERROR(__xludf.DUMMYFUNCTION("""COMPUTED_VALUE"""),"Tennyson")</f>
        <v>Tennyson</v>
      </c>
      <c r="D1229" s="5" t="str">
        <f>IFERROR(__xludf.DUMMYFUNCTION("""COMPUTED_VALUE"""),"38 Camelot Street Tennyson QLD 4105")</f>
        <v>38 Camelot Street Tennyson QLD 4105</v>
      </c>
      <c r="E1229" s="25">
        <f>IFERROR(__xludf.DUMMYFUNCTION("""COMPUTED_VALUE"""),45935.0)</f>
        <v>45935</v>
      </c>
      <c r="F1229" s="5">
        <f>IFERROR(__xludf.DUMMYFUNCTION("""COMPUTED_VALUE"""),8.0)</f>
        <v>8</v>
      </c>
      <c r="G1229" s="19" t="str">
        <f>IFERROR(__xludf.DUMMYFUNCTION("""COMPUTED_VALUE"""),"Instant Forms")</f>
        <v>Instant Forms</v>
      </c>
      <c r="H1229" s="19" t="str">
        <f>IFERROR(__xludf.DUMMYFUNCTION("""COMPUTED_VALUE"""),"Ian Jobbins")</f>
        <v>Ian Jobbins</v>
      </c>
      <c r="I1229" s="62"/>
      <c r="J1229" s="19"/>
    </row>
    <row r="1230">
      <c r="A1230" s="19" t="str">
        <f>IFERROR(__xludf.DUMMYFUNCTION("""COMPUTED_VALUE"""),"Jack Di Prima")</f>
        <v>Jack Di Prima</v>
      </c>
      <c r="B1230" s="19" t="str">
        <f>IFERROR(__xludf.DUMMYFUNCTION("""COMPUTED_VALUE"""),"QLD")</f>
        <v>QLD</v>
      </c>
      <c r="C1230" s="5" t="str">
        <f>IFERROR(__xludf.DUMMYFUNCTION("""COMPUTED_VALUE"""),"Kenmore")</f>
        <v>Kenmore</v>
      </c>
      <c r="D1230" s="5" t="str">
        <f>IFERROR(__xludf.DUMMYFUNCTION("""COMPUTED_VALUE"""),"Kenmore Rd, Kenmore Qld 4069, Australia")</f>
        <v>Kenmore Rd, Kenmore Qld 4069, Australia</v>
      </c>
      <c r="E1230" s="25">
        <f>IFERROR(__xludf.DUMMYFUNCTION("""COMPUTED_VALUE"""),45935.0)</f>
        <v>45935</v>
      </c>
      <c r="F1230" s="5" t="str">
        <f>IFERROR(__xludf.DUMMYFUNCTION("""COMPUTED_VALUE"""),"Featured")</f>
        <v>Featured</v>
      </c>
      <c r="G1230" s="19" t="str">
        <f>IFERROR(__xludf.DUMMYFUNCTION("""COMPUTED_VALUE"""),"Commission Comparison")</f>
        <v>Commission Comparison</v>
      </c>
      <c r="H1230" s="19"/>
      <c r="I1230" s="62"/>
      <c r="J1230" s="19"/>
    </row>
    <row r="1231">
      <c r="A1231" s="19" t="str">
        <f>IFERROR(__xludf.DUMMYFUNCTION("""COMPUTED_VALUE"""),"Jack Di Prima")</f>
        <v>Jack Di Prima</v>
      </c>
      <c r="B1231" s="19" t="str">
        <f>IFERROR(__xludf.DUMMYFUNCTION("""COMPUTED_VALUE"""),"QLD")</f>
        <v>QLD</v>
      </c>
      <c r="C1231" s="5" t="str">
        <f>IFERROR(__xludf.DUMMYFUNCTION("""COMPUTED_VALUE"""),"The gap")</f>
        <v>The gap</v>
      </c>
      <c r="D1231" s="5" t="str">
        <f>IFERROR(__xludf.DUMMYFUNCTION("""COMPUTED_VALUE"""),"6 Tandara Street The Gap QLD 4061")</f>
        <v>6 Tandara Street The Gap QLD 4061</v>
      </c>
      <c r="E1231" s="25">
        <f>IFERROR(__xludf.DUMMYFUNCTION("""COMPUTED_VALUE"""),45936.0)</f>
        <v>45936</v>
      </c>
      <c r="F1231" s="5">
        <f>IFERROR(__xludf.DUMMYFUNCTION("""COMPUTED_VALUE"""),8.0)</f>
        <v>8</v>
      </c>
      <c r="G1231" s="19" t="str">
        <f>IFERROR(__xludf.DUMMYFUNCTION("""COMPUTED_VALUE"""),"Instant Forms")</f>
        <v>Instant Forms</v>
      </c>
      <c r="H1231" s="19" t="str">
        <f>IFERROR(__xludf.DUMMYFUNCTION("""COMPUTED_VALUE"""),"Caitlin Harvey")</f>
        <v>Caitlin Harvey</v>
      </c>
      <c r="I1231" s="62"/>
      <c r="J1231" s="19"/>
    </row>
    <row r="1232">
      <c r="A1232" s="19" t="str">
        <f>IFERROR(__xludf.DUMMYFUNCTION("""COMPUTED_VALUE"""),"Jack Di Prima")</f>
        <v>Jack Di Prima</v>
      </c>
      <c r="B1232" s="19" t="str">
        <f>IFERROR(__xludf.DUMMYFUNCTION("""COMPUTED_VALUE"""),"QLD")</f>
        <v>QLD</v>
      </c>
      <c r="C1232" s="5" t="str">
        <f>IFERROR(__xludf.DUMMYFUNCTION("""COMPUTED_VALUE"""),"West End")</f>
        <v>West End</v>
      </c>
      <c r="D1232" s="5" t="str">
        <f>IFERROR(__xludf.DUMMYFUNCTION("""COMPUTED_VALUE"""),"20206/1 Ferry Road, West End, QLD, 4101, Australia")</f>
        <v>20206/1 Ferry Road, West End, QLD, 4101, Australia</v>
      </c>
      <c r="E1232" s="25">
        <f>IFERROR(__xludf.DUMMYFUNCTION("""COMPUTED_VALUE"""),45939.0)</f>
        <v>45939</v>
      </c>
      <c r="F1232" s="5" t="str">
        <f>IFERROR(__xludf.DUMMYFUNCTION("""COMPUTED_VALUE"""),"Featured")</f>
        <v>Featured</v>
      </c>
      <c r="G1232" s="19" t="str">
        <f>IFERROR(__xludf.DUMMYFUNCTION("""COMPUTED_VALUE"""),"Commission Comparison")</f>
        <v>Commission Comparison</v>
      </c>
      <c r="H1232" s="19"/>
      <c r="I1232" s="62"/>
      <c r="J1232" s="19"/>
    </row>
    <row r="1233">
      <c r="A1233" s="19" t="str">
        <f>IFERROR(__xludf.DUMMYFUNCTION("""COMPUTED_VALUE"""),"Jack Di Prima")</f>
        <v>Jack Di Prima</v>
      </c>
      <c r="B1233" s="19" t="str">
        <f>IFERROR(__xludf.DUMMYFUNCTION("""COMPUTED_VALUE"""),"QLD")</f>
        <v>QLD</v>
      </c>
      <c r="C1233" s="5" t="str">
        <f>IFERROR(__xludf.DUMMYFUNCTION("""COMPUTED_VALUE"""),"Indooroopilly")</f>
        <v>Indooroopilly</v>
      </c>
      <c r="D1233" s="5" t="str">
        <f>IFERROR(__xludf.DUMMYFUNCTION("""COMPUTED_VALUE"""),"99 Payne Street Indooroopilly QLD 4068")</f>
        <v>99 Payne Street Indooroopilly QLD 4068</v>
      </c>
      <c r="E1233" s="25">
        <f>IFERROR(__xludf.DUMMYFUNCTION("""COMPUTED_VALUE"""),45939.0)</f>
        <v>45939</v>
      </c>
      <c r="F1233" s="5">
        <f>IFERROR(__xludf.DUMMYFUNCTION("""COMPUTED_VALUE"""),8.0)</f>
        <v>8</v>
      </c>
      <c r="G1233" s="19" t="str">
        <f>IFERROR(__xludf.DUMMYFUNCTION("""COMPUTED_VALUE"""),"Instant Forms")</f>
        <v>Instant Forms</v>
      </c>
      <c r="H1233" s="19"/>
      <c r="I1233" s="62"/>
      <c r="J1233" s="19"/>
    </row>
    <row r="1234">
      <c r="A1234" s="19" t="str">
        <f>IFERROR(__xludf.DUMMYFUNCTION("""COMPUTED_VALUE"""),"Jack Di Prima")</f>
        <v>Jack Di Prima</v>
      </c>
      <c r="B1234" s="19" t="str">
        <f>IFERROR(__xludf.DUMMYFUNCTION("""COMPUTED_VALUE"""),"QLD")</f>
        <v>QLD</v>
      </c>
      <c r="C1234" s="5" t="str">
        <f>IFERROR(__xludf.DUMMYFUNCTION("""COMPUTED_VALUE"""),"Highgate hill")</f>
        <v>Highgate hill</v>
      </c>
      <c r="D1234" s="5" t="str">
        <f>IFERROR(__xludf.DUMMYFUNCTION("""COMPUTED_VALUE"""),"30/21-25 Dudley Street Highgate Hill QLD 4101")</f>
        <v>30/21-25 Dudley Street Highgate Hill QLD 4101</v>
      </c>
      <c r="E1234" s="25">
        <f>IFERROR(__xludf.DUMMYFUNCTION("""COMPUTED_VALUE"""),45941.0)</f>
        <v>45941</v>
      </c>
      <c r="F1234" s="5">
        <f>IFERROR(__xludf.DUMMYFUNCTION("""COMPUTED_VALUE"""),8.0)</f>
        <v>8</v>
      </c>
      <c r="G1234" s="19" t="str">
        <f>IFERROR(__xludf.DUMMYFUNCTION("""COMPUTED_VALUE"""),"Instant Forms")</f>
        <v>Instant Forms</v>
      </c>
      <c r="H1234" s="19"/>
      <c r="I1234" s="62"/>
      <c r="J1234" s="19"/>
    </row>
    <row r="1235">
      <c r="A1235" s="19" t="str">
        <f>IFERROR(__xludf.DUMMYFUNCTION("""COMPUTED_VALUE"""),"Jack Di Prima")</f>
        <v>Jack Di Prima</v>
      </c>
      <c r="B1235" s="19" t="str">
        <f>IFERROR(__xludf.DUMMYFUNCTION("""COMPUTED_VALUE"""),"QLD")</f>
        <v>QLD</v>
      </c>
      <c r="C1235" s="5" t="str">
        <f>IFERROR(__xludf.DUMMYFUNCTION("""COMPUTED_VALUE"""),"Fairfield")</f>
        <v>Fairfield</v>
      </c>
      <c r="D1235" s="5" t="str">
        <f>IFERROR(__xludf.DUMMYFUNCTION("""COMPUTED_VALUE"""),"68 Fairfield Road Fairfield QLD 4103")</f>
        <v>68 Fairfield Road Fairfield QLD 4103</v>
      </c>
      <c r="E1235" s="25">
        <f>IFERROR(__xludf.DUMMYFUNCTION("""COMPUTED_VALUE"""),45943.0)</f>
        <v>45943</v>
      </c>
      <c r="F1235" s="5">
        <f>IFERROR(__xludf.DUMMYFUNCTION("""COMPUTED_VALUE"""),6.0)</f>
        <v>6</v>
      </c>
      <c r="G1235" s="19" t="str">
        <f>IFERROR(__xludf.DUMMYFUNCTION("""COMPUTED_VALUE"""),"Instant Forms")</f>
        <v>Instant Forms</v>
      </c>
      <c r="H1235" s="19"/>
      <c r="I1235" s="62"/>
      <c r="J1235" s="19"/>
    </row>
    <row r="1236">
      <c r="A1236" s="19" t="str">
        <f>IFERROR(__xludf.DUMMYFUNCTION("""COMPUTED_VALUE"""),"Jack Di Prima")</f>
        <v>Jack Di Prima</v>
      </c>
      <c r="B1236" s="19" t="str">
        <f>IFERROR(__xludf.DUMMYFUNCTION("""COMPUTED_VALUE"""),"QLD")</f>
        <v>QLD</v>
      </c>
      <c r="C1236" s="5" t="str">
        <f>IFERROR(__xludf.DUMMYFUNCTION("""COMPUTED_VALUE"""),"Taringa")</f>
        <v>Taringa</v>
      </c>
      <c r="D1236" s="5" t="str">
        <f>IFERROR(__xludf.DUMMYFUNCTION("""COMPUTED_VALUE"""),"30 Harrys Road Taringa QLD 4068")</f>
        <v>30 Harrys Road Taringa QLD 4068</v>
      </c>
      <c r="E1236" s="25">
        <f>IFERROR(__xludf.DUMMYFUNCTION("""COMPUTED_VALUE"""),45943.0)</f>
        <v>45943</v>
      </c>
      <c r="F1236" s="5">
        <f>IFERROR(__xludf.DUMMYFUNCTION("""COMPUTED_VALUE"""),8.0)</f>
        <v>8</v>
      </c>
      <c r="G1236" s="19" t="str">
        <f>IFERROR(__xludf.DUMMYFUNCTION("""COMPUTED_VALUE"""),"Instant Forms")</f>
        <v>Instant Forms</v>
      </c>
      <c r="H1236" s="19"/>
      <c r="I1236" s="62"/>
      <c r="J1236" s="19"/>
    </row>
    <row r="1237">
      <c r="A1237" s="19" t="str">
        <f>IFERROR(__xludf.DUMMYFUNCTION("""COMPUTED_VALUE"""),"Jack Di Prima")</f>
        <v>Jack Di Prima</v>
      </c>
      <c r="B1237" s="19" t="str">
        <f>IFERROR(__xludf.DUMMYFUNCTION("""COMPUTED_VALUE"""),"QLD")</f>
        <v>QLD</v>
      </c>
      <c r="C1237" s="5" t="str">
        <f>IFERROR(__xludf.DUMMYFUNCTION("""COMPUTED_VALUE"""),"Brisbane")</f>
        <v>Brisbane</v>
      </c>
      <c r="D1237" s="5" t="str">
        <f>IFERROR(__xludf.DUMMYFUNCTION("""COMPUTED_VALUE"""),"1312/48 Jephson Street Toowong QLD 4066")</f>
        <v>1312/48 Jephson Street Toowong QLD 4066</v>
      </c>
      <c r="E1237" s="25">
        <f>IFERROR(__xludf.DUMMYFUNCTION("""COMPUTED_VALUE"""),45943.0)</f>
        <v>45943</v>
      </c>
      <c r="F1237" s="5">
        <f>IFERROR(__xludf.DUMMYFUNCTION("""COMPUTED_VALUE"""),8.0)</f>
        <v>8</v>
      </c>
      <c r="G1237" s="19" t="str">
        <f>IFERROR(__xludf.DUMMYFUNCTION("""COMPUTED_VALUE"""),"Instant Forms")</f>
        <v>Instant Forms</v>
      </c>
      <c r="H1237" s="19"/>
      <c r="I1237" s="62"/>
      <c r="J1237" s="19"/>
    </row>
    <row r="1238">
      <c r="A1238" s="19" t="str">
        <f>IFERROR(__xludf.DUMMYFUNCTION("""COMPUTED_VALUE"""),"Jack Di Prima")</f>
        <v>Jack Di Prima</v>
      </c>
      <c r="B1238" s="19" t="str">
        <f>IFERROR(__xludf.DUMMYFUNCTION("""COMPUTED_VALUE"""),"QLD")</f>
        <v>QLD</v>
      </c>
      <c r="C1238" s="5" t="str">
        <f>IFERROR(__xludf.DUMMYFUNCTION("""COMPUTED_VALUE"""),"Sherwood")</f>
        <v>Sherwood</v>
      </c>
      <c r="D1238" s="5" t="str">
        <f>IFERROR(__xludf.DUMMYFUNCTION("""COMPUTED_VALUE"""),"56 Lilly Street, Sherwood, QLD, 4075, Australia")</f>
        <v>56 Lilly Street, Sherwood, QLD, 4075, Australia</v>
      </c>
      <c r="E1238" s="25">
        <f>IFERROR(__xludf.DUMMYFUNCTION("""COMPUTED_VALUE"""),45944.0)</f>
        <v>45944</v>
      </c>
      <c r="F1238" s="5" t="str">
        <f>IFERROR(__xludf.DUMMYFUNCTION("""COMPUTED_VALUE"""),"Featured")</f>
        <v>Featured</v>
      </c>
      <c r="G1238" s="19" t="str">
        <f>IFERROR(__xludf.DUMMYFUNCTION("""COMPUTED_VALUE"""),"Commission Comparison")</f>
        <v>Commission Comparison</v>
      </c>
      <c r="H1238" s="19"/>
      <c r="I1238" s="62"/>
      <c r="J1238" s="19"/>
    </row>
    <row r="1239">
      <c r="A1239" s="19" t="str">
        <f>IFERROR(__xludf.DUMMYFUNCTION("""COMPUTED_VALUE"""),"Jack Di Prima")</f>
        <v>Jack Di Prima</v>
      </c>
      <c r="B1239" s="19" t="str">
        <f>IFERROR(__xludf.DUMMYFUNCTION("""COMPUTED_VALUE"""),"QLD")</f>
        <v>QLD</v>
      </c>
      <c r="C1239" s="5" t="str">
        <f>IFERROR(__xludf.DUMMYFUNCTION("""COMPUTED_VALUE"""),"Corinda")</f>
        <v>Corinda</v>
      </c>
      <c r="D1239" s="5" t="str">
        <f>IFERROR(__xludf.DUMMYFUNCTION("""COMPUTED_VALUE"""),"26 Ardoyne Road Corinda QLD 4075")</f>
        <v>26 Ardoyne Road Corinda QLD 4075</v>
      </c>
      <c r="E1239" s="25">
        <f>IFERROR(__xludf.DUMMYFUNCTION("""COMPUTED_VALUE"""),45952.0)</f>
        <v>45952</v>
      </c>
      <c r="F1239" s="5">
        <f>IFERROR(__xludf.DUMMYFUNCTION("""COMPUTED_VALUE"""),8.0)</f>
        <v>8</v>
      </c>
      <c r="G1239" s="19" t="str">
        <f>IFERROR(__xludf.DUMMYFUNCTION("""COMPUTED_VALUE"""),"Instant Forms")</f>
        <v>Instant Forms</v>
      </c>
      <c r="H1239" s="19"/>
      <c r="I1239" s="62"/>
      <c r="J1239" s="19"/>
    </row>
    <row r="1240">
      <c r="A1240" s="19" t="str">
        <f>IFERROR(__xludf.DUMMYFUNCTION("""COMPUTED_VALUE"""),"Jack Di Prima")</f>
        <v>Jack Di Prima</v>
      </c>
      <c r="B1240" s="19" t="str">
        <f>IFERROR(__xludf.DUMMYFUNCTION("""COMPUTED_VALUE"""),"QLD")</f>
        <v>QLD</v>
      </c>
      <c r="C1240" s="5" t="str">
        <f>IFERROR(__xludf.DUMMYFUNCTION("""COMPUTED_VALUE"""),"Auchenflower")</f>
        <v>Auchenflower</v>
      </c>
      <c r="D1240" s="5"/>
      <c r="E1240" s="25">
        <f>IFERROR(__xludf.DUMMYFUNCTION("""COMPUTED_VALUE"""),45952.0)</f>
        <v>45952</v>
      </c>
      <c r="F1240" s="5">
        <f>IFERROR(__xludf.DUMMYFUNCTION("""COMPUTED_VALUE"""),5.0)</f>
        <v>5</v>
      </c>
      <c r="G1240" s="19" t="str">
        <f>IFERROR(__xludf.DUMMYFUNCTION("""COMPUTED_VALUE"""),"Instant Forms")</f>
        <v>Instant Forms</v>
      </c>
      <c r="H1240" s="19"/>
      <c r="I1240" s="62"/>
      <c r="J1240" s="19"/>
    </row>
    <row r="1241">
      <c r="A1241" s="19" t="str">
        <f>IFERROR(__xludf.DUMMYFUNCTION("""COMPUTED_VALUE"""),"Jack Di Prima")</f>
        <v>Jack Di Prima</v>
      </c>
      <c r="B1241" s="19" t="str">
        <f>IFERROR(__xludf.DUMMYFUNCTION("""COMPUTED_VALUE"""),"QLD")</f>
        <v>QLD</v>
      </c>
      <c r="C1241" s="5" t="str">
        <f>IFERROR(__xludf.DUMMYFUNCTION("""COMPUTED_VALUE"""),"Kelvin Grove ")</f>
        <v>Kelvin Grove </v>
      </c>
      <c r="D1241" s="5" t="str">
        <f>IFERROR(__xludf.DUMMYFUNCTION("""COMPUTED_VALUE"""),"42 Eureka Street Kelvin Grove QLD 4059")</f>
        <v>42 Eureka Street Kelvin Grove QLD 4059</v>
      </c>
      <c r="E1241" s="25">
        <f>IFERROR(__xludf.DUMMYFUNCTION("""COMPUTED_VALUE"""),45952.0)</f>
        <v>45952</v>
      </c>
      <c r="F1241" s="5">
        <f>IFERROR(__xludf.DUMMYFUNCTION("""COMPUTED_VALUE"""),10.0)</f>
        <v>10</v>
      </c>
      <c r="G1241" s="19" t="str">
        <f>IFERROR(__xludf.DUMMYFUNCTION("""COMPUTED_VALUE"""),"Instant Forms")</f>
        <v>Instant Forms</v>
      </c>
      <c r="H1241" s="19"/>
      <c r="I1241" s="62"/>
      <c r="J1241" s="19"/>
    </row>
    <row r="1242">
      <c r="A1242" s="19" t="str">
        <f>IFERROR(__xludf.DUMMYFUNCTION("""COMPUTED_VALUE"""),"Jack Di Prima")</f>
        <v>Jack Di Prima</v>
      </c>
      <c r="B1242" s="19" t="str">
        <f>IFERROR(__xludf.DUMMYFUNCTION("""COMPUTED_VALUE"""),"QLD")</f>
        <v>QLD</v>
      </c>
      <c r="C1242" s="5" t="str">
        <f>IFERROR(__xludf.DUMMYFUNCTION("""COMPUTED_VALUE"""),"Ashgrove")</f>
        <v>Ashgrove</v>
      </c>
      <c r="D1242" s="5" t="str">
        <f>IFERROR(__xludf.DUMMYFUNCTION("""COMPUTED_VALUE"""),"18 Romani Street, Ashgrove, 4060")</f>
        <v>18 Romani Street, Ashgrove, 4060</v>
      </c>
      <c r="E1242" s="25" t="str">
        <f>IFERROR(__xludf.DUMMYFUNCTION("""COMPUTED_VALUE"""),"24/10/2025")</f>
        <v>24/10/2025</v>
      </c>
      <c r="F1242" s="5" t="str">
        <f>IFERROR(__xludf.DUMMYFUNCTION("""COMPUTED_VALUE"""),"Featured")</f>
        <v>Featured</v>
      </c>
      <c r="G1242" s="19" t="str">
        <f>IFERROR(__xludf.DUMMYFUNCTION("""COMPUTED_VALUE"""),"Meta Commission Report")</f>
        <v>Meta Commission Report</v>
      </c>
      <c r="H1242" s="19" t="str">
        <f>IFERROR(__xludf.DUMMYFUNCTION("""COMPUTED_VALUE"""),"Joan Johnson")</f>
        <v>Joan Johnson</v>
      </c>
      <c r="I1242" s="62"/>
      <c r="J1242" s="19"/>
    </row>
    <row r="1243">
      <c r="A1243" s="19" t="str">
        <f>IFERROR(__xludf.DUMMYFUNCTION("""COMPUTED_VALUE"""),"Jack Di Prima")</f>
        <v>Jack Di Prima</v>
      </c>
      <c r="B1243" s="19" t="str">
        <f>IFERROR(__xludf.DUMMYFUNCTION("""COMPUTED_VALUE"""),"QLD")</f>
        <v>QLD</v>
      </c>
      <c r="C1243" s="5" t="str">
        <f>IFERROR(__xludf.DUMMYFUNCTION("""COMPUTED_VALUE"""),"Highgate hill")</f>
        <v>Highgate hill</v>
      </c>
      <c r="D1243" s="5" t="str">
        <f>IFERROR(__xludf.DUMMYFUNCTION("""COMPUTED_VALUE"""),"30/21-25 Dudley Street Highgate Hill QLD 4101")</f>
        <v>30/21-25 Dudley Street Highgate Hill QLD 4101</v>
      </c>
      <c r="E1243" s="25">
        <f>IFERROR(__xludf.DUMMYFUNCTION("""COMPUTED_VALUE"""),45955.0)</f>
        <v>45955</v>
      </c>
      <c r="F1243" s="5">
        <f>IFERROR(__xludf.DUMMYFUNCTION("""COMPUTED_VALUE"""),8.0)</f>
        <v>8</v>
      </c>
      <c r="G1243" s="19" t="str">
        <f>IFERROR(__xludf.DUMMYFUNCTION("""COMPUTED_VALUE"""),"Instant Forms")</f>
        <v>Instant Forms</v>
      </c>
      <c r="H1243" s="19"/>
      <c r="I1243" s="62"/>
      <c r="J1243" s="19"/>
    </row>
    <row r="1244">
      <c r="A1244" s="19" t="str">
        <f>IFERROR(__xludf.DUMMYFUNCTION("""COMPUTED_VALUE"""),"Jack Di Prima")</f>
        <v>Jack Di Prima</v>
      </c>
      <c r="B1244" s="19" t="str">
        <f>IFERROR(__xludf.DUMMYFUNCTION("""COMPUTED_VALUE"""),"QLD")</f>
        <v>QLD</v>
      </c>
      <c r="C1244" s="5" t="str">
        <f>IFERROR(__xludf.DUMMYFUNCTION("""COMPUTED_VALUE"""),"Kenmore 4069")</f>
        <v>Kenmore 4069</v>
      </c>
      <c r="D1244" s="5" t="str">
        <f>IFERROR(__xludf.DUMMYFUNCTION("""COMPUTED_VALUE"""),"76 Kenmore Road Kenmore QLD 4069")</f>
        <v>76 Kenmore Road Kenmore QLD 4069</v>
      </c>
      <c r="E1244" s="25">
        <f>IFERROR(__xludf.DUMMYFUNCTION("""COMPUTED_VALUE"""),45956.0)</f>
        <v>45956</v>
      </c>
      <c r="F1244" s="5">
        <f>IFERROR(__xludf.DUMMYFUNCTION("""COMPUTED_VALUE"""),8.0)</f>
        <v>8</v>
      </c>
      <c r="G1244" s="19" t="str">
        <f>IFERROR(__xludf.DUMMYFUNCTION("""COMPUTED_VALUE"""),"Instant Forms")</f>
        <v>Instant Forms</v>
      </c>
      <c r="H1244" s="19"/>
      <c r="I1244" s="62"/>
      <c r="J1244" s="19"/>
    </row>
    <row r="1245">
      <c r="A1245" s="19" t="str">
        <f>IFERROR(__xludf.DUMMYFUNCTION("""COMPUTED_VALUE"""),"Jack Di Prima")</f>
        <v>Jack Di Prima</v>
      </c>
      <c r="B1245" s="19" t="str">
        <f>IFERROR(__xludf.DUMMYFUNCTION("""COMPUTED_VALUE"""),"QLD")</f>
        <v>QLD</v>
      </c>
      <c r="C1245" s="5" t="str">
        <f>IFERROR(__xludf.DUMMYFUNCTION("""COMPUTED_VALUE"""),"St Lucia")</f>
        <v>St Lucia</v>
      </c>
      <c r="D1245" s="5" t="str">
        <f>IFERROR(__xludf.DUMMYFUNCTION("""COMPUTED_VALUE"""),"2/52 Bishop Street St Lucia QLD 4067")</f>
        <v>2/52 Bishop Street St Lucia QLD 4067</v>
      </c>
      <c r="E1245" s="25">
        <f>IFERROR(__xludf.DUMMYFUNCTION("""COMPUTED_VALUE"""),45960.0)</f>
        <v>45960</v>
      </c>
      <c r="F1245" s="5">
        <f>IFERROR(__xludf.DUMMYFUNCTION("""COMPUTED_VALUE"""),6.0)</f>
        <v>6</v>
      </c>
      <c r="G1245" s="19" t="str">
        <f>IFERROR(__xludf.DUMMYFUNCTION("""COMPUTED_VALUE"""),"Instant Forms")</f>
        <v>Instant Forms</v>
      </c>
      <c r="H1245" s="19"/>
      <c r="I1245" s="62"/>
      <c r="J1245" s="19"/>
    </row>
    <row r="1246">
      <c r="A1246" s="19" t="str">
        <f>IFERROR(__xludf.DUMMYFUNCTION("""COMPUTED_VALUE"""),"Jack Di Prima")</f>
        <v>Jack Di Prima</v>
      </c>
      <c r="B1246" s="19" t="str">
        <f>IFERROR(__xludf.DUMMYFUNCTION("""COMPUTED_VALUE"""),"QLD")</f>
        <v>QLD</v>
      </c>
      <c r="C1246" s="5" t="str">
        <f>IFERROR(__xludf.DUMMYFUNCTION("""COMPUTED_VALUE"""),"Alderley")</f>
        <v>Alderley</v>
      </c>
      <c r="D1246" s="5" t="str">
        <f>IFERROR(__xludf.DUMMYFUNCTION("""COMPUTED_VALUE"""),"101 Welbeck Street Alderley QLD 4051")</f>
        <v>101 Welbeck Street Alderley QLD 4051</v>
      </c>
      <c r="E1246" s="25">
        <f>IFERROR(__xludf.DUMMYFUNCTION("""COMPUTED_VALUE"""),45963.0)</f>
        <v>45963</v>
      </c>
      <c r="F1246" s="5">
        <f>IFERROR(__xludf.DUMMYFUNCTION("""COMPUTED_VALUE"""),8.0)</f>
        <v>8</v>
      </c>
      <c r="G1246" s="19" t="str">
        <f>IFERROR(__xludf.DUMMYFUNCTION("""COMPUTED_VALUE"""),"Instant Forms")</f>
        <v>Instant Forms</v>
      </c>
      <c r="H1246" s="19"/>
      <c r="I1246" s="62"/>
      <c r="J1246" s="19"/>
    </row>
    <row r="1247">
      <c r="A1247" s="19" t="str">
        <f>IFERROR(__xludf.DUMMYFUNCTION("""COMPUTED_VALUE"""),"Jack Di Prima")</f>
        <v>Jack Di Prima</v>
      </c>
      <c r="B1247" s="19" t="str">
        <f>IFERROR(__xludf.DUMMYFUNCTION("""COMPUTED_VALUE"""),"QLD")</f>
        <v>QLD</v>
      </c>
      <c r="C1247" s="5" t="str">
        <f>IFERROR(__xludf.DUMMYFUNCTION("""COMPUTED_VALUE"""),"Bardon")</f>
        <v>Bardon</v>
      </c>
      <c r="D1247" s="5" t="str">
        <f>IFERROR(__xludf.DUMMYFUNCTION("""COMPUTED_VALUE"""),"67 Sixth Avenue Bardon QLD 4065")</f>
        <v>67 Sixth Avenue Bardon QLD 4065</v>
      </c>
      <c r="E1247" s="25">
        <f>IFERROR(__xludf.DUMMYFUNCTION("""COMPUTED_VALUE"""),45966.0)</f>
        <v>45966</v>
      </c>
      <c r="F1247" s="5">
        <f>IFERROR(__xludf.DUMMYFUNCTION("""COMPUTED_VALUE"""),8.0)</f>
        <v>8</v>
      </c>
      <c r="G1247" s="19" t="str">
        <f>IFERROR(__xludf.DUMMYFUNCTION("""COMPUTED_VALUE"""),"Instant Forms")</f>
        <v>Instant Forms</v>
      </c>
      <c r="H1247" s="19" t="str">
        <f>IFERROR(__xludf.DUMMYFUNCTION("""COMPUTED_VALUE"""),"Emma Bromell")</f>
        <v>Emma Bromell</v>
      </c>
      <c r="I1247" s="62">
        <f>IFERROR(__xludf.DUMMYFUNCTION("""COMPUTED_VALUE"""),6.1408624455E10)</f>
        <v>61408624455</v>
      </c>
      <c r="J1247" s="19" t="str">
        <f>IFERROR(__xludf.DUMMYFUNCTION("""COMPUTED_VALUE"""),"bromells@yahoo.com.au")</f>
        <v>bromells@yahoo.com.au</v>
      </c>
    </row>
    <row r="1248">
      <c r="A1248" s="19" t="str">
        <f>IFERROR(__xludf.DUMMYFUNCTION("""COMPUTED_VALUE"""),"Jack Di Prima")</f>
        <v>Jack Di Prima</v>
      </c>
      <c r="B1248" s="19" t="str">
        <f>IFERROR(__xludf.DUMMYFUNCTION("""COMPUTED_VALUE"""),"QLD")</f>
        <v>QLD</v>
      </c>
      <c r="C1248" s="5" t="str">
        <f>IFERROR(__xludf.DUMMYFUNCTION("""COMPUTED_VALUE"""),"Taringa")</f>
        <v>Taringa</v>
      </c>
      <c r="D1248" s="5" t="str">
        <f>IFERROR(__xludf.DUMMYFUNCTION("""COMPUTED_VALUE"""),"59 Hillsdon rd. Taringa")</f>
        <v>59 Hillsdon rd. Taringa</v>
      </c>
      <c r="E1248" s="27">
        <f>IFERROR(__xludf.DUMMYFUNCTION("""COMPUTED_VALUE"""),45819.0)</f>
        <v>45819</v>
      </c>
      <c r="F1248" s="5" t="str">
        <f>IFERROR(__xludf.DUMMYFUNCTION("""COMPUTED_VALUE"""),"Featured")</f>
        <v>Featured</v>
      </c>
      <c r="G1248" s="19" t="str">
        <f>IFERROR(__xludf.DUMMYFUNCTION("""COMPUTED_VALUE"""),"Commission Comparison")</f>
        <v>Commission Comparison</v>
      </c>
      <c r="H1248" s="19" t="str">
        <f>IFERROR(__xludf.DUMMYFUNCTION("""COMPUTED_VALUE"""),"Richard m Kennedy")</f>
        <v>Richard m Kennedy</v>
      </c>
      <c r="I1248" s="62">
        <f>IFERROR(__xludf.DUMMYFUNCTION("""COMPUTED_VALUE"""),6.142337424E10)</f>
        <v>61423374240</v>
      </c>
      <c r="J1248" s="19" t="str">
        <f>IFERROR(__xludf.DUMMYFUNCTION("""COMPUTED_VALUE"""),"richard@rkarchitects.com.au")</f>
        <v>richard@rkarchitects.com.au</v>
      </c>
    </row>
    <row r="1249">
      <c r="A1249" s="19" t="str">
        <f>IFERROR(__xludf.DUMMYFUNCTION("""COMPUTED_VALUE"""),"Jack Di Prima")</f>
        <v>Jack Di Prima</v>
      </c>
      <c r="B1249" s="19" t="str">
        <f>IFERROR(__xludf.DUMMYFUNCTION("""COMPUTED_VALUE"""),"QLD")</f>
        <v>QLD</v>
      </c>
      <c r="C1249" s="5" t="str">
        <f>IFERROR(__xludf.DUMMYFUNCTION("""COMPUTED_VALUE"""),"Toowong")</f>
        <v>Toowong</v>
      </c>
      <c r="D1249" s="5" t="str">
        <f>IFERROR(__xludf.DUMMYFUNCTION("""COMPUTED_VALUE"""),"43 D terrace st toowong, toowong, 4066")</f>
        <v>43 D terrace st toowong, toowong, 4066</v>
      </c>
      <c r="E1249" s="27">
        <f>IFERROR(__xludf.DUMMYFUNCTION("""COMPUTED_VALUE"""),45819.0)</f>
        <v>45819</v>
      </c>
      <c r="F1249" s="5" t="str">
        <f>IFERROR(__xludf.DUMMYFUNCTION("""COMPUTED_VALUE"""),"Featured")</f>
        <v>Featured</v>
      </c>
      <c r="G1249" s="19" t="str">
        <f>IFERROR(__xludf.DUMMYFUNCTION("""COMPUTED_VALUE"""),"Meta Commission Report")</f>
        <v>Meta Commission Report</v>
      </c>
      <c r="H1249" s="19" t="str">
        <f>IFERROR(__xludf.DUMMYFUNCTION("""COMPUTED_VALUE"""),"Stephen Harris")</f>
        <v>Stephen Harris</v>
      </c>
      <c r="I1249" s="62">
        <f>IFERROR(__xludf.DUMMYFUNCTION("""COMPUTED_VALUE"""),6.1438812607E10)</f>
        <v>61438812607</v>
      </c>
      <c r="J1249" s="19" t="str">
        <f>IFERROR(__xludf.DUMMYFUNCTION("""COMPUTED_VALUE"""),"stephenharris@valuestreams.com.au")</f>
        <v>stephenharris@valuestreams.com.au</v>
      </c>
    </row>
    <row r="1250">
      <c r="A1250" s="19" t="str">
        <f>IFERROR(__xludf.DUMMYFUNCTION("""COMPUTED_VALUE"""),"Jack Di Prima")</f>
        <v>Jack Di Prima</v>
      </c>
      <c r="B1250" s="19" t="str">
        <f>IFERROR(__xludf.DUMMYFUNCTION("""COMPUTED_VALUE"""),"QLD")</f>
        <v>QLD</v>
      </c>
      <c r="C1250" s="5" t="str">
        <f>IFERROR(__xludf.DUMMYFUNCTION("""COMPUTED_VALUE"""),"Chapel Hill")</f>
        <v>Chapel Hill</v>
      </c>
      <c r="D1250" s="5" t="str">
        <f>IFERROR(__xludf.DUMMYFUNCTION("""COMPUTED_VALUE"""),"11 Treetop Close Chapel Hill QLD 4069")</f>
        <v>11 Treetop Close Chapel Hill QLD 4069</v>
      </c>
      <c r="E1250" s="25">
        <f>IFERROR(__xludf.DUMMYFUNCTION("""COMPUTED_VALUE"""),45970.0)</f>
        <v>45970</v>
      </c>
      <c r="F1250" s="5">
        <f>IFERROR(__xludf.DUMMYFUNCTION("""COMPUTED_VALUE"""),8.0)</f>
        <v>8</v>
      </c>
      <c r="G1250" s="19" t="str">
        <f>IFERROR(__xludf.DUMMYFUNCTION("""COMPUTED_VALUE"""),"Instant Forms")</f>
        <v>Instant Forms</v>
      </c>
      <c r="H1250" s="19" t="str">
        <f>IFERROR(__xludf.DUMMYFUNCTION("""COMPUTED_VALUE"""),"Donna Bibo")</f>
        <v>Donna Bibo</v>
      </c>
      <c r="I1250" s="62">
        <f>IFERROR(__xludf.DUMMYFUNCTION("""COMPUTED_VALUE"""),6.1419678535E10)</f>
        <v>61419678535</v>
      </c>
      <c r="J1250" s="19" t="str">
        <f>IFERROR(__xludf.DUMMYFUNCTION("""COMPUTED_VALUE"""),"dondons0491@gmail.com")</f>
        <v>dondons0491@gmail.com</v>
      </c>
    </row>
    <row r="1251">
      <c r="A1251" s="19" t="str">
        <f>IFERROR(__xludf.DUMMYFUNCTION("""COMPUTED_VALUE"""),"Jack Di Prima")</f>
        <v>Jack Di Prima</v>
      </c>
      <c r="B1251" s="19" t="str">
        <f>IFERROR(__xludf.DUMMYFUNCTION("""COMPUTED_VALUE"""),"QLD")</f>
        <v>QLD</v>
      </c>
      <c r="C1251" s="5" t="str">
        <f>IFERROR(__xludf.DUMMYFUNCTION("""COMPUTED_VALUE"""),"Bardon")</f>
        <v>Bardon</v>
      </c>
      <c r="D1251" s="5" t="str">
        <f>IFERROR(__xludf.DUMMYFUNCTION("""COMPUTED_VALUE"""),"63 Empress Terrace, Bardon, QLD, 4065, Australia")</f>
        <v>63 Empress Terrace, Bardon, QLD, 4065, Australia</v>
      </c>
      <c r="E1251" s="27">
        <f>IFERROR(__xludf.DUMMYFUNCTION("""COMPUTED_VALUE"""),45911.0)</f>
        <v>45911</v>
      </c>
      <c r="F1251" s="5" t="str">
        <f>IFERROR(__xludf.DUMMYFUNCTION("""COMPUTED_VALUE"""),"Featured")</f>
        <v>Featured</v>
      </c>
      <c r="G1251" s="19" t="str">
        <f>IFERROR(__xludf.DUMMYFUNCTION("""COMPUTED_VALUE"""),"Commission Comparison")</f>
        <v>Commission Comparison</v>
      </c>
      <c r="H1251" s="19" t="str">
        <f>IFERROR(__xludf.DUMMYFUNCTION("""COMPUTED_VALUE"""),"Nadine  Gowen")</f>
        <v>Nadine  Gowen</v>
      </c>
      <c r="I1251" s="62">
        <f>IFERROR(__xludf.DUMMYFUNCTION("""COMPUTED_VALUE"""),6.10424675532E11)</f>
        <v>610424675532</v>
      </c>
      <c r="J1251" s="19" t="str">
        <f>IFERROR(__xludf.DUMMYFUNCTION("""COMPUTED_VALUE"""),"nadinegowen@gmail.com")</f>
        <v>nadinegowen@gmail.com</v>
      </c>
    </row>
    <row r="1252">
      <c r="A1252" s="19" t="str">
        <f>IFERROR(__xludf.DUMMYFUNCTION("""COMPUTED_VALUE"""),"Jack Di Prima")</f>
        <v>Jack Di Prima</v>
      </c>
      <c r="B1252" s="19" t="str">
        <f>IFERROR(__xludf.DUMMYFUNCTION("""COMPUTED_VALUE"""),"QLD")</f>
        <v>QLD</v>
      </c>
      <c r="C1252" s="5" t="str">
        <f>IFERROR(__xludf.DUMMYFUNCTION("""COMPUTED_VALUE"""),"Bardon")</f>
        <v>Bardon</v>
      </c>
      <c r="D1252" s="5" t="str">
        <f>IFERROR(__xludf.DUMMYFUNCTION("""COMPUTED_VALUE"""),"63 Empress Terrace, Bardon, 4065")</f>
        <v>63 Empress Terrace, Bardon, 4065</v>
      </c>
      <c r="E1252" s="27">
        <f>IFERROR(__xludf.DUMMYFUNCTION("""COMPUTED_VALUE"""),45911.0)</f>
        <v>45911</v>
      </c>
      <c r="F1252" s="5" t="str">
        <f>IFERROR(__xludf.DUMMYFUNCTION("""COMPUTED_VALUE"""),"Featured")</f>
        <v>Featured</v>
      </c>
      <c r="G1252" s="19" t="str">
        <f>IFERROR(__xludf.DUMMYFUNCTION("""COMPUTED_VALUE"""),"Meta Commission Report")</f>
        <v>Meta Commission Report</v>
      </c>
      <c r="H1252" s="19" t="str">
        <f>IFERROR(__xludf.DUMMYFUNCTION("""COMPUTED_VALUE"""),"Nadine Gowen")</f>
        <v>Nadine Gowen</v>
      </c>
      <c r="I1252" s="62">
        <f>IFERROR(__xludf.DUMMYFUNCTION("""COMPUTED_VALUE"""),6.10424675532E11)</f>
        <v>610424675532</v>
      </c>
      <c r="J1252" s="19" t="str">
        <f>IFERROR(__xludf.DUMMYFUNCTION("""COMPUTED_VALUE"""),"nadinegowen@gmail.com")</f>
        <v>nadinegowen@gmail.com</v>
      </c>
    </row>
    <row r="1253">
      <c r="A1253" s="19" t="str">
        <f>IFERROR(__xludf.DUMMYFUNCTION("""COMPUTED_VALUE"""),"Jack Di Prima")</f>
        <v>Jack Di Prima</v>
      </c>
      <c r="B1253" s="19" t="str">
        <f>IFERROR(__xludf.DUMMYFUNCTION("""COMPUTED_VALUE"""),"QLD")</f>
        <v>QLD</v>
      </c>
      <c r="C1253" s="5" t="str">
        <f>IFERROR(__xludf.DUMMYFUNCTION("""COMPUTED_VALUE"""),"Oxley")</f>
        <v>Oxley</v>
      </c>
      <c r="D1253" s="5" t="str">
        <f>IFERROR(__xludf.DUMMYFUNCTION("""COMPUTED_VALUE"""),"3 Finnegan Circuit Oxley QLD 4075")</f>
        <v>3 Finnegan Circuit Oxley QLD 4075</v>
      </c>
      <c r="E1253" s="25">
        <f>IFERROR(__xludf.DUMMYFUNCTION("""COMPUTED_VALUE"""),45978.0)</f>
        <v>45978</v>
      </c>
      <c r="F1253" s="5">
        <f>IFERROR(__xludf.DUMMYFUNCTION("""COMPUTED_VALUE"""),8.0)</f>
        <v>8</v>
      </c>
      <c r="G1253" s="19" t="str">
        <f>IFERROR(__xludf.DUMMYFUNCTION("""COMPUTED_VALUE"""),"Instant Forms")</f>
        <v>Instant Forms</v>
      </c>
      <c r="H1253" s="19" t="str">
        <f>IFERROR(__xludf.DUMMYFUNCTION("""COMPUTED_VALUE"""),"Margot Ashburner")</f>
        <v>Margot Ashburner</v>
      </c>
      <c r="I1253" s="62">
        <f>IFERROR(__xludf.DUMMYFUNCTION("""COMPUTED_VALUE"""),6.1422549065E10)</f>
        <v>61422549065</v>
      </c>
      <c r="J1253" s="19" t="str">
        <f>IFERROR(__xludf.DUMMYFUNCTION("""COMPUTED_VALUE"""),"mkashburner@gmail.com")</f>
        <v>mkashburner@gmail.com</v>
      </c>
    </row>
    <row r="1254">
      <c r="A1254" s="19" t="str">
        <f>IFERROR(__xludf.DUMMYFUNCTION("""COMPUTED_VALUE"""),"Jack Di Prima")</f>
        <v>Jack Di Prima</v>
      </c>
      <c r="B1254" s="19" t="str">
        <f>IFERROR(__xludf.DUMMYFUNCTION("""COMPUTED_VALUE"""),"QLD")</f>
        <v>QLD</v>
      </c>
      <c r="C1254" s="5" t="str">
        <f>IFERROR(__xludf.DUMMYFUNCTION("""COMPUTED_VALUE"""),"Paddington")</f>
        <v>Paddington</v>
      </c>
      <c r="D1254" s="5" t="str">
        <f>IFERROR(__xludf.DUMMYFUNCTION("""COMPUTED_VALUE"""),"23 Morris Street Paddington QLD 4064")</f>
        <v>23 Morris Street Paddington QLD 4064</v>
      </c>
      <c r="E1254" s="5" t="str">
        <f>IFERROR(__xludf.DUMMYFUNCTION("""COMPUTED_VALUE"""),"23/11/2025")</f>
        <v>23/11/2025</v>
      </c>
      <c r="F1254" s="5">
        <f>IFERROR(__xludf.DUMMYFUNCTION("""COMPUTED_VALUE"""),8.0)</f>
        <v>8</v>
      </c>
      <c r="G1254" s="19" t="str">
        <f>IFERROR(__xludf.DUMMYFUNCTION("""COMPUTED_VALUE"""),"Instant Forms")</f>
        <v>Instant Forms</v>
      </c>
      <c r="H1254" s="19" t="str">
        <f>IFERROR(__xludf.DUMMYFUNCTION("""COMPUTED_VALUE"""),"SloboDan Kocovski")</f>
        <v>SloboDan Kocovski</v>
      </c>
      <c r="I1254" s="62">
        <f>IFERROR(__xludf.DUMMYFUNCTION("""COMPUTED_VALUE"""),6.1431757835E10)</f>
        <v>61431757835</v>
      </c>
      <c r="J1254" s="19" t="str">
        <f>IFERROR(__xludf.DUMMYFUNCTION("""COMPUTED_VALUE"""),"dan@mortgageextra.com.au")</f>
        <v>dan@mortgageextra.com.au</v>
      </c>
    </row>
    <row r="1255">
      <c r="A1255" s="19" t="str">
        <f>IFERROR(__xludf.DUMMYFUNCTION("""COMPUTED_VALUE"""),"Jack Di Prima")</f>
        <v>Jack Di Prima</v>
      </c>
      <c r="B1255" s="19" t="str">
        <f>IFERROR(__xludf.DUMMYFUNCTION("""COMPUTED_VALUE"""),"QLD")</f>
        <v>QLD</v>
      </c>
      <c r="C1255" s="5" t="str">
        <f>IFERROR(__xludf.DUMMYFUNCTION("""COMPUTED_VALUE"""),"Ashgrove")</f>
        <v>Ashgrove</v>
      </c>
      <c r="D1255" s="5" t="str">
        <f>IFERROR(__xludf.DUMMYFUNCTION("""COMPUTED_VALUE"""),"2/35 Greenmont Close Ashgrove QLD 4060")</f>
        <v>2/35 Greenmont Close Ashgrove QLD 4060</v>
      </c>
      <c r="E1255" s="5" t="str">
        <f>IFERROR(__xludf.DUMMYFUNCTION("""COMPUTED_VALUE"""),"23/11/2025")</f>
        <v>23/11/2025</v>
      </c>
      <c r="F1255" s="5">
        <f>IFERROR(__xludf.DUMMYFUNCTION("""COMPUTED_VALUE"""),8.0)</f>
        <v>8</v>
      </c>
      <c r="G1255" s="19" t="str">
        <f>IFERROR(__xludf.DUMMYFUNCTION("""COMPUTED_VALUE"""),"Instant Forms")</f>
        <v>Instant Forms</v>
      </c>
      <c r="H1255" s="19" t="str">
        <f>IFERROR(__xludf.DUMMYFUNCTION("""COMPUTED_VALUE"""),"Bettina Palmer")</f>
        <v>Bettina Palmer</v>
      </c>
      <c r="I1255" s="62">
        <f>IFERROR(__xludf.DUMMYFUNCTION("""COMPUTED_VALUE"""),6.140540234E10)</f>
        <v>61405402340</v>
      </c>
      <c r="J1255" s="19" t="str">
        <f>IFERROR(__xludf.DUMMYFUNCTION("""COMPUTED_VALUE"""),"bettina.palmer235@gmail.com")</f>
        <v>bettina.palmer235@gmail.com</v>
      </c>
    </row>
    <row r="1256">
      <c r="A1256" s="19" t="str">
        <f>IFERROR(__xludf.DUMMYFUNCTION("""COMPUTED_VALUE"""),"Jack Di Prima")</f>
        <v>Jack Di Prima</v>
      </c>
      <c r="B1256" s="19" t="str">
        <f>IFERROR(__xludf.DUMMYFUNCTION("""COMPUTED_VALUE"""),"QLD")</f>
        <v>QLD</v>
      </c>
      <c r="C1256" s="5" t="str">
        <f>IFERROR(__xludf.DUMMYFUNCTION("""COMPUTED_VALUE"""),"Corinda")</f>
        <v>Corinda</v>
      </c>
      <c r="D1256" s="5" t="str">
        <f>IFERROR(__xludf.DUMMYFUNCTION("""COMPUTED_VALUE"""),"36A Richmond St Corinda")</f>
        <v>36A Richmond St Corinda</v>
      </c>
      <c r="E1256" s="5" t="str">
        <f>IFERROR(__xludf.DUMMYFUNCTION("""COMPUTED_VALUE"""),"27/11/2025")</f>
        <v>27/11/2025</v>
      </c>
      <c r="F1256" s="64">
        <f>IFERROR(__xludf.DUMMYFUNCTION("""COMPUTED_VALUE"""),0.2)</f>
        <v>0.2</v>
      </c>
      <c r="G1256" s="19" t="str">
        <f>IFERROR(__xludf.DUMMYFUNCTION("""COMPUTED_VALUE"""),"Commission Comparison")</f>
        <v>Commission Comparison</v>
      </c>
      <c r="H1256" s="19" t="str">
        <f>IFERROR(__xludf.DUMMYFUNCTION("""COMPUTED_VALUE"""),"Cathy Guymer")</f>
        <v>Cathy Guymer</v>
      </c>
      <c r="I1256" s="62">
        <f>IFERROR(__xludf.DUMMYFUNCTION("""COMPUTED_VALUE"""),6.141154816E10)</f>
        <v>61411548160</v>
      </c>
      <c r="J1256" s="19" t="str">
        <f>IFERROR(__xludf.DUMMYFUNCTION("""COMPUTED_VALUE"""),"c_guymer@bigpond.com")</f>
        <v>c_guymer@bigpond.com</v>
      </c>
    </row>
    <row r="1257">
      <c r="A1257" s="19" t="str">
        <f>IFERROR(__xludf.DUMMYFUNCTION("""COMPUTED_VALUE"""),"Jack Di Prima")</f>
        <v>Jack Di Prima</v>
      </c>
      <c r="B1257" s="19" t="str">
        <f>IFERROR(__xludf.DUMMYFUNCTION("""COMPUTED_VALUE"""),"QLD")</f>
        <v>QLD</v>
      </c>
      <c r="C1257" s="5" t="str">
        <f>IFERROR(__xludf.DUMMYFUNCTION("""COMPUTED_VALUE"""),"Kelvin Grove")</f>
        <v>Kelvin Grove</v>
      </c>
      <c r="D1257" s="5" t="str">
        <f>IFERROR(__xludf.DUMMYFUNCTION("""COMPUTED_VALUE"""),"53 Vale Street Kelvin Grove QLD 4059")</f>
        <v>53 Vale Street Kelvin Grove QLD 4059</v>
      </c>
      <c r="E1257" s="27">
        <f>IFERROR(__xludf.DUMMYFUNCTION("""COMPUTED_VALUE"""),45700.0)</f>
        <v>45700</v>
      </c>
      <c r="F1257" s="64">
        <f>IFERROR(__xludf.DUMMYFUNCTION("""COMPUTED_VALUE"""),0.2)</f>
        <v>0.2</v>
      </c>
      <c r="G1257" s="19" t="str">
        <f>IFERROR(__xludf.DUMMYFUNCTION("""COMPUTED_VALUE"""),"Instant Forms")</f>
        <v>Instant Forms</v>
      </c>
      <c r="H1257" s="19" t="str">
        <f>IFERROR(__xludf.DUMMYFUNCTION("""COMPUTED_VALUE"""),"Paul Baxter")</f>
        <v>Paul Baxter</v>
      </c>
      <c r="I1257" s="62">
        <f>IFERROR(__xludf.DUMMYFUNCTION("""COMPUTED_VALUE"""),6.1417842522E10)</f>
        <v>61417842522</v>
      </c>
      <c r="J1257" s="19" t="str">
        <f>IFERROR(__xludf.DUMMYFUNCTION("""COMPUTED_VALUE"""),"baxterpj@bigpond.com")</f>
        <v>baxterpj@bigpond.com</v>
      </c>
    </row>
    <row r="1258">
      <c r="A1258" s="19" t="str">
        <f>IFERROR(__xludf.DUMMYFUNCTION("""COMPUTED_VALUE"""),"Jack Di Prima")</f>
        <v>Jack Di Prima</v>
      </c>
      <c r="B1258" s="19" t="str">
        <f>IFERROR(__xludf.DUMMYFUNCTION("""COMPUTED_VALUE"""),"QLD")</f>
        <v>QLD</v>
      </c>
      <c r="C1258" s="5" t="str">
        <f>IFERROR(__xludf.DUMMYFUNCTION("""COMPUTED_VALUE"""),"Auchenflower")</f>
        <v>Auchenflower</v>
      </c>
      <c r="D1258" s="5" t="str">
        <f>IFERROR(__xludf.DUMMYFUNCTION("""COMPUTED_VALUE"""),"48 Agnes St")</f>
        <v>48 Agnes St</v>
      </c>
      <c r="E1258" s="27">
        <f>IFERROR(__xludf.DUMMYFUNCTION("""COMPUTED_VALUE"""),45789.0)</f>
        <v>45789</v>
      </c>
      <c r="F1258" s="64">
        <f>IFERROR(__xludf.DUMMYFUNCTION("""COMPUTED_VALUE"""),0.2)</f>
        <v>0.2</v>
      </c>
      <c r="G1258" s="19" t="str">
        <f>IFERROR(__xludf.DUMMYFUNCTION("""COMPUTED_VALUE"""),"Commission Comparison")</f>
        <v>Commission Comparison</v>
      </c>
      <c r="H1258" s="19" t="str">
        <f>IFERROR(__xludf.DUMMYFUNCTION("""COMPUTED_VALUE"""),"Paul Herd")</f>
        <v>Paul Herd</v>
      </c>
      <c r="I1258" s="62">
        <f>IFERROR(__xludf.DUMMYFUNCTION("""COMPUTED_VALUE"""),6.1468407966E10)</f>
        <v>61468407966</v>
      </c>
      <c r="J1258" s="19" t="str">
        <f>IFERROR(__xludf.DUMMYFUNCTION("""COMPUTED_VALUE"""),"paulherd48@gmail.com")</f>
        <v>paulherd48@gmail.com</v>
      </c>
    </row>
    <row r="1259">
      <c r="A1259" s="19" t="str">
        <f>IFERROR(__xludf.DUMMYFUNCTION("""COMPUTED_VALUE"""),"Jack Di Prima")</f>
        <v>Jack Di Prima</v>
      </c>
      <c r="B1259" s="19" t="str">
        <f>IFERROR(__xludf.DUMMYFUNCTION("""COMPUTED_VALUE"""),"QLD")</f>
        <v>QLD</v>
      </c>
      <c r="C1259" s="5" t="str">
        <f>IFERROR(__xludf.DUMMYFUNCTION("""COMPUTED_VALUE"""),"replace(replace(replace(trim(76 Kenmore Road Kenmore QLD 4069); /,/g; "" ""); /\s+/g; "" ""); /.\b(?:avenue|ave|boulevard|blvd|bvd|circuit|cct|close|cl|court|ct|crescent|cres|drive|dr|esplanade|esp|grove|gr|highway|hwy|lane|ln|laneway|lnwy|parade|pde|plac"&amp;"e|pl|promenade|prom|road|rd|row|ro|street|st|terrace|tce|way|wy)\b\s+(.+?)\s+(NSW|QLD|VIC|WA|SA|TAS|ACT|NT)\s+\d{4}\b.$/i; ""$1"")")</f>
        <v>replace(replace(replace(trim(76 Kenmore Road Kenmore QLD 4069);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259" s="5" t="str">
        <f>IFERROR(__xludf.DUMMYFUNCTION("""COMPUTED_VALUE"""),"76 Kenmore Road Kenmore QLD 4069")</f>
        <v>76 Kenmore Road Kenmore QLD 4069</v>
      </c>
      <c r="E1259" s="27">
        <f>IFERROR(__xludf.DUMMYFUNCTION("""COMPUTED_VALUE"""),45789.0)</f>
        <v>45789</v>
      </c>
      <c r="F1259" s="64">
        <f>IFERROR(__xludf.DUMMYFUNCTION("""COMPUTED_VALUE"""),0.2)</f>
        <v>0.2</v>
      </c>
      <c r="G1259" s="19" t="str">
        <f>IFERROR(__xludf.DUMMYFUNCTION("""COMPUTED_VALUE"""),"Instant Forms")</f>
        <v>Instant Forms</v>
      </c>
      <c r="H1259" s="19" t="str">
        <f>IFERROR(__xludf.DUMMYFUNCTION("""COMPUTED_VALUE"""),"Rebecca Reuter")</f>
        <v>Rebecca Reuter</v>
      </c>
      <c r="I1259" s="62">
        <f>IFERROR(__xludf.DUMMYFUNCTION("""COMPUTED_VALUE"""),6.1418773166E10)</f>
        <v>61418773166</v>
      </c>
      <c r="J1259" s="19" t="str">
        <f>IFERROR(__xludf.DUMMYFUNCTION("""COMPUTED_VALUE"""),"Reuter55@hotmail.com")</f>
        <v>Reuter55@hotmail.com</v>
      </c>
    </row>
    <row r="1260">
      <c r="A1260" s="19" t="str">
        <f>IFERROR(__xludf.DUMMYFUNCTION("""COMPUTED_VALUE"""),"")</f>
        <v/>
      </c>
      <c r="B1260" s="19" t="str">
        <f>IFERROR(__xludf.DUMMYFUNCTION("""COMPUTED_VALUE"""),"")</f>
        <v/>
      </c>
      <c r="C1260" s="5" t="str">
        <f>IFERROR(__xludf.DUMMYFUNCTION("""COMPUTED_VALUE"""),"")</f>
        <v/>
      </c>
      <c r="D1260" s="5" t="str">
        <f>IFERROR(__xludf.DUMMYFUNCTION("""COMPUTED_VALUE"""),"")</f>
        <v/>
      </c>
      <c r="E1260" s="5" t="str">
        <f>IFERROR(__xludf.DUMMYFUNCTION("""COMPUTED_VALUE"""),"")</f>
        <v/>
      </c>
      <c r="F1260" s="5" t="str">
        <f>IFERROR(__xludf.DUMMYFUNCTION("""COMPUTED_VALUE"""),"")</f>
        <v/>
      </c>
      <c r="G1260" s="19" t="str">
        <f>IFERROR(__xludf.DUMMYFUNCTION("""COMPUTED_VALUE"""),"")</f>
        <v/>
      </c>
      <c r="H1260" s="19" t="str">
        <f>IFERROR(__xludf.DUMMYFUNCTION("""COMPUTED_VALUE"""),"")</f>
        <v/>
      </c>
      <c r="I1260" s="62" t="str">
        <f>IFERROR(__xludf.DUMMYFUNCTION("""COMPUTED_VALUE"""),"")</f>
        <v/>
      </c>
      <c r="J1260" s="19" t="str">
        <f>IFERROR(__xludf.DUMMYFUNCTION("""COMPUTED_VALUE"""),"")</f>
        <v/>
      </c>
    </row>
    <row r="1261">
      <c r="A1261" s="19" t="str">
        <f>IFERROR(__xludf.DUMMYFUNCTION("""COMPUTED_VALUE"""),"")</f>
        <v/>
      </c>
      <c r="B1261" s="19" t="str">
        <f>IFERROR(__xludf.DUMMYFUNCTION("""COMPUTED_VALUE"""),"")</f>
        <v/>
      </c>
      <c r="C1261" s="5" t="str">
        <f>IFERROR(__xludf.DUMMYFUNCTION("""COMPUTED_VALUE"""),"")</f>
        <v/>
      </c>
      <c r="D1261" s="5" t="str">
        <f>IFERROR(__xludf.DUMMYFUNCTION("""COMPUTED_VALUE"""),"")</f>
        <v/>
      </c>
      <c r="E1261" s="5" t="str">
        <f>IFERROR(__xludf.DUMMYFUNCTION("""COMPUTED_VALUE"""),"")</f>
        <v/>
      </c>
      <c r="F1261" s="5" t="str">
        <f>IFERROR(__xludf.DUMMYFUNCTION("""COMPUTED_VALUE"""),"")</f>
        <v/>
      </c>
      <c r="G1261" s="19" t="str">
        <f>IFERROR(__xludf.DUMMYFUNCTION("""COMPUTED_VALUE"""),"")</f>
        <v/>
      </c>
      <c r="H1261" s="19" t="str">
        <f>IFERROR(__xludf.DUMMYFUNCTION("""COMPUTED_VALUE"""),"")</f>
        <v/>
      </c>
      <c r="I1261" s="62" t="str">
        <f>IFERROR(__xludf.DUMMYFUNCTION("""COMPUTED_VALUE"""),"")</f>
        <v/>
      </c>
      <c r="J1261" s="19" t="str">
        <f>IFERROR(__xludf.DUMMYFUNCTION("""COMPUTED_VALUE"""),"")</f>
        <v/>
      </c>
    </row>
    <row r="1262">
      <c r="A1262" s="19" t="str">
        <f>IFERROR(__xludf.DUMMYFUNCTION("""COMPUTED_VALUE"""),"Jackson Rees")</f>
        <v>Jackson Rees</v>
      </c>
      <c r="B1262" s="19" t="str">
        <f>IFERROR(__xludf.DUMMYFUNCTION("""COMPUTED_VALUE"""),"QLD")</f>
        <v>QLD</v>
      </c>
      <c r="C1262" s="5" t="str">
        <f>IFERROR(__xludf.DUMMYFUNCTION("""COMPUTED_VALUE"""),"Allenstown")</f>
        <v>Allenstown</v>
      </c>
      <c r="D1262" s="5" t="str">
        <f>IFERROR(__xludf.DUMMYFUNCTION("""COMPUTED_VALUE"""),"12 Victor Street Allenstown QLD 4700")</f>
        <v>12 Victor Street Allenstown QLD 4700</v>
      </c>
      <c r="E1262" s="25">
        <f>IFERROR(__xludf.DUMMYFUNCTION("""COMPUTED_VALUE"""),45908.0)</f>
        <v>45908</v>
      </c>
      <c r="F1262" s="5" t="str">
        <f>IFERROR(__xludf.DUMMYFUNCTION("""COMPUTED_VALUE"""),"Featured")</f>
        <v>Featured</v>
      </c>
      <c r="G1262" s="19" t="str">
        <f>IFERROR(__xludf.DUMMYFUNCTION("""COMPUTED_VALUE"""),"Instant Forms")</f>
        <v>Instant Forms</v>
      </c>
      <c r="H1262" s="19"/>
      <c r="I1262" s="62"/>
      <c r="J1262" s="19"/>
    </row>
    <row r="1263">
      <c r="A1263" s="19" t="str">
        <f>IFERROR(__xludf.DUMMYFUNCTION("""COMPUTED_VALUE"""),"Jackson Rees")</f>
        <v>Jackson Rees</v>
      </c>
      <c r="B1263" s="19" t="str">
        <f>IFERROR(__xludf.DUMMYFUNCTION("""COMPUTED_VALUE"""),"QLD")</f>
        <v>QLD</v>
      </c>
      <c r="C1263" s="5" t="str">
        <f>IFERROR(__xludf.DUMMYFUNCTION("""COMPUTED_VALUE"""),"Gracemere")</f>
        <v>Gracemere</v>
      </c>
      <c r="D1263" s="5" t="str">
        <f>IFERROR(__xludf.DUMMYFUNCTION("""COMPUTED_VALUE"""),"23 Archer Road, Gracemere, QLD, 4702, Australia")</f>
        <v>23 Archer Road, Gracemere, QLD, 4702, Australia</v>
      </c>
      <c r="E1263" s="25">
        <f>IFERROR(__xludf.DUMMYFUNCTION("""COMPUTED_VALUE"""),45909.0)</f>
        <v>45909</v>
      </c>
      <c r="F1263" s="5" t="str">
        <f>IFERROR(__xludf.DUMMYFUNCTION("""COMPUTED_VALUE"""),"Featured")</f>
        <v>Featured</v>
      </c>
      <c r="G1263" s="19" t="str">
        <f>IFERROR(__xludf.DUMMYFUNCTION("""COMPUTED_VALUE"""),"Commission Comparison")</f>
        <v>Commission Comparison</v>
      </c>
      <c r="H1263" s="19"/>
      <c r="I1263" s="62"/>
      <c r="J1263" s="19"/>
    </row>
    <row r="1264">
      <c r="A1264" s="19" t="str">
        <f>IFERROR(__xludf.DUMMYFUNCTION("""COMPUTED_VALUE"""),"Jackson Rees")</f>
        <v>Jackson Rees</v>
      </c>
      <c r="B1264" s="19" t="str">
        <f>IFERROR(__xludf.DUMMYFUNCTION("""COMPUTED_VALUE"""),"QLD")</f>
        <v>QLD</v>
      </c>
      <c r="C1264" s="5" t="str">
        <f>IFERROR(__xludf.DUMMYFUNCTION("""COMPUTED_VALUE"""),"Frenchville")</f>
        <v>Frenchville</v>
      </c>
      <c r="D1264" s="5" t="str">
        <f>IFERROR(__xludf.DUMMYFUNCTION("""COMPUTED_VALUE"""),"17 Beaumont Drive Frenchville QLD 4701")</f>
        <v>17 Beaumont Drive Frenchville QLD 4701</v>
      </c>
      <c r="E1264" s="25">
        <f>IFERROR(__xludf.DUMMYFUNCTION("""COMPUTED_VALUE"""),45911.0)</f>
        <v>45911</v>
      </c>
      <c r="F1264" s="5">
        <f>IFERROR(__xludf.DUMMYFUNCTION("""COMPUTED_VALUE"""),8.0)</f>
        <v>8</v>
      </c>
      <c r="G1264" s="19" t="str">
        <f>IFERROR(__xludf.DUMMYFUNCTION("""COMPUTED_VALUE"""),"Instant Forms")</f>
        <v>Instant Forms</v>
      </c>
      <c r="H1264" s="19" t="str">
        <f>IFERROR(__xludf.DUMMYFUNCTION("""COMPUTED_VALUE"""),"Hendrik M Sigle")</f>
        <v>Hendrik M Sigle</v>
      </c>
      <c r="I1264" s="62"/>
      <c r="J1264" s="19"/>
    </row>
    <row r="1265">
      <c r="A1265" s="19" t="str">
        <f>IFERROR(__xludf.DUMMYFUNCTION("""COMPUTED_VALUE"""),"Jackson Rees")</f>
        <v>Jackson Rees</v>
      </c>
      <c r="B1265" s="19" t="str">
        <f>IFERROR(__xludf.DUMMYFUNCTION("""COMPUTED_VALUE"""),"QLD")</f>
        <v>QLD</v>
      </c>
      <c r="C1265" s="5" t="str">
        <f>IFERROR(__xludf.DUMMYFUNCTION("""COMPUTED_VALUE"""),"Yeppoon")</f>
        <v>Yeppoon</v>
      </c>
      <c r="D1265" s="5"/>
      <c r="E1265" s="25">
        <f>IFERROR(__xludf.DUMMYFUNCTION("""COMPUTED_VALUE"""),45911.0)</f>
        <v>45911</v>
      </c>
      <c r="F1265" s="5">
        <f>IFERROR(__xludf.DUMMYFUNCTION("""COMPUTED_VALUE"""),6.0)</f>
        <v>6</v>
      </c>
      <c r="G1265" s="19" t="str">
        <f>IFERROR(__xludf.DUMMYFUNCTION("""COMPUTED_VALUE"""),"Instant Forms")</f>
        <v>Instant Forms</v>
      </c>
      <c r="H1265" s="19" t="str">
        <f>IFERROR(__xludf.DUMMYFUNCTION("""COMPUTED_VALUE"""),"Rory O'Connor")</f>
        <v>Rory O'Connor</v>
      </c>
      <c r="I1265" s="62"/>
      <c r="J1265" s="19"/>
    </row>
    <row r="1266">
      <c r="A1266" s="19" t="str">
        <f>IFERROR(__xludf.DUMMYFUNCTION("""COMPUTED_VALUE"""),"Jackson Rees")</f>
        <v>Jackson Rees</v>
      </c>
      <c r="B1266" s="19" t="str">
        <f>IFERROR(__xludf.DUMMYFUNCTION("""COMPUTED_VALUE"""),"QLD")</f>
        <v>QLD</v>
      </c>
      <c r="C1266" s="5">
        <f>IFERROR(__xludf.DUMMYFUNCTION("""COMPUTED_VALUE"""),4701.0)</f>
        <v>4701</v>
      </c>
      <c r="D1266" s="5"/>
      <c r="E1266" s="25">
        <f>IFERROR(__xludf.DUMMYFUNCTION("""COMPUTED_VALUE"""),45916.0)</f>
        <v>45916</v>
      </c>
      <c r="F1266" s="5">
        <f>IFERROR(__xludf.DUMMYFUNCTION("""COMPUTED_VALUE"""),6.0)</f>
        <v>6</v>
      </c>
      <c r="G1266" s="19" t="str">
        <f>IFERROR(__xludf.DUMMYFUNCTION("""COMPUTED_VALUE"""),"Instant Forms")</f>
        <v>Instant Forms</v>
      </c>
      <c r="H1266" s="19" t="str">
        <f>IFERROR(__xludf.DUMMYFUNCTION("""COMPUTED_VALUE"""),"Rachel Matthews")</f>
        <v>Rachel Matthews</v>
      </c>
      <c r="I1266" s="62"/>
      <c r="J1266" s="19"/>
    </row>
    <row r="1267">
      <c r="A1267" s="19" t="str">
        <f>IFERROR(__xludf.DUMMYFUNCTION("""COMPUTED_VALUE"""),"Jackson Rees")</f>
        <v>Jackson Rees</v>
      </c>
      <c r="B1267" s="19" t="str">
        <f>IFERROR(__xludf.DUMMYFUNCTION("""COMPUTED_VALUE"""),"QLD")</f>
        <v>QLD</v>
      </c>
      <c r="C1267" s="5" t="str">
        <f>IFERROR(__xludf.DUMMYFUNCTION("""COMPUTED_VALUE"""),"Mount Morgan")</f>
        <v>Mount Morgan</v>
      </c>
      <c r="D1267" s="5" t="str">
        <f>IFERROR(__xludf.DUMMYFUNCTION("""COMPUTED_VALUE"""),"169 East Street Mount Morgan QLD 4714")</f>
        <v>169 East Street Mount Morgan QLD 4714</v>
      </c>
      <c r="E1267" s="25">
        <f>IFERROR(__xludf.DUMMYFUNCTION("""COMPUTED_VALUE"""),45920.0)</f>
        <v>45920</v>
      </c>
      <c r="F1267" s="5">
        <f>IFERROR(__xludf.DUMMYFUNCTION("""COMPUTED_VALUE"""),8.0)</f>
        <v>8</v>
      </c>
      <c r="G1267" s="19" t="str">
        <f>IFERROR(__xludf.DUMMYFUNCTION("""COMPUTED_VALUE"""),"Instant Forms")</f>
        <v>Instant Forms</v>
      </c>
      <c r="H1267" s="19" t="str">
        <f>IFERROR(__xludf.DUMMYFUNCTION("""COMPUTED_VALUE"""),"Christin Coralive")</f>
        <v>Christin Coralive</v>
      </c>
      <c r="I1267" s="62"/>
      <c r="J1267" s="19"/>
    </row>
    <row r="1268">
      <c r="A1268" s="19" t="str">
        <f>IFERROR(__xludf.DUMMYFUNCTION("""COMPUTED_VALUE"""),"Jackson Rees")</f>
        <v>Jackson Rees</v>
      </c>
      <c r="B1268" s="19" t="str">
        <f>IFERROR(__xludf.DUMMYFUNCTION("""COMPUTED_VALUE"""),"QLD")</f>
        <v>QLD</v>
      </c>
      <c r="C1268" s="5" t="str">
        <f>IFERROR(__xludf.DUMMYFUNCTION("""COMPUTED_VALUE"""),"Kawana")</f>
        <v>Kawana</v>
      </c>
      <c r="D1268" s="5" t="str">
        <f>IFERROR(__xludf.DUMMYFUNCTION("""COMPUTED_VALUE"""),"90 Carara Drive Kawana QLD 4701")</f>
        <v>90 Carara Drive Kawana QLD 4701</v>
      </c>
      <c r="E1268" s="25">
        <f>IFERROR(__xludf.DUMMYFUNCTION("""COMPUTED_VALUE"""),45921.0)</f>
        <v>45921</v>
      </c>
      <c r="F1268" s="5">
        <f>IFERROR(__xludf.DUMMYFUNCTION("""COMPUTED_VALUE"""),6.0)</f>
        <v>6</v>
      </c>
      <c r="G1268" s="19" t="str">
        <f>IFERROR(__xludf.DUMMYFUNCTION("""COMPUTED_VALUE"""),"Instant Forms")</f>
        <v>Instant Forms</v>
      </c>
      <c r="H1268" s="19" t="str">
        <f>IFERROR(__xludf.DUMMYFUNCTION("""COMPUTED_VALUE"""),"Gloria Cornick (Might be Alan Cornick's wife?)")</f>
        <v>Gloria Cornick (Might be Alan Cornick's wife?)</v>
      </c>
      <c r="I1268" s="62"/>
      <c r="J1268" s="19"/>
    </row>
    <row r="1269">
      <c r="A1269" s="19" t="str">
        <f>IFERROR(__xludf.DUMMYFUNCTION("""COMPUTED_VALUE"""),"Jackson Rees")</f>
        <v>Jackson Rees</v>
      </c>
      <c r="B1269" s="19" t="str">
        <f>IFERROR(__xludf.DUMMYFUNCTION("""COMPUTED_VALUE"""),"QLD")</f>
        <v>QLD</v>
      </c>
      <c r="C1269" s="5" t="str">
        <f>IFERROR(__xludf.DUMMYFUNCTION("""COMPUTED_VALUE"""),"Berserker")</f>
        <v>Berserker</v>
      </c>
      <c r="D1269" s="5"/>
      <c r="E1269" s="25">
        <f>IFERROR(__xludf.DUMMYFUNCTION("""COMPUTED_VALUE"""),45922.0)</f>
        <v>45922</v>
      </c>
      <c r="F1269" s="5">
        <f>IFERROR(__xludf.DUMMYFUNCTION("""COMPUTED_VALUE"""),6.0)</f>
        <v>6</v>
      </c>
      <c r="G1269" s="19" t="str">
        <f>IFERROR(__xludf.DUMMYFUNCTION("""COMPUTED_VALUE"""),"Instant Forms")</f>
        <v>Instant Forms</v>
      </c>
      <c r="H1269" s="19" t="str">
        <f>IFERROR(__xludf.DUMMYFUNCTION("""COMPUTED_VALUE"""),"Sue Goodwin")</f>
        <v>Sue Goodwin</v>
      </c>
      <c r="I1269" s="62"/>
      <c r="J1269" s="19"/>
    </row>
    <row r="1270">
      <c r="A1270" s="19" t="str">
        <f>IFERROR(__xludf.DUMMYFUNCTION("""COMPUTED_VALUE"""),"Jackson Rees")</f>
        <v>Jackson Rees</v>
      </c>
      <c r="B1270" s="19" t="str">
        <f>IFERROR(__xludf.DUMMYFUNCTION("""COMPUTED_VALUE"""),"QLD")</f>
        <v>QLD</v>
      </c>
      <c r="C1270" s="5" t="str">
        <f>IFERROR(__xludf.DUMMYFUNCTION("""COMPUTED_VALUE"""),"Frenchville")</f>
        <v>Frenchville</v>
      </c>
      <c r="D1270" s="5" t="str">
        <f>IFERROR(__xludf.DUMMYFUNCTION("""COMPUTED_VALUE"""),"26 Rogar Avenue Frenchville QLD 4701")</f>
        <v>26 Rogar Avenue Frenchville QLD 4701</v>
      </c>
      <c r="E1270" s="25">
        <f>IFERROR(__xludf.DUMMYFUNCTION("""COMPUTED_VALUE"""),45925.0)</f>
        <v>45925</v>
      </c>
      <c r="F1270" s="5">
        <f>IFERROR(__xludf.DUMMYFUNCTION("""COMPUTED_VALUE"""),8.0)</f>
        <v>8</v>
      </c>
      <c r="G1270" s="19" t="str">
        <f>IFERROR(__xludf.DUMMYFUNCTION("""COMPUTED_VALUE"""),"Instant Forms")</f>
        <v>Instant Forms</v>
      </c>
      <c r="H1270" s="19" t="str">
        <f>IFERROR(__xludf.DUMMYFUNCTION("""COMPUTED_VALUE"""),"Andrea Evans")</f>
        <v>Andrea Evans</v>
      </c>
      <c r="I1270" s="62"/>
      <c r="J1270" s="19"/>
    </row>
    <row r="1271">
      <c r="A1271" s="19" t="str">
        <f>IFERROR(__xludf.DUMMYFUNCTION("""COMPUTED_VALUE"""),"Jackson Rees")</f>
        <v>Jackson Rees</v>
      </c>
      <c r="B1271" s="19" t="str">
        <f>IFERROR(__xludf.DUMMYFUNCTION("""COMPUTED_VALUE"""),"QLD")</f>
        <v>QLD</v>
      </c>
      <c r="C1271" s="5" t="str">
        <f>IFERROR(__xludf.DUMMYFUNCTION("""COMPUTED_VALUE"""),"West Rockhampton")</f>
        <v>West Rockhampton</v>
      </c>
      <c r="D1271" s="5" t="str">
        <f>IFERROR(__xludf.DUMMYFUNCTION("""COMPUTED_VALUE"""),"14/12 Ann Street West Rockhampton QLD 4700")</f>
        <v>14/12 Ann Street West Rockhampton QLD 4700</v>
      </c>
      <c r="E1271" s="25">
        <f>IFERROR(__xludf.DUMMYFUNCTION("""COMPUTED_VALUE"""),45925.0)</f>
        <v>45925</v>
      </c>
      <c r="F1271" s="5">
        <f>IFERROR(__xludf.DUMMYFUNCTION("""COMPUTED_VALUE"""),8.0)</f>
        <v>8</v>
      </c>
      <c r="G1271" s="19" t="str">
        <f>IFERROR(__xludf.DUMMYFUNCTION("""COMPUTED_VALUE"""),"Instant Forms")</f>
        <v>Instant Forms</v>
      </c>
      <c r="H1271" s="19" t="str">
        <f>IFERROR(__xludf.DUMMYFUNCTION("""COMPUTED_VALUE"""),"Kristine Kay Matveyeff")</f>
        <v>Kristine Kay Matveyeff</v>
      </c>
      <c r="I1271" s="62"/>
      <c r="J1271" s="19"/>
    </row>
    <row r="1272">
      <c r="A1272" s="19" t="str">
        <f>IFERROR(__xludf.DUMMYFUNCTION("""COMPUTED_VALUE"""),"Jackson Rees")</f>
        <v>Jackson Rees</v>
      </c>
      <c r="B1272" s="19" t="str">
        <f>IFERROR(__xludf.DUMMYFUNCTION("""COMPUTED_VALUE"""),"QLD")</f>
        <v>QLD</v>
      </c>
      <c r="C1272" s="5" t="str">
        <f>IFERROR(__xludf.DUMMYFUNCTION("""COMPUTED_VALUE"""),"Morgan")</f>
        <v>Morgan</v>
      </c>
      <c r="D1272" s="5" t="str">
        <f>IFERROR(__xludf.DUMMYFUNCTION("""COMPUTED_VALUE"""),"40 James Street Mount Morgan QLD 4714")</f>
        <v>40 James Street Mount Morgan QLD 4714</v>
      </c>
      <c r="E1272" s="25">
        <f>IFERROR(__xludf.DUMMYFUNCTION("""COMPUTED_VALUE"""),45930.0)</f>
        <v>45930</v>
      </c>
      <c r="F1272" s="5">
        <f>IFERROR(__xludf.DUMMYFUNCTION("""COMPUTED_VALUE"""),8.0)</f>
        <v>8</v>
      </c>
      <c r="G1272" s="19" t="str">
        <f>IFERROR(__xludf.DUMMYFUNCTION("""COMPUTED_VALUE"""),"Instant Forms")</f>
        <v>Instant Forms</v>
      </c>
      <c r="H1272" s="19" t="str">
        <f>IFERROR(__xludf.DUMMYFUNCTION("""COMPUTED_VALUE"""),"catherine helen moyle")</f>
        <v>catherine helen moyle</v>
      </c>
      <c r="I1272" s="62"/>
      <c r="J1272" s="19"/>
    </row>
    <row r="1273">
      <c r="A1273" s="19" t="str">
        <f>IFERROR(__xludf.DUMMYFUNCTION("""COMPUTED_VALUE"""),"Jackson Rees")</f>
        <v>Jackson Rees</v>
      </c>
      <c r="B1273" s="19" t="str">
        <f>IFERROR(__xludf.DUMMYFUNCTION("""COMPUTED_VALUE"""),"QLD")</f>
        <v>QLD</v>
      </c>
      <c r="C1273" s="5" t="str">
        <f>IFERROR(__xludf.DUMMYFUNCTION("""COMPUTED_VALUE"""),"Yeppoon")</f>
        <v>Yeppoon</v>
      </c>
      <c r="D1273" s="5" t="str">
        <f>IFERROR(__xludf.DUMMYFUNCTION("""COMPUTED_VALUE"""),"26 Oxford Road Yeppoon QLD 4703")</f>
        <v>26 Oxford Road Yeppoon QLD 4703</v>
      </c>
      <c r="E1273" s="25">
        <f>IFERROR(__xludf.DUMMYFUNCTION("""COMPUTED_VALUE"""),45931.0)</f>
        <v>45931</v>
      </c>
      <c r="F1273" s="5">
        <f>IFERROR(__xludf.DUMMYFUNCTION("""COMPUTED_VALUE"""),8.0)</f>
        <v>8</v>
      </c>
      <c r="G1273" s="19" t="str">
        <f>IFERROR(__xludf.DUMMYFUNCTION("""COMPUTED_VALUE"""),"Instant Forms")</f>
        <v>Instant Forms</v>
      </c>
      <c r="H1273" s="19" t="str">
        <f>IFERROR(__xludf.DUMMYFUNCTION("""COMPUTED_VALUE"""),"Bobbie Winger")</f>
        <v>Bobbie Winger</v>
      </c>
      <c r="I1273" s="62"/>
      <c r="J1273" s="19"/>
    </row>
    <row r="1274">
      <c r="A1274" s="19" t="str">
        <f>IFERROR(__xludf.DUMMYFUNCTION("""COMPUTED_VALUE"""),"Jackson Rees")</f>
        <v>Jackson Rees</v>
      </c>
      <c r="B1274" s="19" t="str">
        <f>IFERROR(__xludf.DUMMYFUNCTION("""COMPUTED_VALUE"""),"QLD")</f>
        <v>QLD</v>
      </c>
      <c r="C1274" s="5" t="str">
        <f>IFERROR(__xludf.DUMMYFUNCTION("""COMPUTED_VALUE"""),"Taranganba")</f>
        <v>Taranganba</v>
      </c>
      <c r="D1274" s="5" t="str">
        <f>IFERROR(__xludf.DUMMYFUNCTION("""COMPUTED_VALUE"""),"47 Swordfish Ave")</f>
        <v>47 Swordfish Ave</v>
      </c>
      <c r="E1274" s="25">
        <f>IFERROR(__xludf.DUMMYFUNCTION("""COMPUTED_VALUE"""),45931.0)</f>
        <v>45931</v>
      </c>
      <c r="F1274" s="5" t="str">
        <f>IFERROR(__xludf.DUMMYFUNCTION("""COMPUTED_VALUE"""),"Featured")</f>
        <v>Featured</v>
      </c>
      <c r="G1274" s="19" t="str">
        <f>IFERROR(__xludf.DUMMYFUNCTION("""COMPUTED_VALUE"""),"Commission Comparison")</f>
        <v>Commission Comparison</v>
      </c>
      <c r="H1274" s="19"/>
      <c r="I1274" s="62"/>
      <c r="J1274" s="19"/>
    </row>
    <row r="1275">
      <c r="A1275" s="19" t="str">
        <f>IFERROR(__xludf.DUMMYFUNCTION("""COMPUTED_VALUE"""),"Jackson Rees")</f>
        <v>Jackson Rees</v>
      </c>
      <c r="B1275" s="19" t="str">
        <f>IFERROR(__xludf.DUMMYFUNCTION("""COMPUTED_VALUE"""),"QLD")</f>
        <v>QLD</v>
      </c>
      <c r="C1275" s="5" t="str">
        <f>IFERROR(__xludf.DUMMYFUNCTION("""COMPUTED_VALUE"""),"Cooee bay")</f>
        <v>Cooee bay</v>
      </c>
      <c r="D1275" s="5" t="str">
        <f>IFERROR(__xludf.DUMMYFUNCTION("""COMPUTED_VALUE"""),"2 Davidson Street Cooee Bay QLD 4703 &amp; 4/14-24 Elma Street Cooee Bay QLD 4703")</f>
        <v>2 Davidson Street Cooee Bay QLD 4703 &amp; 4/14-24 Elma Street Cooee Bay QLD 4703</v>
      </c>
      <c r="E1275" s="25">
        <f>IFERROR(__xludf.DUMMYFUNCTION("""COMPUTED_VALUE"""),45939.0)</f>
        <v>45939</v>
      </c>
      <c r="F1275" s="5">
        <f>IFERROR(__xludf.DUMMYFUNCTION("""COMPUTED_VALUE"""),6.0)</f>
        <v>6</v>
      </c>
      <c r="G1275" s="19" t="str">
        <f>IFERROR(__xludf.DUMMYFUNCTION("""COMPUTED_VALUE"""),"Instant Forms")</f>
        <v>Instant Forms</v>
      </c>
      <c r="H1275" s="19"/>
      <c r="I1275" s="62"/>
      <c r="J1275" s="19"/>
    </row>
    <row r="1276">
      <c r="A1276" s="19" t="str">
        <f>IFERROR(__xludf.DUMMYFUNCTION("""COMPUTED_VALUE"""),"Jackson Rees")</f>
        <v>Jackson Rees</v>
      </c>
      <c r="B1276" s="19" t="str">
        <f>IFERROR(__xludf.DUMMYFUNCTION("""COMPUTED_VALUE"""),"QLD")</f>
        <v>QLD</v>
      </c>
      <c r="C1276" s="5" t="str">
        <f>IFERROR(__xludf.DUMMYFUNCTION("""COMPUTED_VALUE"""),"berserker")</f>
        <v>berserker</v>
      </c>
      <c r="D1276" s="5" t="str">
        <f>IFERROR(__xludf.DUMMYFUNCTION("""COMPUTED_VALUE"""),"11 Higson St")</f>
        <v>11 Higson St</v>
      </c>
      <c r="E1276" s="25">
        <f>IFERROR(__xludf.DUMMYFUNCTION("""COMPUTED_VALUE"""),45950.0)</f>
        <v>45950</v>
      </c>
      <c r="F1276" s="5" t="str">
        <f>IFERROR(__xludf.DUMMYFUNCTION("""COMPUTED_VALUE"""),"Featured")</f>
        <v>Featured</v>
      </c>
      <c r="G1276" s="19" t="str">
        <f>IFERROR(__xludf.DUMMYFUNCTION("""COMPUTED_VALUE"""),"Commission Comparison")</f>
        <v>Commission Comparison</v>
      </c>
      <c r="H1276" s="19"/>
      <c r="I1276" s="62"/>
      <c r="J1276" s="19"/>
    </row>
    <row r="1277">
      <c r="A1277" s="19" t="str">
        <f>IFERROR(__xludf.DUMMYFUNCTION("""COMPUTED_VALUE"""),"Jackson Rees")</f>
        <v>Jackson Rees</v>
      </c>
      <c r="B1277" s="19" t="str">
        <f>IFERROR(__xludf.DUMMYFUNCTION("""COMPUTED_VALUE"""),"QLD")</f>
        <v>QLD</v>
      </c>
      <c r="C1277" s="5" t="str">
        <f>IFERROR(__xludf.DUMMYFUNCTION("""COMPUTED_VALUE"""),"Taranganba")</f>
        <v>Taranganba</v>
      </c>
      <c r="D1277" s="5" t="str">
        <f>IFERROR(__xludf.DUMMYFUNCTION("""COMPUTED_VALUE"""),"12 Bonito Close Taranganba QLD 4703")</f>
        <v>12 Bonito Close Taranganba QLD 4703</v>
      </c>
      <c r="E1277" s="25">
        <f>IFERROR(__xludf.DUMMYFUNCTION("""COMPUTED_VALUE"""),45962.0)</f>
        <v>45962</v>
      </c>
      <c r="F1277" s="5">
        <f>IFERROR(__xludf.DUMMYFUNCTION("""COMPUTED_VALUE"""),8.0)</f>
        <v>8</v>
      </c>
      <c r="G1277" s="19" t="str">
        <f>IFERROR(__xludf.DUMMYFUNCTION("""COMPUTED_VALUE"""),"Instant Forms")</f>
        <v>Instant Forms</v>
      </c>
      <c r="H1277" s="19"/>
      <c r="I1277" s="62"/>
      <c r="J1277" s="19"/>
    </row>
    <row r="1278">
      <c r="A1278" s="19" t="str">
        <f>IFERROR(__xludf.DUMMYFUNCTION("""COMPUTED_VALUE"""),"Jackson Rees")</f>
        <v>Jackson Rees</v>
      </c>
      <c r="B1278" s="19" t="str">
        <f>IFERROR(__xludf.DUMMYFUNCTION("""COMPUTED_VALUE"""),"QLD")</f>
        <v>QLD</v>
      </c>
      <c r="C1278" s="5" t="str">
        <f>IFERROR(__xludf.DUMMYFUNCTION("""COMPUTED_VALUE"""),"Rockyview")</f>
        <v>Rockyview</v>
      </c>
      <c r="D1278" s="5" t="str">
        <f>IFERROR(__xludf.DUMMYFUNCTION("""COMPUTED_VALUE"""),"75 Constance Avenue Rockyview QLD 4701")</f>
        <v>75 Constance Avenue Rockyview QLD 4701</v>
      </c>
      <c r="E1278" s="25">
        <f>IFERROR(__xludf.DUMMYFUNCTION("""COMPUTED_VALUE"""),45963.0)</f>
        <v>45963</v>
      </c>
      <c r="F1278" s="5">
        <f>IFERROR(__xludf.DUMMYFUNCTION("""COMPUTED_VALUE"""),8.0)</f>
        <v>8</v>
      </c>
      <c r="G1278" s="19" t="str">
        <f>IFERROR(__xludf.DUMMYFUNCTION("""COMPUTED_VALUE"""),"Instant Forms")</f>
        <v>Instant Forms</v>
      </c>
      <c r="H1278" s="19"/>
      <c r="I1278" s="62"/>
      <c r="J1278" s="19"/>
    </row>
    <row r="1279">
      <c r="A1279" s="19" t="str">
        <f>IFERROR(__xludf.DUMMYFUNCTION("""COMPUTED_VALUE"""),"")</f>
        <v/>
      </c>
      <c r="B1279" s="19" t="str">
        <f>IFERROR(__xludf.DUMMYFUNCTION("""COMPUTED_VALUE"""),"")</f>
        <v/>
      </c>
      <c r="C1279" s="5" t="str">
        <f>IFERROR(__xludf.DUMMYFUNCTION("""COMPUTED_VALUE"""),"")</f>
        <v/>
      </c>
      <c r="D1279" s="5" t="str">
        <f>IFERROR(__xludf.DUMMYFUNCTION("""COMPUTED_VALUE"""),"")</f>
        <v/>
      </c>
      <c r="E1279" s="5" t="str">
        <f>IFERROR(__xludf.DUMMYFUNCTION("""COMPUTED_VALUE"""),"")</f>
        <v/>
      </c>
      <c r="F1279" s="5" t="str">
        <f>IFERROR(__xludf.DUMMYFUNCTION("""COMPUTED_VALUE"""),"")</f>
        <v/>
      </c>
      <c r="G1279" s="19" t="str">
        <f>IFERROR(__xludf.DUMMYFUNCTION("""COMPUTED_VALUE"""),"")</f>
        <v/>
      </c>
      <c r="H1279" s="19" t="str">
        <f>IFERROR(__xludf.DUMMYFUNCTION("""COMPUTED_VALUE"""),"")</f>
        <v/>
      </c>
      <c r="I1279" s="62" t="str">
        <f>IFERROR(__xludf.DUMMYFUNCTION("""COMPUTED_VALUE"""),"")</f>
        <v/>
      </c>
      <c r="J1279" s="19" t="str">
        <f>IFERROR(__xludf.DUMMYFUNCTION("""COMPUTED_VALUE"""),"")</f>
        <v/>
      </c>
    </row>
    <row r="1280">
      <c r="A1280" s="19" t="str">
        <f>IFERROR(__xludf.DUMMYFUNCTION("""COMPUTED_VALUE"""),"")</f>
        <v/>
      </c>
      <c r="B1280" s="19" t="str">
        <f>IFERROR(__xludf.DUMMYFUNCTION("""COMPUTED_VALUE"""),"")</f>
        <v/>
      </c>
      <c r="C1280" s="5" t="str">
        <f>IFERROR(__xludf.DUMMYFUNCTION("""COMPUTED_VALUE"""),"")</f>
        <v/>
      </c>
      <c r="D1280" s="5" t="str">
        <f>IFERROR(__xludf.DUMMYFUNCTION("""COMPUTED_VALUE"""),"")</f>
        <v/>
      </c>
      <c r="E1280" s="5" t="str">
        <f>IFERROR(__xludf.DUMMYFUNCTION("""COMPUTED_VALUE"""),"")</f>
        <v/>
      </c>
      <c r="F1280" s="5" t="str">
        <f>IFERROR(__xludf.DUMMYFUNCTION("""COMPUTED_VALUE"""),"")</f>
        <v/>
      </c>
      <c r="G1280" s="19" t="str">
        <f>IFERROR(__xludf.DUMMYFUNCTION("""COMPUTED_VALUE"""),"")</f>
        <v/>
      </c>
      <c r="H1280" s="19" t="str">
        <f>IFERROR(__xludf.DUMMYFUNCTION("""COMPUTED_VALUE"""),"")</f>
        <v/>
      </c>
      <c r="I1280" s="62" t="str">
        <f>IFERROR(__xludf.DUMMYFUNCTION("""COMPUTED_VALUE"""),"")</f>
        <v/>
      </c>
      <c r="J1280" s="19" t="str">
        <f>IFERROR(__xludf.DUMMYFUNCTION("""COMPUTED_VALUE"""),"")</f>
        <v/>
      </c>
    </row>
    <row r="1281">
      <c r="A1281" s="19" t="str">
        <f>IFERROR(__xludf.DUMMYFUNCTION("""COMPUTED_VALUE"""),"Jae Turner")</f>
        <v>Jae Turner</v>
      </c>
      <c r="B1281" s="19" t="str">
        <f>IFERROR(__xludf.DUMMYFUNCTION("""COMPUTED_VALUE"""),"QLD")</f>
        <v>QLD</v>
      </c>
      <c r="C1281" s="5" t="str">
        <f>IFERROR(__xludf.DUMMYFUNCTION("""COMPUTED_VALUE"""),"Peregian Springs")</f>
        <v>Peregian Springs</v>
      </c>
      <c r="D1281" s="5" t="str">
        <f>IFERROR(__xludf.DUMMYFUNCTION("""COMPUTED_VALUE"""),"37 The Avenue Peregian Springs QLD 4573")</f>
        <v>37 The Avenue Peregian Springs QLD 4573</v>
      </c>
      <c r="E1281" s="25">
        <f>IFERROR(__xludf.DUMMYFUNCTION("""COMPUTED_VALUE"""),45891.0)</f>
        <v>45891</v>
      </c>
      <c r="F1281" s="5" t="str">
        <f>IFERROR(__xludf.DUMMYFUNCTION("""COMPUTED_VALUE"""),"Featured")</f>
        <v>Featured</v>
      </c>
      <c r="G1281" s="19" t="str">
        <f>IFERROR(__xludf.DUMMYFUNCTION("""COMPUTED_VALUE"""),"Instant Forms")</f>
        <v>Instant Forms</v>
      </c>
      <c r="H1281" s="19"/>
      <c r="I1281" s="62"/>
      <c r="J1281" s="19"/>
    </row>
    <row r="1282">
      <c r="A1282" s="19" t="str">
        <f>IFERROR(__xludf.DUMMYFUNCTION("""COMPUTED_VALUE"""),"Jae Turner")</f>
        <v>Jae Turner</v>
      </c>
      <c r="B1282" s="19" t="str">
        <f>IFERROR(__xludf.DUMMYFUNCTION("""COMPUTED_VALUE"""),"QLD")</f>
        <v>QLD</v>
      </c>
      <c r="C1282" s="5" t="str">
        <f>IFERROR(__xludf.DUMMYFUNCTION("""COMPUTED_VALUE"""),"Sunshine beach")</f>
        <v>Sunshine beach</v>
      </c>
      <c r="D1282" s="5" t="str">
        <f>IFERROR(__xludf.DUMMYFUNCTION("""COMPUTED_VALUE"""),"11 Adams Street Sunshine Beach QLD 4567")</f>
        <v>11 Adams Street Sunshine Beach QLD 4567</v>
      </c>
      <c r="E1282" s="25">
        <f>IFERROR(__xludf.DUMMYFUNCTION("""COMPUTED_VALUE"""),45895.0)</f>
        <v>45895</v>
      </c>
      <c r="F1282" s="5" t="str">
        <f>IFERROR(__xludf.DUMMYFUNCTION("""COMPUTED_VALUE"""),"Featured")</f>
        <v>Featured</v>
      </c>
      <c r="G1282" s="19" t="str">
        <f>IFERROR(__xludf.DUMMYFUNCTION("""COMPUTED_VALUE"""),"Instant Forms")</f>
        <v>Instant Forms</v>
      </c>
      <c r="H1282" s="19"/>
      <c r="I1282" s="62"/>
      <c r="J1282" s="19"/>
    </row>
    <row r="1283">
      <c r="A1283" s="19" t="str">
        <f>IFERROR(__xludf.DUMMYFUNCTION("""COMPUTED_VALUE"""),"Jae Turner")</f>
        <v>Jae Turner</v>
      </c>
      <c r="B1283" s="19" t="str">
        <f>IFERROR(__xludf.DUMMYFUNCTION("""COMPUTED_VALUE"""),"QLD")</f>
        <v>QLD</v>
      </c>
      <c r="C1283" s="5" t="str">
        <f>IFERROR(__xludf.DUMMYFUNCTION("""COMPUTED_VALUE"""),"Coolum beach")</f>
        <v>Coolum beach</v>
      </c>
      <c r="D1283" s="5" t="str">
        <f>IFERROR(__xludf.DUMMYFUNCTION("""COMPUTED_VALUE"""),"3 Sandy Cove Crescent Coolum Beach QLD 4573")</f>
        <v>3 Sandy Cove Crescent Coolum Beach QLD 4573</v>
      </c>
      <c r="E1283" s="25">
        <f>IFERROR(__xludf.DUMMYFUNCTION("""COMPUTED_VALUE"""),45895.0)</f>
        <v>45895</v>
      </c>
      <c r="F1283" s="5" t="str">
        <f>IFERROR(__xludf.DUMMYFUNCTION("""COMPUTED_VALUE"""),"Featured")</f>
        <v>Featured</v>
      </c>
      <c r="G1283" s="19" t="str">
        <f>IFERROR(__xludf.DUMMYFUNCTION("""COMPUTED_VALUE"""),"Instant Forms")</f>
        <v>Instant Forms</v>
      </c>
      <c r="H1283" s="19"/>
      <c r="I1283" s="62"/>
      <c r="J1283" s="19"/>
    </row>
    <row r="1284">
      <c r="A1284" s="19" t="str">
        <f>IFERROR(__xludf.DUMMYFUNCTION("""COMPUTED_VALUE"""),"Jae Turner")</f>
        <v>Jae Turner</v>
      </c>
      <c r="B1284" s="19" t="str">
        <f>IFERROR(__xludf.DUMMYFUNCTION("""COMPUTED_VALUE"""),"QLD")</f>
        <v>QLD</v>
      </c>
      <c r="C1284" s="5" t="str">
        <f>IFERROR(__xludf.DUMMYFUNCTION("""COMPUTED_VALUE"""),"Noosaville")</f>
        <v>Noosaville</v>
      </c>
      <c r="D1284" s="5" t="str">
        <f>IFERROR(__xludf.DUMMYFUNCTION("""COMPUTED_VALUE"""),"22/13 James Street Noosaville QLD 4566")</f>
        <v>22/13 James Street Noosaville QLD 4566</v>
      </c>
      <c r="E1284" s="25">
        <f>IFERROR(__xludf.DUMMYFUNCTION("""COMPUTED_VALUE"""),45895.0)</f>
        <v>45895</v>
      </c>
      <c r="F1284" s="5" t="str">
        <f>IFERROR(__xludf.DUMMYFUNCTION("""COMPUTED_VALUE"""),"Featured")</f>
        <v>Featured</v>
      </c>
      <c r="G1284" s="19" t="str">
        <f>IFERROR(__xludf.DUMMYFUNCTION("""COMPUTED_VALUE"""),"Instant Forms")</f>
        <v>Instant Forms</v>
      </c>
      <c r="H1284" s="19"/>
      <c r="I1284" s="62"/>
      <c r="J1284" s="19"/>
    </row>
    <row r="1285">
      <c r="A1285" s="19" t="str">
        <f>IFERROR(__xludf.DUMMYFUNCTION("""COMPUTED_VALUE"""),"Jae Turner")</f>
        <v>Jae Turner</v>
      </c>
      <c r="B1285" s="19" t="str">
        <f>IFERROR(__xludf.DUMMYFUNCTION("""COMPUTED_VALUE"""),"QLD")</f>
        <v>QLD</v>
      </c>
      <c r="C1285" s="5" t="str">
        <f>IFERROR(__xludf.DUMMYFUNCTION("""COMPUTED_VALUE"""),"Noosa")</f>
        <v>Noosa</v>
      </c>
      <c r="D1285" s="5"/>
      <c r="E1285" s="25">
        <f>IFERROR(__xludf.DUMMYFUNCTION("""COMPUTED_VALUE"""),45896.0)</f>
        <v>45896</v>
      </c>
      <c r="F1285" s="5" t="str">
        <f>IFERROR(__xludf.DUMMYFUNCTION("""COMPUTED_VALUE"""),"Free")</f>
        <v>Free</v>
      </c>
      <c r="G1285" s="19" t="str">
        <f>IFERROR(__xludf.DUMMYFUNCTION("""COMPUTED_VALUE"""),"Instant Forms")</f>
        <v>Instant Forms</v>
      </c>
      <c r="H1285" s="19"/>
      <c r="I1285" s="62"/>
      <c r="J1285" s="19"/>
    </row>
    <row r="1286">
      <c r="A1286" s="19" t="str">
        <f>IFERROR(__xludf.DUMMYFUNCTION("""COMPUTED_VALUE"""),"Jae Turner")</f>
        <v>Jae Turner</v>
      </c>
      <c r="B1286" s="19" t="str">
        <f>IFERROR(__xludf.DUMMYFUNCTION("""COMPUTED_VALUE"""),"QLD")</f>
        <v>QLD</v>
      </c>
      <c r="C1286" s="5" t="str">
        <f>IFERROR(__xludf.DUMMYFUNCTION("""COMPUTED_VALUE"""),"Castaways Beach")</f>
        <v>Castaways Beach</v>
      </c>
      <c r="D1286" s="5" t="str">
        <f>IFERROR(__xludf.DUMMYFUNCTION("""COMPUTED_VALUE"""),"26 Wavecrest Drive Castaways Beach QLD 4567")</f>
        <v>26 Wavecrest Drive Castaways Beach QLD 4567</v>
      </c>
      <c r="E1286" s="25">
        <f>IFERROR(__xludf.DUMMYFUNCTION("""COMPUTED_VALUE"""),45897.0)</f>
        <v>45897</v>
      </c>
      <c r="F1286" s="5" t="str">
        <f>IFERROR(__xludf.DUMMYFUNCTION("""COMPUTED_VALUE"""),"Featured")</f>
        <v>Featured</v>
      </c>
      <c r="G1286" s="19" t="str">
        <f>IFERROR(__xludf.DUMMYFUNCTION("""COMPUTED_VALUE"""),"Instant Forms")</f>
        <v>Instant Forms</v>
      </c>
      <c r="H1286" s="19"/>
      <c r="I1286" s="62"/>
      <c r="J1286" s="19"/>
    </row>
    <row r="1287">
      <c r="A1287" s="19" t="str">
        <f>IFERROR(__xludf.DUMMYFUNCTION("""COMPUTED_VALUE"""),"Jae Turner")</f>
        <v>Jae Turner</v>
      </c>
      <c r="B1287" s="19" t="str">
        <f>IFERROR(__xludf.DUMMYFUNCTION("""COMPUTED_VALUE"""),"QLD")</f>
        <v>QLD</v>
      </c>
      <c r="C1287" s="5" t="str">
        <f>IFERROR(__xludf.DUMMYFUNCTION("""COMPUTED_VALUE"""),"yandina creek")</f>
        <v>yandina creek</v>
      </c>
      <c r="D1287" s="5" t="str">
        <f>IFERROR(__xludf.DUMMYFUNCTION("""COMPUTED_VALUE"""),"18 Leichhardt Drive Yandina Creek QLD 4561")</f>
        <v>18 Leichhardt Drive Yandina Creek QLD 4561</v>
      </c>
      <c r="E1287" s="25">
        <f>IFERROR(__xludf.DUMMYFUNCTION("""COMPUTED_VALUE"""),45897.0)</f>
        <v>45897</v>
      </c>
      <c r="F1287" s="5" t="str">
        <f>IFERROR(__xludf.DUMMYFUNCTION("""COMPUTED_VALUE"""),"Featured")</f>
        <v>Featured</v>
      </c>
      <c r="G1287" s="19" t="str">
        <f>IFERROR(__xludf.DUMMYFUNCTION("""COMPUTED_VALUE"""),"Instant Forms")</f>
        <v>Instant Forms</v>
      </c>
      <c r="H1287" s="19"/>
      <c r="I1287" s="62"/>
      <c r="J1287" s="19"/>
    </row>
    <row r="1288">
      <c r="A1288" s="19" t="str">
        <f>IFERROR(__xludf.DUMMYFUNCTION("""COMPUTED_VALUE"""),"Jae Turner")</f>
        <v>Jae Turner</v>
      </c>
      <c r="B1288" s="19" t="str">
        <f>IFERROR(__xludf.DUMMYFUNCTION("""COMPUTED_VALUE"""),"QLD")</f>
        <v>QLD</v>
      </c>
      <c r="C1288" s="5" t="str">
        <f>IFERROR(__xludf.DUMMYFUNCTION("""COMPUTED_VALUE"""),"Noosa")</f>
        <v>Noosa</v>
      </c>
      <c r="D1288" s="5"/>
      <c r="E1288" s="25">
        <f>IFERROR(__xludf.DUMMYFUNCTION("""COMPUTED_VALUE"""),45901.0)</f>
        <v>45901</v>
      </c>
      <c r="F1288" s="5" t="str">
        <f>IFERROR(__xludf.DUMMYFUNCTION("""COMPUTED_VALUE"""),"Free")</f>
        <v>Free</v>
      </c>
      <c r="G1288" s="19" t="str">
        <f>IFERROR(__xludf.DUMMYFUNCTION("""COMPUTED_VALUE"""),"Instant Forms")</f>
        <v>Instant Forms</v>
      </c>
      <c r="H1288" s="19"/>
      <c r="I1288" s="62"/>
      <c r="J1288" s="19"/>
    </row>
    <row r="1289">
      <c r="A1289" s="19" t="str">
        <f>IFERROR(__xludf.DUMMYFUNCTION("""COMPUTED_VALUE"""),"Jae Turner")</f>
        <v>Jae Turner</v>
      </c>
      <c r="B1289" s="19" t="str">
        <f>IFERROR(__xludf.DUMMYFUNCTION("""COMPUTED_VALUE"""),"QLD")</f>
        <v>QLD</v>
      </c>
      <c r="C1289" s="5" t="str">
        <f>IFERROR(__xludf.DUMMYFUNCTION("""COMPUTED_VALUE"""),"Lake MacDonald")</f>
        <v>Lake MacDonald</v>
      </c>
      <c r="D1289" s="5" t="str">
        <f>IFERROR(__xludf.DUMMYFUNCTION("""COMPUTED_VALUE"""),"25 Whitewood Court Lake Macdonald QLD 4563")</f>
        <v>25 Whitewood Court Lake Macdonald QLD 4563</v>
      </c>
      <c r="E1289" s="25">
        <f>IFERROR(__xludf.DUMMYFUNCTION("""COMPUTED_VALUE"""),45901.0)</f>
        <v>45901</v>
      </c>
      <c r="F1289" s="5" t="str">
        <f>IFERROR(__xludf.DUMMYFUNCTION("""COMPUTED_VALUE"""),"Featured")</f>
        <v>Featured</v>
      </c>
      <c r="G1289" s="19" t="str">
        <f>IFERROR(__xludf.DUMMYFUNCTION("""COMPUTED_VALUE"""),"Instant Forms")</f>
        <v>Instant Forms</v>
      </c>
      <c r="H1289" s="19"/>
      <c r="I1289" s="62"/>
      <c r="J1289" s="19"/>
    </row>
    <row r="1290">
      <c r="A1290" s="19" t="str">
        <f>IFERROR(__xludf.DUMMYFUNCTION("""COMPUTED_VALUE"""),"Jae Turner")</f>
        <v>Jae Turner</v>
      </c>
      <c r="B1290" s="19" t="str">
        <f>IFERROR(__xludf.DUMMYFUNCTION("""COMPUTED_VALUE"""),"QLD")</f>
        <v>QLD</v>
      </c>
      <c r="C1290" s="5" t="str">
        <f>IFERROR(__xludf.DUMMYFUNCTION("""COMPUTED_VALUE"""),"Federal")</f>
        <v>Federal</v>
      </c>
      <c r="D1290" s="5" t="str">
        <f>IFERROR(__xludf.DUMMYFUNCTION("""COMPUTED_VALUE"""),"18 Gardners Road, Federal, QLD, 4568, Australia")</f>
        <v>18 Gardners Road, Federal, QLD, 4568, Australia</v>
      </c>
      <c r="E1290" s="25">
        <f>IFERROR(__xludf.DUMMYFUNCTION("""COMPUTED_VALUE"""),45902.0)</f>
        <v>45902</v>
      </c>
      <c r="F1290" s="5" t="str">
        <f>IFERROR(__xludf.DUMMYFUNCTION("""COMPUTED_VALUE"""),"Featured")</f>
        <v>Featured</v>
      </c>
      <c r="G1290" s="19" t="str">
        <f>IFERROR(__xludf.DUMMYFUNCTION("""COMPUTED_VALUE"""),"Commission Comparison")</f>
        <v>Commission Comparison</v>
      </c>
      <c r="H1290" s="19"/>
      <c r="I1290" s="62"/>
      <c r="J1290" s="19"/>
    </row>
    <row r="1291">
      <c r="A1291" s="19" t="str">
        <f>IFERROR(__xludf.DUMMYFUNCTION("""COMPUTED_VALUE"""),"Jae Turner")</f>
        <v>Jae Turner</v>
      </c>
      <c r="B1291" s="19" t="str">
        <f>IFERROR(__xludf.DUMMYFUNCTION("""COMPUTED_VALUE"""),"QLD")</f>
        <v>QLD</v>
      </c>
      <c r="C1291" s="5" t="str">
        <f>IFERROR(__xludf.DUMMYFUNCTION("""COMPUTED_VALUE"""),"Tewantin")</f>
        <v>Tewantin</v>
      </c>
      <c r="D1291" s="5" t="str">
        <f>IFERROR(__xludf.DUMMYFUNCTION("""COMPUTED_VALUE"""),"110 Hilton Terrace, Tewantin, QLD, 4565, Australia")</f>
        <v>110 Hilton Terrace, Tewantin, QLD, 4565, Australia</v>
      </c>
      <c r="E1291" s="27">
        <f>IFERROR(__xludf.DUMMYFUNCTION("""COMPUTED_VALUE"""),45697.0)</f>
        <v>45697</v>
      </c>
      <c r="F1291" s="5" t="str">
        <f>IFERROR(__xludf.DUMMYFUNCTION("""COMPUTED_VALUE"""),"Featured")</f>
        <v>Featured</v>
      </c>
      <c r="G1291" s="19" t="str">
        <f>IFERROR(__xludf.DUMMYFUNCTION("""COMPUTED_VALUE"""),"Commission Comparison")</f>
        <v>Commission Comparison</v>
      </c>
      <c r="H1291" s="19"/>
      <c r="I1291" s="62"/>
      <c r="J1291" s="19"/>
    </row>
    <row r="1292">
      <c r="A1292" s="19" t="str">
        <f>IFERROR(__xludf.DUMMYFUNCTION("""COMPUTED_VALUE"""),"Jae Turner")</f>
        <v>Jae Turner</v>
      </c>
      <c r="B1292" s="19" t="str">
        <f>IFERROR(__xludf.DUMMYFUNCTION("""COMPUTED_VALUE"""),"QLD")</f>
        <v>QLD</v>
      </c>
      <c r="C1292" s="5" t="str">
        <f>IFERROR(__xludf.DUMMYFUNCTION("""COMPUTED_VALUE"""),"Tewantin")</f>
        <v>Tewantin</v>
      </c>
      <c r="D1292" s="5" t="str">
        <f>IFERROR(__xludf.DUMMYFUNCTION("""COMPUTED_VALUE"""),"114 Hendry Street Tewantin QLD 4565")</f>
        <v>114 Hendry Street Tewantin QLD 4565</v>
      </c>
      <c r="E1292" s="25">
        <f>IFERROR(__xludf.DUMMYFUNCTION("""COMPUTED_VALUE"""),45904.0)</f>
        <v>45904</v>
      </c>
      <c r="F1292" s="5" t="str">
        <f>IFERROR(__xludf.DUMMYFUNCTION("""COMPUTED_VALUE"""),"Featured")</f>
        <v>Featured</v>
      </c>
      <c r="G1292" s="19" t="str">
        <f>IFERROR(__xludf.DUMMYFUNCTION("""COMPUTED_VALUE"""),"Instant Forms")</f>
        <v>Instant Forms</v>
      </c>
      <c r="H1292" s="19"/>
      <c r="I1292" s="62"/>
      <c r="J1292" s="19"/>
    </row>
    <row r="1293">
      <c r="A1293" s="19" t="str">
        <f>IFERROR(__xludf.DUMMYFUNCTION("""COMPUTED_VALUE"""),"Jae Turner")</f>
        <v>Jae Turner</v>
      </c>
      <c r="B1293" s="19" t="str">
        <f>IFERROR(__xludf.DUMMYFUNCTION("""COMPUTED_VALUE"""),"QLD")</f>
        <v>QLD</v>
      </c>
      <c r="C1293" s="5" t="str">
        <f>IFERROR(__xludf.DUMMYFUNCTION("""COMPUTED_VALUE"""),"Hamilton")</f>
        <v>Hamilton</v>
      </c>
      <c r="D1293" s="5" t="str">
        <f>IFERROR(__xludf.DUMMYFUNCTION("""COMPUTED_VALUE"""),"24 Kwila Crescent Peregian Springs QLD 4573")</f>
        <v>24 Kwila Crescent Peregian Springs QLD 4573</v>
      </c>
      <c r="E1293" s="25">
        <f>IFERROR(__xludf.DUMMYFUNCTION("""COMPUTED_VALUE"""),45909.0)</f>
        <v>45909</v>
      </c>
      <c r="F1293" s="5">
        <f>IFERROR(__xludf.DUMMYFUNCTION("""COMPUTED_VALUE"""),5.0)</f>
        <v>5</v>
      </c>
      <c r="G1293" s="19" t="str">
        <f>IFERROR(__xludf.DUMMYFUNCTION("""COMPUTED_VALUE"""),"Instant Forms")</f>
        <v>Instant Forms</v>
      </c>
      <c r="H1293" s="19" t="str">
        <f>IFERROR(__xludf.DUMMYFUNCTION("""COMPUTED_VALUE"""),"Pete Stigs (Peter Steyger)")</f>
        <v>Pete Stigs (Peter Steyger)</v>
      </c>
      <c r="I1293" s="62"/>
      <c r="J1293" s="19"/>
    </row>
    <row r="1294">
      <c r="A1294" s="19" t="str">
        <f>IFERROR(__xludf.DUMMYFUNCTION("""COMPUTED_VALUE"""),"Jae Turner")</f>
        <v>Jae Turner</v>
      </c>
      <c r="B1294" s="19" t="str">
        <f>IFERROR(__xludf.DUMMYFUNCTION("""COMPUTED_VALUE"""),"QLD")</f>
        <v>QLD</v>
      </c>
      <c r="C1294" s="5" t="str">
        <f>IFERROR(__xludf.DUMMYFUNCTION("""COMPUTED_VALUE"""),"Sunshine Beach")</f>
        <v>Sunshine Beach</v>
      </c>
      <c r="D1294" s="5" t="str">
        <f>IFERROR(__xludf.DUMMYFUNCTION("""COMPUTED_VALUE"""),"2/9 Solway Drive Sunshine Beach QLD 4567")</f>
        <v>2/9 Solway Drive Sunshine Beach QLD 4567</v>
      </c>
      <c r="E1294" s="25">
        <f>IFERROR(__xludf.DUMMYFUNCTION("""COMPUTED_VALUE"""),45911.0)</f>
        <v>45911</v>
      </c>
      <c r="F1294" s="5">
        <f>IFERROR(__xludf.DUMMYFUNCTION("""COMPUTED_VALUE"""),8.0)</f>
        <v>8</v>
      </c>
      <c r="G1294" s="19" t="str">
        <f>IFERROR(__xludf.DUMMYFUNCTION("""COMPUTED_VALUE"""),"Instant Forms")</f>
        <v>Instant Forms</v>
      </c>
      <c r="H1294" s="19" t="str">
        <f>IFERROR(__xludf.DUMMYFUNCTION("""COMPUTED_VALUE"""),"Chris Wicks")</f>
        <v>Chris Wicks</v>
      </c>
      <c r="I1294" s="62"/>
      <c r="J1294" s="19"/>
    </row>
    <row r="1295">
      <c r="A1295" s="19" t="str">
        <f>IFERROR(__xludf.DUMMYFUNCTION("""COMPUTED_VALUE"""),"Jae Turner")</f>
        <v>Jae Turner</v>
      </c>
      <c r="B1295" s="19" t="str">
        <f>IFERROR(__xludf.DUMMYFUNCTION("""COMPUTED_VALUE"""),"QLD")</f>
        <v>QLD</v>
      </c>
      <c r="C1295" s="5" t="str">
        <f>IFERROR(__xludf.DUMMYFUNCTION("""COMPUTED_VALUE"""),"Noosaville")</f>
        <v>Noosaville</v>
      </c>
      <c r="D1295" s="5"/>
      <c r="E1295" s="25">
        <f>IFERROR(__xludf.DUMMYFUNCTION("""COMPUTED_VALUE"""),45911.0)</f>
        <v>45911</v>
      </c>
      <c r="F1295" s="5">
        <f>IFERROR(__xludf.DUMMYFUNCTION("""COMPUTED_VALUE"""),6.0)</f>
        <v>6</v>
      </c>
      <c r="G1295" s="19" t="str">
        <f>IFERROR(__xludf.DUMMYFUNCTION("""COMPUTED_VALUE"""),"Instant Forms")</f>
        <v>Instant Forms</v>
      </c>
      <c r="H1295" s="19" t="str">
        <f>IFERROR(__xludf.DUMMYFUNCTION("""COMPUTED_VALUE"""),"Cambel Ball")</f>
        <v>Cambel Ball</v>
      </c>
      <c r="I1295" s="62"/>
      <c r="J1295" s="19"/>
    </row>
    <row r="1296">
      <c r="A1296" s="19" t="str">
        <f>IFERROR(__xludf.DUMMYFUNCTION("""COMPUTED_VALUE"""),"Jae Turner")</f>
        <v>Jae Turner</v>
      </c>
      <c r="B1296" s="19" t="str">
        <f>IFERROR(__xludf.DUMMYFUNCTION("""COMPUTED_VALUE"""),"QLD")</f>
        <v>QLD</v>
      </c>
      <c r="C1296" s="5" t="str">
        <f>IFERROR(__xludf.DUMMYFUNCTION("""COMPUTED_VALUE"""),"Cooroy")</f>
        <v>Cooroy</v>
      </c>
      <c r="D1296" s="5"/>
      <c r="E1296" s="25">
        <f>IFERROR(__xludf.DUMMYFUNCTION("""COMPUTED_VALUE"""),45911.0)</f>
        <v>45911</v>
      </c>
      <c r="F1296" s="5">
        <f>IFERROR(__xludf.DUMMYFUNCTION("""COMPUTED_VALUE"""),6.0)</f>
        <v>6</v>
      </c>
      <c r="G1296" s="19" t="str">
        <f>IFERROR(__xludf.DUMMYFUNCTION("""COMPUTED_VALUE"""),"Instant Forms")</f>
        <v>Instant Forms</v>
      </c>
      <c r="H1296" s="19" t="str">
        <f>IFERROR(__xludf.DUMMYFUNCTION("""COMPUTED_VALUE"""),"Jonathan Jones")</f>
        <v>Jonathan Jones</v>
      </c>
      <c r="I1296" s="62"/>
      <c r="J1296" s="19"/>
    </row>
    <row r="1297">
      <c r="A1297" s="19" t="str">
        <f>IFERROR(__xludf.DUMMYFUNCTION("""COMPUTED_VALUE"""),"Jae Turner")</f>
        <v>Jae Turner</v>
      </c>
      <c r="B1297" s="19" t="str">
        <f>IFERROR(__xludf.DUMMYFUNCTION("""COMPUTED_VALUE"""),"QLD")</f>
        <v>QLD</v>
      </c>
      <c r="C1297" s="5" t="str">
        <f>IFERROR(__xludf.DUMMYFUNCTION("""COMPUTED_VALUE"""),"Mount coolum")</f>
        <v>Mount coolum</v>
      </c>
      <c r="D1297" s="5" t="str">
        <f>IFERROR(__xludf.DUMMYFUNCTION("""COMPUTED_VALUE"""),"8 Kim Close Mount Coolum QLD 4573")</f>
        <v>8 Kim Close Mount Coolum QLD 4573</v>
      </c>
      <c r="E1297" s="25">
        <f>IFERROR(__xludf.DUMMYFUNCTION("""COMPUTED_VALUE"""),45916.0)</f>
        <v>45916</v>
      </c>
      <c r="F1297" s="5">
        <f>IFERROR(__xludf.DUMMYFUNCTION("""COMPUTED_VALUE"""),8.0)</f>
        <v>8</v>
      </c>
      <c r="G1297" s="19" t="str">
        <f>IFERROR(__xludf.DUMMYFUNCTION("""COMPUTED_VALUE"""),"Instant Forms")</f>
        <v>Instant Forms</v>
      </c>
      <c r="H1297" s="19" t="str">
        <f>IFERROR(__xludf.DUMMYFUNCTION("""COMPUTED_VALUE"""),"Courtney Black")</f>
        <v>Courtney Black</v>
      </c>
      <c r="I1297" s="62"/>
      <c r="J1297" s="19"/>
    </row>
    <row r="1298">
      <c r="A1298" s="19" t="str">
        <f>IFERROR(__xludf.DUMMYFUNCTION("""COMPUTED_VALUE"""),"Jae Turner")</f>
        <v>Jae Turner</v>
      </c>
      <c r="B1298" s="19" t="str">
        <f>IFERROR(__xludf.DUMMYFUNCTION("""COMPUTED_VALUE"""),"QLD")</f>
        <v>QLD</v>
      </c>
      <c r="C1298" s="5" t="str">
        <f>IFERROR(__xludf.DUMMYFUNCTION("""COMPUTED_VALUE"""),"Coolum beach")</f>
        <v>Coolum beach</v>
      </c>
      <c r="D1298" s="5" t="str">
        <f>IFERROR(__xludf.DUMMYFUNCTION("""COMPUTED_VALUE"""),"503/63 Coolum Terrace Coolum Beach QLD 4573")</f>
        <v>503/63 Coolum Terrace Coolum Beach QLD 4573</v>
      </c>
      <c r="E1298" s="25">
        <f>IFERROR(__xludf.DUMMYFUNCTION("""COMPUTED_VALUE"""),45923.0)</f>
        <v>45923</v>
      </c>
      <c r="F1298" s="5">
        <f>IFERROR(__xludf.DUMMYFUNCTION("""COMPUTED_VALUE"""),8.0)</f>
        <v>8</v>
      </c>
      <c r="G1298" s="19" t="str">
        <f>IFERROR(__xludf.DUMMYFUNCTION("""COMPUTED_VALUE"""),"Instant Forms")</f>
        <v>Instant Forms</v>
      </c>
      <c r="H1298" s="19" t="str">
        <f>IFERROR(__xludf.DUMMYFUNCTION("""COMPUTED_VALUE"""),"Ray Henderson")</f>
        <v>Ray Henderson</v>
      </c>
      <c r="I1298" s="62"/>
      <c r="J1298" s="19"/>
    </row>
    <row r="1299">
      <c r="A1299" s="19" t="str">
        <f>IFERROR(__xludf.DUMMYFUNCTION("""COMPUTED_VALUE"""),"Jae Turner")</f>
        <v>Jae Turner</v>
      </c>
      <c r="B1299" s="19" t="str">
        <f>IFERROR(__xludf.DUMMYFUNCTION("""COMPUTED_VALUE"""),"QLD")</f>
        <v>QLD</v>
      </c>
      <c r="C1299" s="5" t="str">
        <f>IFERROR(__xludf.DUMMYFUNCTION("""COMPUTED_VALUE"""),"Black Mountain")</f>
        <v>Black Mountain</v>
      </c>
      <c r="D1299" s="5" t="str">
        <f>IFERROR(__xludf.DUMMYFUNCTION("""COMPUTED_VALUE"""),"45 Beechtree Road Black Mountain QLD 4563")</f>
        <v>45 Beechtree Road Black Mountain QLD 4563</v>
      </c>
      <c r="E1299" s="25">
        <f>IFERROR(__xludf.DUMMYFUNCTION("""COMPUTED_VALUE"""),45923.0)</f>
        <v>45923</v>
      </c>
      <c r="F1299" s="5">
        <f>IFERROR(__xludf.DUMMYFUNCTION("""COMPUTED_VALUE"""),5.0)</f>
        <v>5</v>
      </c>
      <c r="G1299" s="19" t="str">
        <f>IFERROR(__xludf.DUMMYFUNCTION("""COMPUTED_VALUE"""),"Instant Forms")</f>
        <v>Instant Forms</v>
      </c>
      <c r="H1299" s="19" t="str">
        <f>IFERROR(__xludf.DUMMYFUNCTION("""COMPUTED_VALUE"""),"Noosa Classic Rides | Glenn Brown")</f>
        <v>Noosa Classic Rides | Glenn Brown</v>
      </c>
      <c r="I1299" s="62"/>
      <c r="J1299" s="19"/>
    </row>
    <row r="1300">
      <c r="A1300" s="19" t="str">
        <f>IFERROR(__xludf.DUMMYFUNCTION("""COMPUTED_VALUE"""),"Jae Turner")</f>
        <v>Jae Turner</v>
      </c>
      <c r="B1300" s="19" t="str">
        <f>IFERROR(__xludf.DUMMYFUNCTION("""COMPUTED_VALUE"""),"QLD")</f>
        <v>QLD</v>
      </c>
      <c r="C1300" s="5" t="str">
        <f>IFERROR(__xludf.DUMMYFUNCTION("""COMPUTED_VALUE"""),"Black Mountain")</f>
        <v>Black Mountain</v>
      </c>
      <c r="D1300" s="5" t="str">
        <f>IFERROR(__xludf.DUMMYFUNCTION("""COMPUTED_VALUE"""),"45 Beechtree Road Black Mountain QLD 4563")</f>
        <v>45 Beechtree Road Black Mountain QLD 4563</v>
      </c>
      <c r="E1300" s="25">
        <f>IFERROR(__xludf.DUMMYFUNCTION("""COMPUTED_VALUE"""),45924.0)</f>
        <v>45924</v>
      </c>
      <c r="F1300" s="5">
        <f>IFERROR(__xludf.DUMMYFUNCTION("""COMPUTED_VALUE"""),8.0)</f>
        <v>8</v>
      </c>
      <c r="G1300" s="19" t="str">
        <f>IFERROR(__xludf.DUMMYFUNCTION("""COMPUTED_VALUE"""),"Instant Forms")</f>
        <v>Instant Forms</v>
      </c>
      <c r="H1300" s="19" t="str">
        <f>IFERROR(__xludf.DUMMYFUNCTION("""COMPUTED_VALUE"""),"Noosa Classic Rides | Glenn Brown")</f>
        <v>Noosa Classic Rides | Glenn Brown</v>
      </c>
      <c r="I1300" s="62"/>
      <c r="J1300" s="19"/>
    </row>
    <row r="1301">
      <c r="A1301" s="19" t="str">
        <f>IFERROR(__xludf.DUMMYFUNCTION("""COMPUTED_VALUE"""),"Jae Turner")</f>
        <v>Jae Turner</v>
      </c>
      <c r="B1301" s="19" t="str">
        <f>IFERROR(__xludf.DUMMYFUNCTION("""COMPUTED_VALUE"""),"QLD")</f>
        <v>QLD</v>
      </c>
      <c r="C1301" s="5" t="str">
        <f>IFERROR(__xludf.DUMMYFUNCTION("""COMPUTED_VALUE"""),"PEREGIAN Beach")</f>
        <v>PEREGIAN Beach</v>
      </c>
      <c r="D1301" s="5" t="str">
        <f>IFERROR(__xludf.DUMMYFUNCTION("""COMPUTED_VALUE"""),"25 Spoonbill Street Peregian Beach QLD 4573")</f>
        <v>25 Spoonbill Street Peregian Beach QLD 4573</v>
      </c>
      <c r="E1301" s="25">
        <f>IFERROR(__xludf.DUMMYFUNCTION("""COMPUTED_VALUE"""),45925.0)</f>
        <v>45925</v>
      </c>
      <c r="F1301" s="5">
        <f>IFERROR(__xludf.DUMMYFUNCTION("""COMPUTED_VALUE"""),8.0)</f>
        <v>8</v>
      </c>
      <c r="G1301" s="19" t="str">
        <f>IFERROR(__xludf.DUMMYFUNCTION("""COMPUTED_VALUE"""),"Instant Forms")</f>
        <v>Instant Forms</v>
      </c>
      <c r="H1301" s="19" t="str">
        <f>IFERROR(__xludf.DUMMYFUNCTION("""COMPUTED_VALUE"""),"Marla Boykett")</f>
        <v>Marla Boykett</v>
      </c>
      <c r="I1301" s="62"/>
      <c r="J1301" s="19"/>
    </row>
    <row r="1302">
      <c r="A1302" s="19" t="str">
        <f>IFERROR(__xludf.DUMMYFUNCTION("""COMPUTED_VALUE"""),"Jae Turner")</f>
        <v>Jae Turner</v>
      </c>
      <c r="B1302" s="19" t="str">
        <f>IFERROR(__xludf.DUMMYFUNCTION("""COMPUTED_VALUE"""),"QLD")</f>
        <v>QLD</v>
      </c>
      <c r="C1302" s="5" t="str">
        <f>IFERROR(__xludf.DUMMYFUNCTION("""COMPUTED_VALUE"""),"Peregian springs")</f>
        <v>Peregian springs</v>
      </c>
      <c r="D1302" s="5" t="str">
        <f>IFERROR(__xludf.DUMMYFUNCTION("""COMPUTED_VALUE"""),"2 Garcia Court Peregian Springs QLD 4573")</f>
        <v>2 Garcia Court Peregian Springs QLD 4573</v>
      </c>
      <c r="E1302" s="25">
        <f>IFERROR(__xludf.DUMMYFUNCTION("""COMPUTED_VALUE"""),45928.0)</f>
        <v>45928</v>
      </c>
      <c r="F1302" s="5">
        <f>IFERROR(__xludf.DUMMYFUNCTION("""COMPUTED_VALUE"""),8.0)</f>
        <v>8</v>
      </c>
      <c r="G1302" s="19" t="str">
        <f>IFERROR(__xludf.DUMMYFUNCTION("""COMPUTED_VALUE"""),"Instant Forms")</f>
        <v>Instant Forms</v>
      </c>
      <c r="H1302" s="19" t="str">
        <f>IFERROR(__xludf.DUMMYFUNCTION("""COMPUTED_VALUE"""),"Amanda Campbell")</f>
        <v>Amanda Campbell</v>
      </c>
      <c r="I1302" s="62"/>
      <c r="J1302" s="19"/>
    </row>
    <row r="1303">
      <c r="A1303" s="19" t="str">
        <f>IFERROR(__xludf.DUMMYFUNCTION("""COMPUTED_VALUE"""),"Jae Turner")</f>
        <v>Jae Turner</v>
      </c>
      <c r="B1303" s="19" t="str">
        <f>IFERROR(__xludf.DUMMYFUNCTION("""COMPUTED_VALUE"""),"QLD")</f>
        <v>QLD</v>
      </c>
      <c r="C1303" s="5" t="str">
        <f>IFERROR(__xludf.DUMMYFUNCTION("""COMPUTED_VALUE"""),"Peregian Springs")</f>
        <v>Peregian Springs</v>
      </c>
      <c r="D1303" s="5" t="str">
        <f>IFERROR(__xludf.DUMMYFUNCTION("""COMPUTED_VALUE"""),"19 Augusta Circuit Peregian Springs QLD 4573")</f>
        <v>19 Augusta Circuit Peregian Springs QLD 4573</v>
      </c>
      <c r="E1303" s="25">
        <f>IFERROR(__xludf.DUMMYFUNCTION("""COMPUTED_VALUE"""),45933.0)</f>
        <v>45933</v>
      </c>
      <c r="F1303" s="5">
        <f>IFERROR(__xludf.DUMMYFUNCTION("""COMPUTED_VALUE"""),8.0)</f>
        <v>8</v>
      </c>
      <c r="G1303" s="19" t="str">
        <f>IFERROR(__xludf.DUMMYFUNCTION("""COMPUTED_VALUE"""),"Instant Forms")</f>
        <v>Instant Forms</v>
      </c>
      <c r="H1303" s="19" t="str">
        <f>IFERROR(__xludf.DUMMYFUNCTION("""COMPUTED_VALUE"""),"Gary Hanlon")</f>
        <v>Gary Hanlon</v>
      </c>
      <c r="I1303" s="62"/>
      <c r="J1303" s="19"/>
    </row>
    <row r="1304">
      <c r="A1304" s="19" t="str">
        <f>IFERROR(__xludf.DUMMYFUNCTION("""COMPUTED_VALUE"""),"Jae Turner")</f>
        <v>Jae Turner</v>
      </c>
      <c r="B1304" s="19" t="str">
        <f>IFERROR(__xludf.DUMMYFUNCTION("""COMPUTED_VALUE"""),"QLD")</f>
        <v>QLD</v>
      </c>
      <c r="C1304" s="5" t="str">
        <f>IFERROR(__xludf.DUMMYFUNCTION("""COMPUTED_VALUE"""),"Coolum Beach")</f>
        <v>Coolum Beach</v>
      </c>
      <c r="D1304" s="5" t="str">
        <f>IFERROR(__xludf.DUMMYFUNCTION("""COMPUTED_VALUE"""),"4 Bywater Road Coolum Beach QLD 4573")</f>
        <v>4 Bywater Road Coolum Beach QLD 4573</v>
      </c>
      <c r="E1304" s="25">
        <f>IFERROR(__xludf.DUMMYFUNCTION("""COMPUTED_VALUE"""),45934.0)</f>
        <v>45934</v>
      </c>
      <c r="F1304" s="5">
        <f>IFERROR(__xludf.DUMMYFUNCTION("""COMPUTED_VALUE"""),8.0)</f>
        <v>8</v>
      </c>
      <c r="G1304" s="19" t="str">
        <f>IFERROR(__xludf.DUMMYFUNCTION("""COMPUTED_VALUE"""),"Instant Forms")</f>
        <v>Instant Forms</v>
      </c>
      <c r="H1304" s="19" t="str">
        <f>IFERROR(__xludf.DUMMYFUNCTION("""COMPUTED_VALUE"""),"Russell Higgins")</f>
        <v>Russell Higgins</v>
      </c>
      <c r="I1304" s="62"/>
      <c r="J1304" s="19"/>
    </row>
    <row r="1305">
      <c r="A1305" s="19" t="str">
        <f>IFERROR(__xludf.DUMMYFUNCTION("""COMPUTED_VALUE"""),"Jae Turner")</f>
        <v>Jae Turner</v>
      </c>
      <c r="B1305" s="19" t="str">
        <f>IFERROR(__xludf.DUMMYFUNCTION("""COMPUTED_VALUE"""),"QLD")</f>
        <v>QLD</v>
      </c>
      <c r="C1305" s="5" t="str">
        <f>IFERROR(__xludf.DUMMYFUNCTION("""COMPUTED_VALUE"""),"Peregian Springs")</f>
        <v>Peregian Springs</v>
      </c>
      <c r="D1305" s="5" t="str">
        <f>IFERROR(__xludf.DUMMYFUNCTION("""COMPUTED_VALUE"""),"23 Terraces Court Peregian Springs QLD 4573")</f>
        <v>23 Terraces Court Peregian Springs QLD 4573</v>
      </c>
      <c r="E1305" s="25">
        <f>IFERROR(__xludf.DUMMYFUNCTION("""COMPUTED_VALUE"""),45935.0)</f>
        <v>45935</v>
      </c>
      <c r="F1305" s="5">
        <f>IFERROR(__xludf.DUMMYFUNCTION("""COMPUTED_VALUE"""),8.0)</f>
        <v>8</v>
      </c>
      <c r="G1305" s="19" t="str">
        <f>IFERROR(__xludf.DUMMYFUNCTION("""COMPUTED_VALUE"""),"Instant Forms")</f>
        <v>Instant Forms</v>
      </c>
      <c r="H1305" s="19" t="str">
        <f>IFERROR(__xludf.DUMMYFUNCTION("""COMPUTED_VALUE"""),"Shay Balmanno")</f>
        <v>Shay Balmanno</v>
      </c>
      <c r="I1305" s="62"/>
      <c r="J1305" s="19"/>
    </row>
    <row r="1306">
      <c r="A1306" s="19" t="str">
        <f>IFERROR(__xludf.DUMMYFUNCTION("""COMPUTED_VALUE"""),"Jae Turner")</f>
        <v>Jae Turner</v>
      </c>
      <c r="B1306" s="19" t="str">
        <f>IFERROR(__xludf.DUMMYFUNCTION("""COMPUTED_VALUE"""),"QLD")</f>
        <v>QLD</v>
      </c>
      <c r="C1306" s="5" t="str">
        <f>IFERROR(__xludf.DUMMYFUNCTION("""COMPUTED_VALUE"""),"Eumundi")</f>
        <v>Eumundi</v>
      </c>
      <c r="D1306" s="5" t="str">
        <f>IFERROR(__xludf.DUMMYFUNCTION("""COMPUTED_VALUE"""),"25 Fullager Drive, Eumundi, QLD, 4562, Australia")</f>
        <v>25 Fullager Drive, Eumundi, QLD, 4562, Australia</v>
      </c>
      <c r="E1306" s="25">
        <f>IFERROR(__xludf.DUMMYFUNCTION("""COMPUTED_VALUE"""),45936.0)</f>
        <v>45936</v>
      </c>
      <c r="F1306" s="5" t="str">
        <f>IFERROR(__xludf.DUMMYFUNCTION("""COMPUTED_VALUE"""),"Featured")</f>
        <v>Featured</v>
      </c>
      <c r="G1306" s="19" t="str">
        <f>IFERROR(__xludf.DUMMYFUNCTION("""COMPUTED_VALUE"""),"Commission Comparison")</f>
        <v>Commission Comparison</v>
      </c>
      <c r="H1306" s="19"/>
      <c r="I1306" s="62"/>
      <c r="J1306" s="19"/>
    </row>
    <row r="1307">
      <c r="A1307" s="19" t="str">
        <f>IFERROR(__xludf.DUMMYFUNCTION("""COMPUTED_VALUE"""),"Jae Turner")</f>
        <v>Jae Turner</v>
      </c>
      <c r="B1307" s="19" t="str">
        <f>IFERROR(__xludf.DUMMYFUNCTION("""COMPUTED_VALUE"""),"QLD")</f>
        <v>QLD</v>
      </c>
      <c r="C1307" s="5" t="str">
        <f>IFERROR(__xludf.DUMMYFUNCTION("""COMPUTED_VALUE"""),"Peregian Springs")</f>
        <v>Peregian Springs</v>
      </c>
      <c r="D1307" s="5" t="str">
        <f>IFERROR(__xludf.DUMMYFUNCTION("""COMPUTED_VALUE"""),"7 Sawgrass Court Peregian Springs QLD 4573")</f>
        <v>7 Sawgrass Court Peregian Springs QLD 4573</v>
      </c>
      <c r="E1307" s="25">
        <f>IFERROR(__xludf.DUMMYFUNCTION("""COMPUTED_VALUE"""),45955.0)</f>
        <v>45955</v>
      </c>
      <c r="F1307" s="5">
        <f>IFERROR(__xludf.DUMMYFUNCTION("""COMPUTED_VALUE"""),8.0)</f>
        <v>8</v>
      </c>
      <c r="G1307" s="19" t="str">
        <f>IFERROR(__xludf.DUMMYFUNCTION("""COMPUTED_VALUE"""),"Instant Forms")</f>
        <v>Instant Forms</v>
      </c>
      <c r="H1307" s="19"/>
      <c r="I1307" s="62"/>
      <c r="J1307" s="19"/>
    </row>
    <row r="1308">
      <c r="A1308" s="19" t="str">
        <f>IFERROR(__xludf.DUMMYFUNCTION("""COMPUTED_VALUE"""),"Jae Turner")</f>
        <v>Jae Turner</v>
      </c>
      <c r="B1308" s="19" t="str">
        <f>IFERROR(__xludf.DUMMYFUNCTION("""COMPUTED_VALUE"""),"QLD")</f>
        <v>QLD</v>
      </c>
      <c r="C1308" s="5" t="str">
        <f>IFERROR(__xludf.DUMMYFUNCTION("""COMPUTED_VALUE"""),"Coolum Beach")</f>
        <v>Coolum Beach</v>
      </c>
      <c r="D1308" s="5" t="str">
        <f>IFERROR(__xludf.DUMMYFUNCTION("""COMPUTED_VALUE"""),"6 Acacia Avenue Coolum Beach QLD 4573")</f>
        <v>6 Acacia Avenue Coolum Beach QLD 4573</v>
      </c>
      <c r="E1308" s="25">
        <f>IFERROR(__xludf.DUMMYFUNCTION("""COMPUTED_VALUE"""),45959.0)</f>
        <v>45959</v>
      </c>
      <c r="F1308" s="5">
        <f>IFERROR(__xludf.DUMMYFUNCTION("""COMPUTED_VALUE"""),8.0)</f>
        <v>8</v>
      </c>
      <c r="G1308" s="19" t="str">
        <f>IFERROR(__xludf.DUMMYFUNCTION("""COMPUTED_VALUE"""),"Instant Forms")</f>
        <v>Instant Forms</v>
      </c>
      <c r="H1308" s="19"/>
      <c r="I1308" s="62"/>
      <c r="J1308" s="19"/>
    </row>
    <row r="1309">
      <c r="A1309" s="19" t="str">
        <f>IFERROR(__xludf.DUMMYFUNCTION("""COMPUTED_VALUE"""),"Jae Turner")</f>
        <v>Jae Turner</v>
      </c>
      <c r="B1309" s="19" t="str">
        <f>IFERROR(__xludf.DUMMYFUNCTION("""COMPUTED_VALUE"""),"QLD")</f>
        <v>QLD</v>
      </c>
      <c r="C1309" s="5" t="str">
        <f>IFERROR(__xludf.DUMMYFUNCTION("""COMPUTED_VALUE"""),"Peregian Beach")</f>
        <v>Peregian Beach</v>
      </c>
      <c r="D1309" s="5" t="str">
        <f>IFERROR(__xludf.DUMMYFUNCTION("""COMPUTED_VALUE"""),"100 Lakewood Drive Peregian Beach QLD 4573")</f>
        <v>100 Lakewood Drive Peregian Beach QLD 4573</v>
      </c>
      <c r="E1309" s="25">
        <f>IFERROR(__xludf.DUMMYFUNCTION("""COMPUTED_VALUE"""),45961.0)</f>
        <v>45961</v>
      </c>
      <c r="F1309" s="5">
        <f>IFERROR(__xludf.DUMMYFUNCTION("""COMPUTED_VALUE"""),6.0)</f>
        <v>6</v>
      </c>
      <c r="G1309" s="19" t="str">
        <f>IFERROR(__xludf.DUMMYFUNCTION("""COMPUTED_VALUE"""),"Instant Forms")</f>
        <v>Instant Forms</v>
      </c>
      <c r="H1309" s="19"/>
      <c r="I1309" s="62"/>
      <c r="J1309" s="19"/>
    </row>
    <row r="1310">
      <c r="A1310" s="19" t="str">
        <f>IFERROR(__xludf.DUMMYFUNCTION("""COMPUTED_VALUE"""),"Jae Turner")</f>
        <v>Jae Turner</v>
      </c>
      <c r="B1310" s="19" t="str">
        <f>IFERROR(__xludf.DUMMYFUNCTION("""COMPUTED_VALUE"""),"QLD")</f>
        <v>QLD</v>
      </c>
      <c r="C1310" s="5" t="str">
        <f>IFERROR(__xludf.DUMMYFUNCTION("""COMPUTED_VALUE"""),"Pomona")</f>
        <v>Pomona</v>
      </c>
      <c r="D1310" s="5" t="str">
        <f>IFERROR(__xludf.DUMMYFUNCTION("""COMPUTED_VALUE"""),"19 Allira Court Pomona QLD 4568")</f>
        <v>19 Allira Court Pomona QLD 4568</v>
      </c>
      <c r="E1310" s="25">
        <f>IFERROR(__xludf.DUMMYFUNCTION("""COMPUTED_VALUE"""),45964.0)</f>
        <v>45964</v>
      </c>
      <c r="F1310" s="5">
        <f>IFERROR(__xludf.DUMMYFUNCTION("""COMPUTED_VALUE"""),8.0)</f>
        <v>8</v>
      </c>
      <c r="G1310" s="19" t="str">
        <f>IFERROR(__xludf.DUMMYFUNCTION("""COMPUTED_VALUE"""),"Instant Forms")</f>
        <v>Instant Forms</v>
      </c>
      <c r="H1310" s="19"/>
      <c r="I1310" s="62"/>
      <c r="J1310" s="19"/>
    </row>
    <row r="1311">
      <c r="A1311" s="19" t="str">
        <f>IFERROR(__xludf.DUMMYFUNCTION("""COMPUTED_VALUE"""),"Jae Turner")</f>
        <v>Jae Turner</v>
      </c>
      <c r="B1311" s="19" t="str">
        <f>IFERROR(__xludf.DUMMYFUNCTION("""COMPUTED_VALUE"""),"QLD")</f>
        <v>QLD</v>
      </c>
      <c r="C1311" s="5" t="str">
        <f>IFERROR(__xludf.DUMMYFUNCTION("""COMPUTED_VALUE"""),"Doonan")</f>
        <v>Doonan</v>
      </c>
      <c r="D1311" s="5" t="str">
        <f>IFERROR(__xludf.DUMMYFUNCTION("""COMPUTED_VALUE"""),"6 Silvertop Rd")</f>
        <v>6 Silvertop Rd</v>
      </c>
      <c r="E1311" s="25">
        <f>IFERROR(__xludf.DUMMYFUNCTION("""COMPUTED_VALUE"""),45965.0)</f>
        <v>45965</v>
      </c>
      <c r="F1311" s="5" t="str">
        <f>IFERROR(__xludf.DUMMYFUNCTION("""COMPUTED_VALUE"""),"Featured")</f>
        <v>Featured</v>
      </c>
      <c r="G1311" s="19" t="str">
        <f>IFERROR(__xludf.DUMMYFUNCTION("""COMPUTED_VALUE"""),"Commission Comparison")</f>
        <v>Commission Comparison</v>
      </c>
      <c r="H1311" s="19" t="str">
        <f>IFERROR(__xludf.DUMMYFUNCTION("""COMPUTED_VALUE"""),"Robyn Page")</f>
        <v>Robyn Page</v>
      </c>
      <c r="I1311" s="62">
        <f>IFERROR(__xludf.DUMMYFUNCTION("""COMPUTED_VALUE"""),6.141530316E10)</f>
        <v>61415303160</v>
      </c>
      <c r="J1311" s="19" t="str">
        <f>IFERROR(__xludf.DUMMYFUNCTION("""COMPUTED_VALUE"""),"robynpage1@gmail.com")</f>
        <v>robynpage1@gmail.com</v>
      </c>
    </row>
    <row r="1312">
      <c r="A1312" s="19" t="str">
        <f>IFERROR(__xludf.DUMMYFUNCTION("""COMPUTED_VALUE"""),"Jae Turner")</f>
        <v>Jae Turner</v>
      </c>
      <c r="B1312" s="19" t="str">
        <f>IFERROR(__xludf.DUMMYFUNCTION("""COMPUTED_VALUE"""),"QLD")</f>
        <v>QLD</v>
      </c>
      <c r="C1312" s="5" t="str">
        <f>IFERROR(__xludf.DUMMYFUNCTION("""COMPUTED_VALUE"""),"Doonan")</f>
        <v>Doonan</v>
      </c>
      <c r="D1312" s="5" t="str">
        <f>IFERROR(__xludf.DUMMYFUNCTION("""COMPUTED_VALUE"""),"120 Youngs Drive Doonan QLD 4562")</f>
        <v>120 Youngs Drive Doonan QLD 4562</v>
      </c>
      <c r="E1312" s="25">
        <f>IFERROR(__xludf.DUMMYFUNCTION("""COMPUTED_VALUE"""),45966.0)</f>
        <v>45966</v>
      </c>
      <c r="F1312" s="5">
        <f>IFERROR(__xludf.DUMMYFUNCTION("""COMPUTED_VALUE"""),8.0)</f>
        <v>8</v>
      </c>
      <c r="G1312" s="19" t="str">
        <f>IFERROR(__xludf.DUMMYFUNCTION("""COMPUTED_VALUE"""),"Instant Forms")</f>
        <v>Instant Forms</v>
      </c>
      <c r="H1312" s="19" t="str">
        <f>IFERROR(__xludf.DUMMYFUNCTION("""COMPUTED_VALUE"""),"Jackie Parsons")</f>
        <v>Jackie Parsons</v>
      </c>
      <c r="I1312" s="62">
        <f>IFERROR(__xludf.DUMMYFUNCTION("""COMPUTED_VALUE"""),6.143210238E10)</f>
        <v>61432102380</v>
      </c>
      <c r="J1312" s="19" t="str">
        <f>IFERROR(__xludf.DUMMYFUNCTION("""COMPUTED_VALUE"""),"jp89172@gmail.com")</f>
        <v>jp89172@gmail.com</v>
      </c>
    </row>
    <row r="1313">
      <c r="A1313" s="19" t="str">
        <f>IFERROR(__xludf.DUMMYFUNCTION("""COMPUTED_VALUE"""),"Jae Turner")</f>
        <v>Jae Turner</v>
      </c>
      <c r="B1313" s="19" t="str">
        <f>IFERROR(__xludf.DUMMYFUNCTION("""COMPUTED_VALUE"""),"QLD")</f>
        <v>QLD</v>
      </c>
      <c r="C1313" s="5" t="str">
        <f>IFERROR(__xludf.DUMMYFUNCTION("""COMPUTED_VALUE"""),"Peregian Springs")</f>
        <v>Peregian Springs</v>
      </c>
      <c r="D1313" s="5" t="str">
        <f>IFERROR(__xludf.DUMMYFUNCTION("""COMPUTED_VALUE"""),"136 Havana Road West Peregian Springs QLD 4573")</f>
        <v>136 Havana Road West Peregian Springs QLD 4573</v>
      </c>
      <c r="E1313" s="25">
        <f>IFERROR(__xludf.DUMMYFUNCTION("""COMPUTED_VALUE"""),45966.0)</f>
        <v>45966</v>
      </c>
      <c r="F1313" s="5">
        <f>IFERROR(__xludf.DUMMYFUNCTION("""COMPUTED_VALUE"""),8.0)</f>
        <v>8</v>
      </c>
      <c r="G1313" s="19" t="str">
        <f>IFERROR(__xludf.DUMMYFUNCTION("""COMPUTED_VALUE"""),"Instant Forms")</f>
        <v>Instant Forms</v>
      </c>
      <c r="H1313" s="19" t="str">
        <f>IFERROR(__xludf.DUMMYFUNCTION("""COMPUTED_VALUE"""),"Anja Reuthe")</f>
        <v>Anja Reuthe</v>
      </c>
      <c r="I1313" s="62">
        <f>IFERROR(__xludf.DUMMYFUNCTION("""COMPUTED_VALUE"""),6.1447374014E10)</f>
        <v>61447374014</v>
      </c>
      <c r="J1313" s="19" t="str">
        <f>IFERROR(__xludf.DUMMYFUNCTION("""COMPUTED_VALUE"""),"areuthe@gmail.com")</f>
        <v>areuthe@gmail.com</v>
      </c>
    </row>
    <row r="1314">
      <c r="A1314" s="19" t="str">
        <f>IFERROR(__xludf.DUMMYFUNCTION("""COMPUTED_VALUE"""),"Jae Turner")</f>
        <v>Jae Turner</v>
      </c>
      <c r="B1314" s="19" t="str">
        <f>IFERROR(__xludf.DUMMYFUNCTION("""COMPUTED_VALUE"""),"QLD")</f>
        <v>QLD</v>
      </c>
      <c r="C1314" s="5" t="str">
        <f>IFERROR(__xludf.DUMMYFUNCTION("""COMPUTED_VALUE"""),"Peregian Beach")</f>
        <v>Peregian Beach</v>
      </c>
      <c r="D1314" s="5" t="str">
        <f>IFERROR(__xludf.DUMMYFUNCTION("""COMPUTED_VALUE"""),"10 Long Board Street Peregian Beach QLD 4573")</f>
        <v>10 Long Board Street Peregian Beach QLD 4573</v>
      </c>
      <c r="E1314" s="25">
        <f>IFERROR(__xludf.DUMMYFUNCTION("""COMPUTED_VALUE"""),45968.0)</f>
        <v>45968</v>
      </c>
      <c r="F1314" s="5">
        <f>IFERROR(__xludf.DUMMYFUNCTION("""COMPUTED_VALUE"""),8.0)</f>
        <v>8</v>
      </c>
      <c r="G1314" s="19" t="str">
        <f>IFERROR(__xludf.DUMMYFUNCTION("""COMPUTED_VALUE"""),"Instant Forms")</f>
        <v>Instant Forms</v>
      </c>
      <c r="H1314" s="19" t="str">
        <f>IFERROR(__xludf.DUMMYFUNCTION("""COMPUTED_VALUE"""),"Mark Kerr")</f>
        <v>Mark Kerr</v>
      </c>
      <c r="I1314" s="62">
        <f>IFERROR(__xludf.DUMMYFUNCTION("""COMPUTED_VALUE"""),6.1409050499E10)</f>
        <v>61409050499</v>
      </c>
      <c r="J1314" s="19" t="str">
        <f>IFERROR(__xludf.DUMMYFUNCTION("""COMPUTED_VALUE"""),"kerrmark13@gmail.com")</f>
        <v>kerrmark13@gmail.com</v>
      </c>
    </row>
    <row r="1315">
      <c r="A1315" s="19" t="str">
        <f>IFERROR(__xludf.DUMMYFUNCTION("""COMPUTED_VALUE"""),"Jae Turner")</f>
        <v>Jae Turner</v>
      </c>
      <c r="B1315" s="19" t="str">
        <f>IFERROR(__xludf.DUMMYFUNCTION("""COMPUTED_VALUE"""),"QLD")</f>
        <v>QLD</v>
      </c>
      <c r="C1315" s="5" t="str">
        <f>IFERROR(__xludf.DUMMYFUNCTION("""COMPUTED_VALUE"""),"Coolum beach")</f>
        <v>Coolum beach</v>
      </c>
      <c r="D1315" s="5" t="str">
        <f>IFERROR(__xludf.DUMMYFUNCTION("""COMPUTED_VALUE"""),"2-4 Karlee Court Coolum Beach QLD 4573")</f>
        <v>2-4 Karlee Court Coolum Beach QLD 4573</v>
      </c>
      <c r="E1315" s="25">
        <f>IFERROR(__xludf.DUMMYFUNCTION("""COMPUTED_VALUE"""),45978.0)</f>
        <v>45978</v>
      </c>
      <c r="F1315" s="5">
        <f>IFERROR(__xludf.DUMMYFUNCTION("""COMPUTED_VALUE"""),8.0)</f>
        <v>8</v>
      </c>
      <c r="G1315" s="19" t="str">
        <f>IFERROR(__xludf.DUMMYFUNCTION("""COMPUTED_VALUE"""),"Instant Forms")</f>
        <v>Instant Forms</v>
      </c>
      <c r="H1315" s="19" t="str">
        <f>IFERROR(__xludf.DUMMYFUNCTION("""COMPUTED_VALUE"""),"Sam Tucker")</f>
        <v>Sam Tucker</v>
      </c>
      <c r="I1315" s="62">
        <f>IFERROR(__xludf.DUMMYFUNCTION("""COMPUTED_VALUE"""),6.1484591685E10)</f>
        <v>61484591685</v>
      </c>
      <c r="J1315" s="19" t="str">
        <f>IFERROR(__xludf.DUMMYFUNCTION("""COMPUTED_VALUE"""),"samtucker20@gmail.com")</f>
        <v>samtucker20@gmail.com</v>
      </c>
    </row>
    <row r="1316">
      <c r="A1316" s="19" t="str">
        <f>IFERROR(__xludf.DUMMYFUNCTION("""COMPUTED_VALUE"""),"Jae Turner")</f>
        <v>Jae Turner</v>
      </c>
      <c r="B1316" s="19" t="str">
        <f>IFERROR(__xludf.DUMMYFUNCTION("""COMPUTED_VALUE"""),"QLD")</f>
        <v>QLD</v>
      </c>
      <c r="C1316" s="5" t="str">
        <f>IFERROR(__xludf.DUMMYFUNCTION("""COMPUTED_VALUE"""),"Coolum Beach")</f>
        <v>Coolum Beach</v>
      </c>
      <c r="D1316" s="5" t="str">
        <f>IFERROR(__xludf.DUMMYFUNCTION("""COMPUTED_VALUE"""),"2 karlee court")</f>
        <v>2 karlee court</v>
      </c>
      <c r="E1316" s="5" t="str">
        <f>IFERROR(__xludf.DUMMYFUNCTION("""COMPUTED_VALUE"""),"29/11/2025")</f>
        <v>29/11/2025</v>
      </c>
      <c r="F1316" s="64">
        <f>IFERROR(__xludf.DUMMYFUNCTION("""COMPUTED_VALUE"""),0.2)</f>
        <v>0.2</v>
      </c>
      <c r="G1316" s="19" t="str">
        <f>IFERROR(__xludf.DUMMYFUNCTION("""COMPUTED_VALUE"""),"Commission Comparison")</f>
        <v>Commission Comparison</v>
      </c>
      <c r="H1316" s="19" t="str">
        <f>IFERROR(__xludf.DUMMYFUNCTION("""COMPUTED_VALUE"""),"Sam Tucker")</f>
        <v>Sam Tucker</v>
      </c>
      <c r="I1316" s="62">
        <f>IFERROR(__xludf.DUMMYFUNCTION("""COMPUTED_VALUE"""),6.1484591685E10)</f>
        <v>61484591685</v>
      </c>
      <c r="J1316" s="19" t="str">
        <f>IFERROR(__xludf.DUMMYFUNCTION("""COMPUTED_VALUE"""),"samtucker20@gmail.com")</f>
        <v>samtucker20@gmail.com</v>
      </c>
    </row>
    <row r="1317">
      <c r="A1317" s="19" t="str">
        <f>IFERROR(__xludf.DUMMYFUNCTION("""COMPUTED_VALUE"""),"Jae Turner")</f>
        <v>Jae Turner</v>
      </c>
      <c r="B1317" s="19" t="str">
        <f>IFERROR(__xludf.DUMMYFUNCTION("""COMPUTED_VALUE"""),"QLD")</f>
        <v>QLD</v>
      </c>
      <c r="C1317" s="5" t="str">
        <f>IFERROR(__xludf.DUMMYFUNCTION("""COMPUTED_VALUE"""),"Coolum Beach")</f>
        <v>Coolum Beach</v>
      </c>
      <c r="D1317" s="5" t="str">
        <f>IFERROR(__xludf.DUMMYFUNCTION("""COMPUTED_VALUE"""),"19 Sammi Court Coolum Beach QLD 4573")</f>
        <v>19 Sammi Court Coolum Beach QLD 4573</v>
      </c>
      <c r="E1317" s="27">
        <f>IFERROR(__xludf.DUMMYFUNCTION("""COMPUTED_VALUE"""),45669.0)</f>
        <v>45669</v>
      </c>
      <c r="F1317" s="64">
        <f>IFERROR(__xludf.DUMMYFUNCTION("""COMPUTED_VALUE"""),0.2)</f>
        <v>0.2</v>
      </c>
      <c r="G1317" s="19" t="str">
        <f>IFERROR(__xludf.DUMMYFUNCTION("""COMPUTED_VALUE"""),"Instant Forms")</f>
        <v>Instant Forms</v>
      </c>
      <c r="H1317" s="19" t="str">
        <f>IFERROR(__xludf.DUMMYFUNCTION("""COMPUTED_VALUE"""),"Sherrille Hermon")</f>
        <v>Sherrille Hermon</v>
      </c>
      <c r="I1317" s="62">
        <f>IFERROR(__xludf.DUMMYFUNCTION("""COMPUTED_VALUE"""),6.1457750369E10)</f>
        <v>61457750369</v>
      </c>
      <c r="J1317" s="19" t="str">
        <f>IFERROR(__xludf.DUMMYFUNCTION("""COMPUTED_VALUE"""),"sherrillehermon@yahoo.com")</f>
        <v>sherrillehermon@yahoo.com</v>
      </c>
    </row>
    <row r="1318">
      <c r="A1318" s="19" t="str">
        <f>IFERROR(__xludf.DUMMYFUNCTION("""COMPUTED_VALUE"""),"Jae Turner")</f>
        <v>Jae Turner</v>
      </c>
      <c r="B1318" s="19" t="str">
        <f>IFERROR(__xludf.DUMMYFUNCTION("""COMPUTED_VALUE"""),"QLD")</f>
        <v>QLD</v>
      </c>
      <c r="C1318" s="5" t="str">
        <f>IFERROR(__xludf.DUMMYFUNCTION("""COMPUTED_VALUE"""),"Peregian Beach")</f>
        <v>Peregian Beach</v>
      </c>
      <c r="D1318" s="5" t="str">
        <f>IFERROR(__xludf.DUMMYFUNCTION("""COMPUTED_VALUE"""),"101 Persimmon Drive Peregian Beach QLD 4573")</f>
        <v>101 Persimmon Drive Peregian Beach QLD 4573</v>
      </c>
      <c r="E1318" s="27">
        <f>IFERROR(__xludf.DUMMYFUNCTION("""COMPUTED_VALUE"""),45820.0)</f>
        <v>45820</v>
      </c>
      <c r="F1318" s="64">
        <f>IFERROR(__xludf.DUMMYFUNCTION("""COMPUTED_VALUE"""),0.2)</f>
        <v>0.2</v>
      </c>
      <c r="G1318" s="19" t="str">
        <f>IFERROR(__xludf.DUMMYFUNCTION("""COMPUTED_VALUE"""),"Commission Comparison")</f>
        <v>Commission Comparison</v>
      </c>
      <c r="H1318" s="19" t="str">
        <f>IFERROR(__xludf.DUMMYFUNCTION("""COMPUTED_VALUE"""),"Daryl Sommerville")</f>
        <v>Daryl Sommerville</v>
      </c>
      <c r="I1318" s="62">
        <f>IFERROR(__xludf.DUMMYFUNCTION("""COMPUTED_VALUE"""),6.1450127679E10)</f>
        <v>61450127679</v>
      </c>
      <c r="J1318" s="19" t="str">
        <f>IFERROR(__xludf.DUMMYFUNCTION("""COMPUTED_VALUE"""),"darylsommerville@aol.com")</f>
        <v>darylsommerville@aol.com</v>
      </c>
    </row>
    <row r="1319">
      <c r="A1319" s="19" t="str">
        <f>IFERROR(__xludf.DUMMYFUNCTION("""COMPUTED_VALUE"""),"")</f>
        <v/>
      </c>
      <c r="B1319" s="19" t="str">
        <f>IFERROR(__xludf.DUMMYFUNCTION("""COMPUTED_VALUE"""),"")</f>
        <v/>
      </c>
      <c r="C1319" s="5" t="str">
        <f>IFERROR(__xludf.DUMMYFUNCTION("""COMPUTED_VALUE"""),"")</f>
        <v/>
      </c>
      <c r="D1319" s="5" t="str">
        <f>IFERROR(__xludf.DUMMYFUNCTION("""COMPUTED_VALUE"""),"")</f>
        <v/>
      </c>
      <c r="E1319" s="5" t="str">
        <f>IFERROR(__xludf.DUMMYFUNCTION("""COMPUTED_VALUE"""),"")</f>
        <v/>
      </c>
      <c r="F1319" s="5" t="str">
        <f>IFERROR(__xludf.DUMMYFUNCTION("""COMPUTED_VALUE"""),"")</f>
        <v/>
      </c>
      <c r="G1319" s="19" t="str">
        <f>IFERROR(__xludf.DUMMYFUNCTION("""COMPUTED_VALUE"""),"")</f>
        <v/>
      </c>
      <c r="H1319" s="19" t="str">
        <f>IFERROR(__xludf.DUMMYFUNCTION("""COMPUTED_VALUE"""),"")</f>
        <v/>
      </c>
      <c r="I1319" s="62" t="str">
        <f>IFERROR(__xludf.DUMMYFUNCTION("""COMPUTED_VALUE"""),"")</f>
        <v/>
      </c>
      <c r="J1319" s="19" t="str">
        <f>IFERROR(__xludf.DUMMYFUNCTION("""COMPUTED_VALUE"""),"")</f>
        <v/>
      </c>
    </row>
    <row r="1320">
      <c r="A1320" s="19" t="str">
        <f>IFERROR(__xludf.DUMMYFUNCTION("""COMPUTED_VALUE"""),"")</f>
        <v/>
      </c>
      <c r="B1320" s="19" t="str">
        <f>IFERROR(__xludf.DUMMYFUNCTION("""COMPUTED_VALUE"""),"")</f>
        <v/>
      </c>
      <c r="C1320" s="5" t="str">
        <f>IFERROR(__xludf.DUMMYFUNCTION("""COMPUTED_VALUE"""),"")</f>
        <v/>
      </c>
      <c r="D1320" s="5" t="str">
        <f>IFERROR(__xludf.DUMMYFUNCTION("""COMPUTED_VALUE"""),"")</f>
        <v/>
      </c>
      <c r="E1320" s="5" t="str">
        <f>IFERROR(__xludf.DUMMYFUNCTION("""COMPUTED_VALUE"""),"")</f>
        <v/>
      </c>
      <c r="F1320" s="5" t="str">
        <f>IFERROR(__xludf.DUMMYFUNCTION("""COMPUTED_VALUE"""),"")</f>
        <v/>
      </c>
      <c r="G1320" s="19" t="str">
        <f>IFERROR(__xludf.DUMMYFUNCTION("""COMPUTED_VALUE"""),"")</f>
        <v/>
      </c>
      <c r="H1320" s="19" t="str">
        <f>IFERROR(__xludf.DUMMYFUNCTION("""COMPUTED_VALUE"""),"")</f>
        <v/>
      </c>
      <c r="I1320" s="62" t="str">
        <f>IFERROR(__xludf.DUMMYFUNCTION("""COMPUTED_VALUE"""),"")</f>
        <v/>
      </c>
      <c r="J1320" s="19" t="str">
        <f>IFERROR(__xludf.DUMMYFUNCTION("""COMPUTED_VALUE"""),"")</f>
        <v/>
      </c>
    </row>
    <row r="1321">
      <c r="A1321" s="19" t="str">
        <f>IFERROR(__xludf.DUMMYFUNCTION("""COMPUTED_VALUE"""),"James Baker")</f>
        <v>James Baker</v>
      </c>
      <c r="B1321" s="19" t="str">
        <f>IFERROR(__xludf.DUMMYFUNCTION("""COMPUTED_VALUE"""),"NSW")</f>
        <v>NSW</v>
      </c>
      <c r="C1321" s="5"/>
      <c r="D1321" s="5" t="str">
        <f>IFERROR(__xludf.DUMMYFUNCTION("""COMPUTED_VALUE"""),"32 Dress Circle Road")</f>
        <v>32 Dress Circle Road</v>
      </c>
      <c r="E1321" s="25">
        <f>IFERROR(__xludf.DUMMYFUNCTION("""COMPUTED_VALUE"""),45901.0)</f>
        <v>45901</v>
      </c>
      <c r="F1321" s="5" t="str">
        <f>IFERROR(__xludf.DUMMYFUNCTION("""COMPUTED_VALUE"""),"Free")</f>
        <v>Free</v>
      </c>
      <c r="G1321" s="19" t="str">
        <f>IFERROR(__xludf.DUMMYFUNCTION("""COMPUTED_VALUE"""),"Instant Forms")</f>
        <v>Instant Forms</v>
      </c>
      <c r="H1321" s="19"/>
      <c r="I1321" s="62"/>
      <c r="J1321" s="19"/>
    </row>
    <row r="1322">
      <c r="A1322" s="19" t="str">
        <f>IFERROR(__xludf.DUMMYFUNCTION("""COMPUTED_VALUE"""),"James Baker")</f>
        <v>James Baker</v>
      </c>
      <c r="B1322" s="19" t="str">
        <f>IFERROR(__xludf.DUMMYFUNCTION("""COMPUTED_VALUE"""),"NSW")</f>
        <v>NSW</v>
      </c>
      <c r="C1322" s="5" t="str">
        <f>IFERROR(__xludf.DUMMYFUNCTION("""COMPUTED_VALUE"""),"Avalon")</f>
        <v>Avalon</v>
      </c>
      <c r="D1322" s="5" t="str">
        <f>IFERROR(__xludf.DUMMYFUNCTION("""COMPUTED_VALUE"""),"39 Chisholm Avenue Avalon Beach NSW 2107")</f>
        <v>39 Chisholm Avenue Avalon Beach NSW 2107</v>
      </c>
      <c r="E1322" s="25">
        <f>IFERROR(__xludf.DUMMYFUNCTION("""COMPUTED_VALUE"""),45904.0)</f>
        <v>45904</v>
      </c>
      <c r="F1322" s="5" t="str">
        <f>IFERROR(__xludf.DUMMYFUNCTION("""COMPUTED_VALUE"""),"Featured")</f>
        <v>Featured</v>
      </c>
      <c r="G1322" s="19" t="str">
        <f>IFERROR(__xludf.DUMMYFUNCTION("""COMPUTED_VALUE"""),"Instant Forms")</f>
        <v>Instant Forms</v>
      </c>
      <c r="H1322" s="19"/>
      <c r="I1322" s="62"/>
      <c r="J1322" s="19"/>
    </row>
    <row r="1323">
      <c r="A1323" s="19" t="str">
        <f>IFERROR(__xludf.DUMMYFUNCTION("""COMPUTED_VALUE"""),"James Baker")</f>
        <v>James Baker</v>
      </c>
      <c r="B1323" s="19" t="str">
        <f>IFERROR(__xludf.DUMMYFUNCTION("""COMPUTED_VALUE"""),"NSW")</f>
        <v>NSW</v>
      </c>
      <c r="C1323" s="5" t="str">
        <f>IFERROR(__xludf.DUMMYFUNCTION("""COMPUTED_VALUE"""),"Clareville")</f>
        <v>Clareville</v>
      </c>
      <c r="D1323" s="5" t="str">
        <f>IFERROR(__xludf.DUMMYFUNCTION("""COMPUTED_VALUE"""),"59 Riverview Road Avalon Beach NSW 2107")</f>
        <v>59 Riverview Road Avalon Beach NSW 2107</v>
      </c>
      <c r="E1323" s="25">
        <f>IFERROR(__xludf.DUMMYFUNCTION("""COMPUTED_VALUE"""),45911.0)</f>
        <v>45911</v>
      </c>
      <c r="F1323" s="5">
        <f>IFERROR(__xludf.DUMMYFUNCTION("""COMPUTED_VALUE"""),8.0)</f>
        <v>8</v>
      </c>
      <c r="G1323" s="19" t="str">
        <f>IFERROR(__xludf.DUMMYFUNCTION("""COMPUTED_VALUE"""),"Instant Forms")</f>
        <v>Instant Forms</v>
      </c>
      <c r="H1323" s="19" t="str">
        <f>IFERROR(__xludf.DUMMYFUNCTION("""COMPUTED_VALUE"""),"Peter Gale")</f>
        <v>Peter Gale</v>
      </c>
      <c r="I1323" s="62"/>
      <c r="J1323" s="19"/>
    </row>
    <row r="1324">
      <c r="A1324" s="19" t="str">
        <f>IFERROR(__xludf.DUMMYFUNCTION("""COMPUTED_VALUE"""),"James Baker")</f>
        <v>James Baker</v>
      </c>
      <c r="B1324" s="19" t="str">
        <f>IFERROR(__xludf.DUMMYFUNCTION("""COMPUTED_VALUE"""),"NSW")</f>
        <v>NSW</v>
      </c>
      <c r="C1324" s="5" t="str">
        <f>IFERROR(__xludf.DUMMYFUNCTION("""COMPUTED_VALUE"""),"palm beach 2108")</f>
        <v>palm beach 2108</v>
      </c>
      <c r="D1324" s="5" t="str">
        <f>IFERROR(__xludf.DUMMYFUNCTION("""COMPUTED_VALUE"""),"884 Barrenjoey Road Palm Beach NSW 2108")</f>
        <v>884 Barrenjoey Road Palm Beach NSW 2108</v>
      </c>
      <c r="E1324" s="25">
        <f>IFERROR(__xludf.DUMMYFUNCTION("""COMPUTED_VALUE"""),45916.0)</f>
        <v>45916</v>
      </c>
      <c r="F1324" s="5">
        <f>IFERROR(__xludf.DUMMYFUNCTION("""COMPUTED_VALUE"""),8.0)</f>
        <v>8</v>
      </c>
      <c r="G1324" s="19" t="str">
        <f>IFERROR(__xludf.DUMMYFUNCTION("""COMPUTED_VALUE"""),"Instant Forms")</f>
        <v>Instant Forms</v>
      </c>
      <c r="H1324" s="19" t="str">
        <f>IFERROR(__xludf.DUMMYFUNCTION("""COMPUTED_VALUE"""),"Francoise Coadou-Porter")</f>
        <v>Francoise Coadou-Porter</v>
      </c>
      <c r="I1324" s="62"/>
      <c r="J1324" s="19"/>
    </row>
    <row r="1325">
      <c r="A1325" s="19" t="str">
        <f>IFERROR(__xludf.DUMMYFUNCTION("""COMPUTED_VALUE"""),"James Baker")</f>
        <v>James Baker</v>
      </c>
      <c r="B1325" s="19" t="str">
        <f>IFERROR(__xludf.DUMMYFUNCTION("""COMPUTED_VALUE"""),"NSW")</f>
        <v>NSW</v>
      </c>
      <c r="C1325" s="5" t="str">
        <f>IFERROR(__xludf.DUMMYFUNCTION("""COMPUTED_VALUE"""),"Avalon")</f>
        <v>Avalon</v>
      </c>
      <c r="D1325" s="5" t="str">
        <f>IFERROR(__xludf.DUMMYFUNCTION("""COMPUTED_VALUE"""),"78 George Street Avalon Beach NSW 2107")</f>
        <v>78 George Street Avalon Beach NSW 2107</v>
      </c>
      <c r="E1325" s="25">
        <f>IFERROR(__xludf.DUMMYFUNCTION("""COMPUTED_VALUE"""),45956.0)</f>
        <v>45956</v>
      </c>
      <c r="F1325" s="5">
        <f>IFERROR(__xludf.DUMMYFUNCTION("""COMPUTED_VALUE"""),8.0)</f>
        <v>8</v>
      </c>
      <c r="G1325" s="19" t="str">
        <f>IFERROR(__xludf.DUMMYFUNCTION("""COMPUTED_VALUE"""),"Instant Forms")</f>
        <v>Instant Forms</v>
      </c>
      <c r="H1325" s="19"/>
      <c r="I1325" s="62"/>
      <c r="J1325" s="19"/>
    </row>
    <row r="1326">
      <c r="A1326" s="19" t="str">
        <f>IFERROR(__xludf.DUMMYFUNCTION("""COMPUTED_VALUE"""),"James Baker")</f>
        <v>James Baker</v>
      </c>
      <c r="B1326" s="19" t="str">
        <f>IFERROR(__xludf.DUMMYFUNCTION("""COMPUTED_VALUE"""),"NSW")</f>
        <v>NSW</v>
      </c>
      <c r="C1326" s="5" t="str">
        <f>IFERROR(__xludf.DUMMYFUNCTION("""COMPUTED_VALUE"""),"Avalon Beach")</f>
        <v>Avalon Beach</v>
      </c>
      <c r="D1326" s="5" t="str">
        <f>IFERROR(__xludf.DUMMYFUNCTION("""COMPUTED_VALUE"""),"60 Cabarita Road Avalon Beach NSW 2107")</f>
        <v>60 Cabarita Road Avalon Beach NSW 2107</v>
      </c>
      <c r="E1326" s="25" t="str">
        <f>IFERROR(__xludf.DUMMYFUNCTION("""COMPUTED_VALUE"""),"14/11/2025")</f>
        <v>14/11/2025</v>
      </c>
      <c r="F1326" s="5">
        <f>IFERROR(__xludf.DUMMYFUNCTION("""COMPUTED_VALUE"""),5.0)</f>
        <v>5</v>
      </c>
      <c r="G1326" s="19" t="str">
        <f>IFERROR(__xludf.DUMMYFUNCTION("""COMPUTED_VALUE"""),"Instant Forms")</f>
        <v>Instant Forms</v>
      </c>
      <c r="H1326" s="19" t="str">
        <f>IFERROR(__xludf.DUMMYFUNCTION("""COMPUTED_VALUE"""),"Geoff Smith")</f>
        <v>Geoff Smith</v>
      </c>
      <c r="I1326" s="62">
        <f>IFERROR(__xludf.DUMMYFUNCTION("""COMPUTED_VALUE"""),6.141929353E10)</f>
        <v>61419293530</v>
      </c>
      <c r="J1326" s="19" t="str">
        <f>IFERROR(__xludf.DUMMYFUNCTION("""COMPUTED_VALUE"""),"geoff.smith@hotmail.com")</f>
        <v>geoff.smith@hotmail.com</v>
      </c>
    </row>
    <row r="1327">
      <c r="A1327" s="19" t="str">
        <f>IFERROR(__xludf.DUMMYFUNCTION("""COMPUTED_VALUE"""),"James Baker")</f>
        <v>James Baker</v>
      </c>
      <c r="B1327" s="19" t="str">
        <f>IFERROR(__xludf.DUMMYFUNCTION("""COMPUTED_VALUE"""),"NSW")</f>
        <v>NSW</v>
      </c>
      <c r="C1327" s="5" t="str">
        <f>IFERROR(__xludf.DUMMYFUNCTION("""COMPUTED_VALUE"""),"Newport")</f>
        <v>Newport</v>
      </c>
      <c r="D1327" s="5" t="str">
        <f>IFERROR(__xludf.DUMMYFUNCTION("""COMPUTED_VALUE"""),"93 Princes Lane Newport NSW 2106")</f>
        <v>93 Princes Lane Newport NSW 2106</v>
      </c>
      <c r="E1327" s="25">
        <f>IFERROR(__xludf.DUMMYFUNCTION("""COMPUTED_VALUE"""),45978.0)</f>
        <v>45978</v>
      </c>
      <c r="F1327" s="5">
        <f>IFERROR(__xludf.DUMMYFUNCTION("""COMPUTED_VALUE"""),8.0)</f>
        <v>8</v>
      </c>
      <c r="G1327" s="19" t="str">
        <f>IFERROR(__xludf.DUMMYFUNCTION("""COMPUTED_VALUE"""),"Instant Forms")</f>
        <v>Instant Forms</v>
      </c>
      <c r="H1327" s="19" t="str">
        <f>IFERROR(__xludf.DUMMYFUNCTION("""COMPUTED_VALUE"""),"Ingrid Hendry")</f>
        <v>Ingrid Hendry</v>
      </c>
      <c r="I1327" s="62">
        <f>IFERROR(__xludf.DUMMYFUNCTION("""COMPUTED_VALUE"""),6.1424942332E10)</f>
        <v>61424942332</v>
      </c>
      <c r="J1327" s="19" t="str">
        <f>IFERROR(__xludf.DUMMYFUNCTION("""COMPUTED_VALUE"""),"ingridhendry@yahoo.co.uk")</f>
        <v>ingridhendry@yahoo.co.uk</v>
      </c>
    </row>
    <row r="1328">
      <c r="A1328" s="19" t="str">
        <f>IFERROR(__xludf.DUMMYFUNCTION("""COMPUTED_VALUE"""),"James Baker")</f>
        <v>James Baker</v>
      </c>
      <c r="B1328" s="19" t="str">
        <f>IFERROR(__xludf.DUMMYFUNCTION("""COMPUTED_VALUE"""),"NSW")</f>
        <v>NSW</v>
      </c>
      <c r="C1328" s="5" t="str">
        <f>IFERROR(__xludf.DUMMYFUNCTION("""COMPUTED_VALUE"""),"Avalon Beach")</f>
        <v>Avalon Beach</v>
      </c>
      <c r="D1328" s="5" t="str">
        <f>IFERROR(__xludf.DUMMYFUNCTION("""COMPUTED_VALUE"""),"6A Trentwood Park Avalon Beach NSW 2107")</f>
        <v>6A Trentwood Park Avalon Beach NSW 2107</v>
      </c>
      <c r="E1328" s="27">
        <f>IFERROR(__xludf.DUMMYFUNCTION("""COMPUTED_VALUE"""),45820.0)</f>
        <v>45820</v>
      </c>
      <c r="F1328" s="64">
        <f>IFERROR(__xludf.DUMMYFUNCTION("""COMPUTED_VALUE"""),0.2)</f>
        <v>0.2</v>
      </c>
      <c r="G1328" s="19" t="str">
        <f>IFERROR(__xludf.DUMMYFUNCTION("""COMPUTED_VALUE"""),"Commission Comparison")</f>
        <v>Commission Comparison</v>
      </c>
      <c r="H1328" s="19" t="str">
        <f>IFERROR(__xludf.DUMMYFUNCTION("""COMPUTED_VALUE"""),"Veronica Thomas")</f>
        <v>Veronica Thomas</v>
      </c>
      <c r="I1328" s="62">
        <f>IFERROR(__xludf.DUMMYFUNCTION("""COMPUTED_VALUE"""),6.1417061534E10)</f>
        <v>61417061534</v>
      </c>
      <c r="J1328" s="19" t="str">
        <f>IFERROR(__xludf.DUMMYFUNCTION("""COMPUTED_VALUE"""),"veronicathomas2009@gmail.com")</f>
        <v>veronicathomas2009@gmail.com</v>
      </c>
    </row>
    <row r="1329">
      <c r="A1329" s="19" t="str">
        <f>IFERROR(__xludf.DUMMYFUNCTION("""COMPUTED_VALUE"""),"")</f>
        <v/>
      </c>
      <c r="B1329" s="19" t="str">
        <f>IFERROR(__xludf.DUMMYFUNCTION("""COMPUTED_VALUE"""),"")</f>
        <v/>
      </c>
      <c r="C1329" s="5" t="str">
        <f>IFERROR(__xludf.DUMMYFUNCTION("""COMPUTED_VALUE"""),"")</f>
        <v/>
      </c>
      <c r="D1329" s="5" t="str">
        <f>IFERROR(__xludf.DUMMYFUNCTION("""COMPUTED_VALUE"""),"")</f>
        <v/>
      </c>
      <c r="E1329" s="5" t="str">
        <f>IFERROR(__xludf.DUMMYFUNCTION("""COMPUTED_VALUE"""),"")</f>
        <v/>
      </c>
      <c r="F1329" s="5" t="str">
        <f>IFERROR(__xludf.DUMMYFUNCTION("""COMPUTED_VALUE"""),"")</f>
        <v/>
      </c>
      <c r="G1329" s="19" t="str">
        <f>IFERROR(__xludf.DUMMYFUNCTION("""COMPUTED_VALUE"""),"")</f>
        <v/>
      </c>
      <c r="H1329" s="19" t="str">
        <f>IFERROR(__xludf.DUMMYFUNCTION("""COMPUTED_VALUE"""),"")</f>
        <v/>
      </c>
      <c r="I1329" s="62" t="str">
        <f>IFERROR(__xludf.DUMMYFUNCTION("""COMPUTED_VALUE"""),"")</f>
        <v/>
      </c>
      <c r="J1329" s="19" t="str">
        <f>IFERROR(__xludf.DUMMYFUNCTION("""COMPUTED_VALUE"""),"")</f>
        <v/>
      </c>
    </row>
    <row r="1330">
      <c r="A1330" s="19" t="str">
        <f>IFERROR(__xludf.DUMMYFUNCTION("""COMPUTED_VALUE"""),"")</f>
        <v/>
      </c>
      <c r="B1330" s="19" t="str">
        <f>IFERROR(__xludf.DUMMYFUNCTION("""COMPUTED_VALUE"""),"")</f>
        <v/>
      </c>
      <c r="C1330" s="5" t="str">
        <f>IFERROR(__xludf.DUMMYFUNCTION("""COMPUTED_VALUE"""),"")</f>
        <v/>
      </c>
      <c r="D1330" s="5" t="str">
        <f>IFERROR(__xludf.DUMMYFUNCTION("""COMPUTED_VALUE"""),"")</f>
        <v/>
      </c>
      <c r="E1330" s="5" t="str">
        <f>IFERROR(__xludf.DUMMYFUNCTION("""COMPUTED_VALUE"""),"")</f>
        <v/>
      </c>
      <c r="F1330" s="5" t="str">
        <f>IFERROR(__xludf.DUMMYFUNCTION("""COMPUTED_VALUE"""),"")</f>
        <v/>
      </c>
      <c r="G1330" s="19" t="str">
        <f>IFERROR(__xludf.DUMMYFUNCTION("""COMPUTED_VALUE"""),"")</f>
        <v/>
      </c>
      <c r="H1330" s="19" t="str">
        <f>IFERROR(__xludf.DUMMYFUNCTION("""COMPUTED_VALUE"""),"")</f>
        <v/>
      </c>
      <c r="I1330" s="62" t="str">
        <f>IFERROR(__xludf.DUMMYFUNCTION("""COMPUTED_VALUE"""),"")</f>
        <v/>
      </c>
      <c r="J1330" s="19" t="str">
        <f>IFERROR(__xludf.DUMMYFUNCTION("""COMPUTED_VALUE"""),"")</f>
        <v/>
      </c>
    </row>
    <row r="1331">
      <c r="A1331" s="19" t="str">
        <f>IFERROR(__xludf.DUMMYFUNCTION("""COMPUTED_VALUE"""),"Jamie Rivett")</f>
        <v>Jamie Rivett</v>
      </c>
      <c r="B1331" s="19" t="str">
        <f>IFERROR(__xludf.DUMMYFUNCTION("""COMPUTED_VALUE"""),"QLD")</f>
        <v>QLD</v>
      </c>
      <c r="C1331" s="5" t="str">
        <f>IFERROR(__xludf.DUMMYFUNCTION("""COMPUTED_VALUE"""),"Tarragindi")</f>
        <v>Tarragindi</v>
      </c>
      <c r="D1331" s="5" t="str">
        <f>IFERROR(__xludf.DUMMYFUNCTION("""COMPUTED_VALUE"""),"174 Cracknell Road, Tarragindi, QLD, 4121, Australia")</f>
        <v>174 Cracknell Road, Tarragindi, QLD, 4121, Australia</v>
      </c>
      <c r="E1331" s="25">
        <f>IFERROR(__xludf.DUMMYFUNCTION("""COMPUTED_VALUE"""),45975.0)</f>
        <v>45975</v>
      </c>
      <c r="F1331" s="5" t="str">
        <f>IFERROR(__xludf.DUMMYFUNCTION("""COMPUTED_VALUE"""),"Featured")</f>
        <v>Featured</v>
      </c>
      <c r="G1331" s="19" t="str">
        <f>IFERROR(__xludf.DUMMYFUNCTION("""COMPUTED_VALUE"""),"Commission Comparison")</f>
        <v>Commission Comparison</v>
      </c>
      <c r="H1331" s="19" t="str">
        <f>IFERROR(__xludf.DUMMYFUNCTION("""COMPUTED_VALUE"""),"Kelli Bridges")</f>
        <v>Kelli Bridges</v>
      </c>
      <c r="I1331" s="62">
        <f>IFERROR(__xludf.DUMMYFUNCTION("""COMPUTED_VALUE"""),6.10407374102E11)</f>
        <v>610407374102</v>
      </c>
      <c r="J1331" s="19" t="str">
        <f>IFERROR(__xludf.DUMMYFUNCTION("""COMPUTED_VALUE"""),"kelli.kindy@gmail.com")</f>
        <v>kelli.kindy@gmail.com</v>
      </c>
    </row>
    <row r="1332">
      <c r="A1332" s="19" t="str">
        <f>IFERROR(__xludf.DUMMYFUNCTION("""COMPUTED_VALUE"""),"Jamie Rivett")</f>
        <v>Jamie Rivett</v>
      </c>
      <c r="B1332" s="19" t="str">
        <f>IFERROR(__xludf.DUMMYFUNCTION("""COMPUTED_VALUE"""),"QLD")</f>
        <v>QLD</v>
      </c>
      <c r="C1332" s="5" t="str">
        <f>IFERROR(__xludf.DUMMYFUNCTION("""COMPUTED_VALUE"""),"Parkinson")</f>
        <v>Parkinson</v>
      </c>
      <c r="D1332" s="5" t="str">
        <f>IFERROR(__xludf.DUMMYFUNCTION("""COMPUTED_VALUE"""),"81 Lakewood Avenue Parkinson QLD 4115")</f>
        <v>81 Lakewood Avenue Parkinson QLD 4115</v>
      </c>
      <c r="E1332" s="25">
        <f>IFERROR(__xludf.DUMMYFUNCTION("""COMPUTED_VALUE"""),45975.0)</f>
        <v>45975</v>
      </c>
      <c r="F1332" s="5">
        <f>IFERROR(__xludf.DUMMYFUNCTION("""COMPUTED_VALUE"""),8.0)</f>
        <v>8</v>
      </c>
      <c r="G1332" s="19" t="str">
        <f>IFERROR(__xludf.DUMMYFUNCTION("""COMPUTED_VALUE"""),"Instant Forms")</f>
        <v>Instant Forms</v>
      </c>
      <c r="H1332" s="19" t="str">
        <f>IFERROR(__xludf.DUMMYFUNCTION("""COMPUTED_VALUE"""),"Sanjay Vaidya")</f>
        <v>Sanjay Vaidya</v>
      </c>
      <c r="I1332" s="62">
        <f>IFERROR(__xludf.DUMMYFUNCTION("""COMPUTED_VALUE"""),6.148136984E10)</f>
        <v>61481369840</v>
      </c>
      <c r="J1332" s="19" t="str">
        <f>IFERROR(__xludf.DUMMYFUNCTION("""COMPUTED_VALUE"""),"26.sanjay@gmail.com")</f>
        <v>26.sanjay@gmail.com</v>
      </c>
    </row>
    <row r="1333">
      <c r="A1333" s="19" t="str">
        <f>IFERROR(__xludf.DUMMYFUNCTION("""COMPUTED_VALUE"""),"Jamie Rivett")</f>
        <v>Jamie Rivett</v>
      </c>
      <c r="B1333" s="19" t="str">
        <f>IFERROR(__xludf.DUMMYFUNCTION("""COMPUTED_VALUE"""),"QLD")</f>
        <v>QLD</v>
      </c>
      <c r="C1333" s="5" t="str">
        <f>IFERROR(__xludf.DUMMYFUNCTION("""COMPUTED_VALUE"""),"Fairfield")</f>
        <v>Fairfield</v>
      </c>
      <c r="D1333" s="5" t="str">
        <f>IFERROR(__xludf.DUMMYFUNCTION("""COMPUTED_VALUE"""),"142 Ashby Street Fairfield QLD 4103")</f>
        <v>142 Ashby Street Fairfield QLD 4103</v>
      </c>
      <c r="E1333" s="5" t="str">
        <f>IFERROR(__xludf.DUMMYFUNCTION("""COMPUTED_VALUE"""),"26/11/2025")</f>
        <v>26/11/2025</v>
      </c>
      <c r="F1333" s="5">
        <f>IFERROR(__xludf.DUMMYFUNCTION("""COMPUTED_VALUE"""),8.0)</f>
        <v>8</v>
      </c>
      <c r="G1333" s="19" t="str">
        <f>IFERROR(__xludf.DUMMYFUNCTION("""COMPUTED_VALUE"""),"Instant Forms")</f>
        <v>Instant Forms</v>
      </c>
      <c r="H1333" s="19" t="str">
        <f>IFERROR(__xludf.DUMMYFUNCTION("""COMPUTED_VALUE"""),"Carl Bongaarts")</f>
        <v>Carl Bongaarts</v>
      </c>
      <c r="I1333" s="62">
        <f>IFERROR(__xludf.DUMMYFUNCTION("""COMPUTED_VALUE"""),6.1448243715E10)</f>
        <v>61448243715</v>
      </c>
      <c r="J1333" s="19" t="str">
        <f>IFERROR(__xludf.DUMMYFUNCTION("""COMPUTED_VALUE"""),"carl.bongaarts@gmail.com")</f>
        <v>carl.bongaarts@gmail.com</v>
      </c>
    </row>
    <row r="1334">
      <c r="A1334" s="19" t="str">
        <f>IFERROR(__xludf.DUMMYFUNCTION("""COMPUTED_VALUE"""),"Jamie Rivett")</f>
        <v>Jamie Rivett</v>
      </c>
      <c r="B1334" s="19" t="str">
        <f>IFERROR(__xludf.DUMMYFUNCTION("""COMPUTED_VALUE"""),"QLD")</f>
        <v>QLD</v>
      </c>
      <c r="C1334" s="5" t="str">
        <f>IFERROR(__xludf.DUMMYFUNCTION("""COMPUTED_VALUE"""),"Morningside")</f>
        <v>Morningside</v>
      </c>
      <c r="D1334" s="5" t="str">
        <f>IFERROR(__xludf.DUMMYFUNCTION("""COMPUTED_VALUE"""),"2 / 117 Stephens Street Morningside QLD 4170")</f>
        <v>2 / 117 Stephens Street Morningside QLD 4170</v>
      </c>
      <c r="E1334" s="27">
        <f>IFERROR(__xludf.DUMMYFUNCTION("""COMPUTED_VALUE"""),45669.0)</f>
        <v>45669</v>
      </c>
      <c r="F1334" s="64">
        <f>IFERROR(__xludf.DUMMYFUNCTION("""COMPUTED_VALUE"""),0.2)</f>
        <v>0.2</v>
      </c>
      <c r="G1334" s="19" t="str">
        <f>IFERROR(__xludf.DUMMYFUNCTION("""COMPUTED_VALUE"""),"Instant Forms")</f>
        <v>Instant Forms</v>
      </c>
      <c r="H1334" s="19" t="str">
        <f>IFERROR(__xludf.DUMMYFUNCTION("""COMPUTED_VALUE"""),"Hayley Kennedy")</f>
        <v>Hayley Kennedy</v>
      </c>
      <c r="I1334" s="62">
        <f>IFERROR(__xludf.DUMMYFUNCTION("""COMPUTED_VALUE"""),6.140459611E10)</f>
        <v>61404596110</v>
      </c>
      <c r="J1334" s="19" t="str">
        <f>IFERROR(__xludf.DUMMYFUNCTION("""COMPUTED_VALUE"""),"hayleykennedy1@gmail.com")</f>
        <v>hayleykennedy1@gmail.com</v>
      </c>
    </row>
    <row r="1335">
      <c r="A1335" s="19" t="str">
        <f>IFERROR(__xludf.DUMMYFUNCTION("""COMPUTED_VALUE"""),"Jamie Rivett")</f>
        <v>Jamie Rivett</v>
      </c>
      <c r="B1335" s="19" t="str">
        <f>IFERROR(__xludf.DUMMYFUNCTION("""COMPUTED_VALUE"""),"QLD")</f>
        <v>QLD</v>
      </c>
      <c r="C1335" s="5" t="str">
        <f>IFERROR(__xludf.DUMMYFUNCTION("""COMPUTED_VALUE"""),"Seven Hills")</f>
        <v>Seven Hills</v>
      </c>
      <c r="D1335" s="5" t="str">
        <f>IFERROR(__xludf.DUMMYFUNCTION("""COMPUTED_VALUE"""),"17 Aemilia Avenue Seven Hills QLD 4170")</f>
        <v>17 Aemilia Avenue Seven Hills QLD 4170</v>
      </c>
      <c r="E1335" s="27">
        <f>IFERROR(__xludf.DUMMYFUNCTION("""COMPUTED_VALUE"""),45820.0)</f>
        <v>45820</v>
      </c>
      <c r="F1335" s="64">
        <f>IFERROR(__xludf.DUMMYFUNCTION("""COMPUTED_VALUE"""),0.2)</f>
        <v>0.2</v>
      </c>
      <c r="G1335" s="19" t="str">
        <f>IFERROR(__xludf.DUMMYFUNCTION("""COMPUTED_VALUE"""),"Instant Forms")</f>
        <v>Instant Forms</v>
      </c>
      <c r="H1335" s="19" t="str">
        <f>IFERROR(__xludf.DUMMYFUNCTION("""COMPUTED_VALUE"""),"Marguerite James")</f>
        <v>Marguerite James</v>
      </c>
      <c r="I1335" s="62">
        <f>IFERROR(__xludf.DUMMYFUNCTION("""COMPUTED_VALUE"""),6.1421274123E10)</f>
        <v>61421274123</v>
      </c>
      <c r="J1335" s="19" t="str">
        <f>IFERROR(__xludf.DUMMYFUNCTION("""COMPUTED_VALUE"""),"mjmjames@icloud.com")</f>
        <v>mjmjames@icloud.com</v>
      </c>
    </row>
    <row r="1336">
      <c r="A1336" s="19" t="str">
        <f>IFERROR(__xludf.DUMMYFUNCTION("""COMPUTED_VALUE"""),"")</f>
        <v/>
      </c>
      <c r="B1336" s="19" t="str">
        <f>IFERROR(__xludf.DUMMYFUNCTION("""COMPUTED_VALUE"""),"")</f>
        <v/>
      </c>
      <c r="C1336" s="5" t="str">
        <f>IFERROR(__xludf.DUMMYFUNCTION("""COMPUTED_VALUE"""),"")</f>
        <v/>
      </c>
      <c r="D1336" s="5" t="str">
        <f>IFERROR(__xludf.DUMMYFUNCTION("""COMPUTED_VALUE"""),"")</f>
        <v/>
      </c>
      <c r="E1336" s="5" t="str">
        <f>IFERROR(__xludf.DUMMYFUNCTION("""COMPUTED_VALUE"""),"")</f>
        <v/>
      </c>
      <c r="F1336" s="5" t="str">
        <f>IFERROR(__xludf.DUMMYFUNCTION("""COMPUTED_VALUE"""),"")</f>
        <v/>
      </c>
      <c r="G1336" s="19" t="str">
        <f>IFERROR(__xludf.DUMMYFUNCTION("""COMPUTED_VALUE"""),"")</f>
        <v/>
      </c>
      <c r="H1336" s="19" t="str">
        <f>IFERROR(__xludf.DUMMYFUNCTION("""COMPUTED_VALUE"""),"")</f>
        <v/>
      </c>
      <c r="I1336" s="62" t="str">
        <f>IFERROR(__xludf.DUMMYFUNCTION("""COMPUTED_VALUE"""),"")</f>
        <v/>
      </c>
      <c r="J1336" s="19" t="str">
        <f>IFERROR(__xludf.DUMMYFUNCTION("""COMPUTED_VALUE"""),"")</f>
        <v/>
      </c>
    </row>
    <row r="1337">
      <c r="A1337" s="19" t="str">
        <f>IFERROR(__xludf.DUMMYFUNCTION("""COMPUTED_VALUE"""),"")</f>
        <v/>
      </c>
      <c r="B1337" s="19" t="str">
        <f>IFERROR(__xludf.DUMMYFUNCTION("""COMPUTED_VALUE"""),"")</f>
        <v/>
      </c>
      <c r="C1337" s="5" t="str">
        <f>IFERROR(__xludf.DUMMYFUNCTION("""COMPUTED_VALUE"""),"")</f>
        <v/>
      </c>
      <c r="D1337" s="5" t="str">
        <f>IFERROR(__xludf.DUMMYFUNCTION("""COMPUTED_VALUE"""),"")</f>
        <v/>
      </c>
      <c r="E1337" s="5" t="str">
        <f>IFERROR(__xludf.DUMMYFUNCTION("""COMPUTED_VALUE"""),"")</f>
        <v/>
      </c>
      <c r="F1337" s="5" t="str">
        <f>IFERROR(__xludf.DUMMYFUNCTION("""COMPUTED_VALUE"""),"")</f>
        <v/>
      </c>
      <c r="G1337" s="19" t="str">
        <f>IFERROR(__xludf.DUMMYFUNCTION("""COMPUTED_VALUE"""),"")</f>
        <v/>
      </c>
      <c r="H1337" s="19" t="str">
        <f>IFERROR(__xludf.DUMMYFUNCTION("""COMPUTED_VALUE"""),"")</f>
        <v/>
      </c>
      <c r="I1337" s="62" t="str">
        <f>IFERROR(__xludf.DUMMYFUNCTION("""COMPUTED_VALUE"""),"")</f>
        <v/>
      </c>
      <c r="J1337" s="19" t="str">
        <f>IFERROR(__xludf.DUMMYFUNCTION("""COMPUTED_VALUE"""),"")</f>
        <v/>
      </c>
    </row>
    <row r="1338">
      <c r="A1338" s="19" t="str">
        <f>IFERROR(__xludf.DUMMYFUNCTION("""COMPUTED_VALUE"""),"Jasmin Turpin")</f>
        <v>Jasmin Turpin</v>
      </c>
      <c r="B1338" s="19" t="str">
        <f>IFERROR(__xludf.DUMMYFUNCTION("""COMPUTED_VALUE"""),"QLD")</f>
        <v>QLD</v>
      </c>
      <c r="C1338" s="5">
        <f>IFERROR(__xludf.DUMMYFUNCTION("""COMPUTED_VALUE"""),4226.0)</f>
        <v>4226</v>
      </c>
      <c r="D1338" s="5" t="str">
        <f>IFERROR(__xludf.DUMMYFUNCTION("""COMPUTED_VALUE"""),"77 Kingarry Circuit Merrimac QLD 4226")</f>
        <v>77 Kingarry Circuit Merrimac QLD 4226</v>
      </c>
      <c r="E1338" s="63">
        <f>IFERROR(__xludf.DUMMYFUNCTION("""COMPUTED_VALUE"""),45842.5308912037)</f>
        <v>45842.53089</v>
      </c>
      <c r="F1338" s="5" t="str">
        <f>IFERROR(__xludf.DUMMYFUNCTION("""COMPUTED_VALUE"""),"Featured")</f>
        <v>Featured</v>
      </c>
      <c r="G1338" s="19" t="str">
        <f>IFERROR(__xludf.DUMMYFUNCTION("""COMPUTED_VALUE"""),"Instant Forms")</f>
        <v>Instant Forms</v>
      </c>
      <c r="H1338" s="19"/>
      <c r="I1338" s="62"/>
      <c r="J1338" s="19"/>
    </row>
    <row r="1339">
      <c r="A1339" s="19" t="str">
        <f>IFERROR(__xludf.DUMMYFUNCTION("""COMPUTED_VALUE"""),"Jasmin Turpin")</f>
        <v>Jasmin Turpin</v>
      </c>
      <c r="B1339" s="19" t="str">
        <f>IFERROR(__xludf.DUMMYFUNCTION("""COMPUTED_VALUE"""),"QLD")</f>
        <v>QLD</v>
      </c>
      <c r="C1339" s="5">
        <f>IFERROR(__xludf.DUMMYFUNCTION("""COMPUTED_VALUE"""),4211.0)</f>
        <v>4211</v>
      </c>
      <c r="D1339" s="5"/>
      <c r="E1339" s="63">
        <f>IFERROR(__xludf.DUMMYFUNCTION("""COMPUTED_VALUE"""),45848.752754629626)</f>
        <v>45848.75275</v>
      </c>
      <c r="F1339" s="5" t="str">
        <f>IFERROR(__xludf.DUMMYFUNCTION("""COMPUTED_VALUE"""),"Free")</f>
        <v>Free</v>
      </c>
      <c r="G1339" s="19" t="str">
        <f>IFERROR(__xludf.DUMMYFUNCTION("""COMPUTED_VALUE"""),"Instant Forms")</f>
        <v>Instant Forms</v>
      </c>
      <c r="H1339" s="19"/>
      <c r="I1339" s="62"/>
      <c r="J1339" s="19"/>
    </row>
    <row r="1340">
      <c r="A1340" s="19" t="str">
        <f>IFERROR(__xludf.DUMMYFUNCTION("""COMPUTED_VALUE"""),"Jasmin Turpin")</f>
        <v>Jasmin Turpin</v>
      </c>
      <c r="B1340" s="19" t="str">
        <f>IFERROR(__xludf.DUMMYFUNCTION("""COMPUTED_VALUE"""),"QLD")</f>
        <v>QLD</v>
      </c>
      <c r="C1340" s="5" t="str">
        <f>IFERROR(__xludf.DUMMYFUNCTION("""COMPUTED_VALUE"""),"Carrara")</f>
        <v>Carrara</v>
      </c>
      <c r="D1340" s="5" t="str">
        <f>IFERROR(__xludf.DUMMYFUNCTION("""COMPUTED_VALUE"""),"9 Jancoon Court Carrara QLD 4211")</f>
        <v>9 Jancoon Court Carrara QLD 4211</v>
      </c>
      <c r="E1340" s="25">
        <f>IFERROR(__xludf.DUMMYFUNCTION("""COMPUTED_VALUE"""),45889.0)</f>
        <v>45889</v>
      </c>
      <c r="F1340" s="5" t="str">
        <f>IFERROR(__xludf.DUMMYFUNCTION("""COMPUTED_VALUE"""),"Featured")</f>
        <v>Featured</v>
      </c>
      <c r="G1340" s="19" t="str">
        <f>IFERROR(__xludf.DUMMYFUNCTION("""COMPUTED_VALUE"""),"Instant Forms")</f>
        <v>Instant Forms</v>
      </c>
      <c r="H1340" s="19"/>
      <c r="I1340" s="62"/>
      <c r="J1340" s="19"/>
    </row>
    <row r="1341">
      <c r="A1341" s="19" t="str">
        <f>IFERROR(__xludf.DUMMYFUNCTION("""COMPUTED_VALUE"""),"")</f>
        <v/>
      </c>
      <c r="B1341" s="19" t="str">
        <f>IFERROR(__xludf.DUMMYFUNCTION("""COMPUTED_VALUE"""),"")</f>
        <v/>
      </c>
      <c r="C1341" s="5" t="str">
        <f>IFERROR(__xludf.DUMMYFUNCTION("""COMPUTED_VALUE"""),"")</f>
        <v/>
      </c>
      <c r="D1341" s="5" t="str">
        <f>IFERROR(__xludf.DUMMYFUNCTION("""COMPUTED_VALUE"""),"")</f>
        <v/>
      </c>
      <c r="E1341" s="5" t="str">
        <f>IFERROR(__xludf.DUMMYFUNCTION("""COMPUTED_VALUE"""),"")</f>
        <v/>
      </c>
      <c r="F1341" s="5" t="str">
        <f>IFERROR(__xludf.DUMMYFUNCTION("""COMPUTED_VALUE"""),"")</f>
        <v/>
      </c>
      <c r="G1341" s="19" t="str">
        <f>IFERROR(__xludf.DUMMYFUNCTION("""COMPUTED_VALUE"""),"")</f>
        <v/>
      </c>
      <c r="H1341" s="19" t="str">
        <f>IFERROR(__xludf.DUMMYFUNCTION("""COMPUTED_VALUE"""),"")</f>
        <v/>
      </c>
      <c r="I1341" s="62" t="str">
        <f>IFERROR(__xludf.DUMMYFUNCTION("""COMPUTED_VALUE"""),"")</f>
        <v/>
      </c>
      <c r="J1341" s="19" t="str">
        <f>IFERROR(__xludf.DUMMYFUNCTION("""COMPUTED_VALUE"""),"")</f>
        <v/>
      </c>
    </row>
    <row r="1342">
      <c r="A1342" s="19" t="str">
        <f>IFERROR(__xludf.DUMMYFUNCTION("""COMPUTED_VALUE"""),"")</f>
        <v/>
      </c>
      <c r="B1342" s="19" t="str">
        <f>IFERROR(__xludf.DUMMYFUNCTION("""COMPUTED_VALUE"""),"")</f>
        <v/>
      </c>
      <c r="C1342" s="5" t="str">
        <f>IFERROR(__xludf.DUMMYFUNCTION("""COMPUTED_VALUE"""),"")</f>
        <v/>
      </c>
      <c r="D1342" s="5" t="str">
        <f>IFERROR(__xludf.DUMMYFUNCTION("""COMPUTED_VALUE"""),"")</f>
        <v/>
      </c>
      <c r="E1342" s="5" t="str">
        <f>IFERROR(__xludf.DUMMYFUNCTION("""COMPUTED_VALUE"""),"")</f>
        <v/>
      </c>
      <c r="F1342" s="5" t="str">
        <f>IFERROR(__xludf.DUMMYFUNCTION("""COMPUTED_VALUE"""),"")</f>
        <v/>
      </c>
      <c r="G1342" s="19" t="str">
        <f>IFERROR(__xludf.DUMMYFUNCTION("""COMPUTED_VALUE"""),"")</f>
        <v/>
      </c>
      <c r="H1342" s="19" t="str">
        <f>IFERROR(__xludf.DUMMYFUNCTION("""COMPUTED_VALUE"""),"")</f>
        <v/>
      </c>
      <c r="I1342" s="62" t="str">
        <f>IFERROR(__xludf.DUMMYFUNCTION("""COMPUTED_VALUE"""),"")</f>
        <v/>
      </c>
      <c r="J1342" s="19" t="str">
        <f>IFERROR(__xludf.DUMMYFUNCTION("""COMPUTED_VALUE"""),"")</f>
        <v/>
      </c>
    </row>
    <row r="1343">
      <c r="A1343" s="19" t="str">
        <f>IFERROR(__xludf.DUMMYFUNCTION("""COMPUTED_VALUE"""),"Jasmine Corrick")</f>
        <v>Jasmine Corrick</v>
      </c>
      <c r="B1343" s="19" t="str">
        <f>IFERROR(__xludf.DUMMYFUNCTION("""COMPUTED_VALUE"""),"QLD")</f>
        <v>QLD</v>
      </c>
      <c r="C1343" s="5" t="str">
        <f>IFERROR(__xludf.DUMMYFUNCTION("""COMPUTED_VALUE"""),"Wondunna")</f>
        <v>Wondunna</v>
      </c>
      <c r="D1343" s="5" t="str">
        <f>IFERROR(__xludf.DUMMYFUNCTION("""COMPUTED_VALUE"""),"27 Bay Park Road Wondunna QLD 4655")</f>
        <v>27 Bay Park Road Wondunna QLD 4655</v>
      </c>
      <c r="E1343" s="25">
        <f>IFERROR(__xludf.DUMMYFUNCTION("""COMPUTED_VALUE"""),45951.0)</f>
        <v>45951</v>
      </c>
      <c r="F1343" s="5">
        <f>IFERROR(__xludf.DUMMYFUNCTION("""COMPUTED_VALUE"""),8.0)</f>
        <v>8</v>
      </c>
      <c r="G1343" s="19" t="str">
        <f>IFERROR(__xludf.DUMMYFUNCTION("""COMPUTED_VALUE"""),"Instant Forms")</f>
        <v>Instant Forms</v>
      </c>
      <c r="H1343" s="19"/>
      <c r="I1343" s="62"/>
      <c r="J1343" s="19"/>
    </row>
    <row r="1344">
      <c r="A1344" s="19" t="str">
        <f>IFERROR(__xludf.DUMMYFUNCTION("""COMPUTED_VALUE"""),"Jasmine Corrick")</f>
        <v>Jasmine Corrick</v>
      </c>
      <c r="B1344" s="19" t="str">
        <f>IFERROR(__xludf.DUMMYFUNCTION("""COMPUTED_VALUE"""),"QLD")</f>
        <v>QLD</v>
      </c>
      <c r="C1344" s="5" t="str">
        <f>IFERROR(__xludf.DUMMYFUNCTION("""COMPUTED_VALUE"""),"Eli waters")</f>
        <v>Eli waters</v>
      </c>
      <c r="D1344" s="5" t="str">
        <f>IFERROR(__xludf.DUMMYFUNCTION("""COMPUTED_VALUE"""),"27 Bounty Circuit Eli Waters QLD 4655")</f>
        <v>27 Bounty Circuit Eli Waters QLD 4655</v>
      </c>
      <c r="E1344" s="25">
        <f>IFERROR(__xludf.DUMMYFUNCTION("""COMPUTED_VALUE"""),45952.0)</f>
        <v>45952</v>
      </c>
      <c r="F1344" s="5">
        <f>IFERROR(__xludf.DUMMYFUNCTION("""COMPUTED_VALUE"""),6.0)</f>
        <v>6</v>
      </c>
      <c r="G1344" s="19" t="str">
        <f>IFERROR(__xludf.DUMMYFUNCTION("""COMPUTED_VALUE"""),"Instant Forms")</f>
        <v>Instant Forms</v>
      </c>
      <c r="H1344" s="19"/>
      <c r="I1344" s="62"/>
      <c r="J1344" s="19"/>
    </row>
    <row r="1345">
      <c r="A1345" s="19" t="str">
        <f>IFERROR(__xludf.DUMMYFUNCTION("""COMPUTED_VALUE"""),"Jasmine Corrick")</f>
        <v>Jasmine Corrick</v>
      </c>
      <c r="B1345" s="19" t="str">
        <f>IFERROR(__xludf.DUMMYFUNCTION("""COMPUTED_VALUE"""),"QLD")</f>
        <v>QLD</v>
      </c>
      <c r="C1345" s="5" t="str">
        <f>IFERROR(__xludf.DUMMYFUNCTION("""COMPUTED_VALUE"""),"River Heads")</f>
        <v>River Heads</v>
      </c>
      <c r="D1345" s="5" t="str">
        <f>IFERROR(__xludf.DUMMYFUNCTION("""COMPUTED_VALUE"""),"15 Loggerhead Court, River Heads, QLD, 4655, Australia")</f>
        <v>15 Loggerhead Court, River Heads, QLD, 4655, Australia</v>
      </c>
      <c r="E1345" s="25" t="str">
        <f>IFERROR(__xludf.DUMMYFUNCTION("""COMPUTED_VALUE"""),"23/10/2025")</f>
        <v>23/10/2025</v>
      </c>
      <c r="F1345" s="5" t="str">
        <f>IFERROR(__xludf.DUMMYFUNCTION("""COMPUTED_VALUE"""),"Featured")</f>
        <v>Featured</v>
      </c>
      <c r="G1345" s="19"/>
      <c r="H1345" s="19"/>
      <c r="I1345" s="62"/>
      <c r="J1345" s="19"/>
    </row>
    <row r="1346">
      <c r="A1346" s="19" t="str">
        <f>IFERROR(__xludf.DUMMYFUNCTION("""COMPUTED_VALUE"""),"Jasmine Corrick")</f>
        <v>Jasmine Corrick</v>
      </c>
      <c r="B1346" s="19" t="str">
        <f>IFERROR(__xludf.DUMMYFUNCTION("""COMPUTED_VALUE"""),"QLD")</f>
        <v>QLD</v>
      </c>
      <c r="C1346" s="5" t="str">
        <f>IFERROR(__xludf.DUMMYFUNCTION("""COMPUTED_VALUE"""),"River Heads")</f>
        <v>River Heads</v>
      </c>
      <c r="D1346" s="5" t="str">
        <f>IFERROR(__xludf.DUMMYFUNCTION("""COMPUTED_VALUE"""),"15 Loggerhead Court, River Heads, QLD, 4655, Australia")</f>
        <v>15 Loggerhead Court, River Heads, QLD, 4655, Australia</v>
      </c>
      <c r="E1346" s="25" t="str">
        <f>IFERROR(__xludf.DUMMYFUNCTION("""COMPUTED_VALUE"""),"23/10/2025")</f>
        <v>23/10/2025</v>
      </c>
      <c r="F1346" s="5" t="str">
        <f>IFERROR(__xludf.DUMMYFUNCTION("""COMPUTED_VALUE"""),"Featured")</f>
        <v>Featured</v>
      </c>
      <c r="G1346" s="19"/>
      <c r="H1346" s="19"/>
      <c r="I1346" s="62"/>
      <c r="J1346" s="19"/>
    </row>
    <row r="1347">
      <c r="A1347" s="19" t="str">
        <f>IFERROR(__xludf.DUMMYFUNCTION("""COMPUTED_VALUE"""),"Jasmine Corrick")</f>
        <v>Jasmine Corrick</v>
      </c>
      <c r="B1347" s="19" t="str">
        <f>IFERROR(__xludf.DUMMYFUNCTION("""COMPUTED_VALUE"""),"QLD")</f>
        <v>QLD</v>
      </c>
      <c r="C1347" s="5" t="str">
        <f>IFERROR(__xludf.DUMMYFUNCTION("""COMPUTED_VALUE"""),"Hervey Bay")</f>
        <v>Hervey Bay</v>
      </c>
      <c r="D1347" s="5" t="str">
        <f>IFERROR(__xludf.DUMMYFUNCTION("""COMPUTED_VALUE"""),"15 Loggerhead Court River Heads QLD 4655")</f>
        <v>15 Loggerhead Court River Heads QLD 4655</v>
      </c>
      <c r="E1347" s="25">
        <f>IFERROR(__xludf.DUMMYFUNCTION("""COMPUTED_VALUE"""),45953.0)</f>
        <v>45953</v>
      </c>
      <c r="F1347" s="5">
        <f>IFERROR(__xludf.DUMMYFUNCTION("""COMPUTED_VALUE"""),8.0)</f>
        <v>8</v>
      </c>
      <c r="G1347" s="19" t="str">
        <f>IFERROR(__xludf.DUMMYFUNCTION("""COMPUTED_VALUE"""),"Instant Forms")</f>
        <v>Instant Forms</v>
      </c>
      <c r="H1347" s="19"/>
      <c r="I1347" s="62"/>
      <c r="J1347" s="19"/>
    </row>
    <row r="1348">
      <c r="A1348" s="19" t="str">
        <f>IFERROR(__xludf.DUMMYFUNCTION("""COMPUTED_VALUE"""),"Jasmine Corrick")</f>
        <v>Jasmine Corrick</v>
      </c>
      <c r="B1348" s="19" t="str">
        <f>IFERROR(__xludf.DUMMYFUNCTION("""COMPUTED_VALUE"""),"QLD")</f>
        <v>QLD</v>
      </c>
      <c r="C1348" s="5" t="str">
        <f>IFERROR(__xludf.DUMMYFUNCTION("""COMPUTED_VALUE"""),"Point Vernon")</f>
        <v>Point Vernon</v>
      </c>
      <c r="D1348" s="5" t="str">
        <f>IFERROR(__xludf.DUMMYFUNCTION("""COMPUTED_VALUE"""),"10 Marr Street Point Vernon, Point Vernon, 4655")</f>
        <v>10 Marr Street Point Vernon, Point Vernon, 4655</v>
      </c>
      <c r="E1348" s="25" t="str">
        <f>IFERROR(__xludf.DUMMYFUNCTION("""COMPUTED_VALUE"""),"24/10/2025")</f>
        <v>24/10/2025</v>
      </c>
      <c r="F1348" s="5" t="str">
        <f>IFERROR(__xludf.DUMMYFUNCTION("""COMPUTED_VALUE"""),"Featured")</f>
        <v>Featured</v>
      </c>
      <c r="G1348" s="19" t="str">
        <f>IFERROR(__xludf.DUMMYFUNCTION("""COMPUTED_VALUE"""),"Meta Commission Report")</f>
        <v>Meta Commission Report</v>
      </c>
      <c r="H1348" s="19" t="str">
        <f>IFERROR(__xludf.DUMMYFUNCTION("""COMPUTED_VALUE"""),"Christine Evans")</f>
        <v>Christine Evans</v>
      </c>
      <c r="I1348" s="62"/>
      <c r="J1348" s="19"/>
    </row>
    <row r="1349">
      <c r="A1349" s="19" t="str">
        <f>IFERROR(__xludf.DUMMYFUNCTION("""COMPUTED_VALUE"""),"Jasmine Corrick")</f>
        <v>Jasmine Corrick</v>
      </c>
      <c r="B1349" s="19" t="str">
        <f>IFERROR(__xludf.DUMMYFUNCTION("""COMPUTED_VALUE"""),"QLD")</f>
        <v>QLD</v>
      </c>
      <c r="C1349" s="5" t="str">
        <f>IFERROR(__xludf.DUMMYFUNCTION("""COMPUTED_VALUE"""),"Toogoom")</f>
        <v>Toogoom</v>
      </c>
      <c r="D1349" s="5" t="str">
        <f>IFERROR(__xludf.DUMMYFUNCTION("""COMPUTED_VALUE"""),"1/10 Beachside Court Toogoom QLD 4655")</f>
        <v>1/10 Beachside Court Toogoom QLD 4655</v>
      </c>
      <c r="E1349" s="25">
        <f>IFERROR(__xludf.DUMMYFUNCTION("""COMPUTED_VALUE"""),45955.0)</f>
        <v>45955</v>
      </c>
      <c r="F1349" s="5">
        <f>IFERROR(__xludf.DUMMYFUNCTION("""COMPUTED_VALUE"""),9.0)</f>
        <v>9</v>
      </c>
      <c r="G1349" s="19" t="str">
        <f>IFERROR(__xludf.DUMMYFUNCTION("""COMPUTED_VALUE"""),"Instant Forms")</f>
        <v>Instant Forms</v>
      </c>
      <c r="H1349" s="19"/>
      <c r="I1349" s="62"/>
      <c r="J1349" s="19"/>
    </row>
    <row r="1350">
      <c r="A1350" s="19" t="str">
        <f>IFERROR(__xludf.DUMMYFUNCTION("""COMPUTED_VALUE"""),"Jasmine Corrick")</f>
        <v>Jasmine Corrick</v>
      </c>
      <c r="B1350" s="19" t="str">
        <f>IFERROR(__xludf.DUMMYFUNCTION("""COMPUTED_VALUE"""),"QLD")</f>
        <v>QLD</v>
      </c>
      <c r="C1350" s="5" t="str">
        <f>IFERROR(__xludf.DUMMYFUNCTION("""COMPUTED_VALUE"""),"Eli Waters")</f>
        <v>Eli Waters</v>
      </c>
      <c r="D1350" s="5" t="str">
        <f>IFERROR(__xludf.DUMMYFUNCTION("""COMPUTED_VALUE"""),"11 Bounty Circuit Eli Waters QLD 4655")</f>
        <v>11 Bounty Circuit Eli Waters QLD 4655</v>
      </c>
      <c r="E1350" s="25">
        <f>IFERROR(__xludf.DUMMYFUNCTION("""COMPUTED_VALUE"""),45955.0)</f>
        <v>45955</v>
      </c>
      <c r="F1350" s="5">
        <f>IFERROR(__xludf.DUMMYFUNCTION("""COMPUTED_VALUE"""),8.0)</f>
        <v>8</v>
      </c>
      <c r="G1350" s="19" t="str">
        <f>IFERROR(__xludf.DUMMYFUNCTION("""COMPUTED_VALUE"""),"Instant Forms")</f>
        <v>Instant Forms</v>
      </c>
      <c r="H1350" s="19"/>
      <c r="I1350" s="62"/>
      <c r="J1350" s="19"/>
    </row>
    <row r="1351">
      <c r="A1351" s="19" t="str">
        <f>IFERROR(__xludf.DUMMYFUNCTION("""COMPUTED_VALUE"""),"Jasmine Corrick")</f>
        <v>Jasmine Corrick</v>
      </c>
      <c r="B1351" s="19" t="str">
        <f>IFERROR(__xludf.DUMMYFUNCTION("""COMPUTED_VALUE"""),"QLD")</f>
        <v>QLD</v>
      </c>
      <c r="C1351" s="5" t="str">
        <f>IFERROR(__xludf.DUMMYFUNCTION("""COMPUTED_VALUE"""),"Hervey Bay")</f>
        <v>Hervey Bay</v>
      </c>
      <c r="D1351" s="5" t="str">
        <f>IFERROR(__xludf.DUMMYFUNCTION("""COMPUTED_VALUE"""),"17Protector way, hervey bay, 4655")</f>
        <v>17Protector way, hervey bay, 4655</v>
      </c>
      <c r="E1351" s="25" t="str">
        <f>IFERROR(__xludf.DUMMYFUNCTION("""COMPUTED_VALUE"""),"27/10/2025")</f>
        <v>27/10/2025</v>
      </c>
      <c r="F1351" s="5" t="str">
        <f>IFERROR(__xludf.DUMMYFUNCTION("""COMPUTED_VALUE"""),"Featured")</f>
        <v>Featured</v>
      </c>
      <c r="G1351" s="19" t="str">
        <f>IFERROR(__xludf.DUMMYFUNCTION("""COMPUTED_VALUE"""),"Meta Commission Report")</f>
        <v>Meta Commission Report</v>
      </c>
      <c r="H1351" s="19" t="str">
        <f>IFERROR(__xludf.DUMMYFUNCTION("""COMPUTED_VALUE"""),"David Smith")</f>
        <v>David Smith</v>
      </c>
      <c r="I1351" s="62"/>
      <c r="J1351" s="19"/>
    </row>
    <row r="1352">
      <c r="A1352" s="19" t="str">
        <f>IFERROR(__xludf.DUMMYFUNCTION("""COMPUTED_VALUE"""),"Jasmine Corrick")</f>
        <v>Jasmine Corrick</v>
      </c>
      <c r="B1352" s="19" t="str">
        <f>IFERROR(__xludf.DUMMYFUNCTION("""COMPUTED_VALUE"""),"QLD")</f>
        <v>QLD</v>
      </c>
      <c r="C1352" s="5" t="str">
        <f>IFERROR(__xludf.DUMMYFUNCTION("""COMPUTED_VALUE"""),"Urangan")</f>
        <v>Urangan</v>
      </c>
      <c r="D1352" s="5" t="str">
        <f>IFERROR(__xludf.DUMMYFUNCTION("""COMPUTED_VALUE"""),"157 Truro Street Urangan QLD 4655")</f>
        <v>157 Truro Street Urangan QLD 4655</v>
      </c>
      <c r="E1352" s="25">
        <f>IFERROR(__xludf.DUMMYFUNCTION("""COMPUTED_VALUE"""),45958.0)</f>
        <v>45958</v>
      </c>
      <c r="F1352" s="5">
        <f>IFERROR(__xludf.DUMMYFUNCTION("""COMPUTED_VALUE"""),8.0)</f>
        <v>8</v>
      </c>
      <c r="G1352" s="19" t="str">
        <f>IFERROR(__xludf.DUMMYFUNCTION("""COMPUTED_VALUE"""),"Instant Forms")</f>
        <v>Instant Forms</v>
      </c>
      <c r="H1352" s="19"/>
      <c r="I1352" s="62"/>
      <c r="J1352" s="19"/>
    </row>
    <row r="1353">
      <c r="A1353" s="19" t="str">
        <f>IFERROR(__xludf.DUMMYFUNCTION("""COMPUTED_VALUE"""),"Jasmine Corrick")</f>
        <v>Jasmine Corrick</v>
      </c>
      <c r="B1353" s="19" t="str">
        <f>IFERROR(__xludf.DUMMYFUNCTION("""COMPUTED_VALUE"""),"QLD")</f>
        <v>QLD</v>
      </c>
      <c r="C1353" s="5" t="str">
        <f>IFERROR(__xludf.DUMMYFUNCTION("""COMPUTED_VALUE"""),"Torquay")</f>
        <v>Torquay</v>
      </c>
      <c r="D1353" s="5" t="str">
        <f>IFERROR(__xludf.DUMMYFUNCTION("""COMPUTED_VALUE"""),"5 Boleyn Place Torquay QLD 4655")</f>
        <v>5 Boleyn Place Torquay QLD 4655</v>
      </c>
      <c r="E1353" s="25">
        <f>IFERROR(__xludf.DUMMYFUNCTION("""COMPUTED_VALUE"""),45958.0)</f>
        <v>45958</v>
      </c>
      <c r="F1353" s="5">
        <f>IFERROR(__xludf.DUMMYFUNCTION("""COMPUTED_VALUE"""),6.0)</f>
        <v>6</v>
      </c>
      <c r="G1353" s="19" t="str">
        <f>IFERROR(__xludf.DUMMYFUNCTION("""COMPUTED_VALUE"""),"Instant Forms")</f>
        <v>Instant Forms</v>
      </c>
      <c r="H1353" s="19"/>
      <c r="I1353" s="62"/>
      <c r="J1353" s="19"/>
    </row>
    <row r="1354">
      <c r="A1354" s="19" t="str">
        <f>IFERROR(__xludf.DUMMYFUNCTION("""COMPUTED_VALUE"""),"Jasmine Corrick")</f>
        <v>Jasmine Corrick</v>
      </c>
      <c r="B1354" s="19" t="str">
        <f>IFERROR(__xludf.DUMMYFUNCTION("""COMPUTED_VALUE"""),"QLD")</f>
        <v>QLD</v>
      </c>
      <c r="C1354" s="5" t="str">
        <f>IFERROR(__xludf.DUMMYFUNCTION("""COMPUTED_VALUE"""),"Craignish")</f>
        <v>Craignish</v>
      </c>
      <c r="D1354" s="5" t="str">
        <f>IFERROR(__xludf.DUMMYFUNCTION("""COMPUTED_VALUE"""),"50 Highview Drive Craignish QLD 4655")</f>
        <v>50 Highview Drive Craignish QLD 4655</v>
      </c>
      <c r="E1354" s="25">
        <f>IFERROR(__xludf.DUMMYFUNCTION("""COMPUTED_VALUE"""),45960.0)</f>
        <v>45960</v>
      </c>
      <c r="F1354" s="5">
        <f>IFERROR(__xludf.DUMMYFUNCTION("""COMPUTED_VALUE"""),8.0)</f>
        <v>8</v>
      </c>
      <c r="G1354" s="19" t="str">
        <f>IFERROR(__xludf.DUMMYFUNCTION("""COMPUTED_VALUE"""),"Instant Forms")</f>
        <v>Instant Forms</v>
      </c>
      <c r="H1354" s="19"/>
      <c r="I1354" s="62"/>
      <c r="J1354" s="19"/>
    </row>
    <row r="1355">
      <c r="A1355" s="19" t="str">
        <f>IFERROR(__xludf.DUMMYFUNCTION("""COMPUTED_VALUE"""),"Jasmine Corrick")</f>
        <v>Jasmine Corrick</v>
      </c>
      <c r="B1355" s="19" t="str">
        <f>IFERROR(__xludf.DUMMYFUNCTION("""COMPUTED_VALUE"""),"QLD")</f>
        <v>QLD</v>
      </c>
      <c r="C1355" s="5" t="str">
        <f>IFERROR(__xludf.DUMMYFUNCTION("""COMPUTED_VALUE"""),"Booral")</f>
        <v>Booral</v>
      </c>
      <c r="D1355" s="5" t="str">
        <f>IFERROR(__xludf.DUMMYFUNCTION("""COMPUTED_VALUE"""),"87 janine street booral, booral, 4655")</f>
        <v>87 janine street booral, booral, 4655</v>
      </c>
      <c r="E1355" s="25" t="str">
        <f>IFERROR(__xludf.DUMMYFUNCTION("""COMPUTED_VALUE"""),"31/10/2025")</f>
        <v>31/10/2025</v>
      </c>
      <c r="F1355" s="5" t="str">
        <f>IFERROR(__xludf.DUMMYFUNCTION("""COMPUTED_VALUE"""),"Featured")</f>
        <v>Featured</v>
      </c>
      <c r="G1355" s="19" t="str">
        <f>IFERROR(__xludf.DUMMYFUNCTION("""COMPUTED_VALUE"""),"Meta Commission Report")</f>
        <v>Meta Commission Report</v>
      </c>
      <c r="H1355" s="19" t="str">
        <f>IFERROR(__xludf.DUMMYFUNCTION("""COMPUTED_VALUE"""),"Peter Prescott")</f>
        <v>Peter Prescott</v>
      </c>
      <c r="I1355" s="62"/>
      <c r="J1355" s="19"/>
    </row>
    <row r="1356">
      <c r="A1356" s="19" t="str">
        <f>IFERROR(__xludf.DUMMYFUNCTION("""COMPUTED_VALUE"""),"Jasmine Corrick")</f>
        <v>Jasmine Corrick</v>
      </c>
      <c r="B1356" s="19" t="str">
        <f>IFERROR(__xludf.DUMMYFUNCTION("""COMPUTED_VALUE"""),"QLD")</f>
        <v>QLD</v>
      </c>
      <c r="C1356" s="5" t="str">
        <f>IFERROR(__xludf.DUMMYFUNCTION("""COMPUTED_VALUE"""),"Urraween")</f>
        <v>Urraween</v>
      </c>
      <c r="D1356" s="5" t="str">
        <f>IFERROR(__xludf.DUMMYFUNCTION("""COMPUTED_VALUE"""),"32 gumtree drive urraween 4655, urraween, 4655")</f>
        <v>32 gumtree drive urraween 4655, urraween, 4655</v>
      </c>
      <c r="E1356" s="27">
        <f>IFERROR(__xludf.DUMMYFUNCTION("""COMPUTED_VALUE"""),45727.0)</f>
        <v>45727</v>
      </c>
      <c r="F1356" s="5" t="str">
        <f>IFERROR(__xludf.DUMMYFUNCTION("""COMPUTED_VALUE"""),"Featured")</f>
        <v>Featured</v>
      </c>
      <c r="G1356" s="19" t="str">
        <f>IFERROR(__xludf.DUMMYFUNCTION("""COMPUTED_VALUE"""),"Meta Commission Report")</f>
        <v>Meta Commission Report</v>
      </c>
      <c r="H1356" s="19" t="str">
        <f>IFERROR(__xludf.DUMMYFUNCTION("""COMPUTED_VALUE"""),"Will Smith")</f>
        <v>Will Smith</v>
      </c>
      <c r="I1356" s="62"/>
      <c r="J1356" s="19"/>
    </row>
    <row r="1357">
      <c r="A1357" s="19" t="str">
        <f>IFERROR(__xludf.DUMMYFUNCTION("""COMPUTED_VALUE"""),"Jasmine Corrick")</f>
        <v>Jasmine Corrick</v>
      </c>
      <c r="B1357" s="19" t="str">
        <f>IFERROR(__xludf.DUMMYFUNCTION("""COMPUTED_VALUE"""),"QLD")</f>
        <v>QLD</v>
      </c>
      <c r="C1357" s="5" t="str">
        <f>IFERROR(__xludf.DUMMYFUNCTION("""COMPUTED_VALUE"""),"torquay")</f>
        <v>torquay</v>
      </c>
      <c r="D1357" s="5" t="str">
        <f>IFERROR(__xludf.DUMMYFUNCTION("""COMPUTED_VALUE"""),"34 Truro Street Torquay QLD 4655")</f>
        <v>34 Truro Street Torquay QLD 4655</v>
      </c>
      <c r="E1357" s="25">
        <f>IFERROR(__xludf.DUMMYFUNCTION("""COMPUTED_VALUE"""),45965.0)</f>
        <v>45965</v>
      </c>
      <c r="F1357" s="5">
        <f>IFERROR(__xludf.DUMMYFUNCTION("""COMPUTED_VALUE"""),8.0)</f>
        <v>8</v>
      </c>
      <c r="G1357" s="19" t="str">
        <f>IFERROR(__xludf.DUMMYFUNCTION("""COMPUTED_VALUE"""),"Instant Forms")</f>
        <v>Instant Forms</v>
      </c>
      <c r="H1357" s="19" t="str">
        <f>IFERROR(__xludf.DUMMYFUNCTION("""COMPUTED_VALUE"""),"Prue Robinson")</f>
        <v>Prue Robinson</v>
      </c>
      <c r="I1357" s="62">
        <f>IFERROR(__xludf.DUMMYFUNCTION("""COMPUTED_VALUE"""),6.140047779E10)</f>
        <v>61400477790</v>
      </c>
      <c r="J1357" s="19" t="str">
        <f>IFERROR(__xludf.DUMMYFUNCTION("""COMPUTED_VALUE"""),"pruespad@gmail.com")</f>
        <v>pruespad@gmail.com</v>
      </c>
    </row>
    <row r="1358">
      <c r="A1358" s="19" t="str">
        <f>IFERROR(__xludf.DUMMYFUNCTION("""COMPUTED_VALUE"""),"Jasmine Corrick")</f>
        <v>Jasmine Corrick</v>
      </c>
      <c r="B1358" s="19" t="str">
        <f>IFERROR(__xludf.DUMMYFUNCTION("""COMPUTED_VALUE"""),"QLD")</f>
        <v>QLD</v>
      </c>
      <c r="C1358" s="5" t="str">
        <f>IFERROR(__xludf.DUMMYFUNCTION("""COMPUTED_VALUE"""),"Dundowran Beach")</f>
        <v>Dundowran Beach</v>
      </c>
      <c r="D1358" s="5" t="str">
        <f>IFERROR(__xludf.DUMMYFUNCTION("""COMPUTED_VALUE"""),"2 Cockatiel Court Dundowran Beach QLD 4655")</f>
        <v>2 Cockatiel Court Dundowran Beach QLD 4655</v>
      </c>
      <c r="E1358" s="25">
        <f>IFERROR(__xludf.DUMMYFUNCTION("""COMPUTED_VALUE"""),45967.0)</f>
        <v>45967</v>
      </c>
      <c r="F1358" s="5">
        <f>IFERROR(__xludf.DUMMYFUNCTION("""COMPUTED_VALUE"""),8.0)</f>
        <v>8</v>
      </c>
      <c r="G1358" s="19" t="str">
        <f>IFERROR(__xludf.DUMMYFUNCTION("""COMPUTED_VALUE"""),"Instant Forms")</f>
        <v>Instant Forms</v>
      </c>
      <c r="H1358" s="19" t="str">
        <f>IFERROR(__xludf.DUMMYFUNCTION("""COMPUTED_VALUE"""),"Dianne Fryer")</f>
        <v>Dianne Fryer</v>
      </c>
      <c r="I1358" s="62">
        <f>IFERROR(__xludf.DUMMYFUNCTION("""COMPUTED_VALUE"""),6.1433265476E10)</f>
        <v>61433265476</v>
      </c>
      <c r="J1358" s="19" t="str">
        <f>IFERROR(__xludf.DUMMYFUNCTION("""COMPUTED_VALUE"""),"diannemfryer@bigpond.com")</f>
        <v>diannemfryer@bigpond.com</v>
      </c>
    </row>
    <row r="1359">
      <c r="A1359" s="19" t="str">
        <f>IFERROR(__xludf.DUMMYFUNCTION("""COMPUTED_VALUE"""),"Jasmine Corrick")</f>
        <v>Jasmine Corrick</v>
      </c>
      <c r="B1359" s="19" t="str">
        <f>IFERROR(__xludf.DUMMYFUNCTION("""COMPUTED_VALUE"""),"QLD")</f>
        <v>QLD</v>
      </c>
      <c r="C1359" s="5" t="str">
        <f>IFERROR(__xludf.DUMMYFUNCTION("""COMPUTED_VALUE"""),"River heads")</f>
        <v>River heads</v>
      </c>
      <c r="D1359" s="5" t="str">
        <f>IFERROR(__xludf.DUMMYFUNCTION("""COMPUTED_VALUE"""),"27 Avolet Crescent River Heads QLD 4655")</f>
        <v>27 Avolet Crescent River Heads QLD 4655</v>
      </c>
      <c r="E1359" s="25">
        <f>IFERROR(__xludf.DUMMYFUNCTION("""COMPUTED_VALUE"""),45969.0)</f>
        <v>45969</v>
      </c>
      <c r="F1359" s="5">
        <f>IFERROR(__xludf.DUMMYFUNCTION("""COMPUTED_VALUE"""),8.0)</f>
        <v>8</v>
      </c>
      <c r="G1359" s="19" t="str">
        <f>IFERROR(__xludf.DUMMYFUNCTION("""COMPUTED_VALUE"""),"Instant Forms")</f>
        <v>Instant Forms</v>
      </c>
      <c r="H1359" s="19" t="str">
        <f>IFERROR(__xludf.DUMMYFUNCTION("""COMPUTED_VALUE"""),"Tora Walker")</f>
        <v>Tora Walker</v>
      </c>
      <c r="I1359" s="62">
        <f>IFERROR(__xludf.DUMMYFUNCTION("""COMPUTED_VALUE"""),6.1419670525E10)</f>
        <v>61419670525</v>
      </c>
      <c r="J1359" s="19" t="str">
        <f>IFERROR(__xludf.DUMMYFUNCTION("""COMPUTED_VALUE"""),"artbytora@gmail.com")</f>
        <v>artbytora@gmail.com</v>
      </c>
    </row>
    <row r="1360">
      <c r="A1360" s="19" t="str">
        <f>IFERROR(__xludf.DUMMYFUNCTION("""COMPUTED_VALUE"""),"Jasmine Corrick")</f>
        <v>Jasmine Corrick</v>
      </c>
      <c r="B1360" s="19" t="str">
        <f>IFERROR(__xludf.DUMMYFUNCTION("""COMPUTED_VALUE"""),"QLD")</f>
        <v>QLD</v>
      </c>
      <c r="C1360" s="5" t="str">
        <f>IFERROR(__xludf.DUMMYFUNCTION("""COMPUTED_VALUE"""),"Dundowran")</f>
        <v>Dundowran</v>
      </c>
      <c r="D1360" s="5"/>
      <c r="E1360" s="25">
        <f>IFERROR(__xludf.DUMMYFUNCTION("""COMPUTED_VALUE"""),45970.0)</f>
        <v>45970</v>
      </c>
      <c r="F1360" s="5">
        <f>IFERROR(__xludf.DUMMYFUNCTION("""COMPUTED_VALUE"""),5.0)</f>
        <v>5</v>
      </c>
      <c r="G1360" s="19" t="str">
        <f>IFERROR(__xludf.DUMMYFUNCTION("""COMPUTED_VALUE"""),"Instant Forms")</f>
        <v>Instant Forms</v>
      </c>
      <c r="H1360" s="19" t="str">
        <f>IFERROR(__xludf.DUMMYFUNCTION("""COMPUTED_VALUE"""),"John Right")</f>
        <v>John Right</v>
      </c>
      <c r="I1360" s="62">
        <f>IFERROR(__xludf.DUMMYFUNCTION("""COMPUTED_VALUE"""),6.1411160231E10)</f>
        <v>61411160231</v>
      </c>
      <c r="J1360" s="19" t="str">
        <f>IFERROR(__xludf.DUMMYFUNCTION("""COMPUTED_VALUE"""),"djr_48@yahoo.com.au")</f>
        <v>djr_48@yahoo.com.au</v>
      </c>
    </row>
    <row r="1361">
      <c r="A1361" s="19" t="str">
        <f>IFERROR(__xludf.DUMMYFUNCTION("""COMPUTED_VALUE"""),"Jasmine Corrick")</f>
        <v>Jasmine Corrick</v>
      </c>
      <c r="B1361" s="19" t="str">
        <f>IFERROR(__xludf.DUMMYFUNCTION("""COMPUTED_VALUE"""),"QLD")</f>
        <v>QLD</v>
      </c>
      <c r="C1361" s="5" t="str">
        <f>IFERROR(__xludf.DUMMYFUNCTION("""COMPUTED_VALUE"""),"Urraween")</f>
        <v>Urraween</v>
      </c>
      <c r="D1361" s="5" t="str">
        <f>IFERROR(__xludf.DUMMYFUNCTION("""COMPUTED_VALUE"""),"18 Coongul Court, Urraween, QLD, 4655, Australia")</f>
        <v>18 Coongul Court, Urraween, QLD, 4655, Australia</v>
      </c>
      <c r="E1361" s="25">
        <f>IFERROR(__xludf.DUMMYFUNCTION("""COMPUTED_VALUE"""),45971.0)</f>
        <v>45971</v>
      </c>
      <c r="F1361" s="64">
        <f>IFERROR(__xludf.DUMMYFUNCTION("""COMPUTED_VALUE"""),0.15)</f>
        <v>0.15</v>
      </c>
      <c r="G1361" s="19" t="str">
        <f>IFERROR(__xludf.DUMMYFUNCTION("""COMPUTED_VALUE"""),"Commission Comparison")</f>
        <v>Commission Comparison</v>
      </c>
      <c r="H1361" s="19" t="str">
        <f>IFERROR(__xludf.DUMMYFUNCTION("""COMPUTED_VALUE"""),"Scott Harding")</f>
        <v>Scott Harding</v>
      </c>
      <c r="I1361" s="62">
        <f>IFERROR(__xludf.DUMMYFUNCTION("""COMPUTED_VALUE"""),6.10438823891E11)</f>
        <v>610438823891</v>
      </c>
      <c r="J1361" s="19" t="str">
        <f>IFERROR(__xludf.DUMMYFUNCTION("""COMPUTED_VALUE"""),"greenenergywholesale@gmail.com")</f>
        <v>greenenergywholesale@gmail.com</v>
      </c>
    </row>
    <row r="1362">
      <c r="A1362" s="19" t="str">
        <f>IFERROR(__xludf.DUMMYFUNCTION("""COMPUTED_VALUE"""),"Jasmine Corrick")</f>
        <v>Jasmine Corrick</v>
      </c>
      <c r="B1362" s="19" t="str">
        <f>IFERROR(__xludf.DUMMYFUNCTION("""COMPUTED_VALUE"""),"QLD")</f>
        <v>QLD</v>
      </c>
      <c r="C1362" s="5" t="str">
        <f>IFERROR(__xludf.DUMMYFUNCTION("""COMPUTED_VALUE"""),"Wondunna")</f>
        <v>Wondunna</v>
      </c>
      <c r="D1362" s="5" t="str">
        <f>IFERROR(__xludf.DUMMYFUNCTION("""COMPUTED_VALUE"""),"36-42 carrick way wondunna qld, wondunna, 4655")</f>
        <v>36-42 carrick way wondunna qld, wondunna, 4655</v>
      </c>
      <c r="E1362" s="5" t="str">
        <f>IFERROR(__xludf.DUMMYFUNCTION("""COMPUTED_VALUE"""),"19/11/2025")</f>
        <v>19/11/2025</v>
      </c>
      <c r="F1362" s="5" t="str">
        <f>IFERROR(__xludf.DUMMYFUNCTION("""COMPUTED_VALUE"""),"Featured")</f>
        <v>Featured</v>
      </c>
      <c r="G1362" s="19" t="str">
        <f>IFERROR(__xludf.DUMMYFUNCTION("""COMPUTED_VALUE"""),"Meta Commission Report")</f>
        <v>Meta Commission Report</v>
      </c>
      <c r="H1362" s="19" t="str">
        <f>IFERROR(__xludf.DUMMYFUNCTION("""COMPUTED_VALUE"""),"john fuller")</f>
        <v>john fuller</v>
      </c>
      <c r="I1362" s="62">
        <f>IFERROR(__xludf.DUMMYFUNCTION("""COMPUTED_VALUE"""),6.1474736149E10)</f>
        <v>61474736149</v>
      </c>
      <c r="J1362" s="19" t="str">
        <f>IFERROR(__xludf.DUMMYFUNCTION("""COMPUTED_VALUE"""),"fuller2110@hotmail.com")</f>
        <v>fuller2110@hotmail.com</v>
      </c>
    </row>
    <row r="1363">
      <c r="A1363" s="19" t="str">
        <f>IFERROR(__xludf.DUMMYFUNCTION("""COMPUTED_VALUE"""),"Jasmine Corrick")</f>
        <v>Jasmine Corrick</v>
      </c>
      <c r="B1363" s="19" t="str">
        <f>IFERROR(__xludf.DUMMYFUNCTION("""COMPUTED_VALUE"""),"QLD")</f>
        <v>QLD</v>
      </c>
      <c r="C1363" s="5" t="str">
        <f>IFERROR(__xludf.DUMMYFUNCTION("""COMPUTED_VALUE"""),"Torquay")</f>
        <v>Torquay</v>
      </c>
      <c r="D1363" s="5" t="str">
        <f>IFERROR(__xludf.DUMMYFUNCTION("""COMPUTED_VALUE"""),"22 Sunset Crescent TORQUAY QLD 4655")</f>
        <v>22 Sunset Crescent TORQUAY QLD 4655</v>
      </c>
      <c r="E1363" s="5" t="str">
        <f>IFERROR(__xludf.DUMMYFUNCTION("""COMPUTED_VALUE"""),"20/11/2025")</f>
        <v>20/11/2025</v>
      </c>
      <c r="F1363" s="5">
        <f>IFERROR(__xludf.DUMMYFUNCTION("""COMPUTED_VALUE"""),8.0)</f>
        <v>8</v>
      </c>
      <c r="G1363" s="19" t="str">
        <f>IFERROR(__xludf.DUMMYFUNCTION("""COMPUTED_VALUE"""),"Instant Forms")</f>
        <v>Instant Forms</v>
      </c>
      <c r="H1363" s="19" t="str">
        <f>IFERROR(__xludf.DUMMYFUNCTION("""COMPUTED_VALUE"""),"Barbara Ann")</f>
        <v>Barbara Ann</v>
      </c>
      <c r="I1363" s="62">
        <f>IFERROR(__xludf.DUMMYFUNCTION("""COMPUTED_VALUE"""),6.1409625319E10)</f>
        <v>61409625319</v>
      </c>
      <c r="J1363" s="19" t="str">
        <f>IFERROR(__xludf.DUMMYFUNCTION("""COMPUTED_VALUE"""),"nannabarbie12@gmail.com")</f>
        <v>nannabarbie12@gmail.com</v>
      </c>
    </row>
    <row r="1364">
      <c r="A1364" s="19" t="str">
        <f>IFERROR(__xludf.DUMMYFUNCTION("""COMPUTED_VALUE"""),"Jasmine Corrick")</f>
        <v>Jasmine Corrick</v>
      </c>
      <c r="B1364" s="19" t="str">
        <f>IFERROR(__xludf.DUMMYFUNCTION("""COMPUTED_VALUE"""),"QLD")</f>
        <v>QLD</v>
      </c>
      <c r="C1364" s="5" t="str">
        <f>IFERROR(__xludf.DUMMYFUNCTION("""COMPUTED_VALUE"""),"Urangan")</f>
        <v>Urangan</v>
      </c>
      <c r="D1364" s="5" t="str">
        <f>IFERROR(__xludf.DUMMYFUNCTION("""COMPUTED_VALUE"""),"13 Herbert Street, URANGAN, 4655")</f>
        <v>13 Herbert Street, URANGAN, 4655</v>
      </c>
      <c r="E1364" s="5" t="str">
        <f>IFERROR(__xludf.DUMMYFUNCTION("""COMPUTED_VALUE"""),"21/11/2025")</f>
        <v>21/11/2025</v>
      </c>
      <c r="F1364" s="5" t="str">
        <f>IFERROR(__xludf.DUMMYFUNCTION("""COMPUTED_VALUE"""),"Featured")</f>
        <v>Featured</v>
      </c>
      <c r="G1364" s="19" t="str">
        <f>IFERROR(__xludf.DUMMYFUNCTION("""COMPUTED_VALUE"""),"Meta Commission Report")</f>
        <v>Meta Commission Report</v>
      </c>
      <c r="H1364" s="19" t="str">
        <f>IFERROR(__xludf.DUMMYFUNCTION("""COMPUTED_VALUE"""),"Melinda Crafar")</f>
        <v>Melinda Crafar</v>
      </c>
      <c r="I1364" s="62">
        <f>IFERROR(__xludf.DUMMYFUNCTION("""COMPUTED_VALUE"""),6.1439048396E10)</f>
        <v>61439048396</v>
      </c>
      <c r="J1364" s="19" t="str">
        <f>IFERROR(__xludf.DUMMYFUNCTION("""COMPUTED_VALUE"""),"melinda@fox-net.com.au")</f>
        <v>melinda@fox-net.com.au</v>
      </c>
    </row>
    <row r="1365">
      <c r="A1365" s="19" t="str">
        <f>IFERROR(__xludf.DUMMYFUNCTION("""COMPUTED_VALUE"""),"Jasmine Corrick")</f>
        <v>Jasmine Corrick</v>
      </c>
      <c r="B1365" s="19" t="str">
        <f>IFERROR(__xludf.DUMMYFUNCTION("""COMPUTED_VALUE"""),"QLD")</f>
        <v>QLD</v>
      </c>
      <c r="C1365" s="5" t="str">
        <f>IFERROR(__xludf.DUMMYFUNCTION("""COMPUTED_VALUE"""),"Urangan")</f>
        <v>Urangan</v>
      </c>
      <c r="D1365" s="5" t="str">
        <f>IFERROR(__xludf.DUMMYFUNCTION("""COMPUTED_VALUE"""),"13 Herbert Street, URANGAN, 4655, Urangan, 4655")</f>
        <v>13 Herbert Street, URANGAN, 4655, Urangan, 4655</v>
      </c>
      <c r="E1365" s="5" t="str">
        <f>IFERROR(__xludf.DUMMYFUNCTION("""COMPUTED_VALUE"""),"21/11/2025")</f>
        <v>21/11/2025</v>
      </c>
      <c r="F1365" s="5" t="str">
        <f>IFERROR(__xludf.DUMMYFUNCTION("""COMPUTED_VALUE"""),"Featured")</f>
        <v>Featured</v>
      </c>
      <c r="G1365" s="19" t="str">
        <f>IFERROR(__xludf.DUMMYFUNCTION("""COMPUTED_VALUE"""),"Meta Commission Report")</f>
        <v>Meta Commission Report</v>
      </c>
      <c r="H1365" s="19" t="str">
        <f>IFERROR(__xludf.DUMMYFUNCTION("""COMPUTED_VALUE"""),"Melinda Crafar")</f>
        <v>Melinda Crafar</v>
      </c>
      <c r="I1365" s="62">
        <f>IFERROR(__xludf.DUMMYFUNCTION("""COMPUTED_VALUE"""),6.1439048396E10)</f>
        <v>61439048396</v>
      </c>
      <c r="J1365" s="19" t="str">
        <f>IFERROR(__xludf.DUMMYFUNCTION("""COMPUTED_VALUE"""),"melinda@fox-net.com.au")</f>
        <v>melinda@fox-net.com.au</v>
      </c>
    </row>
    <row r="1366">
      <c r="A1366" s="19" t="str">
        <f>IFERROR(__xludf.DUMMYFUNCTION("""COMPUTED_VALUE"""),"Jasmine Corrick")</f>
        <v>Jasmine Corrick</v>
      </c>
      <c r="B1366" s="19" t="str">
        <f>IFERROR(__xludf.DUMMYFUNCTION("""COMPUTED_VALUE"""),"QLD")</f>
        <v>QLD</v>
      </c>
      <c r="C1366" s="5" t="str">
        <f>IFERROR(__xludf.DUMMYFUNCTION("""COMPUTED_VALUE"""),"Toogoom")</f>
        <v>Toogoom</v>
      </c>
      <c r="D1366" s="5" t="str">
        <f>IFERROR(__xludf.DUMMYFUNCTION("""COMPUTED_VALUE"""),"104 Kingfisher Parade Toogoom QLD 4655")</f>
        <v>104 Kingfisher Parade Toogoom QLD 4655</v>
      </c>
      <c r="E1366" s="5" t="str">
        <f>IFERROR(__xludf.DUMMYFUNCTION("""COMPUTED_VALUE"""),"25/11/2025")</f>
        <v>25/11/2025</v>
      </c>
      <c r="F1366" s="5">
        <f>IFERROR(__xludf.DUMMYFUNCTION("""COMPUTED_VALUE"""),8.0)</f>
        <v>8</v>
      </c>
      <c r="G1366" s="19" t="str">
        <f>IFERROR(__xludf.DUMMYFUNCTION("""COMPUTED_VALUE"""),"Instant Forms")</f>
        <v>Instant Forms</v>
      </c>
      <c r="H1366" s="19" t="str">
        <f>IFERROR(__xludf.DUMMYFUNCTION("""COMPUTED_VALUE"""),"Pam Woods")</f>
        <v>Pam Woods</v>
      </c>
      <c r="I1366" s="62">
        <f>IFERROR(__xludf.DUMMYFUNCTION("""COMPUTED_VALUE"""),6.1408272633E10)</f>
        <v>61408272633</v>
      </c>
      <c r="J1366" s="19" t="str">
        <f>IFERROR(__xludf.DUMMYFUNCTION("""COMPUTED_VALUE"""),"pamelajwoods11@gmail.com")</f>
        <v>pamelajwoods11@gmail.com</v>
      </c>
    </row>
    <row r="1367">
      <c r="A1367" s="19" t="str">
        <f>IFERROR(__xludf.DUMMYFUNCTION("""COMPUTED_VALUE"""),"Jasmine Corrick")</f>
        <v>Jasmine Corrick</v>
      </c>
      <c r="B1367" s="19" t="str">
        <f>IFERROR(__xludf.DUMMYFUNCTION("""COMPUTED_VALUE"""),"QLD")</f>
        <v>QLD</v>
      </c>
      <c r="C1367" s="5" t="str">
        <f>IFERROR(__xludf.DUMMYFUNCTION("""COMPUTED_VALUE"""),"SCARNESS")</f>
        <v>SCARNESS</v>
      </c>
      <c r="D1367" s="5" t="str">
        <f>IFERROR(__xludf.DUMMYFUNCTION("""COMPUTED_VALUE"""),"350 Boat Harbour Drive SCARNESS QLD 4655")</f>
        <v>350 Boat Harbour Drive SCARNESS QLD 4655</v>
      </c>
      <c r="E1367" s="5" t="str">
        <f>IFERROR(__xludf.DUMMYFUNCTION("""COMPUTED_VALUE"""),"26/11/2025")</f>
        <v>26/11/2025</v>
      </c>
      <c r="F1367" s="5">
        <f>IFERROR(__xludf.DUMMYFUNCTION("""COMPUTED_VALUE"""),10.0)</f>
        <v>10</v>
      </c>
      <c r="G1367" s="19" t="str">
        <f>IFERROR(__xludf.DUMMYFUNCTION("""COMPUTED_VALUE"""),"Instant Forms")</f>
        <v>Instant Forms</v>
      </c>
      <c r="H1367" s="19" t="str">
        <f>IFERROR(__xludf.DUMMYFUNCTION("""COMPUTED_VALUE"""),"Kevin Hallam")</f>
        <v>Kevin Hallam</v>
      </c>
      <c r="I1367" s="62">
        <f>IFERROR(__xludf.DUMMYFUNCTION("""COMPUTED_VALUE"""),6.1400557173E10)</f>
        <v>61400557173</v>
      </c>
      <c r="J1367" s="19" t="str">
        <f>IFERROR(__xludf.DUMMYFUNCTION("""COMPUTED_VALUE"""),"kevinjohnhallam@gmail.com")</f>
        <v>kevinjohnhallam@gmail.com</v>
      </c>
    </row>
    <row r="1368">
      <c r="A1368" s="19" t="str">
        <f>IFERROR(__xludf.DUMMYFUNCTION("""COMPUTED_VALUE"""),"Jasmine Corrick")</f>
        <v>Jasmine Corrick</v>
      </c>
      <c r="B1368" s="19" t="str">
        <f>IFERROR(__xludf.DUMMYFUNCTION("""COMPUTED_VALUE"""),"QLD")</f>
        <v>QLD</v>
      </c>
      <c r="C1368" s="5" t="str">
        <f>IFERROR(__xludf.DUMMYFUNCTION("""COMPUTED_VALUE"""),"Kawungan")</f>
        <v>Kawungan</v>
      </c>
      <c r="D1368" s="5" t="str">
        <f>IFERROR(__xludf.DUMMYFUNCTION("""COMPUTED_VALUE"""),"24 Wagtail Circuit, Kawungan, 4655")</f>
        <v>24 Wagtail Circuit, Kawungan, 4655</v>
      </c>
      <c r="E1368" s="5" t="str">
        <f>IFERROR(__xludf.DUMMYFUNCTION("""COMPUTED_VALUE"""),"26/11/2025")</f>
        <v>26/11/2025</v>
      </c>
      <c r="F1368" s="5" t="str">
        <f>IFERROR(__xludf.DUMMYFUNCTION("""COMPUTED_VALUE"""),"Featured")</f>
        <v>Featured</v>
      </c>
      <c r="G1368" s="19" t="str">
        <f>IFERROR(__xludf.DUMMYFUNCTION("""COMPUTED_VALUE"""),"Meta Commission Report")</f>
        <v>Meta Commission Report</v>
      </c>
      <c r="H1368" s="19" t="str">
        <f>IFERROR(__xludf.DUMMYFUNCTION("""COMPUTED_VALUE"""),"Molomolo Tiira Kaumai")</f>
        <v>Molomolo Tiira Kaumai</v>
      </c>
      <c r="I1368" s="62">
        <f>IFERROR(__xludf.DUMMYFUNCTION("""COMPUTED_VALUE"""),6.149344214E10)</f>
        <v>61493442140</v>
      </c>
      <c r="J1368" s="19" t="str">
        <f>IFERROR(__xludf.DUMMYFUNCTION("""COMPUTED_VALUE"""),"mtiira06@gmail.com")</f>
        <v>mtiira06@gmail.com</v>
      </c>
    </row>
    <row r="1369">
      <c r="A1369" s="19" t="str">
        <f>IFERROR(__xludf.DUMMYFUNCTION("""COMPUTED_VALUE"""),"Jasmine Corrick")</f>
        <v>Jasmine Corrick</v>
      </c>
      <c r="B1369" s="19" t="str">
        <f>IFERROR(__xludf.DUMMYFUNCTION("""COMPUTED_VALUE"""),"QLD")</f>
        <v>QLD</v>
      </c>
      <c r="C1369" s="5" t="str">
        <f>IFERROR(__xludf.DUMMYFUNCTION("""COMPUTED_VALUE"""),"Burrum Heads")</f>
        <v>Burrum Heads</v>
      </c>
      <c r="D1369" s="5" t="str">
        <f>IFERROR(__xludf.DUMMYFUNCTION("""COMPUTED_VALUE"""),"9 Barramundi Drive")</f>
        <v>9 Barramundi Drive</v>
      </c>
      <c r="E1369" s="5" t="str">
        <f>IFERROR(__xludf.DUMMYFUNCTION("""COMPUTED_VALUE"""),"28/11/2025")</f>
        <v>28/11/2025</v>
      </c>
      <c r="F1369" s="64">
        <f>IFERROR(__xludf.DUMMYFUNCTION("""COMPUTED_VALUE"""),0.2)</f>
        <v>0.2</v>
      </c>
      <c r="G1369" s="19" t="str">
        <f>IFERROR(__xludf.DUMMYFUNCTION("""COMPUTED_VALUE"""),"Commission Comparison")</f>
        <v>Commission Comparison</v>
      </c>
      <c r="H1369" s="19" t="str">
        <f>IFERROR(__xludf.DUMMYFUNCTION("""COMPUTED_VALUE"""),"Paul Lewis󠁧󠁢󠁷󠁬󠁳󠁿")</f>
        <v>Paul Lewis󠁧󠁢󠁷󠁬󠁳󠁿</v>
      </c>
      <c r="I1369" s="62">
        <f>IFERROR(__xludf.DUMMYFUNCTION("""COMPUTED_VALUE"""),6.1431641641E10)</f>
        <v>61431641641</v>
      </c>
      <c r="J1369" s="19" t="str">
        <f>IFERROR(__xludf.DUMMYFUNCTION("""COMPUTED_VALUE"""),"lewie1961@gmail.com")</f>
        <v>lewie1961@gmail.com</v>
      </c>
    </row>
    <row r="1370">
      <c r="A1370" s="19" t="str">
        <f>IFERROR(__xludf.DUMMYFUNCTION("""COMPUTED_VALUE"""),"Jasmine Corrick")</f>
        <v>Jasmine Corrick</v>
      </c>
      <c r="B1370" s="19" t="str">
        <f>IFERROR(__xludf.DUMMYFUNCTION("""COMPUTED_VALUE"""),"QLD")</f>
        <v>QLD</v>
      </c>
      <c r="C1370" s="5" t="str">
        <f>IFERROR(__xludf.DUMMYFUNCTION("""COMPUTED_VALUE"""),"Urangan")</f>
        <v>Urangan</v>
      </c>
      <c r="D1370" s="5" t="str">
        <f>IFERROR(__xludf.DUMMYFUNCTION("""COMPUTED_VALUE"""),"131 Pulgul Street, Urangan, QLD, 4655, Australia")</f>
        <v>131 Pulgul Street, Urangan, QLD, 4655, Australia</v>
      </c>
      <c r="E1370" s="5" t="str">
        <f>IFERROR(__xludf.DUMMYFUNCTION("""COMPUTED_VALUE"""),"29/11/2025")</f>
        <v>29/11/2025</v>
      </c>
      <c r="F1370" s="64">
        <f>IFERROR(__xludf.DUMMYFUNCTION("""COMPUTED_VALUE"""),0.2)</f>
        <v>0.2</v>
      </c>
      <c r="G1370" s="19" t="str">
        <f>IFERROR(__xludf.DUMMYFUNCTION("""COMPUTED_VALUE"""),"Commission Comparison")</f>
        <v>Commission Comparison</v>
      </c>
      <c r="H1370" s="19" t="str">
        <f>IFERROR(__xludf.DUMMYFUNCTION("""COMPUTED_VALUE"""),"Jim Smallwood")</f>
        <v>Jim Smallwood</v>
      </c>
      <c r="I1370" s="62">
        <f>IFERROR(__xludf.DUMMYFUNCTION("""COMPUTED_VALUE"""),6.1417746257E10)</f>
        <v>61417746257</v>
      </c>
      <c r="J1370" s="19" t="str">
        <f>IFERROR(__xludf.DUMMYFUNCTION("""COMPUTED_VALUE"""),"jimroz@bigpond.com")</f>
        <v>jimroz@bigpond.com</v>
      </c>
    </row>
    <row r="1371">
      <c r="A1371" s="19" t="str">
        <f>IFERROR(__xludf.DUMMYFUNCTION("""COMPUTED_VALUE"""),"Jasmine Corrick")</f>
        <v>Jasmine Corrick</v>
      </c>
      <c r="B1371" s="19" t="str">
        <f>IFERROR(__xludf.DUMMYFUNCTION("""COMPUTED_VALUE"""),"QLD")</f>
        <v>QLD</v>
      </c>
      <c r="C1371" s="5" t="str">
        <f>IFERROR(__xludf.DUMMYFUNCTION("""COMPUTED_VALUE"""),"Dundowran Beach")</f>
        <v>Dundowran Beach</v>
      </c>
      <c r="D1371" s="5" t="str">
        <f>IFERROR(__xludf.DUMMYFUNCTION("""COMPUTED_VALUE"""),"11 Jasmine crt, 4655")</f>
        <v>11 Jasmine crt, 4655</v>
      </c>
      <c r="E1371" s="5" t="str">
        <f>IFERROR(__xludf.DUMMYFUNCTION("""COMPUTED_VALUE"""),"29/11/2025")</f>
        <v>29/11/2025</v>
      </c>
      <c r="F1371" s="64">
        <f>IFERROR(__xludf.DUMMYFUNCTION("""COMPUTED_VALUE"""),0.2)</f>
        <v>0.2</v>
      </c>
      <c r="G1371" s="19" t="str">
        <f>IFERROR(__xludf.DUMMYFUNCTION("""COMPUTED_VALUE"""),"Meta Commission Report")</f>
        <v>Meta Commission Report</v>
      </c>
      <c r="H1371" s="19" t="str">
        <f>IFERROR(__xludf.DUMMYFUNCTION("""COMPUTED_VALUE"""),"Mike Hewitt")</f>
        <v>Mike Hewitt</v>
      </c>
      <c r="I1371" s="62">
        <f>IFERROR(__xludf.DUMMYFUNCTION("""COMPUTED_VALUE"""),6.1422833014E10)</f>
        <v>61422833014</v>
      </c>
      <c r="J1371" s="19" t="str">
        <f>IFERROR(__xludf.DUMMYFUNCTION("""COMPUTED_VALUE"""),"hewittmichael5490@gmail.com")</f>
        <v>hewittmichael5490@gmail.com</v>
      </c>
    </row>
    <row r="1372">
      <c r="A1372" s="19" t="str">
        <f>IFERROR(__xludf.DUMMYFUNCTION("""COMPUTED_VALUE"""),"Jasmine Corrick")</f>
        <v>Jasmine Corrick</v>
      </c>
      <c r="B1372" s="19" t="str">
        <f>IFERROR(__xludf.DUMMYFUNCTION("""COMPUTED_VALUE"""),"QLD")</f>
        <v>QLD</v>
      </c>
      <c r="C1372" s="5" t="str">
        <f>IFERROR(__xludf.DUMMYFUNCTION("""COMPUTED_VALUE"""),"Urangan")</f>
        <v>Urangan</v>
      </c>
      <c r="D1372" s="5" t="str">
        <f>IFERROR(__xludf.DUMMYFUNCTION("""COMPUTED_VALUE"""),"131 Pulgul Street Urangan QLD 4655")</f>
        <v>131 Pulgul Street Urangan QLD 4655</v>
      </c>
      <c r="E1372" s="5" t="str">
        <f>IFERROR(__xludf.DUMMYFUNCTION("""COMPUTED_VALUE"""),"29/11/2025")</f>
        <v>29/11/2025</v>
      </c>
      <c r="F1372" s="64">
        <f>IFERROR(__xludf.DUMMYFUNCTION("""COMPUTED_VALUE"""),0.2)</f>
        <v>0.2</v>
      </c>
      <c r="G1372" s="19" t="str">
        <f>IFERROR(__xludf.DUMMYFUNCTION("""COMPUTED_VALUE"""),"Instant Forms")</f>
        <v>Instant Forms</v>
      </c>
      <c r="H1372" s="19" t="str">
        <f>IFERROR(__xludf.DUMMYFUNCTION("""COMPUTED_VALUE"""),"Jim Smallwood")</f>
        <v>Jim Smallwood</v>
      </c>
      <c r="I1372" s="62">
        <f>IFERROR(__xludf.DUMMYFUNCTION("""COMPUTED_VALUE"""),6.1417746257E10)</f>
        <v>61417746257</v>
      </c>
      <c r="J1372" s="19" t="str">
        <f>IFERROR(__xludf.DUMMYFUNCTION("""COMPUTED_VALUE"""),"Jimroz@bigpond.com")</f>
        <v>Jimroz@bigpond.com</v>
      </c>
    </row>
    <row r="1373">
      <c r="A1373" s="19" t="str">
        <f>IFERROR(__xludf.DUMMYFUNCTION("""COMPUTED_VALUE"""),"Jasmine Corrick")</f>
        <v>Jasmine Corrick</v>
      </c>
      <c r="B1373" s="19" t="str">
        <f>IFERROR(__xludf.DUMMYFUNCTION("""COMPUTED_VALUE"""),"QLD")</f>
        <v>QLD</v>
      </c>
      <c r="C1373" s="5" t="str">
        <f>IFERROR(__xludf.DUMMYFUNCTION("""COMPUTED_VALUE"""),"Burrum Heads")</f>
        <v>Burrum Heads</v>
      </c>
      <c r="D1373" s="5" t="str">
        <f>IFERROR(__xludf.DUMMYFUNCTION("""COMPUTED_VALUE"""),"9 Dreamtime Avenue Burrum Heads QLD 4659")</f>
        <v>9 Dreamtime Avenue Burrum Heads QLD 4659</v>
      </c>
      <c r="E1373" s="27">
        <f>IFERROR(__xludf.DUMMYFUNCTION("""COMPUTED_VALUE"""),45669.0)</f>
        <v>45669</v>
      </c>
      <c r="F1373" s="64">
        <f>IFERROR(__xludf.DUMMYFUNCTION("""COMPUTED_VALUE"""),0.2)</f>
        <v>0.2</v>
      </c>
      <c r="G1373" s="19" t="str">
        <f>IFERROR(__xludf.DUMMYFUNCTION("""COMPUTED_VALUE"""),"Instant Forms")</f>
        <v>Instant Forms</v>
      </c>
      <c r="H1373" s="19" t="str">
        <f>IFERROR(__xludf.DUMMYFUNCTION("""COMPUTED_VALUE"""),"James Kennedy")</f>
        <v>James Kennedy</v>
      </c>
      <c r="I1373" s="62">
        <f>IFERROR(__xludf.DUMMYFUNCTION("""COMPUTED_VALUE"""),6.1417600861E10)</f>
        <v>61417600861</v>
      </c>
      <c r="J1373" s="19" t="str">
        <f>IFERROR(__xludf.DUMMYFUNCTION("""COMPUTED_VALUE"""),"kennedy.james@bigpond.com")</f>
        <v>kennedy.james@bigpond.com</v>
      </c>
    </row>
    <row r="1374">
      <c r="A1374" s="19" t="str">
        <f>IFERROR(__xludf.DUMMYFUNCTION("""COMPUTED_VALUE"""),"Jasmine Corrick")</f>
        <v>Jasmine Corrick</v>
      </c>
      <c r="B1374" s="19" t="str">
        <f>IFERROR(__xludf.DUMMYFUNCTION("""COMPUTED_VALUE"""),"QLD")</f>
        <v>QLD</v>
      </c>
      <c r="C1374" s="5" t="str">
        <f>IFERROR(__xludf.DUMMYFUNCTION("""COMPUTED_VALUE"""),"Eli Waters")</f>
        <v>Eli Waters</v>
      </c>
      <c r="D1374" s="5" t="str">
        <f>IFERROR(__xludf.DUMMYFUNCTION("""COMPUTED_VALUE"""),"12 Kookaburra Drive Eli Waters QLD 4655")</f>
        <v>12 Kookaburra Drive Eli Waters QLD 4655</v>
      </c>
      <c r="E1374" s="27">
        <f>IFERROR(__xludf.DUMMYFUNCTION("""COMPUTED_VALUE"""),45700.0)</f>
        <v>45700</v>
      </c>
      <c r="F1374" s="64">
        <f>IFERROR(__xludf.DUMMYFUNCTION("""COMPUTED_VALUE"""),0.2)</f>
        <v>0.2</v>
      </c>
      <c r="G1374" s="19" t="str">
        <f>IFERROR(__xludf.DUMMYFUNCTION("""COMPUTED_VALUE"""),"Instant Forms")</f>
        <v>Instant Forms</v>
      </c>
      <c r="H1374" s="19" t="str">
        <f>IFERROR(__xludf.DUMMYFUNCTION("""COMPUTED_VALUE"""),"Joe Coppola")</f>
        <v>Joe Coppola</v>
      </c>
      <c r="I1374" s="62">
        <f>IFERROR(__xludf.DUMMYFUNCTION("""COMPUTED_VALUE"""),6.1480431012E10)</f>
        <v>61480431012</v>
      </c>
      <c r="J1374" s="19" t="str">
        <f>IFERROR(__xludf.DUMMYFUNCTION("""COMPUTED_VALUE"""),"coppolajoe099@gmail.com")</f>
        <v>coppolajoe099@gmail.com</v>
      </c>
    </row>
    <row r="1375">
      <c r="A1375" s="19" t="str">
        <f>IFERROR(__xludf.DUMMYFUNCTION("""COMPUTED_VALUE"""),"Jasmine Corrick")</f>
        <v>Jasmine Corrick</v>
      </c>
      <c r="B1375" s="19" t="str">
        <f>IFERROR(__xludf.DUMMYFUNCTION("""COMPUTED_VALUE"""),"QLD")</f>
        <v>QLD</v>
      </c>
      <c r="C1375" s="5" t="str">
        <f>IFERROR(__xludf.DUMMYFUNCTION("""COMPUTED_VALUE"""),"Point Vernon")</f>
        <v>Point Vernon</v>
      </c>
      <c r="D1375" s="5" t="str">
        <f>IFERROR(__xludf.DUMMYFUNCTION("""COMPUTED_VALUE"""),"11 Lambour Court Point Vernon QLD 4655")</f>
        <v>11 Lambour Court Point Vernon QLD 4655</v>
      </c>
      <c r="E1375" s="27">
        <f>IFERROR(__xludf.DUMMYFUNCTION("""COMPUTED_VALUE"""),45700.0)</f>
        <v>45700</v>
      </c>
      <c r="F1375" s="64">
        <f>IFERROR(__xludf.DUMMYFUNCTION("""COMPUTED_VALUE"""),0.2)</f>
        <v>0.2</v>
      </c>
      <c r="G1375" s="19" t="str">
        <f>IFERROR(__xludf.DUMMYFUNCTION("""COMPUTED_VALUE"""),"Meta Commission Report")</f>
        <v>Meta Commission Report</v>
      </c>
      <c r="H1375" s="19" t="str">
        <f>IFERROR(__xludf.DUMMYFUNCTION("""COMPUTED_VALUE"""),"Beverley Mallet")</f>
        <v>Beverley Mallet</v>
      </c>
      <c r="I1375" s="62">
        <f>IFERROR(__xludf.DUMMYFUNCTION("""COMPUTED_VALUE"""),6.1488294724E10)</f>
        <v>61488294724</v>
      </c>
      <c r="J1375" s="19" t="str">
        <f>IFERROR(__xludf.DUMMYFUNCTION("""COMPUTED_VALUE"""),"beverley.mallet1952@gmail.com")</f>
        <v>beverley.mallet1952@gmail.com</v>
      </c>
    </row>
    <row r="1376">
      <c r="A1376" s="19" t="str">
        <f>IFERROR(__xludf.DUMMYFUNCTION("""COMPUTED_VALUE"""),"")</f>
        <v/>
      </c>
      <c r="B1376" s="19" t="str">
        <f>IFERROR(__xludf.DUMMYFUNCTION("""COMPUTED_VALUE"""),"")</f>
        <v/>
      </c>
      <c r="C1376" s="5" t="str">
        <f>IFERROR(__xludf.DUMMYFUNCTION("""COMPUTED_VALUE"""),"")</f>
        <v/>
      </c>
      <c r="D1376" s="5" t="str">
        <f>IFERROR(__xludf.DUMMYFUNCTION("""COMPUTED_VALUE"""),"")</f>
        <v/>
      </c>
      <c r="E1376" s="5" t="str">
        <f>IFERROR(__xludf.DUMMYFUNCTION("""COMPUTED_VALUE"""),"")</f>
        <v/>
      </c>
      <c r="F1376" s="5" t="str">
        <f>IFERROR(__xludf.DUMMYFUNCTION("""COMPUTED_VALUE"""),"")</f>
        <v/>
      </c>
      <c r="G1376" s="19" t="str">
        <f>IFERROR(__xludf.DUMMYFUNCTION("""COMPUTED_VALUE"""),"")</f>
        <v/>
      </c>
      <c r="H1376" s="19" t="str">
        <f>IFERROR(__xludf.DUMMYFUNCTION("""COMPUTED_VALUE"""),"")</f>
        <v/>
      </c>
      <c r="I1376" s="62" t="str">
        <f>IFERROR(__xludf.DUMMYFUNCTION("""COMPUTED_VALUE"""),"")</f>
        <v/>
      </c>
      <c r="J1376" s="19" t="str">
        <f>IFERROR(__xludf.DUMMYFUNCTION("""COMPUTED_VALUE"""),"")</f>
        <v/>
      </c>
    </row>
    <row r="1377">
      <c r="A1377" s="19" t="str">
        <f>IFERROR(__xludf.DUMMYFUNCTION("""COMPUTED_VALUE"""),"")</f>
        <v/>
      </c>
      <c r="B1377" s="19" t="str">
        <f>IFERROR(__xludf.DUMMYFUNCTION("""COMPUTED_VALUE"""),"")</f>
        <v/>
      </c>
      <c r="C1377" s="5" t="str">
        <f>IFERROR(__xludf.DUMMYFUNCTION("""COMPUTED_VALUE"""),"")</f>
        <v/>
      </c>
      <c r="D1377" s="5" t="str">
        <f>IFERROR(__xludf.DUMMYFUNCTION("""COMPUTED_VALUE"""),"")</f>
        <v/>
      </c>
      <c r="E1377" s="5" t="str">
        <f>IFERROR(__xludf.DUMMYFUNCTION("""COMPUTED_VALUE"""),"")</f>
        <v/>
      </c>
      <c r="F1377" s="5" t="str">
        <f>IFERROR(__xludf.DUMMYFUNCTION("""COMPUTED_VALUE"""),"")</f>
        <v/>
      </c>
      <c r="G1377" s="19" t="str">
        <f>IFERROR(__xludf.DUMMYFUNCTION("""COMPUTED_VALUE"""),"")</f>
        <v/>
      </c>
      <c r="H1377" s="19" t="str">
        <f>IFERROR(__xludf.DUMMYFUNCTION("""COMPUTED_VALUE"""),"")</f>
        <v/>
      </c>
      <c r="I1377" s="62" t="str">
        <f>IFERROR(__xludf.DUMMYFUNCTION("""COMPUTED_VALUE"""),"")</f>
        <v/>
      </c>
      <c r="J1377" s="19" t="str">
        <f>IFERROR(__xludf.DUMMYFUNCTION("""COMPUTED_VALUE"""),"")</f>
        <v/>
      </c>
    </row>
    <row r="1378">
      <c r="A1378" s="19" t="str">
        <f>IFERROR(__xludf.DUMMYFUNCTION("""COMPUTED_VALUE"""),"Jason Read")</f>
        <v>Jason Read</v>
      </c>
      <c r="B1378" s="19" t="str">
        <f>IFERROR(__xludf.DUMMYFUNCTION("""COMPUTED_VALUE"""),"QLD")</f>
        <v>QLD</v>
      </c>
      <c r="C1378" s="5" t="str">
        <f>IFERROR(__xludf.DUMMYFUNCTION("""COMPUTED_VALUE"""),"Coomera")</f>
        <v>Coomera</v>
      </c>
      <c r="D1378" s="5" t="str">
        <f>IFERROR(__xludf.DUMMYFUNCTION("""COMPUTED_VALUE"""),"14 Katinka Circuit, Coomera, QLD, 4209, Australia")</f>
        <v>14 Katinka Circuit, Coomera, QLD, 4209, Australia</v>
      </c>
      <c r="E1378" s="5" t="str">
        <f>IFERROR(__xludf.DUMMYFUNCTION("""COMPUTED_VALUE"""),"28/05/2025")</f>
        <v>28/05/2025</v>
      </c>
      <c r="F1378" s="5" t="str">
        <f>IFERROR(__xludf.DUMMYFUNCTION("""COMPUTED_VALUE"""),"Featured")</f>
        <v>Featured</v>
      </c>
      <c r="G1378" s="19"/>
      <c r="H1378" s="19"/>
      <c r="I1378" s="62"/>
      <c r="J1378" s="19"/>
    </row>
    <row r="1379">
      <c r="A1379" s="19" t="str">
        <f>IFERROR(__xludf.DUMMYFUNCTION("""COMPUTED_VALUE"""),"Jason Read")</f>
        <v>Jason Read</v>
      </c>
      <c r="B1379" s="19" t="str">
        <f>IFERROR(__xludf.DUMMYFUNCTION("""COMPUTED_VALUE"""),"QLD")</f>
        <v>QLD</v>
      </c>
      <c r="C1379" s="5">
        <f>IFERROR(__xludf.DUMMYFUNCTION("""COMPUTED_VALUE"""),4209.0)</f>
        <v>4209</v>
      </c>
      <c r="D1379" s="5"/>
      <c r="E1379" s="63">
        <f>IFERROR(__xludf.DUMMYFUNCTION("""COMPUTED_VALUE"""),45838.59475694445)</f>
        <v>45838.59476</v>
      </c>
      <c r="F1379" s="5" t="str">
        <f>IFERROR(__xludf.DUMMYFUNCTION("""COMPUTED_VALUE"""),"Free")</f>
        <v>Free</v>
      </c>
      <c r="G1379" s="19" t="str">
        <f>IFERROR(__xludf.DUMMYFUNCTION("""COMPUTED_VALUE"""),"Instant Forms")</f>
        <v>Instant Forms</v>
      </c>
      <c r="H1379" s="19"/>
      <c r="I1379" s="62"/>
      <c r="J1379" s="19"/>
    </row>
    <row r="1380">
      <c r="A1380" s="19" t="str">
        <f>IFERROR(__xludf.DUMMYFUNCTION("""COMPUTED_VALUE"""),"Jason Read")</f>
        <v>Jason Read</v>
      </c>
      <c r="B1380" s="19" t="str">
        <f>IFERROR(__xludf.DUMMYFUNCTION("""COMPUTED_VALUE"""),"QLD")</f>
        <v>QLD</v>
      </c>
      <c r="C1380" s="5">
        <f>IFERROR(__xludf.DUMMYFUNCTION("""COMPUTED_VALUE"""),4208.0)</f>
        <v>4208</v>
      </c>
      <c r="D1380" s="5"/>
      <c r="E1380" s="63" t="str">
        <f>IFERROR(__xludf.DUMMYFUNCTION("""COMPUTED_VALUE"""),"18/07/2025")</f>
        <v>18/07/2025</v>
      </c>
      <c r="F1380" s="5" t="str">
        <f>IFERROR(__xludf.DUMMYFUNCTION("""COMPUTED_VALUE"""),"Featured")</f>
        <v>Featured</v>
      </c>
      <c r="G1380" s="19" t="str">
        <f>IFERROR(__xludf.DUMMYFUNCTION("""COMPUTED_VALUE"""),"Instant Forms")</f>
        <v>Instant Forms</v>
      </c>
      <c r="H1380" s="19"/>
      <c r="I1380" s="62"/>
      <c r="J1380" s="19"/>
    </row>
    <row r="1381">
      <c r="A1381" s="19" t="str">
        <f>IFERROR(__xludf.DUMMYFUNCTION("""COMPUTED_VALUE"""),"Jason Read")</f>
        <v>Jason Read</v>
      </c>
      <c r="B1381" s="19" t="str">
        <f>IFERROR(__xludf.DUMMYFUNCTION("""COMPUTED_VALUE"""),"QLD")</f>
        <v>QLD</v>
      </c>
      <c r="C1381" s="5">
        <f>IFERROR(__xludf.DUMMYFUNCTION("""COMPUTED_VALUE"""),4209.0)</f>
        <v>4209</v>
      </c>
      <c r="D1381" s="5"/>
      <c r="E1381" s="63">
        <f>IFERROR(__xludf.DUMMYFUNCTION("""COMPUTED_VALUE"""),45859.0)</f>
        <v>45859</v>
      </c>
      <c r="F1381" s="5" t="str">
        <f>IFERROR(__xludf.DUMMYFUNCTION("""COMPUTED_VALUE"""),"Featured")</f>
        <v>Featured</v>
      </c>
      <c r="G1381" s="19" t="str">
        <f>IFERROR(__xludf.DUMMYFUNCTION("""COMPUTED_VALUE"""),"Instant Forms")</f>
        <v>Instant Forms</v>
      </c>
      <c r="H1381" s="19"/>
      <c r="I1381" s="62"/>
      <c r="J1381" s="19"/>
    </row>
    <row r="1382">
      <c r="A1382" s="19" t="str">
        <f>IFERROR(__xludf.DUMMYFUNCTION("""COMPUTED_VALUE"""),"Jason Read")</f>
        <v>Jason Read</v>
      </c>
      <c r="B1382" s="19" t="str">
        <f>IFERROR(__xludf.DUMMYFUNCTION("""COMPUTED_VALUE"""),"QLD")</f>
        <v>QLD</v>
      </c>
      <c r="C1382" s="5" t="str">
        <f>IFERROR(__xludf.DUMMYFUNCTION("""COMPUTED_VALUE"""),"Coomera")</f>
        <v>Coomera</v>
      </c>
      <c r="D1382" s="5" t="str">
        <f>IFERROR(__xludf.DUMMYFUNCTION("""COMPUTED_VALUE"""),"44 Picnic Creek Drive Coomera QLD 4209")</f>
        <v>44 Picnic Creek Drive Coomera QLD 4209</v>
      </c>
      <c r="E1382" s="25">
        <f>IFERROR(__xludf.DUMMYFUNCTION("""COMPUTED_VALUE"""),45889.0)</f>
        <v>45889</v>
      </c>
      <c r="F1382" s="5" t="str">
        <f>IFERROR(__xludf.DUMMYFUNCTION("""COMPUTED_VALUE"""),"Featured")</f>
        <v>Featured</v>
      </c>
      <c r="G1382" s="19" t="str">
        <f>IFERROR(__xludf.DUMMYFUNCTION("""COMPUTED_VALUE"""),"Instant Forms")</f>
        <v>Instant Forms</v>
      </c>
      <c r="H1382" s="19"/>
      <c r="I1382" s="62"/>
      <c r="J1382" s="19"/>
    </row>
    <row r="1383">
      <c r="A1383" s="19" t="str">
        <f>IFERROR(__xludf.DUMMYFUNCTION("""COMPUTED_VALUE"""),"")</f>
        <v/>
      </c>
      <c r="B1383" s="19" t="str">
        <f>IFERROR(__xludf.DUMMYFUNCTION("""COMPUTED_VALUE"""),"")</f>
        <v/>
      </c>
      <c r="C1383" s="5" t="str">
        <f>IFERROR(__xludf.DUMMYFUNCTION("""COMPUTED_VALUE"""),"")</f>
        <v/>
      </c>
      <c r="D1383" s="5" t="str">
        <f>IFERROR(__xludf.DUMMYFUNCTION("""COMPUTED_VALUE"""),"")</f>
        <v/>
      </c>
      <c r="E1383" s="5" t="str">
        <f>IFERROR(__xludf.DUMMYFUNCTION("""COMPUTED_VALUE"""),"")</f>
        <v/>
      </c>
      <c r="F1383" s="5" t="str">
        <f>IFERROR(__xludf.DUMMYFUNCTION("""COMPUTED_VALUE"""),"")</f>
        <v/>
      </c>
      <c r="G1383" s="19" t="str">
        <f>IFERROR(__xludf.DUMMYFUNCTION("""COMPUTED_VALUE"""),"")</f>
        <v/>
      </c>
      <c r="H1383" s="19" t="str">
        <f>IFERROR(__xludf.DUMMYFUNCTION("""COMPUTED_VALUE"""),"")</f>
        <v/>
      </c>
      <c r="I1383" s="62" t="str">
        <f>IFERROR(__xludf.DUMMYFUNCTION("""COMPUTED_VALUE"""),"")</f>
        <v/>
      </c>
      <c r="J1383" s="19" t="str">
        <f>IFERROR(__xludf.DUMMYFUNCTION("""COMPUTED_VALUE"""),"")</f>
        <v/>
      </c>
    </row>
    <row r="1384">
      <c r="A1384" s="19" t="str">
        <f>IFERROR(__xludf.DUMMYFUNCTION("""COMPUTED_VALUE"""),"")</f>
        <v/>
      </c>
      <c r="B1384" s="19" t="str">
        <f>IFERROR(__xludf.DUMMYFUNCTION("""COMPUTED_VALUE"""),"")</f>
        <v/>
      </c>
      <c r="C1384" s="5" t="str">
        <f>IFERROR(__xludf.DUMMYFUNCTION("""COMPUTED_VALUE"""),"")</f>
        <v/>
      </c>
      <c r="D1384" s="5" t="str">
        <f>IFERROR(__xludf.DUMMYFUNCTION("""COMPUTED_VALUE"""),"")</f>
        <v/>
      </c>
      <c r="E1384" s="5" t="str">
        <f>IFERROR(__xludf.DUMMYFUNCTION("""COMPUTED_VALUE"""),"")</f>
        <v/>
      </c>
      <c r="F1384" s="5" t="str">
        <f>IFERROR(__xludf.DUMMYFUNCTION("""COMPUTED_VALUE"""),"")</f>
        <v/>
      </c>
      <c r="G1384" s="19" t="str">
        <f>IFERROR(__xludf.DUMMYFUNCTION("""COMPUTED_VALUE"""),"")</f>
        <v/>
      </c>
      <c r="H1384" s="19" t="str">
        <f>IFERROR(__xludf.DUMMYFUNCTION("""COMPUTED_VALUE"""),"")</f>
        <v/>
      </c>
      <c r="I1384" s="62" t="str">
        <f>IFERROR(__xludf.DUMMYFUNCTION("""COMPUTED_VALUE"""),"")</f>
        <v/>
      </c>
      <c r="J1384" s="19" t="str">
        <f>IFERROR(__xludf.DUMMYFUNCTION("""COMPUTED_VALUE"""),"")</f>
        <v/>
      </c>
    </row>
    <row r="1385">
      <c r="A1385" s="19" t="str">
        <f>IFERROR(__xludf.DUMMYFUNCTION("""COMPUTED_VALUE"""),"Jay Singh")</f>
        <v>Jay Singh</v>
      </c>
      <c r="B1385" s="19" t="str">
        <f>IFERROR(__xludf.DUMMYFUNCTION("""COMPUTED_VALUE"""),"WA")</f>
        <v>WA</v>
      </c>
      <c r="C1385" s="5" t="str">
        <f>IFERROR(__xludf.DUMMYFUNCTION("""COMPUTED_VALUE"""),"Piara Waters")</f>
        <v>Piara Waters</v>
      </c>
      <c r="D1385" s="5" t="str">
        <f>IFERROR(__xludf.DUMMYFUNCTION("""COMPUTED_VALUE"""),"61 Bellas Circuit, Piara Waters, WA, 6112, Australia")</f>
        <v>61 Bellas Circuit, Piara Waters, WA, 6112, Australia</v>
      </c>
      <c r="E1385" s="27">
        <f>IFERROR(__xludf.DUMMYFUNCTION("""COMPUTED_VALUE"""),45814.0)</f>
        <v>45814</v>
      </c>
      <c r="F1385" s="5" t="str">
        <f>IFERROR(__xludf.DUMMYFUNCTION("""COMPUTED_VALUE"""),"Featured")</f>
        <v>Featured</v>
      </c>
      <c r="G1385" s="19"/>
      <c r="H1385" s="19"/>
      <c r="I1385" s="62"/>
      <c r="J1385" s="19"/>
    </row>
    <row r="1386">
      <c r="A1386" s="19" t="str">
        <f>IFERROR(__xludf.DUMMYFUNCTION("""COMPUTED_VALUE"""),"")</f>
        <v/>
      </c>
      <c r="B1386" s="19" t="str">
        <f>IFERROR(__xludf.DUMMYFUNCTION("""COMPUTED_VALUE"""),"")</f>
        <v/>
      </c>
      <c r="C1386" s="5" t="str">
        <f>IFERROR(__xludf.DUMMYFUNCTION("""COMPUTED_VALUE"""),"")</f>
        <v/>
      </c>
      <c r="D1386" s="5" t="str">
        <f>IFERROR(__xludf.DUMMYFUNCTION("""COMPUTED_VALUE"""),"")</f>
        <v/>
      </c>
      <c r="E1386" s="5" t="str">
        <f>IFERROR(__xludf.DUMMYFUNCTION("""COMPUTED_VALUE"""),"")</f>
        <v/>
      </c>
      <c r="F1386" s="5" t="str">
        <f>IFERROR(__xludf.DUMMYFUNCTION("""COMPUTED_VALUE"""),"")</f>
        <v/>
      </c>
      <c r="G1386" s="19" t="str">
        <f>IFERROR(__xludf.DUMMYFUNCTION("""COMPUTED_VALUE"""),"")</f>
        <v/>
      </c>
      <c r="H1386" s="19" t="str">
        <f>IFERROR(__xludf.DUMMYFUNCTION("""COMPUTED_VALUE"""),"")</f>
        <v/>
      </c>
      <c r="I1386" s="62" t="str">
        <f>IFERROR(__xludf.DUMMYFUNCTION("""COMPUTED_VALUE"""),"")</f>
        <v/>
      </c>
      <c r="J1386" s="19" t="str">
        <f>IFERROR(__xludf.DUMMYFUNCTION("""COMPUTED_VALUE"""),"")</f>
        <v/>
      </c>
    </row>
    <row r="1387">
      <c r="A1387" s="19" t="str">
        <f>IFERROR(__xludf.DUMMYFUNCTION("""COMPUTED_VALUE"""),"")</f>
        <v/>
      </c>
      <c r="B1387" s="19" t="str">
        <f>IFERROR(__xludf.DUMMYFUNCTION("""COMPUTED_VALUE"""),"")</f>
        <v/>
      </c>
      <c r="C1387" s="5" t="str">
        <f>IFERROR(__xludf.DUMMYFUNCTION("""COMPUTED_VALUE"""),"")</f>
        <v/>
      </c>
      <c r="D1387" s="5" t="str">
        <f>IFERROR(__xludf.DUMMYFUNCTION("""COMPUTED_VALUE"""),"")</f>
        <v/>
      </c>
      <c r="E1387" s="5" t="str">
        <f>IFERROR(__xludf.DUMMYFUNCTION("""COMPUTED_VALUE"""),"")</f>
        <v/>
      </c>
      <c r="F1387" s="5" t="str">
        <f>IFERROR(__xludf.DUMMYFUNCTION("""COMPUTED_VALUE"""),"")</f>
        <v/>
      </c>
      <c r="G1387" s="19" t="str">
        <f>IFERROR(__xludf.DUMMYFUNCTION("""COMPUTED_VALUE"""),"")</f>
        <v/>
      </c>
      <c r="H1387" s="19" t="str">
        <f>IFERROR(__xludf.DUMMYFUNCTION("""COMPUTED_VALUE"""),"")</f>
        <v/>
      </c>
      <c r="I1387" s="62" t="str">
        <f>IFERROR(__xludf.DUMMYFUNCTION("""COMPUTED_VALUE"""),"")</f>
        <v/>
      </c>
      <c r="J1387" s="19" t="str">
        <f>IFERROR(__xludf.DUMMYFUNCTION("""COMPUTED_VALUE"""),"")</f>
        <v/>
      </c>
    </row>
    <row r="1388">
      <c r="A1388" s="19" t="str">
        <f>IFERROR(__xludf.DUMMYFUNCTION("""COMPUTED_VALUE"""),"Jeroen Waalder")</f>
        <v>Jeroen Waalder</v>
      </c>
      <c r="B1388" s="19" t="str">
        <f>IFERROR(__xludf.DUMMYFUNCTION("""COMPUTED_VALUE"""),"QLD")</f>
        <v>QLD</v>
      </c>
      <c r="C1388" s="5">
        <f>IFERROR(__xludf.DUMMYFUNCTION("""COMPUTED_VALUE"""),4280.0)</f>
        <v>4280</v>
      </c>
      <c r="D1388" s="5"/>
      <c r="E1388" s="63" t="str">
        <f>IFERROR(__xludf.DUMMYFUNCTION("""COMPUTED_VALUE"""),"27/07/2025")</f>
        <v>27/07/2025</v>
      </c>
      <c r="F1388" s="5" t="str">
        <f>IFERROR(__xludf.DUMMYFUNCTION("""COMPUTED_VALUE"""),"Featured")</f>
        <v>Featured</v>
      </c>
      <c r="G1388" s="19" t="str">
        <f>IFERROR(__xludf.DUMMYFUNCTION("""COMPUTED_VALUE"""),"Instant Forms")</f>
        <v>Instant Forms</v>
      </c>
      <c r="H1388" s="19"/>
      <c r="I1388" s="62"/>
      <c r="J1388" s="19"/>
    </row>
    <row r="1389">
      <c r="A1389" s="19" t="str">
        <f>IFERROR(__xludf.DUMMYFUNCTION("""COMPUTED_VALUE"""),"Jeroen Waalder")</f>
        <v>Jeroen Waalder</v>
      </c>
      <c r="B1389" s="19" t="str">
        <f>IFERROR(__xludf.DUMMYFUNCTION("""COMPUTED_VALUE"""),"QLD")</f>
        <v>QLD</v>
      </c>
      <c r="C1389" s="5">
        <f>IFERROR(__xludf.DUMMYFUNCTION("""COMPUTED_VALUE"""),4133.0)</f>
        <v>4133</v>
      </c>
      <c r="D1389" s="5"/>
      <c r="E1389" s="63">
        <f>IFERROR(__xludf.DUMMYFUNCTION("""COMPUTED_VALUE"""),45665.0)</f>
        <v>45665</v>
      </c>
      <c r="F1389" s="5" t="str">
        <f>IFERROR(__xludf.DUMMYFUNCTION("""COMPUTED_VALUE"""),"Featured")</f>
        <v>Featured</v>
      </c>
      <c r="G1389" s="19" t="str">
        <f>IFERROR(__xludf.DUMMYFUNCTION("""COMPUTED_VALUE"""),"Instant Forms")</f>
        <v>Instant Forms</v>
      </c>
      <c r="H1389" s="19"/>
      <c r="I1389" s="62"/>
      <c r="J1389" s="19"/>
    </row>
    <row r="1390">
      <c r="A1390" s="19" t="str">
        <f>IFERROR(__xludf.DUMMYFUNCTION("""COMPUTED_VALUE"""),"Jeroen Waalder")</f>
        <v>Jeroen Waalder</v>
      </c>
      <c r="B1390" s="19" t="str">
        <f>IFERROR(__xludf.DUMMYFUNCTION("""COMPUTED_VALUE"""),"QLD")</f>
        <v>QLD</v>
      </c>
      <c r="C1390" s="5" t="str">
        <f>IFERROR(__xludf.DUMMYFUNCTION("""COMPUTED_VALUE"""),"Beaudesert")</f>
        <v>Beaudesert</v>
      </c>
      <c r="D1390" s="5"/>
      <c r="E1390" s="25">
        <f>IFERROR(__xludf.DUMMYFUNCTION("""COMPUTED_VALUE"""),45876.0)</f>
        <v>45876</v>
      </c>
      <c r="F1390" s="5" t="str">
        <f>IFERROR(__xludf.DUMMYFUNCTION("""COMPUTED_VALUE"""),"Free")</f>
        <v>Free</v>
      </c>
      <c r="G1390" s="19" t="str">
        <f>IFERROR(__xludf.DUMMYFUNCTION("""COMPUTED_VALUE"""),"Instant Forms")</f>
        <v>Instant Forms</v>
      </c>
      <c r="H1390" s="19"/>
      <c r="I1390" s="62"/>
      <c r="J1390" s="19"/>
    </row>
    <row r="1391">
      <c r="A1391" s="19" t="str">
        <f>IFERROR(__xludf.DUMMYFUNCTION("""COMPUTED_VALUE"""),"Jeroen Waalder")</f>
        <v>Jeroen Waalder</v>
      </c>
      <c r="B1391" s="19" t="str">
        <f>IFERROR(__xludf.DUMMYFUNCTION("""COMPUTED_VALUE"""),"QLD")</f>
        <v>QLD</v>
      </c>
      <c r="C1391" s="5" t="str">
        <f>IFERROR(__xludf.DUMMYFUNCTION("""COMPUTED_VALUE"""),"Gleneagle")</f>
        <v>Gleneagle</v>
      </c>
      <c r="D1391" s="5"/>
      <c r="E1391" s="25">
        <f>IFERROR(__xludf.DUMMYFUNCTION("""COMPUTED_VALUE"""),45892.0)</f>
        <v>45892</v>
      </c>
      <c r="F1391" s="5" t="str">
        <f>IFERROR(__xludf.DUMMYFUNCTION("""COMPUTED_VALUE"""),"Free")</f>
        <v>Free</v>
      </c>
      <c r="G1391" s="19" t="str">
        <f>IFERROR(__xludf.DUMMYFUNCTION("""COMPUTED_VALUE"""),"Instant Forms")</f>
        <v>Instant Forms</v>
      </c>
      <c r="H1391" s="19"/>
      <c r="I1391" s="62"/>
      <c r="J1391" s="19"/>
    </row>
    <row r="1392">
      <c r="A1392" s="19" t="str">
        <f>IFERROR(__xludf.DUMMYFUNCTION("""COMPUTED_VALUE"""),"Jeroen Waalder")</f>
        <v>Jeroen Waalder</v>
      </c>
      <c r="B1392" s="19" t="str">
        <f>IFERROR(__xludf.DUMMYFUNCTION("""COMPUTED_VALUE"""),"QLD")</f>
        <v>QLD</v>
      </c>
      <c r="C1392" s="5" t="str">
        <f>IFERROR(__xludf.DUMMYFUNCTION("""COMPUTED_VALUE"""),"Cedar Grove")</f>
        <v>Cedar Grove</v>
      </c>
      <c r="D1392" s="5" t="str">
        <f>IFERROR(__xludf.DUMMYFUNCTION("""COMPUTED_VALUE"""),"180 Cedar Grove Road Cedar Grove QLD 4285")</f>
        <v>180 Cedar Grove Road Cedar Grove QLD 4285</v>
      </c>
      <c r="E1392" s="25">
        <f>IFERROR(__xludf.DUMMYFUNCTION("""COMPUTED_VALUE"""),45893.0)</f>
        <v>45893</v>
      </c>
      <c r="F1392" s="5" t="str">
        <f>IFERROR(__xludf.DUMMYFUNCTION("""COMPUTED_VALUE"""),"Featured")</f>
        <v>Featured</v>
      </c>
      <c r="G1392" s="19" t="str">
        <f>IFERROR(__xludf.DUMMYFUNCTION("""COMPUTED_VALUE"""),"Instant Forms")</f>
        <v>Instant Forms</v>
      </c>
      <c r="H1392" s="19"/>
      <c r="I1392" s="62"/>
      <c r="J1392" s="19"/>
    </row>
    <row r="1393">
      <c r="A1393" s="19" t="str">
        <f>IFERROR(__xludf.DUMMYFUNCTION("""COMPUTED_VALUE"""),"Jeroen Waalder")</f>
        <v>Jeroen Waalder</v>
      </c>
      <c r="B1393" s="19" t="str">
        <f>IFERROR(__xludf.DUMMYFUNCTION("""COMPUTED_VALUE"""),"QLD")</f>
        <v>QLD</v>
      </c>
      <c r="C1393" s="5">
        <f>IFERROR(__xludf.DUMMYFUNCTION("""COMPUTED_VALUE"""),4280.0)</f>
        <v>4280</v>
      </c>
      <c r="D1393" s="5"/>
      <c r="E1393" s="25">
        <f>IFERROR(__xludf.DUMMYFUNCTION("""COMPUTED_VALUE"""),45896.0)</f>
        <v>45896</v>
      </c>
      <c r="F1393" s="5" t="str">
        <f>IFERROR(__xludf.DUMMYFUNCTION("""COMPUTED_VALUE"""),"Featured")</f>
        <v>Featured</v>
      </c>
      <c r="G1393" s="19" t="str">
        <f>IFERROR(__xludf.DUMMYFUNCTION("""COMPUTED_VALUE"""),"Instant Forms")</f>
        <v>Instant Forms</v>
      </c>
      <c r="H1393" s="19"/>
      <c r="I1393" s="62"/>
      <c r="J1393" s="19"/>
    </row>
    <row r="1394">
      <c r="A1394" s="19" t="str">
        <f>IFERROR(__xludf.DUMMYFUNCTION("""COMPUTED_VALUE"""),"Jeroen Waalder")</f>
        <v>Jeroen Waalder</v>
      </c>
      <c r="B1394" s="19" t="str">
        <f>IFERROR(__xludf.DUMMYFUNCTION("""COMPUTED_VALUE"""),"QLD")</f>
        <v>QLD</v>
      </c>
      <c r="C1394" s="5" t="str">
        <f>IFERROR(__xludf.DUMMYFUNCTION("""COMPUTED_VALUE"""),"Cedar Grove")</f>
        <v>Cedar Grove</v>
      </c>
      <c r="D1394" s="5" t="str">
        <f>IFERROR(__xludf.DUMMYFUNCTION("""COMPUTED_VALUE"""),"93-97 Michelle Drive Cedar Grove QLD 4285")</f>
        <v>93-97 Michelle Drive Cedar Grove QLD 4285</v>
      </c>
      <c r="E1394" s="25">
        <f>IFERROR(__xludf.DUMMYFUNCTION("""COMPUTED_VALUE"""),45898.0)</f>
        <v>45898</v>
      </c>
      <c r="F1394" s="5" t="str">
        <f>IFERROR(__xludf.DUMMYFUNCTION("""COMPUTED_VALUE"""),"Featured")</f>
        <v>Featured</v>
      </c>
      <c r="G1394" s="19" t="str">
        <f>IFERROR(__xludf.DUMMYFUNCTION("""COMPUTED_VALUE"""),"Instant Forms")</f>
        <v>Instant Forms</v>
      </c>
      <c r="H1394" s="19"/>
      <c r="I1394" s="62"/>
      <c r="J1394" s="19"/>
    </row>
    <row r="1395">
      <c r="A1395" s="19" t="str">
        <f>IFERROR(__xludf.DUMMYFUNCTION("""COMPUTED_VALUE"""),"Jeroen Waalder")</f>
        <v>Jeroen Waalder</v>
      </c>
      <c r="B1395" s="19" t="str">
        <f>IFERROR(__xludf.DUMMYFUNCTION("""COMPUTED_VALUE"""),"QLD")</f>
        <v>QLD</v>
      </c>
      <c r="C1395" s="5" t="str">
        <f>IFERROR(__xludf.DUMMYFUNCTION("""COMPUTED_VALUE"""),"Parkridge south")</f>
        <v>Parkridge south</v>
      </c>
      <c r="D1395" s="5" t="str">
        <f>IFERROR(__xludf.DUMMYFUNCTION("""COMPUTED_VALUE"""),"128-136 Granger Road Park Ridge South QLD 4125")</f>
        <v>128-136 Granger Road Park Ridge South QLD 4125</v>
      </c>
      <c r="E1395" s="25">
        <f>IFERROR(__xludf.DUMMYFUNCTION("""COMPUTED_VALUE"""),45919.0)</f>
        <v>45919</v>
      </c>
      <c r="F1395" s="5">
        <f>IFERROR(__xludf.DUMMYFUNCTION("""COMPUTED_VALUE"""),6.0)</f>
        <v>6</v>
      </c>
      <c r="G1395" s="19" t="str">
        <f>IFERROR(__xludf.DUMMYFUNCTION("""COMPUTED_VALUE"""),"Instant Forms")</f>
        <v>Instant Forms</v>
      </c>
      <c r="H1395" s="19" t="str">
        <f>IFERROR(__xludf.DUMMYFUNCTION("""COMPUTED_VALUE"""),"Mark Boston")</f>
        <v>Mark Boston</v>
      </c>
      <c r="I1395" s="62"/>
      <c r="J1395" s="19"/>
    </row>
    <row r="1396">
      <c r="A1396" s="19" t="str">
        <f>IFERROR(__xludf.DUMMYFUNCTION("""COMPUTED_VALUE"""),"Jeroen Waalder")</f>
        <v>Jeroen Waalder</v>
      </c>
      <c r="B1396" s="19" t="str">
        <f>IFERROR(__xludf.DUMMYFUNCTION("""COMPUTED_VALUE"""),"QLD")</f>
        <v>QLD</v>
      </c>
      <c r="C1396" s="5" t="str">
        <f>IFERROR(__xludf.DUMMYFUNCTION("""COMPUTED_VALUE"""),"Calamvale")</f>
        <v>Calamvale</v>
      </c>
      <c r="D1396" s="5" t="str">
        <f>IFERROR(__xludf.DUMMYFUNCTION("""COMPUTED_VALUE"""),"20/360 Benhiam Street Calamvale QLD 4116")</f>
        <v>20/360 Benhiam Street Calamvale QLD 4116</v>
      </c>
      <c r="E1396" s="25">
        <f>IFERROR(__xludf.DUMMYFUNCTION("""COMPUTED_VALUE"""),45933.0)</f>
        <v>45933</v>
      </c>
      <c r="F1396" s="5">
        <f>IFERROR(__xludf.DUMMYFUNCTION("""COMPUTED_VALUE"""),8.0)</f>
        <v>8</v>
      </c>
      <c r="G1396" s="19" t="str">
        <f>IFERROR(__xludf.DUMMYFUNCTION("""COMPUTED_VALUE"""),"Instant Forms")</f>
        <v>Instant Forms</v>
      </c>
      <c r="H1396" s="19" t="str">
        <f>IFERROR(__xludf.DUMMYFUNCTION("""COMPUTED_VALUE"""),"Jeehan Habib")</f>
        <v>Jeehan Habib</v>
      </c>
      <c r="I1396" s="62"/>
      <c r="J1396" s="19"/>
    </row>
    <row r="1397">
      <c r="A1397" s="19" t="str">
        <f>IFERROR(__xludf.DUMMYFUNCTION("""COMPUTED_VALUE"""),"Jeroen Waalder")</f>
        <v>Jeroen Waalder</v>
      </c>
      <c r="B1397" s="19" t="str">
        <f>IFERROR(__xludf.DUMMYFUNCTION("""COMPUTED_VALUE"""),"QLD")</f>
        <v>QLD</v>
      </c>
      <c r="C1397" s="5" t="str">
        <f>IFERROR(__xludf.DUMMYFUNCTION("""COMPUTED_VALUE"""),"Cedar Vale")</f>
        <v>Cedar Vale</v>
      </c>
      <c r="D1397" s="5" t="str">
        <f>IFERROR(__xludf.DUMMYFUNCTION("""COMPUTED_VALUE"""),"56 Whitman rd cedervale, Cedar Vale, 4285")</f>
        <v>56 Whitman rd cedervale, Cedar Vale, 4285</v>
      </c>
      <c r="E1397" s="5" t="str">
        <f>IFERROR(__xludf.DUMMYFUNCTION("""COMPUTED_VALUE"""),"22/11/2025")</f>
        <v>22/11/2025</v>
      </c>
      <c r="F1397" s="5" t="str">
        <f>IFERROR(__xludf.DUMMYFUNCTION("""COMPUTED_VALUE"""),"Featured")</f>
        <v>Featured</v>
      </c>
      <c r="G1397" s="19" t="str">
        <f>IFERROR(__xludf.DUMMYFUNCTION("""COMPUTED_VALUE"""),"Meta Commission Report")</f>
        <v>Meta Commission Report</v>
      </c>
      <c r="H1397" s="19" t="str">
        <f>IFERROR(__xludf.DUMMYFUNCTION("""COMPUTED_VALUE"""),"Brad Croton")</f>
        <v>Brad Croton</v>
      </c>
      <c r="I1397" s="62">
        <f>IFERROR(__xludf.DUMMYFUNCTION("""COMPUTED_VALUE"""),6.1451055383E10)</f>
        <v>61451055383</v>
      </c>
      <c r="J1397" s="19" t="str">
        <f>IFERROR(__xludf.DUMMYFUNCTION("""COMPUTED_VALUE"""),"bradcroton@icloud.com")</f>
        <v>bradcroton@icloud.com</v>
      </c>
    </row>
    <row r="1398">
      <c r="A1398" s="19" t="str">
        <f>IFERROR(__xludf.DUMMYFUNCTION("""COMPUTED_VALUE"""),"")</f>
        <v/>
      </c>
      <c r="B1398" s="19" t="str">
        <f>IFERROR(__xludf.DUMMYFUNCTION("""COMPUTED_VALUE"""),"")</f>
        <v/>
      </c>
      <c r="C1398" s="5" t="str">
        <f>IFERROR(__xludf.DUMMYFUNCTION("""COMPUTED_VALUE"""),"")</f>
        <v/>
      </c>
      <c r="D1398" s="5" t="str">
        <f>IFERROR(__xludf.DUMMYFUNCTION("""COMPUTED_VALUE"""),"")</f>
        <v/>
      </c>
      <c r="E1398" s="5" t="str">
        <f>IFERROR(__xludf.DUMMYFUNCTION("""COMPUTED_VALUE"""),"")</f>
        <v/>
      </c>
      <c r="F1398" s="5" t="str">
        <f>IFERROR(__xludf.DUMMYFUNCTION("""COMPUTED_VALUE"""),"")</f>
        <v/>
      </c>
      <c r="G1398" s="19" t="str">
        <f>IFERROR(__xludf.DUMMYFUNCTION("""COMPUTED_VALUE"""),"")</f>
        <v/>
      </c>
      <c r="H1398" s="19" t="str">
        <f>IFERROR(__xludf.DUMMYFUNCTION("""COMPUTED_VALUE"""),"")</f>
        <v/>
      </c>
      <c r="I1398" s="62" t="str">
        <f>IFERROR(__xludf.DUMMYFUNCTION("""COMPUTED_VALUE"""),"")</f>
        <v/>
      </c>
      <c r="J1398" s="19" t="str">
        <f>IFERROR(__xludf.DUMMYFUNCTION("""COMPUTED_VALUE"""),"")</f>
        <v/>
      </c>
    </row>
    <row r="1399">
      <c r="A1399" s="19" t="str">
        <f>IFERROR(__xludf.DUMMYFUNCTION("""COMPUTED_VALUE"""),"")</f>
        <v/>
      </c>
      <c r="B1399" s="19" t="str">
        <f>IFERROR(__xludf.DUMMYFUNCTION("""COMPUTED_VALUE"""),"")</f>
        <v/>
      </c>
      <c r="C1399" s="5" t="str">
        <f>IFERROR(__xludf.DUMMYFUNCTION("""COMPUTED_VALUE"""),"")</f>
        <v/>
      </c>
      <c r="D1399" s="5" t="str">
        <f>IFERROR(__xludf.DUMMYFUNCTION("""COMPUTED_VALUE"""),"")</f>
        <v/>
      </c>
      <c r="E1399" s="5" t="str">
        <f>IFERROR(__xludf.DUMMYFUNCTION("""COMPUTED_VALUE"""),"")</f>
        <v/>
      </c>
      <c r="F1399" s="5" t="str">
        <f>IFERROR(__xludf.DUMMYFUNCTION("""COMPUTED_VALUE"""),"")</f>
        <v/>
      </c>
      <c r="G1399" s="19" t="str">
        <f>IFERROR(__xludf.DUMMYFUNCTION("""COMPUTED_VALUE"""),"")</f>
        <v/>
      </c>
      <c r="H1399" s="19" t="str">
        <f>IFERROR(__xludf.DUMMYFUNCTION("""COMPUTED_VALUE"""),"")</f>
        <v/>
      </c>
      <c r="I1399" s="62" t="str">
        <f>IFERROR(__xludf.DUMMYFUNCTION("""COMPUTED_VALUE"""),"")</f>
        <v/>
      </c>
      <c r="J1399" s="19" t="str">
        <f>IFERROR(__xludf.DUMMYFUNCTION("""COMPUTED_VALUE"""),"")</f>
        <v/>
      </c>
    </row>
    <row r="1400">
      <c r="A1400" s="19" t="str">
        <f>IFERROR(__xludf.DUMMYFUNCTION("""COMPUTED_VALUE"""),"Jim Baron")</f>
        <v>Jim Baron</v>
      </c>
      <c r="B1400" s="19" t="str">
        <f>IFERROR(__xludf.DUMMYFUNCTION("""COMPUTED_VALUE"""),"QLD")</f>
        <v>QLD</v>
      </c>
      <c r="C1400" s="5" t="str">
        <f>IFERROR(__xludf.DUMMYFUNCTION("""COMPUTED_VALUE"""),"Curtis island Qld 4680")</f>
        <v>Curtis island Qld 4680</v>
      </c>
      <c r="D1400" s="5"/>
      <c r="E1400" s="25">
        <f>IFERROR(__xludf.DUMMYFUNCTION("""COMPUTED_VALUE"""),45881.0)</f>
        <v>45881</v>
      </c>
      <c r="F1400" s="5" t="str">
        <f>IFERROR(__xludf.DUMMYFUNCTION("""COMPUTED_VALUE"""),"Featured")</f>
        <v>Featured</v>
      </c>
      <c r="G1400" s="19" t="str">
        <f>IFERROR(__xludf.DUMMYFUNCTION("""COMPUTED_VALUE"""),"Instant Forms")</f>
        <v>Instant Forms</v>
      </c>
      <c r="H1400" s="19"/>
      <c r="I1400" s="62"/>
      <c r="J1400" s="19"/>
    </row>
    <row r="1401">
      <c r="A1401" s="19" t="str">
        <f>IFERROR(__xludf.DUMMYFUNCTION("""COMPUTED_VALUE"""),"Jim Baron")</f>
        <v>Jim Baron</v>
      </c>
      <c r="B1401" s="19" t="str">
        <f>IFERROR(__xludf.DUMMYFUNCTION("""COMPUTED_VALUE"""),"QLD")</f>
        <v>QLD</v>
      </c>
      <c r="C1401" s="5">
        <f>IFERROR(__xludf.DUMMYFUNCTION("""COMPUTED_VALUE"""),4680.0)</f>
        <v>4680</v>
      </c>
      <c r="D1401" s="5"/>
      <c r="E1401" s="25">
        <f>IFERROR(__xludf.DUMMYFUNCTION("""COMPUTED_VALUE"""),45881.0)</f>
        <v>45881</v>
      </c>
      <c r="F1401" s="5" t="str">
        <f>IFERROR(__xludf.DUMMYFUNCTION("""COMPUTED_VALUE"""),"Free")</f>
        <v>Free</v>
      </c>
      <c r="G1401" s="19" t="str">
        <f>IFERROR(__xludf.DUMMYFUNCTION("""COMPUTED_VALUE"""),"Instant Forms")</f>
        <v>Instant Forms</v>
      </c>
      <c r="H1401" s="19"/>
      <c r="I1401" s="62"/>
      <c r="J1401" s="19"/>
    </row>
    <row r="1402">
      <c r="A1402" s="19" t="str">
        <f>IFERROR(__xludf.DUMMYFUNCTION("""COMPUTED_VALUE"""),"Jim Baron")</f>
        <v>Jim Baron</v>
      </c>
      <c r="B1402" s="19" t="str">
        <f>IFERROR(__xludf.DUMMYFUNCTION("""COMPUTED_VALUE"""),"QLD")</f>
        <v>QLD</v>
      </c>
      <c r="C1402" s="5" t="str">
        <f>IFERROR(__xludf.DUMMYFUNCTION("""COMPUTED_VALUE"""),"Woodgate")</f>
        <v>Woodgate</v>
      </c>
      <c r="D1402" s="5" t="str">
        <f>IFERROR(__xludf.DUMMYFUNCTION("""COMPUTED_VALUE"""),"1 Fifth Avenue Woodgate QLD 4660")</f>
        <v>1 Fifth Avenue Woodgate QLD 4660</v>
      </c>
      <c r="E1402" s="25">
        <f>IFERROR(__xludf.DUMMYFUNCTION("""COMPUTED_VALUE"""),45889.0)</f>
        <v>45889</v>
      </c>
      <c r="F1402" s="5" t="str">
        <f>IFERROR(__xludf.DUMMYFUNCTION("""COMPUTED_VALUE"""),"Featured")</f>
        <v>Featured</v>
      </c>
      <c r="G1402" s="19" t="str">
        <f>IFERROR(__xludf.DUMMYFUNCTION("""COMPUTED_VALUE"""),"Instant Forms")</f>
        <v>Instant Forms</v>
      </c>
      <c r="H1402" s="19"/>
      <c r="I1402" s="62"/>
      <c r="J1402" s="19"/>
    </row>
    <row r="1403">
      <c r="A1403" s="19" t="str">
        <f>IFERROR(__xludf.DUMMYFUNCTION("""COMPUTED_VALUE"""),"Jim Baron")</f>
        <v>Jim Baron</v>
      </c>
      <c r="B1403" s="19" t="str">
        <f>IFERROR(__xludf.DUMMYFUNCTION("""COMPUTED_VALUE"""),"QLD")</f>
        <v>QLD</v>
      </c>
      <c r="C1403" s="5" t="str">
        <f>IFERROR(__xludf.DUMMYFUNCTION("""COMPUTED_VALUE"""),"Tannum Sands")</f>
        <v>Tannum Sands</v>
      </c>
      <c r="D1403" s="5" t="str">
        <f>IFERROR(__xludf.DUMMYFUNCTION("""COMPUTED_VALUE"""),"46 Booth Avenue Tannum Sands QLD 4680")</f>
        <v>46 Booth Avenue Tannum Sands QLD 4680</v>
      </c>
      <c r="E1403" s="25">
        <f>IFERROR(__xludf.DUMMYFUNCTION("""COMPUTED_VALUE"""),45890.0)</f>
        <v>45890</v>
      </c>
      <c r="F1403" s="5" t="str">
        <f>IFERROR(__xludf.DUMMYFUNCTION("""COMPUTED_VALUE"""),"Featured")</f>
        <v>Featured</v>
      </c>
      <c r="G1403" s="19" t="str">
        <f>IFERROR(__xludf.DUMMYFUNCTION("""COMPUTED_VALUE"""),"Instant Forms")</f>
        <v>Instant Forms</v>
      </c>
      <c r="H1403" s="19"/>
      <c r="I1403" s="62"/>
      <c r="J1403" s="19"/>
    </row>
    <row r="1404">
      <c r="A1404" s="19" t="str">
        <f>IFERROR(__xludf.DUMMYFUNCTION("""COMPUTED_VALUE"""),"Jim Baron")</f>
        <v>Jim Baron</v>
      </c>
      <c r="B1404" s="19" t="str">
        <f>IFERROR(__xludf.DUMMYFUNCTION("""COMPUTED_VALUE"""),"QLD")</f>
        <v>QLD</v>
      </c>
      <c r="C1404" s="5" t="str">
        <f>IFERROR(__xludf.DUMMYFUNCTION("""COMPUTED_VALUE"""),"Boyne Island")</f>
        <v>Boyne Island</v>
      </c>
      <c r="D1404" s="5" t="str">
        <f>IFERROR(__xludf.DUMMYFUNCTION("""COMPUTED_VALUE"""),"14 Bluewater Drive Boyne Island QLD 4680")</f>
        <v>14 Bluewater Drive Boyne Island QLD 4680</v>
      </c>
      <c r="E1404" s="25">
        <f>IFERROR(__xludf.DUMMYFUNCTION("""COMPUTED_VALUE"""),45892.0)</f>
        <v>45892</v>
      </c>
      <c r="F1404" s="5" t="str">
        <f>IFERROR(__xludf.DUMMYFUNCTION("""COMPUTED_VALUE"""),"Featured")</f>
        <v>Featured</v>
      </c>
      <c r="G1404" s="19" t="str">
        <f>IFERROR(__xludf.DUMMYFUNCTION("""COMPUTED_VALUE"""),"Instant Forms")</f>
        <v>Instant Forms</v>
      </c>
      <c r="H1404" s="19"/>
      <c r="I1404" s="62"/>
      <c r="J1404" s="19"/>
    </row>
    <row r="1405">
      <c r="A1405" s="19" t="str">
        <f>IFERROR(__xludf.DUMMYFUNCTION("""COMPUTED_VALUE"""),"Jim Baron")</f>
        <v>Jim Baron</v>
      </c>
      <c r="B1405" s="19" t="str">
        <f>IFERROR(__xludf.DUMMYFUNCTION("""COMPUTED_VALUE"""),"QLD")</f>
        <v>QLD</v>
      </c>
      <c r="C1405" s="5" t="str">
        <f>IFERROR(__xludf.DUMMYFUNCTION("""COMPUTED_VALUE"""),"Kirkwood")</f>
        <v>Kirkwood</v>
      </c>
      <c r="D1405" s="5" t="str">
        <f>IFERROR(__xludf.DUMMYFUNCTION("""COMPUTED_VALUE"""),"13 Carlsson Place Kirkwood QLD 4680")</f>
        <v>13 Carlsson Place Kirkwood QLD 4680</v>
      </c>
      <c r="E1405" s="25">
        <f>IFERROR(__xludf.DUMMYFUNCTION("""COMPUTED_VALUE"""),45893.0)</f>
        <v>45893</v>
      </c>
      <c r="F1405" s="5" t="str">
        <f>IFERROR(__xludf.DUMMYFUNCTION("""COMPUTED_VALUE"""),"Featured")</f>
        <v>Featured</v>
      </c>
      <c r="G1405" s="19" t="str">
        <f>IFERROR(__xludf.DUMMYFUNCTION("""COMPUTED_VALUE"""),"Instant Forms")</f>
        <v>Instant Forms</v>
      </c>
      <c r="H1405" s="19"/>
      <c r="I1405" s="62"/>
      <c r="J1405" s="19"/>
    </row>
    <row r="1406">
      <c r="A1406" s="19" t="str">
        <f>IFERROR(__xludf.DUMMYFUNCTION("""COMPUTED_VALUE"""),"Jim Baron")</f>
        <v>Jim Baron</v>
      </c>
      <c r="B1406" s="19" t="str">
        <f>IFERROR(__xludf.DUMMYFUNCTION("""COMPUTED_VALUE"""),"QLD")</f>
        <v>QLD</v>
      </c>
      <c r="C1406" s="5" t="str">
        <f>IFERROR(__xludf.DUMMYFUNCTION("""COMPUTED_VALUE"""),"West Gladstone")</f>
        <v>West Gladstone</v>
      </c>
      <c r="D1406" s="5" t="str">
        <f>IFERROR(__xludf.DUMMYFUNCTION("""COMPUTED_VALUE"""),"8 Sunnyridge Street West Gladstone QLD 4680")</f>
        <v>8 Sunnyridge Street West Gladstone QLD 4680</v>
      </c>
      <c r="E1406" s="25">
        <f>IFERROR(__xludf.DUMMYFUNCTION("""COMPUTED_VALUE"""),45897.0)</f>
        <v>45897</v>
      </c>
      <c r="F1406" s="5" t="str">
        <f>IFERROR(__xludf.DUMMYFUNCTION("""COMPUTED_VALUE"""),"Featured")</f>
        <v>Featured</v>
      </c>
      <c r="G1406" s="19" t="str">
        <f>IFERROR(__xludf.DUMMYFUNCTION("""COMPUTED_VALUE"""),"Instant Forms")</f>
        <v>Instant Forms</v>
      </c>
      <c r="H1406" s="19"/>
      <c r="I1406" s="62"/>
      <c r="J1406" s="19"/>
    </row>
    <row r="1407">
      <c r="A1407" s="19" t="str">
        <f>IFERROR(__xludf.DUMMYFUNCTION("""COMPUTED_VALUE"""),"Jim Baron")</f>
        <v>Jim Baron</v>
      </c>
      <c r="B1407" s="19" t="str">
        <f>IFERROR(__xludf.DUMMYFUNCTION("""COMPUTED_VALUE"""),"QLD")</f>
        <v>QLD</v>
      </c>
      <c r="C1407" s="5" t="str">
        <f>IFERROR(__xludf.DUMMYFUNCTION("""COMPUTED_VALUE"""),"Gladstone")</f>
        <v>Gladstone</v>
      </c>
      <c r="D1407" s="5" t="str">
        <f>IFERROR(__xludf.DUMMYFUNCTION("""COMPUTED_VALUE"""),"55 Sutton Street Barney Point QLD 4680")</f>
        <v>55 Sutton Street Barney Point QLD 4680</v>
      </c>
      <c r="E1407" s="25">
        <f>IFERROR(__xludf.DUMMYFUNCTION("""COMPUTED_VALUE"""),45897.0)</f>
        <v>45897</v>
      </c>
      <c r="F1407" s="5" t="str">
        <f>IFERROR(__xludf.DUMMYFUNCTION("""COMPUTED_VALUE"""),"Featured")</f>
        <v>Featured</v>
      </c>
      <c r="G1407" s="19" t="str">
        <f>IFERROR(__xludf.DUMMYFUNCTION("""COMPUTED_VALUE"""),"Instant Forms")</f>
        <v>Instant Forms</v>
      </c>
      <c r="H1407" s="19"/>
      <c r="I1407" s="62"/>
      <c r="J1407" s="19"/>
    </row>
    <row r="1408">
      <c r="A1408" s="19" t="str">
        <f>IFERROR(__xludf.DUMMYFUNCTION("""COMPUTED_VALUE"""),"Jim Baron")</f>
        <v>Jim Baron</v>
      </c>
      <c r="B1408" s="19" t="str">
        <f>IFERROR(__xludf.DUMMYFUNCTION("""COMPUTED_VALUE"""),"QLD")</f>
        <v>QLD</v>
      </c>
      <c r="C1408" s="5" t="str">
        <f>IFERROR(__xludf.DUMMYFUNCTION("""COMPUTED_VALUE"""),"Boyne Island")</f>
        <v>Boyne Island</v>
      </c>
      <c r="D1408" s="5" t="str">
        <f>IFERROR(__xludf.DUMMYFUNCTION("""COMPUTED_VALUE"""),"20 Yukana Street Boyne Island QLD 4680")</f>
        <v>20 Yukana Street Boyne Island QLD 4680</v>
      </c>
      <c r="E1408" s="25">
        <f>IFERROR(__xludf.DUMMYFUNCTION("""COMPUTED_VALUE"""),45900.0)</f>
        <v>45900</v>
      </c>
      <c r="F1408" s="5" t="str">
        <f>IFERROR(__xludf.DUMMYFUNCTION("""COMPUTED_VALUE"""),"Featured")</f>
        <v>Featured</v>
      </c>
      <c r="G1408" s="19" t="str">
        <f>IFERROR(__xludf.DUMMYFUNCTION("""COMPUTED_VALUE"""),"Instant Forms")</f>
        <v>Instant Forms</v>
      </c>
      <c r="H1408" s="19"/>
      <c r="I1408" s="62"/>
      <c r="J1408" s="19"/>
    </row>
    <row r="1409">
      <c r="A1409" s="19" t="str">
        <f>IFERROR(__xludf.DUMMYFUNCTION("""COMPUTED_VALUE"""),"Jim Baron")</f>
        <v>Jim Baron</v>
      </c>
      <c r="B1409" s="19" t="str">
        <f>IFERROR(__xludf.DUMMYFUNCTION("""COMPUTED_VALUE"""),"QLD")</f>
        <v>QLD</v>
      </c>
      <c r="C1409" s="5" t="str">
        <f>IFERROR(__xludf.DUMMYFUNCTION("""COMPUTED_VALUE"""),"gladstone")</f>
        <v>gladstone</v>
      </c>
      <c r="D1409" s="5" t="str">
        <f>IFERROR(__xludf.DUMMYFUNCTION("""COMPUTED_VALUE"""),"18 Yacht Road Tannum Sands QLD 4680")</f>
        <v>18 Yacht Road Tannum Sands QLD 4680</v>
      </c>
      <c r="E1409" s="25">
        <f>IFERROR(__xludf.DUMMYFUNCTION("""COMPUTED_VALUE"""),45903.0)</f>
        <v>45903</v>
      </c>
      <c r="F1409" s="5" t="str">
        <f>IFERROR(__xludf.DUMMYFUNCTION("""COMPUTED_VALUE"""),"Featured")</f>
        <v>Featured</v>
      </c>
      <c r="G1409" s="19" t="str">
        <f>IFERROR(__xludf.DUMMYFUNCTION("""COMPUTED_VALUE"""),"Instant Forms")</f>
        <v>Instant Forms</v>
      </c>
      <c r="H1409" s="19"/>
      <c r="I1409" s="62"/>
      <c r="J1409" s="19"/>
    </row>
    <row r="1410">
      <c r="A1410" s="19" t="str">
        <f>IFERROR(__xludf.DUMMYFUNCTION("""COMPUTED_VALUE"""),"Jim Baron")</f>
        <v>Jim Baron</v>
      </c>
      <c r="B1410" s="19" t="str">
        <f>IFERROR(__xludf.DUMMYFUNCTION("""COMPUTED_VALUE"""),"QLD")</f>
        <v>QLD</v>
      </c>
      <c r="C1410" s="5" t="str">
        <f>IFERROR(__xludf.DUMMYFUNCTION("""COMPUTED_VALUE"""),"West Gladstone")</f>
        <v>West Gladstone</v>
      </c>
      <c r="D1410" s="5" t="str">
        <f>IFERROR(__xludf.DUMMYFUNCTION("""COMPUTED_VALUE"""),"25 Walters Avenue West Gladstone QLD 4680")</f>
        <v>25 Walters Avenue West Gladstone QLD 4680</v>
      </c>
      <c r="E1410" s="25">
        <f>IFERROR(__xludf.DUMMYFUNCTION("""COMPUTED_VALUE"""),45903.0)</f>
        <v>45903</v>
      </c>
      <c r="F1410" s="5" t="str">
        <f>IFERROR(__xludf.DUMMYFUNCTION("""COMPUTED_VALUE"""),"Featured")</f>
        <v>Featured</v>
      </c>
      <c r="G1410" s="19" t="str">
        <f>IFERROR(__xludf.DUMMYFUNCTION("""COMPUTED_VALUE"""),"Instant Forms")</f>
        <v>Instant Forms</v>
      </c>
      <c r="H1410" s="19"/>
      <c r="I1410" s="62"/>
      <c r="J1410" s="19"/>
    </row>
    <row r="1411">
      <c r="A1411" s="19" t="str">
        <f>IFERROR(__xludf.DUMMYFUNCTION("""COMPUTED_VALUE"""),"Jim Baron")</f>
        <v>Jim Baron</v>
      </c>
      <c r="B1411" s="19" t="str">
        <f>IFERROR(__xludf.DUMMYFUNCTION("""COMPUTED_VALUE"""),"QLD")</f>
        <v>QLD</v>
      </c>
      <c r="C1411" s="5" t="str">
        <f>IFERROR(__xludf.DUMMYFUNCTION("""COMPUTED_VALUE"""),"Telina")</f>
        <v>Telina</v>
      </c>
      <c r="D1411" s="5" t="str">
        <f>IFERROR(__xludf.DUMMYFUNCTION("""COMPUTED_VALUE"""),"109 Dixon Drive Telina QLD 4680")</f>
        <v>109 Dixon Drive Telina QLD 4680</v>
      </c>
      <c r="E1411" s="25">
        <f>IFERROR(__xludf.DUMMYFUNCTION("""COMPUTED_VALUE"""),45905.0)</f>
        <v>45905</v>
      </c>
      <c r="F1411" s="5" t="str">
        <f>IFERROR(__xludf.DUMMYFUNCTION("""COMPUTED_VALUE"""),"Featured")</f>
        <v>Featured</v>
      </c>
      <c r="G1411" s="19" t="str">
        <f>IFERROR(__xludf.DUMMYFUNCTION("""COMPUTED_VALUE"""),"Instant Forms")</f>
        <v>Instant Forms</v>
      </c>
      <c r="H1411" s="19"/>
      <c r="I1411" s="62"/>
      <c r="J1411" s="19"/>
    </row>
    <row r="1412">
      <c r="A1412" s="19" t="str">
        <f>IFERROR(__xludf.DUMMYFUNCTION("""COMPUTED_VALUE"""),"Jim Baron")</f>
        <v>Jim Baron</v>
      </c>
      <c r="B1412" s="19" t="str">
        <f>IFERROR(__xludf.DUMMYFUNCTION("""COMPUTED_VALUE"""),"QLD")</f>
        <v>QLD</v>
      </c>
      <c r="C1412" s="5" t="str">
        <f>IFERROR(__xludf.DUMMYFUNCTION("""COMPUTED_VALUE"""),"Sun Valley")</f>
        <v>Sun Valley</v>
      </c>
      <c r="D1412" s="5" t="str">
        <f>IFERROR(__xludf.DUMMYFUNCTION("""COMPUTED_VALUE"""),"7 Maple Avenue Sun Valley QLD 4680")</f>
        <v>7 Maple Avenue Sun Valley QLD 4680</v>
      </c>
      <c r="E1412" s="25">
        <f>IFERROR(__xludf.DUMMYFUNCTION("""COMPUTED_VALUE"""),45916.0)</f>
        <v>45916</v>
      </c>
      <c r="F1412" s="5">
        <f>IFERROR(__xludf.DUMMYFUNCTION("""COMPUTED_VALUE"""),8.0)</f>
        <v>8</v>
      </c>
      <c r="G1412" s="19" t="str">
        <f>IFERROR(__xludf.DUMMYFUNCTION("""COMPUTED_VALUE"""),"Instant Forms")</f>
        <v>Instant Forms</v>
      </c>
      <c r="H1412" s="19" t="str">
        <f>IFERROR(__xludf.DUMMYFUNCTION("""COMPUTED_VALUE"""),"Kat Thorburn")</f>
        <v>Kat Thorburn</v>
      </c>
      <c r="I1412" s="62"/>
      <c r="J1412" s="19"/>
    </row>
    <row r="1413">
      <c r="A1413" s="19" t="str">
        <f>IFERROR(__xludf.DUMMYFUNCTION("""COMPUTED_VALUE"""),"Jim Baron")</f>
        <v>Jim Baron</v>
      </c>
      <c r="B1413" s="19" t="str">
        <f>IFERROR(__xludf.DUMMYFUNCTION("""COMPUTED_VALUE"""),"QLD")</f>
        <v>QLD</v>
      </c>
      <c r="C1413" s="5" t="str">
        <f>IFERROR(__xludf.DUMMYFUNCTION("""COMPUTED_VALUE"""),"West Gladstone")</f>
        <v>West Gladstone</v>
      </c>
      <c r="D1413" s="5" t="str">
        <f>IFERROR(__xludf.DUMMYFUNCTION("""COMPUTED_VALUE"""),"3 Janson Street, West Gladstone, QLD, 4680, Australia")</f>
        <v>3 Janson Street, West Gladstone, QLD, 4680, Australia</v>
      </c>
      <c r="E1413" s="25" t="str">
        <f>IFERROR(__xludf.DUMMYFUNCTION("""COMPUTED_VALUE"""),"22/09/2025")</f>
        <v>22/09/2025</v>
      </c>
      <c r="F1413" s="5" t="str">
        <f>IFERROR(__xludf.DUMMYFUNCTION("""COMPUTED_VALUE"""),"Featured")</f>
        <v>Featured</v>
      </c>
      <c r="G1413" s="19"/>
      <c r="H1413" s="19"/>
      <c r="I1413" s="62"/>
      <c r="J1413" s="19"/>
    </row>
    <row r="1414">
      <c r="A1414" s="19" t="str">
        <f>IFERROR(__xludf.DUMMYFUNCTION("""COMPUTED_VALUE"""),"Jim Baron")</f>
        <v>Jim Baron</v>
      </c>
      <c r="B1414" s="19" t="str">
        <f>IFERROR(__xludf.DUMMYFUNCTION("""COMPUTED_VALUE"""),"QLD")</f>
        <v>QLD</v>
      </c>
      <c r="C1414" s="5" t="str">
        <f>IFERROR(__xludf.DUMMYFUNCTION("""COMPUTED_VALUE"""),"West Gladstone")</f>
        <v>West Gladstone</v>
      </c>
      <c r="D1414" s="5" t="str">
        <f>IFERROR(__xludf.DUMMYFUNCTION("""COMPUTED_VALUE"""),"7 Munroe Court, West Gladstone, Queensland , 4680, Australia")</f>
        <v>7 Munroe Court, West Gladstone, Queensland , 4680, Australia</v>
      </c>
      <c r="E1414" s="25">
        <f>IFERROR(__xludf.DUMMYFUNCTION("""COMPUTED_VALUE"""),45925.0)</f>
        <v>45925</v>
      </c>
      <c r="F1414" s="5">
        <f>IFERROR(__xludf.DUMMYFUNCTION("""COMPUTED_VALUE"""),8.0)</f>
        <v>8</v>
      </c>
      <c r="G1414" s="19" t="str">
        <f>IFERROR(__xludf.DUMMYFUNCTION("""COMPUTED_VALUE"""),"Instant Forms")</f>
        <v>Instant Forms</v>
      </c>
      <c r="H1414" s="19" t="str">
        <f>IFERROR(__xludf.DUMMYFUNCTION("""COMPUTED_VALUE"""),"Nerida White")</f>
        <v>Nerida White</v>
      </c>
      <c r="I1414" s="62"/>
      <c r="J1414" s="19"/>
    </row>
    <row r="1415">
      <c r="A1415" s="19" t="str">
        <f>IFERROR(__xludf.DUMMYFUNCTION("""COMPUTED_VALUE"""),"Jim Baron")</f>
        <v>Jim Baron</v>
      </c>
      <c r="B1415" s="19" t="str">
        <f>IFERROR(__xludf.DUMMYFUNCTION("""COMPUTED_VALUE"""),"QLD")</f>
        <v>QLD</v>
      </c>
      <c r="C1415" s="5">
        <f>IFERROR(__xludf.DUMMYFUNCTION("""COMPUTED_VALUE"""),4680.0)</f>
        <v>4680</v>
      </c>
      <c r="D1415" s="5"/>
      <c r="E1415" s="25">
        <f>IFERROR(__xludf.DUMMYFUNCTION("""COMPUTED_VALUE"""),45935.0)</f>
        <v>45935</v>
      </c>
      <c r="F1415" s="5">
        <f>IFERROR(__xludf.DUMMYFUNCTION("""COMPUTED_VALUE"""),5.0)</f>
        <v>5</v>
      </c>
      <c r="G1415" s="19" t="str">
        <f>IFERROR(__xludf.DUMMYFUNCTION("""COMPUTED_VALUE"""),"Instant Forms")</f>
        <v>Instant Forms</v>
      </c>
      <c r="H1415" s="19" t="str">
        <f>IFERROR(__xludf.DUMMYFUNCTION("""COMPUTED_VALUE"""),"Lesley Evans")</f>
        <v>Lesley Evans</v>
      </c>
      <c r="I1415" s="62"/>
      <c r="J1415" s="19"/>
    </row>
    <row r="1416">
      <c r="A1416" s="19" t="str">
        <f>IFERROR(__xludf.DUMMYFUNCTION("""COMPUTED_VALUE"""),"Jim Baron")</f>
        <v>Jim Baron</v>
      </c>
      <c r="B1416" s="19" t="str">
        <f>IFERROR(__xludf.DUMMYFUNCTION("""COMPUTED_VALUE"""),"QLD")</f>
        <v>QLD</v>
      </c>
      <c r="C1416" s="5" t="str">
        <f>IFERROR(__xludf.DUMMYFUNCTION("""COMPUTED_VALUE"""),"Gladstone Central")</f>
        <v>Gladstone Central</v>
      </c>
      <c r="D1416" s="5" t="str">
        <f>IFERROR(__xludf.DUMMYFUNCTION("""COMPUTED_VALUE"""),"16 Oaka Lane Gladstone Central QLD 4680")</f>
        <v>16 Oaka Lane Gladstone Central QLD 4680</v>
      </c>
      <c r="E1416" s="25">
        <f>IFERROR(__xludf.DUMMYFUNCTION("""COMPUTED_VALUE"""),45935.0)</f>
        <v>45935</v>
      </c>
      <c r="F1416" s="5">
        <f>IFERROR(__xludf.DUMMYFUNCTION("""COMPUTED_VALUE"""),8.0)</f>
        <v>8</v>
      </c>
      <c r="G1416" s="19" t="str">
        <f>IFERROR(__xludf.DUMMYFUNCTION("""COMPUTED_VALUE"""),"Instant Forms")</f>
        <v>Instant Forms</v>
      </c>
      <c r="H1416" s="19" t="str">
        <f>IFERROR(__xludf.DUMMYFUNCTION("""COMPUTED_VALUE"""),"MichaelBreadsell")</f>
        <v>MichaelBreadsell</v>
      </c>
      <c r="I1416" s="62"/>
      <c r="J1416" s="19"/>
    </row>
    <row r="1417">
      <c r="A1417" s="19" t="str">
        <f>IFERROR(__xludf.DUMMYFUNCTION("""COMPUTED_VALUE"""),"Jim Baron")</f>
        <v>Jim Baron</v>
      </c>
      <c r="B1417" s="19" t="str">
        <f>IFERROR(__xludf.DUMMYFUNCTION("""COMPUTED_VALUE"""),"QLD")</f>
        <v>QLD</v>
      </c>
      <c r="C1417" s="5" t="str">
        <f>IFERROR(__xludf.DUMMYFUNCTION("""COMPUTED_VALUE"""),"Calliope")</f>
        <v>Calliope</v>
      </c>
      <c r="D1417" s="5" t="str">
        <f>IFERROR(__xludf.DUMMYFUNCTION("""COMPUTED_VALUE"""),"36 Brown Street Calliope QLD 4680")</f>
        <v>36 Brown Street Calliope QLD 4680</v>
      </c>
      <c r="E1417" s="25">
        <f>IFERROR(__xludf.DUMMYFUNCTION("""COMPUTED_VALUE"""),45936.0)</f>
        <v>45936</v>
      </c>
      <c r="F1417" s="5">
        <f>IFERROR(__xludf.DUMMYFUNCTION("""COMPUTED_VALUE"""),8.0)</f>
        <v>8</v>
      </c>
      <c r="G1417" s="19" t="str">
        <f>IFERROR(__xludf.DUMMYFUNCTION("""COMPUTED_VALUE"""),"Instant Forms")</f>
        <v>Instant Forms</v>
      </c>
      <c r="H1417" s="19" t="str">
        <f>IFERROR(__xludf.DUMMYFUNCTION("""COMPUTED_VALUE"""),"TracySpencer")</f>
        <v>TracySpencer</v>
      </c>
      <c r="I1417" s="62"/>
      <c r="J1417" s="19"/>
    </row>
    <row r="1418">
      <c r="A1418" s="19" t="str">
        <f>IFERROR(__xludf.DUMMYFUNCTION("""COMPUTED_VALUE"""),"Jim Baron")</f>
        <v>Jim Baron</v>
      </c>
      <c r="B1418" s="19" t="str">
        <f>IFERROR(__xludf.DUMMYFUNCTION("""COMPUTED_VALUE"""),"QLD")</f>
        <v>QLD</v>
      </c>
      <c r="C1418" s="5" t="str">
        <f>IFERROR(__xludf.DUMMYFUNCTION("""COMPUTED_VALUE"""),"Glen Eden")</f>
        <v>Glen Eden</v>
      </c>
      <c r="D1418" s="5" t="str">
        <f>IFERROR(__xludf.DUMMYFUNCTION("""COMPUTED_VALUE"""),"23 Bendee Street Glen Eden QLD 4680")</f>
        <v>23 Bendee Street Glen Eden QLD 4680</v>
      </c>
      <c r="E1418" s="25">
        <f>IFERROR(__xludf.DUMMYFUNCTION("""COMPUTED_VALUE"""),45941.0)</f>
        <v>45941</v>
      </c>
      <c r="F1418" s="5">
        <f>IFERROR(__xludf.DUMMYFUNCTION("""COMPUTED_VALUE"""),6.0)</f>
        <v>6</v>
      </c>
      <c r="G1418" s="19" t="str">
        <f>IFERROR(__xludf.DUMMYFUNCTION("""COMPUTED_VALUE"""),"Instant Forms")</f>
        <v>Instant Forms</v>
      </c>
      <c r="H1418" s="19"/>
      <c r="I1418" s="62"/>
      <c r="J1418" s="19"/>
    </row>
    <row r="1419">
      <c r="A1419" s="19" t="str">
        <f>IFERROR(__xludf.DUMMYFUNCTION("""COMPUTED_VALUE"""),"Jim Baron")</f>
        <v>Jim Baron</v>
      </c>
      <c r="B1419" s="19" t="str">
        <f>IFERROR(__xludf.DUMMYFUNCTION("""COMPUTED_VALUE"""),"QLD")</f>
        <v>QLD</v>
      </c>
      <c r="C1419" s="5" t="str">
        <f>IFERROR(__xludf.DUMMYFUNCTION("""COMPUTED_VALUE"""),"New Auckland")</f>
        <v>New Auckland</v>
      </c>
      <c r="D1419" s="5" t="str">
        <f>IFERROR(__xludf.DUMMYFUNCTION("""COMPUTED_VALUE"""),"2 Woollybutt Street New Auckland QLD 4680")</f>
        <v>2 Woollybutt Street New Auckland QLD 4680</v>
      </c>
      <c r="E1419" s="25">
        <f>IFERROR(__xludf.DUMMYFUNCTION("""COMPUTED_VALUE"""),45948.0)</f>
        <v>45948</v>
      </c>
      <c r="F1419" s="5">
        <f>IFERROR(__xludf.DUMMYFUNCTION("""COMPUTED_VALUE"""),6.0)</f>
        <v>6</v>
      </c>
      <c r="G1419" s="19" t="str">
        <f>IFERROR(__xludf.DUMMYFUNCTION("""COMPUTED_VALUE"""),"Instant Forms")</f>
        <v>Instant Forms</v>
      </c>
      <c r="H1419" s="19"/>
      <c r="I1419" s="62"/>
      <c r="J1419" s="19"/>
    </row>
    <row r="1420">
      <c r="A1420" s="19" t="str">
        <f>IFERROR(__xludf.DUMMYFUNCTION("""COMPUTED_VALUE"""),"Jim Baron")</f>
        <v>Jim Baron</v>
      </c>
      <c r="B1420" s="19" t="str">
        <f>IFERROR(__xludf.DUMMYFUNCTION("""COMPUTED_VALUE"""),"QLD")</f>
        <v>QLD</v>
      </c>
      <c r="C1420" s="5" t="str">
        <f>IFERROR(__xludf.DUMMYFUNCTION("""COMPUTED_VALUE"""),"Boyne Island")</f>
        <v>Boyne Island</v>
      </c>
      <c r="D1420" s="5" t="str">
        <f>IFERROR(__xludf.DUMMYFUNCTION("""COMPUTED_VALUE"""),"20 Yukana Street Boyne Island QLD 4680")</f>
        <v>20 Yukana Street Boyne Island QLD 4680</v>
      </c>
      <c r="E1420" s="25">
        <f>IFERROR(__xludf.DUMMYFUNCTION("""COMPUTED_VALUE"""),45949.0)</f>
        <v>45949</v>
      </c>
      <c r="F1420" s="5">
        <f>IFERROR(__xludf.DUMMYFUNCTION("""COMPUTED_VALUE"""),8.0)</f>
        <v>8</v>
      </c>
      <c r="G1420" s="19" t="str">
        <f>IFERROR(__xludf.DUMMYFUNCTION("""COMPUTED_VALUE"""),"Instant Forms")</f>
        <v>Instant Forms</v>
      </c>
      <c r="H1420" s="19"/>
      <c r="I1420" s="62"/>
      <c r="J1420" s="19"/>
    </row>
    <row r="1421">
      <c r="A1421" s="19" t="str">
        <f>IFERROR(__xludf.DUMMYFUNCTION("""COMPUTED_VALUE"""),"Jim Baron")</f>
        <v>Jim Baron</v>
      </c>
      <c r="B1421" s="19" t="str">
        <f>IFERROR(__xludf.DUMMYFUNCTION("""COMPUTED_VALUE"""),"QLD")</f>
        <v>QLD</v>
      </c>
      <c r="C1421" s="5" t="str">
        <f>IFERROR(__xludf.DUMMYFUNCTION("""COMPUTED_VALUE"""),"West Gladstone")</f>
        <v>West Gladstone</v>
      </c>
      <c r="D1421" s="5" t="str">
        <f>IFERROR(__xludf.DUMMYFUNCTION("""COMPUTED_VALUE"""),"27 Boyne Crescent, West Gladstone, QLD, 4680, Australia")</f>
        <v>27 Boyne Crescent, West Gladstone, QLD, 4680, Australia</v>
      </c>
      <c r="E1421" s="25" t="str">
        <f>IFERROR(__xludf.DUMMYFUNCTION("""COMPUTED_VALUE"""),"20/10/2025")</f>
        <v>20/10/2025</v>
      </c>
      <c r="F1421" s="5" t="str">
        <f>IFERROR(__xludf.DUMMYFUNCTION("""COMPUTED_VALUE"""),"Featured")</f>
        <v>Featured</v>
      </c>
      <c r="G1421" s="19"/>
      <c r="H1421" s="19"/>
      <c r="I1421" s="62"/>
      <c r="J1421" s="19"/>
    </row>
    <row r="1422">
      <c r="A1422" s="19" t="str">
        <f>IFERROR(__xludf.DUMMYFUNCTION("""COMPUTED_VALUE"""),"Jim Baron")</f>
        <v>Jim Baron</v>
      </c>
      <c r="B1422" s="19" t="str">
        <f>IFERROR(__xludf.DUMMYFUNCTION("""COMPUTED_VALUE"""),"QLD")</f>
        <v>QLD</v>
      </c>
      <c r="C1422" s="5" t="str">
        <f>IFERROR(__xludf.DUMMYFUNCTION("""COMPUTED_VALUE"""),"Boyne Island")</f>
        <v>Boyne Island</v>
      </c>
      <c r="D1422" s="5" t="str">
        <f>IFERROR(__xludf.DUMMYFUNCTION("""COMPUTED_VALUE"""),"53 Katandra Street")</f>
        <v>53 Katandra Street</v>
      </c>
      <c r="E1422" s="25">
        <f>IFERROR(__xludf.DUMMYFUNCTION("""COMPUTED_VALUE"""),45953.0)</f>
        <v>45953</v>
      </c>
      <c r="F1422" s="5" t="str">
        <f>IFERROR(__xludf.DUMMYFUNCTION("""COMPUTED_VALUE"""),"Featured")</f>
        <v>Featured</v>
      </c>
      <c r="G1422" s="19" t="str">
        <f>IFERROR(__xludf.DUMMYFUNCTION("""COMPUTED_VALUE"""),"Commission Comparison")</f>
        <v>Commission Comparison</v>
      </c>
      <c r="H1422" s="19"/>
      <c r="I1422" s="62"/>
      <c r="J1422" s="19"/>
    </row>
    <row r="1423">
      <c r="A1423" s="19" t="str">
        <f>IFERROR(__xludf.DUMMYFUNCTION("""COMPUTED_VALUE"""),"Jim Baron")</f>
        <v>Jim Baron</v>
      </c>
      <c r="B1423" s="19" t="str">
        <f>IFERROR(__xludf.DUMMYFUNCTION("""COMPUTED_VALUE"""),"QLD")</f>
        <v>QLD</v>
      </c>
      <c r="C1423" s="5" t="str">
        <f>IFERROR(__xludf.DUMMYFUNCTION("""COMPUTED_VALUE"""),"Tannum Sands")</f>
        <v>Tannum Sands</v>
      </c>
      <c r="D1423" s="5" t="str">
        <f>IFERROR(__xludf.DUMMYFUNCTION("""COMPUTED_VALUE"""),"39 Keating Street Tannum Sands QLD 4680")</f>
        <v>39 Keating Street Tannum Sands QLD 4680</v>
      </c>
      <c r="E1423" s="25">
        <f>IFERROR(__xludf.DUMMYFUNCTION("""COMPUTED_VALUE"""),45956.0)</f>
        <v>45956</v>
      </c>
      <c r="F1423" s="5" t="str">
        <f>IFERROR(__xludf.DUMMYFUNCTION("""COMPUTED_VALUE"""),"Featured")</f>
        <v>Featured</v>
      </c>
      <c r="G1423" s="19" t="str">
        <f>IFERROR(__xludf.DUMMYFUNCTION("""COMPUTED_VALUE"""),"Commission Comparison")</f>
        <v>Commission Comparison</v>
      </c>
      <c r="H1423" s="19"/>
      <c r="I1423" s="62"/>
      <c r="J1423" s="19"/>
    </row>
    <row r="1424">
      <c r="A1424" s="19" t="str">
        <f>IFERROR(__xludf.DUMMYFUNCTION("""COMPUTED_VALUE"""),"Jim Baron")</f>
        <v>Jim Baron</v>
      </c>
      <c r="B1424" s="19" t="str">
        <f>IFERROR(__xludf.DUMMYFUNCTION("""COMPUTED_VALUE"""),"QLD")</f>
        <v>QLD</v>
      </c>
      <c r="C1424" s="5" t="str">
        <f>IFERROR(__xludf.DUMMYFUNCTION("""COMPUTED_VALUE"""),"Telina")</f>
        <v>Telina</v>
      </c>
      <c r="D1424" s="5" t="str">
        <f>IFERROR(__xludf.DUMMYFUNCTION("""COMPUTED_VALUE"""),"93 Dixon Drive Telina QLD 4680, Telina, 4680")</f>
        <v>93 Dixon Drive Telina QLD 4680, Telina, 4680</v>
      </c>
      <c r="E1424" s="25" t="str">
        <f>IFERROR(__xludf.DUMMYFUNCTION("""COMPUTED_VALUE"""),"27/10/2025")</f>
        <v>27/10/2025</v>
      </c>
      <c r="F1424" s="5" t="str">
        <f>IFERROR(__xludf.DUMMYFUNCTION("""COMPUTED_VALUE"""),"Featured")</f>
        <v>Featured</v>
      </c>
      <c r="G1424" s="19" t="str">
        <f>IFERROR(__xludf.DUMMYFUNCTION("""COMPUTED_VALUE"""),"Meta Commission Report")</f>
        <v>Meta Commission Report</v>
      </c>
      <c r="H1424" s="19" t="str">
        <f>IFERROR(__xludf.DUMMYFUNCTION("""COMPUTED_VALUE"""),"Anna Thompson")</f>
        <v>Anna Thompson</v>
      </c>
      <c r="I1424" s="62"/>
      <c r="J1424" s="19"/>
    </row>
    <row r="1425">
      <c r="A1425" s="19" t="str">
        <f>IFERROR(__xludf.DUMMYFUNCTION("""COMPUTED_VALUE"""),"Jim Baron")</f>
        <v>Jim Baron</v>
      </c>
      <c r="B1425" s="19" t="str">
        <f>IFERROR(__xludf.DUMMYFUNCTION("""COMPUTED_VALUE"""),"QLD")</f>
        <v>QLD</v>
      </c>
      <c r="C1425" s="5" t="str">
        <f>IFERROR(__xludf.DUMMYFUNCTION("""COMPUTED_VALUE"""),"Barney Point")</f>
        <v>Barney Point</v>
      </c>
      <c r="D1425" s="5" t="str">
        <f>IFERROR(__xludf.DUMMYFUNCTION("""COMPUTED_VALUE"""),"51a O'Connell Street, Barney Point, 4680")</f>
        <v>51a O'Connell Street, Barney Point, 4680</v>
      </c>
      <c r="E1425" s="25" t="str">
        <f>IFERROR(__xludf.DUMMYFUNCTION("""COMPUTED_VALUE"""),"28/10/2025")</f>
        <v>28/10/2025</v>
      </c>
      <c r="F1425" s="5" t="str">
        <f>IFERROR(__xludf.DUMMYFUNCTION("""COMPUTED_VALUE"""),"Featured")</f>
        <v>Featured</v>
      </c>
      <c r="G1425" s="19" t="str">
        <f>IFERROR(__xludf.DUMMYFUNCTION("""COMPUTED_VALUE"""),"Meta Commission Report")</f>
        <v>Meta Commission Report</v>
      </c>
      <c r="H1425" s="19" t="str">
        <f>IFERROR(__xludf.DUMMYFUNCTION("""COMPUTED_VALUE"""),"Jennifer Long")</f>
        <v>Jennifer Long</v>
      </c>
      <c r="I1425" s="62"/>
      <c r="J1425" s="19"/>
    </row>
    <row r="1426">
      <c r="A1426" s="19" t="str">
        <f>IFERROR(__xludf.DUMMYFUNCTION("""COMPUTED_VALUE"""),"Jim Baron")</f>
        <v>Jim Baron</v>
      </c>
      <c r="B1426" s="19" t="str">
        <f>IFERROR(__xludf.DUMMYFUNCTION("""COMPUTED_VALUE"""),"QLD")</f>
        <v>QLD</v>
      </c>
      <c r="C1426" s="5" t="str">
        <f>IFERROR(__xludf.DUMMYFUNCTION("""COMPUTED_VALUE"""),"Tannum Sands")</f>
        <v>Tannum Sands</v>
      </c>
      <c r="D1426" s="5" t="str">
        <f>IFERROR(__xludf.DUMMYFUNCTION("""COMPUTED_VALUE"""),"2 Coal Cres")</f>
        <v>2 Coal Cres</v>
      </c>
      <c r="E1426" s="25">
        <f>IFERROR(__xludf.DUMMYFUNCTION("""COMPUTED_VALUE"""),45959.0)</f>
        <v>45959</v>
      </c>
      <c r="F1426" s="5" t="str">
        <f>IFERROR(__xludf.DUMMYFUNCTION("""COMPUTED_VALUE"""),"Featured")</f>
        <v>Featured</v>
      </c>
      <c r="G1426" s="19" t="str">
        <f>IFERROR(__xludf.DUMMYFUNCTION("""COMPUTED_VALUE"""),"Commission Comparison")</f>
        <v>Commission Comparison</v>
      </c>
      <c r="H1426" s="19"/>
      <c r="I1426" s="62"/>
      <c r="J1426" s="19"/>
    </row>
    <row r="1427">
      <c r="A1427" s="19" t="str">
        <f>IFERROR(__xludf.DUMMYFUNCTION("""COMPUTED_VALUE"""),"Jim Baron")</f>
        <v>Jim Baron</v>
      </c>
      <c r="B1427" s="19" t="str">
        <f>IFERROR(__xludf.DUMMYFUNCTION("""COMPUTED_VALUE"""),"QLD")</f>
        <v>QLD</v>
      </c>
      <c r="C1427" s="5" t="str">
        <f>IFERROR(__xludf.DUMMYFUNCTION("""COMPUTED_VALUE"""),"Clinton")</f>
        <v>Clinton</v>
      </c>
      <c r="D1427" s="5" t="str">
        <f>IFERROR(__xludf.DUMMYFUNCTION("""COMPUTED_VALUE"""),"171 J Hickey Avenue Clinton QLD 4680")</f>
        <v>171 J Hickey Avenue Clinton QLD 4680</v>
      </c>
      <c r="E1427" s="25">
        <f>IFERROR(__xludf.DUMMYFUNCTION("""COMPUTED_VALUE"""),45963.0)</f>
        <v>45963</v>
      </c>
      <c r="F1427" s="5">
        <f>IFERROR(__xludf.DUMMYFUNCTION("""COMPUTED_VALUE"""),8.0)</f>
        <v>8</v>
      </c>
      <c r="G1427" s="19" t="str">
        <f>IFERROR(__xludf.DUMMYFUNCTION("""COMPUTED_VALUE"""),"Instant Forms")</f>
        <v>Instant Forms</v>
      </c>
      <c r="H1427" s="19"/>
      <c r="I1427" s="62"/>
      <c r="J1427" s="19"/>
    </row>
    <row r="1428">
      <c r="A1428" s="19" t="str">
        <f>IFERROR(__xludf.DUMMYFUNCTION("""COMPUTED_VALUE"""),"Jim Baron")</f>
        <v>Jim Baron</v>
      </c>
      <c r="B1428" s="19" t="str">
        <f>IFERROR(__xludf.DUMMYFUNCTION("""COMPUTED_VALUE"""),"QLD")</f>
        <v>QLD</v>
      </c>
      <c r="C1428" s="5" t="str">
        <f>IFERROR(__xludf.DUMMYFUNCTION("""COMPUTED_VALUE"""),"Kirkwood")</f>
        <v>Kirkwood</v>
      </c>
      <c r="D1428" s="5" t="str">
        <f>IFERROR(__xludf.DUMMYFUNCTION("""COMPUTED_VALUE"""),"13 Carlsson Place Kirkwood QLD 4680")</f>
        <v>13 Carlsson Place Kirkwood QLD 4680</v>
      </c>
      <c r="E1428" s="25">
        <f>IFERROR(__xludf.DUMMYFUNCTION("""COMPUTED_VALUE"""),45968.0)</f>
        <v>45968</v>
      </c>
      <c r="F1428" s="5">
        <f>IFERROR(__xludf.DUMMYFUNCTION("""COMPUTED_VALUE"""),10.0)</f>
        <v>10</v>
      </c>
      <c r="G1428" s="19" t="str">
        <f>IFERROR(__xludf.DUMMYFUNCTION("""COMPUTED_VALUE"""),"Instant Forms")</f>
        <v>Instant Forms</v>
      </c>
      <c r="H1428" s="19" t="str">
        <f>IFERROR(__xludf.DUMMYFUNCTION("""COMPUTED_VALUE"""),"Amanda Mobbs")</f>
        <v>Amanda Mobbs</v>
      </c>
      <c r="I1428" s="62">
        <f>IFERROR(__xludf.DUMMYFUNCTION("""COMPUTED_VALUE"""),6.1428180312E10)</f>
        <v>61428180312</v>
      </c>
      <c r="J1428" s="19" t="str">
        <f>IFERROR(__xludf.DUMMYFUNCTION("""COMPUTED_VALUE"""),"amanda.mobbs@bigpond.com")</f>
        <v>amanda.mobbs@bigpond.com</v>
      </c>
    </row>
    <row r="1429">
      <c r="A1429" s="19" t="str">
        <f>IFERROR(__xludf.DUMMYFUNCTION("""COMPUTED_VALUE"""),"Jim Baron")</f>
        <v>Jim Baron</v>
      </c>
      <c r="B1429" s="19" t="str">
        <f>IFERROR(__xludf.DUMMYFUNCTION("""COMPUTED_VALUE"""),"QLD")</f>
        <v>QLD</v>
      </c>
      <c r="C1429" s="5" t="str">
        <f>IFERROR(__xludf.DUMMYFUNCTION("""COMPUTED_VALUE"""),"Gladstone")</f>
        <v>Gladstone</v>
      </c>
      <c r="D1429" s="5" t="str">
        <f>IFERROR(__xludf.DUMMYFUNCTION("""COMPUTED_VALUE"""),"363 Brendonna Road Burua QLD 4680")</f>
        <v>363 Brendonna Road Burua QLD 4680</v>
      </c>
      <c r="E1429" s="25">
        <f>IFERROR(__xludf.DUMMYFUNCTION("""COMPUTED_VALUE"""),45970.0)</f>
        <v>45970</v>
      </c>
      <c r="F1429" s="5">
        <f>IFERROR(__xludf.DUMMYFUNCTION("""COMPUTED_VALUE"""),8.0)</f>
        <v>8</v>
      </c>
      <c r="G1429" s="19" t="str">
        <f>IFERROR(__xludf.DUMMYFUNCTION("""COMPUTED_VALUE"""),"Instant Forms")</f>
        <v>Instant Forms</v>
      </c>
      <c r="H1429" s="19" t="str">
        <f>IFERROR(__xludf.DUMMYFUNCTION("""COMPUTED_VALUE"""),"Damien Oates")</f>
        <v>Damien Oates</v>
      </c>
      <c r="I1429" s="62">
        <f>IFERROR(__xludf.DUMMYFUNCTION("""COMPUTED_VALUE"""),6.1404226669E10)</f>
        <v>61404226669</v>
      </c>
      <c r="J1429" s="19" t="str">
        <f>IFERROR(__xludf.DUMMYFUNCTION("""COMPUTED_VALUE"""),"demo.1@live.com.au")</f>
        <v>demo.1@live.com.au</v>
      </c>
    </row>
    <row r="1430">
      <c r="A1430" s="19" t="str">
        <f>IFERROR(__xludf.DUMMYFUNCTION("""COMPUTED_VALUE"""),"Jim Baron")</f>
        <v>Jim Baron</v>
      </c>
      <c r="B1430" s="19" t="str">
        <f>IFERROR(__xludf.DUMMYFUNCTION("""COMPUTED_VALUE"""),"QLD")</f>
        <v>QLD</v>
      </c>
      <c r="C1430" s="5" t="str">
        <f>IFERROR(__xludf.DUMMYFUNCTION("""COMPUTED_VALUE"""),"Benaraby")</f>
        <v>Benaraby</v>
      </c>
      <c r="D1430" s="5" t="str">
        <f>IFERROR(__xludf.DUMMYFUNCTION("""COMPUTED_VALUE"""),"16 Ronald Crescent Benaraby QLD 4680")</f>
        <v>16 Ronald Crescent Benaraby QLD 4680</v>
      </c>
      <c r="E1430" s="25">
        <f>IFERROR(__xludf.DUMMYFUNCTION("""COMPUTED_VALUE"""),45971.0)</f>
        <v>45971</v>
      </c>
      <c r="F1430" s="64">
        <f>IFERROR(__xludf.DUMMYFUNCTION("""COMPUTED_VALUE"""),0.15)</f>
        <v>0.15</v>
      </c>
      <c r="G1430" s="19" t="str">
        <f>IFERROR(__xludf.DUMMYFUNCTION("""COMPUTED_VALUE"""),"Commission Comparison")</f>
        <v>Commission Comparison</v>
      </c>
      <c r="H1430" s="19" t="str">
        <f>IFERROR(__xludf.DUMMYFUNCTION("""COMPUTED_VALUE"""),"Robert Nowitzke")</f>
        <v>Robert Nowitzke</v>
      </c>
      <c r="I1430" s="62">
        <f>IFERROR(__xludf.DUMMYFUNCTION("""COMPUTED_VALUE"""),6.1416113895E10)</f>
        <v>61416113895</v>
      </c>
      <c r="J1430" s="19" t="str">
        <f>IFERROR(__xludf.DUMMYFUNCTION("""COMPUTED_VALUE"""),"chris.rob@live.com.au")</f>
        <v>chris.rob@live.com.au</v>
      </c>
    </row>
    <row r="1431">
      <c r="A1431" s="19" t="str">
        <f>IFERROR(__xludf.DUMMYFUNCTION("""COMPUTED_VALUE"""),"Jim Baron")</f>
        <v>Jim Baron</v>
      </c>
      <c r="B1431" s="19" t="str">
        <f>IFERROR(__xludf.DUMMYFUNCTION("""COMPUTED_VALUE"""),"QLD")</f>
        <v>QLD</v>
      </c>
      <c r="C1431" s="5" t="str">
        <f>IFERROR(__xludf.DUMMYFUNCTION("""COMPUTED_VALUE"""),"Kin Kora")</f>
        <v>Kin Kora</v>
      </c>
      <c r="D1431" s="5" t="str">
        <f>IFERROR(__xludf.DUMMYFUNCTION("""COMPUTED_VALUE"""),"1/152 Sun Valley Road Kin Kora QLD 4680")</f>
        <v>1/152 Sun Valley Road Kin Kora QLD 4680</v>
      </c>
      <c r="E1431" s="25">
        <f>IFERROR(__xludf.DUMMYFUNCTION("""COMPUTED_VALUE"""),45977.0)</f>
        <v>45977</v>
      </c>
      <c r="F1431" s="5">
        <f>IFERROR(__xludf.DUMMYFUNCTION("""COMPUTED_VALUE"""),8.0)</f>
        <v>8</v>
      </c>
      <c r="G1431" s="19" t="str">
        <f>IFERROR(__xludf.DUMMYFUNCTION("""COMPUTED_VALUE"""),"Instant Forms")</f>
        <v>Instant Forms</v>
      </c>
      <c r="H1431" s="19" t="str">
        <f>IFERROR(__xludf.DUMMYFUNCTION("""COMPUTED_VALUE"""),"Myron Kynigalakis")</f>
        <v>Myron Kynigalakis</v>
      </c>
      <c r="I1431" s="62">
        <f>IFERROR(__xludf.DUMMYFUNCTION("""COMPUTED_VALUE"""),6.1474205927E10)</f>
        <v>61474205927</v>
      </c>
      <c r="J1431" s="19" t="str">
        <f>IFERROR(__xludf.DUMMYFUNCTION("""COMPUTED_VALUE"""),"myron_kinis@hotmail.com")</f>
        <v>myron_kinis@hotmail.com</v>
      </c>
    </row>
    <row r="1432">
      <c r="A1432" s="19" t="str">
        <f>IFERROR(__xludf.DUMMYFUNCTION("""COMPUTED_VALUE"""),"Jim Baron")</f>
        <v>Jim Baron</v>
      </c>
      <c r="B1432" s="19" t="str">
        <f>IFERROR(__xludf.DUMMYFUNCTION("""COMPUTED_VALUE"""),"QLD")</f>
        <v>QLD</v>
      </c>
      <c r="C1432" s="5" t="str">
        <f>IFERROR(__xludf.DUMMYFUNCTION("""COMPUTED_VALUE"""),"Boyne Island")</f>
        <v>Boyne Island</v>
      </c>
      <c r="D1432" s="5" t="str">
        <f>IFERROR(__xludf.DUMMYFUNCTION("""COMPUTED_VALUE"""),"16 Chauvel Ct, Boyne Island, 4680")</f>
        <v>16 Chauvel Ct, Boyne Island, 4680</v>
      </c>
      <c r="E1432" s="5" t="str">
        <f>IFERROR(__xludf.DUMMYFUNCTION("""COMPUTED_VALUE"""),"27/11/2025")</f>
        <v>27/11/2025</v>
      </c>
      <c r="F1432" s="5" t="str">
        <f>IFERROR(__xludf.DUMMYFUNCTION("""COMPUTED_VALUE"""),"Featured")</f>
        <v>Featured</v>
      </c>
      <c r="G1432" s="19" t="str">
        <f>IFERROR(__xludf.DUMMYFUNCTION("""COMPUTED_VALUE"""),"Meta Commission Report")</f>
        <v>Meta Commission Report</v>
      </c>
      <c r="H1432" s="19" t="str">
        <f>IFERROR(__xludf.DUMMYFUNCTION("""COMPUTED_VALUE"""),"Gregory Brown")</f>
        <v>Gregory Brown</v>
      </c>
      <c r="I1432" s="62">
        <f>IFERROR(__xludf.DUMMYFUNCTION("""COMPUTED_VALUE"""),6.1437794848E10)</f>
        <v>61437794848</v>
      </c>
      <c r="J1432" s="19" t="str">
        <f>IFERROR(__xludf.DUMMYFUNCTION("""COMPUTED_VALUE"""),"gregbrowny8@gmail.com")</f>
        <v>gregbrowny8@gmail.com</v>
      </c>
    </row>
    <row r="1433">
      <c r="A1433" s="19" t="str">
        <f>IFERROR(__xludf.DUMMYFUNCTION("""COMPUTED_VALUE"""),"Jim Baron")</f>
        <v>Jim Baron</v>
      </c>
      <c r="B1433" s="19" t="str">
        <f>IFERROR(__xludf.DUMMYFUNCTION("""COMPUTED_VALUE"""),"QLD")</f>
        <v>QLD</v>
      </c>
      <c r="C1433" s="5" t="str">
        <f>IFERROR(__xludf.DUMMYFUNCTION("""COMPUTED_VALUE"""),"Wurdong Heights")</f>
        <v>Wurdong Heights</v>
      </c>
      <c r="D1433" s="5" t="str">
        <f>IFERROR(__xludf.DUMMYFUNCTION("""COMPUTED_VALUE"""),"7 Helen Crescent Wurdong Heights QLD 4680")</f>
        <v>7 Helen Crescent Wurdong Heights QLD 4680</v>
      </c>
      <c r="E1433" s="27">
        <f>IFERROR(__xludf.DUMMYFUNCTION("""COMPUTED_VALUE"""),45669.0)</f>
        <v>45669</v>
      </c>
      <c r="F1433" s="64">
        <f>IFERROR(__xludf.DUMMYFUNCTION("""COMPUTED_VALUE"""),0.2)</f>
        <v>0.2</v>
      </c>
      <c r="G1433" s="19" t="str">
        <f>IFERROR(__xludf.DUMMYFUNCTION("""COMPUTED_VALUE"""),"Instant Forms")</f>
        <v>Instant Forms</v>
      </c>
      <c r="H1433" s="19" t="str">
        <f>IFERROR(__xludf.DUMMYFUNCTION("""COMPUTED_VALUE"""),"Andrew Staib")</f>
        <v>Andrew Staib</v>
      </c>
      <c r="I1433" s="62">
        <f>IFERROR(__xludf.DUMMYFUNCTION("""COMPUTED_VALUE"""),6.1408768644E10)</f>
        <v>61408768644</v>
      </c>
      <c r="J1433" s="19" t="str">
        <f>IFERROR(__xludf.DUMMYFUNCTION("""COMPUTED_VALUE"""),"astaib73@gmail.com")</f>
        <v>astaib73@gmail.com</v>
      </c>
    </row>
    <row r="1434">
      <c r="A1434" s="19" t="str">
        <f>IFERROR(__xludf.DUMMYFUNCTION("""COMPUTED_VALUE"""),"")</f>
        <v/>
      </c>
      <c r="B1434" s="19" t="str">
        <f>IFERROR(__xludf.DUMMYFUNCTION("""COMPUTED_VALUE"""),"")</f>
        <v/>
      </c>
      <c r="C1434" s="5" t="str">
        <f>IFERROR(__xludf.DUMMYFUNCTION("""COMPUTED_VALUE"""),"")</f>
        <v/>
      </c>
      <c r="D1434" s="5" t="str">
        <f>IFERROR(__xludf.DUMMYFUNCTION("""COMPUTED_VALUE"""),"")</f>
        <v/>
      </c>
      <c r="E1434" s="5" t="str">
        <f>IFERROR(__xludf.DUMMYFUNCTION("""COMPUTED_VALUE"""),"")</f>
        <v/>
      </c>
      <c r="F1434" s="5" t="str">
        <f>IFERROR(__xludf.DUMMYFUNCTION("""COMPUTED_VALUE"""),"")</f>
        <v/>
      </c>
      <c r="G1434" s="19" t="str">
        <f>IFERROR(__xludf.DUMMYFUNCTION("""COMPUTED_VALUE"""),"")</f>
        <v/>
      </c>
      <c r="H1434" s="19" t="str">
        <f>IFERROR(__xludf.DUMMYFUNCTION("""COMPUTED_VALUE"""),"")</f>
        <v/>
      </c>
      <c r="I1434" s="62" t="str">
        <f>IFERROR(__xludf.DUMMYFUNCTION("""COMPUTED_VALUE"""),"")</f>
        <v/>
      </c>
      <c r="J1434" s="19" t="str">
        <f>IFERROR(__xludf.DUMMYFUNCTION("""COMPUTED_VALUE"""),"")</f>
        <v/>
      </c>
    </row>
    <row r="1435">
      <c r="A1435" s="19" t="str">
        <f>IFERROR(__xludf.DUMMYFUNCTION("""COMPUTED_VALUE"""),"")</f>
        <v/>
      </c>
      <c r="B1435" s="19" t="str">
        <f>IFERROR(__xludf.DUMMYFUNCTION("""COMPUTED_VALUE"""),"")</f>
        <v/>
      </c>
      <c r="C1435" s="5" t="str">
        <f>IFERROR(__xludf.DUMMYFUNCTION("""COMPUTED_VALUE"""),"")</f>
        <v/>
      </c>
      <c r="D1435" s="5" t="str">
        <f>IFERROR(__xludf.DUMMYFUNCTION("""COMPUTED_VALUE"""),"")</f>
        <v/>
      </c>
      <c r="E1435" s="5" t="str">
        <f>IFERROR(__xludf.DUMMYFUNCTION("""COMPUTED_VALUE"""),"")</f>
        <v/>
      </c>
      <c r="F1435" s="5" t="str">
        <f>IFERROR(__xludf.DUMMYFUNCTION("""COMPUTED_VALUE"""),"")</f>
        <v/>
      </c>
      <c r="G1435" s="19" t="str">
        <f>IFERROR(__xludf.DUMMYFUNCTION("""COMPUTED_VALUE"""),"")</f>
        <v/>
      </c>
      <c r="H1435" s="19" t="str">
        <f>IFERROR(__xludf.DUMMYFUNCTION("""COMPUTED_VALUE"""),"")</f>
        <v/>
      </c>
      <c r="I1435" s="62" t="str">
        <f>IFERROR(__xludf.DUMMYFUNCTION("""COMPUTED_VALUE"""),"")</f>
        <v/>
      </c>
      <c r="J1435" s="19" t="str">
        <f>IFERROR(__xludf.DUMMYFUNCTION("""COMPUTED_VALUE"""),"")</f>
        <v/>
      </c>
    </row>
    <row r="1436">
      <c r="A1436" s="19" t="str">
        <f>IFERROR(__xludf.DUMMYFUNCTION("""COMPUTED_VALUE"""),"Josh Lee-Steere")</f>
        <v>Josh Lee-Steere</v>
      </c>
      <c r="B1436" s="19" t="str">
        <f>IFERROR(__xludf.DUMMYFUNCTION("""COMPUTED_VALUE"""),"VIC")</f>
        <v>VIC</v>
      </c>
      <c r="C1436" s="5" t="str">
        <f>IFERROR(__xludf.DUMMYFUNCTION("""COMPUTED_VALUE"""),"Pakenham")</f>
        <v>Pakenham</v>
      </c>
      <c r="D1436" s="5" t="str">
        <f>IFERROR(__xludf.DUMMYFUNCTION("""COMPUTED_VALUE"""),"8 Livestock Way Pakenham VIC 3810")</f>
        <v>8 Livestock Way Pakenham VIC 3810</v>
      </c>
      <c r="E1436" s="25">
        <f>IFERROR(__xludf.DUMMYFUNCTION("""COMPUTED_VALUE"""),45977.0)</f>
        <v>45977</v>
      </c>
      <c r="F1436" s="5">
        <f>IFERROR(__xludf.DUMMYFUNCTION("""COMPUTED_VALUE"""),8.0)</f>
        <v>8</v>
      </c>
      <c r="G1436" s="19" t="str">
        <f>IFERROR(__xludf.DUMMYFUNCTION("""COMPUTED_VALUE"""),"Instant Forms")</f>
        <v>Instant Forms</v>
      </c>
      <c r="H1436" s="19" t="str">
        <f>IFERROR(__xludf.DUMMYFUNCTION("""COMPUTED_VALUE"""),"Gary Abrehart")</f>
        <v>Gary Abrehart</v>
      </c>
      <c r="I1436" s="62">
        <f>IFERROR(__xludf.DUMMYFUNCTION("""COMPUTED_VALUE"""),6.1419371131E10)</f>
        <v>61419371131</v>
      </c>
      <c r="J1436" s="19" t="str">
        <f>IFERROR(__xludf.DUMMYFUNCTION("""COMPUTED_VALUE"""),"gabrehart@bigpond.com")</f>
        <v>gabrehart@bigpond.com</v>
      </c>
    </row>
    <row r="1437">
      <c r="A1437" s="19" t="str">
        <f>IFERROR(__xludf.DUMMYFUNCTION("""COMPUTED_VALUE"""),"Josh Lee-Steere")</f>
        <v>Josh Lee-Steere</v>
      </c>
      <c r="B1437" s="19" t="str">
        <f>IFERROR(__xludf.DUMMYFUNCTION("""COMPUTED_VALUE"""),"VIC")</f>
        <v>VIC</v>
      </c>
      <c r="C1437" s="5" t="str">
        <f>IFERROR(__xludf.DUMMYFUNCTION("""COMPUTED_VALUE"""),"Pakenham")</f>
        <v>Pakenham</v>
      </c>
      <c r="D1437" s="5" t="str">
        <f>IFERROR(__xludf.DUMMYFUNCTION("""COMPUTED_VALUE"""),"31 Obrien Parade Pakenham VIC 3810")</f>
        <v>31 Obrien Parade Pakenham VIC 3810</v>
      </c>
      <c r="E1437" s="25">
        <f>IFERROR(__xludf.DUMMYFUNCTION("""COMPUTED_VALUE"""),45978.0)</f>
        <v>45978</v>
      </c>
      <c r="F1437" s="5">
        <f>IFERROR(__xludf.DUMMYFUNCTION("""COMPUTED_VALUE"""),8.0)</f>
        <v>8</v>
      </c>
      <c r="G1437" s="19" t="str">
        <f>IFERROR(__xludf.DUMMYFUNCTION("""COMPUTED_VALUE"""),"Instant Forms")</f>
        <v>Instant Forms</v>
      </c>
      <c r="H1437" s="19" t="str">
        <f>IFERROR(__xludf.DUMMYFUNCTION("""COMPUTED_VALUE"""),"Ben Hawker")</f>
        <v>Ben Hawker</v>
      </c>
      <c r="I1437" s="62">
        <f>IFERROR(__xludf.DUMMYFUNCTION("""COMPUTED_VALUE"""),6.1438725168E10)</f>
        <v>61438725168</v>
      </c>
      <c r="J1437" s="19" t="str">
        <f>IFERROR(__xludf.DUMMYFUNCTION("""COMPUTED_VALUE"""),"Ben.walker46@gmail.com")</f>
        <v>Ben.walker46@gmail.com</v>
      </c>
    </row>
    <row r="1438">
      <c r="A1438" s="19" t="str">
        <f>IFERROR(__xludf.DUMMYFUNCTION("""COMPUTED_VALUE"""),"Josh Lee-Steere")</f>
        <v>Josh Lee-Steere</v>
      </c>
      <c r="B1438" s="19" t="str">
        <f>IFERROR(__xludf.DUMMYFUNCTION("""COMPUTED_VALUE"""),"VIC")</f>
        <v>VIC</v>
      </c>
      <c r="C1438" s="5" t="str">
        <f>IFERROR(__xludf.DUMMYFUNCTION("""COMPUTED_VALUE"""),"Officer")</f>
        <v>Officer</v>
      </c>
      <c r="D1438" s="5"/>
      <c r="E1438" s="5" t="str">
        <f>IFERROR(__xludf.DUMMYFUNCTION("""COMPUTED_VALUE"""),"20/11/2025")</f>
        <v>20/11/2025</v>
      </c>
      <c r="F1438" s="5">
        <f>IFERROR(__xludf.DUMMYFUNCTION("""COMPUTED_VALUE"""),5.0)</f>
        <v>5</v>
      </c>
      <c r="G1438" s="19" t="str">
        <f>IFERROR(__xludf.DUMMYFUNCTION("""COMPUTED_VALUE"""),"Instant Forms")</f>
        <v>Instant Forms</v>
      </c>
      <c r="H1438" s="19" t="str">
        <f>IFERROR(__xludf.DUMMYFUNCTION("""COMPUTED_VALUE"""),"Luke Day")</f>
        <v>Luke Day</v>
      </c>
      <c r="I1438" s="62">
        <f>IFERROR(__xludf.DUMMYFUNCTION("""COMPUTED_VALUE"""),6.1448098801E10)</f>
        <v>61448098801</v>
      </c>
      <c r="J1438" s="19" t="str">
        <f>IFERROR(__xludf.DUMMYFUNCTION("""COMPUTED_VALUE"""),"Lday5@bigpond.com")</f>
        <v>Lday5@bigpond.com</v>
      </c>
    </row>
    <row r="1439">
      <c r="A1439" s="19" t="str">
        <f>IFERROR(__xludf.DUMMYFUNCTION("""COMPUTED_VALUE"""),"Josh Lee-Steere")</f>
        <v>Josh Lee-Steere</v>
      </c>
      <c r="B1439" s="19" t="str">
        <f>IFERROR(__xludf.DUMMYFUNCTION("""COMPUTED_VALUE"""),"VIC")</f>
        <v>VIC</v>
      </c>
      <c r="C1439" s="5" t="str">
        <f>IFERROR(__xludf.DUMMYFUNCTION("""COMPUTED_VALUE"""),"Pakenham Upper")</f>
        <v>Pakenham Upper</v>
      </c>
      <c r="D1439" s="5" t="str">
        <f>IFERROR(__xludf.DUMMYFUNCTION("""COMPUTED_VALUE"""),"420 morrison road")</f>
        <v>420 morrison road</v>
      </c>
      <c r="E1439" s="27">
        <f>IFERROR(__xludf.DUMMYFUNCTION("""COMPUTED_VALUE"""),45759.0)</f>
        <v>45759</v>
      </c>
      <c r="F1439" s="64">
        <f>IFERROR(__xludf.DUMMYFUNCTION("""COMPUTED_VALUE"""),0.2)</f>
        <v>0.2</v>
      </c>
      <c r="G1439" s="19" t="str">
        <f>IFERROR(__xludf.DUMMYFUNCTION("""COMPUTED_VALUE"""),"Commission Comparison")</f>
        <v>Commission Comparison</v>
      </c>
      <c r="H1439" s="19" t="str">
        <f>IFERROR(__xludf.DUMMYFUNCTION("""COMPUTED_VALUE"""),"Russell Carter")</f>
        <v>Russell Carter</v>
      </c>
      <c r="I1439" s="62">
        <f>IFERROR(__xludf.DUMMYFUNCTION("""COMPUTED_VALUE"""),6.1428595883E10)</f>
        <v>61428595883</v>
      </c>
      <c r="J1439" s="19" t="str">
        <f>IFERROR(__xludf.DUMMYFUNCTION("""COMPUTED_VALUE"""),"russellcarter16@bigpond.com")</f>
        <v>russellcarter16@bigpond.com</v>
      </c>
    </row>
    <row r="1440">
      <c r="A1440" s="19" t="str">
        <f>IFERROR(__xludf.DUMMYFUNCTION("""COMPUTED_VALUE"""),"Josh Lee-Steere")</f>
        <v>Josh Lee-Steere</v>
      </c>
      <c r="B1440" s="19" t="str">
        <f>IFERROR(__xludf.DUMMYFUNCTION("""COMPUTED_VALUE"""),"VIC")</f>
        <v>VIC</v>
      </c>
      <c r="C1440" s="5" t="str">
        <f>IFERROR(__xludf.DUMMYFUNCTION("""COMPUTED_VALUE"""),"Pakenham Upper")</f>
        <v>Pakenham Upper</v>
      </c>
      <c r="D1440" s="5"/>
      <c r="E1440" s="27">
        <f>IFERROR(__xludf.DUMMYFUNCTION("""COMPUTED_VALUE"""),45789.0)</f>
        <v>45789</v>
      </c>
      <c r="F1440" s="64">
        <f>IFERROR(__xludf.DUMMYFUNCTION("""COMPUTED_VALUE"""),0.0)</f>
        <v>0</v>
      </c>
      <c r="G1440" s="19" t="str">
        <f>IFERROR(__xludf.DUMMYFUNCTION("""COMPUTED_VALUE"""),"Instant Forms")</f>
        <v>Instant Forms</v>
      </c>
      <c r="H1440" s="19" t="str">
        <f>IFERROR(__xludf.DUMMYFUNCTION("""COMPUTED_VALUE"""),"Debora Black")</f>
        <v>Debora Black</v>
      </c>
      <c r="I1440" s="62">
        <f>IFERROR(__xludf.DUMMYFUNCTION("""COMPUTED_VALUE"""),6.1477880679E10)</f>
        <v>61477880679</v>
      </c>
      <c r="J1440" s="19" t="str">
        <f>IFERROR(__xludf.DUMMYFUNCTION("""COMPUTED_VALUE"""),"debora.negre@gmail.com")</f>
        <v>debora.negre@gmail.com</v>
      </c>
    </row>
    <row r="1441">
      <c r="A1441" s="19" t="str">
        <f>IFERROR(__xludf.DUMMYFUNCTION("""COMPUTED_VALUE"""),"")</f>
        <v/>
      </c>
      <c r="B1441" s="19" t="str">
        <f>IFERROR(__xludf.DUMMYFUNCTION("""COMPUTED_VALUE"""),"")</f>
        <v/>
      </c>
      <c r="C1441" s="5" t="str">
        <f>IFERROR(__xludf.DUMMYFUNCTION("""COMPUTED_VALUE"""),"")</f>
        <v/>
      </c>
      <c r="D1441" s="5" t="str">
        <f>IFERROR(__xludf.DUMMYFUNCTION("""COMPUTED_VALUE"""),"")</f>
        <v/>
      </c>
      <c r="E1441" s="5" t="str">
        <f>IFERROR(__xludf.DUMMYFUNCTION("""COMPUTED_VALUE"""),"")</f>
        <v/>
      </c>
      <c r="F1441" s="5" t="str">
        <f>IFERROR(__xludf.DUMMYFUNCTION("""COMPUTED_VALUE"""),"")</f>
        <v/>
      </c>
      <c r="G1441" s="19" t="str">
        <f>IFERROR(__xludf.DUMMYFUNCTION("""COMPUTED_VALUE"""),"")</f>
        <v/>
      </c>
      <c r="H1441" s="19" t="str">
        <f>IFERROR(__xludf.DUMMYFUNCTION("""COMPUTED_VALUE"""),"")</f>
        <v/>
      </c>
      <c r="I1441" s="62" t="str">
        <f>IFERROR(__xludf.DUMMYFUNCTION("""COMPUTED_VALUE"""),"")</f>
        <v/>
      </c>
      <c r="J1441" s="19" t="str">
        <f>IFERROR(__xludf.DUMMYFUNCTION("""COMPUTED_VALUE"""),"")</f>
        <v/>
      </c>
    </row>
    <row r="1442">
      <c r="A1442" s="19" t="str">
        <f>IFERROR(__xludf.DUMMYFUNCTION("""COMPUTED_VALUE"""),"")</f>
        <v/>
      </c>
      <c r="B1442" s="19" t="str">
        <f>IFERROR(__xludf.DUMMYFUNCTION("""COMPUTED_VALUE"""),"")</f>
        <v/>
      </c>
      <c r="C1442" s="5" t="str">
        <f>IFERROR(__xludf.DUMMYFUNCTION("""COMPUTED_VALUE"""),"")</f>
        <v/>
      </c>
      <c r="D1442" s="5" t="str">
        <f>IFERROR(__xludf.DUMMYFUNCTION("""COMPUTED_VALUE"""),"")</f>
        <v/>
      </c>
      <c r="E1442" s="5" t="str">
        <f>IFERROR(__xludf.DUMMYFUNCTION("""COMPUTED_VALUE"""),"")</f>
        <v/>
      </c>
      <c r="F1442" s="5" t="str">
        <f>IFERROR(__xludf.DUMMYFUNCTION("""COMPUTED_VALUE"""),"")</f>
        <v/>
      </c>
      <c r="G1442" s="19" t="str">
        <f>IFERROR(__xludf.DUMMYFUNCTION("""COMPUTED_VALUE"""),"")</f>
        <v/>
      </c>
      <c r="H1442" s="19" t="str">
        <f>IFERROR(__xludf.DUMMYFUNCTION("""COMPUTED_VALUE"""),"")</f>
        <v/>
      </c>
      <c r="I1442" s="62" t="str">
        <f>IFERROR(__xludf.DUMMYFUNCTION("""COMPUTED_VALUE"""),"")</f>
        <v/>
      </c>
      <c r="J1442" s="19" t="str">
        <f>IFERROR(__xludf.DUMMYFUNCTION("""COMPUTED_VALUE"""),"")</f>
        <v/>
      </c>
    </row>
    <row r="1443">
      <c r="A1443" s="19" t="str">
        <f>IFERROR(__xludf.DUMMYFUNCTION("""COMPUTED_VALUE"""),"Joshua Karam")</f>
        <v>Joshua Karam</v>
      </c>
      <c r="B1443" s="19" t="str">
        <f>IFERROR(__xludf.DUMMYFUNCTION("""COMPUTED_VALUE"""),"NSW")</f>
        <v>NSW</v>
      </c>
      <c r="C1443" s="5" t="str">
        <f>IFERROR(__xludf.DUMMYFUNCTION("""COMPUTED_VALUE"""),"Bernice Leafe")</f>
        <v>Bernice Leafe</v>
      </c>
      <c r="D1443" s="5" t="str">
        <f>IFERROR(__xludf.DUMMYFUNCTION("""COMPUTED_VALUE"""),"4 Moorina Avenue Matraville NSW 2036")</f>
        <v>4 Moorina Avenue Matraville NSW 2036</v>
      </c>
      <c r="E1443" s="25">
        <f>IFERROR(__xludf.DUMMYFUNCTION("""COMPUTED_VALUE"""),45888.0)</f>
        <v>45888</v>
      </c>
      <c r="F1443" s="5" t="str">
        <f>IFERROR(__xludf.DUMMYFUNCTION("""COMPUTED_VALUE"""),"Featured")</f>
        <v>Featured</v>
      </c>
      <c r="G1443" s="19" t="str">
        <f>IFERROR(__xludf.DUMMYFUNCTION("""COMPUTED_VALUE"""),"Instant Forms")</f>
        <v>Instant Forms</v>
      </c>
      <c r="H1443" s="19"/>
      <c r="I1443" s="62"/>
      <c r="J1443" s="19"/>
    </row>
    <row r="1444">
      <c r="A1444" s="19" t="str">
        <f>IFERROR(__xludf.DUMMYFUNCTION("""COMPUTED_VALUE"""),"")</f>
        <v/>
      </c>
      <c r="B1444" s="19" t="str">
        <f>IFERROR(__xludf.DUMMYFUNCTION("""COMPUTED_VALUE"""),"")</f>
        <v/>
      </c>
      <c r="C1444" s="5" t="str">
        <f>IFERROR(__xludf.DUMMYFUNCTION("""COMPUTED_VALUE"""),"")</f>
        <v/>
      </c>
      <c r="D1444" s="5" t="str">
        <f>IFERROR(__xludf.DUMMYFUNCTION("""COMPUTED_VALUE"""),"")</f>
        <v/>
      </c>
      <c r="E1444" s="5" t="str">
        <f>IFERROR(__xludf.DUMMYFUNCTION("""COMPUTED_VALUE"""),"")</f>
        <v/>
      </c>
      <c r="F1444" s="5" t="str">
        <f>IFERROR(__xludf.DUMMYFUNCTION("""COMPUTED_VALUE"""),"")</f>
        <v/>
      </c>
      <c r="G1444" s="19" t="str">
        <f>IFERROR(__xludf.DUMMYFUNCTION("""COMPUTED_VALUE"""),"")</f>
        <v/>
      </c>
      <c r="H1444" s="19" t="str">
        <f>IFERROR(__xludf.DUMMYFUNCTION("""COMPUTED_VALUE"""),"")</f>
        <v/>
      </c>
      <c r="I1444" s="62" t="str">
        <f>IFERROR(__xludf.DUMMYFUNCTION("""COMPUTED_VALUE"""),"")</f>
        <v/>
      </c>
      <c r="J1444" s="19" t="str">
        <f>IFERROR(__xludf.DUMMYFUNCTION("""COMPUTED_VALUE"""),"")</f>
        <v/>
      </c>
    </row>
    <row r="1445">
      <c r="A1445" s="19" t="str">
        <f>IFERROR(__xludf.DUMMYFUNCTION("""COMPUTED_VALUE"""),"")</f>
        <v/>
      </c>
      <c r="B1445" s="19" t="str">
        <f>IFERROR(__xludf.DUMMYFUNCTION("""COMPUTED_VALUE"""),"")</f>
        <v/>
      </c>
      <c r="C1445" s="5" t="str">
        <f>IFERROR(__xludf.DUMMYFUNCTION("""COMPUTED_VALUE"""),"")</f>
        <v/>
      </c>
      <c r="D1445" s="5" t="str">
        <f>IFERROR(__xludf.DUMMYFUNCTION("""COMPUTED_VALUE"""),"")</f>
        <v/>
      </c>
      <c r="E1445" s="5" t="str">
        <f>IFERROR(__xludf.DUMMYFUNCTION("""COMPUTED_VALUE"""),"")</f>
        <v/>
      </c>
      <c r="F1445" s="5" t="str">
        <f>IFERROR(__xludf.DUMMYFUNCTION("""COMPUTED_VALUE"""),"")</f>
        <v/>
      </c>
      <c r="G1445" s="19" t="str">
        <f>IFERROR(__xludf.DUMMYFUNCTION("""COMPUTED_VALUE"""),"")</f>
        <v/>
      </c>
      <c r="H1445" s="19" t="str">
        <f>IFERROR(__xludf.DUMMYFUNCTION("""COMPUTED_VALUE"""),"")</f>
        <v/>
      </c>
      <c r="I1445" s="62" t="str">
        <f>IFERROR(__xludf.DUMMYFUNCTION("""COMPUTED_VALUE"""),"")</f>
        <v/>
      </c>
      <c r="J1445" s="19" t="str">
        <f>IFERROR(__xludf.DUMMYFUNCTION("""COMPUTED_VALUE"""),"")</f>
        <v/>
      </c>
    </row>
    <row r="1446">
      <c r="A1446" s="19" t="str">
        <f>IFERROR(__xludf.DUMMYFUNCTION("""COMPUTED_VALUE"""),"Kelley Rigby")</f>
        <v>Kelley Rigby</v>
      </c>
      <c r="B1446" s="19" t="str">
        <f>IFERROR(__xludf.DUMMYFUNCTION("""COMPUTED_VALUE"""),"QLD")</f>
        <v>QLD</v>
      </c>
      <c r="C1446" s="5" t="str">
        <f>IFERROR(__xludf.DUMMYFUNCTION("""COMPUTED_VALUE"""),"Paradise Point")</f>
        <v>Paradise Point</v>
      </c>
      <c r="D1446" s="5" t="str">
        <f>IFERROR(__xludf.DUMMYFUNCTION("""COMPUTED_VALUE"""),"31103/2 Ephraim Island Paradise Point QLD 4216")</f>
        <v>31103/2 Ephraim Island Paradise Point QLD 4216</v>
      </c>
      <c r="E1446" s="25">
        <f>IFERROR(__xludf.DUMMYFUNCTION("""COMPUTED_VALUE"""),45947.0)</f>
        <v>45947</v>
      </c>
      <c r="F1446" s="5" t="str">
        <f>IFERROR(__xludf.DUMMYFUNCTION("""COMPUTED_VALUE"""),"Featured")</f>
        <v>Featured</v>
      </c>
      <c r="G1446" s="19" t="str">
        <f>IFERROR(__xludf.DUMMYFUNCTION("""COMPUTED_VALUE"""),"Commission Comparison")</f>
        <v>Commission Comparison</v>
      </c>
      <c r="H1446" s="19"/>
      <c r="I1446" s="62"/>
      <c r="J1446" s="19"/>
    </row>
    <row r="1447">
      <c r="A1447" s="19" t="str">
        <f>IFERROR(__xludf.DUMMYFUNCTION("""COMPUTED_VALUE"""),"Kelley Rigby")</f>
        <v>Kelley Rigby</v>
      </c>
      <c r="B1447" s="19" t="str">
        <f>IFERROR(__xludf.DUMMYFUNCTION("""COMPUTED_VALUE"""),"QLD")</f>
        <v>QLD</v>
      </c>
      <c r="C1447" s="5" t="str">
        <f>IFERROR(__xludf.DUMMYFUNCTION("""COMPUTED_VALUE"""),"Mermaid Beach")</f>
        <v>Mermaid Beach</v>
      </c>
      <c r="D1447" s="5" t="str">
        <f>IFERROR(__xludf.DUMMYFUNCTION("""COMPUTED_VALUE"""),"13/2 Gaven Crescent Mermaid Beach QLD 4218")</f>
        <v>13/2 Gaven Crescent Mermaid Beach QLD 4218</v>
      </c>
      <c r="E1447" s="25">
        <f>IFERROR(__xludf.DUMMYFUNCTION("""COMPUTED_VALUE"""),45947.0)</f>
        <v>45947</v>
      </c>
      <c r="F1447" s="5">
        <f>IFERROR(__xludf.DUMMYFUNCTION("""COMPUTED_VALUE"""),8.0)</f>
        <v>8</v>
      </c>
      <c r="G1447" s="19" t="str">
        <f>IFERROR(__xludf.DUMMYFUNCTION("""COMPUTED_VALUE"""),"Instant Forms")</f>
        <v>Instant Forms</v>
      </c>
      <c r="H1447" s="19"/>
      <c r="I1447" s="62"/>
      <c r="J1447" s="19"/>
    </row>
    <row r="1448">
      <c r="A1448" s="19" t="str">
        <f>IFERROR(__xludf.DUMMYFUNCTION("""COMPUTED_VALUE"""),"Kelley Rigby")</f>
        <v>Kelley Rigby</v>
      </c>
      <c r="B1448" s="19" t="str">
        <f>IFERROR(__xludf.DUMMYFUNCTION("""COMPUTED_VALUE"""),"QLD")</f>
        <v>QLD</v>
      </c>
      <c r="C1448" s="5" t="str">
        <f>IFERROR(__xludf.DUMMYFUNCTION("""COMPUTED_VALUE"""),"Paradise point")</f>
        <v>Paradise point</v>
      </c>
      <c r="D1448" s="5" t="str">
        <f>IFERROR(__xludf.DUMMYFUNCTION("""COMPUTED_VALUE"""),"18 Plover Avenue Paradise Point QLD 4216")</f>
        <v>18 Plover Avenue Paradise Point QLD 4216</v>
      </c>
      <c r="E1448" s="25">
        <f>IFERROR(__xludf.DUMMYFUNCTION("""COMPUTED_VALUE"""),45947.0)</f>
        <v>45947</v>
      </c>
      <c r="F1448" s="5">
        <f>IFERROR(__xludf.DUMMYFUNCTION("""COMPUTED_VALUE"""),8.0)</f>
        <v>8</v>
      </c>
      <c r="G1448" s="19" t="str">
        <f>IFERROR(__xludf.DUMMYFUNCTION("""COMPUTED_VALUE"""),"Instant Forms")</f>
        <v>Instant Forms</v>
      </c>
      <c r="H1448" s="19"/>
      <c r="I1448" s="62"/>
      <c r="J1448" s="19"/>
    </row>
    <row r="1449">
      <c r="A1449" s="19" t="str">
        <f>IFERROR(__xludf.DUMMYFUNCTION("""COMPUTED_VALUE"""),"Kelley Rigby")</f>
        <v>Kelley Rigby</v>
      </c>
      <c r="B1449" s="19" t="str">
        <f>IFERROR(__xludf.DUMMYFUNCTION("""COMPUTED_VALUE"""),"QLD")</f>
        <v>QLD</v>
      </c>
      <c r="C1449" s="5" t="str">
        <f>IFERROR(__xludf.DUMMYFUNCTION("""COMPUTED_VALUE"""),"Biggera Waters")</f>
        <v>Biggera Waters</v>
      </c>
      <c r="D1449" s="5" t="str">
        <f>IFERROR(__xludf.DUMMYFUNCTION("""COMPUTED_VALUE"""),"3 / 37 Brighton Street, Biggera Waters, QLD, 4216, Australia")</f>
        <v>3 / 37 Brighton Street, Biggera Waters, QLD, 4216, Australia</v>
      </c>
      <c r="E1449" s="25">
        <f>IFERROR(__xludf.DUMMYFUNCTION("""COMPUTED_VALUE"""),45953.0)</f>
        <v>45953</v>
      </c>
      <c r="F1449" s="5" t="str">
        <f>IFERROR(__xludf.DUMMYFUNCTION("""COMPUTED_VALUE"""),"Featured")</f>
        <v>Featured</v>
      </c>
      <c r="G1449" s="19" t="str">
        <f>IFERROR(__xludf.DUMMYFUNCTION("""COMPUTED_VALUE"""),"Commission Comparison")</f>
        <v>Commission Comparison</v>
      </c>
      <c r="H1449" s="19"/>
      <c r="I1449" s="62"/>
      <c r="J1449" s="19"/>
    </row>
    <row r="1450">
      <c r="A1450" s="19" t="str">
        <f>IFERROR(__xludf.DUMMYFUNCTION("""COMPUTED_VALUE"""),"Kelley Rigby")</f>
        <v>Kelley Rigby</v>
      </c>
      <c r="B1450" s="19" t="str">
        <f>IFERROR(__xludf.DUMMYFUNCTION("""COMPUTED_VALUE"""),"QLD")</f>
        <v>QLD</v>
      </c>
      <c r="C1450" s="5" t="str">
        <f>IFERROR(__xludf.DUMMYFUNCTION("""COMPUTED_VALUE"""),"burleigh waters")</f>
        <v>burleigh waters</v>
      </c>
      <c r="D1450" s="5" t="str">
        <f>IFERROR(__xludf.DUMMYFUNCTION("""COMPUTED_VALUE"""),"51 Grebe Pl")</f>
        <v>51 Grebe Pl</v>
      </c>
      <c r="E1450" s="25">
        <f>IFERROR(__xludf.DUMMYFUNCTION("""COMPUTED_VALUE"""),45953.0)</f>
        <v>45953</v>
      </c>
      <c r="F1450" s="5" t="str">
        <f>IFERROR(__xludf.DUMMYFUNCTION("""COMPUTED_VALUE"""),"Featured")</f>
        <v>Featured</v>
      </c>
      <c r="G1450" s="19" t="str">
        <f>IFERROR(__xludf.DUMMYFUNCTION("""COMPUTED_VALUE"""),"Commission Comparison")</f>
        <v>Commission Comparison</v>
      </c>
      <c r="H1450" s="19"/>
      <c r="I1450" s="62"/>
      <c r="J1450" s="19"/>
    </row>
    <row r="1451">
      <c r="A1451" s="19" t="str">
        <f>IFERROR(__xludf.DUMMYFUNCTION("""COMPUTED_VALUE"""),"Kelley Rigby")</f>
        <v>Kelley Rigby</v>
      </c>
      <c r="B1451" s="19" t="str">
        <f>IFERROR(__xludf.DUMMYFUNCTION("""COMPUTED_VALUE"""),"QLD")</f>
        <v>QLD</v>
      </c>
      <c r="C1451" s="5" t="str">
        <f>IFERROR(__xludf.DUMMYFUNCTION("""COMPUTED_VALUE"""),"Broadbeach")</f>
        <v>Broadbeach</v>
      </c>
      <c r="D1451" s="5" t="str">
        <f>IFERROR(__xludf.DUMMYFUNCTION("""COMPUTED_VALUE"""),"802/33 Surf Parade Broadbeach QLD 4218")</f>
        <v>802/33 Surf Parade Broadbeach QLD 4218</v>
      </c>
      <c r="E1451" s="25">
        <f>IFERROR(__xludf.DUMMYFUNCTION("""COMPUTED_VALUE"""),45955.0)</f>
        <v>45955</v>
      </c>
      <c r="F1451" s="5">
        <f>IFERROR(__xludf.DUMMYFUNCTION("""COMPUTED_VALUE"""),8.0)</f>
        <v>8</v>
      </c>
      <c r="G1451" s="19" t="str">
        <f>IFERROR(__xludf.DUMMYFUNCTION("""COMPUTED_VALUE"""),"Instant Forms")</f>
        <v>Instant Forms</v>
      </c>
      <c r="H1451" s="19"/>
      <c r="I1451" s="62"/>
      <c r="J1451" s="19"/>
    </row>
    <row r="1452">
      <c r="A1452" s="19" t="str">
        <f>IFERROR(__xludf.DUMMYFUNCTION("""COMPUTED_VALUE"""),"Kelley Rigby")</f>
        <v>Kelley Rigby</v>
      </c>
      <c r="B1452" s="19" t="str">
        <f>IFERROR(__xludf.DUMMYFUNCTION("""COMPUTED_VALUE"""),"QLD")</f>
        <v>QLD</v>
      </c>
      <c r="C1452" s="5" t="str">
        <f>IFERROR(__xludf.DUMMYFUNCTION("""COMPUTED_VALUE"""),"Surfers Paradise")</f>
        <v>Surfers Paradise</v>
      </c>
      <c r="D1452" s="5" t="str">
        <f>IFERROR(__xludf.DUMMYFUNCTION("""COMPUTED_VALUE"""),"12 Admiralty Dr, Surfers Paradise QLD 4217, Surfers Paradise, 4217")</f>
        <v>12 Admiralty Dr, Surfers Paradise QLD 4217, Surfers Paradise, 4217</v>
      </c>
      <c r="E1452" s="25" t="str">
        <f>IFERROR(__xludf.DUMMYFUNCTION("""COMPUTED_VALUE"""),"27/10/2025")</f>
        <v>27/10/2025</v>
      </c>
      <c r="F1452" s="5" t="str">
        <f>IFERROR(__xludf.DUMMYFUNCTION("""COMPUTED_VALUE"""),"Featured")</f>
        <v>Featured</v>
      </c>
      <c r="G1452" s="19" t="str">
        <f>IFERROR(__xludf.DUMMYFUNCTION("""COMPUTED_VALUE"""),"Meta Commission Report")</f>
        <v>Meta Commission Report</v>
      </c>
      <c r="H1452" s="19" t="str">
        <f>IFERROR(__xludf.DUMMYFUNCTION("""COMPUTED_VALUE"""),"Gary Evans")</f>
        <v>Gary Evans</v>
      </c>
      <c r="I1452" s="62"/>
      <c r="J1452" s="19"/>
    </row>
    <row r="1453">
      <c r="A1453" s="19" t="str">
        <f>IFERROR(__xludf.DUMMYFUNCTION("""COMPUTED_VALUE"""),"Kelley Rigby")</f>
        <v>Kelley Rigby</v>
      </c>
      <c r="B1453" s="19" t="str">
        <f>IFERROR(__xludf.DUMMYFUNCTION("""COMPUTED_VALUE"""),"QLD")</f>
        <v>QLD</v>
      </c>
      <c r="C1453" s="5" t="str">
        <f>IFERROR(__xludf.DUMMYFUNCTION("""COMPUTED_VALUE"""),"Runaway Bay")</f>
        <v>Runaway Bay</v>
      </c>
      <c r="D1453" s="5" t="str">
        <f>IFERROR(__xludf.DUMMYFUNCTION("""COMPUTED_VALUE"""),"48 Deagon Drive Runaway Bay QLD 4216")</f>
        <v>48 Deagon Drive Runaway Bay QLD 4216</v>
      </c>
      <c r="E1453" s="25">
        <f>IFERROR(__xludf.DUMMYFUNCTION("""COMPUTED_VALUE"""),45970.0)</f>
        <v>45970</v>
      </c>
      <c r="F1453" s="5">
        <f>IFERROR(__xludf.DUMMYFUNCTION("""COMPUTED_VALUE"""),8.0)</f>
        <v>8</v>
      </c>
      <c r="G1453" s="19" t="str">
        <f>IFERROR(__xludf.DUMMYFUNCTION("""COMPUTED_VALUE"""),"Instant Forms")</f>
        <v>Instant Forms</v>
      </c>
      <c r="H1453" s="19" t="str">
        <f>IFERROR(__xludf.DUMMYFUNCTION("""COMPUTED_VALUE"""),"juliemauger")</f>
        <v>juliemauger</v>
      </c>
      <c r="I1453" s="62">
        <f>IFERROR(__xludf.DUMMYFUNCTION("""COMPUTED_VALUE"""),6.1404868923E10)</f>
        <v>61404868923</v>
      </c>
      <c r="J1453" s="19" t="str">
        <f>IFERROR(__xludf.DUMMYFUNCTION("""COMPUTED_VALUE"""),"julie.mauger@bigpond.com")</f>
        <v>julie.mauger@bigpond.com</v>
      </c>
    </row>
    <row r="1454">
      <c r="A1454" s="19" t="str">
        <f>IFERROR(__xludf.DUMMYFUNCTION("""COMPUTED_VALUE"""),"Kelley Rigby")</f>
        <v>Kelley Rigby</v>
      </c>
      <c r="B1454" s="19" t="str">
        <f>IFERROR(__xludf.DUMMYFUNCTION("""COMPUTED_VALUE"""),"QLD")</f>
        <v>QLD</v>
      </c>
      <c r="C1454" s="5" t="str">
        <f>IFERROR(__xludf.DUMMYFUNCTION("""COMPUTED_VALUE"""),"Surfers Paradise")</f>
        <v>Surfers Paradise</v>
      </c>
      <c r="D1454" s="5" t="str">
        <f>IFERROR(__xludf.DUMMYFUNCTION("""COMPUTED_VALUE"""),"19/10-16 Genoa Street Surfers Paradise QLD 4217")</f>
        <v>19/10-16 Genoa Street Surfers Paradise QLD 4217</v>
      </c>
      <c r="E1454" s="5" t="str">
        <f>IFERROR(__xludf.DUMMYFUNCTION("""COMPUTED_VALUE"""),"19/11/2025")</f>
        <v>19/11/2025</v>
      </c>
      <c r="F1454" s="5">
        <f>IFERROR(__xludf.DUMMYFUNCTION("""COMPUTED_VALUE"""),8.0)</f>
        <v>8</v>
      </c>
      <c r="G1454" s="19" t="str">
        <f>IFERROR(__xludf.DUMMYFUNCTION("""COMPUTED_VALUE"""),"Instant Forms")</f>
        <v>Instant Forms</v>
      </c>
      <c r="H1454" s="19" t="str">
        <f>IFERROR(__xludf.DUMMYFUNCTION("""COMPUTED_VALUE"""),"Arthur Pasvanis")</f>
        <v>Arthur Pasvanis</v>
      </c>
      <c r="I1454" s="62">
        <f>IFERROR(__xludf.DUMMYFUNCTION("""COMPUTED_VALUE"""),6.1412628038E10)</f>
        <v>61412628038</v>
      </c>
      <c r="J1454" s="19" t="str">
        <f>IFERROR(__xludf.DUMMYFUNCTION("""COMPUTED_VALUE"""),"Artpasv@gmail.com")</f>
        <v>Artpasv@gmail.com</v>
      </c>
    </row>
    <row r="1455">
      <c r="A1455" s="19" t="str">
        <f>IFERROR(__xludf.DUMMYFUNCTION("""COMPUTED_VALUE"""),"Kelley Rigby")</f>
        <v>Kelley Rigby</v>
      </c>
      <c r="B1455" s="19" t="str">
        <f>IFERROR(__xludf.DUMMYFUNCTION("""COMPUTED_VALUE"""),"QLD")</f>
        <v>QLD</v>
      </c>
      <c r="C1455" s="5" t="str">
        <f>IFERROR(__xludf.DUMMYFUNCTION("""COMPUTED_VALUE"""),"Surfers Paradise")</f>
        <v>Surfers Paradise</v>
      </c>
      <c r="D1455" s="5" t="str">
        <f>IFERROR(__xludf.DUMMYFUNCTION("""COMPUTED_VALUE"""),"303/770b Toorak rd Gleniris 3146, 4218")</f>
        <v>303/770b Toorak rd Gleniris 3146, 4218</v>
      </c>
      <c r="E1455" s="5" t="str">
        <f>IFERROR(__xludf.DUMMYFUNCTION("""COMPUTED_VALUE"""),"27/11/2025")</f>
        <v>27/11/2025</v>
      </c>
      <c r="F1455" s="64">
        <f>IFERROR(__xludf.DUMMYFUNCTION("""COMPUTED_VALUE"""),0.2)</f>
        <v>0.2</v>
      </c>
      <c r="G1455" s="19" t="str">
        <f>IFERROR(__xludf.DUMMYFUNCTION("""COMPUTED_VALUE"""),"Meta Commission Report")</f>
        <v>Meta Commission Report</v>
      </c>
      <c r="H1455" s="19" t="str">
        <f>IFERROR(__xludf.DUMMYFUNCTION("""COMPUTED_VALUE"""),"Steve Jackson")</f>
        <v>Steve Jackson</v>
      </c>
      <c r="I1455" s="62">
        <f>IFERROR(__xludf.DUMMYFUNCTION("""COMPUTED_VALUE"""),6.1418335717E10)</f>
        <v>61418335717</v>
      </c>
      <c r="J1455" s="19" t="str">
        <f>IFERROR(__xludf.DUMMYFUNCTION("""COMPUTED_VALUE"""),"steve@jre.com.au")</f>
        <v>steve@jre.com.au</v>
      </c>
    </row>
    <row r="1456">
      <c r="A1456" s="19" t="str">
        <f>IFERROR(__xludf.DUMMYFUNCTION("""COMPUTED_VALUE"""),"Kelley Rigby")</f>
        <v>Kelley Rigby</v>
      </c>
      <c r="B1456" s="19" t="str">
        <f>IFERROR(__xludf.DUMMYFUNCTION("""COMPUTED_VALUE"""),"QLD")</f>
        <v>QLD</v>
      </c>
      <c r="C1456" s="5" t="str">
        <f>IFERROR(__xludf.DUMMYFUNCTION("""COMPUTED_VALUE"""),"Surfers Paradise")</f>
        <v>Surfers Paradise</v>
      </c>
      <c r="D1456" s="5" t="str">
        <f>IFERROR(__xludf.DUMMYFUNCTION("""COMPUTED_VALUE"""),"49/49 Thornton St, 4217")</f>
        <v>49/49 Thornton St, 4217</v>
      </c>
      <c r="E1456" s="27">
        <f>IFERROR(__xludf.DUMMYFUNCTION("""COMPUTED_VALUE"""),45669.0)</f>
        <v>45669</v>
      </c>
      <c r="F1456" s="64">
        <f>IFERROR(__xludf.DUMMYFUNCTION("""COMPUTED_VALUE"""),0.2)</f>
        <v>0.2</v>
      </c>
      <c r="G1456" s="19" t="str">
        <f>IFERROR(__xludf.DUMMYFUNCTION("""COMPUTED_VALUE"""),"Meta Commission Report")</f>
        <v>Meta Commission Report</v>
      </c>
      <c r="H1456" s="19" t="str">
        <f>IFERROR(__xludf.DUMMYFUNCTION("""COMPUTED_VALUE"""),"N A N C Y  R O M A N O")</f>
        <v>N A N C Y  R O M A N O</v>
      </c>
      <c r="I1456" s="62">
        <f>IFERROR(__xludf.DUMMYFUNCTION("""COMPUTED_VALUE"""),6.1438361136E10)</f>
        <v>61438361136</v>
      </c>
      <c r="J1456" s="19" t="str">
        <f>IFERROR(__xludf.DUMMYFUNCTION("""COMPUTED_VALUE"""),"nancy@theromanoagency.com")</f>
        <v>nancy@theromanoagency.com</v>
      </c>
    </row>
    <row r="1457">
      <c r="A1457" s="19" t="str">
        <f>IFERROR(__xludf.DUMMYFUNCTION("""COMPUTED_VALUE"""),"")</f>
        <v/>
      </c>
      <c r="B1457" s="19" t="str">
        <f>IFERROR(__xludf.DUMMYFUNCTION("""COMPUTED_VALUE"""),"")</f>
        <v/>
      </c>
      <c r="C1457" s="5" t="str">
        <f>IFERROR(__xludf.DUMMYFUNCTION("""COMPUTED_VALUE"""),"")</f>
        <v/>
      </c>
      <c r="D1457" s="5" t="str">
        <f>IFERROR(__xludf.DUMMYFUNCTION("""COMPUTED_VALUE"""),"")</f>
        <v/>
      </c>
      <c r="E1457" s="5" t="str">
        <f>IFERROR(__xludf.DUMMYFUNCTION("""COMPUTED_VALUE"""),"")</f>
        <v/>
      </c>
      <c r="F1457" s="5" t="str">
        <f>IFERROR(__xludf.DUMMYFUNCTION("""COMPUTED_VALUE"""),"")</f>
        <v/>
      </c>
      <c r="G1457" s="19" t="str">
        <f>IFERROR(__xludf.DUMMYFUNCTION("""COMPUTED_VALUE"""),"")</f>
        <v/>
      </c>
      <c r="H1457" s="19" t="str">
        <f>IFERROR(__xludf.DUMMYFUNCTION("""COMPUTED_VALUE"""),"")</f>
        <v/>
      </c>
      <c r="I1457" s="62" t="str">
        <f>IFERROR(__xludf.DUMMYFUNCTION("""COMPUTED_VALUE"""),"")</f>
        <v/>
      </c>
      <c r="J1457" s="19" t="str">
        <f>IFERROR(__xludf.DUMMYFUNCTION("""COMPUTED_VALUE"""),"")</f>
        <v/>
      </c>
    </row>
    <row r="1458">
      <c r="A1458" s="19" t="str">
        <f>IFERROR(__xludf.DUMMYFUNCTION("""COMPUTED_VALUE"""),"")</f>
        <v/>
      </c>
      <c r="B1458" s="19" t="str">
        <f>IFERROR(__xludf.DUMMYFUNCTION("""COMPUTED_VALUE"""),"")</f>
        <v/>
      </c>
      <c r="C1458" s="5" t="str">
        <f>IFERROR(__xludf.DUMMYFUNCTION("""COMPUTED_VALUE"""),"")</f>
        <v/>
      </c>
      <c r="D1458" s="5" t="str">
        <f>IFERROR(__xludf.DUMMYFUNCTION("""COMPUTED_VALUE"""),"")</f>
        <v/>
      </c>
      <c r="E1458" s="5" t="str">
        <f>IFERROR(__xludf.DUMMYFUNCTION("""COMPUTED_VALUE"""),"")</f>
        <v/>
      </c>
      <c r="F1458" s="5" t="str">
        <f>IFERROR(__xludf.DUMMYFUNCTION("""COMPUTED_VALUE"""),"")</f>
        <v/>
      </c>
      <c r="G1458" s="19" t="str">
        <f>IFERROR(__xludf.DUMMYFUNCTION("""COMPUTED_VALUE"""),"")</f>
        <v/>
      </c>
      <c r="H1458" s="19" t="str">
        <f>IFERROR(__xludf.DUMMYFUNCTION("""COMPUTED_VALUE"""),"")</f>
        <v/>
      </c>
      <c r="I1458" s="62" t="str">
        <f>IFERROR(__xludf.DUMMYFUNCTION("""COMPUTED_VALUE"""),"")</f>
        <v/>
      </c>
      <c r="J1458" s="19" t="str">
        <f>IFERROR(__xludf.DUMMYFUNCTION("""COMPUTED_VALUE"""),"")</f>
        <v/>
      </c>
    </row>
    <row r="1459">
      <c r="A1459" s="19" t="str">
        <f>IFERROR(__xludf.DUMMYFUNCTION("""COMPUTED_VALUE"""),"Khem Gurung")</f>
        <v>Khem Gurung</v>
      </c>
      <c r="B1459" s="19" t="str">
        <f>IFERROR(__xludf.DUMMYFUNCTION("""COMPUTED_VALUE"""),"NT")</f>
        <v>NT</v>
      </c>
      <c r="C1459" s="5" t="str">
        <f>IFERROR(__xludf.DUMMYFUNCTION("""COMPUTED_VALUE"""),"Farrar")</f>
        <v>Farrar</v>
      </c>
      <c r="D1459" s="5" t="str">
        <f>IFERROR(__xludf.DUMMYFUNCTION("""COMPUTED_VALUE"""),"11 Scott Court Farrar NT 0830")</f>
        <v>11 Scott Court Farrar NT 0830</v>
      </c>
      <c r="E1459" s="25">
        <f>IFERROR(__xludf.DUMMYFUNCTION("""COMPUTED_VALUE"""),45916.0)</f>
        <v>45916</v>
      </c>
      <c r="F1459" s="5">
        <f>IFERROR(__xludf.DUMMYFUNCTION("""COMPUTED_VALUE"""),6.0)</f>
        <v>6</v>
      </c>
      <c r="G1459" s="19" t="str">
        <f>IFERROR(__xludf.DUMMYFUNCTION("""COMPUTED_VALUE"""),"Instant Forms")</f>
        <v>Instant Forms</v>
      </c>
      <c r="H1459" s="19" t="str">
        <f>IFERROR(__xludf.DUMMYFUNCTION("""COMPUTED_VALUE"""),"Helen Kelly")</f>
        <v>Helen Kelly</v>
      </c>
      <c r="I1459" s="62"/>
      <c r="J1459" s="19"/>
    </row>
    <row r="1460">
      <c r="A1460" s="19" t="str">
        <f>IFERROR(__xludf.DUMMYFUNCTION("""COMPUTED_VALUE"""),"Khem Gurung")</f>
        <v>Khem Gurung</v>
      </c>
      <c r="B1460" s="19" t="str">
        <f>IFERROR(__xludf.DUMMYFUNCTION("""COMPUTED_VALUE"""),"NT")</f>
        <v>NT</v>
      </c>
      <c r="C1460" s="5" t="str">
        <f>IFERROR(__xludf.DUMMYFUNCTION("""COMPUTED_VALUE"""),"Malak")</f>
        <v>Malak</v>
      </c>
      <c r="D1460" s="5" t="str">
        <f>IFERROR(__xludf.DUMMYFUNCTION("""COMPUTED_VALUE"""),"11 Pitman Court Malak NT 0812")</f>
        <v>11 Pitman Court Malak NT 0812</v>
      </c>
      <c r="E1460" s="25">
        <f>IFERROR(__xludf.DUMMYFUNCTION("""COMPUTED_VALUE"""),45943.0)</f>
        <v>45943</v>
      </c>
      <c r="F1460" s="5">
        <f>IFERROR(__xludf.DUMMYFUNCTION("""COMPUTED_VALUE"""),8.0)</f>
        <v>8</v>
      </c>
      <c r="G1460" s="19" t="str">
        <f>IFERROR(__xludf.DUMMYFUNCTION("""COMPUTED_VALUE"""),"Instant Forms")</f>
        <v>Instant Forms</v>
      </c>
      <c r="H1460" s="19"/>
      <c r="I1460" s="62"/>
      <c r="J1460" s="19"/>
    </row>
    <row r="1461">
      <c r="A1461" s="19" t="str">
        <f>IFERROR(__xludf.DUMMYFUNCTION("""COMPUTED_VALUE"""),"")</f>
        <v/>
      </c>
      <c r="B1461" s="19" t="str">
        <f>IFERROR(__xludf.DUMMYFUNCTION("""COMPUTED_VALUE"""),"")</f>
        <v/>
      </c>
      <c r="C1461" s="5" t="str">
        <f>IFERROR(__xludf.DUMMYFUNCTION("""COMPUTED_VALUE"""),"")</f>
        <v/>
      </c>
      <c r="D1461" s="5" t="str">
        <f>IFERROR(__xludf.DUMMYFUNCTION("""COMPUTED_VALUE"""),"")</f>
        <v/>
      </c>
      <c r="E1461" s="5" t="str">
        <f>IFERROR(__xludf.DUMMYFUNCTION("""COMPUTED_VALUE"""),"")</f>
        <v/>
      </c>
      <c r="F1461" s="5" t="str">
        <f>IFERROR(__xludf.DUMMYFUNCTION("""COMPUTED_VALUE"""),"")</f>
        <v/>
      </c>
      <c r="G1461" s="19" t="str">
        <f>IFERROR(__xludf.DUMMYFUNCTION("""COMPUTED_VALUE"""),"")</f>
        <v/>
      </c>
      <c r="H1461" s="19" t="str">
        <f>IFERROR(__xludf.DUMMYFUNCTION("""COMPUTED_VALUE"""),"")</f>
        <v/>
      </c>
      <c r="I1461" s="62" t="str">
        <f>IFERROR(__xludf.DUMMYFUNCTION("""COMPUTED_VALUE"""),"")</f>
        <v/>
      </c>
      <c r="J1461" s="19" t="str">
        <f>IFERROR(__xludf.DUMMYFUNCTION("""COMPUTED_VALUE"""),"")</f>
        <v/>
      </c>
    </row>
    <row r="1462">
      <c r="A1462" s="19" t="str">
        <f>IFERROR(__xludf.DUMMYFUNCTION("""COMPUTED_VALUE"""),"")</f>
        <v/>
      </c>
      <c r="B1462" s="19" t="str">
        <f>IFERROR(__xludf.DUMMYFUNCTION("""COMPUTED_VALUE"""),"")</f>
        <v/>
      </c>
      <c r="C1462" s="5" t="str">
        <f>IFERROR(__xludf.DUMMYFUNCTION("""COMPUTED_VALUE"""),"")</f>
        <v/>
      </c>
      <c r="D1462" s="5" t="str">
        <f>IFERROR(__xludf.DUMMYFUNCTION("""COMPUTED_VALUE"""),"")</f>
        <v/>
      </c>
      <c r="E1462" s="5" t="str">
        <f>IFERROR(__xludf.DUMMYFUNCTION("""COMPUTED_VALUE"""),"")</f>
        <v/>
      </c>
      <c r="F1462" s="5" t="str">
        <f>IFERROR(__xludf.DUMMYFUNCTION("""COMPUTED_VALUE"""),"")</f>
        <v/>
      </c>
      <c r="G1462" s="19" t="str">
        <f>IFERROR(__xludf.DUMMYFUNCTION("""COMPUTED_VALUE"""),"")</f>
        <v/>
      </c>
      <c r="H1462" s="19" t="str">
        <f>IFERROR(__xludf.DUMMYFUNCTION("""COMPUTED_VALUE"""),"")</f>
        <v/>
      </c>
      <c r="I1462" s="62" t="str">
        <f>IFERROR(__xludf.DUMMYFUNCTION("""COMPUTED_VALUE"""),"")</f>
        <v/>
      </c>
      <c r="J1462" s="19" t="str">
        <f>IFERROR(__xludf.DUMMYFUNCTION("""COMPUTED_VALUE"""),"")</f>
        <v/>
      </c>
    </row>
    <row r="1463">
      <c r="A1463" s="19" t="str">
        <f>IFERROR(__xludf.DUMMYFUNCTION("""COMPUTED_VALUE"""),"Kishor Tiwari")</f>
        <v>Kishor Tiwari</v>
      </c>
      <c r="B1463" s="19" t="str">
        <f>IFERROR(__xludf.DUMMYFUNCTION("""COMPUTED_VALUE"""),"QLD")</f>
        <v>QLD</v>
      </c>
      <c r="C1463" s="5" t="str">
        <f>IFERROR(__xludf.DUMMYFUNCTION("""COMPUTED_VALUE"""),"Surfers Paradise")</f>
        <v>Surfers Paradise</v>
      </c>
      <c r="D1463" s="5" t="str">
        <f>IFERROR(__xludf.DUMMYFUNCTION("""COMPUTED_VALUE"""),"911/19 Hanlan Street")</f>
        <v>911/19 Hanlan Street</v>
      </c>
      <c r="E1463" s="63"/>
      <c r="F1463" s="5" t="str">
        <f>IFERROR(__xludf.DUMMYFUNCTION("""COMPUTED_VALUE"""),"Featured")</f>
        <v>Featured</v>
      </c>
      <c r="G1463" s="19" t="str">
        <f>IFERROR(__xludf.DUMMYFUNCTION("""COMPUTED_VALUE"""),"Commission Comparison")</f>
        <v>Commission Comparison</v>
      </c>
      <c r="H1463" s="19"/>
      <c r="I1463" s="62"/>
      <c r="J1463" s="19"/>
    </row>
    <row r="1464">
      <c r="A1464" s="19" t="str">
        <f>IFERROR(__xludf.DUMMYFUNCTION("""COMPUTED_VALUE"""),"")</f>
        <v/>
      </c>
      <c r="B1464" s="19" t="str">
        <f>IFERROR(__xludf.DUMMYFUNCTION("""COMPUTED_VALUE"""),"")</f>
        <v/>
      </c>
      <c r="C1464" s="5" t="str">
        <f>IFERROR(__xludf.DUMMYFUNCTION("""COMPUTED_VALUE"""),"")</f>
        <v/>
      </c>
      <c r="D1464" s="5" t="str">
        <f>IFERROR(__xludf.DUMMYFUNCTION("""COMPUTED_VALUE"""),"")</f>
        <v/>
      </c>
      <c r="E1464" s="5" t="str">
        <f>IFERROR(__xludf.DUMMYFUNCTION("""COMPUTED_VALUE"""),"")</f>
        <v/>
      </c>
      <c r="F1464" s="5" t="str">
        <f>IFERROR(__xludf.DUMMYFUNCTION("""COMPUTED_VALUE"""),"")</f>
        <v/>
      </c>
      <c r="G1464" s="19" t="str">
        <f>IFERROR(__xludf.DUMMYFUNCTION("""COMPUTED_VALUE"""),"")</f>
        <v/>
      </c>
      <c r="H1464" s="19" t="str">
        <f>IFERROR(__xludf.DUMMYFUNCTION("""COMPUTED_VALUE"""),"")</f>
        <v/>
      </c>
      <c r="I1464" s="62" t="str">
        <f>IFERROR(__xludf.DUMMYFUNCTION("""COMPUTED_VALUE"""),"")</f>
        <v/>
      </c>
      <c r="J1464" s="19" t="str">
        <f>IFERROR(__xludf.DUMMYFUNCTION("""COMPUTED_VALUE"""),"")</f>
        <v/>
      </c>
    </row>
    <row r="1465">
      <c r="A1465" s="19" t="str">
        <f>IFERROR(__xludf.DUMMYFUNCTION("""COMPUTED_VALUE"""),"")</f>
        <v/>
      </c>
      <c r="B1465" s="19" t="str">
        <f>IFERROR(__xludf.DUMMYFUNCTION("""COMPUTED_VALUE"""),"")</f>
        <v/>
      </c>
      <c r="C1465" s="5" t="str">
        <f>IFERROR(__xludf.DUMMYFUNCTION("""COMPUTED_VALUE"""),"")</f>
        <v/>
      </c>
      <c r="D1465" s="5" t="str">
        <f>IFERROR(__xludf.DUMMYFUNCTION("""COMPUTED_VALUE"""),"")</f>
        <v/>
      </c>
      <c r="E1465" s="5" t="str">
        <f>IFERROR(__xludf.DUMMYFUNCTION("""COMPUTED_VALUE"""),"")</f>
        <v/>
      </c>
      <c r="F1465" s="5" t="str">
        <f>IFERROR(__xludf.DUMMYFUNCTION("""COMPUTED_VALUE"""),"")</f>
        <v/>
      </c>
      <c r="G1465" s="19" t="str">
        <f>IFERROR(__xludf.DUMMYFUNCTION("""COMPUTED_VALUE"""),"")</f>
        <v/>
      </c>
      <c r="H1465" s="19" t="str">
        <f>IFERROR(__xludf.DUMMYFUNCTION("""COMPUTED_VALUE"""),"")</f>
        <v/>
      </c>
      <c r="I1465" s="62" t="str">
        <f>IFERROR(__xludf.DUMMYFUNCTION("""COMPUTED_VALUE"""),"")</f>
        <v/>
      </c>
      <c r="J1465" s="19" t="str">
        <f>IFERROR(__xludf.DUMMYFUNCTION("""COMPUTED_VALUE"""),"")</f>
        <v/>
      </c>
    </row>
    <row r="1466">
      <c r="A1466" s="19" t="str">
        <f>IFERROR(__xludf.DUMMYFUNCTION("""COMPUTED_VALUE"""),"Kyle Reid")</f>
        <v>Kyle Reid</v>
      </c>
      <c r="B1466" s="19" t="str">
        <f>IFERROR(__xludf.DUMMYFUNCTION("""COMPUTED_VALUE"""),"VIC")</f>
        <v>VIC</v>
      </c>
      <c r="C1466" s="5" t="str">
        <f>IFERROR(__xludf.DUMMYFUNCTION("""COMPUTED_VALUE"""),"Carrum Downs")</f>
        <v>Carrum Downs</v>
      </c>
      <c r="D1466" s="5"/>
      <c r="E1466" s="25">
        <f>IFERROR(__xludf.DUMMYFUNCTION("""COMPUTED_VALUE"""),45875.0)</f>
        <v>45875</v>
      </c>
      <c r="F1466" s="5" t="str">
        <f>IFERROR(__xludf.DUMMYFUNCTION("""COMPUTED_VALUE"""),"Featured")</f>
        <v>Featured</v>
      </c>
      <c r="G1466" s="19" t="str">
        <f>IFERROR(__xludf.DUMMYFUNCTION("""COMPUTED_VALUE"""),"Instant Forms")</f>
        <v>Instant Forms</v>
      </c>
      <c r="H1466" s="19"/>
      <c r="I1466" s="62"/>
      <c r="J1466" s="19"/>
    </row>
    <row r="1467">
      <c r="A1467" s="19" t="str">
        <f>IFERROR(__xludf.DUMMYFUNCTION("""COMPUTED_VALUE"""),"Kyle Reid")</f>
        <v>Kyle Reid</v>
      </c>
      <c r="B1467" s="19" t="str">
        <f>IFERROR(__xludf.DUMMYFUNCTION("""COMPUTED_VALUE"""),"VIC")</f>
        <v>VIC</v>
      </c>
      <c r="C1467" s="5" t="str">
        <f>IFERROR(__xludf.DUMMYFUNCTION("""COMPUTED_VALUE"""),"Mount Eliza")</f>
        <v>Mount Eliza</v>
      </c>
      <c r="D1467" s="5" t="str">
        <f>IFERROR(__xludf.DUMMYFUNCTION("""COMPUTED_VALUE"""),"59 Bellbird Road, Mount Eliza, Victoria, 3930, Australia")</f>
        <v>59 Bellbird Road, Mount Eliza, Victoria, 3930, Australia</v>
      </c>
      <c r="E1467" s="25">
        <f>IFERROR(__xludf.DUMMYFUNCTION("""COMPUTED_VALUE"""),45884.0)</f>
        <v>45884</v>
      </c>
      <c r="F1467" s="5" t="str">
        <f>IFERROR(__xludf.DUMMYFUNCTION("""COMPUTED_VALUE"""),"Featured")</f>
        <v>Featured</v>
      </c>
      <c r="G1467" s="19" t="str">
        <f>IFERROR(__xludf.DUMMYFUNCTION("""COMPUTED_VALUE"""),"Instant Forms")</f>
        <v>Instant Forms</v>
      </c>
      <c r="H1467" s="19"/>
      <c r="I1467" s="62"/>
      <c r="J1467" s="19"/>
    </row>
    <row r="1468">
      <c r="A1468" s="19" t="str">
        <f>IFERROR(__xludf.DUMMYFUNCTION("""COMPUTED_VALUE"""),"Kyle Reid")</f>
        <v>Kyle Reid</v>
      </c>
      <c r="B1468" s="19" t="str">
        <f>IFERROR(__xludf.DUMMYFUNCTION("""COMPUTED_VALUE"""),"VIC")</f>
        <v>VIC</v>
      </c>
      <c r="C1468" s="5" t="str">
        <f>IFERROR(__xludf.DUMMYFUNCTION("""COMPUTED_VALUE"""),"Mount Eliza")</f>
        <v>Mount Eliza</v>
      </c>
      <c r="D1468" s="5" t="str">
        <f>IFERROR(__xludf.DUMMYFUNCTION("""COMPUTED_VALUE"""),"Unit 2/154 Canadian Bay Road MOUNT ELIZA VIC 3930")</f>
        <v>Unit 2/154 Canadian Bay Road MOUNT ELIZA VIC 3930</v>
      </c>
      <c r="E1468" s="25">
        <f>IFERROR(__xludf.DUMMYFUNCTION("""COMPUTED_VALUE"""),45889.0)</f>
        <v>45889</v>
      </c>
      <c r="F1468" s="5" t="str">
        <f>IFERROR(__xludf.DUMMYFUNCTION("""COMPUTED_VALUE"""),"Featured")</f>
        <v>Featured</v>
      </c>
      <c r="G1468" s="19" t="str">
        <f>IFERROR(__xludf.DUMMYFUNCTION("""COMPUTED_VALUE"""),"Instant Forms")</f>
        <v>Instant Forms</v>
      </c>
      <c r="H1468" s="19"/>
      <c r="I1468" s="62"/>
      <c r="J1468" s="19"/>
    </row>
    <row r="1469">
      <c r="A1469" s="19" t="str">
        <f>IFERROR(__xludf.DUMMYFUNCTION("""COMPUTED_VALUE"""),"Kyle Reid")</f>
        <v>Kyle Reid</v>
      </c>
      <c r="B1469" s="19" t="str">
        <f>IFERROR(__xludf.DUMMYFUNCTION("""COMPUTED_VALUE"""),"VIC")</f>
        <v>VIC</v>
      </c>
      <c r="C1469" s="5" t="str">
        <f>IFERROR(__xludf.DUMMYFUNCTION("""COMPUTED_VALUE"""),"Mount Eliza")</f>
        <v>Mount Eliza</v>
      </c>
      <c r="D1469" s="5"/>
      <c r="E1469" s="25">
        <f>IFERROR(__xludf.DUMMYFUNCTION("""COMPUTED_VALUE"""),45896.0)</f>
        <v>45896</v>
      </c>
      <c r="F1469" s="5" t="str">
        <f>IFERROR(__xludf.DUMMYFUNCTION("""COMPUTED_VALUE"""),"Featured")</f>
        <v>Featured</v>
      </c>
      <c r="G1469" s="19" t="str">
        <f>IFERROR(__xludf.DUMMYFUNCTION("""COMPUTED_VALUE"""),"Instant Forms")</f>
        <v>Instant Forms</v>
      </c>
      <c r="H1469" s="19"/>
      <c r="I1469" s="62"/>
      <c r="J1469" s="19"/>
    </row>
    <row r="1470">
      <c r="A1470" s="19" t="str">
        <f>IFERROR(__xludf.DUMMYFUNCTION("""COMPUTED_VALUE"""),"Kyle Reid")</f>
        <v>Kyle Reid</v>
      </c>
      <c r="B1470" s="19" t="str">
        <f>IFERROR(__xludf.DUMMYFUNCTION("""COMPUTED_VALUE"""),"VIC")</f>
        <v>VIC</v>
      </c>
      <c r="C1470" s="5" t="str">
        <f>IFERROR(__xludf.DUMMYFUNCTION("""COMPUTED_VALUE"""),"Mount Eliza")</f>
        <v>Mount Eliza</v>
      </c>
      <c r="D1470" s="5"/>
      <c r="E1470" s="25">
        <f>IFERROR(__xludf.DUMMYFUNCTION("""COMPUTED_VALUE"""),45899.0)</f>
        <v>45899</v>
      </c>
      <c r="F1470" s="5" t="str">
        <f>IFERROR(__xludf.DUMMYFUNCTION("""COMPUTED_VALUE"""),"Featured")</f>
        <v>Featured</v>
      </c>
      <c r="G1470" s="19" t="str">
        <f>IFERROR(__xludf.DUMMYFUNCTION("""COMPUTED_VALUE"""),"Instant Forms")</f>
        <v>Instant Forms</v>
      </c>
      <c r="H1470" s="19"/>
      <c r="I1470" s="62"/>
      <c r="J1470" s="19"/>
    </row>
    <row r="1471">
      <c r="A1471" s="19" t="str">
        <f>IFERROR(__xludf.DUMMYFUNCTION("""COMPUTED_VALUE"""),"Kyle Reid")</f>
        <v>Kyle Reid</v>
      </c>
      <c r="B1471" s="19" t="str">
        <f>IFERROR(__xludf.DUMMYFUNCTION("""COMPUTED_VALUE"""),"VIC")</f>
        <v>VIC</v>
      </c>
      <c r="C1471" s="5" t="str">
        <f>IFERROR(__xludf.DUMMYFUNCTION("""COMPUTED_VALUE"""),"Mornington")</f>
        <v>Mornington</v>
      </c>
      <c r="D1471" s="5"/>
      <c r="E1471" s="25">
        <f>IFERROR(__xludf.DUMMYFUNCTION("""COMPUTED_VALUE"""),45901.0)</f>
        <v>45901</v>
      </c>
      <c r="F1471" s="5" t="str">
        <f>IFERROR(__xludf.DUMMYFUNCTION("""COMPUTED_VALUE"""),"Free")</f>
        <v>Free</v>
      </c>
      <c r="G1471" s="19" t="str">
        <f>IFERROR(__xludf.DUMMYFUNCTION("""COMPUTED_VALUE"""),"Instant Forms")</f>
        <v>Instant Forms</v>
      </c>
      <c r="H1471" s="19"/>
      <c r="I1471" s="62"/>
      <c r="J1471" s="19"/>
    </row>
    <row r="1472">
      <c r="A1472" s="19" t="str">
        <f>IFERROR(__xludf.DUMMYFUNCTION("""COMPUTED_VALUE"""),"Kyle Reid")</f>
        <v>Kyle Reid</v>
      </c>
      <c r="B1472" s="19" t="str">
        <f>IFERROR(__xludf.DUMMYFUNCTION("""COMPUTED_VALUE"""),"VIC")</f>
        <v>VIC</v>
      </c>
      <c r="C1472" s="5" t="str">
        <f>IFERROR(__xludf.DUMMYFUNCTION("""COMPUTED_VALUE"""),"Mornington 3931")</f>
        <v>Mornington 3931</v>
      </c>
      <c r="D1472" s="5" t="str">
        <f>IFERROR(__xludf.DUMMYFUNCTION("""COMPUTED_VALUE"""),"29 Dava Drive Mornington VIC 3931")</f>
        <v>29 Dava Drive Mornington VIC 3931</v>
      </c>
      <c r="E1472" s="25">
        <f>IFERROR(__xludf.DUMMYFUNCTION("""COMPUTED_VALUE"""),45904.0)</f>
        <v>45904</v>
      </c>
      <c r="F1472" s="5" t="str">
        <f>IFERROR(__xludf.DUMMYFUNCTION("""COMPUTED_VALUE"""),"Featured")</f>
        <v>Featured</v>
      </c>
      <c r="G1472" s="19" t="str">
        <f>IFERROR(__xludf.DUMMYFUNCTION("""COMPUTED_VALUE"""),"Instant Forms")</f>
        <v>Instant Forms</v>
      </c>
      <c r="H1472" s="19"/>
      <c r="I1472" s="62"/>
      <c r="J1472" s="19"/>
    </row>
    <row r="1473">
      <c r="A1473" s="19" t="str">
        <f>IFERROR(__xludf.DUMMYFUNCTION("""COMPUTED_VALUE"""),"Kyle Reid")</f>
        <v>Kyle Reid</v>
      </c>
      <c r="B1473" s="19" t="str">
        <f>IFERROR(__xludf.DUMMYFUNCTION("""COMPUTED_VALUE"""),"VIC")</f>
        <v>VIC</v>
      </c>
      <c r="C1473" s="5" t="str">
        <f>IFERROR(__xludf.DUMMYFUNCTION("""COMPUTED_VALUE"""),"mount eliza")</f>
        <v>mount eliza</v>
      </c>
      <c r="D1473" s="5" t="str">
        <f>IFERROR(__xludf.DUMMYFUNCTION("""COMPUTED_VALUE"""),"6 Gunyong Creek Lane Mount Eliza VIC 3930")</f>
        <v>6 Gunyong Creek Lane Mount Eliza VIC 3930</v>
      </c>
      <c r="E1473" s="25">
        <f>IFERROR(__xludf.DUMMYFUNCTION("""COMPUTED_VALUE"""),45904.0)</f>
        <v>45904</v>
      </c>
      <c r="F1473" s="5" t="str">
        <f>IFERROR(__xludf.DUMMYFUNCTION("""COMPUTED_VALUE"""),"Featured")</f>
        <v>Featured</v>
      </c>
      <c r="G1473" s="19" t="str">
        <f>IFERROR(__xludf.DUMMYFUNCTION("""COMPUTED_VALUE"""),"Instant Forms")</f>
        <v>Instant Forms</v>
      </c>
      <c r="H1473" s="19"/>
      <c r="I1473" s="62"/>
      <c r="J1473" s="19"/>
    </row>
    <row r="1474">
      <c r="A1474" s="19" t="str">
        <f>IFERROR(__xludf.DUMMYFUNCTION("""COMPUTED_VALUE"""),"Kyle Reid")</f>
        <v>Kyle Reid</v>
      </c>
      <c r="B1474" s="19" t="str">
        <f>IFERROR(__xludf.DUMMYFUNCTION("""COMPUTED_VALUE"""),"VIC")</f>
        <v>VIC</v>
      </c>
      <c r="C1474" s="5" t="str">
        <f>IFERROR(__xludf.DUMMYFUNCTION("""COMPUTED_VALUE"""),"Rosebud")</f>
        <v>Rosebud</v>
      </c>
      <c r="D1474" s="5" t="str">
        <f>IFERROR(__xludf.DUMMYFUNCTION("""COMPUTED_VALUE"""),"35 Sylvan Drive Rosebud VIC 3939")</f>
        <v>35 Sylvan Drive Rosebud VIC 3939</v>
      </c>
      <c r="E1474" s="25">
        <f>IFERROR(__xludf.DUMMYFUNCTION("""COMPUTED_VALUE"""),45917.0)</f>
        <v>45917</v>
      </c>
      <c r="F1474" s="5">
        <f>IFERROR(__xludf.DUMMYFUNCTION("""COMPUTED_VALUE"""),6.0)</f>
        <v>6</v>
      </c>
      <c r="G1474" s="19" t="str">
        <f>IFERROR(__xludf.DUMMYFUNCTION("""COMPUTED_VALUE"""),"Instant Forms")</f>
        <v>Instant Forms</v>
      </c>
      <c r="H1474" s="19" t="str">
        <f>IFERROR(__xludf.DUMMYFUNCTION("""COMPUTED_VALUE"""),"Dale Redford")</f>
        <v>Dale Redford</v>
      </c>
      <c r="I1474" s="62"/>
      <c r="J1474" s="19"/>
    </row>
    <row r="1475">
      <c r="A1475" s="19" t="str">
        <f>IFERROR(__xludf.DUMMYFUNCTION("""COMPUTED_VALUE"""),"Kyle Reid")</f>
        <v>Kyle Reid</v>
      </c>
      <c r="B1475" s="19" t="str">
        <f>IFERROR(__xludf.DUMMYFUNCTION("""COMPUTED_VALUE"""),"VIC")</f>
        <v>VIC</v>
      </c>
      <c r="C1475" s="5" t="str">
        <f>IFERROR(__xludf.DUMMYFUNCTION("""COMPUTED_VALUE"""),"Mount eliza")</f>
        <v>Mount eliza</v>
      </c>
      <c r="D1475" s="5" t="str">
        <f>IFERROR(__xludf.DUMMYFUNCTION("""COMPUTED_VALUE"""),"7 Dalsten Grove Mount Eliza VIC 3930")</f>
        <v>7 Dalsten Grove Mount Eliza VIC 3930</v>
      </c>
      <c r="E1475" s="25">
        <f>IFERROR(__xludf.DUMMYFUNCTION("""COMPUTED_VALUE"""),45921.0)</f>
        <v>45921</v>
      </c>
      <c r="F1475" s="5">
        <f>IFERROR(__xludf.DUMMYFUNCTION("""COMPUTED_VALUE"""),8.0)</f>
        <v>8</v>
      </c>
      <c r="G1475" s="19" t="str">
        <f>IFERROR(__xludf.DUMMYFUNCTION("""COMPUTED_VALUE"""),"Instant Forms")</f>
        <v>Instant Forms</v>
      </c>
      <c r="H1475" s="19" t="str">
        <f>IFERROR(__xludf.DUMMYFUNCTION("""COMPUTED_VALUE"""),"Julie Stringer")</f>
        <v>Julie Stringer</v>
      </c>
      <c r="I1475" s="62"/>
      <c r="J1475" s="19"/>
    </row>
    <row r="1476">
      <c r="A1476" s="19" t="str">
        <f>IFERROR(__xludf.DUMMYFUNCTION("""COMPUTED_VALUE"""),"Kyle Reid")</f>
        <v>Kyle Reid</v>
      </c>
      <c r="B1476" s="19" t="str">
        <f>IFERROR(__xludf.DUMMYFUNCTION("""COMPUTED_VALUE"""),"VIC")</f>
        <v>VIC</v>
      </c>
      <c r="C1476" s="5" t="str">
        <f>IFERROR(__xludf.DUMMYFUNCTION("""COMPUTED_VALUE"""),"MOUNT ELIZA")</f>
        <v>MOUNT ELIZA</v>
      </c>
      <c r="D1476" s="5" t="str">
        <f>IFERROR(__xludf.DUMMYFUNCTION("""COMPUTED_VALUE"""),"72 Volitans Avenue MOUNT ELIZA VIC 3930")</f>
        <v>72 Volitans Avenue MOUNT ELIZA VIC 3930</v>
      </c>
      <c r="E1476" s="25">
        <f>IFERROR(__xludf.DUMMYFUNCTION("""COMPUTED_VALUE"""),45921.0)</f>
        <v>45921</v>
      </c>
      <c r="F1476" s="5">
        <f>IFERROR(__xludf.DUMMYFUNCTION("""COMPUTED_VALUE"""),8.0)</f>
        <v>8</v>
      </c>
      <c r="G1476" s="19" t="str">
        <f>IFERROR(__xludf.DUMMYFUNCTION("""COMPUTED_VALUE"""),"Instant Forms")</f>
        <v>Instant Forms</v>
      </c>
      <c r="H1476" s="19" t="str">
        <f>IFERROR(__xludf.DUMMYFUNCTION("""COMPUTED_VALUE"""),"Milo O'reilly")</f>
        <v>Milo O'reilly</v>
      </c>
      <c r="I1476" s="62"/>
      <c r="J1476" s="19"/>
    </row>
    <row r="1477">
      <c r="A1477" s="19" t="str">
        <f>IFERROR(__xludf.DUMMYFUNCTION("""COMPUTED_VALUE"""),"Kyle Reid")</f>
        <v>Kyle Reid</v>
      </c>
      <c r="B1477" s="19" t="str">
        <f>IFERROR(__xludf.DUMMYFUNCTION("""COMPUTED_VALUE"""),"VIC")</f>
        <v>VIC</v>
      </c>
      <c r="C1477" s="5" t="str">
        <f>IFERROR(__xludf.DUMMYFUNCTION("""COMPUTED_VALUE"""),"Mornington")</f>
        <v>Mornington</v>
      </c>
      <c r="D1477" s="5"/>
      <c r="E1477" s="25">
        <f>IFERROR(__xludf.DUMMYFUNCTION("""COMPUTED_VALUE"""),45925.0)</f>
        <v>45925</v>
      </c>
      <c r="F1477" s="5">
        <f>IFERROR(__xludf.DUMMYFUNCTION("""COMPUTED_VALUE"""),6.0)</f>
        <v>6</v>
      </c>
      <c r="G1477" s="19" t="str">
        <f>IFERROR(__xludf.DUMMYFUNCTION("""COMPUTED_VALUE"""),"Instant Forms")</f>
        <v>Instant Forms</v>
      </c>
      <c r="H1477" s="19" t="str">
        <f>IFERROR(__xludf.DUMMYFUNCTION("""COMPUTED_VALUE"""),"Ally Connor")</f>
        <v>Ally Connor</v>
      </c>
      <c r="I1477" s="62"/>
      <c r="J1477" s="19"/>
    </row>
    <row r="1478">
      <c r="A1478" s="19" t="str">
        <f>IFERROR(__xludf.DUMMYFUNCTION("""COMPUTED_VALUE"""),"Kyle Reid")</f>
        <v>Kyle Reid</v>
      </c>
      <c r="B1478" s="19" t="str">
        <f>IFERROR(__xludf.DUMMYFUNCTION("""COMPUTED_VALUE"""),"VIC")</f>
        <v>VIC</v>
      </c>
      <c r="C1478" s="5" t="str">
        <f>IFERROR(__xludf.DUMMYFUNCTION("""COMPUTED_VALUE"""),"Safety Beach")</f>
        <v>Safety Beach</v>
      </c>
      <c r="D1478" s="5" t="str">
        <f>IFERROR(__xludf.DUMMYFUNCTION("""COMPUTED_VALUE"""),"26 Spinnaker Terrace, Safety Beach, VIC, 3936, Australia")</f>
        <v>26 Spinnaker Terrace, Safety Beach, VIC, 3936, Australia</v>
      </c>
      <c r="E1478" s="25">
        <f>IFERROR(__xludf.DUMMYFUNCTION("""COMPUTED_VALUE"""),45929.0)</f>
        <v>45929</v>
      </c>
      <c r="F1478" s="5" t="str">
        <f>IFERROR(__xludf.DUMMYFUNCTION("""COMPUTED_VALUE"""),"Featured")</f>
        <v>Featured</v>
      </c>
      <c r="G1478" s="19" t="str">
        <f>IFERROR(__xludf.DUMMYFUNCTION("""COMPUTED_VALUE"""),"Commission Comparison")</f>
        <v>Commission Comparison</v>
      </c>
      <c r="H1478" s="19"/>
      <c r="I1478" s="62"/>
      <c r="J1478" s="19"/>
    </row>
    <row r="1479">
      <c r="A1479" s="19" t="str">
        <f>IFERROR(__xludf.DUMMYFUNCTION("""COMPUTED_VALUE"""),"Kyle Reid")</f>
        <v>Kyle Reid</v>
      </c>
      <c r="B1479" s="19" t="str">
        <f>IFERROR(__xludf.DUMMYFUNCTION("""COMPUTED_VALUE"""),"VIC")</f>
        <v>VIC</v>
      </c>
      <c r="C1479" s="5" t="str">
        <f>IFERROR(__xludf.DUMMYFUNCTION("""COMPUTED_VALUE"""),"MOUNT ELIZA")</f>
        <v>MOUNT ELIZA</v>
      </c>
      <c r="D1479" s="5" t="str">
        <f>IFERROR(__xludf.DUMMYFUNCTION("""COMPUTED_VALUE"""),"59 Granya Grove MOUNT ELIZA VIC 3930")</f>
        <v>59 Granya Grove MOUNT ELIZA VIC 3930</v>
      </c>
      <c r="E1479" s="25">
        <f>IFERROR(__xludf.DUMMYFUNCTION("""COMPUTED_VALUE"""),45929.0)</f>
        <v>45929</v>
      </c>
      <c r="F1479" s="5">
        <f>IFERROR(__xludf.DUMMYFUNCTION("""COMPUTED_VALUE"""),6.0)</f>
        <v>6</v>
      </c>
      <c r="G1479" s="19" t="str">
        <f>IFERROR(__xludf.DUMMYFUNCTION("""COMPUTED_VALUE"""),"Instant Forms")</f>
        <v>Instant Forms</v>
      </c>
      <c r="H1479" s="19" t="str">
        <f>IFERROR(__xludf.DUMMYFUNCTION("""COMPUTED_VALUE"""),"Julie")</f>
        <v>Julie</v>
      </c>
      <c r="I1479" s="62"/>
      <c r="J1479" s="19"/>
    </row>
    <row r="1480">
      <c r="A1480" s="19" t="str">
        <f>IFERROR(__xludf.DUMMYFUNCTION("""COMPUTED_VALUE"""),"Kyle Reid")</f>
        <v>Kyle Reid</v>
      </c>
      <c r="B1480" s="19" t="str">
        <f>IFERROR(__xludf.DUMMYFUNCTION("""COMPUTED_VALUE"""),"VIC")</f>
        <v>VIC</v>
      </c>
      <c r="C1480" s="5" t="str">
        <f>IFERROR(__xludf.DUMMYFUNCTION("""COMPUTED_VALUE"""),"Rosebud")</f>
        <v>Rosebud</v>
      </c>
      <c r="D1480" s="5"/>
      <c r="E1480" s="25">
        <f>IFERROR(__xludf.DUMMYFUNCTION("""COMPUTED_VALUE"""),45935.0)</f>
        <v>45935</v>
      </c>
      <c r="F1480" s="5">
        <f>IFERROR(__xludf.DUMMYFUNCTION("""COMPUTED_VALUE"""),6.0)</f>
        <v>6</v>
      </c>
      <c r="G1480" s="19" t="str">
        <f>IFERROR(__xludf.DUMMYFUNCTION("""COMPUTED_VALUE"""),"Instant Forms")</f>
        <v>Instant Forms</v>
      </c>
      <c r="H1480" s="19" t="str">
        <f>IFERROR(__xludf.DUMMYFUNCTION("""COMPUTED_VALUE"""),"Savannah Georgina Poolman")</f>
        <v>Savannah Georgina Poolman</v>
      </c>
      <c r="I1480" s="62"/>
      <c r="J1480" s="19"/>
    </row>
    <row r="1481">
      <c r="A1481" s="19" t="str">
        <f>IFERROR(__xludf.DUMMYFUNCTION("""COMPUTED_VALUE"""),"Kyle Reid")</f>
        <v>Kyle Reid</v>
      </c>
      <c r="B1481" s="19" t="str">
        <f>IFERROR(__xludf.DUMMYFUNCTION("""COMPUTED_VALUE"""),"VIC")</f>
        <v>VIC</v>
      </c>
      <c r="C1481" s="5" t="str">
        <f>IFERROR(__xludf.DUMMYFUNCTION("""COMPUTED_VALUE"""),"Moorooduc")</f>
        <v>Moorooduc</v>
      </c>
      <c r="D1481" s="5" t="str">
        <f>IFERROR(__xludf.DUMMYFUNCTION("""COMPUTED_VALUE"""),"124 Graydens Road Moorooduc VIC 3933")</f>
        <v>124 Graydens Road Moorooduc VIC 3933</v>
      </c>
      <c r="E1481" s="25">
        <f>IFERROR(__xludf.DUMMYFUNCTION("""COMPUTED_VALUE"""),45943.0)</f>
        <v>45943</v>
      </c>
      <c r="F1481" s="5">
        <f>IFERROR(__xludf.DUMMYFUNCTION("""COMPUTED_VALUE"""),8.0)</f>
        <v>8</v>
      </c>
      <c r="G1481" s="19" t="str">
        <f>IFERROR(__xludf.DUMMYFUNCTION("""COMPUTED_VALUE"""),"Instant Forms")</f>
        <v>Instant Forms</v>
      </c>
      <c r="H1481" s="19"/>
      <c r="I1481" s="62"/>
      <c r="J1481" s="19"/>
    </row>
    <row r="1482">
      <c r="A1482" s="19" t="str">
        <f>IFERROR(__xludf.DUMMYFUNCTION("""COMPUTED_VALUE"""),"Kyle Reid")</f>
        <v>Kyle Reid</v>
      </c>
      <c r="B1482" s="19" t="str">
        <f>IFERROR(__xludf.DUMMYFUNCTION("""COMPUTED_VALUE"""),"VIC")</f>
        <v>VIC</v>
      </c>
      <c r="C1482" s="5" t="str">
        <f>IFERROR(__xludf.DUMMYFUNCTION("""COMPUTED_VALUE"""),"Somerville")</f>
        <v>Somerville</v>
      </c>
      <c r="D1482" s="5" t="str">
        <f>IFERROR(__xludf.DUMMYFUNCTION("""COMPUTED_VALUE"""),"78 Grant Road Somerville VIC 3912")</f>
        <v>78 Grant Road Somerville VIC 3912</v>
      </c>
      <c r="E1482" s="25">
        <f>IFERROR(__xludf.DUMMYFUNCTION("""COMPUTED_VALUE"""),45949.0)</f>
        <v>45949</v>
      </c>
      <c r="F1482" s="5">
        <f>IFERROR(__xludf.DUMMYFUNCTION("""COMPUTED_VALUE"""),8.0)</f>
        <v>8</v>
      </c>
      <c r="G1482" s="19" t="str">
        <f>IFERROR(__xludf.DUMMYFUNCTION("""COMPUTED_VALUE"""),"Instant Forms")</f>
        <v>Instant Forms</v>
      </c>
      <c r="H1482" s="19"/>
      <c r="I1482" s="62"/>
      <c r="J1482" s="19"/>
    </row>
    <row r="1483">
      <c r="A1483" s="19" t="str">
        <f>IFERROR(__xludf.DUMMYFUNCTION("""COMPUTED_VALUE"""),"Kyle Reid")</f>
        <v>Kyle Reid</v>
      </c>
      <c r="B1483" s="19" t="str">
        <f>IFERROR(__xludf.DUMMYFUNCTION("""COMPUTED_VALUE"""),"VIC")</f>
        <v>VIC</v>
      </c>
      <c r="C1483" s="5" t="str">
        <f>IFERROR(__xludf.DUMMYFUNCTION("""COMPUTED_VALUE"""),"Mornington")</f>
        <v>Mornington</v>
      </c>
      <c r="D1483" s="5"/>
      <c r="E1483" s="25">
        <f>IFERROR(__xludf.DUMMYFUNCTION("""COMPUTED_VALUE"""),45954.0)</f>
        <v>45954</v>
      </c>
      <c r="F1483" s="5">
        <f>IFERROR(__xludf.DUMMYFUNCTION("""COMPUTED_VALUE"""),5.0)</f>
        <v>5</v>
      </c>
      <c r="G1483" s="19" t="str">
        <f>IFERROR(__xludf.DUMMYFUNCTION("""COMPUTED_VALUE"""),"Instant Forms")</f>
        <v>Instant Forms</v>
      </c>
      <c r="H1483" s="19"/>
      <c r="I1483" s="62"/>
      <c r="J1483" s="19"/>
    </row>
    <row r="1484">
      <c r="A1484" s="19" t="str">
        <f>IFERROR(__xludf.DUMMYFUNCTION("""COMPUTED_VALUE"""),"Kyle Reid")</f>
        <v>Kyle Reid</v>
      </c>
      <c r="B1484" s="19" t="str">
        <f>IFERROR(__xludf.DUMMYFUNCTION("""COMPUTED_VALUE"""),"VIC")</f>
        <v>VIC</v>
      </c>
      <c r="C1484" s="5" t="str">
        <f>IFERROR(__xludf.DUMMYFUNCTION("""COMPUTED_VALUE"""),"Mt Eliza")</f>
        <v>Mt Eliza</v>
      </c>
      <c r="D1484" s="5" t="str">
        <f>IFERROR(__xludf.DUMMYFUNCTION("""COMPUTED_VALUE"""),"120 Humphries Road Mount Eliza VIC 3930")</f>
        <v>120 Humphries Road Mount Eliza VIC 3930</v>
      </c>
      <c r="E1484" s="25">
        <f>IFERROR(__xludf.DUMMYFUNCTION("""COMPUTED_VALUE"""),45956.0)</f>
        <v>45956</v>
      </c>
      <c r="F1484" s="5">
        <f>IFERROR(__xludf.DUMMYFUNCTION("""COMPUTED_VALUE"""),8.0)</f>
        <v>8</v>
      </c>
      <c r="G1484" s="19" t="str">
        <f>IFERROR(__xludf.DUMMYFUNCTION("""COMPUTED_VALUE"""),"Instant Forms")</f>
        <v>Instant Forms</v>
      </c>
      <c r="H1484" s="19"/>
      <c r="I1484" s="62"/>
      <c r="J1484" s="19"/>
    </row>
    <row r="1485">
      <c r="A1485" s="19" t="str">
        <f>IFERROR(__xludf.DUMMYFUNCTION("""COMPUTED_VALUE"""),"Kyle Reid")</f>
        <v>Kyle Reid</v>
      </c>
      <c r="B1485" s="19" t="str">
        <f>IFERROR(__xludf.DUMMYFUNCTION("""COMPUTED_VALUE"""),"VIC")</f>
        <v>VIC</v>
      </c>
      <c r="C1485" s="5" t="str">
        <f>IFERROR(__xludf.DUMMYFUNCTION("""COMPUTED_VALUE"""),"Pearcedale")</f>
        <v>Pearcedale</v>
      </c>
      <c r="D1485" s="5" t="str">
        <f>IFERROR(__xludf.DUMMYFUNCTION("""COMPUTED_VALUE"""),"12 Pearcedale Road, Pearcedale, VIC, 3912, Australia")</f>
        <v>12 Pearcedale Road, Pearcedale, VIC, 3912, Australia</v>
      </c>
      <c r="E1485" s="25">
        <f>IFERROR(__xludf.DUMMYFUNCTION("""COMPUTED_VALUE"""),45958.0)</f>
        <v>45958</v>
      </c>
      <c r="F1485" s="5" t="str">
        <f>IFERROR(__xludf.DUMMYFUNCTION("""COMPUTED_VALUE"""),"Featured")</f>
        <v>Featured</v>
      </c>
      <c r="G1485" s="19" t="str">
        <f>IFERROR(__xludf.DUMMYFUNCTION("""COMPUTED_VALUE"""),"Commission Comparison")</f>
        <v>Commission Comparison</v>
      </c>
      <c r="H1485" s="19"/>
      <c r="I1485" s="62"/>
      <c r="J1485" s="19"/>
    </row>
    <row r="1486">
      <c r="A1486" s="19" t="str">
        <f>IFERROR(__xludf.DUMMYFUNCTION("""COMPUTED_VALUE"""),"Kyle Reid")</f>
        <v>Kyle Reid</v>
      </c>
      <c r="B1486" s="19" t="str">
        <f>IFERROR(__xludf.DUMMYFUNCTION("""COMPUTED_VALUE"""),"VIC")</f>
        <v>VIC</v>
      </c>
      <c r="C1486" s="5" t="str">
        <f>IFERROR(__xludf.DUMMYFUNCTION("""COMPUTED_VALUE"""),"Mount Eliza")</f>
        <v>Mount Eliza</v>
      </c>
      <c r="D1486" s="5" t="str">
        <f>IFERROR(__xludf.DUMMYFUNCTION("""COMPUTED_VALUE"""),"45 Claremont Street Mount Eliza VIC 3930")</f>
        <v>45 Claremont Street Mount Eliza VIC 3930</v>
      </c>
      <c r="E1486" s="25">
        <f>IFERROR(__xludf.DUMMYFUNCTION("""COMPUTED_VALUE"""),45958.0)</f>
        <v>45958</v>
      </c>
      <c r="F1486" s="5">
        <f>IFERROR(__xludf.DUMMYFUNCTION("""COMPUTED_VALUE"""),8.0)</f>
        <v>8</v>
      </c>
      <c r="G1486" s="19" t="str">
        <f>IFERROR(__xludf.DUMMYFUNCTION("""COMPUTED_VALUE"""),"Instant Forms")</f>
        <v>Instant Forms</v>
      </c>
      <c r="H1486" s="19"/>
      <c r="I1486" s="62"/>
      <c r="J1486" s="19"/>
    </row>
    <row r="1487">
      <c r="A1487" s="19" t="str">
        <f>IFERROR(__xludf.DUMMYFUNCTION("""COMPUTED_VALUE"""),"Kyle Reid")</f>
        <v>Kyle Reid</v>
      </c>
      <c r="B1487" s="19" t="str">
        <f>IFERROR(__xludf.DUMMYFUNCTION("""COMPUTED_VALUE"""),"VIC")</f>
        <v>VIC</v>
      </c>
      <c r="C1487" s="5" t="str">
        <f>IFERROR(__xludf.DUMMYFUNCTION("""COMPUTED_VALUE"""),"Somerville")</f>
        <v>Somerville</v>
      </c>
      <c r="D1487" s="5" t="str">
        <f>IFERROR(__xludf.DUMMYFUNCTION("""COMPUTED_VALUE"""),"33 Callum Avenue Somerville VIC 3912")</f>
        <v>33 Callum Avenue Somerville VIC 3912</v>
      </c>
      <c r="E1487" s="25">
        <f>IFERROR(__xludf.DUMMYFUNCTION("""COMPUTED_VALUE"""),45970.0)</f>
        <v>45970</v>
      </c>
      <c r="F1487" s="5">
        <f>IFERROR(__xludf.DUMMYFUNCTION("""COMPUTED_VALUE"""),8.0)</f>
        <v>8</v>
      </c>
      <c r="G1487" s="19" t="str">
        <f>IFERROR(__xludf.DUMMYFUNCTION("""COMPUTED_VALUE"""),"Instant Forms")</f>
        <v>Instant Forms</v>
      </c>
      <c r="H1487" s="19" t="str">
        <f>IFERROR(__xludf.DUMMYFUNCTION("""COMPUTED_VALUE"""),"Sian Herbert")</f>
        <v>Sian Herbert</v>
      </c>
      <c r="I1487" s="62">
        <f>IFERROR(__xludf.DUMMYFUNCTION("""COMPUTED_VALUE"""),6.1417134135E10)</f>
        <v>61417134135</v>
      </c>
      <c r="J1487" s="19" t="str">
        <f>IFERROR(__xludf.DUMMYFUNCTION("""COMPUTED_VALUE"""),"dawson.sian@gmail.com")</f>
        <v>dawson.sian@gmail.com</v>
      </c>
    </row>
    <row r="1488">
      <c r="A1488" s="19" t="str">
        <f>IFERROR(__xludf.DUMMYFUNCTION("""COMPUTED_VALUE"""),"Kyle Reid")</f>
        <v>Kyle Reid</v>
      </c>
      <c r="B1488" s="19" t="str">
        <f>IFERROR(__xludf.DUMMYFUNCTION("""COMPUTED_VALUE"""),"VIC")</f>
        <v>VIC</v>
      </c>
      <c r="C1488" s="5" t="str">
        <f>IFERROR(__xludf.DUMMYFUNCTION("""COMPUTED_VALUE"""),"Mount Eliza")</f>
        <v>Mount Eliza</v>
      </c>
      <c r="D1488" s="5" t="str">
        <f>IFERROR(__xludf.DUMMYFUNCTION("""COMPUTED_VALUE"""),"6 Cameron Way Mount Eliza VIC 3930")</f>
        <v>6 Cameron Way Mount Eliza VIC 3930</v>
      </c>
      <c r="E1488" s="25">
        <f>IFERROR(__xludf.DUMMYFUNCTION("""COMPUTED_VALUE"""),45970.0)</f>
        <v>45970</v>
      </c>
      <c r="F1488" s="5">
        <f>IFERROR(__xludf.DUMMYFUNCTION("""COMPUTED_VALUE"""),8.0)</f>
        <v>8</v>
      </c>
      <c r="G1488" s="19" t="str">
        <f>IFERROR(__xludf.DUMMYFUNCTION("""COMPUTED_VALUE"""),"Instant Forms")</f>
        <v>Instant Forms</v>
      </c>
      <c r="H1488" s="19" t="str">
        <f>IFERROR(__xludf.DUMMYFUNCTION("""COMPUTED_VALUE"""),"Linda Kops")</f>
        <v>Linda Kops</v>
      </c>
      <c r="I1488" s="62">
        <f>IFERROR(__xludf.DUMMYFUNCTION("""COMPUTED_VALUE"""),6.1430013622E10)</f>
        <v>61430013622</v>
      </c>
      <c r="J1488" s="19" t="str">
        <f>IFERROR(__xludf.DUMMYFUNCTION("""COMPUTED_VALUE"""),"Lch.kops@gmail.com")</f>
        <v>Lch.kops@gmail.com</v>
      </c>
    </row>
    <row r="1489">
      <c r="A1489" s="19" t="str">
        <f>IFERROR(__xludf.DUMMYFUNCTION("""COMPUTED_VALUE"""),"Kyle Reid")</f>
        <v>Kyle Reid</v>
      </c>
      <c r="B1489" s="19" t="str">
        <f>IFERROR(__xludf.DUMMYFUNCTION("""COMPUTED_VALUE"""),"VIC")</f>
        <v>VIC</v>
      </c>
      <c r="C1489" s="5" t="str">
        <f>IFERROR(__xludf.DUMMYFUNCTION("""COMPUTED_VALUE"""),"McCrae")</f>
        <v>McCrae</v>
      </c>
      <c r="D1489" s="5" t="str">
        <f>IFERROR(__xludf.DUMMYFUNCTION("""COMPUTED_VALUE"""),"23 Riley Street McCrae VIC 3938")</f>
        <v>23 Riley Street McCrae VIC 3938</v>
      </c>
      <c r="E1489" s="25">
        <f>IFERROR(__xludf.DUMMYFUNCTION("""COMPUTED_VALUE"""),45974.0)</f>
        <v>45974</v>
      </c>
      <c r="F1489" s="5">
        <f>IFERROR(__xludf.DUMMYFUNCTION("""COMPUTED_VALUE"""),6.0)</f>
        <v>6</v>
      </c>
      <c r="G1489" s="19" t="str">
        <f>IFERROR(__xludf.DUMMYFUNCTION("""COMPUTED_VALUE"""),"Instant Forms")</f>
        <v>Instant Forms</v>
      </c>
      <c r="H1489" s="19" t="str">
        <f>IFERROR(__xludf.DUMMYFUNCTION("""COMPUTED_VALUE"""),"Chris")</f>
        <v>Chris</v>
      </c>
      <c r="I1489" s="62">
        <f>IFERROR(__xludf.DUMMYFUNCTION("""COMPUTED_VALUE"""),6.1412864832E10)</f>
        <v>61412864832</v>
      </c>
      <c r="J1489" s="19" t="str">
        <f>IFERROR(__xludf.DUMMYFUNCTION("""COMPUTED_VALUE"""),"cwgreaves@outlook.com")</f>
        <v>cwgreaves@outlook.com</v>
      </c>
    </row>
    <row r="1490">
      <c r="A1490" s="19" t="str">
        <f>IFERROR(__xludf.DUMMYFUNCTION("""COMPUTED_VALUE"""),"Kyle Reid")</f>
        <v>Kyle Reid</v>
      </c>
      <c r="B1490" s="19" t="str">
        <f>IFERROR(__xludf.DUMMYFUNCTION("""COMPUTED_VALUE"""),"VIC")</f>
        <v>VIC</v>
      </c>
      <c r="C1490" s="5">
        <f>IFERROR(__xludf.DUMMYFUNCTION("""COMPUTED_VALUE"""),3939.0)</f>
        <v>3939</v>
      </c>
      <c r="D1490" s="5"/>
      <c r="E1490" s="25">
        <f>IFERROR(__xludf.DUMMYFUNCTION("""COMPUTED_VALUE"""),45977.0)</f>
        <v>45977</v>
      </c>
      <c r="F1490" s="5">
        <f>IFERROR(__xludf.DUMMYFUNCTION("""COMPUTED_VALUE"""),5.0)</f>
        <v>5</v>
      </c>
      <c r="G1490" s="19" t="str">
        <f>IFERROR(__xludf.DUMMYFUNCTION("""COMPUTED_VALUE"""),"Instant Forms")</f>
        <v>Instant Forms</v>
      </c>
      <c r="H1490" s="19" t="str">
        <f>IFERROR(__xludf.DUMMYFUNCTION("""COMPUTED_VALUE"""),"Rohan Walker")</f>
        <v>Rohan Walker</v>
      </c>
      <c r="I1490" s="62">
        <f>IFERROR(__xludf.DUMMYFUNCTION("""COMPUTED_VALUE"""),6.1408558229E10)</f>
        <v>61408558229</v>
      </c>
      <c r="J1490" s="19" t="str">
        <f>IFERROR(__xludf.DUMMYFUNCTION("""COMPUTED_VALUE"""),"rohwalk@bigpond.com")</f>
        <v>rohwalk@bigpond.com</v>
      </c>
    </row>
    <row r="1491">
      <c r="A1491" s="19" t="str">
        <f>IFERROR(__xludf.DUMMYFUNCTION("""COMPUTED_VALUE"""),"Kyle Reid")</f>
        <v>Kyle Reid</v>
      </c>
      <c r="B1491" s="19" t="str">
        <f>IFERROR(__xludf.DUMMYFUNCTION("""COMPUTED_VALUE"""),"VIC")</f>
        <v>VIC</v>
      </c>
      <c r="C1491" s="5" t="str">
        <f>IFERROR(__xludf.DUMMYFUNCTION("""COMPUTED_VALUE"""),"Bittern")</f>
        <v>Bittern</v>
      </c>
      <c r="D1491" s="5" t="str">
        <f>IFERROR(__xludf.DUMMYFUNCTION("""COMPUTED_VALUE"""),"40 Flinders Street Bittern VIC 3918")</f>
        <v>40 Flinders Street Bittern VIC 3918</v>
      </c>
      <c r="E1491" s="25">
        <f>IFERROR(__xludf.DUMMYFUNCTION("""COMPUTED_VALUE"""),45977.0)</f>
        <v>45977</v>
      </c>
      <c r="F1491" s="5">
        <f>IFERROR(__xludf.DUMMYFUNCTION("""COMPUTED_VALUE"""),8.0)</f>
        <v>8</v>
      </c>
      <c r="G1491" s="19" t="str">
        <f>IFERROR(__xludf.DUMMYFUNCTION("""COMPUTED_VALUE"""),"Instant Forms")</f>
        <v>Instant Forms</v>
      </c>
      <c r="H1491" s="19" t="str">
        <f>IFERROR(__xludf.DUMMYFUNCTION("""COMPUTED_VALUE"""),"Carolyn Hand")</f>
        <v>Carolyn Hand</v>
      </c>
      <c r="I1491" s="62">
        <f>IFERROR(__xludf.DUMMYFUNCTION("""COMPUTED_VALUE"""),6.1418201694E10)</f>
        <v>61418201694</v>
      </c>
      <c r="J1491" s="19" t="str">
        <f>IFERROR(__xludf.DUMMYFUNCTION("""COMPUTED_VALUE"""),"mamacazza@yahoo.com.au")</f>
        <v>mamacazza@yahoo.com.au</v>
      </c>
    </row>
    <row r="1492">
      <c r="A1492" s="19" t="str">
        <f>IFERROR(__xludf.DUMMYFUNCTION("""COMPUTED_VALUE"""),"Kyle Reid")</f>
        <v>Kyle Reid</v>
      </c>
      <c r="B1492" s="19" t="str">
        <f>IFERROR(__xludf.DUMMYFUNCTION("""COMPUTED_VALUE"""),"VIC")</f>
        <v>VIC</v>
      </c>
      <c r="C1492" s="5" t="str">
        <f>IFERROR(__xludf.DUMMYFUNCTION("""COMPUTED_VALUE"""),"Mt Eliza")</f>
        <v>Mt Eliza</v>
      </c>
      <c r="D1492" s="5"/>
      <c r="E1492" s="27">
        <f>IFERROR(__xludf.DUMMYFUNCTION("""COMPUTED_VALUE"""),45789.0)</f>
        <v>45789</v>
      </c>
      <c r="F1492" s="64">
        <f>IFERROR(__xludf.DUMMYFUNCTION("""COMPUTED_VALUE"""),0.0)</f>
        <v>0</v>
      </c>
      <c r="G1492" s="19" t="str">
        <f>IFERROR(__xludf.DUMMYFUNCTION("""COMPUTED_VALUE"""),"Instant Forms")</f>
        <v>Instant Forms</v>
      </c>
      <c r="H1492" s="19" t="str">
        <f>IFERROR(__xludf.DUMMYFUNCTION("""COMPUTED_VALUE"""),"Anneka Broekman")</f>
        <v>Anneka Broekman</v>
      </c>
      <c r="I1492" s="62">
        <f>IFERROR(__xludf.DUMMYFUNCTION("""COMPUTED_VALUE"""),6.1419868438E10)</f>
        <v>61419868438</v>
      </c>
      <c r="J1492" s="19" t="str">
        <f>IFERROR(__xludf.DUMMYFUNCTION("""COMPUTED_VALUE"""),"broekmananneka@gmail.com")</f>
        <v>broekmananneka@gmail.com</v>
      </c>
    </row>
    <row r="1493">
      <c r="A1493" s="19" t="str">
        <f>IFERROR(__xludf.DUMMYFUNCTION("""COMPUTED_VALUE"""),"")</f>
        <v/>
      </c>
      <c r="B1493" s="19" t="str">
        <f>IFERROR(__xludf.DUMMYFUNCTION("""COMPUTED_VALUE"""),"")</f>
        <v/>
      </c>
      <c r="C1493" s="5" t="str">
        <f>IFERROR(__xludf.DUMMYFUNCTION("""COMPUTED_VALUE"""),"")</f>
        <v/>
      </c>
      <c r="D1493" s="5" t="str">
        <f>IFERROR(__xludf.DUMMYFUNCTION("""COMPUTED_VALUE"""),"")</f>
        <v/>
      </c>
      <c r="E1493" s="5" t="str">
        <f>IFERROR(__xludf.DUMMYFUNCTION("""COMPUTED_VALUE"""),"")</f>
        <v/>
      </c>
      <c r="F1493" s="5" t="str">
        <f>IFERROR(__xludf.DUMMYFUNCTION("""COMPUTED_VALUE"""),"")</f>
        <v/>
      </c>
      <c r="G1493" s="19" t="str">
        <f>IFERROR(__xludf.DUMMYFUNCTION("""COMPUTED_VALUE"""),"")</f>
        <v/>
      </c>
      <c r="H1493" s="19" t="str">
        <f>IFERROR(__xludf.DUMMYFUNCTION("""COMPUTED_VALUE"""),"")</f>
        <v/>
      </c>
      <c r="I1493" s="62" t="str">
        <f>IFERROR(__xludf.DUMMYFUNCTION("""COMPUTED_VALUE"""),"")</f>
        <v/>
      </c>
      <c r="J1493" s="19" t="str">
        <f>IFERROR(__xludf.DUMMYFUNCTION("""COMPUTED_VALUE"""),"")</f>
        <v/>
      </c>
    </row>
    <row r="1494">
      <c r="A1494" s="19" t="str">
        <f>IFERROR(__xludf.DUMMYFUNCTION("""COMPUTED_VALUE"""),"")</f>
        <v/>
      </c>
      <c r="B1494" s="19" t="str">
        <f>IFERROR(__xludf.DUMMYFUNCTION("""COMPUTED_VALUE"""),"")</f>
        <v/>
      </c>
      <c r="C1494" s="5" t="str">
        <f>IFERROR(__xludf.DUMMYFUNCTION("""COMPUTED_VALUE"""),"")</f>
        <v/>
      </c>
      <c r="D1494" s="5" t="str">
        <f>IFERROR(__xludf.DUMMYFUNCTION("""COMPUTED_VALUE"""),"")</f>
        <v/>
      </c>
      <c r="E1494" s="5" t="str">
        <f>IFERROR(__xludf.DUMMYFUNCTION("""COMPUTED_VALUE"""),"")</f>
        <v/>
      </c>
      <c r="F1494" s="5" t="str">
        <f>IFERROR(__xludf.DUMMYFUNCTION("""COMPUTED_VALUE"""),"")</f>
        <v/>
      </c>
      <c r="G1494" s="19" t="str">
        <f>IFERROR(__xludf.DUMMYFUNCTION("""COMPUTED_VALUE"""),"")</f>
        <v/>
      </c>
      <c r="H1494" s="19" t="str">
        <f>IFERROR(__xludf.DUMMYFUNCTION("""COMPUTED_VALUE"""),"")</f>
        <v/>
      </c>
      <c r="I1494" s="62" t="str">
        <f>IFERROR(__xludf.DUMMYFUNCTION("""COMPUTED_VALUE"""),"")</f>
        <v/>
      </c>
      <c r="J1494" s="19" t="str">
        <f>IFERROR(__xludf.DUMMYFUNCTION("""COMPUTED_VALUE"""),"")</f>
        <v/>
      </c>
    </row>
    <row r="1495">
      <c r="A1495" s="19" t="str">
        <f>IFERROR(__xludf.DUMMYFUNCTION("""COMPUTED_VALUE"""),"Kyra Curtis")</f>
        <v>Kyra Curtis</v>
      </c>
      <c r="B1495" s="19" t="str">
        <f>IFERROR(__xludf.DUMMYFUNCTION("""COMPUTED_VALUE"""),"NSW")</f>
        <v>NSW</v>
      </c>
      <c r="C1495" s="5" t="str">
        <f>IFERROR(__xludf.DUMMYFUNCTION("""COMPUTED_VALUE"""),"Medowie")</f>
        <v>Medowie</v>
      </c>
      <c r="D1495" s="5" t="str">
        <f>IFERROR(__xludf.DUMMYFUNCTION("""COMPUTED_VALUE"""),"26 Gum Tree Way, Medowie, NSW, 2318, Australia")</f>
        <v>26 Gum Tree Way, Medowie, NSW, 2318, Australia</v>
      </c>
      <c r="E1495" s="5" t="str">
        <f>IFERROR(__xludf.DUMMYFUNCTION("""COMPUTED_VALUE"""),"19/05/2025")</f>
        <v>19/05/2025</v>
      </c>
      <c r="F1495" s="5" t="str">
        <f>IFERROR(__xludf.DUMMYFUNCTION("""COMPUTED_VALUE"""),"Featured Plus")</f>
        <v>Featured Plus</v>
      </c>
      <c r="G1495" s="19"/>
      <c r="H1495" s="19"/>
      <c r="I1495" s="62"/>
      <c r="J1495" s="19"/>
    </row>
    <row r="1496">
      <c r="A1496" s="19" t="str">
        <f>IFERROR(__xludf.DUMMYFUNCTION("""COMPUTED_VALUE"""),"Kyra Curtis")</f>
        <v>Kyra Curtis</v>
      </c>
      <c r="B1496" s="19" t="str">
        <f>IFERROR(__xludf.DUMMYFUNCTION("""COMPUTED_VALUE"""),"NSW")</f>
        <v>NSW</v>
      </c>
      <c r="C1496" s="5" t="str">
        <f>IFERROR(__xludf.DUMMYFUNCTION("""COMPUTED_VALUE"""),"Medowie")</f>
        <v>Medowie</v>
      </c>
      <c r="D1496" s="5" t="str">
        <f>IFERROR(__xludf.DUMMYFUNCTION("""COMPUTED_VALUE"""),"10 Bower Road, Medowie, NSW, 2318, Australia")</f>
        <v>10 Bower Road, Medowie, NSW, 2318, Australia</v>
      </c>
      <c r="E1496" s="5" t="str">
        <f>IFERROR(__xludf.DUMMYFUNCTION("""COMPUTED_VALUE"""),"21/06/2025")</f>
        <v>21/06/2025</v>
      </c>
      <c r="F1496" s="5" t="str">
        <f>IFERROR(__xludf.DUMMYFUNCTION("""COMPUTED_VALUE"""),"Featured Plus")</f>
        <v>Featured Plus</v>
      </c>
      <c r="G1496" s="19"/>
      <c r="H1496" s="19"/>
      <c r="I1496" s="62"/>
      <c r="J1496" s="19"/>
    </row>
    <row r="1497">
      <c r="A1497" s="19" t="str">
        <f>IFERROR(__xludf.DUMMYFUNCTION("""COMPUTED_VALUE"""),"Kyra Curtis")</f>
        <v>Kyra Curtis</v>
      </c>
      <c r="B1497" s="19" t="str">
        <f>IFERROR(__xludf.DUMMYFUNCTION("""COMPUTED_VALUE"""),"NSW")</f>
        <v>NSW</v>
      </c>
      <c r="C1497" s="5" t="str">
        <f>IFERROR(__xludf.DUMMYFUNCTION("""COMPUTED_VALUE"""),"Bobs Farm")</f>
        <v>Bobs Farm</v>
      </c>
      <c r="D1497" s="5" t="str">
        <f>IFERROR(__xludf.DUMMYFUNCTION("""COMPUTED_VALUE"""),"644 Marsh Road")</f>
        <v>644 Marsh Road</v>
      </c>
      <c r="E1497" s="63"/>
      <c r="F1497" s="5" t="str">
        <f>IFERROR(__xludf.DUMMYFUNCTION("""COMPUTED_VALUE"""),"Plus")</f>
        <v>Plus</v>
      </c>
      <c r="G1497" s="19" t="str">
        <f>IFERROR(__xludf.DUMMYFUNCTION("""COMPUTED_VALUE"""),"Commission Comparison")</f>
        <v>Commission Comparison</v>
      </c>
      <c r="H1497" s="19"/>
      <c r="I1497" s="62"/>
      <c r="J1497" s="19"/>
    </row>
    <row r="1498">
      <c r="A1498" s="19" t="str">
        <f>IFERROR(__xludf.DUMMYFUNCTION("""COMPUTED_VALUE"""),"Kyra Curtis")</f>
        <v>Kyra Curtis</v>
      </c>
      <c r="B1498" s="19" t="str">
        <f>IFERROR(__xludf.DUMMYFUNCTION("""COMPUTED_VALUE"""),"NSW")</f>
        <v>NSW</v>
      </c>
      <c r="C1498" s="5" t="str">
        <f>IFERROR(__xludf.DUMMYFUNCTION("""COMPUTED_VALUE"""),"Salt Ash")</f>
        <v>Salt Ash</v>
      </c>
      <c r="D1498" s="5" t="str">
        <f>IFERROR(__xludf.DUMMYFUNCTION("""COMPUTED_VALUE"""),"16 Rookes Road Salt Ash NSW 2318")</f>
        <v>16 Rookes Road Salt Ash NSW 2318</v>
      </c>
      <c r="E1498" s="25">
        <f>IFERROR(__xludf.DUMMYFUNCTION("""COMPUTED_VALUE"""),45893.0)</f>
        <v>45893</v>
      </c>
      <c r="F1498" s="5" t="str">
        <f>IFERROR(__xludf.DUMMYFUNCTION("""COMPUTED_VALUE"""),"Featured")</f>
        <v>Featured</v>
      </c>
      <c r="G1498" s="19" t="str">
        <f>IFERROR(__xludf.DUMMYFUNCTION("""COMPUTED_VALUE"""),"Instant Forms")</f>
        <v>Instant Forms</v>
      </c>
      <c r="H1498" s="19"/>
      <c r="I1498" s="62"/>
      <c r="J1498" s="19"/>
    </row>
    <row r="1499">
      <c r="A1499" s="19" t="str">
        <f>IFERROR(__xludf.DUMMYFUNCTION("""COMPUTED_VALUE"""),"Kyra Curtis")</f>
        <v>Kyra Curtis</v>
      </c>
      <c r="B1499" s="19" t="str">
        <f>IFERROR(__xludf.DUMMYFUNCTION("""COMPUTED_VALUE"""),"NSW")</f>
        <v>NSW</v>
      </c>
      <c r="C1499" s="5" t="str">
        <f>IFERROR(__xludf.DUMMYFUNCTION("""COMPUTED_VALUE"""),"Salamander bay")</f>
        <v>Salamander bay</v>
      </c>
      <c r="D1499" s="5" t="str">
        <f>IFERROR(__xludf.DUMMYFUNCTION("""COMPUTED_VALUE"""),"6A Anderson Place Salamander Bay NSW 2317")</f>
        <v>6A Anderson Place Salamander Bay NSW 2317</v>
      </c>
      <c r="E1499" s="25">
        <f>IFERROR(__xludf.DUMMYFUNCTION("""COMPUTED_VALUE"""),45918.0)</f>
        <v>45918</v>
      </c>
      <c r="F1499" s="5">
        <f>IFERROR(__xludf.DUMMYFUNCTION("""COMPUTED_VALUE"""),8.0)</f>
        <v>8</v>
      </c>
      <c r="G1499" s="19" t="str">
        <f>IFERROR(__xludf.DUMMYFUNCTION("""COMPUTED_VALUE"""),"Instant Forms")</f>
        <v>Instant Forms</v>
      </c>
      <c r="H1499" s="19" t="str">
        <f>IFERROR(__xludf.DUMMYFUNCTION("""COMPUTED_VALUE"""),"Meredith Posa")</f>
        <v>Meredith Posa</v>
      </c>
      <c r="I1499" s="62"/>
      <c r="J1499" s="19"/>
    </row>
    <row r="1500">
      <c r="A1500" s="19" t="str">
        <f>IFERROR(__xludf.DUMMYFUNCTION("""COMPUTED_VALUE"""),"Kyra Curtis")</f>
        <v>Kyra Curtis</v>
      </c>
      <c r="B1500" s="19" t="str">
        <f>IFERROR(__xludf.DUMMYFUNCTION("""COMPUTED_VALUE"""),"NSW")</f>
        <v>NSW</v>
      </c>
      <c r="C1500" s="5" t="str">
        <f>IFERROR(__xludf.DUMMYFUNCTION("""COMPUTED_VALUE"""),"Kate O'Brien")</f>
        <v>Kate O'Brien</v>
      </c>
      <c r="D1500" s="5" t="str">
        <f>IFERROR(__xludf.DUMMYFUNCTION("""COMPUTED_VALUE"""),"Lemon Tree Passage")</f>
        <v>Lemon Tree Passage</v>
      </c>
      <c r="E1500" s="25">
        <f>IFERROR(__xludf.DUMMYFUNCTION("""COMPUTED_VALUE"""),45939.0)</f>
        <v>45939</v>
      </c>
      <c r="F1500" s="5" t="str">
        <f>IFERROR(__xludf.DUMMYFUNCTION("""COMPUTED_VALUE"""),"Featured Plus")</f>
        <v>Featured Plus</v>
      </c>
      <c r="G1500" s="19" t="str">
        <f>IFERROR(__xludf.DUMMYFUNCTION("""COMPUTED_VALUE"""),"Instant Forms")</f>
        <v>Instant Forms</v>
      </c>
      <c r="H1500" s="19"/>
      <c r="I1500" s="62"/>
      <c r="J1500" s="19"/>
    </row>
    <row r="1501">
      <c r="A1501" s="19" t="str">
        <f>IFERROR(__xludf.DUMMYFUNCTION("""COMPUTED_VALUE"""),"Kyra Curtis")</f>
        <v>Kyra Curtis</v>
      </c>
      <c r="B1501" s="19" t="str">
        <f>IFERROR(__xludf.DUMMYFUNCTION("""COMPUTED_VALUE"""),"NSW")</f>
        <v>NSW</v>
      </c>
      <c r="C1501" s="5" t="str">
        <f>IFERROR(__xludf.DUMMYFUNCTION("""COMPUTED_VALUE"""),"Salamander Bay")</f>
        <v>Salamander Bay</v>
      </c>
      <c r="D1501" s="5" t="str">
        <f>IFERROR(__xludf.DUMMYFUNCTION("""COMPUTED_VALUE"""),"Salamander Bay Nsw 2317, Australia 20 Sanderling Cl")</f>
        <v>Salamander Bay Nsw 2317, Australia 20 Sanderling Cl</v>
      </c>
      <c r="E1501" s="25">
        <f>IFERROR(__xludf.DUMMYFUNCTION("""COMPUTED_VALUE"""),45955.0)</f>
        <v>45955</v>
      </c>
      <c r="F1501" s="5" t="str">
        <f>IFERROR(__xludf.DUMMYFUNCTION("""COMPUTED_VALUE"""),"Plus")</f>
        <v>Plus</v>
      </c>
      <c r="G1501" s="19" t="str">
        <f>IFERROR(__xludf.DUMMYFUNCTION("""COMPUTED_VALUE"""),"Commission Comparison")</f>
        <v>Commission Comparison</v>
      </c>
      <c r="H1501" s="19"/>
      <c r="I1501" s="62"/>
      <c r="J1501" s="19"/>
    </row>
    <row r="1502">
      <c r="A1502" s="19" t="str">
        <f>IFERROR(__xludf.DUMMYFUNCTION("""COMPUTED_VALUE"""),"Kyra Curtis")</f>
        <v>Kyra Curtis</v>
      </c>
      <c r="B1502" s="19" t="str">
        <f>IFERROR(__xludf.DUMMYFUNCTION("""COMPUTED_VALUE"""),"NSW")</f>
        <v>NSW</v>
      </c>
      <c r="C1502" s="5" t="str">
        <f>IFERROR(__xludf.DUMMYFUNCTION("""COMPUTED_VALUE"""),"Medowie")</f>
        <v>Medowie</v>
      </c>
      <c r="D1502" s="5" t="str">
        <f>IFERROR(__xludf.DUMMYFUNCTION("""COMPUTED_VALUE"""),"14 sir henry parkes ave medowie, Medowie, 2318")</f>
        <v>14 sir henry parkes ave medowie, Medowie, 2318</v>
      </c>
      <c r="E1502" s="25" t="str">
        <f>IFERROR(__xludf.DUMMYFUNCTION("""COMPUTED_VALUE"""),"27/10/2025")</f>
        <v>27/10/2025</v>
      </c>
      <c r="F1502" s="5" t="str">
        <f>IFERROR(__xludf.DUMMYFUNCTION("""COMPUTED_VALUE"""),"Featured Plus")</f>
        <v>Featured Plus</v>
      </c>
      <c r="G1502" s="19" t="str">
        <f>IFERROR(__xludf.DUMMYFUNCTION("""COMPUTED_VALUE"""),"Meta Commission Report")</f>
        <v>Meta Commission Report</v>
      </c>
      <c r="H1502" s="19" t="str">
        <f>IFERROR(__xludf.DUMMYFUNCTION("""COMPUTED_VALUE"""),"Joanne Banner")</f>
        <v>Joanne Banner</v>
      </c>
      <c r="I1502" s="62"/>
      <c r="J1502" s="19"/>
    </row>
    <row r="1503">
      <c r="A1503" s="19" t="str">
        <f>IFERROR(__xludf.DUMMYFUNCTION("""COMPUTED_VALUE"""),"Kyra Curtis")</f>
        <v>Kyra Curtis</v>
      </c>
      <c r="B1503" s="19" t="str">
        <f>IFERROR(__xludf.DUMMYFUNCTION("""COMPUTED_VALUE"""),"NSW")</f>
        <v>NSW</v>
      </c>
      <c r="C1503" s="5" t="str">
        <f>IFERROR(__xludf.DUMMYFUNCTION("""COMPUTED_VALUE"""),"Medowie")</f>
        <v>Medowie</v>
      </c>
      <c r="D1503" s="5" t="str">
        <f>IFERROR(__xludf.DUMMYFUNCTION("""COMPUTED_VALUE"""),"MEDOWIE, 2318")</f>
        <v>MEDOWIE, 2318</v>
      </c>
      <c r="E1503" s="27">
        <f>IFERROR(__xludf.DUMMYFUNCTION("""COMPUTED_VALUE"""),45700.0)</f>
        <v>45700</v>
      </c>
      <c r="F1503" s="64">
        <f>IFERROR(__xludf.DUMMYFUNCTION("""COMPUTED_VALUE"""),0.0)</f>
        <v>0</v>
      </c>
      <c r="G1503" s="19" t="str">
        <f>IFERROR(__xludf.DUMMYFUNCTION("""COMPUTED_VALUE"""),"Meta Commission Report")</f>
        <v>Meta Commission Report</v>
      </c>
      <c r="H1503" s="19" t="str">
        <f>IFERROR(__xludf.DUMMYFUNCTION("""COMPUTED_VALUE"""),"Jon Jones")</f>
        <v>Jon Jones</v>
      </c>
      <c r="I1503" s="62">
        <f>IFERROR(__xludf.DUMMYFUNCTION("""COMPUTED_VALUE"""),6.1427704032E10)</f>
        <v>61427704032</v>
      </c>
      <c r="J1503" s="19" t="str">
        <f>IFERROR(__xludf.DUMMYFUNCTION("""COMPUTED_VALUE"""),"jj_jonjones@bigpond.com")</f>
        <v>jj_jonjones@bigpond.com</v>
      </c>
    </row>
    <row r="1504">
      <c r="A1504" s="19" t="str">
        <f>IFERROR(__xludf.DUMMYFUNCTION("""COMPUTED_VALUE"""),"")</f>
        <v/>
      </c>
      <c r="B1504" s="19" t="str">
        <f>IFERROR(__xludf.DUMMYFUNCTION("""COMPUTED_VALUE"""),"")</f>
        <v/>
      </c>
      <c r="C1504" s="5" t="str">
        <f>IFERROR(__xludf.DUMMYFUNCTION("""COMPUTED_VALUE"""),"")</f>
        <v/>
      </c>
      <c r="D1504" s="5" t="str">
        <f>IFERROR(__xludf.DUMMYFUNCTION("""COMPUTED_VALUE"""),"")</f>
        <v/>
      </c>
      <c r="E1504" s="5" t="str">
        <f>IFERROR(__xludf.DUMMYFUNCTION("""COMPUTED_VALUE"""),"")</f>
        <v/>
      </c>
      <c r="F1504" s="5" t="str">
        <f>IFERROR(__xludf.DUMMYFUNCTION("""COMPUTED_VALUE"""),"")</f>
        <v/>
      </c>
      <c r="G1504" s="19" t="str">
        <f>IFERROR(__xludf.DUMMYFUNCTION("""COMPUTED_VALUE"""),"")</f>
        <v/>
      </c>
      <c r="H1504" s="19" t="str">
        <f>IFERROR(__xludf.DUMMYFUNCTION("""COMPUTED_VALUE"""),"")</f>
        <v/>
      </c>
      <c r="I1504" s="62" t="str">
        <f>IFERROR(__xludf.DUMMYFUNCTION("""COMPUTED_VALUE"""),"")</f>
        <v/>
      </c>
      <c r="J1504" s="19" t="str">
        <f>IFERROR(__xludf.DUMMYFUNCTION("""COMPUTED_VALUE"""),"")</f>
        <v/>
      </c>
    </row>
    <row r="1505">
      <c r="A1505" s="19" t="str">
        <f>IFERROR(__xludf.DUMMYFUNCTION("""COMPUTED_VALUE"""),"")</f>
        <v/>
      </c>
      <c r="B1505" s="19" t="str">
        <f>IFERROR(__xludf.DUMMYFUNCTION("""COMPUTED_VALUE"""),"")</f>
        <v/>
      </c>
      <c r="C1505" s="5" t="str">
        <f>IFERROR(__xludf.DUMMYFUNCTION("""COMPUTED_VALUE"""),"")</f>
        <v/>
      </c>
      <c r="D1505" s="5" t="str">
        <f>IFERROR(__xludf.DUMMYFUNCTION("""COMPUTED_VALUE"""),"")</f>
        <v/>
      </c>
      <c r="E1505" s="5" t="str">
        <f>IFERROR(__xludf.DUMMYFUNCTION("""COMPUTED_VALUE"""),"")</f>
        <v/>
      </c>
      <c r="F1505" s="5" t="str">
        <f>IFERROR(__xludf.DUMMYFUNCTION("""COMPUTED_VALUE"""),"")</f>
        <v/>
      </c>
      <c r="G1505" s="19" t="str">
        <f>IFERROR(__xludf.DUMMYFUNCTION("""COMPUTED_VALUE"""),"")</f>
        <v/>
      </c>
      <c r="H1505" s="19" t="str">
        <f>IFERROR(__xludf.DUMMYFUNCTION("""COMPUTED_VALUE"""),"")</f>
        <v/>
      </c>
      <c r="I1505" s="62" t="str">
        <f>IFERROR(__xludf.DUMMYFUNCTION("""COMPUTED_VALUE"""),"")</f>
        <v/>
      </c>
      <c r="J1505" s="19" t="str">
        <f>IFERROR(__xludf.DUMMYFUNCTION("""COMPUTED_VALUE"""),"")</f>
        <v/>
      </c>
    </row>
    <row r="1506">
      <c r="A1506" s="19" t="str">
        <f>IFERROR(__xludf.DUMMYFUNCTION("""COMPUTED_VALUE"""),"Liam Jackson")</f>
        <v>Liam Jackson</v>
      </c>
      <c r="B1506" s="19" t="str">
        <f>IFERROR(__xludf.DUMMYFUNCTION("""COMPUTED_VALUE"""),"VIC")</f>
        <v>VIC</v>
      </c>
      <c r="C1506" s="5" t="str">
        <f>IFERROR(__xludf.DUMMYFUNCTION("""COMPUTED_VALUE"""),"Lilydale")</f>
        <v>Lilydale</v>
      </c>
      <c r="D1506" s="5" t="str">
        <f>IFERROR(__xludf.DUMMYFUNCTION("""COMPUTED_VALUE"""),"96 Bastow Road Lilydale VIC 3140")</f>
        <v>96 Bastow Road Lilydale VIC 3140</v>
      </c>
      <c r="E1506" s="25">
        <f>IFERROR(__xludf.DUMMYFUNCTION("""COMPUTED_VALUE"""),45925.0)</f>
        <v>45925</v>
      </c>
      <c r="F1506" s="5">
        <f>IFERROR(__xludf.DUMMYFUNCTION("""COMPUTED_VALUE"""),10.0)</f>
        <v>10</v>
      </c>
      <c r="G1506" s="19" t="str">
        <f>IFERROR(__xludf.DUMMYFUNCTION("""COMPUTED_VALUE"""),"Instant Forms")</f>
        <v>Instant Forms</v>
      </c>
      <c r="H1506" s="19" t="str">
        <f>IFERROR(__xludf.DUMMYFUNCTION("""COMPUTED_VALUE"""),"Christine Snow")</f>
        <v>Christine Snow</v>
      </c>
      <c r="I1506" s="62"/>
      <c r="J1506" s="19"/>
    </row>
    <row r="1507">
      <c r="A1507" s="19" t="str">
        <f>IFERROR(__xludf.DUMMYFUNCTION("""COMPUTED_VALUE"""),"Liam Jackson")</f>
        <v>Liam Jackson</v>
      </c>
      <c r="B1507" s="19" t="str">
        <f>IFERROR(__xludf.DUMMYFUNCTION("""COMPUTED_VALUE"""),"VIC")</f>
        <v>VIC</v>
      </c>
      <c r="C1507" s="5" t="str">
        <f>IFERROR(__xludf.DUMMYFUNCTION("""COMPUTED_VALUE"""),"Croydon")</f>
        <v>Croydon</v>
      </c>
      <c r="D1507" s="5" t="str">
        <f>IFERROR(__xludf.DUMMYFUNCTION("""COMPUTED_VALUE"""),"4 Plumer Street Croydon VIC 3136")</f>
        <v>4 Plumer Street Croydon VIC 3136</v>
      </c>
      <c r="E1507" s="25">
        <f>IFERROR(__xludf.DUMMYFUNCTION("""COMPUTED_VALUE"""),45925.0)</f>
        <v>45925</v>
      </c>
      <c r="F1507" s="5">
        <f>IFERROR(__xludf.DUMMYFUNCTION("""COMPUTED_VALUE"""),6.0)</f>
        <v>6</v>
      </c>
      <c r="G1507" s="19" t="str">
        <f>IFERROR(__xludf.DUMMYFUNCTION("""COMPUTED_VALUE"""),"Instant Forms")</f>
        <v>Instant Forms</v>
      </c>
      <c r="H1507" s="19" t="str">
        <f>IFERROR(__xludf.DUMMYFUNCTION("""COMPUTED_VALUE"""),"James Tompkins")</f>
        <v>James Tompkins</v>
      </c>
      <c r="I1507" s="62"/>
      <c r="J1507" s="19"/>
    </row>
    <row r="1508">
      <c r="A1508" s="19" t="str">
        <f>IFERROR(__xludf.DUMMYFUNCTION("""COMPUTED_VALUE"""),"Liam Jackson")</f>
        <v>Liam Jackson</v>
      </c>
      <c r="B1508" s="19" t="str">
        <f>IFERROR(__xludf.DUMMYFUNCTION("""COMPUTED_VALUE"""),"VIC")</f>
        <v>VIC</v>
      </c>
      <c r="C1508" s="5" t="str">
        <f>IFERROR(__xludf.DUMMYFUNCTION("""COMPUTED_VALUE"""),"Montrose")</f>
        <v>Montrose</v>
      </c>
      <c r="D1508" s="5" t="str">
        <f>IFERROR(__xludf.DUMMYFUNCTION("""COMPUTED_VALUE"""),"3 Doreen Court Montrose VIC 3765")</f>
        <v>3 Doreen Court Montrose VIC 3765</v>
      </c>
      <c r="E1508" s="25">
        <f>IFERROR(__xludf.DUMMYFUNCTION("""COMPUTED_VALUE"""),45926.0)</f>
        <v>45926</v>
      </c>
      <c r="F1508" s="5">
        <f>IFERROR(__xludf.DUMMYFUNCTION("""COMPUTED_VALUE"""),6.0)</f>
        <v>6</v>
      </c>
      <c r="G1508" s="19" t="str">
        <f>IFERROR(__xludf.DUMMYFUNCTION("""COMPUTED_VALUE"""),"Instant Forms")</f>
        <v>Instant Forms</v>
      </c>
      <c r="H1508" s="19" t="str">
        <f>IFERROR(__xludf.DUMMYFUNCTION("""COMPUTED_VALUE"""),"Angela May")</f>
        <v>Angela May</v>
      </c>
      <c r="I1508" s="62"/>
      <c r="J1508" s="19"/>
    </row>
    <row r="1509">
      <c r="A1509" s="19" t="str">
        <f>IFERROR(__xludf.DUMMYFUNCTION("""COMPUTED_VALUE"""),"Liam Jackson")</f>
        <v>Liam Jackson</v>
      </c>
      <c r="B1509" s="19" t="str">
        <f>IFERROR(__xludf.DUMMYFUNCTION("""COMPUTED_VALUE"""),"VIC")</f>
        <v>VIC</v>
      </c>
      <c r="C1509" s="5" t="str">
        <f>IFERROR(__xludf.DUMMYFUNCTION("""COMPUTED_VALUE"""),"Mount evelyn")</f>
        <v>Mount evelyn</v>
      </c>
      <c r="D1509" s="5"/>
      <c r="E1509" s="25">
        <f>IFERROR(__xludf.DUMMYFUNCTION("""COMPUTED_VALUE"""),45926.0)</f>
        <v>45926</v>
      </c>
      <c r="F1509" s="5">
        <f>IFERROR(__xludf.DUMMYFUNCTION("""COMPUTED_VALUE"""),5.0)</f>
        <v>5</v>
      </c>
      <c r="G1509" s="19" t="str">
        <f>IFERROR(__xludf.DUMMYFUNCTION("""COMPUTED_VALUE"""),"Instant Forms")</f>
        <v>Instant Forms</v>
      </c>
      <c r="H1509" s="19" t="str">
        <f>IFERROR(__xludf.DUMMYFUNCTION("""COMPUTED_VALUE"""),"Teena Kay-Class")</f>
        <v>Teena Kay-Class</v>
      </c>
      <c r="I1509" s="62"/>
      <c r="J1509" s="19"/>
    </row>
    <row r="1510">
      <c r="A1510" s="19" t="str">
        <f>IFERROR(__xludf.DUMMYFUNCTION("""COMPUTED_VALUE"""),"Liam Jackson")</f>
        <v>Liam Jackson</v>
      </c>
      <c r="B1510" s="19" t="str">
        <f>IFERROR(__xludf.DUMMYFUNCTION("""COMPUTED_VALUE"""),"VIC")</f>
        <v>VIC</v>
      </c>
      <c r="C1510" s="5" t="str">
        <f>IFERROR(__xludf.DUMMYFUNCTION("""COMPUTED_VALUE"""),"Kilsyth")</f>
        <v>Kilsyth</v>
      </c>
      <c r="D1510" s="5" t="str">
        <f>IFERROR(__xludf.DUMMYFUNCTION("""COMPUTED_VALUE"""),"22 Walnut Drive Kilsyth VIC 3137")</f>
        <v>22 Walnut Drive Kilsyth VIC 3137</v>
      </c>
      <c r="E1510" s="25">
        <f>IFERROR(__xludf.DUMMYFUNCTION("""COMPUTED_VALUE"""),45929.0)</f>
        <v>45929</v>
      </c>
      <c r="F1510" s="5">
        <f>IFERROR(__xludf.DUMMYFUNCTION("""COMPUTED_VALUE"""),8.0)</f>
        <v>8</v>
      </c>
      <c r="G1510" s="19" t="str">
        <f>IFERROR(__xludf.DUMMYFUNCTION("""COMPUTED_VALUE"""),"Instant Forms")</f>
        <v>Instant Forms</v>
      </c>
      <c r="H1510" s="19" t="str">
        <f>IFERROR(__xludf.DUMMYFUNCTION("""COMPUTED_VALUE"""),"Karen Cowdery")</f>
        <v>Karen Cowdery</v>
      </c>
      <c r="I1510" s="62"/>
      <c r="J1510" s="19"/>
    </row>
    <row r="1511">
      <c r="A1511" s="19" t="str">
        <f>IFERROR(__xludf.DUMMYFUNCTION("""COMPUTED_VALUE"""),"Liam Jackson")</f>
        <v>Liam Jackson</v>
      </c>
      <c r="B1511" s="19" t="str">
        <f>IFERROR(__xludf.DUMMYFUNCTION("""COMPUTED_VALUE"""),"VIC")</f>
        <v>VIC</v>
      </c>
      <c r="C1511" s="5" t="str">
        <f>IFERROR(__xludf.DUMMYFUNCTION("""COMPUTED_VALUE"""),"Croydon North")</f>
        <v>Croydon North</v>
      </c>
      <c r="D1511" s="5" t="str">
        <f>IFERROR(__xludf.DUMMYFUNCTION("""COMPUTED_VALUE"""),"39-43 Fairview Avenue Croydon North VIC 3136")</f>
        <v>39-43 Fairview Avenue Croydon North VIC 3136</v>
      </c>
      <c r="E1511" s="25">
        <f>IFERROR(__xludf.DUMMYFUNCTION("""COMPUTED_VALUE"""),45934.0)</f>
        <v>45934</v>
      </c>
      <c r="F1511" s="5">
        <f>IFERROR(__xludf.DUMMYFUNCTION("""COMPUTED_VALUE"""),6.0)</f>
        <v>6</v>
      </c>
      <c r="G1511" s="19" t="str">
        <f>IFERROR(__xludf.DUMMYFUNCTION("""COMPUTED_VALUE"""),"Instant Forms")</f>
        <v>Instant Forms</v>
      </c>
      <c r="H1511" s="19" t="str">
        <f>IFERROR(__xludf.DUMMYFUNCTION("""COMPUTED_VALUE"""),"Kerry Farrington")</f>
        <v>Kerry Farrington</v>
      </c>
      <c r="I1511" s="62"/>
      <c r="J1511" s="19"/>
    </row>
    <row r="1512">
      <c r="A1512" s="19" t="str">
        <f>IFERROR(__xludf.DUMMYFUNCTION("""COMPUTED_VALUE"""),"Liam Jackson")</f>
        <v>Liam Jackson</v>
      </c>
      <c r="B1512" s="19" t="str">
        <f>IFERROR(__xludf.DUMMYFUNCTION("""COMPUTED_VALUE"""),"VIC")</f>
        <v>VIC</v>
      </c>
      <c r="C1512" s="5" t="str">
        <f>IFERROR(__xludf.DUMMYFUNCTION("""COMPUTED_VALUE"""),"Ringwood")</f>
        <v>Ringwood</v>
      </c>
      <c r="D1512" s="5" t="str">
        <f>IFERROR(__xludf.DUMMYFUNCTION("""COMPUTED_VALUE"""),"7/70-72 Ringwood Street Ringwood VIC 3134")</f>
        <v>7/70-72 Ringwood Street Ringwood VIC 3134</v>
      </c>
      <c r="E1512" s="25">
        <f>IFERROR(__xludf.DUMMYFUNCTION("""COMPUTED_VALUE"""),45945.0)</f>
        <v>45945</v>
      </c>
      <c r="F1512" s="5">
        <f>IFERROR(__xludf.DUMMYFUNCTION("""COMPUTED_VALUE"""),6.0)</f>
        <v>6</v>
      </c>
      <c r="G1512" s="19" t="str">
        <f>IFERROR(__xludf.DUMMYFUNCTION("""COMPUTED_VALUE"""),"Instant Forms")</f>
        <v>Instant Forms</v>
      </c>
      <c r="H1512" s="19" t="str">
        <f>IFERROR(__xludf.DUMMYFUNCTION("""COMPUTED_VALUE"""),"Linda Scott (Unsure if you'd travel this far but thought we'd send anyway)")</f>
        <v>Linda Scott (Unsure if you'd travel this far but thought we'd send anyway)</v>
      </c>
      <c r="I1512" s="62"/>
      <c r="J1512" s="19"/>
    </row>
    <row r="1513">
      <c r="A1513" s="19" t="str">
        <f>IFERROR(__xludf.DUMMYFUNCTION("""COMPUTED_VALUE"""),"Liam Jackson")</f>
        <v>Liam Jackson</v>
      </c>
      <c r="B1513" s="19" t="str">
        <f>IFERROR(__xludf.DUMMYFUNCTION("""COMPUTED_VALUE"""),"VIC")</f>
        <v>VIC</v>
      </c>
      <c r="C1513" s="5" t="str">
        <f>IFERROR(__xludf.DUMMYFUNCTION("""COMPUTED_VALUE"""),"Lilydale")</f>
        <v>Lilydale</v>
      </c>
      <c r="D1513" s="5" t="str">
        <f>IFERROR(__xludf.DUMMYFUNCTION("""COMPUTED_VALUE"""),"30 Lakeview Drive Lilydale VIC 3140")</f>
        <v>30 Lakeview Drive Lilydale VIC 3140</v>
      </c>
      <c r="E1513" s="25">
        <f>IFERROR(__xludf.DUMMYFUNCTION("""COMPUTED_VALUE"""),45947.0)</f>
        <v>45947</v>
      </c>
      <c r="F1513" s="5">
        <f>IFERROR(__xludf.DUMMYFUNCTION("""COMPUTED_VALUE"""),8.0)</f>
        <v>8</v>
      </c>
      <c r="G1513" s="19" t="str">
        <f>IFERROR(__xludf.DUMMYFUNCTION("""COMPUTED_VALUE"""),"Instant Forms")</f>
        <v>Instant Forms</v>
      </c>
      <c r="H1513" s="19"/>
      <c r="I1513" s="62"/>
      <c r="J1513" s="19"/>
    </row>
    <row r="1514">
      <c r="A1514" s="19" t="str">
        <f>IFERROR(__xludf.DUMMYFUNCTION("""COMPUTED_VALUE"""),"Liam Jackson")</f>
        <v>Liam Jackson</v>
      </c>
      <c r="B1514" s="19" t="str">
        <f>IFERROR(__xludf.DUMMYFUNCTION("""COMPUTED_VALUE"""),"VIC")</f>
        <v>VIC</v>
      </c>
      <c r="C1514" s="5" t="str">
        <f>IFERROR(__xludf.DUMMYFUNCTION("""COMPUTED_VALUE"""),"Wonga Park")</f>
        <v>Wonga Park</v>
      </c>
      <c r="D1514" s="5" t="str">
        <f>IFERROR(__xludf.DUMMYFUNCTION("""COMPUTED_VALUE"""),"6 Styles Court Wonga Park VIC 3115")</f>
        <v>6 Styles Court Wonga Park VIC 3115</v>
      </c>
      <c r="E1514" s="25">
        <f>IFERROR(__xludf.DUMMYFUNCTION("""COMPUTED_VALUE"""),45948.0)</f>
        <v>45948</v>
      </c>
      <c r="F1514" s="5">
        <f>IFERROR(__xludf.DUMMYFUNCTION("""COMPUTED_VALUE"""),6.0)</f>
        <v>6</v>
      </c>
      <c r="G1514" s="19" t="str">
        <f>IFERROR(__xludf.DUMMYFUNCTION("""COMPUTED_VALUE"""),"Instant Forms")</f>
        <v>Instant Forms</v>
      </c>
      <c r="H1514" s="19"/>
      <c r="I1514" s="62"/>
      <c r="J1514" s="19"/>
    </row>
    <row r="1515">
      <c r="A1515" s="19" t="str">
        <f>IFERROR(__xludf.DUMMYFUNCTION("""COMPUTED_VALUE"""),"Liam Jackson")</f>
        <v>Liam Jackson</v>
      </c>
      <c r="B1515" s="19" t="str">
        <f>IFERROR(__xludf.DUMMYFUNCTION("""COMPUTED_VALUE"""),"VIC")</f>
        <v>VIC</v>
      </c>
      <c r="C1515" s="5" t="str">
        <f>IFERROR(__xludf.DUMMYFUNCTION("""COMPUTED_VALUE"""),"Mooroolbark")</f>
        <v>Mooroolbark</v>
      </c>
      <c r="D1515" s="5" t="str">
        <f>IFERROR(__xludf.DUMMYFUNCTION("""COMPUTED_VALUE"""),"3 Darnley Way Mooroolbark VIC 3138")</f>
        <v>3 Darnley Way Mooroolbark VIC 3138</v>
      </c>
      <c r="E1515" s="25">
        <f>IFERROR(__xludf.DUMMYFUNCTION("""COMPUTED_VALUE"""),45949.0)</f>
        <v>45949</v>
      </c>
      <c r="F1515" s="5">
        <f>IFERROR(__xludf.DUMMYFUNCTION("""COMPUTED_VALUE"""),8.0)</f>
        <v>8</v>
      </c>
      <c r="G1515" s="19" t="str">
        <f>IFERROR(__xludf.DUMMYFUNCTION("""COMPUTED_VALUE"""),"Instant Forms")</f>
        <v>Instant Forms</v>
      </c>
      <c r="H1515" s="19"/>
      <c r="I1515" s="62"/>
      <c r="J1515" s="19"/>
    </row>
    <row r="1516">
      <c r="A1516" s="19" t="str">
        <f>IFERROR(__xludf.DUMMYFUNCTION("""COMPUTED_VALUE"""),"Liam Jackson")</f>
        <v>Liam Jackson</v>
      </c>
      <c r="B1516" s="19" t="str">
        <f>IFERROR(__xludf.DUMMYFUNCTION("""COMPUTED_VALUE"""),"VIC")</f>
        <v>VIC</v>
      </c>
      <c r="C1516" s="5" t="str">
        <f>IFERROR(__xludf.DUMMYFUNCTION("""COMPUTED_VALUE"""),"Chirnside Park")</f>
        <v>Chirnside Park</v>
      </c>
      <c r="D1516" s="5"/>
      <c r="E1516" s="25">
        <f>IFERROR(__xludf.DUMMYFUNCTION("""COMPUTED_VALUE"""),45955.0)</f>
        <v>45955</v>
      </c>
      <c r="F1516" s="5">
        <f>IFERROR(__xludf.DUMMYFUNCTION("""COMPUTED_VALUE"""),5.0)</f>
        <v>5</v>
      </c>
      <c r="G1516" s="19" t="str">
        <f>IFERROR(__xludf.DUMMYFUNCTION("""COMPUTED_VALUE"""),"Instant Forms")</f>
        <v>Instant Forms</v>
      </c>
      <c r="H1516" s="19"/>
      <c r="I1516" s="62"/>
      <c r="J1516" s="19" t="str">
        <f>IFERROR(__xludf.DUMMYFUNCTION("""COMPUTED_VALUE"""),"Unsubscribed")</f>
        <v>Unsubscribed</v>
      </c>
    </row>
    <row r="1517">
      <c r="A1517" s="19" t="str">
        <f>IFERROR(__xludf.DUMMYFUNCTION("""COMPUTED_VALUE"""),"Liam Jackson")</f>
        <v>Liam Jackson</v>
      </c>
      <c r="B1517" s="19" t="str">
        <f>IFERROR(__xludf.DUMMYFUNCTION("""COMPUTED_VALUE"""),"VIC")</f>
        <v>VIC</v>
      </c>
      <c r="C1517" s="5" t="str">
        <f>IFERROR(__xludf.DUMMYFUNCTION("""COMPUTED_VALUE"""),"Montrose")</f>
        <v>Montrose</v>
      </c>
      <c r="D1517" s="5" t="str">
        <f>IFERROR(__xludf.DUMMYFUNCTION("""COMPUTED_VALUE"""),"81 Stradbroke Road, Montrose, VIC, 3765, Australia")</f>
        <v>81 Stradbroke Road, Montrose, VIC, 3765, Australia</v>
      </c>
      <c r="E1517" s="25">
        <f>IFERROR(__xludf.DUMMYFUNCTION("""COMPUTED_VALUE"""),45956.0)</f>
        <v>45956</v>
      </c>
      <c r="F1517" s="5" t="str">
        <f>IFERROR(__xludf.DUMMYFUNCTION("""COMPUTED_VALUE"""),"Featured")</f>
        <v>Featured</v>
      </c>
      <c r="G1517" s="19" t="str">
        <f>IFERROR(__xludf.DUMMYFUNCTION("""COMPUTED_VALUE"""),"Commission Comparison")</f>
        <v>Commission Comparison</v>
      </c>
      <c r="H1517" s="19"/>
      <c r="I1517" s="62"/>
      <c r="J1517" s="19"/>
    </row>
    <row r="1518">
      <c r="A1518" s="19" t="str">
        <f>IFERROR(__xludf.DUMMYFUNCTION("""COMPUTED_VALUE"""),"Liam Jackson")</f>
        <v>Liam Jackson</v>
      </c>
      <c r="B1518" s="19" t="str">
        <f>IFERROR(__xludf.DUMMYFUNCTION("""COMPUTED_VALUE"""),"VIC")</f>
        <v>VIC</v>
      </c>
      <c r="C1518" s="5" t="str">
        <f>IFERROR(__xludf.DUMMYFUNCTION("""COMPUTED_VALUE"""),"Lilydale")</f>
        <v>Lilydale</v>
      </c>
      <c r="D1518" s="5"/>
      <c r="E1518" s="25">
        <f>IFERROR(__xludf.DUMMYFUNCTION("""COMPUTED_VALUE"""),45956.0)</f>
        <v>45956</v>
      </c>
      <c r="F1518" s="5">
        <f>IFERROR(__xludf.DUMMYFUNCTION("""COMPUTED_VALUE"""),5.0)</f>
        <v>5</v>
      </c>
      <c r="G1518" s="19" t="str">
        <f>IFERROR(__xludf.DUMMYFUNCTION("""COMPUTED_VALUE"""),"Instant Forms")</f>
        <v>Instant Forms</v>
      </c>
      <c r="H1518" s="19"/>
      <c r="I1518" s="62"/>
      <c r="J1518" s="19"/>
    </row>
    <row r="1519">
      <c r="A1519" s="19" t="str">
        <f>IFERROR(__xludf.DUMMYFUNCTION("""COMPUTED_VALUE"""),"Liam Jackson")</f>
        <v>Liam Jackson</v>
      </c>
      <c r="B1519" s="19" t="str">
        <f>IFERROR(__xludf.DUMMYFUNCTION("""COMPUTED_VALUE"""),"VIC")</f>
        <v>VIC</v>
      </c>
      <c r="C1519" s="5" t="str">
        <f>IFERROR(__xludf.DUMMYFUNCTION("""COMPUTED_VALUE"""),"Chirnside Park")</f>
        <v>Chirnside Park</v>
      </c>
      <c r="D1519" s="5" t="str">
        <f>IFERROR(__xludf.DUMMYFUNCTION("""COMPUTED_VALUE"""),"23 Vista Drive CHIRNSIDE PARK VIC 3116")</f>
        <v>23 Vista Drive CHIRNSIDE PARK VIC 3116</v>
      </c>
      <c r="E1519" s="25">
        <f>IFERROR(__xludf.DUMMYFUNCTION("""COMPUTED_VALUE"""),45961.0)</f>
        <v>45961</v>
      </c>
      <c r="F1519" s="5">
        <f>IFERROR(__xludf.DUMMYFUNCTION("""COMPUTED_VALUE"""),6.0)</f>
        <v>6</v>
      </c>
      <c r="G1519" s="19" t="str">
        <f>IFERROR(__xludf.DUMMYFUNCTION("""COMPUTED_VALUE"""),"Instant Forms")</f>
        <v>Instant Forms</v>
      </c>
      <c r="H1519" s="19"/>
      <c r="I1519" s="62"/>
      <c r="J1519" s="19"/>
    </row>
    <row r="1520">
      <c r="A1520" s="19" t="str">
        <f>IFERROR(__xludf.DUMMYFUNCTION("""COMPUTED_VALUE"""),"Liam Jackson")</f>
        <v>Liam Jackson</v>
      </c>
      <c r="B1520" s="19" t="str">
        <f>IFERROR(__xludf.DUMMYFUNCTION("""COMPUTED_VALUE"""),"VIC")</f>
        <v>VIC</v>
      </c>
      <c r="C1520" s="5" t="str">
        <f>IFERROR(__xludf.DUMMYFUNCTION("""COMPUTED_VALUE"""),"Wandin North")</f>
        <v>Wandin North</v>
      </c>
      <c r="D1520" s="5"/>
      <c r="E1520" s="25">
        <f>IFERROR(__xludf.DUMMYFUNCTION("""COMPUTED_VALUE"""),45964.0)</f>
        <v>45964</v>
      </c>
      <c r="F1520" s="5">
        <f>IFERROR(__xludf.DUMMYFUNCTION("""COMPUTED_VALUE"""),5.0)</f>
        <v>5</v>
      </c>
      <c r="G1520" s="19" t="str">
        <f>IFERROR(__xludf.DUMMYFUNCTION("""COMPUTED_VALUE"""),"Instant Forms")</f>
        <v>Instant Forms</v>
      </c>
      <c r="H1520" s="19"/>
      <c r="I1520" s="62"/>
      <c r="J1520" s="19"/>
    </row>
    <row r="1521">
      <c r="A1521" s="19" t="str">
        <f>IFERROR(__xludf.DUMMYFUNCTION("""COMPUTED_VALUE"""),"Liam Jackson")</f>
        <v>Liam Jackson</v>
      </c>
      <c r="B1521" s="19" t="str">
        <f>IFERROR(__xludf.DUMMYFUNCTION("""COMPUTED_VALUE"""),"VIC")</f>
        <v>VIC</v>
      </c>
      <c r="C1521" s="5" t="str">
        <f>IFERROR(__xludf.DUMMYFUNCTION("""COMPUTED_VALUE"""),"Mooroolbark")</f>
        <v>Mooroolbark</v>
      </c>
      <c r="D1521" s="5" t="str">
        <f>IFERROR(__xludf.DUMMYFUNCTION("""COMPUTED_VALUE"""),"45 Shirley Street")</f>
        <v>45 Shirley Street</v>
      </c>
      <c r="E1521" s="25">
        <f>IFERROR(__xludf.DUMMYFUNCTION("""COMPUTED_VALUE"""),45964.0)</f>
        <v>45964</v>
      </c>
      <c r="F1521" s="5" t="str">
        <f>IFERROR(__xludf.DUMMYFUNCTION("""COMPUTED_VALUE"""),"Featured")</f>
        <v>Featured</v>
      </c>
      <c r="G1521" s="19" t="str">
        <f>IFERROR(__xludf.DUMMYFUNCTION("""COMPUTED_VALUE"""),"Commission Comparison")</f>
        <v>Commission Comparison</v>
      </c>
      <c r="H1521" s="19"/>
      <c r="I1521" s="62"/>
      <c r="J1521" s="19"/>
    </row>
    <row r="1522">
      <c r="A1522" s="19" t="str">
        <f>IFERROR(__xludf.DUMMYFUNCTION("""COMPUTED_VALUE"""),"Liam Jackson")</f>
        <v>Liam Jackson</v>
      </c>
      <c r="B1522" s="19" t="str">
        <f>IFERROR(__xludf.DUMMYFUNCTION("""COMPUTED_VALUE"""),"VIC")</f>
        <v>VIC</v>
      </c>
      <c r="C1522" s="5" t="str">
        <f>IFERROR(__xludf.DUMMYFUNCTION("""COMPUTED_VALUE"""),"Chirnside Park")</f>
        <v>Chirnside Park</v>
      </c>
      <c r="D1522" s="5" t="str">
        <f>IFERROR(__xludf.DUMMYFUNCTION("""COMPUTED_VALUE"""),"83 Billanook Way, Chirnside Park, VIC, 3116, Australia")</f>
        <v>83 Billanook Way, Chirnside Park, VIC, 3116, Australia</v>
      </c>
      <c r="E1522" s="25">
        <f>IFERROR(__xludf.DUMMYFUNCTION("""COMPUTED_VALUE"""),45968.0)</f>
        <v>45968</v>
      </c>
      <c r="F1522" s="5" t="str">
        <f>IFERROR(__xludf.DUMMYFUNCTION("""COMPUTED_VALUE"""),"Featured")</f>
        <v>Featured</v>
      </c>
      <c r="G1522" s="19" t="str">
        <f>IFERROR(__xludf.DUMMYFUNCTION("""COMPUTED_VALUE"""),"Commission Comparison")</f>
        <v>Commission Comparison</v>
      </c>
      <c r="H1522" s="19" t="str">
        <f>IFERROR(__xludf.DUMMYFUNCTION("""COMPUTED_VALUE"""),"Peter Berry")</f>
        <v>Peter Berry</v>
      </c>
      <c r="I1522" s="62">
        <f>IFERROR(__xludf.DUMMYFUNCTION("""COMPUTED_VALUE"""),6.10411100002E11)</f>
        <v>610411100002</v>
      </c>
      <c r="J1522" s="19" t="str">
        <f>IFERROR(__xludf.DUMMYFUNCTION("""COMPUTED_VALUE"""),"Unsubscribed")</f>
        <v>Unsubscribed</v>
      </c>
    </row>
    <row r="1523">
      <c r="A1523" s="19" t="str">
        <f>IFERROR(__xludf.DUMMYFUNCTION("""COMPUTED_VALUE"""),"Liam Jackson")</f>
        <v>Liam Jackson</v>
      </c>
      <c r="B1523" s="19" t="str">
        <f>IFERROR(__xludf.DUMMYFUNCTION("""COMPUTED_VALUE"""),"VIC")</f>
        <v>VIC</v>
      </c>
      <c r="C1523" s="5" t="str">
        <f>IFERROR(__xludf.DUMMYFUNCTION("""COMPUTED_VALUE"""),"Chirnside Park")</f>
        <v>Chirnside Park</v>
      </c>
      <c r="D1523" s="5" t="str">
        <f>IFERROR(__xludf.DUMMYFUNCTION("""COMPUTED_VALUE"""),"24 Yarra Hill Lane Chirnside Park VIC 3116")</f>
        <v>24 Yarra Hill Lane Chirnside Park VIC 3116</v>
      </c>
      <c r="E1523" s="25">
        <f>IFERROR(__xludf.DUMMYFUNCTION("""COMPUTED_VALUE"""),45969.0)</f>
        <v>45969</v>
      </c>
      <c r="F1523" s="5">
        <f>IFERROR(__xludf.DUMMYFUNCTION("""COMPUTED_VALUE"""),8.0)</f>
        <v>8</v>
      </c>
      <c r="G1523" s="19" t="str">
        <f>IFERROR(__xludf.DUMMYFUNCTION("""COMPUTED_VALUE"""),"Instant Forms")</f>
        <v>Instant Forms</v>
      </c>
      <c r="H1523" s="19" t="str">
        <f>IFERROR(__xludf.DUMMYFUNCTION("""COMPUTED_VALUE"""),"Josie Minutillo")</f>
        <v>Josie Minutillo</v>
      </c>
      <c r="I1523" s="62">
        <f>IFERROR(__xludf.DUMMYFUNCTION("""COMPUTED_VALUE"""),6.1403195457E10)</f>
        <v>61403195457</v>
      </c>
      <c r="J1523" s="19" t="str">
        <f>IFERROR(__xludf.DUMMYFUNCTION("""COMPUTED_VALUE"""),"josie.minutillo@gmail.com")</f>
        <v>josie.minutillo@gmail.com</v>
      </c>
    </row>
    <row r="1524">
      <c r="A1524" s="19" t="str">
        <f>IFERROR(__xludf.DUMMYFUNCTION("""COMPUTED_VALUE"""),"Liam Jackson")</f>
        <v>Liam Jackson</v>
      </c>
      <c r="B1524" s="19" t="str">
        <f>IFERROR(__xludf.DUMMYFUNCTION("""COMPUTED_VALUE"""),"VIC")</f>
        <v>VIC</v>
      </c>
      <c r="C1524" s="5" t="str">
        <f>IFERROR(__xludf.DUMMYFUNCTION("""COMPUTED_VALUE"""),"Mooroolbark")</f>
        <v>Mooroolbark</v>
      </c>
      <c r="D1524" s="5" t="str">
        <f>IFERROR(__xludf.DUMMYFUNCTION("""COMPUTED_VALUE"""),"7 Brack Court Mooroolbark VIC 3138")</f>
        <v>7 Brack Court Mooroolbark VIC 3138</v>
      </c>
      <c r="E1524" s="25">
        <f>IFERROR(__xludf.DUMMYFUNCTION("""COMPUTED_VALUE"""),45970.0)</f>
        <v>45970</v>
      </c>
      <c r="F1524" s="5">
        <f>IFERROR(__xludf.DUMMYFUNCTION("""COMPUTED_VALUE"""),8.0)</f>
        <v>8</v>
      </c>
      <c r="G1524" s="19" t="str">
        <f>IFERROR(__xludf.DUMMYFUNCTION("""COMPUTED_VALUE"""),"Instant Forms")</f>
        <v>Instant Forms</v>
      </c>
      <c r="H1524" s="19" t="str">
        <f>IFERROR(__xludf.DUMMYFUNCTION("""COMPUTED_VALUE"""),"Daryl Dixon")</f>
        <v>Daryl Dixon</v>
      </c>
      <c r="I1524" s="62">
        <f>IFERROR(__xludf.DUMMYFUNCTION("""COMPUTED_VALUE"""),6.1408354159E10)</f>
        <v>61408354159</v>
      </c>
      <c r="J1524" s="19" t="str">
        <f>IFERROR(__xludf.DUMMYFUNCTION("""COMPUTED_VALUE"""),"daryl_dixon@yahoo.com.au")</f>
        <v>daryl_dixon@yahoo.com.au</v>
      </c>
    </row>
    <row r="1525">
      <c r="A1525" s="19" t="str">
        <f>IFERROR(__xludf.DUMMYFUNCTION("""COMPUTED_VALUE"""),"Liam Jackson")</f>
        <v>Liam Jackson</v>
      </c>
      <c r="B1525" s="19" t="str">
        <f>IFERROR(__xludf.DUMMYFUNCTION("""COMPUTED_VALUE"""),"VIC")</f>
        <v>VIC</v>
      </c>
      <c r="C1525" s="5" t="str">
        <f>IFERROR(__xludf.DUMMYFUNCTION("""COMPUTED_VALUE"""),"Croydon nth")</f>
        <v>Croydon nth</v>
      </c>
      <c r="D1525" s="5" t="str">
        <f>IFERROR(__xludf.DUMMYFUNCTION("""COMPUTED_VALUE"""),"2 Borola Court")</f>
        <v>2 Borola Court</v>
      </c>
      <c r="E1525" s="25">
        <f>IFERROR(__xludf.DUMMYFUNCTION("""COMPUTED_VALUE"""),45971.0)</f>
        <v>45971</v>
      </c>
      <c r="F1525" s="64">
        <f>IFERROR(__xludf.DUMMYFUNCTION("""COMPUTED_VALUE"""),0.15)</f>
        <v>0.15</v>
      </c>
      <c r="G1525" s="19" t="str">
        <f>IFERROR(__xludf.DUMMYFUNCTION("""COMPUTED_VALUE"""),"Commission Comparison")</f>
        <v>Commission Comparison</v>
      </c>
      <c r="H1525" s="19" t="str">
        <f>IFERROR(__xludf.DUMMYFUNCTION("""COMPUTED_VALUE"""),"Peter Stillwell")</f>
        <v>Peter Stillwell</v>
      </c>
      <c r="I1525" s="62">
        <f>IFERROR(__xludf.DUMMYFUNCTION("""COMPUTED_VALUE"""),6.1490015358E10)</f>
        <v>61490015358</v>
      </c>
      <c r="J1525" s="19" t="str">
        <f>IFERROR(__xludf.DUMMYFUNCTION("""COMPUTED_VALUE"""),"peterstillwell34@gmail.com")</f>
        <v>peterstillwell34@gmail.com</v>
      </c>
    </row>
    <row r="1526">
      <c r="A1526" s="19" t="str">
        <f>IFERROR(__xludf.DUMMYFUNCTION("""COMPUTED_VALUE"""),"Liam Jackson")</f>
        <v>Liam Jackson</v>
      </c>
      <c r="B1526" s="19" t="str">
        <f>IFERROR(__xludf.DUMMYFUNCTION("""COMPUTED_VALUE"""),"VIC")</f>
        <v>VIC</v>
      </c>
      <c r="C1526" s="5" t="str">
        <f>IFERROR(__xludf.DUMMYFUNCTION("""COMPUTED_VALUE"""),"Lilydale")</f>
        <v>Lilydale</v>
      </c>
      <c r="D1526" s="5" t="str">
        <f>IFERROR(__xludf.DUMMYFUNCTION("""COMPUTED_VALUE"""),"Themeda Place, Lilydale, 3140")</f>
        <v>Themeda Place, Lilydale, 3140</v>
      </c>
      <c r="E1526" s="25">
        <f>IFERROR(__xludf.DUMMYFUNCTION("""COMPUTED_VALUE"""),45941.0)</f>
        <v>45941</v>
      </c>
      <c r="F1526" s="5" t="str">
        <f>IFERROR(__xludf.DUMMYFUNCTION("""COMPUTED_VALUE"""),"Featured")</f>
        <v>Featured</v>
      </c>
      <c r="G1526" s="19" t="str">
        <f>IFERROR(__xludf.DUMMYFUNCTION("""COMPUTED_VALUE"""),"Meta Commission Report")</f>
        <v>Meta Commission Report</v>
      </c>
      <c r="H1526" s="19" t="str">
        <f>IFERROR(__xludf.DUMMYFUNCTION("""COMPUTED_VALUE"""),"Lynne D")</f>
        <v>Lynne D</v>
      </c>
      <c r="I1526" s="62">
        <f>IFERROR(__xludf.DUMMYFUNCTION("""COMPUTED_VALUE"""),6.140846021E10)</f>
        <v>61408460210</v>
      </c>
      <c r="J1526" s="19" t="str">
        <f>IFERROR(__xludf.DUMMYFUNCTION("""COMPUTED_VALUE"""),"lynnesaints@gmail.com")</f>
        <v>lynnesaints@gmail.com</v>
      </c>
    </row>
    <row r="1527">
      <c r="A1527" s="19" t="str">
        <f>IFERROR(__xludf.DUMMYFUNCTION("""COMPUTED_VALUE"""),"Liam Jackson")</f>
        <v>Liam Jackson</v>
      </c>
      <c r="B1527" s="19" t="str">
        <f>IFERROR(__xludf.DUMMYFUNCTION("""COMPUTED_VALUE"""),"VIC")</f>
        <v>VIC</v>
      </c>
      <c r="C1527" s="5" t="str">
        <f>IFERROR(__xludf.DUMMYFUNCTION("""COMPUTED_VALUE"""),"Lilydale")</f>
        <v>Lilydale</v>
      </c>
      <c r="D1527" s="5" t="str">
        <f>IFERROR(__xludf.DUMMYFUNCTION("""COMPUTED_VALUE"""),"Themeda Place, Lilydale, 3140, Lilydale, 3140")</f>
        <v>Themeda Place, Lilydale, 3140, Lilydale, 3140</v>
      </c>
      <c r="E1527" s="25">
        <f>IFERROR(__xludf.DUMMYFUNCTION("""COMPUTED_VALUE"""),45972.0)</f>
        <v>45972</v>
      </c>
      <c r="F1527" s="5" t="str">
        <f>IFERROR(__xludf.DUMMYFUNCTION("""COMPUTED_VALUE"""),"Featured")</f>
        <v>Featured</v>
      </c>
      <c r="G1527" s="19" t="str">
        <f>IFERROR(__xludf.DUMMYFUNCTION("""COMPUTED_VALUE"""),"Meta Commission Report")</f>
        <v>Meta Commission Report</v>
      </c>
      <c r="H1527" s="19" t="str">
        <f>IFERROR(__xludf.DUMMYFUNCTION("""COMPUTED_VALUE"""),"Lynne D")</f>
        <v>Lynne D</v>
      </c>
      <c r="I1527" s="62">
        <f>IFERROR(__xludf.DUMMYFUNCTION("""COMPUTED_VALUE"""),6.140846021E10)</f>
        <v>61408460210</v>
      </c>
      <c r="J1527" s="19" t="str">
        <f>IFERROR(__xludf.DUMMYFUNCTION("""COMPUTED_VALUE"""),"lynnesaints@gmail.com")</f>
        <v>lynnesaints@gmail.com</v>
      </c>
    </row>
    <row r="1528">
      <c r="A1528" s="19" t="str">
        <f>IFERROR(__xludf.DUMMYFUNCTION("""COMPUTED_VALUE"""),"Liam Jackson")</f>
        <v>Liam Jackson</v>
      </c>
      <c r="B1528" s="19" t="str">
        <f>IFERROR(__xludf.DUMMYFUNCTION("""COMPUTED_VALUE"""),"VIC")</f>
        <v>VIC</v>
      </c>
      <c r="C1528" s="5" t="str">
        <f>IFERROR(__xludf.DUMMYFUNCTION("""COMPUTED_VALUE"""),"Warranwood")</f>
        <v>Warranwood</v>
      </c>
      <c r="D1528" s="5" t="str">
        <f>IFERROR(__xludf.DUMMYFUNCTION("""COMPUTED_VALUE"""),"5 Avonsleigh Close Warranwood VIC 3134")</f>
        <v>5 Avonsleigh Close Warranwood VIC 3134</v>
      </c>
      <c r="E1528" s="25">
        <f>IFERROR(__xludf.DUMMYFUNCTION("""COMPUTED_VALUE"""),45974.0)</f>
        <v>45974</v>
      </c>
      <c r="F1528" s="5">
        <f>IFERROR(__xludf.DUMMYFUNCTION("""COMPUTED_VALUE"""),8.0)</f>
        <v>8</v>
      </c>
      <c r="G1528" s="19" t="str">
        <f>IFERROR(__xludf.DUMMYFUNCTION("""COMPUTED_VALUE"""),"Instant Forms")</f>
        <v>Instant Forms</v>
      </c>
      <c r="H1528" s="19" t="str">
        <f>IFERROR(__xludf.DUMMYFUNCTION("""COMPUTED_VALUE"""),"Graham Walker")</f>
        <v>Graham Walker</v>
      </c>
      <c r="I1528" s="62">
        <f>IFERROR(__xludf.DUMMYFUNCTION("""COMPUTED_VALUE"""),6.1418992415E10)</f>
        <v>61418992415</v>
      </c>
      <c r="J1528" s="19" t="str">
        <f>IFERROR(__xludf.DUMMYFUNCTION("""COMPUTED_VALUE"""),"glw05@bigpond.net.au")</f>
        <v>glw05@bigpond.net.au</v>
      </c>
    </row>
    <row r="1529">
      <c r="A1529" s="19" t="str">
        <f>IFERROR(__xludf.DUMMYFUNCTION("""COMPUTED_VALUE"""),"Liam Jackson")</f>
        <v>Liam Jackson</v>
      </c>
      <c r="B1529" s="19" t="str">
        <f>IFERROR(__xludf.DUMMYFUNCTION("""COMPUTED_VALUE"""),"VIC")</f>
        <v>VIC</v>
      </c>
      <c r="C1529" s="5" t="str">
        <f>IFERROR(__xludf.DUMMYFUNCTION("""COMPUTED_VALUE"""),"Boronia")</f>
        <v>Boronia</v>
      </c>
      <c r="D1529" s="5" t="str">
        <f>IFERROR(__xludf.DUMMYFUNCTION("""COMPUTED_VALUE"""),"6/19 Dixon Court Boronia VIC 3155")</f>
        <v>6/19 Dixon Court Boronia VIC 3155</v>
      </c>
      <c r="E1529" s="25">
        <f>IFERROR(__xludf.DUMMYFUNCTION("""COMPUTED_VALUE"""),45978.0)</f>
        <v>45978</v>
      </c>
      <c r="F1529" s="5">
        <f>IFERROR(__xludf.DUMMYFUNCTION("""COMPUTED_VALUE"""),8.0)</f>
        <v>8</v>
      </c>
      <c r="G1529" s="19" t="str">
        <f>IFERROR(__xludf.DUMMYFUNCTION("""COMPUTED_VALUE"""),"Instant Forms")</f>
        <v>Instant Forms</v>
      </c>
      <c r="H1529" s="19" t="str">
        <f>IFERROR(__xludf.DUMMYFUNCTION("""COMPUTED_VALUE"""),"PAMELA KING")</f>
        <v>PAMELA KING</v>
      </c>
      <c r="I1529" s="62">
        <f>IFERROR(__xludf.DUMMYFUNCTION("""COMPUTED_VALUE"""),6.1429180254E10)</f>
        <v>61429180254</v>
      </c>
      <c r="J1529" s="19" t="str">
        <f>IFERROR(__xludf.DUMMYFUNCTION("""COMPUTED_VALUE"""),"pamelaking18@hotmail.com")</f>
        <v>pamelaking18@hotmail.com</v>
      </c>
    </row>
    <row r="1530">
      <c r="A1530" s="19" t="str">
        <f>IFERROR(__xludf.DUMMYFUNCTION("""COMPUTED_VALUE"""),"Liam Jackson")</f>
        <v>Liam Jackson</v>
      </c>
      <c r="B1530" s="19" t="str">
        <f>IFERROR(__xludf.DUMMYFUNCTION("""COMPUTED_VALUE"""),"VIC")</f>
        <v>VIC</v>
      </c>
      <c r="C1530" s="5" t="str">
        <f>IFERROR(__xludf.DUMMYFUNCTION("""COMPUTED_VALUE"""),"Wonga Park")</f>
        <v>Wonga Park</v>
      </c>
      <c r="D1530" s="5" t="str">
        <f>IFERROR(__xludf.DUMMYFUNCTION("""COMPUTED_VALUE"""),"89-91 Jumping Creek Road Wonga Park VIC 3115")</f>
        <v>89-91 Jumping Creek Road Wonga Park VIC 3115</v>
      </c>
      <c r="E1530" s="25">
        <f>IFERROR(__xludf.DUMMYFUNCTION("""COMPUTED_VALUE"""),45978.0)</f>
        <v>45978</v>
      </c>
      <c r="F1530" s="5">
        <f>IFERROR(__xludf.DUMMYFUNCTION("""COMPUTED_VALUE"""),8.0)</f>
        <v>8</v>
      </c>
      <c r="G1530" s="19" t="str">
        <f>IFERROR(__xludf.DUMMYFUNCTION("""COMPUTED_VALUE"""),"Instant Forms")</f>
        <v>Instant Forms</v>
      </c>
      <c r="H1530" s="19" t="str">
        <f>IFERROR(__xludf.DUMMYFUNCTION("""COMPUTED_VALUE"""),"Tom Louws")</f>
        <v>Tom Louws</v>
      </c>
      <c r="I1530" s="62">
        <f>IFERROR(__xludf.DUMMYFUNCTION("""COMPUTED_VALUE"""),6.1438855771E10)</f>
        <v>61438855771</v>
      </c>
      <c r="J1530" s="19" t="str">
        <f>IFERROR(__xludf.DUMMYFUNCTION("""COMPUTED_VALUE"""),"tomlouws@outlook.com")</f>
        <v>tomlouws@outlook.com</v>
      </c>
    </row>
    <row r="1531">
      <c r="A1531" s="19" t="str">
        <f>IFERROR(__xludf.DUMMYFUNCTION("""COMPUTED_VALUE"""),"Liam Jackson")</f>
        <v>Liam Jackson</v>
      </c>
      <c r="B1531" s="19" t="str">
        <f>IFERROR(__xludf.DUMMYFUNCTION("""COMPUTED_VALUE"""),"VIC")</f>
        <v>VIC</v>
      </c>
      <c r="C1531" s="5" t="str">
        <f>IFERROR(__xludf.DUMMYFUNCTION("""COMPUTED_VALUE"""),"Mt Evelyn")</f>
        <v>Mt Evelyn</v>
      </c>
      <c r="D1531" s="5" t="str">
        <f>IFERROR(__xludf.DUMMYFUNCTION("""COMPUTED_VALUE"""),"15 Elsie Grove Mount Evelyn VIC 3796")</f>
        <v>15 Elsie Grove Mount Evelyn VIC 3796</v>
      </c>
      <c r="E1531" s="5" t="str">
        <f>IFERROR(__xludf.DUMMYFUNCTION("""COMPUTED_VALUE"""),"21/11/2025")</f>
        <v>21/11/2025</v>
      </c>
      <c r="F1531" s="5">
        <f>IFERROR(__xludf.DUMMYFUNCTION("""COMPUTED_VALUE"""),8.0)</f>
        <v>8</v>
      </c>
      <c r="G1531" s="19" t="str">
        <f>IFERROR(__xludf.DUMMYFUNCTION("""COMPUTED_VALUE"""),"Instant Forms")</f>
        <v>Instant Forms</v>
      </c>
      <c r="H1531" s="19" t="str">
        <f>IFERROR(__xludf.DUMMYFUNCTION("""COMPUTED_VALUE"""),"Alice Rietveld")</f>
        <v>Alice Rietveld</v>
      </c>
      <c r="I1531" s="62">
        <f>IFERROR(__xludf.DUMMYFUNCTION("""COMPUTED_VALUE"""),6.1409988967E10)</f>
        <v>61409988967</v>
      </c>
      <c r="J1531" s="19" t="str">
        <f>IFERROR(__xludf.DUMMYFUNCTION("""COMPUTED_VALUE"""),"alice.rietveld1@gmail.com")</f>
        <v>alice.rietveld1@gmail.com</v>
      </c>
    </row>
    <row r="1532">
      <c r="A1532" s="19" t="str">
        <f>IFERROR(__xludf.DUMMYFUNCTION("""COMPUTED_VALUE"""),"Liam Jackson")</f>
        <v>Liam Jackson</v>
      </c>
      <c r="B1532" s="19" t="str">
        <f>IFERROR(__xludf.DUMMYFUNCTION("""COMPUTED_VALUE"""),"VIC")</f>
        <v>VIC</v>
      </c>
      <c r="C1532" s="5" t="str">
        <f>IFERROR(__xludf.DUMMYFUNCTION("""COMPUTED_VALUE"""),"Lilydale")</f>
        <v>Lilydale</v>
      </c>
      <c r="D1532" s="5"/>
      <c r="E1532" s="5" t="str">
        <f>IFERROR(__xludf.DUMMYFUNCTION("""COMPUTED_VALUE"""),"28/11/2025")</f>
        <v>28/11/2025</v>
      </c>
      <c r="F1532" s="64">
        <f>IFERROR(__xludf.DUMMYFUNCTION("""COMPUTED_VALUE"""),0.0)</f>
        <v>0</v>
      </c>
      <c r="G1532" s="19" t="str">
        <f>IFERROR(__xludf.DUMMYFUNCTION("""COMPUTED_VALUE"""),"Instant Forms")</f>
        <v>Instant Forms</v>
      </c>
      <c r="H1532" s="19" t="str">
        <f>IFERROR(__xludf.DUMMYFUNCTION("""COMPUTED_VALUE"""),"Ron Kramp")</f>
        <v>Ron Kramp</v>
      </c>
      <c r="I1532" s="62">
        <f>IFERROR(__xludf.DUMMYFUNCTION("""COMPUTED_VALUE"""),6.1403023689E10)</f>
        <v>61403023689</v>
      </c>
      <c r="J1532" s="19" t="str">
        <f>IFERROR(__xludf.DUMMYFUNCTION("""COMPUTED_VALUE"""),"ronkramp@outlook.com")</f>
        <v>ronkramp@outlook.com</v>
      </c>
    </row>
    <row r="1533">
      <c r="A1533" s="19" t="str">
        <f>IFERROR(__xludf.DUMMYFUNCTION("""COMPUTED_VALUE"""),"Liam Jackson")</f>
        <v>Liam Jackson</v>
      </c>
      <c r="B1533" s="19" t="str">
        <f>IFERROR(__xludf.DUMMYFUNCTION("""COMPUTED_VALUE"""),"VIC")</f>
        <v>VIC</v>
      </c>
      <c r="C1533" s="5" t="str">
        <f>IFERROR(__xludf.DUMMYFUNCTION("""COMPUTED_VALUE"""),"Mooroolbark")</f>
        <v>Mooroolbark</v>
      </c>
      <c r="D1533" s="5" t="str">
        <f>IFERROR(__xludf.DUMMYFUNCTION("""COMPUTED_VALUE"""),"9 Benjamin Chase Mooroolbark VIC 3138")</f>
        <v>9 Benjamin Chase Mooroolbark VIC 3138</v>
      </c>
      <c r="E1533" s="5" t="str">
        <f>IFERROR(__xludf.DUMMYFUNCTION("""COMPUTED_VALUE"""),"28/11/2025")</f>
        <v>28/11/2025</v>
      </c>
      <c r="F1533" s="64">
        <f>IFERROR(__xludf.DUMMYFUNCTION("""COMPUTED_VALUE"""),0.2)</f>
        <v>0.2</v>
      </c>
      <c r="G1533" s="19" t="str">
        <f>IFERROR(__xludf.DUMMYFUNCTION("""COMPUTED_VALUE"""),"Instant Forms")</f>
        <v>Instant Forms</v>
      </c>
      <c r="H1533" s="19" t="str">
        <f>IFERROR(__xludf.DUMMYFUNCTION("""COMPUTED_VALUE"""),"Shellie Storm")</f>
        <v>Shellie Storm</v>
      </c>
      <c r="I1533" s="62">
        <f>IFERROR(__xludf.DUMMYFUNCTION("""COMPUTED_VALUE"""),6.1406611941E10)</f>
        <v>61406611941</v>
      </c>
      <c r="J1533" s="19" t="str">
        <f>IFERROR(__xludf.DUMMYFUNCTION("""COMPUTED_VALUE"""),"shellie.storm@outlook.com.au")</f>
        <v>shellie.storm@outlook.com.au</v>
      </c>
    </row>
    <row r="1534">
      <c r="A1534" s="19" t="str">
        <f>IFERROR(__xludf.DUMMYFUNCTION("""COMPUTED_VALUE"""),"Liam Jackson")</f>
        <v>Liam Jackson</v>
      </c>
      <c r="B1534" s="19" t="str">
        <f>IFERROR(__xludf.DUMMYFUNCTION("""COMPUTED_VALUE"""),"VIC")</f>
        <v>VIC</v>
      </c>
      <c r="C1534" s="5" t="str">
        <f>IFERROR(__xludf.DUMMYFUNCTION("""COMPUTED_VALUE"""),"Lilydale")</f>
        <v>Lilydale</v>
      </c>
      <c r="D1534" s="5" t="str">
        <f>IFERROR(__xludf.DUMMYFUNCTION("""COMPUTED_VALUE"""),"66 Eucalypt Drive, Lilydale, 3140")</f>
        <v>66 Eucalypt Drive, Lilydale, 3140</v>
      </c>
      <c r="E1534" s="5" t="str">
        <f>IFERROR(__xludf.DUMMYFUNCTION("""COMPUTED_VALUE"""),"28/11/2025")</f>
        <v>28/11/2025</v>
      </c>
      <c r="F1534" s="64">
        <f>IFERROR(__xludf.DUMMYFUNCTION("""COMPUTED_VALUE"""),0.2)</f>
        <v>0.2</v>
      </c>
      <c r="G1534" s="19" t="str">
        <f>IFERROR(__xludf.DUMMYFUNCTION("""COMPUTED_VALUE"""),"Meta Commission Report")</f>
        <v>Meta Commission Report</v>
      </c>
      <c r="H1534" s="19" t="str">
        <f>IFERROR(__xludf.DUMMYFUNCTION("""COMPUTED_VALUE"""),"Erica Penani")</f>
        <v>Erica Penani</v>
      </c>
      <c r="I1534" s="62">
        <f>IFERROR(__xludf.DUMMYFUNCTION("""COMPUTED_VALUE"""),6.1409336388E10)</f>
        <v>61409336388</v>
      </c>
      <c r="J1534" s="19" t="str">
        <f>IFERROR(__xludf.DUMMYFUNCTION("""COMPUTED_VALUE"""),"erica.penani@bigpond.com.au")</f>
        <v>erica.penani@bigpond.com.au</v>
      </c>
    </row>
    <row r="1535">
      <c r="A1535" s="19" t="str">
        <f>IFERROR(__xludf.DUMMYFUNCTION("""COMPUTED_VALUE"""),"Liam Jackson")</f>
        <v>Liam Jackson</v>
      </c>
      <c r="B1535" s="19" t="str">
        <f>IFERROR(__xludf.DUMMYFUNCTION("""COMPUTED_VALUE"""),"VIC")</f>
        <v>VIC</v>
      </c>
      <c r="C1535" s="5" t="str">
        <f>IFERROR(__xludf.DUMMYFUNCTION("""COMPUTED_VALUE"""),"Wandin")</f>
        <v>Wandin</v>
      </c>
      <c r="D1535" s="5"/>
      <c r="E1535" s="27">
        <f>IFERROR(__xludf.DUMMYFUNCTION("""COMPUTED_VALUE"""),45820.0)</f>
        <v>45820</v>
      </c>
      <c r="F1535" s="64">
        <f>IFERROR(__xludf.DUMMYFUNCTION("""COMPUTED_VALUE"""),0.0)</f>
        <v>0</v>
      </c>
      <c r="G1535" s="19" t="str">
        <f>IFERROR(__xludf.DUMMYFUNCTION("""COMPUTED_VALUE"""),"Instant Forms")</f>
        <v>Instant Forms</v>
      </c>
      <c r="H1535" s="19" t="str">
        <f>IFERROR(__xludf.DUMMYFUNCTION("""COMPUTED_VALUE"""),"Julian Markin")</f>
        <v>Julian Markin</v>
      </c>
      <c r="I1535" s="62">
        <f>IFERROR(__xludf.DUMMYFUNCTION("""COMPUTED_VALUE"""),6.1413523711E10)</f>
        <v>61413523711</v>
      </c>
      <c r="J1535" s="19" t="str">
        <f>IFERROR(__xludf.DUMMYFUNCTION("""COMPUTED_VALUE"""),"jhcmnik@gmail.com")</f>
        <v>jhcmnik@gmail.com</v>
      </c>
    </row>
    <row r="1536">
      <c r="A1536" s="19" t="str">
        <f>IFERROR(__xludf.DUMMYFUNCTION("""COMPUTED_VALUE"""),"")</f>
        <v/>
      </c>
      <c r="B1536" s="19" t="str">
        <f>IFERROR(__xludf.DUMMYFUNCTION("""COMPUTED_VALUE"""),"")</f>
        <v/>
      </c>
      <c r="C1536" s="5" t="str">
        <f>IFERROR(__xludf.DUMMYFUNCTION("""COMPUTED_VALUE"""),"")</f>
        <v/>
      </c>
      <c r="D1536" s="5" t="str">
        <f>IFERROR(__xludf.DUMMYFUNCTION("""COMPUTED_VALUE"""),"")</f>
        <v/>
      </c>
      <c r="E1536" s="5" t="str">
        <f>IFERROR(__xludf.DUMMYFUNCTION("""COMPUTED_VALUE"""),"")</f>
        <v/>
      </c>
      <c r="F1536" s="5" t="str">
        <f>IFERROR(__xludf.DUMMYFUNCTION("""COMPUTED_VALUE"""),"")</f>
        <v/>
      </c>
      <c r="G1536" s="19" t="str">
        <f>IFERROR(__xludf.DUMMYFUNCTION("""COMPUTED_VALUE"""),"")</f>
        <v/>
      </c>
      <c r="H1536" s="19" t="str">
        <f>IFERROR(__xludf.DUMMYFUNCTION("""COMPUTED_VALUE"""),"")</f>
        <v/>
      </c>
      <c r="I1536" s="62" t="str">
        <f>IFERROR(__xludf.DUMMYFUNCTION("""COMPUTED_VALUE"""),"")</f>
        <v/>
      </c>
      <c r="J1536" s="19" t="str">
        <f>IFERROR(__xludf.DUMMYFUNCTION("""COMPUTED_VALUE"""),"")</f>
        <v/>
      </c>
    </row>
    <row r="1537">
      <c r="A1537" s="19" t="str">
        <f>IFERROR(__xludf.DUMMYFUNCTION("""COMPUTED_VALUE"""),"")</f>
        <v/>
      </c>
      <c r="B1537" s="19" t="str">
        <f>IFERROR(__xludf.DUMMYFUNCTION("""COMPUTED_VALUE"""),"")</f>
        <v/>
      </c>
      <c r="C1537" s="5" t="str">
        <f>IFERROR(__xludf.DUMMYFUNCTION("""COMPUTED_VALUE"""),"")</f>
        <v/>
      </c>
      <c r="D1537" s="5" t="str">
        <f>IFERROR(__xludf.DUMMYFUNCTION("""COMPUTED_VALUE"""),"")</f>
        <v/>
      </c>
      <c r="E1537" s="5" t="str">
        <f>IFERROR(__xludf.DUMMYFUNCTION("""COMPUTED_VALUE"""),"")</f>
        <v/>
      </c>
      <c r="F1537" s="5" t="str">
        <f>IFERROR(__xludf.DUMMYFUNCTION("""COMPUTED_VALUE"""),"")</f>
        <v/>
      </c>
      <c r="G1537" s="19" t="str">
        <f>IFERROR(__xludf.DUMMYFUNCTION("""COMPUTED_VALUE"""),"")</f>
        <v/>
      </c>
      <c r="H1537" s="19" t="str">
        <f>IFERROR(__xludf.DUMMYFUNCTION("""COMPUTED_VALUE"""),"")</f>
        <v/>
      </c>
      <c r="I1537" s="62" t="str">
        <f>IFERROR(__xludf.DUMMYFUNCTION("""COMPUTED_VALUE"""),"")</f>
        <v/>
      </c>
      <c r="J1537" s="19" t="str">
        <f>IFERROR(__xludf.DUMMYFUNCTION("""COMPUTED_VALUE"""),"")</f>
        <v/>
      </c>
    </row>
    <row r="1538">
      <c r="A1538" s="19" t="str">
        <f>IFERROR(__xludf.DUMMYFUNCTION("""COMPUTED_VALUE"""),"Lisa Black")</f>
        <v>Lisa Black</v>
      </c>
      <c r="B1538" s="19" t="str">
        <f>IFERROR(__xludf.DUMMYFUNCTION("""COMPUTED_VALUE"""),"QLD")</f>
        <v>QLD</v>
      </c>
      <c r="C1538" s="5" t="str">
        <f>IFERROR(__xludf.DUMMYFUNCTION("""COMPUTED_VALUE"""),"Murrumba Downs")</f>
        <v>Murrumba Downs</v>
      </c>
      <c r="D1538" s="5" t="str">
        <f>IFERROR(__xludf.DUMMYFUNCTION("""COMPUTED_VALUE"""),"42 River Cove Circuit")</f>
        <v>42 River Cove Circuit</v>
      </c>
      <c r="E1538" s="27">
        <f>IFERROR(__xludf.DUMMYFUNCTION("""COMPUTED_VALUE"""),45700.0)</f>
        <v>45700</v>
      </c>
      <c r="F1538" s="64">
        <f>IFERROR(__xludf.DUMMYFUNCTION("""COMPUTED_VALUE"""),0.2)</f>
        <v>0.2</v>
      </c>
      <c r="G1538" s="19" t="str">
        <f>IFERROR(__xludf.DUMMYFUNCTION("""COMPUTED_VALUE"""),"Meta Commission Report")</f>
        <v>Meta Commission Report</v>
      </c>
      <c r="H1538" s="19" t="str">
        <f>IFERROR(__xludf.DUMMYFUNCTION("""COMPUTED_VALUE"""),"Kim Reynolds")</f>
        <v>Kim Reynolds</v>
      </c>
      <c r="I1538" s="62">
        <f>IFERROR(__xludf.DUMMYFUNCTION("""COMPUTED_VALUE"""),6.1405349062E10)</f>
        <v>61405349062</v>
      </c>
      <c r="J1538" s="19" t="str">
        <f>IFERROR(__xludf.DUMMYFUNCTION("""COMPUTED_VALUE"""),"Mreyno68@hotmail.com")</f>
        <v>Mreyno68@hotmail.com</v>
      </c>
    </row>
    <row r="1539">
      <c r="A1539" s="19" t="str">
        <f>IFERROR(__xludf.DUMMYFUNCTION("""COMPUTED_VALUE"""),"")</f>
        <v/>
      </c>
      <c r="B1539" s="19" t="str">
        <f>IFERROR(__xludf.DUMMYFUNCTION("""COMPUTED_VALUE"""),"")</f>
        <v/>
      </c>
      <c r="C1539" s="5" t="str">
        <f>IFERROR(__xludf.DUMMYFUNCTION("""COMPUTED_VALUE"""),"")</f>
        <v/>
      </c>
      <c r="D1539" s="5" t="str">
        <f>IFERROR(__xludf.DUMMYFUNCTION("""COMPUTED_VALUE"""),"")</f>
        <v/>
      </c>
      <c r="E1539" s="5" t="str">
        <f>IFERROR(__xludf.DUMMYFUNCTION("""COMPUTED_VALUE"""),"")</f>
        <v/>
      </c>
      <c r="F1539" s="5" t="str">
        <f>IFERROR(__xludf.DUMMYFUNCTION("""COMPUTED_VALUE"""),"")</f>
        <v/>
      </c>
      <c r="G1539" s="19" t="str">
        <f>IFERROR(__xludf.DUMMYFUNCTION("""COMPUTED_VALUE"""),"")</f>
        <v/>
      </c>
      <c r="H1539" s="19" t="str">
        <f>IFERROR(__xludf.DUMMYFUNCTION("""COMPUTED_VALUE"""),"")</f>
        <v/>
      </c>
      <c r="I1539" s="62" t="str">
        <f>IFERROR(__xludf.DUMMYFUNCTION("""COMPUTED_VALUE"""),"")</f>
        <v/>
      </c>
      <c r="J1539" s="19" t="str">
        <f>IFERROR(__xludf.DUMMYFUNCTION("""COMPUTED_VALUE"""),"")</f>
        <v/>
      </c>
    </row>
    <row r="1540">
      <c r="A1540" s="19" t="str">
        <f>IFERROR(__xludf.DUMMYFUNCTION("""COMPUTED_VALUE"""),"")</f>
        <v/>
      </c>
      <c r="B1540" s="19" t="str">
        <f>IFERROR(__xludf.DUMMYFUNCTION("""COMPUTED_VALUE"""),"")</f>
        <v/>
      </c>
      <c r="C1540" s="5" t="str">
        <f>IFERROR(__xludf.DUMMYFUNCTION("""COMPUTED_VALUE"""),"")</f>
        <v/>
      </c>
      <c r="D1540" s="5" t="str">
        <f>IFERROR(__xludf.DUMMYFUNCTION("""COMPUTED_VALUE"""),"")</f>
        <v/>
      </c>
      <c r="E1540" s="5" t="str">
        <f>IFERROR(__xludf.DUMMYFUNCTION("""COMPUTED_VALUE"""),"")</f>
        <v/>
      </c>
      <c r="F1540" s="5" t="str">
        <f>IFERROR(__xludf.DUMMYFUNCTION("""COMPUTED_VALUE"""),"")</f>
        <v/>
      </c>
      <c r="G1540" s="19" t="str">
        <f>IFERROR(__xludf.DUMMYFUNCTION("""COMPUTED_VALUE"""),"")</f>
        <v/>
      </c>
      <c r="H1540" s="19" t="str">
        <f>IFERROR(__xludf.DUMMYFUNCTION("""COMPUTED_VALUE"""),"")</f>
        <v/>
      </c>
      <c r="I1540" s="62" t="str">
        <f>IFERROR(__xludf.DUMMYFUNCTION("""COMPUTED_VALUE"""),"")</f>
        <v/>
      </c>
      <c r="J1540" s="19" t="str">
        <f>IFERROR(__xludf.DUMMYFUNCTION("""COMPUTED_VALUE"""),"")</f>
        <v/>
      </c>
    </row>
    <row r="1541">
      <c r="A1541" s="19" t="str">
        <f>IFERROR(__xludf.DUMMYFUNCTION("""COMPUTED_VALUE"""),"Luke Magree")</f>
        <v>Luke Magree</v>
      </c>
      <c r="B1541" s="19" t="str">
        <f>IFERROR(__xludf.DUMMYFUNCTION("""COMPUTED_VALUE"""),"VIC")</f>
        <v>VIC</v>
      </c>
      <c r="C1541" s="5" t="str">
        <f>IFERROR(__xludf.DUMMYFUNCTION("""COMPUTED_VALUE"""),"Frankston")</f>
        <v>Frankston</v>
      </c>
      <c r="D1541" s="5"/>
      <c r="E1541" s="25">
        <f>IFERROR(__xludf.DUMMYFUNCTION("""COMPUTED_VALUE"""),45887.0)</f>
        <v>45887</v>
      </c>
      <c r="F1541" s="5" t="str">
        <f>IFERROR(__xludf.DUMMYFUNCTION("""COMPUTED_VALUE"""),"Featured")</f>
        <v>Featured</v>
      </c>
      <c r="G1541" s="19" t="str">
        <f>IFERROR(__xludf.DUMMYFUNCTION("""COMPUTED_VALUE"""),"Instant Forms")</f>
        <v>Instant Forms</v>
      </c>
      <c r="H1541" s="19"/>
      <c r="I1541" s="62"/>
      <c r="J1541" s="19"/>
    </row>
    <row r="1542">
      <c r="A1542" s="19" t="str">
        <f>IFERROR(__xludf.DUMMYFUNCTION("""COMPUTED_VALUE"""),"Luke Magree")</f>
        <v>Luke Magree</v>
      </c>
      <c r="B1542" s="19" t="str">
        <f>IFERROR(__xludf.DUMMYFUNCTION("""COMPUTED_VALUE"""),"VIC")</f>
        <v>VIC</v>
      </c>
      <c r="C1542" s="5" t="str">
        <f>IFERROR(__xludf.DUMMYFUNCTION("""COMPUTED_VALUE"""),"Langwarrin")</f>
        <v>Langwarrin</v>
      </c>
      <c r="D1542" s="5" t="str">
        <f>IFERROR(__xludf.DUMMYFUNCTION("""COMPUTED_VALUE"""),"12 Quarry Road, Langwarrin, VIC, 3910")</f>
        <v>12 Quarry Road, Langwarrin, VIC, 3910</v>
      </c>
      <c r="E1542" s="25">
        <f>IFERROR(__xludf.DUMMYFUNCTION("""COMPUTED_VALUE"""),45888.0)</f>
        <v>45888</v>
      </c>
      <c r="F1542" s="5" t="str">
        <f>IFERROR(__xludf.DUMMYFUNCTION("""COMPUTED_VALUE"""),"Featured")</f>
        <v>Featured</v>
      </c>
      <c r="G1542" s="19" t="str">
        <f>IFERROR(__xludf.DUMMYFUNCTION("""COMPUTED_VALUE"""),"Instant Forms")</f>
        <v>Instant Forms</v>
      </c>
      <c r="H1542" s="19"/>
      <c r="I1542" s="62"/>
      <c r="J1542" s="19"/>
    </row>
    <row r="1543">
      <c r="A1543" s="19" t="str">
        <f>IFERROR(__xludf.DUMMYFUNCTION("""COMPUTED_VALUE"""),"Luke Magree")</f>
        <v>Luke Magree</v>
      </c>
      <c r="B1543" s="19" t="str">
        <f>IFERROR(__xludf.DUMMYFUNCTION("""COMPUTED_VALUE"""),"VIC")</f>
        <v>VIC</v>
      </c>
      <c r="C1543" s="5" t="str">
        <f>IFERROR(__xludf.DUMMYFUNCTION("""COMPUTED_VALUE"""),"Frankston South")</f>
        <v>Frankston South</v>
      </c>
      <c r="D1543" s="5" t="str">
        <f>IFERROR(__xludf.DUMMYFUNCTION("""COMPUTED_VALUE"""),"32 Kars Street, Frankston South, VIC, 3199, Australia")</f>
        <v>32 Kars Street, Frankston South, VIC, 3199, Australia</v>
      </c>
      <c r="E1543" s="5" t="str">
        <f>IFERROR(__xludf.DUMMYFUNCTION("""COMPUTED_VALUE"""),"19/08/2025")</f>
        <v>19/08/2025</v>
      </c>
      <c r="F1543" s="5" t="str">
        <f>IFERROR(__xludf.DUMMYFUNCTION("""COMPUTED_VALUE"""),"Featured")</f>
        <v>Featured</v>
      </c>
      <c r="G1543" s="19"/>
      <c r="H1543" s="19"/>
      <c r="I1543" s="62"/>
      <c r="J1543" s="19"/>
    </row>
    <row r="1544">
      <c r="A1544" s="19" t="str">
        <f>IFERROR(__xludf.DUMMYFUNCTION("""COMPUTED_VALUE"""),"Luke Magree")</f>
        <v>Luke Magree</v>
      </c>
      <c r="B1544" s="19" t="str">
        <f>IFERROR(__xludf.DUMMYFUNCTION("""COMPUTED_VALUE"""),"VIC")</f>
        <v>VIC</v>
      </c>
      <c r="C1544" s="5" t="str">
        <f>IFERROR(__xludf.DUMMYFUNCTION("""COMPUTED_VALUE"""),"Frankston")</f>
        <v>Frankston</v>
      </c>
      <c r="D1544" s="5"/>
      <c r="E1544" s="25">
        <f>IFERROR(__xludf.DUMMYFUNCTION("""COMPUTED_VALUE"""),45889.0)</f>
        <v>45889</v>
      </c>
      <c r="F1544" s="5" t="str">
        <f>IFERROR(__xludf.DUMMYFUNCTION("""COMPUTED_VALUE"""),"Featured")</f>
        <v>Featured</v>
      </c>
      <c r="G1544" s="19" t="str">
        <f>IFERROR(__xludf.DUMMYFUNCTION("""COMPUTED_VALUE"""),"Instant Forms")</f>
        <v>Instant Forms</v>
      </c>
      <c r="H1544" s="19"/>
      <c r="I1544" s="62"/>
      <c r="J1544" s="19"/>
    </row>
    <row r="1545">
      <c r="A1545" s="19" t="str">
        <f>IFERROR(__xludf.DUMMYFUNCTION("""COMPUTED_VALUE"""),"Luke Magree")</f>
        <v>Luke Magree</v>
      </c>
      <c r="B1545" s="19" t="str">
        <f>IFERROR(__xludf.DUMMYFUNCTION("""COMPUTED_VALUE"""),"VIC")</f>
        <v>VIC</v>
      </c>
      <c r="C1545" s="5" t="str">
        <f>IFERROR(__xludf.DUMMYFUNCTION("""COMPUTED_VALUE"""),"Langwarrin")</f>
        <v>Langwarrin</v>
      </c>
      <c r="D1545" s="5" t="str">
        <f>IFERROR(__xludf.DUMMYFUNCTION("""COMPUTED_VALUE"""),"7 Waratah Court Langwarrin VIC 3910")</f>
        <v>7 Waratah Court Langwarrin VIC 3910</v>
      </c>
      <c r="E1545" s="25">
        <f>IFERROR(__xludf.DUMMYFUNCTION("""COMPUTED_VALUE"""),45890.0)</f>
        <v>45890</v>
      </c>
      <c r="F1545" s="5" t="str">
        <f>IFERROR(__xludf.DUMMYFUNCTION("""COMPUTED_VALUE"""),"Featured")</f>
        <v>Featured</v>
      </c>
      <c r="G1545" s="19" t="str">
        <f>IFERROR(__xludf.DUMMYFUNCTION("""COMPUTED_VALUE"""),"Instant Forms")</f>
        <v>Instant Forms</v>
      </c>
      <c r="H1545" s="19"/>
      <c r="I1545" s="62"/>
      <c r="J1545" s="19"/>
    </row>
    <row r="1546">
      <c r="A1546" s="19" t="str">
        <f>IFERROR(__xludf.DUMMYFUNCTION("""COMPUTED_VALUE"""),"Luke Magree")</f>
        <v>Luke Magree</v>
      </c>
      <c r="B1546" s="19" t="str">
        <f>IFERROR(__xludf.DUMMYFUNCTION("""COMPUTED_VALUE"""),"VIC")</f>
        <v>VIC</v>
      </c>
      <c r="C1546" s="5" t="str">
        <f>IFERROR(__xludf.DUMMYFUNCTION("""COMPUTED_VALUE"""),"Langwarrin")</f>
        <v>Langwarrin</v>
      </c>
      <c r="D1546" s="5"/>
      <c r="E1546" s="25">
        <f>IFERROR(__xludf.DUMMYFUNCTION("""COMPUTED_VALUE"""),45899.0)</f>
        <v>45899</v>
      </c>
      <c r="F1546" s="5" t="str">
        <f>IFERROR(__xludf.DUMMYFUNCTION("""COMPUTED_VALUE"""),"Free")</f>
        <v>Free</v>
      </c>
      <c r="G1546" s="19" t="str">
        <f>IFERROR(__xludf.DUMMYFUNCTION("""COMPUTED_VALUE"""),"Instant Forms")</f>
        <v>Instant Forms</v>
      </c>
      <c r="H1546" s="19"/>
      <c r="I1546" s="62"/>
      <c r="J1546" s="19"/>
    </row>
    <row r="1547">
      <c r="A1547" s="19" t="str">
        <f>IFERROR(__xludf.DUMMYFUNCTION("""COMPUTED_VALUE"""),"Luke Magree")</f>
        <v>Luke Magree</v>
      </c>
      <c r="B1547" s="19" t="str">
        <f>IFERROR(__xludf.DUMMYFUNCTION("""COMPUTED_VALUE"""),"VIC")</f>
        <v>VIC</v>
      </c>
      <c r="C1547" s="5" t="str">
        <f>IFERROR(__xludf.DUMMYFUNCTION("""COMPUTED_VALUE"""),"Seaford")</f>
        <v>Seaford</v>
      </c>
      <c r="D1547" s="5"/>
      <c r="E1547" s="25">
        <f>IFERROR(__xludf.DUMMYFUNCTION("""COMPUTED_VALUE"""),45904.0)</f>
        <v>45904</v>
      </c>
      <c r="F1547" s="5" t="str">
        <f>IFERROR(__xludf.DUMMYFUNCTION("""COMPUTED_VALUE"""),"Free")</f>
        <v>Free</v>
      </c>
      <c r="G1547" s="19" t="str">
        <f>IFERROR(__xludf.DUMMYFUNCTION("""COMPUTED_VALUE"""),"Instant Forms")</f>
        <v>Instant Forms</v>
      </c>
      <c r="H1547" s="19"/>
      <c r="I1547" s="62"/>
      <c r="J1547" s="19"/>
    </row>
    <row r="1548">
      <c r="A1548" s="19" t="str">
        <f>IFERROR(__xludf.DUMMYFUNCTION("""COMPUTED_VALUE"""),"Luke Magree")</f>
        <v>Luke Magree</v>
      </c>
      <c r="B1548" s="19" t="str">
        <f>IFERROR(__xludf.DUMMYFUNCTION("""COMPUTED_VALUE"""),"VIC")</f>
        <v>VIC</v>
      </c>
      <c r="C1548" s="5" t="str">
        <f>IFERROR(__xludf.DUMMYFUNCTION("""COMPUTED_VALUE"""),"Frankston")</f>
        <v>Frankston</v>
      </c>
      <c r="D1548" s="5"/>
      <c r="E1548" s="25">
        <f>IFERROR(__xludf.DUMMYFUNCTION("""COMPUTED_VALUE"""),45905.0)</f>
        <v>45905</v>
      </c>
      <c r="F1548" s="5" t="str">
        <f>IFERROR(__xludf.DUMMYFUNCTION("""COMPUTED_VALUE"""),"Free")</f>
        <v>Free</v>
      </c>
      <c r="G1548" s="19" t="str">
        <f>IFERROR(__xludf.DUMMYFUNCTION("""COMPUTED_VALUE"""),"Instant Forms")</f>
        <v>Instant Forms</v>
      </c>
      <c r="H1548" s="19"/>
      <c r="I1548" s="62"/>
      <c r="J1548" s="19"/>
    </row>
    <row r="1549">
      <c r="A1549" s="19" t="str">
        <f>IFERROR(__xludf.DUMMYFUNCTION("""COMPUTED_VALUE"""),"Luke Magree")</f>
        <v>Luke Magree</v>
      </c>
      <c r="B1549" s="19" t="str">
        <f>IFERROR(__xludf.DUMMYFUNCTION("""COMPUTED_VALUE"""),"VIC")</f>
        <v>VIC</v>
      </c>
      <c r="C1549" s="5" t="str">
        <f>IFERROR(__xludf.DUMMYFUNCTION("""COMPUTED_VALUE"""),"Frankston")</f>
        <v>Frankston</v>
      </c>
      <c r="D1549" s="5" t="str">
        <f>IFERROR(__xludf.DUMMYFUNCTION("""COMPUTED_VALUE"""),"25 Williams Street Frankston VIC 3199")</f>
        <v>25 Williams Street Frankston VIC 3199</v>
      </c>
      <c r="E1549" s="25">
        <f>IFERROR(__xludf.DUMMYFUNCTION("""COMPUTED_VALUE"""),45906.0)</f>
        <v>45906</v>
      </c>
      <c r="F1549" s="5" t="str">
        <f>IFERROR(__xludf.DUMMYFUNCTION("""COMPUTED_VALUE"""),"Featured")</f>
        <v>Featured</v>
      </c>
      <c r="G1549" s="19" t="str">
        <f>IFERROR(__xludf.DUMMYFUNCTION("""COMPUTED_VALUE"""),"Instant Forms")</f>
        <v>Instant Forms</v>
      </c>
      <c r="H1549" s="19"/>
      <c r="I1549" s="62"/>
      <c r="J1549" s="19"/>
    </row>
    <row r="1550">
      <c r="A1550" s="19" t="str">
        <f>IFERROR(__xludf.DUMMYFUNCTION("""COMPUTED_VALUE"""),"Luke Magree")</f>
        <v>Luke Magree</v>
      </c>
      <c r="B1550" s="19" t="str">
        <f>IFERROR(__xludf.DUMMYFUNCTION("""COMPUTED_VALUE"""),"VIC")</f>
        <v>VIC</v>
      </c>
      <c r="C1550" s="5" t="str">
        <f>IFERROR(__xludf.DUMMYFUNCTION("""COMPUTED_VALUE"""),"Frankston victoria")</f>
        <v>Frankston victoria</v>
      </c>
      <c r="D1550" s="5" t="str">
        <f>IFERROR(__xludf.DUMMYFUNCTION("""COMPUTED_VALUE"""),"2 Valley Road Frankston VIC 3199")</f>
        <v>2 Valley Road Frankston VIC 3199</v>
      </c>
      <c r="E1550" s="25">
        <f>IFERROR(__xludf.DUMMYFUNCTION("""COMPUTED_VALUE"""),45907.0)</f>
        <v>45907</v>
      </c>
      <c r="F1550" s="5" t="str">
        <f>IFERROR(__xludf.DUMMYFUNCTION("""COMPUTED_VALUE"""),"Featured")</f>
        <v>Featured</v>
      </c>
      <c r="G1550" s="19" t="str">
        <f>IFERROR(__xludf.DUMMYFUNCTION("""COMPUTED_VALUE"""),"Instant Forms")</f>
        <v>Instant Forms</v>
      </c>
      <c r="H1550" s="19"/>
      <c r="I1550" s="62"/>
      <c r="J1550" s="19"/>
    </row>
    <row r="1551">
      <c r="A1551" s="19" t="str">
        <f>IFERROR(__xludf.DUMMYFUNCTION("""COMPUTED_VALUE"""),"Luke Magree")</f>
        <v>Luke Magree</v>
      </c>
      <c r="B1551" s="19" t="str">
        <f>IFERROR(__xludf.DUMMYFUNCTION("""COMPUTED_VALUE"""),"VIC")</f>
        <v>VIC</v>
      </c>
      <c r="C1551" s="5" t="str">
        <f>IFERROR(__xludf.DUMMYFUNCTION("""COMPUTED_VALUE"""),"Chelsea")</f>
        <v>Chelsea</v>
      </c>
      <c r="D1551" s="5" t="str">
        <f>IFERROR(__xludf.DUMMYFUNCTION("""COMPUTED_VALUE"""),"5/1 Golden Avenue Chelsea VIC 3196")</f>
        <v>5/1 Golden Avenue Chelsea VIC 3196</v>
      </c>
      <c r="E1551" s="25">
        <f>IFERROR(__xludf.DUMMYFUNCTION("""COMPUTED_VALUE"""),45910.0)</f>
        <v>45910</v>
      </c>
      <c r="F1551" s="5">
        <f>IFERROR(__xludf.DUMMYFUNCTION("""COMPUTED_VALUE"""),8.0)</f>
        <v>8</v>
      </c>
      <c r="G1551" s="19" t="str">
        <f>IFERROR(__xludf.DUMMYFUNCTION("""COMPUTED_VALUE"""),"Instant Forms")</f>
        <v>Instant Forms</v>
      </c>
      <c r="H1551" s="19" t="str">
        <f>IFERROR(__xludf.DUMMYFUNCTION("""COMPUTED_VALUE"""),"Lisa Van")</f>
        <v>Lisa Van</v>
      </c>
      <c r="I1551" s="62"/>
      <c r="J1551" s="19"/>
    </row>
    <row r="1552">
      <c r="A1552" s="19" t="str">
        <f>IFERROR(__xludf.DUMMYFUNCTION("""COMPUTED_VALUE"""),"Luke Magree")</f>
        <v>Luke Magree</v>
      </c>
      <c r="B1552" s="19" t="str">
        <f>IFERROR(__xludf.DUMMYFUNCTION("""COMPUTED_VALUE"""),"VIC")</f>
        <v>VIC</v>
      </c>
      <c r="C1552" s="5" t="str">
        <f>IFERROR(__xludf.DUMMYFUNCTION("""COMPUTED_VALUE"""),"3197 Patterson lakes")</f>
        <v>3197 Patterson lakes</v>
      </c>
      <c r="D1552" s="5" t="str">
        <f>IFERROR(__xludf.DUMMYFUNCTION("""COMPUTED_VALUE"""),"18 Pier One Drive Patterson Lakes VIC 3197")</f>
        <v>18 Pier One Drive Patterson Lakes VIC 3197</v>
      </c>
      <c r="E1552" s="25">
        <f>IFERROR(__xludf.DUMMYFUNCTION("""COMPUTED_VALUE"""),45911.0)</f>
        <v>45911</v>
      </c>
      <c r="F1552" s="5">
        <f>IFERROR(__xludf.DUMMYFUNCTION("""COMPUTED_VALUE"""),6.0)</f>
        <v>6</v>
      </c>
      <c r="G1552" s="19" t="str">
        <f>IFERROR(__xludf.DUMMYFUNCTION("""COMPUTED_VALUE"""),"Instant Forms")</f>
        <v>Instant Forms</v>
      </c>
      <c r="H1552" s="19" t="str">
        <f>IFERROR(__xludf.DUMMYFUNCTION("""COMPUTED_VALUE"""),"Laurie Pope")</f>
        <v>Laurie Pope</v>
      </c>
      <c r="I1552" s="62"/>
      <c r="J1552" s="19"/>
    </row>
    <row r="1553">
      <c r="A1553" s="19" t="str">
        <f>IFERROR(__xludf.DUMMYFUNCTION("""COMPUTED_VALUE"""),"Luke Magree")</f>
        <v>Luke Magree</v>
      </c>
      <c r="B1553" s="19" t="str">
        <f>IFERROR(__xludf.DUMMYFUNCTION("""COMPUTED_VALUE"""),"VIC")</f>
        <v>VIC</v>
      </c>
      <c r="C1553" s="5" t="str">
        <f>IFERROR(__xludf.DUMMYFUNCTION("""COMPUTED_VALUE"""),"Frankston")</f>
        <v>Frankston</v>
      </c>
      <c r="D1553" s="5"/>
      <c r="E1553" s="25">
        <f>IFERROR(__xludf.DUMMYFUNCTION("""COMPUTED_VALUE"""),45911.0)</f>
        <v>45911</v>
      </c>
      <c r="F1553" s="5">
        <f>IFERROR(__xludf.DUMMYFUNCTION("""COMPUTED_VALUE"""),6.0)</f>
        <v>6</v>
      </c>
      <c r="G1553" s="19" t="str">
        <f>IFERROR(__xludf.DUMMYFUNCTION("""COMPUTED_VALUE"""),"Instant Forms")</f>
        <v>Instant Forms</v>
      </c>
      <c r="H1553" s="19" t="str">
        <f>IFERROR(__xludf.DUMMYFUNCTION("""COMPUTED_VALUE"""),"Helen Porcaro")</f>
        <v>Helen Porcaro</v>
      </c>
      <c r="I1553" s="62"/>
      <c r="J1553" s="19"/>
    </row>
    <row r="1554">
      <c r="A1554" s="19" t="str">
        <f>IFERROR(__xludf.DUMMYFUNCTION("""COMPUTED_VALUE"""),"Luke Magree")</f>
        <v>Luke Magree</v>
      </c>
      <c r="B1554" s="19" t="str">
        <f>IFERROR(__xludf.DUMMYFUNCTION("""COMPUTED_VALUE"""),"VIC")</f>
        <v>VIC</v>
      </c>
      <c r="C1554" s="5" t="str">
        <f>IFERROR(__xludf.DUMMYFUNCTION("""COMPUTED_VALUE"""),"Skye")</f>
        <v>Skye</v>
      </c>
      <c r="D1554" s="5" t="str">
        <f>IFERROR(__xludf.DUMMYFUNCTION("""COMPUTED_VALUE"""),"1/11 Coco Parade Skye VIC 3977")</f>
        <v>1/11 Coco Parade Skye VIC 3977</v>
      </c>
      <c r="E1554" s="25">
        <f>IFERROR(__xludf.DUMMYFUNCTION("""COMPUTED_VALUE"""),45912.0)</f>
        <v>45912</v>
      </c>
      <c r="F1554" s="5">
        <f>IFERROR(__xludf.DUMMYFUNCTION("""COMPUTED_VALUE"""),6.0)</f>
        <v>6</v>
      </c>
      <c r="G1554" s="19" t="str">
        <f>IFERROR(__xludf.DUMMYFUNCTION("""COMPUTED_VALUE"""),"Instant Forms")</f>
        <v>Instant Forms</v>
      </c>
      <c r="H1554" s="19" t="str">
        <f>IFERROR(__xludf.DUMMYFUNCTION("""COMPUTED_VALUE"""),"Jen Gay")</f>
        <v>Jen Gay</v>
      </c>
      <c r="I1554" s="62"/>
      <c r="J1554" s="19"/>
    </row>
    <row r="1555">
      <c r="A1555" s="19" t="str">
        <f>IFERROR(__xludf.DUMMYFUNCTION("""COMPUTED_VALUE"""),"Luke Magree")</f>
        <v>Luke Magree</v>
      </c>
      <c r="B1555" s="19" t="str">
        <f>IFERROR(__xludf.DUMMYFUNCTION("""COMPUTED_VALUE"""),"VIC")</f>
        <v>VIC</v>
      </c>
      <c r="C1555" s="5" t="str">
        <f>IFERROR(__xludf.DUMMYFUNCTION("""COMPUTED_VALUE"""),"CARRUM")</f>
        <v>CARRUM</v>
      </c>
      <c r="D1555" s="5" t="str">
        <f>IFERROR(__xludf.DUMMYFUNCTION("""COMPUTED_VALUE"""),"17 McMahons Road Frankston (Address Data Appears to be old)")</f>
        <v>17 McMahons Road Frankston (Address Data Appears to be old)</v>
      </c>
      <c r="E1555" s="25">
        <f>IFERROR(__xludf.DUMMYFUNCTION("""COMPUTED_VALUE"""),45916.0)</f>
        <v>45916</v>
      </c>
      <c r="F1555" s="5">
        <f>IFERROR(__xludf.DUMMYFUNCTION("""COMPUTED_VALUE"""),5.0)</f>
        <v>5</v>
      </c>
      <c r="G1555" s="19" t="str">
        <f>IFERROR(__xludf.DUMMYFUNCTION("""COMPUTED_VALUE"""),"Instant Forms")</f>
        <v>Instant Forms</v>
      </c>
      <c r="H1555" s="19" t="str">
        <f>IFERROR(__xludf.DUMMYFUNCTION("""COMPUTED_VALUE"""),"Georgie Simon")</f>
        <v>Georgie Simon</v>
      </c>
      <c r="I1555" s="62"/>
      <c r="J1555" s="19"/>
    </row>
    <row r="1556">
      <c r="A1556" s="19" t="str">
        <f>IFERROR(__xludf.DUMMYFUNCTION("""COMPUTED_VALUE"""),"Luke Magree")</f>
        <v>Luke Magree</v>
      </c>
      <c r="B1556" s="19" t="str">
        <f>IFERROR(__xludf.DUMMYFUNCTION("""COMPUTED_VALUE"""),"VIC")</f>
        <v>VIC</v>
      </c>
      <c r="C1556" s="5" t="str">
        <f>IFERROR(__xludf.DUMMYFUNCTION("""COMPUTED_VALUE"""),"Langwarrin")</f>
        <v>Langwarrin</v>
      </c>
      <c r="D1556" s="5"/>
      <c r="E1556" s="25">
        <f>IFERROR(__xludf.DUMMYFUNCTION("""COMPUTED_VALUE"""),45917.0)</f>
        <v>45917</v>
      </c>
      <c r="F1556" s="5">
        <f>IFERROR(__xludf.DUMMYFUNCTION("""COMPUTED_VALUE"""),5.0)</f>
        <v>5</v>
      </c>
      <c r="G1556" s="19" t="str">
        <f>IFERROR(__xludf.DUMMYFUNCTION("""COMPUTED_VALUE"""),"Instant Forms")</f>
        <v>Instant Forms</v>
      </c>
      <c r="H1556" s="19" t="str">
        <f>IFERROR(__xludf.DUMMYFUNCTION("""COMPUTED_VALUE"""),"Pete")</f>
        <v>Pete</v>
      </c>
      <c r="I1556" s="62"/>
      <c r="J1556" s="19"/>
    </row>
    <row r="1557">
      <c r="A1557" s="19" t="str">
        <f>IFERROR(__xludf.DUMMYFUNCTION("""COMPUTED_VALUE"""),"Luke Magree")</f>
        <v>Luke Magree</v>
      </c>
      <c r="B1557" s="19" t="str">
        <f>IFERROR(__xludf.DUMMYFUNCTION("""COMPUTED_VALUE"""),"VIC")</f>
        <v>VIC</v>
      </c>
      <c r="C1557" s="5" t="str">
        <f>IFERROR(__xludf.DUMMYFUNCTION("""COMPUTED_VALUE"""),"Langwarrin")</f>
        <v>Langwarrin</v>
      </c>
      <c r="D1557" s="5" t="str">
        <f>IFERROR(__xludf.DUMMYFUNCTION("""COMPUTED_VALUE"""),"27 Myrtle Street, Langwarrin, VIC, 3910, Australia")</f>
        <v>27 Myrtle Street, Langwarrin, VIC, 3910, Australia</v>
      </c>
      <c r="E1557" s="25">
        <f>IFERROR(__xludf.DUMMYFUNCTION("""COMPUTED_VALUE"""),45922.0)</f>
        <v>45922</v>
      </c>
      <c r="F1557" s="5" t="str">
        <f>IFERROR(__xludf.DUMMYFUNCTION("""COMPUTED_VALUE"""),"Featured")</f>
        <v>Featured</v>
      </c>
      <c r="G1557" s="19" t="str">
        <f>IFERROR(__xludf.DUMMYFUNCTION("""COMPUTED_VALUE"""),"Commission Comparison")</f>
        <v>Commission Comparison</v>
      </c>
      <c r="H1557" s="19"/>
      <c r="I1557" s="62"/>
      <c r="J1557" s="19"/>
    </row>
    <row r="1558">
      <c r="A1558" s="19" t="str">
        <f>IFERROR(__xludf.DUMMYFUNCTION("""COMPUTED_VALUE"""),"Luke Magree")</f>
        <v>Luke Magree</v>
      </c>
      <c r="B1558" s="19" t="str">
        <f>IFERROR(__xludf.DUMMYFUNCTION("""COMPUTED_VALUE"""),"VIC")</f>
        <v>VIC</v>
      </c>
      <c r="C1558" s="5" t="str">
        <f>IFERROR(__xludf.DUMMYFUNCTION("""COMPUTED_VALUE"""),"Seaford")</f>
        <v>Seaford</v>
      </c>
      <c r="D1558" s="5" t="str">
        <f>IFERROR(__xludf.DUMMYFUNCTION("""COMPUTED_VALUE"""),"6 Anthony Court Seaford VIC 3198")</f>
        <v>6 Anthony Court Seaford VIC 3198</v>
      </c>
      <c r="E1558" s="25">
        <f>IFERROR(__xludf.DUMMYFUNCTION("""COMPUTED_VALUE"""),45926.0)</f>
        <v>45926</v>
      </c>
      <c r="F1558" s="5">
        <f>IFERROR(__xludf.DUMMYFUNCTION("""COMPUTED_VALUE"""),10.0)</f>
        <v>10</v>
      </c>
      <c r="G1558" s="19" t="str">
        <f>IFERROR(__xludf.DUMMYFUNCTION("""COMPUTED_VALUE"""),"Instant Forms")</f>
        <v>Instant Forms</v>
      </c>
      <c r="H1558" s="19" t="str">
        <f>IFERROR(__xludf.DUMMYFUNCTION("""COMPUTED_VALUE"""),"Diana N Paul Farrell")</f>
        <v>Diana N Paul Farrell</v>
      </c>
      <c r="I1558" s="62"/>
      <c r="J1558" s="19"/>
    </row>
    <row r="1559">
      <c r="A1559" s="19" t="str">
        <f>IFERROR(__xludf.DUMMYFUNCTION("""COMPUTED_VALUE"""),"Luke Magree")</f>
        <v>Luke Magree</v>
      </c>
      <c r="B1559" s="19" t="str">
        <f>IFERROR(__xludf.DUMMYFUNCTION("""COMPUTED_VALUE"""),"VIC")</f>
        <v>VIC</v>
      </c>
      <c r="C1559" s="5" t="str">
        <f>IFERROR(__xludf.DUMMYFUNCTION("""COMPUTED_VALUE"""),"Frankston")</f>
        <v>Frankston</v>
      </c>
      <c r="D1559" s="5" t="str">
        <f>IFERROR(__xludf.DUMMYFUNCTION("""COMPUTED_VALUE"""),"6 Coral Street Frankston VIC 3199")</f>
        <v>6 Coral Street Frankston VIC 3199</v>
      </c>
      <c r="E1559" s="25">
        <f>IFERROR(__xludf.DUMMYFUNCTION("""COMPUTED_VALUE"""),45933.0)</f>
        <v>45933</v>
      </c>
      <c r="F1559" s="5">
        <f>IFERROR(__xludf.DUMMYFUNCTION("""COMPUTED_VALUE"""),8.0)</f>
        <v>8</v>
      </c>
      <c r="G1559" s="19" t="str">
        <f>IFERROR(__xludf.DUMMYFUNCTION("""COMPUTED_VALUE"""),"Instant Forms")</f>
        <v>Instant Forms</v>
      </c>
      <c r="H1559" s="19" t="str">
        <f>IFERROR(__xludf.DUMMYFUNCTION("""COMPUTED_VALUE"""),"Rhett Andrew Dempsey")</f>
        <v>Rhett Andrew Dempsey</v>
      </c>
      <c r="I1559" s="62"/>
      <c r="J1559" s="19"/>
    </row>
    <row r="1560">
      <c r="A1560" s="19" t="str">
        <f>IFERROR(__xludf.DUMMYFUNCTION("""COMPUTED_VALUE"""),"Luke Magree")</f>
        <v>Luke Magree</v>
      </c>
      <c r="B1560" s="19" t="str">
        <f>IFERROR(__xludf.DUMMYFUNCTION("""COMPUTED_VALUE"""),"VIC")</f>
        <v>VIC</v>
      </c>
      <c r="C1560" s="5" t="str">
        <f>IFERROR(__xludf.DUMMYFUNCTION("""COMPUTED_VALUE"""),"Carrum Downs")</f>
        <v>Carrum Downs</v>
      </c>
      <c r="D1560" s="5"/>
      <c r="E1560" s="25">
        <f>IFERROR(__xludf.DUMMYFUNCTION("""COMPUTED_VALUE"""),45935.0)</f>
        <v>45935</v>
      </c>
      <c r="F1560" s="5">
        <f>IFERROR(__xludf.DUMMYFUNCTION("""COMPUTED_VALUE"""),5.0)</f>
        <v>5</v>
      </c>
      <c r="G1560" s="19" t="str">
        <f>IFERROR(__xludf.DUMMYFUNCTION("""COMPUTED_VALUE"""),"Instant Forms")</f>
        <v>Instant Forms</v>
      </c>
      <c r="H1560" s="19" t="str">
        <f>IFERROR(__xludf.DUMMYFUNCTION("""COMPUTED_VALUE"""),"Lyn Dawn")</f>
        <v>Lyn Dawn</v>
      </c>
      <c r="I1560" s="62"/>
      <c r="J1560" s="19"/>
    </row>
    <row r="1561">
      <c r="A1561" s="19" t="str">
        <f>IFERROR(__xludf.DUMMYFUNCTION("""COMPUTED_VALUE"""),"Luke Magree")</f>
        <v>Luke Magree</v>
      </c>
      <c r="B1561" s="19" t="str">
        <f>IFERROR(__xludf.DUMMYFUNCTION("""COMPUTED_VALUE"""),"VIC")</f>
        <v>VIC</v>
      </c>
      <c r="C1561" s="5" t="str">
        <f>IFERROR(__xludf.DUMMYFUNCTION("""COMPUTED_VALUE"""),"Frankston")</f>
        <v>Frankston</v>
      </c>
      <c r="D1561" s="5" t="str">
        <f>IFERROR(__xludf.DUMMYFUNCTION("""COMPUTED_VALUE"""),"2 Oban Street Frankston VIC 3199")</f>
        <v>2 Oban Street Frankston VIC 3199</v>
      </c>
      <c r="E1561" s="25">
        <f>IFERROR(__xludf.DUMMYFUNCTION("""COMPUTED_VALUE"""),45936.0)</f>
        <v>45936</v>
      </c>
      <c r="F1561" s="5">
        <f>IFERROR(__xludf.DUMMYFUNCTION("""COMPUTED_VALUE"""),8.0)</f>
        <v>8</v>
      </c>
      <c r="G1561" s="19" t="str">
        <f>IFERROR(__xludf.DUMMYFUNCTION("""COMPUTED_VALUE"""),"Instant Forms")</f>
        <v>Instant Forms</v>
      </c>
      <c r="H1561" s="19" t="str">
        <f>IFERROR(__xludf.DUMMYFUNCTION("""COMPUTED_VALUE"""),"Pam Elias")</f>
        <v>Pam Elias</v>
      </c>
      <c r="I1561" s="62"/>
      <c r="J1561" s="19"/>
    </row>
    <row r="1562">
      <c r="A1562" s="19" t="str">
        <f>IFERROR(__xludf.DUMMYFUNCTION("""COMPUTED_VALUE"""),"Luke Magree")</f>
        <v>Luke Magree</v>
      </c>
      <c r="B1562" s="19" t="str">
        <f>IFERROR(__xludf.DUMMYFUNCTION("""COMPUTED_VALUE"""),"VIC")</f>
        <v>VIC</v>
      </c>
      <c r="C1562" s="5" t="str">
        <f>IFERROR(__xludf.DUMMYFUNCTION("""COMPUTED_VALUE"""),"Skye")</f>
        <v>Skye</v>
      </c>
      <c r="D1562" s="5" t="str">
        <f>IFERROR(__xludf.DUMMYFUNCTION("""COMPUTED_VALUE"""),"5 Barrine Court Skye VIC 3977")</f>
        <v>5 Barrine Court Skye VIC 3977</v>
      </c>
      <c r="E1562" s="25">
        <f>IFERROR(__xludf.DUMMYFUNCTION("""COMPUTED_VALUE"""),45937.0)</f>
        <v>45937</v>
      </c>
      <c r="F1562" s="5">
        <f>IFERROR(__xludf.DUMMYFUNCTION("""COMPUTED_VALUE"""),6.0)</f>
        <v>6</v>
      </c>
      <c r="G1562" s="19" t="str">
        <f>IFERROR(__xludf.DUMMYFUNCTION("""COMPUTED_VALUE"""),"Instant Forms")</f>
        <v>Instant Forms</v>
      </c>
      <c r="H1562" s="19" t="str">
        <f>IFERROR(__xludf.DUMMYFUNCTION("""COMPUTED_VALUE"""),"Pauline Carlisle")</f>
        <v>Pauline Carlisle</v>
      </c>
      <c r="I1562" s="62"/>
      <c r="J1562" s="19"/>
    </row>
    <row r="1563">
      <c r="A1563" s="19" t="str">
        <f>IFERROR(__xludf.DUMMYFUNCTION("""COMPUTED_VALUE"""),"Luke Magree")</f>
        <v>Luke Magree</v>
      </c>
      <c r="B1563" s="19" t="str">
        <f>IFERROR(__xludf.DUMMYFUNCTION("""COMPUTED_VALUE"""),"VIC")</f>
        <v>VIC</v>
      </c>
      <c r="C1563" s="5" t="str">
        <f>IFERROR(__xludf.DUMMYFUNCTION("""COMPUTED_VALUE"""),"Frankston South")</f>
        <v>Frankston South</v>
      </c>
      <c r="D1563" s="5"/>
      <c r="E1563" s="25">
        <f>IFERROR(__xludf.DUMMYFUNCTION("""COMPUTED_VALUE"""),45943.0)</f>
        <v>45943</v>
      </c>
      <c r="F1563" s="5">
        <f>IFERROR(__xludf.DUMMYFUNCTION("""COMPUTED_VALUE"""),6.0)</f>
        <v>6</v>
      </c>
      <c r="G1563" s="19" t="str">
        <f>IFERROR(__xludf.DUMMYFUNCTION("""COMPUTED_VALUE"""),"Instant Forms")</f>
        <v>Instant Forms</v>
      </c>
      <c r="H1563" s="19"/>
      <c r="I1563" s="62"/>
      <c r="J1563" s="19"/>
    </row>
    <row r="1564">
      <c r="A1564" s="19" t="str">
        <f>IFERROR(__xludf.DUMMYFUNCTION("""COMPUTED_VALUE"""),"Luke Magree")</f>
        <v>Luke Magree</v>
      </c>
      <c r="B1564" s="19" t="str">
        <f>IFERROR(__xludf.DUMMYFUNCTION("""COMPUTED_VALUE"""),"VIC")</f>
        <v>VIC</v>
      </c>
      <c r="C1564" s="5" t="str">
        <f>IFERROR(__xludf.DUMMYFUNCTION("""COMPUTED_VALUE"""),"Langwarrin")</f>
        <v>Langwarrin</v>
      </c>
      <c r="D1564" s="5"/>
      <c r="E1564" s="25">
        <f>IFERROR(__xludf.DUMMYFUNCTION("""COMPUTED_VALUE"""),45943.0)</f>
        <v>45943</v>
      </c>
      <c r="F1564" s="5">
        <f>IFERROR(__xludf.DUMMYFUNCTION("""COMPUTED_VALUE"""),6.0)</f>
        <v>6</v>
      </c>
      <c r="G1564" s="19" t="str">
        <f>IFERROR(__xludf.DUMMYFUNCTION("""COMPUTED_VALUE"""),"Instant Forms")</f>
        <v>Instant Forms</v>
      </c>
      <c r="H1564" s="19"/>
      <c r="I1564" s="62"/>
      <c r="J1564" s="19"/>
    </row>
    <row r="1565">
      <c r="A1565" s="19" t="str">
        <f>IFERROR(__xludf.DUMMYFUNCTION("""COMPUTED_VALUE"""),"Luke Magree")</f>
        <v>Luke Magree</v>
      </c>
      <c r="B1565" s="19" t="str">
        <f>IFERROR(__xludf.DUMMYFUNCTION("""COMPUTED_VALUE"""),"VIC")</f>
        <v>VIC</v>
      </c>
      <c r="C1565" s="5" t="str">
        <f>IFERROR(__xludf.DUMMYFUNCTION("""COMPUTED_VALUE"""),"Frankston South")</f>
        <v>Frankston South</v>
      </c>
      <c r="D1565" s="5" t="str">
        <f>IFERROR(__xludf.DUMMYFUNCTION("""COMPUTED_VALUE"""),"26 Lawson Avenue Frankston South VIC 3199")</f>
        <v>26 Lawson Avenue Frankston South VIC 3199</v>
      </c>
      <c r="E1565" s="25">
        <f>IFERROR(__xludf.DUMMYFUNCTION("""COMPUTED_VALUE"""),45943.0)</f>
        <v>45943</v>
      </c>
      <c r="F1565" s="5">
        <f>IFERROR(__xludf.DUMMYFUNCTION("""COMPUTED_VALUE"""),9.0)</f>
        <v>9</v>
      </c>
      <c r="G1565" s="19" t="str">
        <f>IFERROR(__xludf.DUMMYFUNCTION("""COMPUTED_VALUE"""),"Instant Forms")</f>
        <v>Instant Forms</v>
      </c>
      <c r="H1565" s="19"/>
      <c r="I1565" s="62"/>
      <c r="J1565" s="19"/>
    </row>
    <row r="1566">
      <c r="A1566" s="19" t="str">
        <f>IFERROR(__xludf.DUMMYFUNCTION("""COMPUTED_VALUE"""),"Luke Magree")</f>
        <v>Luke Magree</v>
      </c>
      <c r="B1566" s="19" t="str">
        <f>IFERROR(__xludf.DUMMYFUNCTION("""COMPUTED_VALUE"""),"VIC")</f>
        <v>VIC</v>
      </c>
      <c r="C1566" s="5" t="str">
        <f>IFERROR(__xludf.DUMMYFUNCTION("""COMPUTED_VALUE"""),"Skye")</f>
        <v>Skye</v>
      </c>
      <c r="D1566" s="5" t="str">
        <f>IFERROR(__xludf.DUMMYFUNCTION("""COMPUTED_VALUE"""),"8 Ashfield Court Skye VIC 3977")</f>
        <v>8 Ashfield Court Skye VIC 3977</v>
      </c>
      <c r="E1566" s="25">
        <f>IFERROR(__xludf.DUMMYFUNCTION("""COMPUTED_VALUE"""),45943.0)</f>
        <v>45943</v>
      </c>
      <c r="F1566" s="5">
        <f>IFERROR(__xludf.DUMMYFUNCTION("""COMPUTED_VALUE"""),8.0)</f>
        <v>8</v>
      </c>
      <c r="G1566" s="19" t="str">
        <f>IFERROR(__xludf.DUMMYFUNCTION("""COMPUTED_VALUE"""),"Instant Forms")</f>
        <v>Instant Forms</v>
      </c>
      <c r="H1566" s="19"/>
      <c r="I1566" s="62"/>
      <c r="J1566" s="19"/>
    </row>
    <row r="1567">
      <c r="A1567" s="19" t="str">
        <f>IFERROR(__xludf.DUMMYFUNCTION("""COMPUTED_VALUE"""),"Luke Magree")</f>
        <v>Luke Magree</v>
      </c>
      <c r="B1567" s="19" t="str">
        <f>IFERROR(__xludf.DUMMYFUNCTION("""COMPUTED_VALUE"""),"VIC")</f>
        <v>VIC</v>
      </c>
      <c r="C1567" s="5" t="str">
        <f>IFERROR(__xludf.DUMMYFUNCTION("""COMPUTED_VALUE"""),"Frankston South")</f>
        <v>Frankston South</v>
      </c>
      <c r="D1567" s="5" t="str">
        <f>IFERROR(__xludf.DUMMYFUNCTION("""COMPUTED_VALUE"""),"10 Merrigal Court Frankston South VIC 3199")</f>
        <v>10 Merrigal Court Frankston South VIC 3199</v>
      </c>
      <c r="E1567" s="25">
        <f>IFERROR(__xludf.DUMMYFUNCTION("""COMPUTED_VALUE"""),45943.0)</f>
        <v>45943</v>
      </c>
      <c r="F1567" s="5">
        <f>IFERROR(__xludf.DUMMYFUNCTION("""COMPUTED_VALUE"""),8.0)</f>
        <v>8</v>
      </c>
      <c r="G1567" s="19" t="str">
        <f>IFERROR(__xludf.DUMMYFUNCTION("""COMPUTED_VALUE"""),"Instant Forms")</f>
        <v>Instant Forms</v>
      </c>
      <c r="H1567" s="19"/>
      <c r="I1567" s="62"/>
      <c r="J1567" s="19"/>
    </row>
    <row r="1568">
      <c r="A1568" s="19" t="str">
        <f>IFERROR(__xludf.DUMMYFUNCTION("""COMPUTED_VALUE"""),"Luke Magree")</f>
        <v>Luke Magree</v>
      </c>
      <c r="B1568" s="19" t="str">
        <f>IFERROR(__xludf.DUMMYFUNCTION("""COMPUTED_VALUE"""),"VIC")</f>
        <v>VIC</v>
      </c>
      <c r="C1568" s="5" t="str">
        <f>IFERROR(__xludf.DUMMYFUNCTION("""COMPUTED_VALUE"""),"Frankston")</f>
        <v>Frankston</v>
      </c>
      <c r="D1568" s="5" t="str">
        <f>IFERROR(__xludf.DUMMYFUNCTION("""COMPUTED_VALUE"""),"65A Gould Street, Frankston, VIC, 3199, Australia")</f>
        <v>65A Gould Street, Frankston, VIC, 3199, Australia</v>
      </c>
      <c r="E1568" s="25" t="str">
        <f>IFERROR(__xludf.DUMMYFUNCTION("""COMPUTED_VALUE"""),"16/10/2025")</f>
        <v>16/10/2025</v>
      </c>
      <c r="F1568" s="5" t="str">
        <f>IFERROR(__xludf.DUMMYFUNCTION("""COMPUTED_VALUE"""),"Featured")</f>
        <v>Featured</v>
      </c>
      <c r="G1568" s="19"/>
      <c r="H1568" s="19"/>
      <c r="I1568" s="62"/>
      <c r="J1568" s="19"/>
    </row>
    <row r="1569">
      <c r="A1569" s="19" t="str">
        <f>IFERROR(__xludf.DUMMYFUNCTION("""COMPUTED_VALUE"""),"Luke Magree")</f>
        <v>Luke Magree</v>
      </c>
      <c r="B1569" s="19" t="str">
        <f>IFERROR(__xludf.DUMMYFUNCTION("""COMPUTED_VALUE"""),"VIC")</f>
        <v>VIC</v>
      </c>
      <c r="C1569" s="5" t="str">
        <f>IFERROR(__xludf.DUMMYFUNCTION("""COMPUTED_VALUE"""),"Frankston South")</f>
        <v>Frankston South</v>
      </c>
      <c r="D1569" s="5" t="str">
        <f>IFERROR(__xludf.DUMMYFUNCTION("""COMPUTED_VALUE"""),"8 Sheoak Road Frankston South VIC 3199")</f>
        <v>8 Sheoak Road Frankston South VIC 3199</v>
      </c>
      <c r="E1569" s="25">
        <f>IFERROR(__xludf.DUMMYFUNCTION("""COMPUTED_VALUE"""),45945.0)</f>
        <v>45945</v>
      </c>
      <c r="F1569" s="5">
        <f>IFERROR(__xludf.DUMMYFUNCTION("""COMPUTED_VALUE"""),8.0)</f>
        <v>8</v>
      </c>
      <c r="G1569" s="19" t="str">
        <f>IFERROR(__xludf.DUMMYFUNCTION("""COMPUTED_VALUE"""),"Instant Forms")</f>
        <v>Instant Forms</v>
      </c>
      <c r="H1569" s="19"/>
      <c r="I1569" s="62"/>
      <c r="J1569" s="19"/>
    </row>
    <row r="1570">
      <c r="A1570" s="19" t="str">
        <f>IFERROR(__xludf.DUMMYFUNCTION("""COMPUTED_VALUE"""),"Luke Magree")</f>
        <v>Luke Magree</v>
      </c>
      <c r="B1570" s="19" t="str">
        <f>IFERROR(__xludf.DUMMYFUNCTION("""COMPUTED_VALUE"""),"VIC")</f>
        <v>VIC</v>
      </c>
      <c r="C1570" s="5" t="str">
        <f>IFERROR(__xludf.DUMMYFUNCTION("""COMPUTED_VALUE"""),"Frankston South")</f>
        <v>Frankston South</v>
      </c>
      <c r="D1570" s="5" t="str">
        <f>IFERROR(__xludf.DUMMYFUNCTION("""COMPUTED_VALUE"""),"22 Highland Drive, Frankston South, VIC, 3199, Australia")</f>
        <v>22 Highland Drive, Frankston South, VIC, 3199, Australia</v>
      </c>
      <c r="E1570" s="25" t="str">
        <f>IFERROR(__xludf.DUMMYFUNCTION("""COMPUTED_VALUE"""),"20/10/2025")</f>
        <v>20/10/2025</v>
      </c>
      <c r="F1570" s="5" t="str">
        <f>IFERROR(__xludf.DUMMYFUNCTION("""COMPUTED_VALUE"""),"Featured")</f>
        <v>Featured</v>
      </c>
      <c r="G1570" s="19"/>
      <c r="H1570" s="19"/>
      <c r="I1570" s="62"/>
      <c r="J1570" s="19"/>
    </row>
    <row r="1571">
      <c r="A1571" s="19" t="str">
        <f>IFERROR(__xludf.DUMMYFUNCTION("""COMPUTED_VALUE"""),"Luke Magree")</f>
        <v>Luke Magree</v>
      </c>
      <c r="B1571" s="19" t="str">
        <f>IFERROR(__xludf.DUMMYFUNCTION("""COMPUTED_VALUE"""),"VIC")</f>
        <v>VIC</v>
      </c>
      <c r="C1571" s="5" t="str">
        <f>IFERROR(__xludf.DUMMYFUNCTION("""COMPUTED_VALUE"""),"Langwarrin")</f>
        <v>Langwarrin</v>
      </c>
      <c r="D1571" s="5" t="str">
        <f>IFERROR(__xludf.DUMMYFUNCTION("""COMPUTED_VALUE"""),"41 Leisureland Drive Langwarrin VIC 3910")</f>
        <v>41 Leisureland Drive Langwarrin VIC 3910</v>
      </c>
      <c r="E1571" s="25">
        <f>IFERROR(__xludf.DUMMYFUNCTION("""COMPUTED_VALUE"""),45954.0)</f>
        <v>45954</v>
      </c>
      <c r="F1571" s="5">
        <f>IFERROR(__xludf.DUMMYFUNCTION("""COMPUTED_VALUE"""),8.0)</f>
        <v>8</v>
      </c>
      <c r="G1571" s="19" t="str">
        <f>IFERROR(__xludf.DUMMYFUNCTION("""COMPUTED_VALUE"""),"Instant Forms")</f>
        <v>Instant Forms</v>
      </c>
      <c r="H1571" s="19"/>
      <c r="I1571" s="62"/>
      <c r="J1571" s="19"/>
    </row>
    <row r="1572">
      <c r="A1572" s="19" t="str">
        <f>IFERROR(__xludf.DUMMYFUNCTION("""COMPUTED_VALUE"""),"Luke Magree")</f>
        <v>Luke Magree</v>
      </c>
      <c r="B1572" s="19" t="str">
        <f>IFERROR(__xludf.DUMMYFUNCTION("""COMPUTED_VALUE"""),"VIC")</f>
        <v>VIC</v>
      </c>
      <c r="C1572" s="5">
        <f>IFERROR(__xludf.DUMMYFUNCTION("""COMPUTED_VALUE"""),3199.0)</f>
        <v>3199</v>
      </c>
      <c r="D1572" s="5"/>
      <c r="E1572" s="25">
        <f>IFERROR(__xludf.DUMMYFUNCTION("""COMPUTED_VALUE"""),45956.0)</f>
        <v>45956</v>
      </c>
      <c r="F1572" s="5">
        <f>IFERROR(__xludf.DUMMYFUNCTION("""COMPUTED_VALUE"""),5.0)</f>
        <v>5</v>
      </c>
      <c r="G1572" s="19" t="str">
        <f>IFERROR(__xludf.DUMMYFUNCTION("""COMPUTED_VALUE"""),"Instant Forms")</f>
        <v>Instant Forms</v>
      </c>
      <c r="H1572" s="19"/>
      <c r="I1572" s="62"/>
      <c r="J1572" s="19"/>
    </row>
    <row r="1573">
      <c r="A1573" s="19" t="str">
        <f>IFERROR(__xludf.DUMMYFUNCTION("""COMPUTED_VALUE"""),"Luke Magree")</f>
        <v>Luke Magree</v>
      </c>
      <c r="B1573" s="19" t="str">
        <f>IFERROR(__xludf.DUMMYFUNCTION("""COMPUTED_VALUE"""),"VIC")</f>
        <v>VIC</v>
      </c>
      <c r="C1573" s="5" t="str">
        <f>IFERROR(__xludf.DUMMYFUNCTION("""COMPUTED_VALUE"""),"Frankston")</f>
        <v>Frankston</v>
      </c>
      <c r="D1573" s="5" t="str">
        <f>IFERROR(__xludf.DUMMYFUNCTION("""COMPUTED_VALUE"""),"2/41A Nolan Street Frankston VIC 3199")</f>
        <v>2/41A Nolan Street Frankston VIC 3199</v>
      </c>
      <c r="E1573" s="25">
        <f>IFERROR(__xludf.DUMMYFUNCTION("""COMPUTED_VALUE"""),45961.0)</f>
        <v>45961</v>
      </c>
      <c r="F1573" s="5">
        <f>IFERROR(__xludf.DUMMYFUNCTION("""COMPUTED_VALUE"""),8.0)</f>
        <v>8</v>
      </c>
      <c r="G1573" s="19" t="str">
        <f>IFERROR(__xludf.DUMMYFUNCTION("""COMPUTED_VALUE"""),"Instant Forms")</f>
        <v>Instant Forms</v>
      </c>
      <c r="H1573" s="19"/>
      <c r="I1573" s="62"/>
      <c r="J1573" s="19"/>
    </row>
    <row r="1574">
      <c r="A1574" s="19" t="str">
        <f>IFERROR(__xludf.DUMMYFUNCTION("""COMPUTED_VALUE"""),"Luke Magree")</f>
        <v>Luke Magree</v>
      </c>
      <c r="B1574" s="19" t="str">
        <f>IFERROR(__xludf.DUMMYFUNCTION("""COMPUTED_VALUE"""),"VIC")</f>
        <v>VIC</v>
      </c>
      <c r="C1574" s="5" t="str">
        <f>IFERROR(__xludf.DUMMYFUNCTION("""COMPUTED_VALUE"""),"Langwarrin")</f>
        <v>Langwarrin</v>
      </c>
      <c r="D1574" s="5"/>
      <c r="E1574" s="25">
        <f>IFERROR(__xludf.DUMMYFUNCTION("""COMPUTED_VALUE"""),45962.0)</f>
        <v>45962</v>
      </c>
      <c r="F1574" s="5" t="str">
        <f>IFERROR(__xludf.DUMMYFUNCTION("""COMPUTED_VALUE"""),"Featured")</f>
        <v>Featured</v>
      </c>
      <c r="G1574" s="19" t="str">
        <f>IFERROR(__xludf.DUMMYFUNCTION("""COMPUTED_VALUE"""),"Commission Comparison")</f>
        <v>Commission Comparison</v>
      </c>
      <c r="H1574" s="19"/>
      <c r="I1574" s="62"/>
      <c r="J1574" s="19"/>
    </row>
    <row r="1575">
      <c r="A1575" s="19" t="str">
        <f>IFERROR(__xludf.DUMMYFUNCTION("""COMPUTED_VALUE"""),"Luke Magree")</f>
        <v>Luke Magree</v>
      </c>
      <c r="B1575" s="19" t="str">
        <f>IFERROR(__xludf.DUMMYFUNCTION("""COMPUTED_VALUE"""),"VIC")</f>
        <v>VIC</v>
      </c>
      <c r="C1575" s="5" t="str">
        <f>IFERROR(__xludf.DUMMYFUNCTION("""COMPUTED_VALUE"""),"Frankston")</f>
        <v>Frankston</v>
      </c>
      <c r="D1575" s="5" t="str">
        <f>IFERROR(__xludf.DUMMYFUNCTION("""COMPUTED_VALUE"""),"1/8 Sharftesbury St, Frankston, 3199")</f>
        <v>1/8 Sharftesbury St, Frankston, 3199</v>
      </c>
      <c r="E1575" s="27">
        <f>IFERROR(__xludf.DUMMYFUNCTION("""COMPUTED_VALUE"""),45758.0)</f>
        <v>45758</v>
      </c>
      <c r="F1575" s="5" t="str">
        <f>IFERROR(__xludf.DUMMYFUNCTION("""COMPUTED_VALUE"""),"Featured")</f>
        <v>Featured</v>
      </c>
      <c r="G1575" s="19" t="str">
        <f>IFERROR(__xludf.DUMMYFUNCTION("""COMPUTED_VALUE"""),"Meta Commission Report")</f>
        <v>Meta Commission Report</v>
      </c>
      <c r="H1575" s="19" t="str">
        <f>IFERROR(__xludf.DUMMYFUNCTION("""COMPUTED_VALUE"""),"John Oliver")</f>
        <v>John Oliver</v>
      </c>
      <c r="I1575" s="62">
        <f>IFERROR(__xludf.DUMMYFUNCTION("""COMPUTED_VALUE"""),6.1428832158E10)</f>
        <v>61428832158</v>
      </c>
      <c r="J1575" s="19" t="str">
        <f>IFERROR(__xludf.DUMMYFUNCTION("""COMPUTED_VALUE"""),"jro709190@gmail.com")</f>
        <v>jro709190@gmail.com</v>
      </c>
    </row>
    <row r="1576">
      <c r="A1576" s="19" t="str">
        <f>IFERROR(__xludf.DUMMYFUNCTION("""COMPUTED_VALUE"""),"Luke Magree")</f>
        <v>Luke Magree</v>
      </c>
      <c r="B1576" s="19" t="str">
        <f>IFERROR(__xludf.DUMMYFUNCTION("""COMPUTED_VALUE"""),"VIC")</f>
        <v>VIC</v>
      </c>
      <c r="C1576" s="5">
        <f>IFERROR(__xludf.DUMMYFUNCTION("""COMPUTED_VALUE"""),3199.0)</f>
        <v>3199</v>
      </c>
      <c r="D1576" s="5"/>
      <c r="E1576" s="25">
        <f>IFERROR(__xludf.DUMMYFUNCTION("""COMPUTED_VALUE"""),45966.0)</f>
        <v>45966</v>
      </c>
      <c r="F1576" s="5">
        <f>IFERROR(__xludf.DUMMYFUNCTION("""COMPUTED_VALUE"""),5.0)</f>
        <v>5</v>
      </c>
      <c r="G1576" s="19" t="str">
        <f>IFERROR(__xludf.DUMMYFUNCTION("""COMPUTED_VALUE"""),"Instant Forms")</f>
        <v>Instant Forms</v>
      </c>
      <c r="H1576" s="19" t="str">
        <f>IFERROR(__xludf.DUMMYFUNCTION("""COMPUTED_VALUE"""),"Chloe Chloe")</f>
        <v>Chloe Chloe</v>
      </c>
      <c r="I1576" s="62">
        <f>IFERROR(__xludf.DUMMYFUNCTION("""COMPUTED_VALUE"""),6.146630641E10)</f>
        <v>61466306410</v>
      </c>
      <c r="J1576" s="19" t="str">
        <f>IFERROR(__xludf.DUMMYFUNCTION("""COMPUTED_VALUE"""),"phuongthaole294@gmail.com")</f>
        <v>phuongthaole294@gmail.com</v>
      </c>
    </row>
    <row r="1577">
      <c r="A1577" s="19" t="str">
        <f>IFERROR(__xludf.DUMMYFUNCTION("""COMPUTED_VALUE"""),"Luke Magree")</f>
        <v>Luke Magree</v>
      </c>
      <c r="B1577" s="19" t="str">
        <f>IFERROR(__xludf.DUMMYFUNCTION("""COMPUTED_VALUE"""),"VIC")</f>
        <v>VIC</v>
      </c>
      <c r="C1577" s="5" t="str">
        <f>IFERROR(__xludf.DUMMYFUNCTION("""COMPUTED_VALUE"""),"Frankston")</f>
        <v>Frankston</v>
      </c>
      <c r="D1577" s="5" t="str">
        <f>IFERROR(__xludf.DUMMYFUNCTION("""COMPUTED_VALUE"""),"1/97 Dunsterville crescent Frankston Victoria 3199, Frankston, 3199")</f>
        <v>1/97 Dunsterville crescent Frankston Victoria 3199, Frankston, 3199</v>
      </c>
      <c r="E1577" s="27">
        <f>IFERROR(__xludf.DUMMYFUNCTION("""COMPUTED_VALUE"""),45849.0)</f>
        <v>45849</v>
      </c>
      <c r="F1577" s="5" t="str">
        <f>IFERROR(__xludf.DUMMYFUNCTION("""COMPUTED_VALUE"""),"Featured")</f>
        <v>Featured</v>
      </c>
      <c r="G1577" s="19" t="str">
        <f>IFERROR(__xludf.DUMMYFUNCTION("""COMPUTED_VALUE"""),"Meta Commission Report")</f>
        <v>Meta Commission Report</v>
      </c>
      <c r="H1577" s="19" t="str">
        <f>IFERROR(__xludf.DUMMYFUNCTION("""COMPUTED_VALUE"""),"Caroline Dobson")</f>
        <v>Caroline Dobson</v>
      </c>
      <c r="I1577" s="62">
        <f>IFERROR(__xludf.DUMMYFUNCTION("""COMPUTED_VALUE"""),6.1409570094E10)</f>
        <v>61409570094</v>
      </c>
      <c r="J1577" s="19" t="str">
        <f>IFERROR(__xludf.DUMMYFUNCTION("""COMPUTED_VALUE"""),"Cocodobson@outlook.com")</f>
        <v>Cocodobson@outlook.com</v>
      </c>
    </row>
    <row r="1578">
      <c r="A1578" s="19" t="str">
        <f>IFERROR(__xludf.DUMMYFUNCTION("""COMPUTED_VALUE"""),"Luke Magree")</f>
        <v>Luke Magree</v>
      </c>
      <c r="B1578" s="19" t="str">
        <f>IFERROR(__xludf.DUMMYFUNCTION("""COMPUTED_VALUE"""),"VIC")</f>
        <v>VIC</v>
      </c>
      <c r="C1578" s="5" t="str">
        <f>IFERROR(__xludf.DUMMYFUNCTION("""COMPUTED_VALUE"""),"Frankston")</f>
        <v>Frankston</v>
      </c>
      <c r="D1578" s="5" t="str">
        <f>IFERROR(__xludf.DUMMYFUNCTION("""COMPUTED_VALUE"""),"32 Gairloch Drive Frankston VIC 3199")</f>
        <v>32 Gairloch Drive Frankston VIC 3199</v>
      </c>
      <c r="E1578" s="25">
        <f>IFERROR(__xludf.DUMMYFUNCTION("""COMPUTED_VALUE"""),45974.0)</f>
        <v>45974</v>
      </c>
      <c r="F1578" s="5">
        <f>IFERROR(__xludf.DUMMYFUNCTION("""COMPUTED_VALUE"""),8.0)</f>
        <v>8</v>
      </c>
      <c r="G1578" s="19" t="str">
        <f>IFERROR(__xludf.DUMMYFUNCTION("""COMPUTED_VALUE"""),"Instant Forms")</f>
        <v>Instant Forms</v>
      </c>
      <c r="H1578" s="19" t="str">
        <f>IFERROR(__xludf.DUMMYFUNCTION("""COMPUTED_VALUE"""),"Richard Jones")</f>
        <v>Richard Jones</v>
      </c>
      <c r="I1578" s="62">
        <f>IFERROR(__xludf.DUMMYFUNCTION("""COMPUTED_VALUE"""),6.1428524609E10)</f>
        <v>61428524609</v>
      </c>
      <c r="J1578" s="19" t="str">
        <f>IFERROR(__xludf.DUMMYFUNCTION("""COMPUTED_VALUE"""),"jonesrjsb1@gmail.com")</f>
        <v>jonesrjsb1@gmail.com</v>
      </c>
    </row>
    <row r="1579">
      <c r="A1579" s="19" t="str">
        <f>IFERROR(__xludf.DUMMYFUNCTION("""COMPUTED_VALUE"""),"Luke Magree")</f>
        <v>Luke Magree</v>
      </c>
      <c r="B1579" s="19" t="str">
        <f>IFERROR(__xludf.DUMMYFUNCTION("""COMPUTED_VALUE"""),"VIC")</f>
        <v>VIC</v>
      </c>
      <c r="C1579" s="5" t="str">
        <f>IFERROR(__xludf.DUMMYFUNCTION("""COMPUTED_VALUE"""),"Frankston")</f>
        <v>Frankston</v>
      </c>
      <c r="D1579" s="5" t="str">
        <f>IFERROR(__xludf.DUMMYFUNCTION("""COMPUTED_VALUE"""),"2/41a Nolan St Frankston Sth, Frankston, 3199")</f>
        <v>2/41a Nolan St Frankston Sth, Frankston, 3199</v>
      </c>
      <c r="E1579" s="25" t="str">
        <f>IFERROR(__xludf.DUMMYFUNCTION("""COMPUTED_VALUE"""),"16/11/2025")</f>
        <v>16/11/2025</v>
      </c>
      <c r="F1579" s="5" t="str">
        <f>IFERROR(__xludf.DUMMYFUNCTION("""COMPUTED_VALUE"""),"Featured")</f>
        <v>Featured</v>
      </c>
      <c r="G1579" s="19" t="str">
        <f>IFERROR(__xludf.DUMMYFUNCTION("""COMPUTED_VALUE"""),"Meta Commission Report")</f>
        <v>Meta Commission Report</v>
      </c>
      <c r="H1579" s="19" t="str">
        <f>IFERROR(__xludf.DUMMYFUNCTION("""COMPUTED_VALUE"""),"Roli De Lange")</f>
        <v>Roli De Lange</v>
      </c>
      <c r="I1579" s="62">
        <f>IFERROR(__xludf.DUMMYFUNCTION("""COMPUTED_VALUE"""),6.1414377912E10)</f>
        <v>61414377912</v>
      </c>
      <c r="J1579" s="19" t="str">
        <f>IFERROR(__xludf.DUMMYFUNCTION("""COMPUTED_VALUE"""),"rolydelange@hotmail.com")</f>
        <v>rolydelange@hotmail.com</v>
      </c>
    </row>
    <row r="1580">
      <c r="A1580" s="19" t="str">
        <f>IFERROR(__xludf.DUMMYFUNCTION("""COMPUTED_VALUE"""),"Luke Magree")</f>
        <v>Luke Magree</v>
      </c>
      <c r="B1580" s="19" t="str">
        <f>IFERROR(__xludf.DUMMYFUNCTION("""COMPUTED_VALUE"""),"VIC")</f>
        <v>VIC</v>
      </c>
      <c r="C1580" s="5" t="str">
        <f>IFERROR(__xludf.DUMMYFUNCTION("""COMPUTED_VALUE"""),"Langwarrin")</f>
        <v>Langwarrin</v>
      </c>
      <c r="D1580" s="5" t="str">
        <f>IFERROR(__xludf.DUMMYFUNCTION("""COMPUTED_VALUE"""),"65 Gum Nut Drive Langwarrin VIC 3910")</f>
        <v>65 Gum Nut Drive Langwarrin VIC 3910</v>
      </c>
      <c r="E1580" s="25">
        <f>IFERROR(__xludf.DUMMYFUNCTION("""COMPUTED_VALUE"""),45977.0)</f>
        <v>45977</v>
      </c>
      <c r="F1580" s="5">
        <f>IFERROR(__xludf.DUMMYFUNCTION("""COMPUTED_VALUE"""),8.0)</f>
        <v>8</v>
      </c>
      <c r="G1580" s="19" t="str">
        <f>IFERROR(__xludf.DUMMYFUNCTION("""COMPUTED_VALUE"""),"Instant Forms")</f>
        <v>Instant Forms</v>
      </c>
      <c r="H1580" s="19" t="str">
        <f>IFERROR(__xludf.DUMMYFUNCTION("""COMPUTED_VALUE"""),"John Christopherson")</f>
        <v>John Christopherson</v>
      </c>
      <c r="I1580" s="62">
        <f>IFERROR(__xludf.DUMMYFUNCTION("""COMPUTED_VALUE"""),6.14380823E10)</f>
        <v>61438082300</v>
      </c>
      <c r="J1580" s="19" t="str">
        <f>IFERROR(__xludf.DUMMYFUNCTION("""COMPUTED_VALUE"""),"jc01051971@gmail.com")</f>
        <v>jc01051971@gmail.com</v>
      </c>
    </row>
    <row r="1581">
      <c r="A1581" s="19" t="str">
        <f>IFERROR(__xludf.DUMMYFUNCTION("""COMPUTED_VALUE"""),"Luke Magree")</f>
        <v>Luke Magree</v>
      </c>
      <c r="B1581" s="19" t="str">
        <f>IFERROR(__xludf.DUMMYFUNCTION("""COMPUTED_VALUE"""),"VIC")</f>
        <v>VIC</v>
      </c>
      <c r="C1581" s="5" t="str">
        <f>IFERROR(__xludf.DUMMYFUNCTION("""COMPUTED_VALUE"""),"Frankston South")</f>
        <v>Frankston South</v>
      </c>
      <c r="D1581" s="5" t="str">
        <f>IFERROR(__xludf.DUMMYFUNCTION("""COMPUTED_VALUE"""),"55 Humphries Road Frankston South VIC 3199")</f>
        <v>55 Humphries Road Frankston South VIC 3199</v>
      </c>
      <c r="E1581" s="25">
        <f>IFERROR(__xludf.DUMMYFUNCTION("""COMPUTED_VALUE"""),45977.0)</f>
        <v>45977</v>
      </c>
      <c r="F1581" s="5">
        <f>IFERROR(__xludf.DUMMYFUNCTION("""COMPUTED_VALUE"""),8.0)</f>
        <v>8</v>
      </c>
      <c r="G1581" s="19" t="str">
        <f>IFERROR(__xludf.DUMMYFUNCTION("""COMPUTED_VALUE"""),"Instant Forms")</f>
        <v>Instant Forms</v>
      </c>
      <c r="H1581" s="19" t="str">
        <f>IFERROR(__xludf.DUMMYFUNCTION("""COMPUTED_VALUE"""),"Uschi Saunders")</f>
        <v>Uschi Saunders</v>
      </c>
      <c r="I1581" s="62">
        <f>IFERROR(__xludf.DUMMYFUNCTION("""COMPUTED_VALUE"""),6.1411723375E10)</f>
        <v>61411723375</v>
      </c>
      <c r="J1581" s="19" t="str">
        <f>IFERROR(__xludf.DUMMYFUNCTION("""COMPUTED_VALUE"""),"ursulasaunders71@yahoo.com.au")</f>
        <v>ursulasaunders71@yahoo.com.au</v>
      </c>
    </row>
    <row r="1582">
      <c r="A1582" s="19" t="str">
        <f>IFERROR(__xludf.DUMMYFUNCTION("""COMPUTED_VALUE"""),"Luke Magree")</f>
        <v>Luke Magree</v>
      </c>
      <c r="B1582" s="19" t="str">
        <f>IFERROR(__xludf.DUMMYFUNCTION("""COMPUTED_VALUE"""),"VIC")</f>
        <v>VIC</v>
      </c>
      <c r="C1582" s="5" t="str">
        <f>IFERROR(__xludf.DUMMYFUNCTION("""COMPUTED_VALUE"""),"Skye")</f>
        <v>Skye</v>
      </c>
      <c r="D1582" s="5" t="str">
        <f>IFERROR(__xludf.DUMMYFUNCTION("""COMPUTED_VALUE"""),"11 Duke Court Skye VIC 3977")</f>
        <v>11 Duke Court Skye VIC 3977</v>
      </c>
      <c r="E1582" s="25">
        <f>IFERROR(__xludf.DUMMYFUNCTION("""COMPUTED_VALUE"""),45978.0)</f>
        <v>45978</v>
      </c>
      <c r="F1582" s="5">
        <f>IFERROR(__xludf.DUMMYFUNCTION("""COMPUTED_VALUE"""),8.0)</f>
        <v>8</v>
      </c>
      <c r="G1582" s="19" t="str">
        <f>IFERROR(__xludf.DUMMYFUNCTION("""COMPUTED_VALUE"""),"Instant Forms")</f>
        <v>Instant Forms</v>
      </c>
      <c r="H1582" s="19" t="str">
        <f>IFERROR(__xludf.DUMMYFUNCTION("""COMPUTED_VALUE"""),"Karen Pettitt")</f>
        <v>Karen Pettitt</v>
      </c>
      <c r="I1582" s="62">
        <f>IFERROR(__xludf.DUMMYFUNCTION("""COMPUTED_VALUE"""),6.1412707312E10)</f>
        <v>61412707312</v>
      </c>
      <c r="J1582" s="19" t="str">
        <f>IFERROR(__xludf.DUMMYFUNCTION("""COMPUTED_VALUE"""),"kmpettitt@gmail.com")</f>
        <v>kmpettitt@gmail.com</v>
      </c>
    </row>
    <row r="1583">
      <c r="A1583" s="19" t="str">
        <f>IFERROR(__xludf.DUMMYFUNCTION("""COMPUTED_VALUE"""),"Luke Magree")</f>
        <v>Luke Magree</v>
      </c>
      <c r="B1583" s="19" t="str">
        <f>IFERROR(__xludf.DUMMYFUNCTION("""COMPUTED_VALUE"""),"VIC")</f>
        <v>VIC</v>
      </c>
      <c r="C1583" s="5" t="str">
        <f>IFERROR(__xludf.DUMMYFUNCTION("""COMPUTED_VALUE"""),"Frankston Heights")</f>
        <v>Frankston Heights</v>
      </c>
      <c r="D1583" s="5" t="str">
        <f>IFERROR(__xludf.DUMMYFUNCTION("""COMPUTED_VALUE"""),"9 Madeira Court Frankston VIC 3199")</f>
        <v>9 Madeira Court Frankston VIC 3199</v>
      </c>
      <c r="E1583" s="25">
        <f>IFERROR(__xludf.DUMMYFUNCTION("""COMPUTED_VALUE"""),45978.0)</f>
        <v>45978</v>
      </c>
      <c r="F1583" s="5">
        <f>IFERROR(__xludf.DUMMYFUNCTION("""COMPUTED_VALUE"""),8.0)</f>
        <v>8</v>
      </c>
      <c r="G1583" s="19" t="str">
        <f>IFERROR(__xludf.DUMMYFUNCTION("""COMPUTED_VALUE"""),"Instant Forms")</f>
        <v>Instant Forms</v>
      </c>
      <c r="H1583" s="19" t="str">
        <f>IFERROR(__xludf.DUMMYFUNCTION("""COMPUTED_VALUE"""),"Rudi Everts")</f>
        <v>Rudi Everts</v>
      </c>
      <c r="I1583" s="62">
        <f>IFERROR(__xludf.DUMMYFUNCTION("""COMPUTED_VALUE"""),6.1409952969E10)</f>
        <v>61409952969</v>
      </c>
      <c r="J1583" s="19" t="str">
        <f>IFERROR(__xludf.DUMMYFUNCTION("""COMPUTED_VALUE"""),"rudi.everts@gmail.com")</f>
        <v>rudi.everts@gmail.com</v>
      </c>
    </row>
    <row r="1584">
      <c r="A1584" s="19" t="str">
        <f>IFERROR(__xludf.DUMMYFUNCTION("""COMPUTED_VALUE"""),"Luke Magree")</f>
        <v>Luke Magree</v>
      </c>
      <c r="B1584" s="19" t="str">
        <f>IFERROR(__xludf.DUMMYFUNCTION("""COMPUTED_VALUE"""),"VIC")</f>
        <v>VIC</v>
      </c>
      <c r="C1584" s="5" t="str">
        <f>IFERROR(__xludf.DUMMYFUNCTION("""COMPUTED_VALUE"""),"Carrum Downs")</f>
        <v>Carrum Downs</v>
      </c>
      <c r="D1584" s="5" t="str">
        <f>IFERROR(__xludf.DUMMYFUNCTION("""COMPUTED_VALUE"""),"35 Richmond Avenue Carrum Downs VIC 3201")</f>
        <v>35 Richmond Avenue Carrum Downs VIC 3201</v>
      </c>
      <c r="E1584" s="5" t="str">
        <f>IFERROR(__xludf.DUMMYFUNCTION("""COMPUTED_VALUE"""),"23/11/2025")</f>
        <v>23/11/2025</v>
      </c>
      <c r="F1584" s="5">
        <f>IFERROR(__xludf.DUMMYFUNCTION("""COMPUTED_VALUE"""),8.0)</f>
        <v>8</v>
      </c>
      <c r="G1584" s="19" t="str">
        <f>IFERROR(__xludf.DUMMYFUNCTION("""COMPUTED_VALUE"""),"Instant Forms")</f>
        <v>Instant Forms</v>
      </c>
      <c r="H1584" s="19" t="str">
        <f>IFERROR(__xludf.DUMMYFUNCTION("""COMPUTED_VALUE"""),"Danielle Lewis")</f>
        <v>Danielle Lewis</v>
      </c>
      <c r="I1584" s="62">
        <f>IFERROR(__xludf.DUMMYFUNCTION("""COMPUTED_VALUE"""),6.1409530581E10)</f>
        <v>61409530581</v>
      </c>
      <c r="J1584" s="19" t="str">
        <f>IFERROR(__xludf.DUMMYFUNCTION("""COMPUTED_VALUE"""),"dplewis1@tpg.com.au")</f>
        <v>dplewis1@tpg.com.au</v>
      </c>
    </row>
    <row r="1585">
      <c r="A1585" s="19" t="str">
        <f>IFERROR(__xludf.DUMMYFUNCTION("""COMPUTED_VALUE"""),"Luke Magree")</f>
        <v>Luke Magree</v>
      </c>
      <c r="B1585" s="19" t="str">
        <f>IFERROR(__xludf.DUMMYFUNCTION("""COMPUTED_VALUE"""),"VIC")</f>
        <v>VIC</v>
      </c>
      <c r="C1585" s="5" t="str">
        <f>IFERROR(__xludf.DUMMYFUNCTION("""COMPUTED_VALUE"""),"Frankston South")</f>
        <v>Frankston South</v>
      </c>
      <c r="D1585" s="5" t="str">
        <f>IFERROR(__xludf.DUMMYFUNCTION("""COMPUTED_VALUE"""),"3/8 Sibyl Avenue, Frankston south, 3199")</f>
        <v>3/8 Sibyl Avenue, Frankston south, 3199</v>
      </c>
      <c r="E1585" s="5" t="str">
        <f>IFERROR(__xludf.DUMMYFUNCTION("""COMPUTED_VALUE"""),"25/11/2025")</f>
        <v>25/11/2025</v>
      </c>
      <c r="F1585" s="5" t="str">
        <f>IFERROR(__xludf.DUMMYFUNCTION("""COMPUTED_VALUE"""),"Featured")</f>
        <v>Featured</v>
      </c>
      <c r="G1585" s="19" t="str">
        <f>IFERROR(__xludf.DUMMYFUNCTION("""COMPUTED_VALUE"""),"Meta Commission Report")</f>
        <v>Meta Commission Report</v>
      </c>
      <c r="H1585" s="19" t="str">
        <f>IFERROR(__xludf.DUMMYFUNCTION("""COMPUTED_VALUE"""),"Wendy-Mae Louise Rapson")</f>
        <v>Wendy-Mae Louise Rapson</v>
      </c>
      <c r="I1585" s="62">
        <f>IFERROR(__xludf.DUMMYFUNCTION("""COMPUTED_VALUE"""),6.1408149362E10)</f>
        <v>61408149362</v>
      </c>
      <c r="J1585" s="19" t="str">
        <f>IFERROR(__xludf.DUMMYFUNCTION("""COMPUTED_VALUE"""),"wendymaisy@hotmail.com")</f>
        <v>wendymaisy@hotmail.com</v>
      </c>
    </row>
    <row r="1586">
      <c r="A1586" s="19" t="str">
        <f>IFERROR(__xludf.DUMMYFUNCTION("""COMPUTED_VALUE"""),"Luke Magree")</f>
        <v>Luke Magree</v>
      </c>
      <c r="B1586" s="19" t="str">
        <f>IFERROR(__xludf.DUMMYFUNCTION("""COMPUTED_VALUE"""),"VIC")</f>
        <v>VIC</v>
      </c>
      <c r="C1586" s="5" t="str">
        <f>IFERROR(__xludf.DUMMYFUNCTION("""COMPUTED_VALUE"""),"Frankston South")</f>
        <v>Frankston South</v>
      </c>
      <c r="D1586" s="5" t="str">
        <f>IFERROR(__xludf.DUMMYFUNCTION("""COMPUTED_VALUE"""),"11 Casuarina Dr, Frankston South Vic 3199, Australia, Frankston South, 3199")</f>
        <v>11 Casuarina Dr, Frankston South Vic 3199, Australia, Frankston South, 3199</v>
      </c>
      <c r="E1586" s="5" t="str">
        <f>IFERROR(__xludf.DUMMYFUNCTION("""COMPUTED_VALUE"""),"27/11/2025")</f>
        <v>27/11/2025</v>
      </c>
      <c r="F1586" s="5" t="str">
        <f>IFERROR(__xludf.DUMMYFUNCTION("""COMPUTED_VALUE"""),"Featured")</f>
        <v>Featured</v>
      </c>
      <c r="G1586" s="19" t="str">
        <f>IFERROR(__xludf.DUMMYFUNCTION("""COMPUTED_VALUE"""),"Meta Commission Report")</f>
        <v>Meta Commission Report</v>
      </c>
      <c r="H1586" s="19" t="str">
        <f>IFERROR(__xludf.DUMMYFUNCTION("""COMPUTED_VALUE"""),"Anne Brown")</f>
        <v>Anne Brown</v>
      </c>
      <c r="I1586" s="62">
        <f>IFERROR(__xludf.DUMMYFUNCTION("""COMPUTED_VALUE"""),6.1438766499E10)</f>
        <v>61438766499</v>
      </c>
      <c r="J1586" s="19" t="str">
        <f>IFERROR(__xludf.DUMMYFUNCTION("""COMPUTED_VALUE"""),"annesvine@hotmail.com")</f>
        <v>annesvine@hotmail.com</v>
      </c>
    </row>
    <row r="1587">
      <c r="A1587" s="19" t="str">
        <f>IFERROR(__xludf.DUMMYFUNCTION("""COMPUTED_VALUE"""),"Luke Magree")</f>
        <v>Luke Magree</v>
      </c>
      <c r="B1587" s="19" t="str">
        <f>IFERROR(__xludf.DUMMYFUNCTION("""COMPUTED_VALUE"""),"VIC")</f>
        <v>VIC</v>
      </c>
      <c r="C1587" s="5" t="str">
        <f>IFERROR(__xludf.DUMMYFUNCTION("""COMPUTED_VALUE"""),"Langwarrin")</f>
        <v>Langwarrin</v>
      </c>
      <c r="D1587" s="5" t="str">
        <f>IFERROR(__xludf.DUMMYFUNCTION("""COMPUTED_VALUE"""),"4 Timarron Court Langwarrin VIC 3910")</f>
        <v>4 Timarron Court Langwarrin VIC 3910</v>
      </c>
      <c r="E1587" s="27">
        <f>IFERROR(__xludf.DUMMYFUNCTION("""COMPUTED_VALUE"""),45669.0)</f>
        <v>45669</v>
      </c>
      <c r="F1587" s="64">
        <f>IFERROR(__xludf.DUMMYFUNCTION("""COMPUTED_VALUE"""),0.2)</f>
        <v>0.2</v>
      </c>
      <c r="G1587" s="19" t="str">
        <f>IFERROR(__xludf.DUMMYFUNCTION("""COMPUTED_VALUE"""),"Instant Forms")</f>
        <v>Instant Forms</v>
      </c>
      <c r="H1587" s="19" t="str">
        <f>IFERROR(__xludf.DUMMYFUNCTION("""COMPUTED_VALUE"""),"Leo Alaimo")</f>
        <v>Leo Alaimo</v>
      </c>
      <c r="I1587" s="62">
        <f>IFERROR(__xludf.DUMMYFUNCTION("""COMPUTED_VALUE"""),6.141701072E10)</f>
        <v>61417010720</v>
      </c>
      <c r="J1587" s="19" t="str">
        <f>IFERROR(__xludf.DUMMYFUNCTION("""COMPUTED_VALUE"""),"leoalaimo@outlook.com")</f>
        <v>leoalaimo@outlook.com</v>
      </c>
    </row>
    <row r="1588">
      <c r="A1588" s="19" t="str">
        <f>IFERROR(__xludf.DUMMYFUNCTION("""COMPUTED_VALUE"""),"")</f>
        <v/>
      </c>
      <c r="B1588" s="19" t="str">
        <f>IFERROR(__xludf.DUMMYFUNCTION("""COMPUTED_VALUE"""),"")</f>
        <v/>
      </c>
      <c r="C1588" s="5" t="str">
        <f>IFERROR(__xludf.DUMMYFUNCTION("""COMPUTED_VALUE"""),"")</f>
        <v/>
      </c>
      <c r="D1588" s="5" t="str">
        <f>IFERROR(__xludf.DUMMYFUNCTION("""COMPUTED_VALUE"""),"")</f>
        <v/>
      </c>
      <c r="E1588" s="5" t="str">
        <f>IFERROR(__xludf.DUMMYFUNCTION("""COMPUTED_VALUE"""),"")</f>
        <v/>
      </c>
      <c r="F1588" s="5" t="str">
        <f>IFERROR(__xludf.DUMMYFUNCTION("""COMPUTED_VALUE"""),"")</f>
        <v/>
      </c>
      <c r="G1588" s="19" t="str">
        <f>IFERROR(__xludf.DUMMYFUNCTION("""COMPUTED_VALUE"""),"")</f>
        <v/>
      </c>
      <c r="H1588" s="19" t="str">
        <f>IFERROR(__xludf.DUMMYFUNCTION("""COMPUTED_VALUE"""),"")</f>
        <v/>
      </c>
      <c r="I1588" s="62" t="str">
        <f>IFERROR(__xludf.DUMMYFUNCTION("""COMPUTED_VALUE"""),"")</f>
        <v/>
      </c>
      <c r="J1588" s="19" t="str">
        <f>IFERROR(__xludf.DUMMYFUNCTION("""COMPUTED_VALUE"""),"")</f>
        <v/>
      </c>
    </row>
    <row r="1589">
      <c r="A1589" s="19" t="str">
        <f>IFERROR(__xludf.DUMMYFUNCTION("""COMPUTED_VALUE"""),"")</f>
        <v/>
      </c>
      <c r="B1589" s="19" t="str">
        <f>IFERROR(__xludf.DUMMYFUNCTION("""COMPUTED_VALUE"""),"")</f>
        <v/>
      </c>
      <c r="C1589" s="5" t="str">
        <f>IFERROR(__xludf.DUMMYFUNCTION("""COMPUTED_VALUE"""),"")</f>
        <v/>
      </c>
      <c r="D1589" s="5" t="str">
        <f>IFERROR(__xludf.DUMMYFUNCTION("""COMPUTED_VALUE"""),"")</f>
        <v/>
      </c>
      <c r="E1589" s="5" t="str">
        <f>IFERROR(__xludf.DUMMYFUNCTION("""COMPUTED_VALUE"""),"")</f>
        <v/>
      </c>
      <c r="F1589" s="5" t="str">
        <f>IFERROR(__xludf.DUMMYFUNCTION("""COMPUTED_VALUE"""),"")</f>
        <v/>
      </c>
      <c r="G1589" s="19" t="str">
        <f>IFERROR(__xludf.DUMMYFUNCTION("""COMPUTED_VALUE"""),"")</f>
        <v/>
      </c>
      <c r="H1589" s="19" t="str">
        <f>IFERROR(__xludf.DUMMYFUNCTION("""COMPUTED_VALUE"""),"")</f>
        <v/>
      </c>
      <c r="I1589" s="62" t="str">
        <f>IFERROR(__xludf.DUMMYFUNCTION("""COMPUTED_VALUE"""),"")</f>
        <v/>
      </c>
      <c r="J1589" s="19" t="str">
        <f>IFERROR(__xludf.DUMMYFUNCTION("""COMPUTED_VALUE"""),"")</f>
        <v/>
      </c>
    </row>
    <row r="1590">
      <c r="A1590" s="19" t="str">
        <f>IFERROR(__xludf.DUMMYFUNCTION("""COMPUTED_VALUE"""),"Maclay Longhurst")</f>
        <v>Maclay Longhurst</v>
      </c>
      <c r="B1590" s="19" t="str">
        <f>IFERROR(__xludf.DUMMYFUNCTION("""COMPUTED_VALUE"""),"NSW")</f>
        <v>NSW</v>
      </c>
      <c r="C1590" s="5">
        <f>IFERROR(__xludf.DUMMYFUNCTION("""COMPUTED_VALUE"""),2021.0)</f>
        <v>2021</v>
      </c>
      <c r="D1590" s="5"/>
      <c r="E1590" s="63">
        <f>IFERROR(__xludf.DUMMYFUNCTION("""COMPUTED_VALUE"""),45848.752592592595)</f>
        <v>45848.75259</v>
      </c>
      <c r="F1590" s="5" t="str">
        <f>IFERROR(__xludf.DUMMYFUNCTION("""COMPUTED_VALUE"""),"Plus")</f>
        <v>Plus</v>
      </c>
      <c r="G1590" s="19" t="str">
        <f>IFERROR(__xludf.DUMMYFUNCTION("""COMPUTED_VALUE"""),"Instant Forms")</f>
        <v>Instant Forms</v>
      </c>
      <c r="H1590" s="19"/>
      <c r="I1590" s="62"/>
      <c r="J1590" s="19"/>
    </row>
    <row r="1591">
      <c r="A1591" s="19" t="str">
        <f>IFERROR(__xludf.DUMMYFUNCTION("""COMPUTED_VALUE"""),"Maclay Longhurst")</f>
        <v>Maclay Longhurst</v>
      </c>
      <c r="B1591" s="19" t="str">
        <f>IFERROR(__xludf.DUMMYFUNCTION("""COMPUTED_VALUE"""),"NSW")</f>
        <v>NSW</v>
      </c>
      <c r="C1591" s="5" t="str">
        <f>IFERROR(__xludf.DUMMYFUNCTION("""COMPUTED_VALUE"""),"Potts Point")</f>
        <v>Potts Point</v>
      </c>
      <c r="D1591" s="5" t="str">
        <f>IFERROR(__xludf.DUMMYFUNCTION("""COMPUTED_VALUE"""),"12/8A Wylde Street Potts Point NSW 2011")</f>
        <v>12/8A Wylde Street Potts Point NSW 2011</v>
      </c>
      <c r="E1591" s="25">
        <f>IFERROR(__xludf.DUMMYFUNCTION("""COMPUTED_VALUE"""),45894.0)</f>
        <v>45894</v>
      </c>
      <c r="F1591" s="5" t="str">
        <f>IFERROR(__xludf.DUMMYFUNCTION("""COMPUTED_VALUE"""),"Plus")</f>
        <v>Plus</v>
      </c>
      <c r="G1591" s="19" t="str">
        <f>IFERROR(__xludf.DUMMYFUNCTION("""COMPUTED_VALUE"""),"Instant Forms")</f>
        <v>Instant Forms</v>
      </c>
      <c r="H1591" s="19"/>
      <c r="I1591" s="62"/>
      <c r="J1591" s="19"/>
    </row>
    <row r="1592">
      <c r="A1592" s="19" t="str">
        <f>IFERROR(__xludf.DUMMYFUNCTION("""COMPUTED_VALUE"""),"Maclay Longhurst")</f>
        <v>Maclay Longhurst</v>
      </c>
      <c r="B1592" s="19" t="str">
        <f>IFERROR(__xludf.DUMMYFUNCTION("""COMPUTED_VALUE"""),"NSW")</f>
        <v>NSW</v>
      </c>
      <c r="C1592" s="5" t="str">
        <f>IFERROR(__xludf.DUMMYFUNCTION("""COMPUTED_VALUE"""),"Darlinghurst")</f>
        <v>Darlinghurst</v>
      </c>
      <c r="D1592" s="5" t="str">
        <f>IFERROR(__xludf.DUMMYFUNCTION("""COMPUTED_VALUE"""),"506/172-190 Riley Street, Darlinghurst, NSW, 2010, Australia")</f>
        <v>506/172-190 Riley Street, Darlinghurst, NSW, 2010, Australia</v>
      </c>
      <c r="E1592" s="25">
        <f>IFERROR(__xludf.DUMMYFUNCTION("""COMPUTED_VALUE"""),45910.0)</f>
        <v>45910</v>
      </c>
      <c r="F1592" s="5" t="str">
        <f>IFERROR(__xludf.DUMMYFUNCTION("""COMPUTED_VALUE"""),"Plus")</f>
        <v>Plus</v>
      </c>
      <c r="G1592" s="19" t="str">
        <f>IFERROR(__xludf.DUMMYFUNCTION("""COMPUTED_VALUE"""),"Commission Comparison")</f>
        <v>Commission Comparison</v>
      </c>
      <c r="H1592" s="19"/>
      <c r="I1592" s="62"/>
      <c r="J1592" s="19"/>
    </row>
    <row r="1593">
      <c r="A1593" s="19" t="str">
        <f>IFERROR(__xludf.DUMMYFUNCTION("""COMPUTED_VALUE"""),"Maclay Longhurst")</f>
        <v>Maclay Longhurst</v>
      </c>
      <c r="B1593" s="19" t="str">
        <f>IFERROR(__xludf.DUMMYFUNCTION("""COMPUTED_VALUE"""),"NSW")</f>
        <v>NSW</v>
      </c>
      <c r="C1593" s="5" t="str">
        <f>IFERROR(__xludf.DUMMYFUNCTION("""COMPUTED_VALUE"""),"Woollahra")</f>
        <v>Woollahra</v>
      </c>
      <c r="D1593" s="5"/>
      <c r="E1593" s="25">
        <f>IFERROR(__xludf.DUMMYFUNCTION("""COMPUTED_VALUE"""),45926.0)</f>
        <v>45926</v>
      </c>
      <c r="F1593" s="5" t="str">
        <f>IFERROR(__xludf.DUMMYFUNCTION("""COMPUTED_VALUE"""),"Featured Plus")</f>
        <v>Featured Plus</v>
      </c>
      <c r="G1593" s="19" t="str">
        <f>IFERROR(__xludf.DUMMYFUNCTION("""COMPUTED_VALUE"""),"Instant Forms")</f>
        <v>Instant Forms</v>
      </c>
      <c r="H1593" s="19" t="str">
        <f>IFERROR(__xludf.DUMMYFUNCTION("""COMPUTED_VALUE"""),"Caroline Evans")</f>
        <v>Caroline Evans</v>
      </c>
      <c r="I1593" s="62"/>
      <c r="J1593" s="19"/>
    </row>
    <row r="1594">
      <c r="A1594" s="19" t="str">
        <f>IFERROR(__xludf.DUMMYFUNCTION("""COMPUTED_VALUE"""),"Maclay Longhurst")</f>
        <v>Maclay Longhurst</v>
      </c>
      <c r="B1594" s="19" t="str">
        <f>IFERROR(__xludf.DUMMYFUNCTION("""COMPUTED_VALUE"""),"NSW")</f>
        <v>NSW</v>
      </c>
      <c r="C1594" s="5" t="str">
        <f>IFERROR(__xludf.DUMMYFUNCTION("""COMPUTED_VALUE"""),"Redfern")</f>
        <v>Redfern</v>
      </c>
      <c r="D1594" s="5" t="str">
        <f>IFERROR(__xludf.DUMMYFUNCTION("""COMPUTED_VALUE"""),"51 Caroline Street Redfern NSW 2016")</f>
        <v>51 Caroline Street Redfern NSW 2016</v>
      </c>
      <c r="E1594" s="25">
        <f>IFERROR(__xludf.DUMMYFUNCTION("""COMPUTED_VALUE"""),45956.0)</f>
        <v>45956</v>
      </c>
      <c r="F1594" s="5" t="str">
        <f>IFERROR(__xludf.DUMMYFUNCTION("""COMPUTED_VALUE"""),"Featured Plus")</f>
        <v>Featured Plus</v>
      </c>
      <c r="G1594" s="19" t="str">
        <f>IFERROR(__xludf.DUMMYFUNCTION("""COMPUTED_VALUE"""),"Instant Forms")</f>
        <v>Instant Forms</v>
      </c>
      <c r="H1594" s="19"/>
      <c r="I1594" s="62"/>
      <c r="J1594" s="19"/>
    </row>
    <row r="1595">
      <c r="A1595" s="19" t="str">
        <f>IFERROR(__xludf.DUMMYFUNCTION("""COMPUTED_VALUE"""),"Maclay Longhurst")</f>
        <v>Maclay Longhurst</v>
      </c>
      <c r="B1595" s="19" t="str">
        <f>IFERROR(__xludf.DUMMYFUNCTION("""COMPUTED_VALUE"""),"NSW")</f>
        <v>NSW</v>
      </c>
      <c r="C1595" s="5">
        <f>IFERROR(__xludf.DUMMYFUNCTION("""COMPUTED_VALUE"""),2027.0)</f>
        <v>2027</v>
      </c>
      <c r="D1595" s="5" t="str">
        <f>IFERROR(__xludf.DUMMYFUNCTION("""COMPUTED_VALUE"""),"5/452 Edgecliff Road Edgecliff NSW 2027")</f>
        <v>5/452 Edgecliff Road Edgecliff NSW 2027</v>
      </c>
      <c r="E1595" s="25">
        <f>IFERROR(__xludf.DUMMYFUNCTION("""COMPUTED_VALUE"""),45977.0)</f>
        <v>45977</v>
      </c>
      <c r="F1595" s="5">
        <f>IFERROR(__xludf.DUMMYFUNCTION("""COMPUTED_VALUE"""),6.0)</f>
        <v>6</v>
      </c>
      <c r="G1595" s="19" t="str">
        <f>IFERROR(__xludf.DUMMYFUNCTION("""COMPUTED_VALUE"""),"Instant Forms")</f>
        <v>Instant Forms</v>
      </c>
      <c r="H1595" s="19" t="str">
        <f>IFERROR(__xludf.DUMMYFUNCTION("""COMPUTED_VALUE"""),"Susie")</f>
        <v>Susie</v>
      </c>
      <c r="I1595" s="62">
        <f>IFERROR(__xludf.DUMMYFUNCTION("""COMPUTED_VALUE"""),6.1432716852E10)</f>
        <v>61432716852</v>
      </c>
      <c r="J1595" s="19" t="str">
        <f>IFERROR(__xludf.DUMMYFUNCTION("""COMPUTED_VALUE"""),"zsanda2@gmail.com")</f>
        <v>zsanda2@gmail.com</v>
      </c>
    </row>
    <row r="1596">
      <c r="A1596" s="19" t="str">
        <f>IFERROR(__xludf.DUMMYFUNCTION("""COMPUTED_VALUE"""),"Maclay Longhurst")</f>
        <v>Maclay Longhurst</v>
      </c>
      <c r="B1596" s="19" t="str">
        <f>IFERROR(__xludf.DUMMYFUNCTION("""COMPUTED_VALUE"""),"NSW")</f>
        <v>NSW</v>
      </c>
      <c r="C1596" s="5">
        <f>IFERROR(__xludf.DUMMYFUNCTION("""COMPUTED_VALUE"""),2027.0)</f>
        <v>2027</v>
      </c>
      <c r="D1596" s="5" t="str">
        <f>IFERROR(__xludf.DUMMYFUNCTION("""COMPUTED_VALUE"""),"5/452 Edgecliff Road Edgecliff NSW 2027")</f>
        <v>5/452 Edgecliff Road Edgecliff NSW 2027</v>
      </c>
      <c r="E1596" s="25">
        <f>IFERROR(__xludf.DUMMYFUNCTION("""COMPUTED_VALUE"""),45977.0)</f>
        <v>45977</v>
      </c>
      <c r="F1596" s="5" t="str">
        <f>IFERROR(__xludf.DUMMYFUNCTION("""COMPUTED_VALUE"""),"Featured Plus")</f>
        <v>Featured Plus</v>
      </c>
      <c r="G1596" s="19" t="str">
        <f>IFERROR(__xludf.DUMMYFUNCTION("""COMPUTED_VALUE"""),"Instant Forms")</f>
        <v>Instant Forms</v>
      </c>
      <c r="H1596" s="19" t="str">
        <f>IFERROR(__xludf.DUMMYFUNCTION("""COMPUTED_VALUE"""),"Susie")</f>
        <v>Susie</v>
      </c>
      <c r="I1596" s="62">
        <f>IFERROR(__xludf.DUMMYFUNCTION("""COMPUTED_VALUE"""),6.1432716852E10)</f>
        <v>61432716852</v>
      </c>
      <c r="J1596" s="19" t="str">
        <f>IFERROR(__xludf.DUMMYFUNCTION("""COMPUTED_VALUE"""),"zsanda2@gmail.com")</f>
        <v>zsanda2@gmail.com</v>
      </c>
    </row>
    <row r="1597">
      <c r="A1597" s="19" t="str">
        <f>IFERROR(__xludf.DUMMYFUNCTION("""COMPUTED_VALUE"""),"")</f>
        <v/>
      </c>
      <c r="B1597" s="19" t="str">
        <f>IFERROR(__xludf.DUMMYFUNCTION("""COMPUTED_VALUE"""),"")</f>
        <v/>
      </c>
      <c r="C1597" s="5" t="str">
        <f>IFERROR(__xludf.DUMMYFUNCTION("""COMPUTED_VALUE"""),"")</f>
        <v/>
      </c>
      <c r="D1597" s="5" t="str">
        <f>IFERROR(__xludf.DUMMYFUNCTION("""COMPUTED_VALUE"""),"")</f>
        <v/>
      </c>
      <c r="E1597" s="5" t="str">
        <f>IFERROR(__xludf.DUMMYFUNCTION("""COMPUTED_VALUE"""),"")</f>
        <v/>
      </c>
      <c r="F1597" s="5" t="str">
        <f>IFERROR(__xludf.DUMMYFUNCTION("""COMPUTED_VALUE"""),"")</f>
        <v/>
      </c>
      <c r="G1597" s="19" t="str">
        <f>IFERROR(__xludf.DUMMYFUNCTION("""COMPUTED_VALUE"""),"")</f>
        <v/>
      </c>
      <c r="H1597" s="19" t="str">
        <f>IFERROR(__xludf.DUMMYFUNCTION("""COMPUTED_VALUE"""),"")</f>
        <v/>
      </c>
      <c r="I1597" s="62" t="str">
        <f>IFERROR(__xludf.DUMMYFUNCTION("""COMPUTED_VALUE"""),"")</f>
        <v/>
      </c>
      <c r="J1597" s="19" t="str">
        <f>IFERROR(__xludf.DUMMYFUNCTION("""COMPUTED_VALUE"""),"")</f>
        <v/>
      </c>
    </row>
    <row r="1598">
      <c r="A1598" s="19" t="str">
        <f>IFERROR(__xludf.DUMMYFUNCTION("""COMPUTED_VALUE"""),"")</f>
        <v/>
      </c>
      <c r="B1598" s="19" t="str">
        <f>IFERROR(__xludf.DUMMYFUNCTION("""COMPUTED_VALUE"""),"")</f>
        <v/>
      </c>
      <c r="C1598" s="5" t="str">
        <f>IFERROR(__xludf.DUMMYFUNCTION("""COMPUTED_VALUE"""),"")</f>
        <v/>
      </c>
      <c r="D1598" s="5" t="str">
        <f>IFERROR(__xludf.DUMMYFUNCTION("""COMPUTED_VALUE"""),"")</f>
        <v/>
      </c>
      <c r="E1598" s="5" t="str">
        <f>IFERROR(__xludf.DUMMYFUNCTION("""COMPUTED_VALUE"""),"")</f>
        <v/>
      </c>
      <c r="F1598" s="5" t="str">
        <f>IFERROR(__xludf.DUMMYFUNCTION("""COMPUTED_VALUE"""),"")</f>
        <v/>
      </c>
      <c r="G1598" s="19" t="str">
        <f>IFERROR(__xludf.DUMMYFUNCTION("""COMPUTED_VALUE"""),"")</f>
        <v/>
      </c>
      <c r="H1598" s="19" t="str">
        <f>IFERROR(__xludf.DUMMYFUNCTION("""COMPUTED_VALUE"""),"")</f>
        <v/>
      </c>
      <c r="I1598" s="62" t="str">
        <f>IFERROR(__xludf.DUMMYFUNCTION("""COMPUTED_VALUE"""),"")</f>
        <v/>
      </c>
      <c r="J1598" s="19" t="str">
        <f>IFERROR(__xludf.DUMMYFUNCTION("""COMPUTED_VALUE"""),"")</f>
        <v/>
      </c>
    </row>
    <row r="1599">
      <c r="A1599" s="19" t="str">
        <f>IFERROR(__xludf.DUMMYFUNCTION("""COMPUTED_VALUE"""),"Mark Cheney")</f>
        <v>Mark Cheney</v>
      </c>
      <c r="B1599" s="19" t="str">
        <f>IFERROR(__xludf.DUMMYFUNCTION("""COMPUTED_VALUE"""),"QLD")</f>
        <v>QLD</v>
      </c>
      <c r="C1599" s="5" t="str">
        <f>IFERROR(__xludf.DUMMYFUNCTION("""COMPUTED_VALUE"""),"Burpengary")</f>
        <v>Burpengary</v>
      </c>
      <c r="D1599" s="5" t="str">
        <f>IFERROR(__xludf.DUMMYFUNCTION("""COMPUTED_VALUE"""),"14/16 David Street Burpengary QLD 4505")</f>
        <v>14/16 David Street Burpengary QLD 4505</v>
      </c>
      <c r="E1599" s="25">
        <f>IFERROR(__xludf.DUMMYFUNCTION("""COMPUTED_VALUE"""),45972.0)</f>
        <v>45972</v>
      </c>
      <c r="F1599" s="5">
        <f>IFERROR(__xludf.DUMMYFUNCTION("""COMPUTED_VALUE"""),8.0)</f>
        <v>8</v>
      </c>
      <c r="G1599" s="19" t="str">
        <f>IFERROR(__xludf.DUMMYFUNCTION("""COMPUTED_VALUE"""),"Instant Forms")</f>
        <v>Instant Forms</v>
      </c>
      <c r="H1599" s="19" t="str">
        <f>IFERROR(__xludf.DUMMYFUNCTION("""COMPUTED_VALUE"""),"Robert Melbourne")</f>
        <v>Robert Melbourne</v>
      </c>
      <c r="I1599" s="62">
        <f>IFERROR(__xludf.DUMMYFUNCTION("""COMPUTED_VALUE"""),6.1449807747E10)</f>
        <v>61449807747</v>
      </c>
      <c r="J1599" s="19" t="str">
        <f>IFERROR(__xludf.DUMMYFUNCTION("""COMPUTED_VALUE"""),"melbourne.rob@outlook.com")</f>
        <v>melbourne.rob@outlook.com</v>
      </c>
    </row>
    <row r="1600">
      <c r="A1600" s="19" t="str">
        <f>IFERROR(__xludf.DUMMYFUNCTION("""COMPUTED_VALUE"""),"Mark Cheney")</f>
        <v>Mark Cheney</v>
      </c>
      <c r="B1600" s="19" t="str">
        <f>IFERROR(__xludf.DUMMYFUNCTION("""COMPUTED_VALUE"""),"QLD")</f>
        <v>QLD</v>
      </c>
      <c r="C1600" s="5" t="str">
        <f>IFERROR(__xludf.DUMMYFUNCTION("""COMPUTED_VALUE"""),"Narangba")</f>
        <v>Narangba</v>
      </c>
      <c r="D1600" s="5" t="str">
        <f>IFERROR(__xludf.DUMMYFUNCTION("""COMPUTED_VALUE"""),"32 Wivenhoe Circuit Narangba QLD 4504")</f>
        <v>32 Wivenhoe Circuit Narangba QLD 4504</v>
      </c>
      <c r="E1600" s="25">
        <f>IFERROR(__xludf.DUMMYFUNCTION("""COMPUTED_VALUE"""),45974.0)</f>
        <v>45974</v>
      </c>
      <c r="F1600" s="5">
        <f>IFERROR(__xludf.DUMMYFUNCTION("""COMPUTED_VALUE"""),6.0)</f>
        <v>6</v>
      </c>
      <c r="G1600" s="19" t="str">
        <f>IFERROR(__xludf.DUMMYFUNCTION("""COMPUTED_VALUE"""),"Instant Forms")</f>
        <v>Instant Forms</v>
      </c>
      <c r="H1600" s="19" t="str">
        <f>IFERROR(__xludf.DUMMYFUNCTION("""COMPUTED_VALUE"""),"Andrew Lundy")</f>
        <v>Andrew Lundy</v>
      </c>
      <c r="I1600" s="62">
        <f>IFERROR(__xludf.DUMMYFUNCTION("""COMPUTED_VALUE"""),6.1427774677E10)</f>
        <v>61427774677</v>
      </c>
      <c r="J1600" s="19" t="str">
        <f>IFERROR(__xludf.DUMMYFUNCTION("""COMPUTED_VALUE"""),"wholehog105@hotmail.com")</f>
        <v>wholehog105@hotmail.com</v>
      </c>
    </row>
    <row r="1601">
      <c r="A1601" s="19" t="str">
        <f>IFERROR(__xludf.DUMMYFUNCTION("""COMPUTED_VALUE"""),"Mark Cheney")</f>
        <v>Mark Cheney</v>
      </c>
      <c r="B1601" s="19" t="str">
        <f>IFERROR(__xludf.DUMMYFUNCTION("""COMPUTED_VALUE"""),"QLD")</f>
        <v>QLD</v>
      </c>
      <c r="C1601" s="5" t="str">
        <f>IFERROR(__xludf.DUMMYFUNCTION("""COMPUTED_VALUE"""),"Caboolture")</f>
        <v>Caboolture</v>
      </c>
      <c r="D1601" s="5" t="str">
        <f>IFERROR(__xludf.DUMMYFUNCTION("""COMPUTED_VALUE"""),"12 Arthur Street Caboolture QLD 4510")</f>
        <v>12 Arthur Street Caboolture QLD 4510</v>
      </c>
      <c r="E1601" s="25">
        <f>IFERROR(__xludf.DUMMYFUNCTION("""COMPUTED_VALUE"""),45977.0)</f>
        <v>45977</v>
      </c>
      <c r="F1601" s="5">
        <f>IFERROR(__xludf.DUMMYFUNCTION("""COMPUTED_VALUE"""),8.0)</f>
        <v>8</v>
      </c>
      <c r="G1601" s="19" t="str">
        <f>IFERROR(__xludf.DUMMYFUNCTION("""COMPUTED_VALUE"""),"Instant Forms")</f>
        <v>Instant Forms</v>
      </c>
      <c r="H1601" s="19" t="str">
        <f>IFERROR(__xludf.DUMMYFUNCTION("""COMPUTED_VALUE"""),"Bevan Cole")</f>
        <v>Bevan Cole</v>
      </c>
      <c r="I1601" s="62">
        <f>IFERROR(__xludf.DUMMYFUNCTION("""COMPUTED_VALUE"""),6.1418989487E10)</f>
        <v>61418989487</v>
      </c>
      <c r="J1601" s="19" t="str">
        <f>IFERROR(__xludf.DUMMYFUNCTION("""COMPUTED_VALUE"""),"bevancole@gmail.com")</f>
        <v>bevancole@gmail.com</v>
      </c>
    </row>
    <row r="1602">
      <c r="A1602" s="19" t="str">
        <f>IFERROR(__xludf.DUMMYFUNCTION("""COMPUTED_VALUE"""),"Mark Cheney")</f>
        <v>Mark Cheney</v>
      </c>
      <c r="B1602" s="19" t="str">
        <f>IFERROR(__xludf.DUMMYFUNCTION("""COMPUTED_VALUE"""),"QLD")</f>
        <v>QLD</v>
      </c>
      <c r="C1602" s="5">
        <f>IFERROR(__xludf.DUMMYFUNCTION("""COMPUTED_VALUE"""),4510.0)</f>
        <v>4510</v>
      </c>
      <c r="D1602" s="5" t="str">
        <f>IFERROR(__xludf.DUMMYFUNCTION("""COMPUTED_VALUE"""),"12 Arthur Street Caboolture QLD 4510")</f>
        <v>12 Arthur Street Caboolture QLD 4510</v>
      </c>
      <c r="E1602" s="25">
        <f>IFERROR(__xludf.DUMMYFUNCTION("""COMPUTED_VALUE"""),45977.0)</f>
        <v>45977</v>
      </c>
      <c r="F1602" s="5">
        <f>IFERROR(__xludf.DUMMYFUNCTION("""COMPUTED_VALUE"""),8.0)</f>
        <v>8</v>
      </c>
      <c r="G1602" s="19" t="str">
        <f>IFERROR(__xludf.DUMMYFUNCTION("""COMPUTED_VALUE"""),"Instant Forms")</f>
        <v>Instant Forms</v>
      </c>
      <c r="H1602" s="19" t="str">
        <f>IFERROR(__xludf.DUMMYFUNCTION("""COMPUTED_VALUE"""),"Bevan Cole")</f>
        <v>Bevan Cole</v>
      </c>
      <c r="I1602" s="62">
        <f>IFERROR(__xludf.DUMMYFUNCTION("""COMPUTED_VALUE"""),6.1418989487E10)</f>
        <v>61418989487</v>
      </c>
      <c r="J1602" s="19" t="str">
        <f>IFERROR(__xludf.DUMMYFUNCTION("""COMPUTED_VALUE"""),"bevancole@gmail.com")</f>
        <v>bevancole@gmail.com</v>
      </c>
    </row>
    <row r="1603">
      <c r="A1603" s="19" t="str">
        <f>IFERROR(__xludf.DUMMYFUNCTION("""COMPUTED_VALUE"""),"Mark Cheney")</f>
        <v>Mark Cheney</v>
      </c>
      <c r="B1603" s="19" t="str">
        <f>IFERROR(__xludf.DUMMYFUNCTION("""COMPUTED_VALUE"""),"QLD")</f>
        <v>QLD</v>
      </c>
      <c r="C1603" s="5" t="str">
        <f>IFERROR(__xludf.DUMMYFUNCTION("""COMPUTED_VALUE"""),"Caboolture")</f>
        <v>Caboolture</v>
      </c>
      <c r="D1603" s="5" t="str">
        <f>IFERROR(__xludf.DUMMYFUNCTION("""COMPUTED_VALUE"""),"9 College Court Caboolture QLD 4510")</f>
        <v>9 College Court Caboolture QLD 4510</v>
      </c>
      <c r="E1603" s="5" t="str">
        <f>IFERROR(__xludf.DUMMYFUNCTION("""COMPUTED_VALUE"""),"20/11/2025")</f>
        <v>20/11/2025</v>
      </c>
      <c r="F1603" s="5" t="str">
        <f>IFERROR(__xludf.DUMMYFUNCTION("""COMPUTED_VALUE"""),"Featured")</f>
        <v>Featured</v>
      </c>
      <c r="G1603" s="19" t="str">
        <f>IFERROR(__xludf.DUMMYFUNCTION("""COMPUTED_VALUE"""),"Meta Commission Report")</f>
        <v>Meta Commission Report</v>
      </c>
      <c r="H1603" s="19" t="str">
        <f>IFERROR(__xludf.DUMMYFUNCTION("""COMPUTED_VALUE"""),"Whiteys Plastering")</f>
        <v>Whiteys Plastering</v>
      </c>
      <c r="I1603" s="62">
        <f>IFERROR(__xludf.DUMMYFUNCTION("""COMPUTED_VALUE"""),6.1416153902E10)</f>
        <v>61416153902</v>
      </c>
      <c r="J1603" s="19" t="str">
        <f>IFERROR(__xludf.DUMMYFUNCTION("""COMPUTED_VALUE"""),"mwhite631@hotmail.com")</f>
        <v>mwhite631@hotmail.com</v>
      </c>
    </row>
    <row r="1604">
      <c r="A1604" s="19" t="str">
        <f>IFERROR(__xludf.DUMMYFUNCTION("""COMPUTED_VALUE"""),"Mark Cheney")</f>
        <v>Mark Cheney</v>
      </c>
      <c r="B1604" s="19" t="str">
        <f>IFERROR(__xludf.DUMMYFUNCTION("""COMPUTED_VALUE"""),"QLD")</f>
        <v>QLD</v>
      </c>
      <c r="C1604" s="5" t="str">
        <f>IFERROR(__xludf.DUMMYFUNCTION("""COMPUTED_VALUE"""),"Caboolture")</f>
        <v>Caboolture</v>
      </c>
      <c r="D1604" s="5" t="str">
        <f>IFERROR(__xludf.DUMMYFUNCTION("""COMPUTED_VALUE"""),"9 College Court, Caboolture, 4510")</f>
        <v>9 College Court, Caboolture, 4510</v>
      </c>
      <c r="E1604" s="5" t="str">
        <f>IFERROR(__xludf.DUMMYFUNCTION("""COMPUTED_VALUE"""),"21/11/2025")</f>
        <v>21/11/2025</v>
      </c>
      <c r="F1604" s="5" t="str">
        <f>IFERROR(__xludf.DUMMYFUNCTION("""COMPUTED_VALUE"""),"Featured")</f>
        <v>Featured</v>
      </c>
      <c r="G1604" s="19" t="str">
        <f>IFERROR(__xludf.DUMMYFUNCTION("""COMPUTED_VALUE"""),"Meta Commission Report")</f>
        <v>Meta Commission Report</v>
      </c>
      <c r="H1604" s="19" t="str">
        <f>IFERROR(__xludf.DUMMYFUNCTION("""COMPUTED_VALUE"""),"Whiteys Plastering")</f>
        <v>Whiteys Plastering</v>
      </c>
      <c r="I1604" s="62">
        <f>IFERROR(__xludf.DUMMYFUNCTION("""COMPUTED_VALUE"""),6.1416153902E10)</f>
        <v>61416153902</v>
      </c>
      <c r="J1604" s="19" t="str">
        <f>IFERROR(__xludf.DUMMYFUNCTION("""COMPUTED_VALUE"""),"mwhite631@hotmail.com")</f>
        <v>mwhite631@hotmail.com</v>
      </c>
    </row>
    <row r="1605">
      <c r="A1605" s="19" t="str">
        <f>IFERROR(__xludf.DUMMYFUNCTION("""COMPUTED_VALUE"""),"Mark Cheney")</f>
        <v>Mark Cheney</v>
      </c>
      <c r="B1605" s="19" t="str">
        <f>IFERROR(__xludf.DUMMYFUNCTION("""COMPUTED_VALUE"""),"QLD")</f>
        <v>QLD</v>
      </c>
      <c r="C1605" s="5" t="str">
        <f>IFERROR(__xludf.DUMMYFUNCTION("""COMPUTED_VALUE"""),"Morayfield")</f>
        <v>Morayfield</v>
      </c>
      <c r="D1605" s="5" t="str">
        <f>IFERROR(__xludf.DUMMYFUNCTION("""COMPUTED_VALUE"""),"32 Timbertrail Place, Morayfield, 4506")</f>
        <v>32 Timbertrail Place, Morayfield, 4506</v>
      </c>
      <c r="E1605" s="5" t="str">
        <f>IFERROR(__xludf.DUMMYFUNCTION("""COMPUTED_VALUE"""),"21/11/2025")</f>
        <v>21/11/2025</v>
      </c>
      <c r="F1605" s="5" t="str">
        <f>IFERROR(__xludf.DUMMYFUNCTION("""COMPUTED_VALUE"""),"Featured")</f>
        <v>Featured</v>
      </c>
      <c r="G1605" s="19" t="str">
        <f>IFERROR(__xludf.DUMMYFUNCTION("""COMPUTED_VALUE"""),"Meta Commission Report")</f>
        <v>Meta Commission Report</v>
      </c>
      <c r="H1605" s="19" t="str">
        <f>IFERROR(__xludf.DUMMYFUNCTION("""COMPUTED_VALUE"""),"Wayne Sands")</f>
        <v>Wayne Sands</v>
      </c>
      <c r="I1605" s="62">
        <f>IFERROR(__xludf.DUMMYFUNCTION("""COMPUTED_VALUE"""),6.1498879547E10)</f>
        <v>61498879547</v>
      </c>
      <c r="J1605" s="19" t="str">
        <f>IFERROR(__xludf.DUMMYFUNCTION("""COMPUTED_VALUE"""),"Firecomausralia@bigpond.com")</f>
        <v>Firecomausralia@bigpond.com</v>
      </c>
    </row>
    <row r="1606">
      <c r="A1606" s="19" t="str">
        <f>IFERROR(__xludf.DUMMYFUNCTION("""COMPUTED_VALUE"""),"Mark Cheney")</f>
        <v>Mark Cheney</v>
      </c>
      <c r="B1606" s="19" t="str">
        <f>IFERROR(__xludf.DUMMYFUNCTION("""COMPUTED_VALUE"""),"QLD")</f>
        <v>QLD</v>
      </c>
      <c r="C1606" s="5" t="str">
        <f>IFERROR(__xludf.DUMMYFUNCTION("""COMPUTED_VALUE"""),"Morayfield")</f>
        <v>Morayfield</v>
      </c>
      <c r="D1606" s="5" t="str">
        <f>IFERROR(__xludf.DUMMYFUNCTION("""COMPUTED_VALUE"""),"10-16 Sanno Road  Morayfield 4506, Morayfield, 4506")</f>
        <v>10-16 Sanno Road  Morayfield 4506, Morayfield, 4506</v>
      </c>
      <c r="E1606" s="5" t="str">
        <f>IFERROR(__xludf.DUMMYFUNCTION("""COMPUTED_VALUE"""),"26/11/2025")</f>
        <v>26/11/2025</v>
      </c>
      <c r="F1606" s="5" t="str">
        <f>IFERROR(__xludf.DUMMYFUNCTION("""COMPUTED_VALUE"""),"Featured")</f>
        <v>Featured</v>
      </c>
      <c r="G1606" s="19" t="str">
        <f>IFERROR(__xludf.DUMMYFUNCTION("""COMPUTED_VALUE"""),"Meta Commission Report")</f>
        <v>Meta Commission Report</v>
      </c>
      <c r="H1606" s="19" t="str">
        <f>IFERROR(__xludf.DUMMYFUNCTION("""COMPUTED_VALUE"""),"Colin Bremner")</f>
        <v>Colin Bremner</v>
      </c>
      <c r="I1606" s="62">
        <f>IFERROR(__xludf.DUMMYFUNCTION("""COMPUTED_VALUE"""),6.1429991087E10)</f>
        <v>61429991087</v>
      </c>
      <c r="J1606" s="19" t="str">
        <f>IFERROR(__xludf.DUMMYFUNCTION("""COMPUTED_VALUE"""),"carol.bremner@outlook.com")</f>
        <v>carol.bremner@outlook.com</v>
      </c>
    </row>
    <row r="1607">
      <c r="A1607" s="19" t="str">
        <f>IFERROR(__xludf.DUMMYFUNCTION("""COMPUTED_VALUE"""),"Mark Cheney")</f>
        <v>Mark Cheney</v>
      </c>
      <c r="B1607" s="19" t="str">
        <f>IFERROR(__xludf.DUMMYFUNCTION("""COMPUTED_VALUE"""),"QLD")</f>
        <v>QLD</v>
      </c>
      <c r="C1607" s="5" t="str">
        <f>IFERROR(__xludf.DUMMYFUNCTION("""COMPUTED_VALUE"""),"Narangba")</f>
        <v>Narangba</v>
      </c>
      <c r="D1607" s="5" t="str">
        <f>IFERROR(__xludf.DUMMYFUNCTION("""COMPUTED_VALUE"""),"47 Coronata Crescent Narangba QLD 4504")</f>
        <v>47 Coronata Crescent Narangba QLD 4504</v>
      </c>
      <c r="E1607" s="5" t="str">
        <f>IFERROR(__xludf.DUMMYFUNCTION("""COMPUTED_VALUE"""),"29/11/2025")</f>
        <v>29/11/2025</v>
      </c>
      <c r="F1607" s="64">
        <f>IFERROR(__xludf.DUMMYFUNCTION("""COMPUTED_VALUE"""),0.2)</f>
        <v>0.2</v>
      </c>
      <c r="G1607" s="19" t="str">
        <f>IFERROR(__xludf.DUMMYFUNCTION("""COMPUTED_VALUE"""),"Instant Forms")</f>
        <v>Instant Forms</v>
      </c>
      <c r="H1607" s="19" t="str">
        <f>IFERROR(__xludf.DUMMYFUNCTION("""COMPUTED_VALUE"""),"Catherine Nicholas")</f>
        <v>Catherine Nicholas</v>
      </c>
      <c r="I1607" s="62">
        <f>IFERROR(__xludf.DUMMYFUNCTION("""COMPUTED_VALUE"""),6.1403414851E10)</f>
        <v>61403414851</v>
      </c>
      <c r="J1607" s="19" t="str">
        <f>IFERROR(__xludf.DUMMYFUNCTION("""COMPUTED_VALUE"""),"catherine_nicholas@hotmail.com")</f>
        <v>catherine_nicholas@hotmail.com</v>
      </c>
    </row>
    <row r="1608">
      <c r="A1608" s="19" t="str">
        <f>IFERROR(__xludf.DUMMYFUNCTION("""COMPUTED_VALUE"""),"Mark Cheney")</f>
        <v>Mark Cheney</v>
      </c>
      <c r="B1608" s="19" t="str">
        <f>IFERROR(__xludf.DUMMYFUNCTION("""COMPUTED_VALUE"""),"QLD")</f>
        <v>QLD</v>
      </c>
      <c r="C1608" s="5" t="str">
        <f>IFERROR(__xludf.DUMMYFUNCTION("""COMPUTED_VALUE"""),"Burpengary")</f>
        <v>Burpengary</v>
      </c>
      <c r="D1608" s="5" t="str">
        <f>IFERROR(__xludf.DUMMYFUNCTION("""COMPUTED_VALUE"""),"25 Findlay Street Burpengary QLD 4505")</f>
        <v>25 Findlay Street Burpengary QLD 4505</v>
      </c>
      <c r="E1608" s="27">
        <f>IFERROR(__xludf.DUMMYFUNCTION("""COMPUTED_VALUE"""),45669.0)</f>
        <v>45669</v>
      </c>
      <c r="F1608" s="64">
        <f>IFERROR(__xludf.DUMMYFUNCTION("""COMPUTED_VALUE"""),0.2)</f>
        <v>0.2</v>
      </c>
      <c r="G1608" s="19" t="str">
        <f>IFERROR(__xludf.DUMMYFUNCTION("""COMPUTED_VALUE"""),"Instant Forms")</f>
        <v>Instant Forms</v>
      </c>
      <c r="H1608" s="19" t="str">
        <f>IFERROR(__xludf.DUMMYFUNCTION("""COMPUTED_VALUE"""),"Luke Booker")</f>
        <v>Luke Booker</v>
      </c>
      <c r="I1608" s="62">
        <f>IFERROR(__xludf.DUMMYFUNCTION("""COMPUTED_VALUE"""),6.1420709901E10)</f>
        <v>61420709901</v>
      </c>
      <c r="J1608" s="19" t="str">
        <f>IFERROR(__xludf.DUMMYFUNCTION("""COMPUTED_VALUE"""),"bookerluke@gmail.com")</f>
        <v>bookerluke@gmail.com</v>
      </c>
    </row>
    <row r="1609">
      <c r="A1609" s="19" t="str">
        <f>IFERROR(__xludf.DUMMYFUNCTION("""COMPUTED_VALUE"""),"")</f>
        <v/>
      </c>
      <c r="B1609" s="19" t="str">
        <f>IFERROR(__xludf.DUMMYFUNCTION("""COMPUTED_VALUE"""),"")</f>
        <v/>
      </c>
      <c r="C1609" s="5" t="str">
        <f>IFERROR(__xludf.DUMMYFUNCTION("""COMPUTED_VALUE"""),"")</f>
        <v/>
      </c>
      <c r="D1609" s="5" t="str">
        <f>IFERROR(__xludf.DUMMYFUNCTION("""COMPUTED_VALUE"""),"")</f>
        <v/>
      </c>
      <c r="E1609" s="5" t="str">
        <f>IFERROR(__xludf.DUMMYFUNCTION("""COMPUTED_VALUE"""),"")</f>
        <v/>
      </c>
      <c r="F1609" s="5" t="str">
        <f>IFERROR(__xludf.DUMMYFUNCTION("""COMPUTED_VALUE"""),"")</f>
        <v/>
      </c>
      <c r="G1609" s="19" t="str">
        <f>IFERROR(__xludf.DUMMYFUNCTION("""COMPUTED_VALUE"""),"")</f>
        <v/>
      </c>
      <c r="H1609" s="19" t="str">
        <f>IFERROR(__xludf.DUMMYFUNCTION("""COMPUTED_VALUE"""),"")</f>
        <v/>
      </c>
      <c r="I1609" s="62" t="str">
        <f>IFERROR(__xludf.DUMMYFUNCTION("""COMPUTED_VALUE"""),"")</f>
        <v/>
      </c>
      <c r="J1609" s="19" t="str">
        <f>IFERROR(__xludf.DUMMYFUNCTION("""COMPUTED_VALUE"""),"")</f>
        <v/>
      </c>
    </row>
    <row r="1610">
      <c r="A1610" s="19" t="str">
        <f>IFERROR(__xludf.DUMMYFUNCTION("""COMPUTED_VALUE"""),"")</f>
        <v/>
      </c>
      <c r="B1610" s="19" t="str">
        <f>IFERROR(__xludf.DUMMYFUNCTION("""COMPUTED_VALUE"""),"")</f>
        <v/>
      </c>
      <c r="C1610" s="5" t="str">
        <f>IFERROR(__xludf.DUMMYFUNCTION("""COMPUTED_VALUE"""),"")</f>
        <v/>
      </c>
      <c r="D1610" s="5" t="str">
        <f>IFERROR(__xludf.DUMMYFUNCTION("""COMPUTED_VALUE"""),"")</f>
        <v/>
      </c>
      <c r="E1610" s="5" t="str">
        <f>IFERROR(__xludf.DUMMYFUNCTION("""COMPUTED_VALUE"""),"")</f>
        <v/>
      </c>
      <c r="F1610" s="5" t="str">
        <f>IFERROR(__xludf.DUMMYFUNCTION("""COMPUTED_VALUE"""),"")</f>
        <v/>
      </c>
      <c r="G1610" s="19" t="str">
        <f>IFERROR(__xludf.DUMMYFUNCTION("""COMPUTED_VALUE"""),"")</f>
        <v/>
      </c>
      <c r="H1610" s="19" t="str">
        <f>IFERROR(__xludf.DUMMYFUNCTION("""COMPUTED_VALUE"""),"")</f>
        <v/>
      </c>
      <c r="I1610" s="62" t="str">
        <f>IFERROR(__xludf.DUMMYFUNCTION("""COMPUTED_VALUE"""),"")</f>
        <v/>
      </c>
      <c r="J1610" s="19" t="str">
        <f>IFERROR(__xludf.DUMMYFUNCTION("""COMPUTED_VALUE"""),"")</f>
        <v/>
      </c>
    </row>
    <row r="1611">
      <c r="A1611" s="19" t="str">
        <f>IFERROR(__xludf.DUMMYFUNCTION("""COMPUTED_VALUE"""),"Mat Suckling")</f>
        <v>Mat Suckling</v>
      </c>
      <c r="B1611" s="19" t="str">
        <f>IFERROR(__xludf.DUMMYFUNCTION("""COMPUTED_VALUE"""),"VIC")</f>
        <v>VIC</v>
      </c>
      <c r="C1611" s="5" t="str">
        <f>IFERROR(__xludf.DUMMYFUNCTION("""COMPUTED_VALUE"""),"Alphington")</f>
        <v>Alphington</v>
      </c>
      <c r="D1611" s="5"/>
      <c r="E1611" s="63" t="str">
        <f>IFERROR(__xludf.DUMMYFUNCTION("""COMPUTED_VALUE"""),"29/07/2025")</f>
        <v>29/07/2025</v>
      </c>
      <c r="F1611" s="5" t="str">
        <f>IFERROR(__xludf.DUMMYFUNCTION("""COMPUTED_VALUE"""),"Featured")</f>
        <v>Featured</v>
      </c>
      <c r="G1611" s="19" t="str">
        <f>IFERROR(__xludf.DUMMYFUNCTION("""COMPUTED_VALUE"""),"Instant Forms")</f>
        <v>Instant Forms</v>
      </c>
      <c r="H1611" s="19"/>
      <c r="I1611" s="62"/>
      <c r="J1611" s="19"/>
    </row>
    <row r="1612">
      <c r="A1612" s="19" t="str">
        <f>IFERROR(__xludf.DUMMYFUNCTION("""COMPUTED_VALUE"""),"")</f>
        <v/>
      </c>
      <c r="B1612" s="19" t="str">
        <f>IFERROR(__xludf.DUMMYFUNCTION("""COMPUTED_VALUE"""),"")</f>
        <v/>
      </c>
      <c r="C1612" s="5" t="str">
        <f>IFERROR(__xludf.DUMMYFUNCTION("""COMPUTED_VALUE"""),"")</f>
        <v/>
      </c>
      <c r="D1612" s="5" t="str">
        <f>IFERROR(__xludf.DUMMYFUNCTION("""COMPUTED_VALUE"""),"")</f>
        <v/>
      </c>
      <c r="E1612" s="5" t="str">
        <f>IFERROR(__xludf.DUMMYFUNCTION("""COMPUTED_VALUE"""),"")</f>
        <v/>
      </c>
      <c r="F1612" s="5" t="str">
        <f>IFERROR(__xludf.DUMMYFUNCTION("""COMPUTED_VALUE"""),"")</f>
        <v/>
      </c>
      <c r="G1612" s="19" t="str">
        <f>IFERROR(__xludf.DUMMYFUNCTION("""COMPUTED_VALUE"""),"")</f>
        <v/>
      </c>
      <c r="H1612" s="19" t="str">
        <f>IFERROR(__xludf.DUMMYFUNCTION("""COMPUTED_VALUE"""),"")</f>
        <v/>
      </c>
      <c r="I1612" s="62" t="str">
        <f>IFERROR(__xludf.DUMMYFUNCTION("""COMPUTED_VALUE"""),"")</f>
        <v/>
      </c>
      <c r="J1612" s="19" t="str">
        <f>IFERROR(__xludf.DUMMYFUNCTION("""COMPUTED_VALUE"""),"")</f>
        <v/>
      </c>
    </row>
    <row r="1613">
      <c r="A1613" s="19" t="str">
        <f>IFERROR(__xludf.DUMMYFUNCTION("""COMPUTED_VALUE"""),"")</f>
        <v/>
      </c>
      <c r="B1613" s="19" t="str">
        <f>IFERROR(__xludf.DUMMYFUNCTION("""COMPUTED_VALUE"""),"")</f>
        <v/>
      </c>
      <c r="C1613" s="5" t="str">
        <f>IFERROR(__xludf.DUMMYFUNCTION("""COMPUTED_VALUE"""),"")</f>
        <v/>
      </c>
      <c r="D1613" s="5" t="str">
        <f>IFERROR(__xludf.DUMMYFUNCTION("""COMPUTED_VALUE"""),"")</f>
        <v/>
      </c>
      <c r="E1613" s="5" t="str">
        <f>IFERROR(__xludf.DUMMYFUNCTION("""COMPUTED_VALUE"""),"")</f>
        <v/>
      </c>
      <c r="F1613" s="5" t="str">
        <f>IFERROR(__xludf.DUMMYFUNCTION("""COMPUTED_VALUE"""),"")</f>
        <v/>
      </c>
      <c r="G1613" s="19" t="str">
        <f>IFERROR(__xludf.DUMMYFUNCTION("""COMPUTED_VALUE"""),"")</f>
        <v/>
      </c>
      <c r="H1613" s="19" t="str">
        <f>IFERROR(__xludf.DUMMYFUNCTION("""COMPUTED_VALUE"""),"")</f>
        <v/>
      </c>
      <c r="I1613" s="62" t="str">
        <f>IFERROR(__xludf.DUMMYFUNCTION("""COMPUTED_VALUE"""),"")</f>
        <v/>
      </c>
      <c r="J1613" s="19" t="str">
        <f>IFERROR(__xludf.DUMMYFUNCTION("""COMPUTED_VALUE"""),"")</f>
        <v/>
      </c>
    </row>
    <row r="1614">
      <c r="A1614" s="19" t="str">
        <f>IFERROR(__xludf.DUMMYFUNCTION("""COMPUTED_VALUE"""),"Matt Campbell")</f>
        <v>Matt Campbell</v>
      </c>
      <c r="B1614" s="19" t="str">
        <f>IFERROR(__xludf.DUMMYFUNCTION("""COMPUTED_VALUE"""),"QLD")</f>
        <v>QLD</v>
      </c>
      <c r="C1614" s="5">
        <f>IFERROR(__xludf.DUMMYFUNCTION("""COMPUTED_VALUE"""),4152.0)</f>
        <v>4152</v>
      </c>
      <c r="D1614" s="5"/>
      <c r="E1614" s="25">
        <f>IFERROR(__xludf.DUMMYFUNCTION("""COMPUTED_VALUE"""),45880.0)</f>
        <v>45880</v>
      </c>
      <c r="F1614" s="5" t="str">
        <f>IFERROR(__xludf.DUMMYFUNCTION("""COMPUTED_VALUE"""),"Free")</f>
        <v>Free</v>
      </c>
      <c r="G1614" s="19" t="str">
        <f>IFERROR(__xludf.DUMMYFUNCTION("""COMPUTED_VALUE"""),"Instant Forms")</f>
        <v>Instant Forms</v>
      </c>
      <c r="H1614" s="19"/>
      <c r="I1614" s="62"/>
      <c r="J1614" s="19"/>
    </row>
    <row r="1615">
      <c r="A1615" s="19" t="str">
        <f>IFERROR(__xludf.DUMMYFUNCTION("""COMPUTED_VALUE"""),"Matt Campbell")</f>
        <v>Matt Campbell</v>
      </c>
      <c r="B1615" s="19" t="str">
        <f>IFERROR(__xludf.DUMMYFUNCTION("""COMPUTED_VALUE"""),"QLD")</f>
        <v>QLD</v>
      </c>
      <c r="C1615" s="5" t="str">
        <f>IFERROR(__xludf.DUMMYFUNCTION("""COMPUTED_VALUE"""),"Greenslopes")</f>
        <v>Greenslopes</v>
      </c>
      <c r="D1615" s="5" t="str">
        <f>IFERROR(__xludf.DUMMYFUNCTION("""COMPUTED_VALUE"""),"32A Merinda Street Greenslopes QLD 4120")</f>
        <v>32A Merinda Street Greenslopes QLD 4120</v>
      </c>
      <c r="E1615" s="25">
        <f>IFERROR(__xludf.DUMMYFUNCTION("""COMPUTED_VALUE"""),45890.0)</f>
        <v>45890</v>
      </c>
      <c r="F1615" s="5" t="str">
        <f>IFERROR(__xludf.DUMMYFUNCTION("""COMPUTED_VALUE"""),"Featured")</f>
        <v>Featured</v>
      </c>
      <c r="G1615" s="19" t="str">
        <f>IFERROR(__xludf.DUMMYFUNCTION("""COMPUTED_VALUE"""),"Instant Forms")</f>
        <v>Instant Forms</v>
      </c>
      <c r="H1615" s="19"/>
      <c r="I1615" s="62"/>
      <c r="J1615" s="19"/>
    </row>
    <row r="1616">
      <c r="A1616" s="19" t="str">
        <f>IFERROR(__xludf.DUMMYFUNCTION("""COMPUTED_VALUE"""),"Matt Campbell")</f>
        <v>Matt Campbell</v>
      </c>
      <c r="B1616" s="19" t="str">
        <f>IFERROR(__xludf.DUMMYFUNCTION("""COMPUTED_VALUE"""),"QLD")</f>
        <v>QLD</v>
      </c>
      <c r="C1616" s="5" t="str">
        <f>IFERROR(__xludf.DUMMYFUNCTION("""COMPUTED_VALUE"""),"Mount Gravatt East")</f>
        <v>Mount Gravatt East</v>
      </c>
      <c r="D1616" s="5" t="str">
        <f>IFERROR(__xludf.DUMMYFUNCTION("""COMPUTED_VALUE"""),"26 Hillcroft Street Mount Gravatt East QLD 4122")</f>
        <v>26 Hillcroft Street Mount Gravatt East QLD 4122</v>
      </c>
      <c r="E1616" s="25">
        <f>IFERROR(__xludf.DUMMYFUNCTION("""COMPUTED_VALUE"""),45890.0)</f>
        <v>45890</v>
      </c>
      <c r="F1616" s="5" t="str">
        <f>IFERROR(__xludf.DUMMYFUNCTION("""COMPUTED_VALUE"""),"Featured")</f>
        <v>Featured</v>
      </c>
      <c r="G1616" s="19" t="str">
        <f>IFERROR(__xludf.DUMMYFUNCTION("""COMPUTED_VALUE"""),"Instant Forms")</f>
        <v>Instant Forms</v>
      </c>
      <c r="H1616" s="19"/>
      <c r="I1616" s="62"/>
      <c r="J1616" s="19"/>
    </row>
    <row r="1617">
      <c r="A1617" s="19" t="str">
        <f>IFERROR(__xludf.DUMMYFUNCTION("""COMPUTED_VALUE"""),"Matt Campbell")</f>
        <v>Matt Campbell</v>
      </c>
      <c r="B1617" s="19" t="str">
        <f>IFERROR(__xludf.DUMMYFUNCTION("""COMPUTED_VALUE"""),"QLD")</f>
        <v>QLD</v>
      </c>
      <c r="C1617" s="5" t="str">
        <f>IFERROR(__xludf.DUMMYFUNCTION("""COMPUTED_VALUE"""),"Carina Heights")</f>
        <v>Carina Heights</v>
      </c>
      <c r="D1617" s="5" t="str">
        <f>IFERROR(__xludf.DUMMYFUNCTION("""COMPUTED_VALUE"""),"27 Bendena Terrace Carina Heights QLD 4152")</f>
        <v>27 Bendena Terrace Carina Heights QLD 4152</v>
      </c>
      <c r="E1617" s="25">
        <f>IFERROR(__xludf.DUMMYFUNCTION("""COMPUTED_VALUE"""),45892.0)</f>
        <v>45892</v>
      </c>
      <c r="F1617" s="5" t="str">
        <f>IFERROR(__xludf.DUMMYFUNCTION("""COMPUTED_VALUE"""),"Featured")</f>
        <v>Featured</v>
      </c>
      <c r="G1617" s="19" t="str">
        <f>IFERROR(__xludf.DUMMYFUNCTION("""COMPUTED_VALUE"""),"Instant Forms")</f>
        <v>Instant Forms</v>
      </c>
      <c r="H1617" s="19"/>
      <c r="I1617" s="62"/>
      <c r="J1617" s="19"/>
    </row>
    <row r="1618">
      <c r="A1618" s="19" t="str">
        <f>IFERROR(__xludf.DUMMYFUNCTION("""COMPUTED_VALUE"""),"Matt Campbell")</f>
        <v>Matt Campbell</v>
      </c>
      <c r="B1618" s="19" t="str">
        <f>IFERROR(__xludf.DUMMYFUNCTION("""COMPUTED_VALUE"""),"QLD")</f>
        <v>QLD</v>
      </c>
      <c r="C1618" s="5" t="str">
        <f>IFERROR(__xludf.DUMMYFUNCTION("""COMPUTED_VALUE"""),"Carindale")</f>
        <v>Carindale</v>
      </c>
      <c r="D1618" s="5" t="str">
        <f>IFERROR(__xludf.DUMMYFUNCTION("""COMPUTED_VALUE"""),"49 Ewer Street, Carindale, QLD, 4152, Australia")</f>
        <v>49 Ewer Street, Carindale, QLD, 4152, Australia</v>
      </c>
      <c r="E1618" s="25">
        <f>IFERROR(__xludf.DUMMYFUNCTION("""COMPUTED_VALUE"""),45893.0)</f>
        <v>45893</v>
      </c>
      <c r="F1618" s="5" t="str">
        <f>IFERROR(__xludf.DUMMYFUNCTION("""COMPUTED_VALUE"""),"Featured")</f>
        <v>Featured</v>
      </c>
      <c r="G1618" s="19" t="str">
        <f>IFERROR(__xludf.DUMMYFUNCTION("""COMPUTED_VALUE"""),"Commission Comparison")</f>
        <v>Commission Comparison</v>
      </c>
      <c r="H1618" s="19"/>
      <c r="I1618" s="62"/>
      <c r="J1618" s="19"/>
    </row>
    <row r="1619">
      <c r="A1619" s="19" t="str">
        <f>IFERROR(__xludf.DUMMYFUNCTION("""COMPUTED_VALUE"""),"Matt Campbell")</f>
        <v>Matt Campbell</v>
      </c>
      <c r="B1619" s="19" t="str">
        <f>IFERROR(__xludf.DUMMYFUNCTION("""COMPUTED_VALUE"""),"QLD")</f>
        <v>QLD</v>
      </c>
      <c r="C1619" s="5" t="str">
        <f>IFERROR(__xludf.DUMMYFUNCTION("""COMPUTED_VALUE"""),"Carindale")</f>
        <v>Carindale</v>
      </c>
      <c r="D1619" s="5"/>
      <c r="E1619" s="25">
        <f>IFERROR(__xludf.DUMMYFUNCTION("""COMPUTED_VALUE"""),45901.0)</f>
        <v>45901</v>
      </c>
      <c r="F1619" s="5" t="str">
        <f>IFERROR(__xludf.DUMMYFUNCTION("""COMPUTED_VALUE"""),"Free")</f>
        <v>Free</v>
      </c>
      <c r="G1619" s="19" t="str">
        <f>IFERROR(__xludf.DUMMYFUNCTION("""COMPUTED_VALUE"""),"Instant Forms")</f>
        <v>Instant Forms</v>
      </c>
      <c r="H1619" s="19"/>
      <c r="I1619" s="62"/>
      <c r="J1619" s="19"/>
    </row>
    <row r="1620">
      <c r="A1620" s="19" t="str">
        <f>IFERROR(__xludf.DUMMYFUNCTION("""COMPUTED_VALUE"""),"Matt Campbell")</f>
        <v>Matt Campbell</v>
      </c>
      <c r="B1620" s="19" t="str">
        <f>IFERROR(__xludf.DUMMYFUNCTION("""COMPUTED_VALUE"""),"QLD")</f>
        <v>QLD</v>
      </c>
      <c r="C1620" s="5" t="str">
        <f>IFERROR(__xludf.DUMMYFUNCTION("""COMPUTED_VALUE"""),"Mt gravatt")</f>
        <v>Mt gravatt</v>
      </c>
      <c r="D1620" s="5" t="str">
        <f>IFERROR(__xludf.DUMMYFUNCTION("""COMPUTED_VALUE"""),"49 O'Grady Street Upper Mount Gravatt QLD 4122")</f>
        <v>49 O'Grady Street Upper Mount Gravatt QLD 4122</v>
      </c>
      <c r="E1620" s="25">
        <f>IFERROR(__xludf.DUMMYFUNCTION("""COMPUTED_VALUE"""),45901.0)</f>
        <v>45901</v>
      </c>
      <c r="F1620" s="5" t="str">
        <f>IFERROR(__xludf.DUMMYFUNCTION("""COMPUTED_VALUE"""),"Featured")</f>
        <v>Featured</v>
      </c>
      <c r="G1620" s="19" t="str">
        <f>IFERROR(__xludf.DUMMYFUNCTION("""COMPUTED_VALUE"""),"Instant Forms")</f>
        <v>Instant Forms</v>
      </c>
      <c r="H1620" s="19"/>
      <c r="I1620" s="62"/>
      <c r="J1620" s="19"/>
    </row>
    <row r="1621">
      <c r="A1621" s="19" t="str">
        <f>IFERROR(__xludf.DUMMYFUNCTION("""COMPUTED_VALUE"""),"Matt Campbell")</f>
        <v>Matt Campbell</v>
      </c>
      <c r="B1621" s="19" t="str">
        <f>IFERROR(__xludf.DUMMYFUNCTION("""COMPUTED_VALUE"""),"QLD")</f>
        <v>QLD</v>
      </c>
      <c r="C1621" s="5" t="str">
        <f>IFERROR(__xludf.DUMMYFUNCTION("""COMPUTED_VALUE"""),"Carindale")</f>
        <v>Carindale</v>
      </c>
      <c r="D1621" s="5" t="str">
        <f>IFERROR(__xludf.DUMMYFUNCTION("""COMPUTED_VALUE"""),"7 Lydford Court Carindale QLD 4152")</f>
        <v>7 Lydford Court Carindale QLD 4152</v>
      </c>
      <c r="E1621" s="25">
        <f>IFERROR(__xludf.DUMMYFUNCTION("""COMPUTED_VALUE"""),45901.0)</f>
        <v>45901</v>
      </c>
      <c r="F1621" s="5" t="str">
        <f>IFERROR(__xludf.DUMMYFUNCTION("""COMPUTED_VALUE"""),"Featured")</f>
        <v>Featured</v>
      </c>
      <c r="G1621" s="19" t="str">
        <f>IFERROR(__xludf.DUMMYFUNCTION("""COMPUTED_VALUE"""),"Instant Forms")</f>
        <v>Instant Forms</v>
      </c>
      <c r="H1621" s="19"/>
      <c r="I1621" s="62"/>
      <c r="J1621" s="19"/>
    </row>
    <row r="1622">
      <c r="A1622" s="19" t="str">
        <f>IFERROR(__xludf.DUMMYFUNCTION("""COMPUTED_VALUE"""),"Matt Campbell")</f>
        <v>Matt Campbell</v>
      </c>
      <c r="B1622" s="19" t="str">
        <f>IFERROR(__xludf.DUMMYFUNCTION("""COMPUTED_VALUE"""),"QLD")</f>
        <v>QLD</v>
      </c>
      <c r="C1622" s="5" t="str">
        <f>IFERROR(__xludf.DUMMYFUNCTION("""COMPUTED_VALUE"""),"Tarragindi")</f>
        <v>Tarragindi</v>
      </c>
      <c r="D1622" s="5" t="str">
        <f>IFERROR(__xludf.DUMMYFUNCTION("""COMPUTED_VALUE"""),"22 Pauline Street, Tarragindi, QLD, 4121, Australia")</f>
        <v>22 Pauline Street, Tarragindi, QLD, 4121, Australia</v>
      </c>
      <c r="E1622" s="25">
        <f>IFERROR(__xludf.DUMMYFUNCTION("""COMPUTED_VALUE"""),45902.0)</f>
        <v>45902</v>
      </c>
      <c r="F1622" s="5" t="str">
        <f>IFERROR(__xludf.DUMMYFUNCTION("""COMPUTED_VALUE"""),"Featured")</f>
        <v>Featured</v>
      </c>
      <c r="G1622" s="19" t="str">
        <f>IFERROR(__xludf.DUMMYFUNCTION("""COMPUTED_VALUE"""),"Commission Comparison")</f>
        <v>Commission Comparison</v>
      </c>
      <c r="H1622" s="19"/>
      <c r="I1622" s="62"/>
      <c r="J1622" s="19"/>
    </row>
    <row r="1623">
      <c r="A1623" s="19" t="str">
        <f>IFERROR(__xludf.DUMMYFUNCTION("""COMPUTED_VALUE"""),"Matt Campbell")</f>
        <v>Matt Campbell</v>
      </c>
      <c r="B1623" s="19" t="str">
        <f>IFERROR(__xludf.DUMMYFUNCTION("""COMPUTED_VALUE"""),"QLD")</f>
        <v>QLD</v>
      </c>
      <c r="C1623" s="5" t="str">
        <f>IFERROR(__xludf.DUMMYFUNCTION("""COMPUTED_VALUE"""),"Holland Park West")</f>
        <v>Holland Park West</v>
      </c>
      <c r="D1623" s="5" t="str">
        <f>IFERROR(__xludf.DUMMYFUNCTION("""COMPUTED_VALUE"""),"8 Brescia Street Holland Park West QLD 4121")</f>
        <v>8 Brescia Street Holland Park West QLD 4121</v>
      </c>
      <c r="E1623" s="25">
        <f>IFERROR(__xludf.DUMMYFUNCTION("""COMPUTED_VALUE"""),45902.0)</f>
        <v>45902</v>
      </c>
      <c r="F1623" s="5" t="str">
        <f>IFERROR(__xludf.DUMMYFUNCTION("""COMPUTED_VALUE"""),"Featured")</f>
        <v>Featured</v>
      </c>
      <c r="G1623" s="19" t="str">
        <f>IFERROR(__xludf.DUMMYFUNCTION("""COMPUTED_VALUE"""),"Instant Forms")</f>
        <v>Instant Forms</v>
      </c>
      <c r="H1623" s="19"/>
      <c r="I1623" s="62"/>
      <c r="J1623" s="19"/>
    </row>
    <row r="1624">
      <c r="A1624" s="19" t="str">
        <f>IFERROR(__xludf.DUMMYFUNCTION("""COMPUTED_VALUE"""),"Matt Campbell")</f>
        <v>Matt Campbell</v>
      </c>
      <c r="B1624" s="19" t="str">
        <f>IFERROR(__xludf.DUMMYFUNCTION("""COMPUTED_VALUE"""),"QLD")</f>
        <v>QLD</v>
      </c>
      <c r="C1624" s="5" t="str">
        <f>IFERROR(__xludf.DUMMYFUNCTION("""COMPUTED_VALUE"""),"mount gravatt")</f>
        <v>mount gravatt</v>
      </c>
      <c r="D1624" s="5" t="str">
        <f>IFERROR(__xludf.DUMMYFUNCTION("""COMPUTED_VALUE"""),"68 High Street Mount Gravatt QLD 4122")</f>
        <v>68 High Street Mount Gravatt QLD 4122</v>
      </c>
      <c r="E1624" s="25">
        <f>IFERROR(__xludf.DUMMYFUNCTION("""COMPUTED_VALUE"""),45902.0)</f>
        <v>45902</v>
      </c>
      <c r="F1624" s="5" t="str">
        <f>IFERROR(__xludf.DUMMYFUNCTION("""COMPUTED_VALUE"""),"Featured")</f>
        <v>Featured</v>
      </c>
      <c r="G1624" s="19" t="str">
        <f>IFERROR(__xludf.DUMMYFUNCTION("""COMPUTED_VALUE"""),"Instant Forms")</f>
        <v>Instant Forms</v>
      </c>
      <c r="H1624" s="19"/>
      <c r="I1624" s="62"/>
      <c r="J1624" s="19"/>
    </row>
    <row r="1625">
      <c r="A1625" s="19" t="str">
        <f>IFERROR(__xludf.DUMMYFUNCTION("""COMPUTED_VALUE"""),"Matt Campbell")</f>
        <v>Matt Campbell</v>
      </c>
      <c r="B1625" s="19" t="str">
        <f>IFERROR(__xludf.DUMMYFUNCTION("""COMPUTED_VALUE"""),"QLD")</f>
        <v>QLD</v>
      </c>
      <c r="C1625" s="5" t="str">
        <f>IFERROR(__xludf.DUMMYFUNCTION("""COMPUTED_VALUE"""),"Carina")</f>
        <v>Carina</v>
      </c>
      <c r="D1625" s="5" t="str">
        <f>IFERROR(__xludf.DUMMYFUNCTION("""COMPUTED_VALUE"""),"3 Kennet Place Carina QLD 4152")</f>
        <v>3 Kennet Place Carina QLD 4152</v>
      </c>
      <c r="E1625" s="25">
        <f>IFERROR(__xludf.DUMMYFUNCTION("""COMPUTED_VALUE"""),45906.0)</f>
        <v>45906</v>
      </c>
      <c r="F1625" s="5" t="str">
        <f>IFERROR(__xludf.DUMMYFUNCTION("""COMPUTED_VALUE"""),"Featured")</f>
        <v>Featured</v>
      </c>
      <c r="G1625" s="19" t="str">
        <f>IFERROR(__xludf.DUMMYFUNCTION("""COMPUTED_VALUE"""),"Instant Forms")</f>
        <v>Instant Forms</v>
      </c>
      <c r="H1625" s="19"/>
      <c r="I1625" s="62"/>
      <c r="J1625" s="19"/>
    </row>
    <row r="1626">
      <c r="A1626" s="19" t="str">
        <f>IFERROR(__xludf.DUMMYFUNCTION("""COMPUTED_VALUE"""),"Matt Campbell")</f>
        <v>Matt Campbell</v>
      </c>
      <c r="B1626" s="19" t="str">
        <f>IFERROR(__xludf.DUMMYFUNCTION("""COMPUTED_VALUE"""),"QLD")</f>
        <v>QLD</v>
      </c>
      <c r="C1626" s="5" t="str">
        <f>IFERROR(__xludf.DUMMYFUNCTION("""COMPUTED_VALUE"""),"Cannon Hill")</f>
        <v>Cannon Hill</v>
      </c>
      <c r="D1626" s="5" t="str">
        <f>IFERROR(__xludf.DUMMYFUNCTION("""COMPUTED_VALUE"""),"5/20 Dorothea Street Cannon Hill QLD 4170")</f>
        <v>5/20 Dorothea Street Cannon Hill QLD 4170</v>
      </c>
      <c r="E1626" s="25">
        <f>IFERROR(__xludf.DUMMYFUNCTION("""COMPUTED_VALUE"""),45908.0)</f>
        <v>45908</v>
      </c>
      <c r="F1626" s="5" t="str">
        <f>IFERROR(__xludf.DUMMYFUNCTION("""COMPUTED_VALUE"""),"Featured")</f>
        <v>Featured</v>
      </c>
      <c r="G1626" s="19" t="str">
        <f>IFERROR(__xludf.DUMMYFUNCTION("""COMPUTED_VALUE"""),"Instant Forms")</f>
        <v>Instant Forms</v>
      </c>
      <c r="H1626" s="19"/>
      <c r="I1626" s="62"/>
      <c r="J1626" s="19"/>
    </row>
    <row r="1627">
      <c r="A1627" s="19" t="str">
        <f>IFERROR(__xludf.DUMMYFUNCTION("""COMPUTED_VALUE"""),"Matt Campbell")</f>
        <v>Matt Campbell</v>
      </c>
      <c r="B1627" s="19" t="str">
        <f>IFERROR(__xludf.DUMMYFUNCTION("""COMPUTED_VALUE"""),"QLD")</f>
        <v>QLD</v>
      </c>
      <c r="C1627" s="5" t="str">
        <f>IFERROR(__xludf.DUMMYFUNCTION("""COMPUTED_VALUE"""),"Camp Hill")</f>
        <v>Camp Hill</v>
      </c>
      <c r="D1627" s="5" t="str">
        <f>IFERROR(__xludf.DUMMYFUNCTION("""COMPUTED_VALUE"""),"31 Orwell Street Camp Hill QLD 4152")</f>
        <v>31 Orwell Street Camp Hill QLD 4152</v>
      </c>
      <c r="E1627" s="25">
        <f>IFERROR(__xludf.DUMMYFUNCTION("""COMPUTED_VALUE"""),45910.0)</f>
        <v>45910</v>
      </c>
      <c r="F1627" s="5">
        <f>IFERROR(__xludf.DUMMYFUNCTION("""COMPUTED_VALUE"""),7.0)</f>
        <v>7</v>
      </c>
      <c r="G1627" s="19" t="str">
        <f>IFERROR(__xludf.DUMMYFUNCTION("""COMPUTED_VALUE"""),"Instant Forms")</f>
        <v>Instant Forms</v>
      </c>
      <c r="H1627" s="19" t="str">
        <f>IFERROR(__xludf.DUMMYFUNCTION("""COMPUTED_VALUE"""),"Rachelle")</f>
        <v>Rachelle</v>
      </c>
      <c r="I1627" s="62"/>
      <c r="J1627" s="19"/>
    </row>
    <row r="1628">
      <c r="A1628" s="19" t="str">
        <f>IFERROR(__xludf.DUMMYFUNCTION("""COMPUTED_VALUE"""),"Matt Campbell")</f>
        <v>Matt Campbell</v>
      </c>
      <c r="B1628" s="19" t="str">
        <f>IFERROR(__xludf.DUMMYFUNCTION("""COMPUTED_VALUE"""),"QLD")</f>
        <v>QLD</v>
      </c>
      <c r="C1628" s="5" t="str">
        <f>IFERROR(__xludf.DUMMYFUNCTION("""COMPUTED_VALUE"""),"Camp Hill")</f>
        <v>Camp Hill</v>
      </c>
      <c r="D1628" s="5"/>
      <c r="E1628" s="25">
        <f>IFERROR(__xludf.DUMMYFUNCTION("""COMPUTED_VALUE"""),45911.0)</f>
        <v>45911</v>
      </c>
      <c r="F1628" s="5">
        <f>IFERROR(__xludf.DUMMYFUNCTION("""COMPUTED_VALUE"""),5.0)</f>
        <v>5</v>
      </c>
      <c r="G1628" s="19" t="str">
        <f>IFERROR(__xludf.DUMMYFUNCTION("""COMPUTED_VALUE"""),"Instant Forms")</f>
        <v>Instant Forms</v>
      </c>
      <c r="H1628" s="19" t="str">
        <f>IFERROR(__xludf.DUMMYFUNCTION("""COMPUTED_VALUE"""),"Stewart McLeod")</f>
        <v>Stewart McLeod</v>
      </c>
      <c r="I1628" s="62"/>
      <c r="J1628" s="19"/>
    </row>
    <row r="1629">
      <c r="A1629" s="19" t="str">
        <f>IFERROR(__xludf.DUMMYFUNCTION("""COMPUTED_VALUE"""),"Matt Campbell")</f>
        <v>Matt Campbell</v>
      </c>
      <c r="B1629" s="19" t="str">
        <f>IFERROR(__xludf.DUMMYFUNCTION("""COMPUTED_VALUE"""),"QLD")</f>
        <v>QLD</v>
      </c>
      <c r="C1629" s="5" t="str">
        <f>IFERROR(__xludf.DUMMYFUNCTION("""COMPUTED_VALUE"""),"Mansfield")</f>
        <v>Mansfield</v>
      </c>
      <c r="D1629" s="5" t="str">
        <f>IFERROR(__xludf.DUMMYFUNCTION("""COMPUTED_VALUE"""),"24 Canter Street Mansfield QLD 4122")</f>
        <v>24 Canter Street Mansfield QLD 4122</v>
      </c>
      <c r="E1629" s="25">
        <f>IFERROR(__xludf.DUMMYFUNCTION("""COMPUTED_VALUE"""),45916.0)</f>
        <v>45916</v>
      </c>
      <c r="F1629" s="5">
        <f>IFERROR(__xludf.DUMMYFUNCTION("""COMPUTED_VALUE"""),8.0)</f>
        <v>8</v>
      </c>
      <c r="G1629" s="19" t="str">
        <f>IFERROR(__xludf.DUMMYFUNCTION("""COMPUTED_VALUE"""),"Instant Forms")</f>
        <v>Instant Forms</v>
      </c>
      <c r="H1629" s="19" t="str">
        <f>IFERROR(__xludf.DUMMYFUNCTION("""COMPUTED_VALUE"""),"Odino Borgo")</f>
        <v>Odino Borgo</v>
      </c>
      <c r="I1629" s="62"/>
      <c r="J1629" s="19"/>
    </row>
    <row r="1630">
      <c r="A1630" s="19" t="str">
        <f>IFERROR(__xludf.DUMMYFUNCTION("""COMPUTED_VALUE"""),"Matt Campbell")</f>
        <v>Matt Campbell</v>
      </c>
      <c r="B1630" s="19" t="str">
        <f>IFERROR(__xludf.DUMMYFUNCTION("""COMPUTED_VALUE"""),"QLD")</f>
        <v>QLD</v>
      </c>
      <c r="C1630" s="5" t="str">
        <f>IFERROR(__xludf.DUMMYFUNCTION("""COMPUTED_VALUE"""),"GOLD COAST")</f>
        <v>GOLD COAST</v>
      </c>
      <c r="D1630" s="5" t="str">
        <f>IFERROR(__xludf.DUMMYFUNCTION("""COMPUTED_VALUE"""),"52 Springfield Street Macgregor QLD 4109")</f>
        <v>52 Springfield Street Macgregor QLD 4109</v>
      </c>
      <c r="E1630" s="25">
        <f>IFERROR(__xludf.DUMMYFUNCTION("""COMPUTED_VALUE"""),45922.0)</f>
        <v>45922</v>
      </c>
      <c r="F1630" s="5">
        <f>IFERROR(__xludf.DUMMYFUNCTION("""COMPUTED_VALUE"""),5.0)</f>
        <v>5</v>
      </c>
      <c r="G1630" s="19" t="str">
        <f>IFERROR(__xludf.DUMMYFUNCTION("""COMPUTED_VALUE"""),"Instant Forms")</f>
        <v>Instant Forms</v>
      </c>
      <c r="H1630" s="19" t="str">
        <f>IFERROR(__xludf.DUMMYFUNCTION("""COMPUTED_VALUE"""),"Les Fenton")</f>
        <v>Les Fenton</v>
      </c>
      <c r="I1630" s="62"/>
      <c r="J1630" s="19"/>
    </row>
    <row r="1631">
      <c r="A1631" s="19" t="str">
        <f>IFERROR(__xludf.DUMMYFUNCTION("""COMPUTED_VALUE"""),"Matt Campbell")</f>
        <v>Matt Campbell</v>
      </c>
      <c r="B1631" s="19" t="str">
        <f>IFERROR(__xludf.DUMMYFUNCTION("""COMPUTED_VALUE"""),"QLD")</f>
        <v>QLD</v>
      </c>
      <c r="C1631" s="5" t="str">
        <f>IFERROR(__xludf.DUMMYFUNCTION("""COMPUTED_VALUE"""),"Moorooka")</f>
        <v>Moorooka</v>
      </c>
      <c r="D1631" s="5" t="str">
        <f>IFERROR(__xludf.DUMMYFUNCTION("""COMPUTED_VALUE"""),"5 Rabaul Street Moorooka QLD 4105")</f>
        <v>5 Rabaul Street Moorooka QLD 4105</v>
      </c>
      <c r="E1631" s="25">
        <f>IFERROR(__xludf.DUMMYFUNCTION("""COMPUTED_VALUE"""),45924.0)</f>
        <v>45924</v>
      </c>
      <c r="F1631" s="5">
        <f>IFERROR(__xludf.DUMMYFUNCTION("""COMPUTED_VALUE"""),10.0)</f>
        <v>10</v>
      </c>
      <c r="G1631" s="19" t="str">
        <f>IFERROR(__xludf.DUMMYFUNCTION("""COMPUTED_VALUE"""),"Instant Forms")</f>
        <v>Instant Forms</v>
      </c>
      <c r="H1631" s="19" t="str">
        <f>IFERROR(__xludf.DUMMYFUNCTION("""COMPUTED_VALUE"""),"Les Barkla")</f>
        <v>Les Barkla</v>
      </c>
      <c r="I1631" s="62"/>
      <c r="J1631" s="19"/>
    </row>
    <row r="1632">
      <c r="A1632" s="19" t="str">
        <f>IFERROR(__xludf.DUMMYFUNCTION("""COMPUTED_VALUE"""),"Matt Campbell")</f>
        <v>Matt Campbell</v>
      </c>
      <c r="B1632" s="19" t="str">
        <f>IFERROR(__xludf.DUMMYFUNCTION("""COMPUTED_VALUE"""),"QLD")</f>
        <v>QLD</v>
      </c>
      <c r="C1632" s="5" t="str">
        <f>IFERROR(__xludf.DUMMYFUNCTION("""COMPUTED_VALUE"""),"Tarragindi")</f>
        <v>Tarragindi</v>
      </c>
      <c r="D1632" s="5" t="str">
        <f>IFERROR(__xludf.DUMMYFUNCTION("""COMPUTED_VALUE"""),"80 Laura Street Tarragindi QLD 4121")</f>
        <v>80 Laura Street Tarragindi QLD 4121</v>
      </c>
      <c r="E1632" s="25">
        <f>IFERROR(__xludf.DUMMYFUNCTION("""COMPUTED_VALUE"""),45924.0)</f>
        <v>45924</v>
      </c>
      <c r="F1632" s="5">
        <f>IFERROR(__xludf.DUMMYFUNCTION("""COMPUTED_VALUE"""),8.0)</f>
        <v>8</v>
      </c>
      <c r="G1632" s="19" t="str">
        <f>IFERROR(__xludf.DUMMYFUNCTION("""COMPUTED_VALUE"""),"Instant Forms")</f>
        <v>Instant Forms</v>
      </c>
      <c r="H1632" s="19" t="str">
        <f>IFERROR(__xludf.DUMMYFUNCTION("""COMPUTED_VALUE"""),"Ryan Maconachie")</f>
        <v>Ryan Maconachie</v>
      </c>
      <c r="I1632" s="62"/>
      <c r="J1632" s="19"/>
    </row>
    <row r="1633">
      <c r="A1633" s="19" t="str">
        <f>IFERROR(__xludf.DUMMYFUNCTION("""COMPUTED_VALUE"""),"Matt Campbell")</f>
        <v>Matt Campbell</v>
      </c>
      <c r="B1633" s="19" t="str">
        <f>IFERROR(__xludf.DUMMYFUNCTION("""COMPUTED_VALUE"""),"QLD")</f>
        <v>QLD</v>
      </c>
      <c r="C1633" s="5" t="str">
        <f>IFERROR(__xludf.DUMMYFUNCTION("""COMPUTED_VALUE"""),"Carindale")</f>
        <v>Carindale</v>
      </c>
      <c r="D1633" s="5" t="str">
        <f>IFERROR(__xludf.DUMMYFUNCTION("""COMPUTED_VALUE"""),"2 Holborn Crescent Carindale QLD 4152")</f>
        <v>2 Holborn Crescent Carindale QLD 4152</v>
      </c>
      <c r="E1633" s="25">
        <f>IFERROR(__xludf.DUMMYFUNCTION("""COMPUTED_VALUE"""),45930.0)</f>
        <v>45930</v>
      </c>
      <c r="F1633" s="5">
        <f>IFERROR(__xludf.DUMMYFUNCTION("""COMPUTED_VALUE"""),8.0)</f>
        <v>8</v>
      </c>
      <c r="G1633" s="19" t="str">
        <f>IFERROR(__xludf.DUMMYFUNCTION("""COMPUTED_VALUE"""),"Instant Forms")</f>
        <v>Instant Forms</v>
      </c>
      <c r="H1633" s="19" t="str">
        <f>IFERROR(__xludf.DUMMYFUNCTION("""COMPUTED_VALUE"""),"Deb Harris")</f>
        <v>Deb Harris</v>
      </c>
      <c r="I1633" s="62"/>
      <c r="J1633" s="19"/>
    </row>
    <row r="1634">
      <c r="A1634" s="19" t="str">
        <f>IFERROR(__xludf.DUMMYFUNCTION("""COMPUTED_VALUE"""),"Matt Campbell")</f>
        <v>Matt Campbell</v>
      </c>
      <c r="B1634" s="19" t="str">
        <f>IFERROR(__xludf.DUMMYFUNCTION("""COMPUTED_VALUE"""),"QLD")</f>
        <v>QLD</v>
      </c>
      <c r="C1634" s="5" t="str">
        <f>IFERROR(__xludf.DUMMYFUNCTION("""COMPUTED_VALUE"""),"Camp Hill")</f>
        <v>Camp Hill</v>
      </c>
      <c r="D1634" s="5" t="str">
        <f>IFERROR(__xludf.DUMMYFUNCTION("""COMPUTED_VALUE"""),"32 City View Road Camp Hill QLD 4152")</f>
        <v>32 City View Road Camp Hill QLD 4152</v>
      </c>
      <c r="E1634" s="25">
        <f>IFERROR(__xludf.DUMMYFUNCTION("""COMPUTED_VALUE"""),45931.0)</f>
        <v>45931</v>
      </c>
      <c r="F1634" s="5">
        <f>IFERROR(__xludf.DUMMYFUNCTION("""COMPUTED_VALUE"""),8.0)</f>
        <v>8</v>
      </c>
      <c r="G1634" s="19" t="str">
        <f>IFERROR(__xludf.DUMMYFUNCTION("""COMPUTED_VALUE"""),"Instant Forms")</f>
        <v>Instant Forms</v>
      </c>
      <c r="H1634" s="19" t="str">
        <f>IFERROR(__xludf.DUMMYFUNCTION("""COMPUTED_VALUE"""),"Lesleigh Kacin")</f>
        <v>Lesleigh Kacin</v>
      </c>
      <c r="I1634" s="62"/>
      <c r="J1634" s="19"/>
    </row>
    <row r="1635">
      <c r="A1635" s="19" t="str">
        <f>IFERROR(__xludf.DUMMYFUNCTION("""COMPUTED_VALUE"""),"Matt Campbell")</f>
        <v>Matt Campbell</v>
      </c>
      <c r="B1635" s="19" t="str">
        <f>IFERROR(__xludf.DUMMYFUNCTION("""COMPUTED_VALUE"""),"QLD")</f>
        <v>QLD</v>
      </c>
      <c r="C1635" s="5" t="str">
        <f>IFERROR(__xludf.DUMMYFUNCTION("""COMPUTED_VALUE"""),"Camp Hill")</f>
        <v>Camp Hill</v>
      </c>
      <c r="D1635" s="5" t="str">
        <f>IFERROR(__xludf.DUMMYFUNCTION("""COMPUTED_VALUE"""),"32 City View Road, Camp Hill, QLD, 4152, Australia")</f>
        <v>32 City View Road, Camp Hill, QLD, 4152, Australia</v>
      </c>
      <c r="E1635" s="25">
        <f>IFERROR(__xludf.DUMMYFUNCTION("""COMPUTED_VALUE"""),45933.0)</f>
        <v>45933</v>
      </c>
      <c r="F1635" s="5" t="str">
        <f>IFERROR(__xludf.DUMMYFUNCTION("""COMPUTED_VALUE"""),"Featured")</f>
        <v>Featured</v>
      </c>
      <c r="G1635" s="19" t="str">
        <f>IFERROR(__xludf.DUMMYFUNCTION("""COMPUTED_VALUE"""),"Commission Comparison")</f>
        <v>Commission Comparison</v>
      </c>
      <c r="H1635" s="19"/>
      <c r="I1635" s="62"/>
      <c r="J1635" s="19"/>
    </row>
    <row r="1636">
      <c r="A1636" s="19" t="str">
        <f>IFERROR(__xludf.DUMMYFUNCTION("""COMPUTED_VALUE"""),"Matt Campbell")</f>
        <v>Matt Campbell</v>
      </c>
      <c r="B1636" s="19" t="str">
        <f>IFERROR(__xludf.DUMMYFUNCTION("""COMPUTED_VALUE"""),"QLD")</f>
        <v>QLD</v>
      </c>
      <c r="C1636" s="5" t="str">
        <f>IFERROR(__xludf.DUMMYFUNCTION("""COMPUTED_VALUE"""),"Holland park")</f>
        <v>Holland park</v>
      </c>
      <c r="D1636" s="5" t="str">
        <f>IFERROR(__xludf.DUMMYFUNCTION("""COMPUTED_VALUE"""),"58 Coonara Street Holland Park QLD 4121")</f>
        <v>58 Coonara Street Holland Park QLD 4121</v>
      </c>
      <c r="E1636" s="25">
        <f>IFERROR(__xludf.DUMMYFUNCTION("""COMPUTED_VALUE"""),45933.0)</f>
        <v>45933</v>
      </c>
      <c r="F1636" s="5">
        <f>IFERROR(__xludf.DUMMYFUNCTION("""COMPUTED_VALUE"""),8.0)</f>
        <v>8</v>
      </c>
      <c r="G1636" s="19" t="str">
        <f>IFERROR(__xludf.DUMMYFUNCTION("""COMPUTED_VALUE"""),"Instant Forms")</f>
        <v>Instant Forms</v>
      </c>
      <c r="H1636" s="19" t="str">
        <f>IFERROR(__xludf.DUMMYFUNCTION("""COMPUTED_VALUE"""),"Catherine Allen")</f>
        <v>Catherine Allen</v>
      </c>
      <c r="I1636" s="62"/>
      <c r="J1636" s="19"/>
    </row>
    <row r="1637">
      <c r="A1637" s="19" t="str">
        <f>IFERROR(__xludf.DUMMYFUNCTION("""COMPUTED_VALUE"""),"Matt Campbell")</f>
        <v>Matt Campbell</v>
      </c>
      <c r="B1637" s="19" t="str">
        <f>IFERROR(__xludf.DUMMYFUNCTION("""COMPUTED_VALUE"""),"QLD")</f>
        <v>QLD</v>
      </c>
      <c r="C1637" s="5" t="str">
        <f>IFERROR(__xludf.DUMMYFUNCTION("""COMPUTED_VALUE"""),"Tarragindi")</f>
        <v>Tarragindi</v>
      </c>
      <c r="D1637" s="5" t="str">
        <f>IFERROR(__xludf.DUMMYFUNCTION("""COMPUTED_VALUE"""),"49 Amulree Street Tarragindi QLD 4121")</f>
        <v>49 Amulree Street Tarragindi QLD 4121</v>
      </c>
      <c r="E1637" s="25">
        <f>IFERROR(__xludf.DUMMYFUNCTION("""COMPUTED_VALUE"""),45934.0)</f>
        <v>45934</v>
      </c>
      <c r="F1637" s="5">
        <f>IFERROR(__xludf.DUMMYFUNCTION("""COMPUTED_VALUE"""),8.0)</f>
        <v>8</v>
      </c>
      <c r="G1637" s="19" t="str">
        <f>IFERROR(__xludf.DUMMYFUNCTION("""COMPUTED_VALUE"""),"Instant Forms")</f>
        <v>Instant Forms</v>
      </c>
      <c r="H1637" s="19" t="str">
        <f>IFERROR(__xludf.DUMMYFUNCTION("""COMPUTED_VALUE"""),"Andrew White")</f>
        <v>Andrew White</v>
      </c>
      <c r="I1637" s="62"/>
      <c r="J1637" s="19"/>
    </row>
    <row r="1638">
      <c r="A1638" s="19" t="str">
        <f>IFERROR(__xludf.DUMMYFUNCTION("""COMPUTED_VALUE"""),"Matt Campbell")</f>
        <v>Matt Campbell</v>
      </c>
      <c r="B1638" s="19" t="str">
        <f>IFERROR(__xludf.DUMMYFUNCTION("""COMPUTED_VALUE"""),"QLD")</f>
        <v>QLD</v>
      </c>
      <c r="C1638" s="5" t="str">
        <f>IFERROR(__xludf.DUMMYFUNCTION("""COMPUTED_VALUE"""),"moorooka")</f>
        <v>moorooka</v>
      </c>
      <c r="D1638" s="5" t="str">
        <f>IFERROR(__xludf.DUMMYFUNCTION("""COMPUTED_VALUE"""),"10 Northview Outlook Moorooka QLD 4105")</f>
        <v>10 Northview Outlook Moorooka QLD 4105</v>
      </c>
      <c r="E1638" s="25">
        <f>IFERROR(__xludf.DUMMYFUNCTION("""COMPUTED_VALUE"""),45935.0)</f>
        <v>45935</v>
      </c>
      <c r="F1638" s="5">
        <f>IFERROR(__xludf.DUMMYFUNCTION("""COMPUTED_VALUE"""),8.0)</f>
        <v>8</v>
      </c>
      <c r="G1638" s="19" t="str">
        <f>IFERROR(__xludf.DUMMYFUNCTION("""COMPUTED_VALUE"""),"Instant Forms")</f>
        <v>Instant Forms</v>
      </c>
      <c r="H1638" s="19" t="str">
        <f>IFERROR(__xludf.DUMMYFUNCTION("""COMPUTED_VALUE"""),"John Sullivan")</f>
        <v>John Sullivan</v>
      </c>
      <c r="I1638" s="62"/>
      <c r="J1638" s="19"/>
    </row>
    <row r="1639">
      <c r="A1639" s="19" t="str">
        <f>IFERROR(__xludf.DUMMYFUNCTION("""COMPUTED_VALUE"""),"Matt Campbell")</f>
        <v>Matt Campbell</v>
      </c>
      <c r="B1639" s="19" t="str">
        <f>IFERROR(__xludf.DUMMYFUNCTION("""COMPUTED_VALUE"""),"QLD")</f>
        <v>QLD</v>
      </c>
      <c r="C1639" s="5" t="str">
        <f>IFERROR(__xludf.DUMMYFUNCTION("""COMPUTED_VALUE"""),"Camp hill")</f>
        <v>Camp hill</v>
      </c>
      <c r="D1639" s="5"/>
      <c r="E1639" s="25">
        <f>IFERROR(__xludf.DUMMYFUNCTION("""COMPUTED_VALUE"""),45937.0)</f>
        <v>45937</v>
      </c>
      <c r="F1639" s="5">
        <f>IFERROR(__xludf.DUMMYFUNCTION("""COMPUTED_VALUE"""),5.0)</f>
        <v>5</v>
      </c>
      <c r="G1639" s="19" t="str">
        <f>IFERROR(__xludf.DUMMYFUNCTION("""COMPUTED_VALUE"""),"Instant Forms")</f>
        <v>Instant Forms</v>
      </c>
      <c r="H1639" s="19" t="str">
        <f>IFERROR(__xludf.DUMMYFUNCTION("""COMPUTED_VALUE"""),"Ravind Chandra")</f>
        <v>Ravind Chandra</v>
      </c>
      <c r="I1639" s="62"/>
      <c r="J1639" s="19"/>
    </row>
    <row r="1640">
      <c r="A1640" s="19" t="str">
        <f>IFERROR(__xludf.DUMMYFUNCTION("""COMPUTED_VALUE"""),"Matt Campbell")</f>
        <v>Matt Campbell</v>
      </c>
      <c r="B1640" s="19" t="str">
        <f>IFERROR(__xludf.DUMMYFUNCTION("""COMPUTED_VALUE"""),"QLD")</f>
        <v>QLD</v>
      </c>
      <c r="C1640" s="5" t="str">
        <f>IFERROR(__xludf.DUMMYFUNCTION("""COMPUTED_VALUE"""),"Upper Mount Gravatt")</f>
        <v>Upper Mount Gravatt</v>
      </c>
      <c r="D1640" s="5" t="str">
        <f>IFERROR(__xludf.DUMMYFUNCTION("""COMPUTED_VALUE"""),"23 Valmar Street Upper Mount Gravatt QLD 4122")</f>
        <v>23 Valmar Street Upper Mount Gravatt QLD 4122</v>
      </c>
      <c r="E1640" s="25">
        <f>IFERROR(__xludf.DUMMYFUNCTION("""COMPUTED_VALUE"""),45938.0)</f>
        <v>45938</v>
      </c>
      <c r="F1640" s="5">
        <f>IFERROR(__xludf.DUMMYFUNCTION("""COMPUTED_VALUE"""),8.0)</f>
        <v>8</v>
      </c>
      <c r="G1640" s="19" t="str">
        <f>IFERROR(__xludf.DUMMYFUNCTION("""COMPUTED_VALUE"""),"Instant Forms")</f>
        <v>Instant Forms</v>
      </c>
      <c r="H1640" s="19"/>
      <c r="I1640" s="62"/>
      <c r="J1640" s="19"/>
    </row>
    <row r="1641">
      <c r="A1641" s="19" t="str">
        <f>IFERROR(__xludf.DUMMYFUNCTION("""COMPUTED_VALUE"""),"Matt Campbell")</f>
        <v>Matt Campbell</v>
      </c>
      <c r="B1641" s="19" t="str">
        <f>IFERROR(__xludf.DUMMYFUNCTION("""COMPUTED_VALUE"""),"QLD")</f>
        <v>QLD</v>
      </c>
      <c r="C1641" s="5">
        <f>IFERROR(__xludf.DUMMYFUNCTION("""COMPUTED_VALUE"""),4120.0)</f>
        <v>4120</v>
      </c>
      <c r="D1641" s="5"/>
      <c r="E1641" s="25">
        <f>IFERROR(__xludf.DUMMYFUNCTION("""COMPUTED_VALUE"""),45939.0)</f>
        <v>45939</v>
      </c>
      <c r="F1641" s="5">
        <f>IFERROR(__xludf.DUMMYFUNCTION("""COMPUTED_VALUE"""),5.0)</f>
        <v>5</v>
      </c>
      <c r="G1641" s="19" t="str">
        <f>IFERROR(__xludf.DUMMYFUNCTION("""COMPUTED_VALUE"""),"Instant Forms")</f>
        <v>Instant Forms</v>
      </c>
      <c r="H1641" s="19"/>
      <c r="I1641" s="62"/>
      <c r="J1641" s="19"/>
    </row>
    <row r="1642">
      <c r="A1642" s="19" t="str">
        <f>IFERROR(__xludf.DUMMYFUNCTION("""COMPUTED_VALUE"""),"Matt Campbell")</f>
        <v>Matt Campbell</v>
      </c>
      <c r="B1642" s="19" t="str">
        <f>IFERROR(__xludf.DUMMYFUNCTION("""COMPUTED_VALUE"""),"QLD")</f>
        <v>QLD</v>
      </c>
      <c r="C1642" s="5" t="str">
        <f>IFERROR(__xludf.DUMMYFUNCTION("""COMPUTED_VALUE"""),"Holland Park ")</f>
        <v>Holland Park </v>
      </c>
      <c r="D1642" s="5" t="str">
        <f>IFERROR(__xludf.DUMMYFUNCTION("""COMPUTED_VALUE"""),"21 Grunert Street Holland Park QLD 4121")</f>
        <v>21 Grunert Street Holland Park QLD 4121</v>
      </c>
      <c r="E1642" s="25">
        <f>IFERROR(__xludf.DUMMYFUNCTION("""COMPUTED_VALUE"""),45943.0)</f>
        <v>45943</v>
      </c>
      <c r="F1642" s="5">
        <f>IFERROR(__xludf.DUMMYFUNCTION("""COMPUTED_VALUE"""),8.0)</f>
        <v>8</v>
      </c>
      <c r="G1642" s="19" t="str">
        <f>IFERROR(__xludf.DUMMYFUNCTION("""COMPUTED_VALUE"""),"Instant Forms")</f>
        <v>Instant Forms</v>
      </c>
      <c r="H1642" s="19"/>
      <c r="I1642" s="62"/>
      <c r="J1642" s="19"/>
    </row>
    <row r="1643">
      <c r="A1643" s="19" t="str">
        <f>IFERROR(__xludf.DUMMYFUNCTION("""COMPUTED_VALUE"""),"Matt Campbell")</f>
        <v>Matt Campbell</v>
      </c>
      <c r="B1643" s="19" t="str">
        <f>IFERROR(__xludf.DUMMYFUNCTION("""COMPUTED_VALUE"""),"QLD")</f>
        <v>QLD</v>
      </c>
      <c r="C1643" s="5" t="str">
        <f>IFERROR(__xludf.DUMMYFUNCTION("""COMPUTED_VALUE"""),"Wishart")</f>
        <v>Wishart</v>
      </c>
      <c r="D1643" s="5" t="str">
        <f>IFERROR(__xludf.DUMMYFUNCTION("""COMPUTED_VALUE"""),"2 Michelle Crescent Wishart QLD 4122")</f>
        <v>2 Michelle Crescent Wishart QLD 4122</v>
      </c>
      <c r="E1643" s="25">
        <f>IFERROR(__xludf.DUMMYFUNCTION("""COMPUTED_VALUE"""),45947.0)</f>
        <v>45947</v>
      </c>
      <c r="F1643" s="5">
        <f>IFERROR(__xludf.DUMMYFUNCTION("""COMPUTED_VALUE"""),8.0)</f>
        <v>8</v>
      </c>
      <c r="G1643" s="19" t="str">
        <f>IFERROR(__xludf.DUMMYFUNCTION("""COMPUTED_VALUE"""),"Instant Forms")</f>
        <v>Instant Forms</v>
      </c>
      <c r="H1643" s="19"/>
      <c r="I1643" s="62"/>
      <c r="J1643" s="19"/>
    </row>
    <row r="1644">
      <c r="A1644" s="19" t="str">
        <f>IFERROR(__xludf.DUMMYFUNCTION("""COMPUTED_VALUE"""),"Matt Campbell")</f>
        <v>Matt Campbell</v>
      </c>
      <c r="B1644" s="19" t="str">
        <f>IFERROR(__xludf.DUMMYFUNCTION("""COMPUTED_VALUE"""),"QLD")</f>
        <v>QLD</v>
      </c>
      <c r="C1644" s="5" t="str">
        <f>IFERROR(__xludf.DUMMYFUNCTION("""COMPUTED_VALUE"""),"Carina")</f>
        <v>Carina</v>
      </c>
      <c r="D1644" s="5" t="str">
        <f>IFERROR(__xludf.DUMMYFUNCTION("""COMPUTED_VALUE"""),"101 Mayfield Road Carina QLD 4152")</f>
        <v>101 Mayfield Road Carina QLD 4152</v>
      </c>
      <c r="E1644" s="25">
        <f>IFERROR(__xludf.DUMMYFUNCTION("""COMPUTED_VALUE"""),45947.0)</f>
        <v>45947</v>
      </c>
      <c r="F1644" s="5">
        <f>IFERROR(__xludf.DUMMYFUNCTION("""COMPUTED_VALUE"""),8.0)</f>
        <v>8</v>
      </c>
      <c r="G1644" s="19" t="str">
        <f>IFERROR(__xludf.DUMMYFUNCTION("""COMPUTED_VALUE"""),"Instant Forms")</f>
        <v>Instant Forms</v>
      </c>
      <c r="H1644" s="19"/>
      <c r="I1644" s="62"/>
      <c r="J1644" s="19"/>
    </row>
    <row r="1645">
      <c r="A1645" s="19" t="str">
        <f>IFERROR(__xludf.DUMMYFUNCTION("""COMPUTED_VALUE"""),"Matt Campbell")</f>
        <v>Matt Campbell</v>
      </c>
      <c r="B1645" s="19" t="str">
        <f>IFERROR(__xludf.DUMMYFUNCTION("""COMPUTED_VALUE"""),"QLD")</f>
        <v>QLD</v>
      </c>
      <c r="C1645" s="5" t="str">
        <f>IFERROR(__xludf.DUMMYFUNCTION("""COMPUTED_VALUE"""),"Holland Park West")</f>
        <v>Holland Park West</v>
      </c>
      <c r="D1645" s="5" t="str">
        <f>IFERROR(__xludf.DUMMYFUNCTION("""COMPUTED_VALUE"""),"67 Kneale Street Holland Park West QLD 4121")</f>
        <v>67 Kneale Street Holland Park West QLD 4121</v>
      </c>
      <c r="E1645" s="25">
        <f>IFERROR(__xludf.DUMMYFUNCTION("""COMPUTED_VALUE"""),45948.0)</f>
        <v>45948</v>
      </c>
      <c r="F1645" s="5">
        <f>IFERROR(__xludf.DUMMYFUNCTION("""COMPUTED_VALUE"""),6.0)</f>
        <v>6</v>
      </c>
      <c r="G1645" s="19" t="str">
        <f>IFERROR(__xludf.DUMMYFUNCTION("""COMPUTED_VALUE"""),"Instant Forms")</f>
        <v>Instant Forms</v>
      </c>
      <c r="H1645" s="19"/>
      <c r="I1645" s="62"/>
      <c r="J1645" s="19"/>
    </row>
    <row r="1646">
      <c r="A1646" s="19" t="str">
        <f>IFERROR(__xludf.DUMMYFUNCTION("""COMPUTED_VALUE"""),"Matt Campbell")</f>
        <v>Matt Campbell</v>
      </c>
      <c r="B1646" s="19" t="str">
        <f>IFERROR(__xludf.DUMMYFUNCTION("""COMPUTED_VALUE"""),"QLD")</f>
        <v>QLD</v>
      </c>
      <c r="C1646" s="5" t="str">
        <f>IFERROR(__xludf.DUMMYFUNCTION("""COMPUTED_VALUE"""),"Robertson")</f>
        <v>Robertson</v>
      </c>
      <c r="D1646" s="5" t="str">
        <f>IFERROR(__xludf.DUMMYFUNCTION("""COMPUTED_VALUE"""),"3 Alcheringa Place Robertson QLD 4109")</f>
        <v>3 Alcheringa Place Robertson QLD 4109</v>
      </c>
      <c r="E1646" s="25">
        <f>IFERROR(__xludf.DUMMYFUNCTION("""COMPUTED_VALUE"""),45948.0)</f>
        <v>45948</v>
      </c>
      <c r="F1646" s="5">
        <f>IFERROR(__xludf.DUMMYFUNCTION("""COMPUTED_VALUE"""),8.0)</f>
        <v>8</v>
      </c>
      <c r="G1646" s="19" t="str">
        <f>IFERROR(__xludf.DUMMYFUNCTION("""COMPUTED_VALUE"""),"Instant Forms")</f>
        <v>Instant Forms</v>
      </c>
      <c r="H1646" s="19"/>
      <c r="I1646" s="62"/>
      <c r="J1646" s="19"/>
    </row>
    <row r="1647">
      <c r="A1647" s="19" t="str">
        <f>IFERROR(__xludf.DUMMYFUNCTION("""COMPUTED_VALUE"""),"Matt Campbell")</f>
        <v>Matt Campbell</v>
      </c>
      <c r="B1647" s="19" t="str">
        <f>IFERROR(__xludf.DUMMYFUNCTION("""COMPUTED_VALUE"""),"QLD")</f>
        <v>QLD</v>
      </c>
      <c r="C1647" s="5" t="str">
        <f>IFERROR(__xludf.DUMMYFUNCTION("""COMPUTED_VALUE"""),"Mansfield")</f>
        <v>Mansfield</v>
      </c>
      <c r="D1647" s="5" t="str">
        <f>IFERROR(__xludf.DUMMYFUNCTION("""COMPUTED_VALUE"""),"20 Morialta Street Mansfield QLD 4122")</f>
        <v>20 Morialta Street Mansfield QLD 4122</v>
      </c>
      <c r="E1647" s="25">
        <f>IFERROR(__xludf.DUMMYFUNCTION("""COMPUTED_VALUE"""),45948.0)</f>
        <v>45948</v>
      </c>
      <c r="F1647" s="5">
        <f>IFERROR(__xludf.DUMMYFUNCTION("""COMPUTED_VALUE"""),8.0)</f>
        <v>8</v>
      </c>
      <c r="G1647" s="19" t="str">
        <f>IFERROR(__xludf.DUMMYFUNCTION("""COMPUTED_VALUE"""),"Instant Forms")</f>
        <v>Instant Forms</v>
      </c>
      <c r="H1647" s="19"/>
      <c r="I1647" s="62"/>
      <c r="J1647" s="19"/>
    </row>
    <row r="1648">
      <c r="A1648" s="19" t="str">
        <f>IFERROR(__xludf.DUMMYFUNCTION("""COMPUTED_VALUE"""),"Matt Campbell")</f>
        <v>Matt Campbell</v>
      </c>
      <c r="B1648" s="19" t="str">
        <f>IFERROR(__xludf.DUMMYFUNCTION("""COMPUTED_VALUE"""),"QLD")</f>
        <v>QLD</v>
      </c>
      <c r="C1648" s="5" t="str">
        <f>IFERROR(__xludf.DUMMYFUNCTION("""COMPUTED_VALUE"""),"Tarragindi")</f>
        <v>Tarragindi</v>
      </c>
      <c r="D1648" s="5" t="str">
        <f>IFERROR(__xludf.DUMMYFUNCTION("""COMPUTED_VALUE"""),"64 Monash Road Tarragindi QLD 4121")</f>
        <v>64 Monash Road Tarragindi QLD 4121</v>
      </c>
      <c r="E1648" s="25">
        <f>IFERROR(__xludf.DUMMYFUNCTION("""COMPUTED_VALUE"""),45952.0)</f>
        <v>45952</v>
      </c>
      <c r="F1648" s="5">
        <f>IFERROR(__xludf.DUMMYFUNCTION("""COMPUTED_VALUE"""),8.0)</f>
        <v>8</v>
      </c>
      <c r="G1648" s="19" t="str">
        <f>IFERROR(__xludf.DUMMYFUNCTION("""COMPUTED_VALUE"""),"Instant Forms")</f>
        <v>Instant Forms</v>
      </c>
      <c r="H1648" s="19"/>
      <c r="I1648" s="62"/>
      <c r="J1648" s="19"/>
    </row>
    <row r="1649">
      <c r="A1649" s="19" t="str">
        <f>IFERROR(__xludf.DUMMYFUNCTION("""COMPUTED_VALUE"""),"Matt Campbell")</f>
        <v>Matt Campbell</v>
      </c>
      <c r="B1649" s="19" t="str">
        <f>IFERROR(__xludf.DUMMYFUNCTION("""COMPUTED_VALUE"""),"QLD")</f>
        <v>QLD</v>
      </c>
      <c r="C1649" s="5" t="str">
        <f>IFERROR(__xludf.DUMMYFUNCTION("""COMPUTED_VALUE"""),"Rochedale")</f>
        <v>Rochedale</v>
      </c>
      <c r="D1649" s="5" t="str">
        <f>IFERROR(__xludf.DUMMYFUNCTION("""COMPUTED_VALUE"""),"17 Eagle Parade Rochedale QLD 4123")</f>
        <v>17 Eagle Parade Rochedale QLD 4123</v>
      </c>
      <c r="E1649" s="25">
        <f>IFERROR(__xludf.DUMMYFUNCTION("""COMPUTED_VALUE"""),45953.0)</f>
        <v>45953</v>
      </c>
      <c r="F1649" s="5">
        <f>IFERROR(__xludf.DUMMYFUNCTION("""COMPUTED_VALUE"""),8.0)</f>
        <v>8</v>
      </c>
      <c r="G1649" s="19" t="str">
        <f>IFERROR(__xludf.DUMMYFUNCTION("""COMPUTED_VALUE"""),"Instant Forms")</f>
        <v>Instant Forms</v>
      </c>
      <c r="H1649" s="19"/>
      <c r="I1649" s="62"/>
      <c r="J1649" s="19"/>
    </row>
    <row r="1650">
      <c r="A1650" s="19" t="str">
        <f>IFERROR(__xludf.DUMMYFUNCTION("""COMPUTED_VALUE"""),"Matt Campbell")</f>
        <v>Matt Campbell</v>
      </c>
      <c r="B1650" s="19" t="str">
        <f>IFERROR(__xludf.DUMMYFUNCTION("""COMPUTED_VALUE"""),"QLD")</f>
        <v>QLD</v>
      </c>
      <c r="C1650" s="5" t="str">
        <f>IFERROR(__xludf.DUMMYFUNCTION("""COMPUTED_VALUE"""),"Tarragindi")</f>
        <v>Tarragindi</v>
      </c>
      <c r="D1650" s="5" t="str">
        <f>IFERROR(__xludf.DUMMYFUNCTION("""COMPUTED_VALUE"""),"64 Monash Road Tarragindi QLD 4121")</f>
        <v>64 Monash Road Tarragindi QLD 4121</v>
      </c>
      <c r="E1650" s="25">
        <f>IFERROR(__xludf.DUMMYFUNCTION("""COMPUTED_VALUE"""),45953.0)</f>
        <v>45953</v>
      </c>
      <c r="F1650" s="5">
        <f>IFERROR(__xludf.DUMMYFUNCTION("""COMPUTED_VALUE"""),8.0)</f>
        <v>8</v>
      </c>
      <c r="G1650" s="19" t="str">
        <f>IFERROR(__xludf.DUMMYFUNCTION("""COMPUTED_VALUE"""),"Instant Forms")</f>
        <v>Instant Forms</v>
      </c>
      <c r="H1650" s="19"/>
      <c r="I1650" s="62"/>
      <c r="J1650" s="19"/>
    </row>
    <row r="1651">
      <c r="A1651" s="19" t="str">
        <f>IFERROR(__xludf.DUMMYFUNCTION("""COMPUTED_VALUE"""),"Matt Campbell")</f>
        <v>Matt Campbell</v>
      </c>
      <c r="B1651" s="19" t="str">
        <f>IFERROR(__xludf.DUMMYFUNCTION("""COMPUTED_VALUE"""),"QLD")</f>
        <v>QLD</v>
      </c>
      <c r="C1651" s="5" t="str">
        <f>IFERROR(__xludf.DUMMYFUNCTION("""COMPUTED_VALUE"""),"Mansfield")</f>
        <v>Mansfield</v>
      </c>
      <c r="D1651" s="5" t="str">
        <f>IFERROR(__xludf.DUMMYFUNCTION("""COMPUTED_VALUE"""),"14 Mansfield Place Mansfield QLD 4122")</f>
        <v>14 Mansfield Place Mansfield QLD 4122</v>
      </c>
      <c r="E1651" s="25">
        <f>IFERROR(__xludf.DUMMYFUNCTION("""COMPUTED_VALUE"""),45958.0)</f>
        <v>45958</v>
      </c>
      <c r="F1651" s="5">
        <f>IFERROR(__xludf.DUMMYFUNCTION("""COMPUTED_VALUE"""),8.0)</f>
        <v>8</v>
      </c>
      <c r="G1651" s="19" t="str">
        <f>IFERROR(__xludf.DUMMYFUNCTION("""COMPUTED_VALUE"""),"Instant Forms")</f>
        <v>Instant Forms</v>
      </c>
      <c r="H1651" s="19" t="str">
        <f>IFERROR(__xludf.DUMMYFUNCTION("""COMPUTED_VALUE"""),"Waived")</f>
        <v>Waived</v>
      </c>
      <c r="I1651" s="62"/>
      <c r="J1651" s="19"/>
    </row>
    <row r="1652">
      <c r="A1652" s="19" t="str">
        <f>IFERROR(__xludf.DUMMYFUNCTION("""COMPUTED_VALUE"""),"Matt Campbell")</f>
        <v>Matt Campbell</v>
      </c>
      <c r="B1652" s="19" t="str">
        <f>IFERROR(__xludf.DUMMYFUNCTION("""COMPUTED_VALUE"""),"QLD")</f>
        <v>QLD</v>
      </c>
      <c r="C1652" s="5" t="str">
        <f>IFERROR(__xludf.DUMMYFUNCTION("""COMPUTED_VALUE"""),"Mount Gravatt East")</f>
        <v>Mount Gravatt East</v>
      </c>
      <c r="D1652" s="5" t="str">
        <f>IFERROR(__xludf.DUMMYFUNCTION("""COMPUTED_VALUE"""),"4 Fairland Street Mount Gravatt East QLD 4122")</f>
        <v>4 Fairland Street Mount Gravatt East QLD 4122</v>
      </c>
      <c r="E1652" s="25">
        <f>IFERROR(__xludf.DUMMYFUNCTION("""COMPUTED_VALUE"""),45958.0)</f>
        <v>45958</v>
      </c>
      <c r="F1652" s="5">
        <f>IFERROR(__xludf.DUMMYFUNCTION("""COMPUTED_VALUE"""),8.0)</f>
        <v>8</v>
      </c>
      <c r="G1652" s="19" t="str">
        <f>IFERROR(__xludf.DUMMYFUNCTION("""COMPUTED_VALUE"""),"Instant Forms")</f>
        <v>Instant Forms</v>
      </c>
      <c r="H1652" s="19" t="str">
        <f>IFERROR(__xludf.DUMMYFUNCTION("""COMPUTED_VALUE"""),"Waived")</f>
        <v>Waived</v>
      </c>
      <c r="I1652" s="62"/>
      <c r="J1652" s="19"/>
    </row>
    <row r="1653">
      <c r="A1653" s="19" t="str">
        <f>IFERROR(__xludf.DUMMYFUNCTION("""COMPUTED_VALUE"""),"Matt Campbell")</f>
        <v>Matt Campbell</v>
      </c>
      <c r="B1653" s="19" t="str">
        <f>IFERROR(__xludf.DUMMYFUNCTION("""COMPUTED_VALUE"""),"QLD")</f>
        <v>QLD</v>
      </c>
      <c r="C1653" s="5" t="str">
        <f>IFERROR(__xludf.DUMMYFUNCTION("""COMPUTED_VALUE"""),"Holland Park")</f>
        <v>Holland Park</v>
      </c>
      <c r="D1653" s="5" t="str">
        <f>IFERROR(__xludf.DUMMYFUNCTION("""COMPUTED_VALUE"""),"45 Framont Avenue Holland Park QLD 4121")</f>
        <v>45 Framont Avenue Holland Park QLD 4121</v>
      </c>
      <c r="E1653" s="25">
        <f>IFERROR(__xludf.DUMMYFUNCTION("""COMPUTED_VALUE"""),45959.0)</f>
        <v>45959</v>
      </c>
      <c r="F1653" s="5">
        <f>IFERROR(__xludf.DUMMYFUNCTION("""COMPUTED_VALUE"""),8.0)</f>
        <v>8</v>
      </c>
      <c r="G1653" s="19" t="str">
        <f>IFERROR(__xludf.DUMMYFUNCTION("""COMPUTED_VALUE"""),"Instant Forms")</f>
        <v>Instant Forms</v>
      </c>
      <c r="H1653" s="19"/>
      <c r="I1653" s="62"/>
      <c r="J1653" s="19"/>
    </row>
    <row r="1654">
      <c r="A1654" s="19" t="str">
        <f>IFERROR(__xludf.DUMMYFUNCTION("""COMPUTED_VALUE"""),"Matt Campbell")</f>
        <v>Matt Campbell</v>
      </c>
      <c r="B1654" s="19" t="str">
        <f>IFERROR(__xludf.DUMMYFUNCTION("""COMPUTED_VALUE"""),"QLD")</f>
        <v>QLD</v>
      </c>
      <c r="C1654" s="5" t="str">
        <f>IFERROR(__xludf.DUMMYFUNCTION("""COMPUTED_VALUE"""),"Coorparoo")</f>
        <v>Coorparoo</v>
      </c>
      <c r="D1654" s="5" t="str">
        <f>IFERROR(__xludf.DUMMYFUNCTION("""COMPUTED_VALUE"""),"39 Brae Street Coorparoo QLD 4151")</f>
        <v>39 Brae Street Coorparoo QLD 4151</v>
      </c>
      <c r="E1654" s="25">
        <f>IFERROR(__xludf.DUMMYFUNCTION("""COMPUTED_VALUE"""),45975.0)</f>
        <v>45975</v>
      </c>
      <c r="F1654" s="5">
        <f>IFERROR(__xludf.DUMMYFUNCTION("""COMPUTED_VALUE"""),8.0)</f>
        <v>8</v>
      </c>
      <c r="G1654" s="19" t="str">
        <f>IFERROR(__xludf.DUMMYFUNCTION("""COMPUTED_VALUE"""),"Instant Forms")</f>
        <v>Instant Forms</v>
      </c>
      <c r="H1654" s="19" t="str">
        <f>IFERROR(__xludf.DUMMYFUNCTION("""COMPUTED_VALUE"""),"Andrew Mclucas")</f>
        <v>Andrew Mclucas</v>
      </c>
      <c r="I1654" s="62">
        <f>IFERROR(__xludf.DUMMYFUNCTION("""COMPUTED_VALUE"""),6.1438148772E10)</f>
        <v>61438148772</v>
      </c>
      <c r="J1654" s="19" t="str">
        <f>IFERROR(__xludf.DUMMYFUNCTION("""COMPUTED_VALUE"""),"amclucas@outlook.com")</f>
        <v>amclucas@outlook.com</v>
      </c>
    </row>
    <row r="1655">
      <c r="A1655" s="19" t="str">
        <f>IFERROR(__xludf.DUMMYFUNCTION("""COMPUTED_VALUE"""),"Matt Campbell")</f>
        <v>Matt Campbell</v>
      </c>
      <c r="B1655" s="19" t="str">
        <f>IFERROR(__xludf.DUMMYFUNCTION("""COMPUTED_VALUE"""),"QLD")</f>
        <v>QLD</v>
      </c>
      <c r="C1655" s="5" t="str">
        <f>IFERROR(__xludf.DUMMYFUNCTION("""COMPUTED_VALUE"""),"Carindale")</f>
        <v>Carindale</v>
      </c>
      <c r="D1655" s="5"/>
      <c r="E1655" s="25">
        <f>IFERROR(__xludf.DUMMYFUNCTION("""COMPUTED_VALUE"""),45977.0)</f>
        <v>45977</v>
      </c>
      <c r="F1655" s="5">
        <f>IFERROR(__xludf.DUMMYFUNCTION("""COMPUTED_VALUE"""),5.0)</f>
        <v>5</v>
      </c>
      <c r="G1655" s="19" t="str">
        <f>IFERROR(__xludf.DUMMYFUNCTION("""COMPUTED_VALUE"""),"Instant Forms")</f>
        <v>Instant Forms</v>
      </c>
      <c r="H1655" s="19" t="str">
        <f>IFERROR(__xludf.DUMMYFUNCTION("""COMPUTED_VALUE"""),"Alex")</f>
        <v>Alex</v>
      </c>
      <c r="I1655" s="62">
        <f>IFERROR(__xludf.DUMMYFUNCTION("""COMPUTED_VALUE"""),6.1414328864E10)</f>
        <v>61414328864</v>
      </c>
      <c r="J1655" s="19" t="str">
        <f>IFERROR(__xludf.DUMMYFUNCTION("""COMPUTED_VALUE"""),"iradhu65@gmail.com")</f>
        <v>iradhu65@gmail.com</v>
      </c>
    </row>
    <row r="1656">
      <c r="A1656" s="19" t="str">
        <f>IFERROR(__xludf.DUMMYFUNCTION("""COMPUTED_VALUE"""),"Matt Campbell")</f>
        <v>Matt Campbell</v>
      </c>
      <c r="B1656" s="19" t="str">
        <f>IFERROR(__xludf.DUMMYFUNCTION("""COMPUTED_VALUE"""),"QLD")</f>
        <v>QLD</v>
      </c>
      <c r="C1656" s="5" t="str">
        <f>IFERROR(__xludf.DUMMYFUNCTION("""COMPUTED_VALUE"""),"Rochedale")</f>
        <v>Rochedale</v>
      </c>
      <c r="D1656" s="5" t="str">
        <f>IFERROR(__xludf.DUMMYFUNCTION("""COMPUTED_VALUE"""),"297 Gardner Road Rochedale QLD 4123")</f>
        <v>297 Gardner Road Rochedale QLD 4123</v>
      </c>
      <c r="E1656" s="5" t="str">
        <f>IFERROR(__xludf.DUMMYFUNCTION("""COMPUTED_VALUE"""),"19/11/2025")</f>
        <v>19/11/2025</v>
      </c>
      <c r="F1656" s="5">
        <f>IFERROR(__xludf.DUMMYFUNCTION("""COMPUTED_VALUE"""),6.0)</f>
        <v>6</v>
      </c>
      <c r="G1656" s="19" t="str">
        <f>IFERROR(__xludf.DUMMYFUNCTION("""COMPUTED_VALUE"""),"Instant Forms")</f>
        <v>Instant Forms</v>
      </c>
      <c r="H1656" s="19" t="str">
        <f>IFERROR(__xludf.DUMMYFUNCTION("""COMPUTED_VALUE"""),"Irshaad Bham")</f>
        <v>Irshaad Bham</v>
      </c>
      <c r="I1656" s="62">
        <f>IFERROR(__xludf.DUMMYFUNCTION("""COMPUTED_VALUE"""),6.1468871222E10)</f>
        <v>61468871222</v>
      </c>
      <c r="J1656" s="19" t="str">
        <f>IFERROR(__xludf.DUMMYFUNCTION("""COMPUTED_VALUE"""),"irshaadbham@gmail.com")</f>
        <v>irshaadbham@gmail.com</v>
      </c>
    </row>
    <row r="1657">
      <c r="A1657" s="19" t="str">
        <f>IFERROR(__xludf.DUMMYFUNCTION("""COMPUTED_VALUE"""),"Matt Campbell")</f>
        <v>Matt Campbell</v>
      </c>
      <c r="B1657" s="19" t="str">
        <f>IFERROR(__xludf.DUMMYFUNCTION("""COMPUTED_VALUE"""),"QLD")</f>
        <v>QLD</v>
      </c>
      <c r="C1657" s="5" t="str">
        <f>IFERROR(__xludf.DUMMYFUNCTION("""COMPUTED_VALUE"""),"Wishart")</f>
        <v>Wishart</v>
      </c>
      <c r="D1657" s="5" t="str">
        <f>IFERROR(__xludf.DUMMYFUNCTION("""COMPUTED_VALUE"""),"311 Mount Gravatt Capalaba Road Wishart QLD 4122")</f>
        <v>311 Mount Gravatt Capalaba Road Wishart QLD 4122</v>
      </c>
      <c r="E1657" s="5" t="str">
        <f>IFERROR(__xludf.DUMMYFUNCTION("""COMPUTED_VALUE"""),"22/11/2025")</f>
        <v>22/11/2025</v>
      </c>
      <c r="F1657" s="5">
        <f>IFERROR(__xludf.DUMMYFUNCTION("""COMPUTED_VALUE"""),8.0)</f>
        <v>8</v>
      </c>
      <c r="G1657" s="19" t="str">
        <f>IFERROR(__xludf.DUMMYFUNCTION("""COMPUTED_VALUE"""),"Instant Forms")</f>
        <v>Instant Forms</v>
      </c>
      <c r="H1657" s="19" t="str">
        <f>IFERROR(__xludf.DUMMYFUNCTION("""COMPUTED_VALUE"""),"Donna Randell")</f>
        <v>Donna Randell</v>
      </c>
      <c r="I1657" s="62">
        <f>IFERROR(__xludf.DUMMYFUNCTION("""COMPUTED_VALUE"""),6.1411654266E10)</f>
        <v>61411654266</v>
      </c>
      <c r="J1657" s="19" t="str">
        <f>IFERROR(__xludf.DUMMYFUNCTION("""COMPUTED_VALUE"""),"admin@wishartdental.com.au")</f>
        <v>admin@wishartdental.com.au</v>
      </c>
    </row>
    <row r="1658">
      <c r="A1658" s="19" t="str">
        <f>IFERROR(__xludf.DUMMYFUNCTION("""COMPUTED_VALUE"""),"Matt Campbell")</f>
        <v>Matt Campbell</v>
      </c>
      <c r="B1658" s="19" t="str">
        <f>IFERROR(__xludf.DUMMYFUNCTION("""COMPUTED_VALUE"""),"QLD")</f>
        <v>QLD</v>
      </c>
      <c r="C1658" s="5" t="str">
        <f>IFERROR(__xludf.DUMMYFUNCTION("""COMPUTED_VALUE"""),"Mount Gravatt")</f>
        <v>Mount Gravatt</v>
      </c>
      <c r="D1658" s="5" t="str">
        <f>IFERROR(__xludf.DUMMYFUNCTION("""COMPUTED_VALUE"""),"50 Abbeville Street Upper Mount Gravatt QLD 4122")</f>
        <v>50 Abbeville Street Upper Mount Gravatt QLD 4122</v>
      </c>
      <c r="E1658" s="5" t="str">
        <f>IFERROR(__xludf.DUMMYFUNCTION("""COMPUTED_VALUE"""),"23/11/2025")</f>
        <v>23/11/2025</v>
      </c>
      <c r="F1658" s="5">
        <f>IFERROR(__xludf.DUMMYFUNCTION("""COMPUTED_VALUE"""),8.0)</f>
        <v>8</v>
      </c>
      <c r="G1658" s="19" t="str">
        <f>IFERROR(__xludf.DUMMYFUNCTION("""COMPUTED_VALUE"""),"Instant Forms")</f>
        <v>Instant Forms</v>
      </c>
      <c r="H1658" s="19" t="str">
        <f>IFERROR(__xludf.DUMMYFUNCTION("""COMPUTED_VALUE"""),"Damian  Higgins")</f>
        <v>Damian  Higgins</v>
      </c>
      <c r="I1658" s="62">
        <f>IFERROR(__xludf.DUMMYFUNCTION("""COMPUTED_VALUE"""),6.1422019333E10)</f>
        <v>61422019333</v>
      </c>
      <c r="J1658" s="19" t="str">
        <f>IFERROR(__xludf.DUMMYFUNCTION("""COMPUTED_VALUE"""),"damian@glenedenconstructions.com.au")</f>
        <v>damian@glenedenconstructions.com.au</v>
      </c>
    </row>
    <row r="1659">
      <c r="A1659" s="19" t="str">
        <f>IFERROR(__xludf.DUMMYFUNCTION("""COMPUTED_VALUE"""),"Matt Campbell")</f>
        <v>Matt Campbell</v>
      </c>
      <c r="B1659" s="19" t="str">
        <f>IFERROR(__xludf.DUMMYFUNCTION("""COMPUTED_VALUE"""),"QLD")</f>
        <v>QLD</v>
      </c>
      <c r="C1659" s="5" t="str">
        <f>IFERROR(__xludf.DUMMYFUNCTION("""COMPUTED_VALUE"""),"Upper Mount Gravatt")</f>
        <v>Upper Mount Gravatt</v>
      </c>
      <c r="D1659" s="5" t="str">
        <f>IFERROR(__xludf.DUMMYFUNCTION("""COMPUTED_VALUE"""),"49 O'Grady Street Upper Mount Gravatt QLD 4122")</f>
        <v>49 O'Grady Street Upper Mount Gravatt QLD 4122</v>
      </c>
      <c r="E1659" s="5" t="str">
        <f>IFERROR(__xludf.DUMMYFUNCTION("""COMPUTED_VALUE"""),"25/11/2025")</f>
        <v>25/11/2025</v>
      </c>
      <c r="F1659" s="5">
        <f>IFERROR(__xludf.DUMMYFUNCTION("""COMPUTED_VALUE"""),8.0)</f>
        <v>8</v>
      </c>
      <c r="G1659" s="19" t="str">
        <f>IFERROR(__xludf.DUMMYFUNCTION("""COMPUTED_VALUE"""),"Instant Forms")</f>
        <v>Instant Forms</v>
      </c>
      <c r="H1659" s="19" t="str">
        <f>IFERROR(__xludf.DUMMYFUNCTION("""COMPUTED_VALUE"""),"Ken Aldridge")</f>
        <v>Ken Aldridge</v>
      </c>
      <c r="I1659" s="62">
        <f>IFERROR(__xludf.DUMMYFUNCTION("""COMPUTED_VALUE"""),6.1410244418E10)</f>
        <v>61410244418</v>
      </c>
      <c r="J1659" s="19" t="str">
        <f>IFERROR(__xludf.DUMMYFUNCTION("""COMPUTED_VALUE"""),"kennethmar@hotmail.com")</f>
        <v>kennethmar@hotmail.com</v>
      </c>
    </row>
    <row r="1660">
      <c r="A1660" s="19" t="str">
        <f>IFERROR(__xludf.DUMMYFUNCTION("""COMPUTED_VALUE"""),"Matt Campbell")</f>
        <v>Matt Campbell</v>
      </c>
      <c r="B1660" s="19" t="str">
        <f>IFERROR(__xludf.DUMMYFUNCTION("""COMPUTED_VALUE"""),"QLD")</f>
        <v>QLD</v>
      </c>
      <c r="C1660" s="5" t="str">
        <f>IFERROR(__xludf.DUMMYFUNCTION("""COMPUTED_VALUE"""),"Macgregor")</f>
        <v>Macgregor</v>
      </c>
      <c r="D1660" s="5" t="str">
        <f>IFERROR(__xludf.DUMMYFUNCTION("""COMPUTED_VALUE"""),"7 Fernshaw St, Macgregor")</f>
        <v>7 Fernshaw St, Macgregor</v>
      </c>
      <c r="E1660" s="5" t="str">
        <f>IFERROR(__xludf.DUMMYFUNCTION("""COMPUTED_VALUE"""),"29/11/2025")</f>
        <v>29/11/2025</v>
      </c>
      <c r="F1660" s="64">
        <f>IFERROR(__xludf.DUMMYFUNCTION("""COMPUTED_VALUE"""),0.2)</f>
        <v>0.2</v>
      </c>
      <c r="G1660" s="19" t="str">
        <f>IFERROR(__xludf.DUMMYFUNCTION("""COMPUTED_VALUE"""),"Commission Comparison")</f>
        <v>Commission Comparison</v>
      </c>
      <c r="H1660" s="19" t="str">
        <f>IFERROR(__xludf.DUMMYFUNCTION("""COMPUTED_VALUE"""),"Sean Budge")</f>
        <v>Sean Budge</v>
      </c>
      <c r="I1660" s="62">
        <f>IFERROR(__xludf.DUMMYFUNCTION("""COMPUTED_VALUE"""),6.1412027517E10)</f>
        <v>61412027517</v>
      </c>
      <c r="J1660" s="19" t="str">
        <f>IFERROR(__xludf.DUMMYFUNCTION("""COMPUTED_VALUE"""),"sean.budge@gmail.com")</f>
        <v>sean.budge@gmail.com</v>
      </c>
    </row>
    <row r="1661">
      <c r="A1661" s="19" t="str">
        <f>IFERROR(__xludf.DUMMYFUNCTION("""COMPUTED_VALUE"""),"")</f>
        <v/>
      </c>
      <c r="B1661" s="19" t="str">
        <f>IFERROR(__xludf.DUMMYFUNCTION("""COMPUTED_VALUE"""),"")</f>
        <v/>
      </c>
      <c r="C1661" s="5" t="str">
        <f>IFERROR(__xludf.DUMMYFUNCTION("""COMPUTED_VALUE"""),"")</f>
        <v/>
      </c>
      <c r="D1661" s="5" t="str">
        <f>IFERROR(__xludf.DUMMYFUNCTION("""COMPUTED_VALUE"""),"")</f>
        <v/>
      </c>
      <c r="E1661" s="5" t="str">
        <f>IFERROR(__xludf.DUMMYFUNCTION("""COMPUTED_VALUE"""),"")</f>
        <v/>
      </c>
      <c r="F1661" s="5" t="str">
        <f>IFERROR(__xludf.DUMMYFUNCTION("""COMPUTED_VALUE"""),"")</f>
        <v/>
      </c>
      <c r="G1661" s="19" t="str">
        <f>IFERROR(__xludf.DUMMYFUNCTION("""COMPUTED_VALUE"""),"")</f>
        <v/>
      </c>
      <c r="H1661" s="19" t="str">
        <f>IFERROR(__xludf.DUMMYFUNCTION("""COMPUTED_VALUE"""),"")</f>
        <v/>
      </c>
      <c r="I1661" s="62" t="str">
        <f>IFERROR(__xludf.DUMMYFUNCTION("""COMPUTED_VALUE"""),"")</f>
        <v/>
      </c>
      <c r="J1661" s="19" t="str">
        <f>IFERROR(__xludf.DUMMYFUNCTION("""COMPUTED_VALUE"""),"")</f>
        <v/>
      </c>
    </row>
    <row r="1662">
      <c r="A1662" s="19" t="str">
        <f>IFERROR(__xludf.DUMMYFUNCTION("""COMPUTED_VALUE"""),"")</f>
        <v/>
      </c>
      <c r="B1662" s="19" t="str">
        <f>IFERROR(__xludf.DUMMYFUNCTION("""COMPUTED_VALUE"""),"")</f>
        <v/>
      </c>
      <c r="C1662" s="5" t="str">
        <f>IFERROR(__xludf.DUMMYFUNCTION("""COMPUTED_VALUE"""),"")</f>
        <v/>
      </c>
      <c r="D1662" s="5" t="str">
        <f>IFERROR(__xludf.DUMMYFUNCTION("""COMPUTED_VALUE"""),"")</f>
        <v/>
      </c>
      <c r="E1662" s="5" t="str">
        <f>IFERROR(__xludf.DUMMYFUNCTION("""COMPUTED_VALUE"""),"")</f>
        <v/>
      </c>
      <c r="F1662" s="5" t="str">
        <f>IFERROR(__xludf.DUMMYFUNCTION("""COMPUTED_VALUE"""),"")</f>
        <v/>
      </c>
      <c r="G1662" s="19" t="str">
        <f>IFERROR(__xludf.DUMMYFUNCTION("""COMPUTED_VALUE"""),"")</f>
        <v/>
      </c>
      <c r="H1662" s="19" t="str">
        <f>IFERROR(__xludf.DUMMYFUNCTION("""COMPUTED_VALUE"""),"")</f>
        <v/>
      </c>
      <c r="I1662" s="62" t="str">
        <f>IFERROR(__xludf.DUMMYFUNCTION("""COMPUTED_VALUE"""),"")</f>
        <v/>
      </c>
      <c r="J1662" s="19" t="str">
        <f>IFERROR(__xludf.DUMMYFUNCTION("""COMPUTED_VALUE"""),"")</f>
        <v/>
      </c>
    </row>
    <row r="1663">
      <c r="A1663" s="19" t="str">
        <f>IFERROR(__xludf.DUMMYFUNCTION("""COMPUTED_VALUE"""),"Matt Shelton")</f>
        <v>Matt Shelton</v>
      </c>
      <c r="B1663" s="19" t="str">
        <f>IFERROR(__xludf.DUMMYFUNCTION("""COMPUTED_VALUE"""),"QLD")</f>
        <v>QLD</v>
      </c>
      <c r="C1663" s="5">
        <f>IFERROR(__xludf.DUMMYFUNCTION("""COMPUTED_VALUE"""),4217.0)</f>
        <v>4217</v>
      </c>
      <c r="D1663" s="5"/>
      <c r="E1663" s="63">
        <f>IFERROR(__xludf.DUMMYFUNCTION("""COMPUTED_VALUE"""),45847.5715162037)</f>
        <v>45847.57152</v>
      </c>
      <c r="F1663" s="5" t="str">
        <f>IFERROR(__xludf.DUMMYFUNCTION("""COMPUTED_VALUE"""),"Free")</f>
        <v>Free</v>
      </c>
      <c r="G1663" s="19" t="str">
        <f>IFERROR(__xludf.DUMMYFUNCTION("""COMPUTED_VALUE"""),"Instant Forms")</f>
        <v>Instant Forms</v>
      </c>
      <c r="H1663" s="19"/>
      <c r="I1663" s="62"/>
      <c r="J1663" s="19"/>
    </row>
    <row r="1664">
      <c r="A1664" s="19" t="str">
        <f>IFERROR(__xludf.DUMMYFUNCTION("""COMPUTED_VALUE"""),"Matt Shelton")</f>
        <v>Matt Shelton</v>
      </c>
      <c r="B1664" s="19" t="str">
        <f>IFERROR(__xludf.DUMMYFUNCTION("""COMPUTED_VALUE"""),"QLD")</f>
        <v>QLD</v>
      </c>
      <c r="C1664" s="5">
        <f>IFERROR(__xludf.DUMMYFUNCTION("""COMPUTED_VALUE"""),4228.0)</f>
        <v>4228</v>
      </c>
      <c r="D1664" s="5"/>
      <c r="E1664" s="63">
        <f>IFERROR(__xludf.DUMMYFUNCTION("""COMPUTED_VALUE"""),45852.388402777775)</f>
        <v>45852.3884</v>
      </c>
      <c r="F1664" s="5" t="str">
        <f>IFERROR(__xludf.DUMMYFUNCTION("""COMPUTED_VALUE"""),"Featured")</f>
        <v>Featured</v>
      </c>
      <c r="G1664" s="19" t="str">
        <f>IFERROR(__xludf.DUMMYFUNCTION("""COMPUTED_VALUE"""),"Instant Forms")</f>
        <v>Instant Forms</v>
      </c>
      <c r="H1664" s="19"/>
      <c r="I1664" s="62"/>
      <c r="J1664" s="19"/>
    </row>
    <row r="1665">
      <c r="A1665" s="19" t="str">
        <f>IFERROR(__xludf.DUMMYFUNCTION("""COMPUTED_VALUE"""),"Matt Shelton")</f>
        <v>Matt Shelton</v>
      </c>
      <c r="B1665" s="19" t="str">
        <f>IFERROR(__xludf.DUMMYFUNCTION("""COMPUTED_VALUE"""),"QLD")</f>
        <v>QLD</v>
      </c>
      <c r="C1665" s="5">
        <f>IFERROR(__xludf.DUMMYFUNCTION("""COMPUTED_VALUE"""),4220.0)</f>
        <v>4220</v>
      </c>
      <c r="D1665" s="5"/>
      <c r="E1665" s="63">
        <f>IFERROR(__xludf.DUMMYFUNCTION("""COMPUTED_VALUE"""),45852.38991898148)</f>
        <v>45852.38992</v>
      </c>
      <c r="F1665" s="5" t="str">
        <f>IFERROR(__xludf.DUMMYFUNCTION("""COMPUTED_VALUE"""),"Featured")</f>
        <v>Featured</v>
      </c>
      <c r="G1665" s="19" t="str">
        <f>IFERROR(__xludf.DUMMYFUNCTION("""COMPUTED_VALUE"""),"Instant Forms")</f>
        <v>Instant Forms</v>
      </c>
      <c r="H1665" s="19"/>
      <c r="I1665" s="62"/>
      <c r="J1665" s="19"/>
    </row>
    <row r="1666">
      <c r="A1666" s="19" t="str">
        <f>IFERROR(__xludf.DUMMYFUNCTION("""COMPUTED_VALUE"""),"Matt Shelton")</f>
        <v>Matt Shelton</v>
      </c>
      <c r="B1666" s="19" t="str">
        <f>IFERROR(__xludf.DUMMYFUNCTION("""COMPUTED_VALUE"""),"QLD")</f>
        <v>QLD</v>
      </c>
      <c r="C1666" s="5">
        <f>IFERROR(__xludf.DUMMYFUNCTION("""COMPUTED_VALUE"""),4226.0)</f>
        <v>4226</v>
      </c>
      <c r="D1666" s="5"/>
      <c r="E1666" s="63">
        <f>IFERROR(__xludf.DUMMYFUNCTION("""COMPUTED_VALUE"""),45853.65877314815)</f>
        <v>45853.65877</v>
      </c>
      <c r="F1666" s="5" t="str">
        <f>IFERROR(__xludf.DUMMYFUNCTION("""COMPUTED_VALUE"""),"Featured")</f>
        <v>Featured</v>
      </c>
      <c r="G1666" s="19" t="str">
        <f>IFERROR(__xludf.DUMMYFUNCTION("""COMPUTED_VALUE"""),"Instant Forms")</f>
        <v>Instant Forms</v>
      </c>
      <c r="H1666" s="19"/>
      <c r="I1666" s="62"/>
      <c r="J1666" s="19"/>
    </row>
    <row r="1667">
      <c r="A1667" s="19" t="str">
        <f>IFERROR(__xludf.DUMMYFUNCTION("""COMPUTED_VALUE"""),"Matt Shelton")</f>
        <v>Matt Shelton</v>
      </c>
      <c r="B1667" s="19" t="str">
        <f>IFERROR(__xludf.DUMMYFUNCTION("""COMPUTED_VALUE"""),"QLD")</f>
        <v>QLD</v>
      </c>
      <c r="C1667" s="5">
        <f>IFERROR(__xludf.DUMMYFUNCTION("""COMPUTED_VALUE"""),4218.0)</f>
        <v>4218</v>
      </c>
      <c r="D1667" s="5"/>
      <c r="E1667" s="63" t="str">
        <f>IFERROR(__xludf.DUMMYFUNCTION("""COMPUTED_VALUE"""),"18/07/2025")</f>
        <v>18/07/2025</v>
      </c>
      <c r="F1667" s="5" t="str">
        <f>IFERROR(__xludf.DUMMYFUNCTION("""COMPUTED_VALUE"""),"Featured")</f>
        <v>Featured</v>
      </c>
      <c r="G1667" s="19" t="str">
        <f>IFERROR(__xludf.DUMMYFUNCTION("""COMPUTED_VALUE"""),"Instant Forms")</f>
        <v>Instant Forms</v>
      </c>
      <c r="H1667" s="19"/>
      <c r="I1667" s="62"/>
      <c r="J1667" s="19"/>
    </row>
    <row r="1668">
      <c r="A1668" s="19" t="str">
        <f>IFERROR(__xludf.DUMMYFUNCTION("""COMPUTED_VALUE"""),"Matt Shelton")</f>
        <v>Matt Shelton</v>
      </c>
      <c r="B1668" s="19" t="str">
        <f>IFERROR(__xludf.DUMMYFUNCTION("""COMPUTED_VALUE"""),"QLD")</f>
        <v>QLD</v>
      </c>
      <c r="C1668" s="5" t="str">
        <f>IFERROR(__xludf.DUMMYFUNCTION("""COMPUTED_VALUE"""),"Robina")</f>
        <v>Robina</v>
      </c>
      <c r="D1668" s="5" t="str">
        <f>IFERROR(__xludf.DUMMYFUNCTION("""COMPUTED_VALUE"""),"4 Corvus Way")</f>
        <v>4 Corvus Way</v>
      </c>
      <c r="E1668" s="63">
        <f>IFERROR(__xludf.DUMMYFUNCTION("""COMPUTED_VALUE"""),45860.0)</f>
        <v>45860</v>
      </c>
      <c r="F1668" s="5" t="str">
        <f>IFERROR(__xludf.DUMMYFUNCTION("""COMPUTED_VALUE"""),"Featured")</f>
        <v>Featured</v>
      </c>
      <c r="G1668" s="19" t="str">
        <f>IFERROR(__xludf.DUMMYFUNCTION("""COMPUTED_VALUE"""),"Instant Forms")</f>
        <v>Instant Forms</v>
      </c>
      <c r="H1668" s="19"/>
      <c r="I1668" s="62"/>
      <c r="J1668" s="19"/>
    </row>
    <row r="1669">
      <c r="A1669" s="19" t="str">
        <f>IFERROR(__xludf.DUMMYFUNCTION("""COMPUTED_VALUE"""),"Matt Shelton")</f>
        <v>Matt Shelton</v>
      </c>
      <c r="B1669" s="19" t="str">
        <f>IFERROR(__xludf.DUMMYFUNCTION("""COMPUTED_VALUE"""),"QLD")</f>
        <v>QLD</v>
      </c>
      <c r="C1669" s="5" t="str">
        <f>IFERROR(__xludf.DUMMYFUNCTION("""COMPUTED_VALUE"""),"burleigh heads")</f>
        <v>burleigh heads</v>
      </c>
      <c r="D1669" s="5"/>
      <c r="E1669" s="63">
        <f>IFERROR(__xludf.DUMMYFUNCTION("""COMPUTED_VALUE"""),45860.0)</f>
        <v>45860</v>
      </c>
      <c r="F1669" s="5" t="str">
        <f>IFERROR(__xludf.DUMMYFUNCTION("""COMPUTED_VALUE"""),"Featured")</f>
        <v>Featured</v>
      </c>
      <c r="G1669" s="19" t="str">
        <f>IFERROR(__xludf.DUMMYFUNCTION("""COMPUTED_VALUE"""),"Instant Forms")</f>
        <v>Instant Forms</v>
      </c>
      <c r="H1669" s="19"/>
      <c r="I1669" s="62"/>
      <c r="J1669" s="19"/>
    </row>
    <row r="1670">
      <c r="A1670" s="19" t="str">
        <f>IFERROR(__xludf.DUMMYFUNCTION("""COMPUTED_VALUE"""),"Matt Shelton")</f>
        <v>Matt Shelton</v>
      </c>
      <c r="B1670" s="19" t="str">
        <f>IFERROR(__xludf.DUMMYFUNCTION("""COMPUTED_VALUE"""),"QLD")</f>
        <v>QLD</v>
      </c>
      <c r="C1670" s="5">
        <f>IFERROR(__xludf.DUMMYFUNCTION("""COMPUTED_VALUE"""),4220.0)</f>
        <v>4220</v>
      </c>
      <c r="D1670" s="5"/>
      <c r="E1670" s="63">
        <f>IFERROR(__xludf.DUMMYFUNCTION("""COMPUTED_VALUE"""),45861.0)</f>
        <v>45861</v>
      </c>
      <c r="F1670" s="5" t="str">
        <f>IFERROR(__xludf.DUMMYFUNCTION("""COMPUTED_VALUE"""),"Featured")</f>
        <v>Featured</v>
      </c>
      <c r="G1670" s="19" t="str">
        <f>IFERROR(__xludf.DUMMYFUNCTION("""COMPUTED_VALUE"""),"Instant Forms")</f>
        <v>Instant Forms</v>
      </c>
      <c r="H1670" s="19"/>
      <c r="I1670" s="62"/>
      <c r="J1670" s="19"/>
    </row>
    <row r="1671">
      <c r="A1671" s="19" t="str">
        <f>IFERROR(__xludf.DUMMYFUNCTION("""COMPUTED_VALUE"""),"Matt Shelton")</f>
        <v>Matt Shelton</v>
      </c>
      <c r="B1671" s="19" t="str">
        <f>IFERROR(__xludf.DUMMYFUNCTION("""COMPUTED_VALUE"""),"QLD")</f>
        <v>QLD</v>
      </c>
      <c r="C1671" s="5" t="str">
        <f>IFERROR(__xludf.DUMMYFUNCTION("""COMPUTED_VALUE"""),"Coolangatta")</f>
        <v>Coolangatta</v>
      </c>
      <c r="D1671" s="5" t="str">
        <f>IFERROR(__xludf.DUMMYFUNCTION("""COMPUTED_VALUE"""),"43 Stapylton Street, Coolangatta, Qld 4225")</f>
        <v>43 Stapylton Street, Coolangatta, Qld 4225</v>
      </c>
      <c r="E1671" s="63" t="str">
        <f>IFERROR(__xludf.DUMMYFUNCTION("""COMPUTED_VALUE"""),"30/07/2025")</f>
        <v>30/07/2025</v>
      </c>
      <c r="F1671" s="5" t="str">
        <f>IFERROR(__xludf.DUMMYFUNCTION("""COMPUTED_VALUE"""),"Featured")</f>
        <v>Featured</v>
      </c>
      <c r="G1671" s="19" t="str">
        <f>IFERROR(__xludf.DUMMYFUNCTION("""COMPUTED_VALUE"""),"Instant Forms")</f>
        <v>Instant Forms</v>
      </c>
      <c r="H1671" s="19"/>
      <c r="I1671" s="62"/>
      <c r="J1671" s="19"/>
    </row>
    <row r="1672">
      <c r="A1672" s="19" t="str">
        <f>IFERROR(__xludf.DUMMYFUNCTION("""COMPUTED_VALUE"""),"Matt Shelton")</f>
        <v>Matt Shelton</v>
      </c>
      <c r="B1672" s="19" t="str">
        <f>IFERROR(__xludf.DUMMYFUNCTION("""COMPUTED_VALUE"""),"QLD")</f>
        <v>QLD</v>
      </c>
      <c r="C1672" s="5">
        <f>IFERROR(__xludf.DUMMYFUNCTION("""COMPUTED_VALUE"""),4221.0)</f>
        <v>4221</v>
      </c>
      <c r="D1672" s="5"/>
      <c r="E1672" s="25">
        <f>IFERROR(__xludf.DUMMYFUNCTION("""COMPUTED_VALUE"""),45874.0)</f>
        <v>45874</v>
      </c>
      <c r="F1672" s="5" t="str">
        <f>IFERROR(__xludf.DUMMYFUNCTION("""COMPUTED_VALUE"""),"Featured")</f>
        <v>Featured</v>
      </c>
      <c r="G1672" s="19" t="str">
        <f>IFERROR(__xludf.DUMMYFUNCTION("""COMPUTED_VALUE"""),"Instant Forms")</f>
        <v>Instant Forms</v>
      </c>
      <c r="H1672" s="19"/>
      <c r="I1672" s="62"/>
      <c r="J1672" s="19"/>
    </row>
    <row r="1673">
      <c r="A1673" s="19" t="str">
        <f>IFERROR(__xludf.DUMMYFUNCTION("""COMPUTED_VALUE"""),"Matt Shelton")</f>
        <v>Matt Shelton</v>
      </c>
      <c r="B1673" s="19" t="str">
        <f>IFERROR(__xludf.DUMMYFUNCTION("""COMPUTED_VALUE"""),"QLD")</f>
        <v>QLD</v>
      </c>
      <c r="C1673" s="5">
        <f>IFERROR(__xludf.DUMMYFUNCTION("""COMPUTED_VALUE"""),4215.0)</f>
        <v>4215</v>
      </c>
      <c r="D1673" s="5"/>
      <c r="E1673" s="25">
        <f>IFERROR(__xludf.DUMMYFUNCTION("""COMPUTED_VALUE"""),45876.0)</f>
        <v>45876</v>
      </c>
      <c r="F1673" s="5" t="str">
        <f>IFERROR(__xludf.DUMMYFUNCTION("""COMPUTED_VALUE"""),"Featured")</f>
        <v>Featured</v>
      </c>
      <c r="G1673" s="19" t="str">
        <f>IFERROR(__xludf.DUMMYFUNCTION("""COMPUTED_VALUE"""),"Instant Forms")</f>
        <v>Instant Forms</v>
      </c>
      <c r="H1673" s="19"/>
      <c r="I1673" s="62"/>
      <c r="J1673" s="19"/>
    </row>
    <row r="1674">
      <c r="A1674" s="19" t="str">
        <f>IFERROR(__xludf.DUMMYFUNCTION("""COMPUTED_VALUE"""),"Matt Shelton")</f>
        <v>Matt Shelton</v>
      </c>
      <c r="B1674" s="19" t="str">
        <f>IFERROR(__xludf.DUMMYFUNCTION("""COMPUTED_VALUE"""),"QLD")</f>
        <v>QLD</v>
      </c>
      <c r="C1674" s="5">
        <f>IFERROR(__xludf.DUMMYFUNCTION("""COMPUTED_VALUE"""),4227.0)</f>
        <v>4227</v>
      </c>
      <c r="D1674" s="5"/>
      <c r="E1674" s="25">
        <f>IFERROR(__xludf.DUMMYFUNCTION("""COMPUTED_VALUE"""),45879.0)</f>
        <v>45879</v>
      </c>
      <c r="F1674" s="5" t="str">
        <f>IFERROR(__xludf.DUMMYFUNCTION("""COMPUTED_VALUE"""),"Featured")</f>
        <v>Featured</v>
      </c>
      <c r="G1674" s="19" t="str">
        <f>IFERROR(__xludf.DUMMYFUNCTION("""COMPUTED_VALUE"""),"Instant Forms")</f>
        <v>Instant Forms</v>
      </c>
      <c r="H1674" s="19"/>
      <c r="I1674" s="62"/>
      <c r="J1674" s="19"/>
    </row>
    <row r="1675">
      <c r="A1675" s="19" t="str">
        <f>IFERROR(__xludf.DUMMYFUNCTION("""COMPUTED_VALUE"""),"Matt Shelton")</f>
        <v>Matt Shelton</v>
      </c>
      <c r="B1675" s="19" t="str">
        <f>IFERROR(__xludf.DUMMYFUNCTION("""COMPUTED_VALUE"""),"QLD")</f>
        <v>QLD</v>
      </c>
      <c r="C1675" s="5" t="str">
        <f>IFERROR(__xludf.DUMMYFUNCTION("""COMPUTED_VALUE"""),"Mermaid Beach")</f>
        <v>Mermaid Beach</v>
      </c>
      <c r="D1675" s="5"/>
      <c r="E1675" s="25">
        <f>IFERROR(__xludf.DUMMYFUNCTION("""COMPUTED_VALUE"""),45879.0)</f>
        <v>45879</v>
      </c>
      <c r="F1675" s="5" t="str">
        <f>IFERROR(__xludf.DUMMYFUNCTION("""COMPUTED_VALUE"""),"Featured")</f>
        <v>Featured</v>
      </c>
      <c r="G1675" s="19" t="str">
        <f>IFERROR(__xludf.DUMMYFUNCTION("""COMPUTED_VALUE"""),"Instant Forms")</f>
        <v>Instant Forms</v>
      </c>
      <c r="H1675" s="19"/>
      <c r="I1675" s="62"/>
      <c r="J1675" s="19"/>
    </row>
    <row r="1676">
      <c r="A1676" s="19" t="str">
        <f>IFERROR(__xludf.DUMMYFUNCTION("""COMPUTED_VALUE"""),"Matt Shelton")</f>
        <v>Matt Shelton</v>
      </c>
      <c r="B1676" s="19" t="str">
        <f>IFERROR(__xludf.DUMMYFUNCTION("""COMPUTED_VALUE"""),"QLD")</f>
        <v>QLD</v>
      </c>
      <c r="C1676" s="5" t="str">
        <f>IFERROR(__xludf.DUMMYFUNCTION("""COMPUTED_VALUE"""),"Runaway Bay Qld")</f>
        <v>Runaway Bay Qld</v>
      </c>
      <c r="D1676" s="5"/>
      <c r="E1676" s="25">
        <f>IFERROR(__xludf.DUMMYFUNCTION("""COMPUTED_VALUE"""),45880.0)</f>
        <v>45880</v>
      </c>
      <c r="F1676" s="5" t="str">
        <f>IFERROR(__xludf.DUMMYFUNCTION("""COMPUTED_VALUE"""),"Featured")</f>
        <v>Featured</v>
      </c>
      <c r="G1676" s="19" t="str">
        <f>IFERROR(__xludf.DUMMYFUNCTION("""COMPUTED_VALUE"""),"Instant Forms")</f>
        <v>Instant Forms</v>
      </c>
      <c r="H1676" s="19"/>
      <c r="I1676" s="62"/>
      <c r="J1676" s="19"/>
    </row>
    <row r="1677">
      <c r="A1677" s="19" t="str">
        <f>IFERROR(__xludf.DUMMYFUNCTION("""COMPUTED_VALUE"""),"Matt Shelton")</f>
        <v>Matt Shelton</v>
      </c>
      <c r="B1677" s="19" t="str">
        <f>IFERROR(__xludf.DUMMYFUNCTION("""COMPUTED_VALUE"""),"QLD")</f>
        <v>QLD</v>
      </c>
      <c r="C1677" s="5" t="str">
        <f>IFERROR(__xludf.DUMMYFUNCTION("""COMPUTED_VALUE"""),"Broadbeach waters")</f>
        <v>Broadbeach waters</v>
      </c>
      <c r="D1677" s="5" t="str">
        <f>IFERROR(__xludf.DUMMYFUNCTION("""COMPUTED_VALUE"""),"4/13 Hooker Boulevard Broadbeach Waters QLD 4218")</f>
        <v>4/13 Hooker Boulevard Broadbeach Waters QLD 4218</v>
      </c>
      <c r="E1677" s="25">
        <f>IFERROR(__xludf.DUMMYFUNCTION("""COMPUTED_VALUE"""),45887.0)</f>
        <v>45887</v>
      </c>
      <c r="F1677" s="5" t="str">
        <f>IFERROR(__xludf.DUMMYFUNCTION("""COMPUTED_VALUE"""),"Featured")</f>
        <v>Featured</v>
      </c>
      <c r="G1677" s="19" t="str">
        <f>IFERROR(__xludf.DUMMYFUNCTION("""COMPUTED_VALUE"""),"Instant Forms")</f>
        <v>Instant Forms</v>
      </c>
      <c r="H1677" s="19"/>
      <c r="I1677" s="62"/>
      <c r="J1677" s="19"/>
    </row>
    <row r="1678">
      <c r="A1678" s="19" t="str">
        <f>IFERROR(__xludf.DUMMYFUNCTION("""COMPUTED_VALUE"""),"Matt Shelton")</f>
        <v>Matt Shelton</v>
      </c>
      <c r="B1678" s="19" t="str">
        <f>IFERROR(__xludf.DUMMYFUNCTION("""COMPUTED_VALUE"""),"QLD")</f>
        <v>QLD</v>
      </c>
      <c r="C1678" s="5" t="str">
        <f>IFERROR(__xludf.DUMMYFUNCTION("""COMPUTED_VALUE"""),"Bonogin")</f>
        <v>Bonogin</v>
      </c>
      <c r="D1678" s="5" t="str">
        <f>IFERROR(__xludf.DUMMYFUNCTION("""COMPUTED_VALUE"""),"69 Parkmeadows Court Bonogin QLD 4213 (I anticipate Bill enquired as he may own an investment property/unit in 4226 location)")</f>
        <v>69 Parkmeadows Court Bonogin QLD 4213 (I anticipate Bill enquired as he may own an investment property/unit in 4226 location)</v>
      </c>
      <c r="E1678" s="25">
        <f>IFERROR(__xludf.DUMMYFUNCTION("""COMPUTED_VALUE"""),45889.0)</f>
        <v>45889</v>
      </c>
      <c r="F1678" s="5" t="str">
        <f>IFERROR(__xludf.DUMMYFUNCTION("""COMPUTED_VALUE"""),"Featured")</f>
        <v>Featured</v>
      </c>
      <c r="G1678" s="19" t="str">
        <f>IFERROR(__xludf.DUMMYFUNCTION("""COMPUTED_VALUE"""),"Instant Forms")</f>
        <v>Instant Forms</v>
      </c>
      <c r="H1678" s="19"/>
      <c r="I1678" s="62"/>
      <c r="J1678" s="19"/>
    </row>
    <row r="1679">
      <c r="A1679" s="19" t="str">
        <f>IFERROR(__xludf.DUMMYFUNCTION("""COMPUTED_VALUE"""),"Matt Shelton")</f>
        <v>Matt Shelton</v>
      </c>
      <c r="B1679" s="19" t="str">
        <f>IFERROR(__xludf.DUMMYFUNCTION("""COMPUTED_VALUE"""),"QLD")</f>
        <v>QLD</v>
      </c>
      <c r="C1679" s="5" t="str">
        <f>IFERROR(__xludf.DUMMYFUNCTION("""COMPUTED_VALUE"""),"Southport")</f>
        <v>Southport</v>
      </c>
      <c r="D1679" s="5" t="str">
        <f>IFERROR(__xludf.DUMMYFUNCTION("""COMPUTED_VALUE"""),"2/7 Gardiners Place Southport QLD 4215")</f>
        <v>2/7 Gardiners Place Southport QLD 4215</v>
      </c>
      <c r="E1679" s="25">
        <f>IFERROR(__xludf.DUMMYFUNCTION("""COMPUTED_VALUE"""),45889.0)</f>
        <v>45889</v>
      </c>
      <c r="F1679" s="5" t="str">
        <f>IFERROR(__xludf.DUMMYFUNCTION("""COMPUTED_VALUE"""),"Featured")</f>
        <v>Featured</v>
      </c>
      <c r="G1679" s="19" t="str">
        <f>IFERROR(__xludf.DUMMYFUNCTION("""COMPUTED_VALUE"""),"Instant Forms")</f>
        <v>Instant Forms</v>
      </c>
      <c r="H1679" s="19"/>
      <c r="I1679" s="62"/>
      <c r="J1679" s="19"/>
    </row>
    <row r="1680">
      <c r="A1680" s="19" t="str">
        <f>IFERROR(__xludf.DUMMYFUNCTION("""COMPUTED_VALUE"""),"Matt Shelton")</f>
        <v>Matt Shelton</v>
      </c>
      <c r="B1680" s="19" t="str">
        <f>IFERROR(__xludf.DUMMYFUNCTION("""COMPUTED_VALUE"""),"QLD")</f>
        <v>QLD</v>
      </c>
      <c r="C1680" s="5" t="str">
        <f>IFERROR(__xludf.DUMMYFUNCTION("""COMPUTED_VALUE"""),"Robina")</f>
        <v>Robina</v>
      </c>
      <c r="D1680" s="5"/>
      <c r="E1680" s="25">
        <f>IFERROR(__xludf.DUMMYFUNCTION("""COMPUTED_VALUE"""),45890.0)</f>
        <v>45890</v>
      </c>
      <c r="F1680" s="5" t="str">
        <f>IFERROR(__xludf.DUMMYFUNCTION("""COMPUTED_VALUE"""),"Featured")</f>
        <v>Featured</v>
      </c>
      <c r="G1680" s="19" t="str">
        <f>IFERROR(__xludf.DUMMYFUNCTION("""COMPUTED_VALUE"""),"Instant Forms")</f>
        <v>Instant Forms</v>
      </c>
      <c r="H1680" s="19"/>
      <c r="I1680" s="62"/>
      <c r="J1680" s="19"/>
    </row>
    <row r="1681">
      <c r="A1681" s="19" t="str">
        <f>IFERROR(__xludf.DUMMYFUNCTION("""COMPUTED_VALUE"""),"Matt Shelton")</f>
        <v>Matt Shelton</v>
      </c>
      <c r="B1681" s="19" t="str">
        <f>IFERROR(__xludf.DUMMYFUNCTION("""COMPUTED_VALUE"""),"QLD")</f>
        <v>QLD</v>
      </c>
      <c r="C1681" s="5" t="str">
        <f>IFERROR(__xludf.DUMMYFUNCTION("""COMPUTED_VALUE"""),"Gold Coast")</f>
        <v>Gold Coast</v>
      </c>
      <c r="D1681" s="5"/>
      <c r="E1681" s="25">
        <f>IFERROR(__xludf.DUMMYFUNCTION("""COMPUTED_VALUE"""),45890.0)</f>
        <v>45890</v>
      </c>
      <c r="F1681" s="5" t="str">
        <f>IFERROR(__xludf.DUMMYFUNCTION("""COMPUTED_VALUE"""),"Featured")</f>
        <v>Featured</v>
      </c>
      <c r="G1681" s="19" t="str">
        <f>IFERROR(__xludf.DUMMYFUNCTION("""COMPUTED_VALUE"""),"Instant Forms")</f>
        <v>Instant Forms</v>
      </c>
      <c r="H1681" s="19"/>
      <c r="I1681" s="62"/>
      <c r="J1681" s="19"/>
    </row>
    <row r="1682">
      <c r="A1682" s="19" t="str">
        <f>IFERROR(__xludf.DUMMYFUNCTION("""COMPUTED_VALUE"""),"Matt Shelton")</f>
        <v>Matt Shelton</v>
      </c>
      <c r="B1682" s="19" t="str">
        <f>IFERROR(__xludf.DUMMYFUNCTION("""COMPUTED_VALUE"""),"QLD")</f>
        <v>QLD</v>
      </c>
      <c r="C1682" s="5" t="str">
        <f>IFERROR(__xludf.DUMMYFUNCTION("""COMPUTED_VALUE"""),"Robina")</f>
        <v>Robina</v>
      </c>
      <c r="D1682" s="5" t="str">
        <f>IFERROR(__xludf.DUMMYFUNCTION("""COMPUTED_VALUE"""),"6 Nunawading Court Robina QLD 4226")</f>
        <v>6 Nunawading Court Robina QLD 4226</v>
      </c>
      <c r="E1682" s="25">
        <f>IFERROR(__xludf.DUMMYFUNCTION("""COMPUTED_VALUE"""),45890.0)</f>
        <v>45890</v>
      </c>
      <c r="F1682" s="5" t="str">
        <f>IFERROR(__xludf.DUMMYFUNCTION("""COMPUTED_VALUE"""),"Featured")</f>
        <v>Featured</v>
      </c>
      <c r="G1682" s="19" t="str">
        <f>IFERROR(__xludf.DUMMYFUNCTION("""COMPUTED_VALUE"""),"Instant Forms")</f>
        <v>Instant Forms</v>
      </c>
      <c r="H1682" s="19"/>
      <c r="I1682" s="62"/>
      <c r="J1682" s="19"/>
    </row>
    <row r="1683">
      <c r="A1683" s="19" t="str">
        <f>IFERROR(__xludf.DUMMYFUNCTION("""COMPUTED_VALUE"""),"Matt Shelton")</f>
        <v>Matt Shelton</v>
      </c>
      <c r="B1683" s="19" t="str">
        <f>IFERROR(__xludf.DUMMYFUNCTION("""COMPUTED_VALUE"""),"QLD")</f>
        <v>QLD</v>
      </c>
      <c r="C1683" s="5" t="str">
        <f>IFERROR(__xludf.DUMMYFUNCTION("""COMPUTED_VALUE"""),"Robina")</f>
        <v>Robina</v>
      </c>
      <c r="D1683" s="5" t="str">
        <f>IFERROR(__xludf.DUMMYFUNCTION("""COMPUTED_VALUE"""),"25 Tullamarine Drive Robina QLD 4226")</f>
        <v>25 Tullamarine Drive Robina QLD 4226</v>
      </c>
      <c r="E1683" s="25">
        <f>IFERROR(__xludf.DUMMYFUNCTION("""COMPUTED_VALUE"""),45890.0)</f>
        <v>45890</v>
      </c>
      <c r="F1683" s="5" t="str">
        <f>IFERROR(__xludf.DUMMYFUNCTION("""COMPUTED_VALUE"""),"Featured")</f>
        <v>Featured</v>
      </c>
      <c r="G1683" s="19" t="str">
        <f>IFERROR(__xludf.DUMMYFUNCTION("""COMPUTED_VALUE"""),"Instant Forms")</f>
        <v>Instant Forms</v>
      </c>
      <c r="H1683" s="19"/>
      <c r="I1683" s="62"/>
      <c r="J1683" s="19"/>
    </row>
    <row r="1684">
      <c r="A1684" s="19" t="str">
        <f>IFERROR(__xludf.DUMMYFUNCTION("""COMPUTED_VALUE"""),"Matt Shelton")</f>
        <v>Matt Shelton</v>
      </c>
      <c r="B1684" s="19" t="str">
        <f>IFERROR(__xludf.DUMMYFUNCTION("""COMPUTED_VALUE"""),"QLD")</f>
        <v>QLD</v>
      </c>
      <c r="C1684" s="5" t="str">
        <f>IFERROR(__xludf.DUMMYFUNCTION("""COMPUTED_VALUE"""),"Bundall")</f>
        <v>Bundall</v>
      </c>
      <c r="D1684" s="5" t="str">
        <f>IFERROR(__xludf.DUMMYFUNCTION("""COMPUTED_VALUE"""),"29 Campbell Street Bundall QLD 4217")</f>
        <v>29 Campbell Street Bundall QLD 4217</v>
      </c>
      <c r="E1684" s="25">
        <f>IFERROR(__xludf.DUMMYFUNCTION("""COMPUTED_VALUE"""),45890.0)</f>
        <v>45890</v>
      </c>
      <c r="F1684" s="5" t="str">
        <f>IFERROR(__xludf.DUMMYFUNCTION("""COMPUTED_VALUE"""),"Featured")</f>
        <v>Featured</v>
      </c>
      <c r="G1684" s="19" t="str">
        <f>IFERROR(__xludf.DUMMYFUNCTION("""COMPUTED_VALUE"""),"Instant Forms")</f>
        <v>Instant Forms</v>
      </c>
      <c r="H1684" s="19"/>
      <c r="I1684" s="62"/>
      <c r="J1684" s="19"/>
    </row>
    <row r="1685">
      <c r="A1685" s="19" t="str">
        <f>IFERROR(__xludf.DUMMYFUNCTION("""COMPUTED_VALUE"""),"Matt Shelton")</f>
        <v>Matt Shelton</v>
      </c>
      <c r="B1685" s="19" t="str">
        <f>IFERROR(__xludf.DUMMYFUNCTION("""COMPUTED_VALUE"""),"QLD")</f>
        <v>QLD</v>
      </c>
      <c r="C1685" s="5" t="str">
        <f>IFERROR(__xludf.DUMMYFUNCTION("""COMPUTED_VALUE"""),"Robina")</f>
        <v>Robina</v>
      </c>
      <c r="D1685" s="5" t="str">
        <f>IFERROR(__xludf.DUMMYFUNCTION("""COMPUTED_VALUE"""),"27 Huntingdale Crescent Robina QLD 4226")</f>
        <v>27 Huntingdale Crescent Robina QLD 4226</v>
      </c>
      <c r="E1685" s="25">
        <f>IFERROR(__xludf.DUMMYFUNCTION("""COMPUTED_VALUE"""),45891.0)</f>
        <v>45891</v>
      </c>
      <c r="F1685" s="5" t="str">
        <f>IFERROR(__xludf.DUMMYFUNCTION("""COMPUTED_VALUE"""),"Featured")</f>
        <v>Featured</v>
      </c>
      <c r="G1685" s="19" t="str">
        <f>IFERROR(__xludf.DUMMYFUNCTION("""COMPUTED_VALUE"""),"Instant Forms")</f>
        <v>Instant Forms</v>
      </c>
      <c r="H1685" s="19"/>
      <c r="I1685" s="62"/>
      <c r="J1685" s="19"/>
    </row>
    <row r="1686">
      <c r="A1686" s="19" t="str">
        <f>IFERROR(__xludf.DUMMYFUNCTION("""COMPUTED_VALUE"""),"Matt Shelton")</f>
        <v>Matt Shelton</v>
      </c>
      <c r="B1686" s="19" t="str">
        <f>IFERROR(__xludf.DUMMYFUNCTION("""COMPUTED_VALUE"""),"QLD")</f>
        <v>QLD</v>
      </c>
      <c r="C1686" s="5" t="str">
        <f>IFERROR(__xludf.DUMMYFUNCTION("""COMPUTED_VALUE"""),"Robina")</f>
        <v>Robina</v>
      </c>
      <c r="D1686" s="5" t="str">
        <f>IFERROR(__xludf.DUMMYFUNCTION("""COMPUTED_VALUE"""),"134/1 Vue Boulevard Robina QLD 4226")</f>
        <v>134/1 Vue Boulevard Robina QLD 4226</v>
      </c>
      <c r="E1686" s="25">
        <f>IFERROR(__xludf.DUMMYFUNCTION("""COMPUTED_VALUE"""),45891.0)</f>
        <v>45891</v>
      </c>
      <c r="F1686" s="5" t="str">
        <f>IFERROR(__xludf.DUMMYFUNCTION("""COMPUTED_VALUE"""),"Featured")</f>
        <v>Featured</v>
      </c>
      <c r="G1686" s="19" t="str">
        <f>IFERROR(__xludf.DUMMYFUNCTION("""COMPUTED_VALUE"""),"Instant Forms")</f>
        <v>Instant Forms</v>
      </c>
      <c r="H1686" s="19"/>
      <c r="I1686" s="62"/>
      <c r="J1686" s="19"/>
    </row>
    <row r="1687">
      <c r="A1687" s="19" t="str">
        <f>IFERROR(__xludf.DUMMYFUNCTION("""COMPUTED_VALUE"""),"Matt Shelton")</f>
        <v>Matt Shelton</v>
      </c>
      <c r="B1687" s="19" t="str">
        <f>IFERROR(__xludf.DUMMYFUNCTION("""COMPUTED_VALUE"""),"QLD")</f>
        <v>QLD</v>
      </c>
      <c r="C1687" s="5" t="str">
        <f>IFERROR(__xludf.DUMMYFUNCTION("""COMPUTED_VALUE"""),"Gold coast")</f>
        <v>Gold coast</v>
      </c>
      <c r="D1687" s="5"/>
      <c r="E1687" s="25">
        <f>IFERROR(__xludf.DUMMYFUNCTION("""COMPUTED_VALUE"""),45900.0)</f>
        <v>45900</v>
      </c>
      <c r="F1687" s="5" t="str">
        <f>IFERROR(__xludf.DUMMYFUNCTION("""COMPUTED_VALUE"""),"Featured")</f>
        <v>Featured</v>
      </c>
      <c r="G1687" s="19" t="str">
        <f>IFERROR(__xludf.DUMMYFUNCTION("""COMPUTED_VALUE"""),"Instant Forms")</f>
        <v>Instant Forms</v>
      </c>
      <c r="H1687" s="19"/>
      <c r="I1687" s="62"/>
      <c r="J1687" s="19"/>
    </row>
    <row r="1688">
      <c r="A1688" s="19" t="str">
        <f>IFERROR(__xludf.DUMMYFUNCTION("""COMPUTED_VALUE"""),"Matt Shelton")</f>
        <v>Matt Shelton</v>
      </c>
      <c r="B1688" s="19" t="str">
        <f>IFERROR(__xludf.DUMMYFUNCTION("""COMPUTED_VALUE"""),"QLD")</f>
        <v>QLD</v>
      </c>
      <c r="C1688" s="5" t="str">
        <f>IFERROR(__xludf.DUMMYFUNCTION("""COMPUTED_VALUE"""),"Mudgeeraba")</f>
        <v>Mudgeeraba</v>
      </c>
      <c r="D1688" s="5" t="str">
        <f>IFERROR(__xludf.DUMMYFUNCTION("""COMPUTED_VALUE"""),"6 Highbridge Rise Mudgeeraba QLD 4213")</f>
        <v>6 Highbridge Rise Mudgeeraba QLD 4213</v>
      </c>
      <c r="E1688" s="25">
        <f>IFERROR(__xludf.DUMMYFUNCTION("""COMPUTED_VALUE"""),45903.0)</f>
        <v>45903</v>
      </c>
      <c r="F1688" s="5" t="str">
        <f>IFERROR(__xludf.DUMMYFUNCTION("""COMPUTED_VALUE"""),"Featured")</f>
        <v>Featured</v>
      </c>
      <c r="G1688" s="19" t="str">
        <f>IFERROR(__xludf.DUMMYFUNCTION("""COMPUTED_VALUE"""),"Instant Forms")</f>
        <v>Instant Forms</v>
      </c>
      <c r="H1688" s="19"/>
      <c r="I1688" s="62"/>
      <c r="J1688" s="19"/>
    </row>
    <row r="1689">
      <c r="A1689" s="19" t="str">
        <f>IFERROR(__xludf.DUMMYFUNCTION("""COMPUTED_VALUE"""),"Matt Shelton")</f>
        <v>Matt Shelton</v>
      </c>
      <c r="B1689" s="19" t="str">
        <f>IFERROR(__xludf.DUMMYFUNCTION("""COMPUTED_VALUE"""),"QLD")</f>
        <v>QLD</v>
      </c>
      <c r="C1689" s="5" t="str">
        <f>IFERROR(__xludf.DUMMYFUNCTION("""COMPUTED_VALUE"""),"Reedy Creek")</f>
        <v>Reedy Creek</v>
      </c>
      <c r="D1689" s="5" t="str">
        <f>IFERROR(__xludf.DUMMYFUNCTION("""COMPUTED_VALUE"""),"42 Gordonia Drive Reedy Creek QLD 4227")</f>
        <v>42 Gordonia Drive Reedy Creek QLD 4227</v>
      </c>
      <c r="E1689" s="25">
        <f>IFERROR(__xludf.DUMMYFUNCTION("""COMPUTED_VALUE"""),45904.0)</f>
        <v>45904</v>
      </c>
      <c r="F1689" s="5" t="str">
        <f>IFERROR(__xludf.DUMMYFUNCTION("""COMPUTED_VALUE"""),"Featured")</f>
        <v>Featured</v>
      </c>
      <c r="G1689" s="19" t="str">
        <f>IFERROR(__xludf.DUMMYFUNCTION("""COMPUTED_VALUE"""),"Instant Forms")</f>
        <v>Instant Forms</v>
      </c>
      <c r="H1689" s="19"/>
      <c r="I1689" s="62"/>
      <c r="J1689" s="19"/>
    </row>
    <row r="1690">
      <c r="A1690" s="19" t="str">
        <f>IFERROR(__xludf.DUMMYFUNCTION("""COMPUTED_VALUE"""),"Matt Shelton")</f>
        <v>Matt Shelton</v>
      </c>
      <c r="B1690" s="19" t="str">
        <f>IFERROR(__xludf.DUMMYFUNCTION("""COMPUTED_VALUE"""),"QLD")</f>
        <v>QLD</v>
      </c>
      <c r="C1690" s="5" t="str">
        <f>IFERROR(__xludf.DUMMYFUNCTION("""COMPUTED_VALUE"""),"Mermaid Waters Qld")</f>
        <v>Mermaid Waters Qld</v>
      </c>
      <c r="D1690" s="5" t="str">
        <f>IFERROR(__xludf.DUMMYFUNCTION("""COMPUTED_VALUE"""),"223 Markeri Street Mermaid Waters QLD 4218")</f>
        <v>223 Markeri Street Mermaid Waters QLD 4218</v>
      </c>
      <c r="E1690" s="25">
        <f>IFERROR(__xludf.DUMMYFUNCTION("""COMPUTED_VALUE"""),45905.0)</f>
        <v>45905</v>
      </c>
      <c r="F1690" s="5" t="str">
        <f>IFERROR(__xludf.DUMMYFUNCTION("""COMPUTED_VALUE"""),"Featured")</f>
        <v>Featured</v>
      </c>
      <c r="G1690" s="19" t="str">
        <f>IFERROR(__xludf.DUMMYFUNCTION("""COMPUTED_VALUE"""),"Instant Forms")</f>
        <v>Instant Forms</v>
      </c>
      <c r="H1690" s="19"/>
      <c r="I1690" s="62"/>
      <c r="J1690" s="19"/>
    </row>
    <row r="1691">
      <c r="A1691" s="19" t="str">
        <f>IFERROR(__xludf.DUMMYFUNCTION("""COMPUTED_VALUE"""),"Matt Shelton")</f>
        <v>Matt Shelton</v>
      </c>
      <c r="B1691" s="19" t="str">
        <f>IFERROR(__xludf.DUMMYFUNCTION("""COMPUTED_VALUE"""),"QLD")</f>
        <v>QLD</v>
      </c>
      <c r="C1691" s="5" t="str">
        <f>IFERROR(__xludf.DUMMYFUNCTION("""COMPUTED_VALUE"""),"Surfers paradise")</f>
        <v>Surfers paradise</v>
      </c>
      <c r="D1691" s="5" t="str">
        <f>IFERROR(__xludf.DUMMYFUNCTION("""COMPUTED_VALUE"""),"4701/9 Hamilton Avenue Surfers Paradise QLD 4217")</f>
        <v>4701/9 Hamilton Avenue Surfers Paradise QLD 4217</v>
      </c>
      <c r="E1691" s="25">
        <f>IFERROR(__xludf.DUMMYFUNCTION("""COMPUTED_VALUE"""),45905.0)</f>
        <v>45905</v>
      </c>
      <c r="F1691" s="5" t="str">
        <f>IFERROR(__xludf.DUMMYFUNCTION("""COMPUTED_VALUE"""),"Featured")</f>
        <v>Featured</v>
      </c>
      <c r="G1691" s="19" t="str">
        <f>IFERROR(__xludf.DUMMYFUNCTION("""COMPUTED_VALUE"""),"Instant Forms")</f>
        <v>Instant Forms</v>
      </c>
      <c r="H1691" s="19"/>
      <c r="I1691" s="62"/>
      <c r="J1691" s="19"/>
    </row>
    <row r="1692">
      <c r="A1692" s="19" t="str">
        <f>IFERROR(__xludf.DUMMYFUNCTION("""COMPUTED_VALUE"""),"Matt Shelton")</f>
        <v>Matt Shelton</v>
      </c>
      <c r="B1692" s="19" t="str">
        <f>IFERROR(__xludf.DUMMYFUNCTION("""COMPUTED_VALUE"""),"QLD")</f>
        <v>QLD</v>
      </c>
      <c r="C1692" s="5" t="str">
        <f>IFERROR(__xludf.DUMMYFUNCTION("""COMPUTED_VALUE"""),"Broadbeach")</f>
        <v>Broadbeach</v>
      </c>
      <c r="D1692" s="5" t="str">
        <f>IFERROR(__xludf.DUMMYFUNCTION("""COMPUTED_VALUE"""),"13 Palmetto Court Broadbeach Waters QLD 4218")</f>
        <v>13 Palmetto Court Broadbeach Waters QLD 4218</v>
      </c>
      <c r="E1692" s="25">
        <f>IFERROR(__xludf.DUMMYFUNCTION("""COMPUTED_VALUE"""),45908.0)</f>
        <v>45908</v>
      </c>
      <c r="F1692" s="5" t="str">
        <f>IFERROR(__xludf.DUMMYFUNCTION("""COMPUTED_VALUE"""),"Featured")</f>
        <v>Featured</v>
      </c>
      <c r="G1692" s="19" t="str">
        <f>IFERROR(__xludf.DUMMYFUNCTION("""COMPUTED_VALUE"""),"Instant Forms")</f>
        <v>Instant Forms</v>
      </c>
      <c r="H1692" s="19"/>
      <c r="I1692" s="62"/>
      <c r="J1692" s="19"/>
    </row>
    <row r="1693">
      <c r="A1693" s="19" t="str">
        <f>IFERROR(__xludf.DUMMYFUNCTION("""COMPUTED_VALUE"""),"Matt Shelton")</f>
        <v>Matt Shelton</v>
      </c>
      <c r="B1693" s="19" t="str">
        <f>IFERROR(__xludf.DUMMYFUNCTION("""COMPUTED_VALUE"""),"QLD")</f>
        <v>QLD</v>
      </c>
      <c r="C1693" s="5" t="str">
        <f>IFERROR(__xludf.DUMMYFUNCTION("""COMPUTED_VALUE"""),"Mermaid beach")</f>
        <v>Mermaid beach</v>
      </c>
      <c r="D1693" s="5"/>
      <c r="E1693" s="25">
        <f>IFERROR(__xludf.DUMMYFUNCTION("""COMPUTED_VALUE"""),45908.0)</f>
        <v>45908</v>
      </c>
      <c r="F1693" s="5" t="str">
        <f>IFERROR(__xludf.DUMMYFUNCTION("""COMPUTED_VALUE"""),"Featured")</f>
        <v>Featured</v>
      </c>
      <c r="G1693" s="19" t="str">
        <f>IFERROR(__xludf.DUMMYFUNCTION("""COMPUTED_VALUE"""),"Instant Forms")</f>
        <v>Instant Forms</v>
      </c>
      <c r="H1693" s="19"/>
      <c r="I1693" s="62"/>
      <c r="J1693" s="19"/>
    </row>
    <row r="1694">
      <c r="A1694" s="19" t="str">
        <f>IFERROR(__xludf.DUMMYFUNCTION("""COMPUTED_VALUE"""),"Matt Shelton")</f>
        <v>Matt Shelton</v>
      </c>
      <c r="B1694" s="19" t="str">
        <f>IFERROR(__xludf.DUMMYFUNCTION("""COMPUTED_VALUE"""),"QLD")</f>
        <v>QLD</v>
      </c>
      <c r="C1694" s="5" t="str">
        <f>IFERROR(__xludf.DUMMYFUNCTION("""COMPUTED_VALUE"""),"Benowa")</f>
        <v>Benowa</v>
      </c>
      <c r="D1694" s="5"/>
      <c r="E1694" s="25">
        <f>IFERROR(__xludf.DUMMYFUNCTION("""COMPUTED_VALUE"""),45908.0)</f>
        <v>45908</v>
      </c>
      <c r="F1694" s="5" t="str">
        <f>IFERROR(__xludf.DUMMYFUNCTION("""COMPUTED_VALUE"""),"Featured")</f>
        <v>Featured</v>
      </c>
      <c r="G1694" s="19" t="str">
        <f>IFERROR(__xludf.DUMMYFUNCTION("""COMPUTED_VALUE"""),"Instant Forms")</f>
        <v>Instant Forms</v>
      </c>
      <c r="H1694" s="19"/>
      <c r="I1694" s="62"/>
      <c r="J1694" s="19"/>
    </row>
    <row r="1695">
      <c r="A1695" s="19" t="str">
        <f>IFERROR(__xludf.DUMMYFUNCTION("""COMPUTED_VALUE"""),"Matt Shelton")</f>
        <v>Matt Shelton</v>
      </c>
      <c r="B1695" s="19" t="str">
        <f>IFERROR(__xludf.DUMMYFUNCTION("""COMPUTED_VALUE"""),"QLD")</f>
        <v>QLD</v>
      </c>
      <c r="C1695" s="5" t="str">
        <f>IFERROR(__xludf.DUMMYFUNCTION("""COMPUTED_VALUE"""),"Robina")</f>
        <v>Robina</v>
      </c>
      <c r="D1695" s="5" t="str">
        <f>IFERROR(__xludf.DUMMYFUNCTION("""COMPUTED_VALUE"""),"13 Glen Iris Place Robina QLD 4226")</f>
        <v>13 Glen Iris Place Robina QLD 4226</v>
      </c>
      <c r="E1695" s="25">
        <f>IFERROR(__xludf.DUMMYFUNCTION("""COMPUTED_VALUE"""),45918.0)</f>
        <v>45918</v>
      </c>
      <c r="F1695" s="5">
        <f>IFERROR(__xludf.DUMMYFUNCTION("""COMPUTED_VALUE"""),8.0)</f>
        <v>8</v>
      </c>
      <c r="G1695" s="19" t="str">
        <f>IFERROR(__xludf.DUMMYFUNCTION("""COMPUTED_VALUE"""),"Instant Forms")</f>
        <v>Instant Forms</v>
      </c>
      <c r="H1695" s="19" t="str">
        <f>IFERROR(__xludf.DUMMYFUNCTION("""COMPUTED_VALUE"""),"Gerald Winston")</f>
        <v>Gerald Winston</v>
      </c>
      <c r="I1695" s="62"/>
      <c r="J1695" s="19"/>
    </row>
    <row r="1696">
      <c r="A1696" s="19" t="str">
        <f>IFERROR(__xludf.DUMMYFUNCTION("""COMPUTED_VALUE"""),"Matt Shelton")</f>
        <v>Matt Shelton</v>
      </c>
      <c r="B1696" s="19" t="str">
        <f>IFERROR(__xludf.DUMMYFUNCTION("""COMPUTED_VALUE"""),"QLD")</f>
        <v>QLD</v>
      </c>
      <c r="C1696" s="5" t="str">
        <f>IFERROR(__xludf.DUMMYFUNCTION("""COMPUTED_VALUE"""),"Biggera Waters")</f>
        <v>Biggera Waters</v>
      </c>
      <c r="D1696" s="5" t="str">
        <f>IFERROR(__xludf.DUMMYFUNCTION("""COMPUTED_VALUE"""),"11/12 Taylor Street Biggera Waters QLD 4216")</f>
        <v>11/12 Taylor Street Biggera Waters QLD 4216</v>
      </c>
      <c r="E1696" s="25">
        <f>IFERROR(__xludf.DUMMYFUNCTION("""COMPUTED_VALUE"""),45919.0)</f>
        <v>45919</v>
      </c>
      <c r="F1696" s="5">
        <f>IFERROR(__xludf.DUMMYFUNCTION("""COMPUTED_VALUE"""),6.0)</f>
        <v>6</v>
      </c>
      <c r="G1696" s="19" t="str">
        <f>IFERROR(__xludf.DUMMYFUNCTION("""COMPUTED_VALUE"""),"Instant Forms")</f>
        <v>Instant Forms</v>
      </c>
      <c r="H1696" s="19" t="str">
        <f>IFERROR(__xludf.DUMMYFUNCTION("""COMPUTED_VALUE"""),"Donna Johns")</f>
        <v>Donna Johns</v>
      </c>
      <c r="I1696" s="62"/>
      <c r="J1696" s="19"/>
    </row>
    <row r="1697">
      <c r="A1697" s="19" t="str">
        <f>IFERROR(__xludf.DUMMYFUNCTION("""COMPUTED_VALUE"""),"Matt Shelton")</f>
        <v>Matt Shelton</v>
      </c>
      <c r="B1697" s="19" t="str">
        <f>IFERROR(__xludf.DUMMYFUNCTION("""COMPUTED_VALUE"""),"QLD")</f>
        <v>QLD</v>
      </c>
      <c r="C1697" s="5" t="str">
        <f>IFERROR(__xludf.DUMMYFUNCTION("""COMPUTED_VALUE"""),"Reedy Creek")</f>
        <v>Reedy Creek</v>
      </c>
      <c r="D1697" s="5" t="str">
        <f>IFERROR(__xludf.DUMMYFUNCTION("""COMPUTED_VALUE"""),"7 Peregrine Street Reedy Creek QLD 4227")</f>
        <v>7 Peregrine Street Reedy Creek QLD 4227</v>
      </c>
      <c r="E1697" s="25">
        <f>IFERROR(__xludf.DUMMYFUNCTION("""COMPUTED_VALUE"""),45922.0)</f>
        <v>45922</v>
      </c>
      <c r="F1697" s="5">
        <f>IFERROR(__xludf.DUMMYFUNCTION("""COMPUTED_VALUE"""),8.0)</f>
        <v>8</v>
      </c>
      <c r="G1697" s="19" t="str">
        <f>IFERROR(__xludf.DUMMYFUNCTION("""COMPUTED_VALUE"""),"Instant Forms")</f>
        <v>Instant Forms</v>
      </c>
      <c r="H1697" s="19" t="str">
        <f>IFERROR(__xludf.DUMMYFUNCTION("""COMPUTED_VALUE"""),"Melissa Leung")</f>
        <v>Melissa Leung</v>
      </c>
      <c r="I1697" s="62"/>
      <c r="J1697" s="19"/>
    </row>
    <row r="1698">
      <c r="A1698" s="19" t="str">
        <f>IFERROR(__xludf.DUMMYFUNCTION("""COMPUTED_VALUE"""),"Matt Shelton")</f>
        <v>Matt Shelton</v>
      </c>
      <c r="B1698" s="19" t="str">
        <f>IFERROR(__xludf.DUMMYFUNCTION("""COMPUTED_VALUE"""),"QLD")</f>
        <v>QLD</v>
      </c>
      <c r="C1698" s="5" t="str">
        <f>IFERROR(__xludf.DUMMYFUNCTION("""COMPUTED_VALUE"""),"Biggera waters")</f>
        <v>Biggera waters</v>
      </c>
      <c r="D1698" s="5" t="str">
        <f>IFERROR(__xludf.DUMMYFUNCTION("""COMPUTED_VALUE"""),"11 okinya st biggera waters")</f>
        <v>11 okinya st biggera waters</v>
      </c>
      <c r="E1698" s="25">
        <f>IFERROR(__xludf.DUMMYFUNCTION("""COMPUTED_VALUE"""),45925.0)</f>
        <v>45925</v>
      </c>
      <c r="F1698" s="5" t="str">
        <f>IFERROR(__xludf.DUMMYFUNCTION("""COMPUTED_VALUE"""),"Featured")</f>
        <v>Featured</v>
      </c>
      <c r="G1698" s="19" t="str">
        <f>IFERROR(__xludf.DUMMYFUNCTION("""COMPUTED_VALUE"""),"Commission Comparison")</f>
        <v>Commission Comparison</v>
      </c>
      <c r="H1698" s="19"/>
      <c r="I1698" s="62"/>
      <c r="J1698" s="19"/>
    </row>
    <row r="1699">
      <c r="A1699" s="19" t="str">
        <f>IFERROR(__xludf.DUMMYFUNCTION("""COMPUTED_VALUE"""),"Matt Shelton")</f>
        <v>Matt Shelton</v>
      </c>
      <c r="B1699" s="19" t="str">
        <f>IFERROR(__xludf.DUMMYFUNCTION("""COMPUTED_VALUE"""),"QLD")</f>
        <v>QLD</v>
      </c>
      <c r="C1699" s="5">
        <f>IFERROR(__xludf.DUMMYFUNCTION("""COMPUTED_VALUE"""),4217.0)</f>
        <v>4217</v>
      </c>
      <c r="D1699" s="5"/>
      <c r="E1699" s="25">
        <f>IFERROR(__xludf.DUMMYFUNCTION("""COMPUTED_VALUE"""),45925.0)</f>
        <v>45925</v>
      </c>
      <c r="F1699" s="5">
        <f>IFERROR(__xludf.DUMMYFUNCTION("""COMPUTED_VALUE"""),6.0)</f>
        <v>6</v>
      </c>
      <c r="G1699" s="19" t="str">
        <f>IFERROR(__xludf.DUMMYFUNCTION("""COMPUTED_VALUE"""),"Instant Forms")</f>
        <v>Instant Forms</v>
      </c>
      <c r="H1699" s="19" t="str">
        <f>IFERROR(__xludf.DUMMYFUNCTION("""COMPUTED_VALUE"""),"Kylie Watson")</f>
        <v>Kylie Watson</v>
      </c>
      <c r="I1699" s="62"/>
      <c r="J1699" s="19"/>
    </row>
    <row r="1700">
      <c r="A1700" s="19" t="str">
        <f>IFERROR(__xludf.DUMMYFUNCTION("""COMPUTED_VALUE"""),"Matt Shelton")</f>
        <v>Matt Shelton</v>
      </c>
      <c r="B1700" s="19" t="str">
        <f>IFERROR(__xludf.DUMMYFUNCTION("""COMPUTED_VALUE"""),"QLD")</f>
        <v>QLD</v>
      </c>
      <c r="C1700" s="5" t="str">
        <f>IFERROR(__xludf.DUMMYFUNCTION("""COMPUTED_VALUE"""),"Southport")</f>
        <v>Southport</v>
      </c>
      <c r="D1700" s="5" t="str">
        <f>IFERROR(__xludf.DUMMYFUNCTION("""COMPUTED_VALUE"""),"12 Biggs Place Southport QLD 4215")</f>
        <v>12 Biggs Place Southport QLD 4215</v>
      </c>
      <c r="E1700" s="25">
        <f>IFERROR(__xludf.DUMMYFUNCTION("""COMPUTED_VALUE"""),45926.0)</f>
        <v>45926</v>
      </c>
      <c r="F1700" s="5">
        <f>IFERROR(__xludf.DUMMYFUNCTION("""COMPUTED_VALUE"""),8.0)</f>
        <v>8</v>
      </c>
      <c r="G1700" s="19" t="str">
        <f>IFERROR(__xludf.DUMMYFUNCTION("""COMPUTED_VALUE"""),"Instant Forms")</f>
        <v>Instant Forms</v>
      </c>
      <c r="H1700" s="19" t="str">
        <f>IFERROR(__xludf.DUMMYFUNCTION("""COMPUTED_VALUE"""),"lee blowes")</f>
        <v>lee blowes</v>
      </c>
      <c r="I1700" s="62"/>
      <c r="J1700" s="19"/>
    </row>
    <row r="1701">
      <c r="A1701" s="19" t="str">
        <f>IFERROR(__xludf.DUMMYFUNCTION("""COMPUTED_VALUE"""),"Matt Shelton")</f>
        <v>Matt Shelton</v>
      </c>
      <c r="B1701" s="19" t="str">
        <f>IFERROR(__xludf.DUMMYFUNCTION("""COMPUTED_VALUE"""),"QLD")</f>
        <v>QLD</v>
      </c>
      <c r="C1701" s="5" t="str">
        <f>IFERROR(__xludf.DUMMYFUNCTION("""COMPUTED_VALUE"""),"Palm Beach")</f>
        <v>Palm Beach</v>
      </c>
      <c r="D1701" s="5" t="str">
        <f>IFERROR(__xludf.DUMMYFUNCTION("""COMPUTED_VALUE"""),"37 Tahiti Avenue Palm Beach QLD 4221")</f>
        <v>37 Tahiti Avenue Palm Beach QLD 4221</v>
      </c>
      <c r="E1701" s="25">
        <f>IFERROR(__xludf.DUMMYFUNCTION("""COMPUTED_VALUE"""),45926.0)</f>
        <v>45926</v>
      </c>
      <c r="F1701" s="5">
        <f>IFERROR(__xludf.DUMMYFUNCTION("""COMPUTED_VALUE"""),6.0)</f>
        <v>6</v>
      </c>
      <c r="G1701" s="19" t="str">
        <f>IFERROR(__xludf.DUMMYFUNCTION("""COMPUTED_VALUE"""),"Instant Forms")</f>
        <v>Instant Forms</v>
      </c>
      <c r="H1701" s="19" t="str">
        <f>IFERROR(__xludf.DUMMYFUNCTION("""COMPUTED_VALUE"""),"Cindy Burch")</f>
        <v>Cindy Burch</v>
      </c>
      <c r="I1701" s="62"/>
      <c r="J1701" s="19"/>
    </row>
    <row r="1702">
      <c r="A1702" s="19" t="str">
        <f>IFERROR(__xludf.DUMMYFUNCTION("""COMPUTED_VALUE"""),"Matt Shelton")</f>
        <v>Matt Shelton</v>
      </c>
      <c r="B1702" s="19" t="str">
        <f>IFERROR(__xludf.DUMMYFUNCTION("""COMPUTED_VALUE"""),"QLD")</f>
        <v>QLD</v>
      </c>
      <c r="C1702" s="5" t="str">
        <f>IFERROR(__xludf.DUMMYFUNCTION("""COMPUTED_VALUE"""),"Mermaid beach")</f>
        <v>Mermaid beach</v>
      </c>
      <c r="D1702" s="5" t="str">
        <f>IFERROR(__xludf.DUMMYFUNCTION("""COMPUTED_VALUE"""),"2/91 Seagull Avenue Mermaid Beach QLD 4218")</f>
        <v>2/91 Seagull Avenue Mermaid Beach QLD 4218</v>
      </c>
      <c r="E1702" s="25">
        <f>IFERROR(__xludf.DUMMYFUNCTION("""COMPUTED_VALUE"""),45929.0)</f>
        <v>45929</v>
      </c>
      <c r="F1702" s="5">
        <f>IFERROR(__xludf.DUMMYFUNCTION("""COMPUTED_VALUE"""),8.0)</f>
        <v>8</v>
      </c>
      <c r="G1702" s="19" t="str">
        <f>IFERROR(__xludf.DUMMYFUNCTION("""COMPUTED_VALUE"""),"Instant Forms")</f>
        <v>Instant Forms</v>
      </c>
      <c r="H1702" s="19" t="str">
        <f>IFERROR(__xludf.DUMMYFUNCTION("""COMPUTED_VALUE"""),"Edward Patching")</f>
        <v>Edward Patching</v>
      </c>
      <c r="I1702" s="62"/>
      <c r="J1702" s="19"/>
    </row>
    <row r="1703">
      <c r="A1703" s="19" t="str">
        <f>IFERROR(__xludf.DUMMYFUNCTION("""COMPUTED_VALUE"""),"Matt Shelton")</f>
        <v>Matt Shelton</v>
      </c>
      <c r="B1703" s="19" t="str">
        <f>IFERROR(__xludf.DUMMYFUNCTION("""COMPUTED_VALUE"""),"QLD")</f>
        <v>QLD</v>
      </c>
      <c r="C1703" s="5" t="str">
        <f>IFERROR(__xludf.DUMMYFUNCTION("""COMPUTED_VALUE"""),"Broadbeach Waters")</f>
        <v>Broadbeach Waters</v>
      </c>
      <c r="D1703" s="5" t="str">
        <f>IFERROR(__xludf.DUMMYFUNCTION("""COMPUTED_VALUE"""),"13 Welby Street, Broadbeach Waters, QLD, 4218, Australia")</f>
        <v>13 Welby Street, Broadbeach Waters, QLD, 4218, Australia</v>
      </c>
      <c r="E1703" s="25">
        <f>IFERROR(__xludf.DUMMYFUNCTION("""COMPUTED_VALUE"""),45930.0)</f>
        <v>45930</v>
      </c>
      <c r="F1703" s="5" t="str">
        <f>IFERROR(__xludf.DUMMYFUNCTION("""COMPUTED_VALUE"""),"Featured")</f>
        <v>Featured</v>
      </c>
      <c r="G1703" s="19" t="str">
        <f>IFERROR(__xludf.DUMMYFUNCTION("""COMPUTED_VALUE"""),"Commission Comparison")</f>
        <v>Commission Comparison</v>
      </c>
      <c r="H1703" s="19"/>
      <c r="I1703" s="62"/>
      <c r="J1703" s="19"/>
    </row>
    <row r="1704">
      <c r="A1704" s="19" t="str">
        <f>IFERROR(__xludf.DUMMYFUNCTION("""COMPUTED_VALUE"""),"Matt Shelton")</f>
        <v>Matt Shelton</v>
      </c>
      <c r="B1704" s="19" t="str">
        <f>IFERROR(__xludf.DUMMYFUNCTION("""COMPUTED_VALUE"""),"QLD")</f>
        <v>QLD</v>
      </c>
      <c r="C1704" s="5" t="str">
        <f>IFERROR(__xludf.DUMMYFUNCTION("""COMPUTED_VALUE"""),"Varsity Lakes")</f>
        <v>Varsity Lakes</v>
      </c>
      <c r="D1704" s="5" t="str">
        <f>IFERROR(__xludf.DUMMYFUNCTION("""COMPUTED_VALUE"""),"1 / 9 Magenta Drive, Varsity Lakes, QLD, 4227, Australia")</f>
        <v>1 / 9 Magenta Drive, Varsity Lakes, QLD, 4227, Australia</v>
      </c>
      <c r="E1704" s="25" t="str">
        <f>IFERROR(__xludf.DUMMYFUNCTION("""COMPUTED_VALUE"""),"30/09/2025")</f>
        <v>30/09/2025</v>
      </c>
      <c r="F1704" s="5" t="str">
        <f>IFERROR(__xludf.DUMMYFUNCTION("""COMPUTED_VALUE"""),"Featured")</f>
        <v>Featured</v>
      </c>
      <c r="G1704" s="19"/>
      <c r="H1704" s="19"/>
      <c r="I1704" s="62"/>
      <c r="J1704" s="19"/>
    </row>
    <row r="1705">
      <c r="A1705" s="19" t="str">
        <f>IFERROR(__xludf.DUMMYFUNCTION("""COMPUTED_VALUE"""),"Matt Shelton")</f>
        <v>Matt Shelton</v>
      </c>
      <c r="B1705" s="19" t="str">
        <f>IFERROR(__xludf.DUMMYFUNCTION("""COMPUTED_VALUE"""),"QLD")</f>
        <v>QLD</v>
      </c>
      <c r="C1705" s="5" t="str">
        <f>IFERROR(__xludf.DUMMYFUNCTION("""COMPUTED_VALUE"""),"Southport")</f>
        <v>Southport</v>
      </c>
      <c r="D1705" s="5" t="str">
        <f>IFERROR(__xludf.DUMMYFUNCTION("""COMPUTED_VALUE"""),"21 / 15 Lloyd Street, Southport, QLD, 4215, Australia")</f>
        <v>21 / 15 Lloyd Street, Southport, QLD, 4215, Australia</v>
      </c>
      <c r="E1705" s="25">
        <f>IFERROR(__xludf.DUMMYFUNCTION("""COMPUTED_VALUE"""),45932.0)</f>
        <v>45932</v>
      </c>
      <c r="F1705" s="5" t="str">
        <f>IFERROR(__xludf.DUMMYFUNCTION("""COMPUTED_VALUE"""),"Featured")</f>
        <v>Featured</v>
      </c>
      <c r="G1705" s="19" t="str">
        <f>IFERROR(__xludf.DUMMYFUNCTION("""COMPUTED_VALUE"""),"Commission Comparison")</f>
        <v>Commission Comparison</v>
      </c>
      <c r="H1705" s="19"/>
      <c r="I1705" s="62"/>
      <c r="J1705" s="19"/>
    </row>
    <row r="1706">
      <c r="A1706" s="19" t="str">
        <f>IFERROR(__xludf.DUMMYFUNCTION("""COMPUTED_VALUE"""),"Matt Shelton")</f>
        <v>Matt Shelton</v>
      </c>
      <c r="B1706" s="19" t="str">
        <f>IFERROR(__xludf.DUMMYFUNCTION("""COMPUTED_VALUE"""),"QLD")</f>
        <v>QLD</v>
      </c>
      <c r="C1706" s="5" t="str">
        <f>IFERROR(__xludf.DUMMYFUNCTION("""COMPUTED_VALUE"""),"Biggera Waters")</f>
        <v>Biggera Waters</v>
      </c>
      <c r="D1706" s="5" t="str">
        <f>IFERROR(__xludf.DUMMYFUNCTION("""COMPUTED_VALUE"""),"28/61 East Quay Drive Biggera Waters QLD 4216")</f>
        <v>28/61 East Quay Drive Biggera Waters QLD 4216</v>
      </c>
      <c r="E1706" s="25">
        <f>IFERROR(__xludf.DUMMYFUNCTION("""COMPUTED_VALUE"""),45933.0)</f>
        <v>45933</v>
      </c>
      <c r="F1706" s="5">
        <f>IFERROR(__xludf.DUMMYFUNCTION("""COMPUTED_VALUE"""),9.0)</f>
        <v>9</v>
      </c>
      <c r="G1706" s="19" t="str">
        <f>IFERROR(__xludf.DUMMYFUNCTION("""COMPUTED_VALUE"""),"Instant Forms")</f>
        <v>Instant Forms</v>
      </c>
      <c r="H1706" s="19" t="str">
        <f>IFERROR(__xludf.DUMMYFUNCTION("""COMPUTED_VALUE"""),"Stephen Wright (Appears this property has just been listed)")</f>
        <v>Stephen Wright (Appears this property has just been listed)</v>
      </c>
      <c r="I1706" s="62"/>
      <c r="J1706" s="19"/>
    </row>
    <row r="1707">
      <c r="A1707" s="19" t="str">
        <f>IFERROR(__xludf.DUMMYFUNCTION("""COMPUTED_VALUE"""),"Matt Shelton")</f>
        <v>Matt Shelton</v>
      </c>
      <c r="B1707" s="19" t="str">
        <f>IFERROR(__xludf.DUMMYFUNCTION("""COMPUTED_VALUE"""),"QLD")</f>
        <v>QLD</v>
      </c>
      <c r="C1707" s="5">
        <f>IFERROR(__xludf.DUMMYFUNCTION("""COMPUTED_VALUE"""),4218.0)</f>
        <v>4218</v>
      </c>
      <c r="D1707" s="5"/>
      <c r="E1707" s="25">
        <f>IFERROR(__xludf.DUMMYFUNCTION("""COMPUTED_VALUE"""),45935.0)</f>
        <v>45935</v>
      </c>
      <c r="F1707" s="5">
        <f>IFERROR(__xludf.DUMMYFUNCTION("""COMPUTED_VALUE"""),5.0)</f>
        <v>5</v>
      </c>
      <c r="G1707" s="19" t="str">
        <f>IFERROR(__xludf.DUMMYFUNCTION("""COMPUTED_VALUE"""),"Instant Forms")</f>
        <v>Instant Forms</v>
      </c>
      <c r="H1707" s="19" t="str">
        <f>IFERROR(__xludf.DUMMYFUNCTION("""COMPUTED_VALUE"""),"Jan Hughes")</f>
        <v>Jan Hughes</v>
      </c>
      <c r="I1707" s="62"/>
      <c r="J1707" s="19"/>
    </row>
    <row r="1708">
      <c r="A1708" s="19" t="str">
        <f>IFERROR(__xludf.DUMMYFUNCTION("""COMPUTED_VALUE"""),"Matt Shelton")</f>
        <v>Matt Shelton</v>
      </c>
      <c r="B1708" s="19" t="str">
        <f>IFERROR(__xludf.DUMMYFUNCTION("""COMPUTED_VALUE"""),"QLD")</f>
        <v>QLD</v>
      </c>
      <c r="C1708" s="5" t="str">
        <f>IFERROR(__xludf.DUMMYFUNCTION("""COMPUTED_VALUE"""),"Surfers Paradise")</f>
        <v>Surfers Paradise</v>
      </c>
      <c r="D1708" s="5" t="str">
        <f>IFERROR(__xludf.DUMMYFUNCTION("""COMPUTED_VALUE"""),"1012/9-21 Beach Parade Surfers Paradise QLD 4217")</f>
        <v>1012/9-21 Beach Parade Surfers Paradise QLD 4217</v>
      </c>
      <c r="E1708" s="25">
        <f>IFERROR(__xludf.DUMMYFUNCTION("""COMPUTED_VALUE"""),45935.0)</f>
        <v>45935</v>
      </c>
      <c r="F1708" s="5">
        <f>IFERROR(__xludf.DUMMYFUNCTION("""COMPUTED_VALUE"""),8.0)</f>
        <v>8</v>
      </c>
      <c r="G1708" s="19" t="str">
        <f>IFERROR(__xludf.DUMMYFUNCTION("""COMPUTED_VALUE"""),"Instant Forms")</f>
        <v>Instant Forms</v>
      </c>
      <c r="H1708" s="19" t="str">
        <f>IFERROR(__xludf.DUMMYFUNCTION("""COMPUTED_VALUE"""),"Michele D'Arcy")</f>
        <v>Michele D'Arcy</v>
      </c>
      <c r="I1708" s="62"/>
      <c r="J1708" s="19"/>
    </row>
    <row r="1709">
      <c r="A1709" s="19" t="str">
        <f>IFERROR(__xludf.DUMMYFUNCTION("""COMPUTED_VALUE"""),"Matt Shelton")</f>
        <v>Matt Shelton</v>
      </c>
      <c r="B1709" s="19" t="str">
        <f>IFERROR(__xludf.DUMMYFUNCTION("""COMPUTED_VALUE"""),"QLD")</f>
        <v>QLD</v>
      </c>
      <c r="C1709" s="5" t="str">
        <f>IFERROR(__xludf.DUMMYFUNCTION("""COMPUTED_VALUE"""),"Palm beach")</f>
        <v>Palm beach</v>
      </c>
      <c r="D1709" s="5" t="str">
        <f>IFERROR(__xludf.DUMMYFUNCTION("""COMPUTED_VALUE"""),"1163 Gold Coast Highway Palm Beach QLD 4221")</f>
        <v>1163 Gold Coast Highway Palm Beach QLD 4221</v>
      </c>
      <c r="E1709" s="25">
        <f>IFERROR(__xludf.DUMMYFUNCTION("""COMPUTED_VALUE"""),45935.0)</f>
        <v>45935</v>
      </c>
      <c r="F1709" s="5" t="str">
        <f>IFERROR(__xludf.DUMMYFUNCTION("""COMPUTED_VALUE"""),"Featured")</f>
        <v>Featured</v>
      </c>
      <c r="G1709" s="19" t="str">
        <f>IFERROR(__xludf.DUMMYFUNCTION("""COMPUTED_VALUE"""),"Commission Comparison")</f>
        <v>Commission Comparison</v>
      </c>
      <c r="H1709" s="19"/>
      <c r="I1709" s="62"/>
      <c r="J1709" s="19"/>
    </row>
    <row r="1710">
      <c r="A1710" s="19" t="str">
        <f>IFERROR(__xludf.DUMMYFUNCTION("""COMPUTED_VALUE"""),"Matt Shelton")</f>
        <v>Matt Shelton</v>
      </c>
      <c r="B1710" s="19" t="str">
        <f>IFERROR(__xludf.DUMMYFUNCTION("""COMPUTED_VALUE"""),"QLD")</f>
        <v>QLD</v>
      </c>
      <c r="C1710" s="5" t="str">
        <f>IFERROR(__xludf.DUMMYFUNCTION("""COMPUTED_VALUE"""),"Bundall")</f>
        <v>Bundall</v>
      </c>
      <c r="D1710" s="5" t="str">
        <f>IFERROR(__xludf.DUMMYFUNCTION("""COMPUTED_VALUE"""),"95 Crombie Avenue Bundall QLD 4217")</f>
        <v>95 Crombie Avenue Bundall QLD 4217</v>
      </c>
      <c r="E1710" s="25">
        <f>IFERROR(__xludf.DUMMYFUNCTION("""COMPUTED_VALUE"""),45936.0)</f>
        <v>45936</v>
      </c>
      <c r="F1710" s="5">
        <f>IFERROR(__xludf.DUMMYFUNCTION("""COMPUTED_VALUE"""),8.0)</f>
        <v>8</v>
      </c>
      <c r="G1710" s="19" t="str">
        <f>IFERROR(__xludf.DUMMYFUNCTION("""COMPUTED_VALUE"""),"Instant Forms")</f>
        <v>Instant Forms</v>
      </c>
      <c r="H1710" s="19" t="str">
        <f>IFERROR(__xludf.DUMMYFUNCTION("""COMPUTED_VALUE"""),"Linna Parker")</f>
        <v>Linna Parker</v>
      </c>
      <c r="I1710" s="62"/>
      <c r="J1710" s="19"/>
    </row>
    <row r="1711">
      <c r="A1711" s="19" t="str">
        <f>IFERROR(__xludf.DUMMYFUNCTION("""COMPUTED_VALUE"""),"Matt Shelton")</f>
        <v>Matt Shelton</v>
      </c>
      <c r="B1711" s="19" t="str">
        <f>IFERROR(__xludf.DUMMYFUNCTION("""COMPUTED_VALUE"""),"QLD")</f>
        <v>QLD</v>
      </c>
      <c r="C1711" s="5" t="str">
        <f>IFERROR(__xludf.DUMMYFUNCTION("""COMPUTED_VALUE"""),"surfers paradise")</f>
        <v>surfers paradise</v>
      </c>
      <c r="D1711" s="5" t="str">
        <f>IFERROR(__xludf.DUMMYFUNCTION("""COMPUTED_VALUE"""),"3/6 northcliffe terrace surfers paradise")</f>
        <v>3/6 northcliffe terrace surfers paradise</v>
      </c>
      <c r="E1711" s="25">
        <f>IFERROR(__xludf.DUMMYFUNCTION("""COMPUTED_VALUE"""),45936.0)</f>
        <v>45936</v>
      </c>
      <c r="F1711" s="5" t="str">
        <f>IFERROR(__xludf.DUMMYFUNCTION("""COMPUTED_VALUE"""),"Featured")</f>
        <v>Featured</v>
      </c>
      <c r="G1711" s="19" t="str">
        <f>IFERROR(__xludf.DUMMYFUNCTION("""COMPUTED_VALUE"""),"Commission Comparison")</f>
        <v>Commission Comparison</v>
      </c>
      <c r="H1711" s="19"/>
      <c r="I1711" s="62"/>
      <c r="J1711" s="19"/>
    </row>
    <row r="1712">
      <c r="A1712" s="19" t="str">
        <f>IFERROR(__xludf.DUMMYFUNCTION("""COMPUTED_VALUE"""),"Matt Shelton")</f>
        <v>Matt Shelton</v>
      </c>
      <c r="B1712" s="19" t="str">
        <f>IFERROR(__xludf.DUMMYFUNCTION("""COMPUTED_VALUE"""),"QLD")</f>
        <v>QLD</v>
      </c>
      <c r="C1712" s="5" t="str">
        <f>IFERROR(__xludf.DUMMYFUNCTION("""COMPUTED_VALUE"""),"Surfers paradise qld")</f>
        <v>Surfers paradise qld</v>
      </c>
      <c r="D1712" s="5" t="str">
        <f>IFERROR(__xludf.DUMMYFUNCTION("""COMPUTED_VALUE"""),"55/2916 Gold Coast Highway Surfers Paradise QLD 4217")</f>
        <v>55/2916 Gold Coast Highway Surfers Paradise QLD 4217</v>
      </c>
      <c r="E1712" s="25">
        <f>IFERROR(__xludf.DUMMYFUNCTION("""COMPUTED_VALUE"""),45938.0)</f>
        <v>45938</v>
      </c>
      <c r="F1712" s="5" t="str">
        <f>IFERROR(__xludf.DUMMYFUNCTION("""COMPUTED_VALUE"""),"Featured")</f>
        <v>Featured</v>
      </c>
      <c r="G1712" s="19" t="str">
        <f>IFERROR(__xludf.DUMMYFUNCTION("""COMPUTED_VALUE"""),"Commission Comparison")</f>
        <v>Commission Comparison</v>
      </c>
      <c r="H1712" s="19"/>
      <c r="I1712" s="62"/>
      <c r="J1712" s="19"/>
    </row>
    <row r="1713">
      <c r="A1713" s="19" t="str">
        <f>IFERROR(__xludf.DUMMYFUNCTION("""COMPUTED_VALUE"""),"Matt Shelton")</f>
        <v>Matt Shelton</v>
      </c>
      <c r="B1713" s="19" t="str">
        <f>IFERROR(__xludf.DUMMYFUNCTION("""COMPUTED_VALUE"""),"QLD")</f>
        <v>QLD</v>
      </c>
      <c r="C1713" s="5" t="str">
        <f>IFERROR(__xludf.DUMMYFUNCTION("""COMPUTED_VALUE"""),"Varsity Lakes")</f>
        <v>Varsity Lakes</v>
      </c>
      <c r="D1713" s="5" t="str">
        <f>IFERROR(__xludf.DUMMYFUNCTION("""COMPUTED_VALUE"""),"57 Gerona Circuit Varsity Lakes QLD 4227")</f>
        <v>57 Gerona Circuit Varsity Lakes QLD 4227</v>
      </c>
      <c r="E1713" s="25">
        <f>IFERROR(__xludf.DUMMYFUNCTION("""COMPUTED_VALUE"""),45939.0)</f>
        <v>45939</v>
      </c>
      <c r="F1713" s="5">
        <f>IFERROR(__xludf.DUMMYFUNCTION("""COMPUTED_VALUE"""),8.0)</f>
        <v>8</v>
      </c>
      <c r="G1713" s="19" t="str">
        <f>IFERROR(__xludf.DUMMYFUNCTION("""COMPUTED_VALUE"""),"Instant Forms")</f>
        <v>Instant Forms</v>
      </c>
      <c r="H1713" s="19"/>
      <c r="I1713" s="62"/>
      <c r="J1713" s="19"/>
    </row>
    <row r="1714">
      <c r="A1714" s="19" t="str">
        <f>IFERROR(__xludf.DUMMYFUNCTION("""COMPUTED_VALUE"""),"Matt Shelton")</f>
        <v>Matt Shelton</v>
      </c>
      <c r="B1714" s="19" t="str">
        <f>IFERROR(__xludf.DUMMYFUNCTION("""COMPUTED_VALUE"""),"QLD")</f>
        <v>QLD</v>
      </c>
      <c r="C1714" s="5" t="str">
        <f>IFERROR(__xludf.DUMMYFUNCTION("""COMPUTED_VALUE"""),"Paradise Point")</f>
        <v>Paradise Point</v>
      </c>
      <c r="D1714" s="5" t="str">
        <f>IFERROR(__xludf.DUMMYFUNCTION("""COMPUTED_VALUE"""),"82 Royal Albert Crescent Paradise Point QLD 4216")</f>
        <v>82 Royal Albert Crescent Paradise Point QLD 4216</v>
      </c>
      <c r="E1714" s="25">
        <f>IFERROR(__xludf.DUMMYFUNCTION("""COMPUTED_VALUE"""),45943.0)</f>
        <v>45943</v>
      </c>
      <c r="F1714" s="5">
        <f>IFERROR(__xludf.DUMMYFUNCTION("""COMPUTED_VALUE"""),9.0)</f>
        <v>9</v>
      </c>
      <c r="G1714" s="19" t="str">
        <f>IFERROR(__xludf.DUMMYFUNCTION("""COMPUTED_VALUE"""),"Instant Forms")</f>
        <v>Instant Forms</v>
      </c>
      <c r="H1714" s="19"/>
      <c r="I1714" s="62"/>
      <c r="J1714" s="19"/>
    </row>
    <row r="1715">
      <c r="A1715" s="19" t="str">
        <f>IFERROR(__xludf.DUMMYFUNCTION("""COMPUTED_VALUE"""),"Matt Shelton")</f>
        <v>Matt Shelton</v>
      </c>
      <c r="B1715" s="19" t="str">
        <f>IFERROR(__xludf.DUMMYFUNCTION("""COMPUTED_VALUE"""),"QLD")</f>
        <v>QLD</v>
      </c>
      <c r="C1715" s="5" t="str">
        <f>IFERROR(__xludf.DUMMYFUNCTION("""COMPUTED_VALUE"""),"Runaway Bay")</f>
        <v>Runaway Bay</v>
      </c>
      <c r="D1715" s="5" t="str">
        <f>IFERROR(__xludf.DUMMYFUNCTION("""COMPUTED_VALUE"""),"23 Karema Crescent Runaway Bay QLD 4216")</f>
        <v>23 Karema Crescent Runaway Bay QLD 4216</v>
      </c>
      <c r="E1715" s="25">
        <f>IFERROR(__xludf.DUMMYFUNCTION("""COMPUTED_VALUE"""),45943.0)</f>
        <v>45943</v>
      </c>
      <c r="F1715" s="5">
        <f>IFERROR(__xludf.DUMMYFUNCTION("""COMPUTED_VALUE"""),9.0)</f>
        <v>9</v>
      </c>
      <c r="G1715" s="19" t="str">
        <f>IFERROR(__xludf.DUMMYFUNCTION("""COMPUTED_VALUE"""),"Instant Forms")</f>
        <v>Instant Forms</v>
      </c>
      <c r="H1715" s="19"/>
      <c r="I1715" s="62"/>
      <c r="J1715" s="19"/>
    </row>
    <row r="1716">
      <c r="A1716" s="19" t="str">
        <f>IFERROR(__xludf.DUMMYFUNCTION("""COMPUTED_VALUE"""),"Matt Shelton")</f>
        <v>Matt Shelton</v>
      </c>
      <c r="B1716" s="19" t="str">
        <f>IFERROR(__xludf.DUMMYFUNCTION("""COMPUTED_VALUE"""),"QLD")</f>
        <v>QLD</v>
      </c>
      <c r="C1716" s="5" t="str">
        <f>IFERROR(__xludf.DUMMYFUNCTION("""COMPUTED_VALUE"""),"Mermaid Waters")</f>
        <v>Mermaid Waters</v>
      </c>
      <c r="D1716" s="5" t="str">
        <f>IFERROR(__xludf.DUMMYFUNCTION("""COMPUTED_VALUE"""),"33 Markeri street")</f>
        <v>33 Markeri street</v>
      </c>
      <c r="E1716" s="25">
        <f>IFERROR(__xludf.DUMMYFUNCTION("""COMPUTED_VALUE"""),45944.0)</f>
        <v>45944</v>
      </c>
      <c r="F1716" s="5" t="str">
        <f>IFERROR(__xludf.DUMMYFUNCTION("""COMPUTED_VALUE"""),"Featured")</f>
        <v>Featured</v>
      </c>
      <c r="G1716" s="19" t="str">
        <f>IFERROR(__xludf.DUMMYFUNCTION("""COMPUTED_VALUE"""),"Commission Comparison")</f>
        <v>Commission Comparison</v>
      </c>
      <c r="H1716" s="19"/>
      <c r="I1716" s="62"/>
      <c r="J1716" s="19"/>
    </row>
    <row r="1717">
      <c r="A1717" s="19" t="str">
        <f>IFERROR(__xludf.DUMMYFUNCTION("""COMPUTED_VALUE"""),"Matt Shelton")</f>
        <v>Matt Shelton</v>
      </c>
      <c r="B1717" s="19" t="str">
        <f>IFERROR(__xludf.DUMMYFUNCTION("""COMPUTED_VALUE"""),"QLD")</f>
        <v>QLD</v>
      </c>
      <c r="C1717" s="5" t="str">
        <f>IFERROR(__xludf.DUMMYFUNCTION("""COMPUTED_VALUE"""),"Bundall")</f>
        <v>Bundall</v>
      </c>
      <c r="D1717" s="5" t="str">
        <f>IFERROR(__xludf.DUMMYFUNCTION("""COMPUTED_VALUE"""),"22 Platypus Avenue Bundall QLD 4217")</f>
        <v>22 Platypus Avenue Bundall QLD 4217</v>
      </c>
      <c r="E1717" s="25">
        <f>IFERROR(__xludf.DUMMYFUNCTION("""COMPUTED_VALUE"""),45958.0)</f>
        <v>45958</v>
      </c>
      <c r="F1717" s="5">
        <f>IFERROR(__xludf.DUMMYFUNCTION("""COMPUTED_VALUE"""),8.0)</f>
        <v>8</v>
      </c>
      <c r="G1717" s="19" t="str">
        <f>IFERROR(__xludf.DUMMYFUNCTION("""COMPUTED_VALUE"""),"Instant Forms")</f>
        <v>Instant Forms</v>
      </c>
      <c r="H1717" s="19"/>
      <c r="I1717" s="62"/>
      <c r="J1717" s="19"/>
    </row>
    <row r="1718">
      <c r="A1718" s="19" t="str">
        <f>IFERROR(__xludf.DUMMYFUNCTION("""COMPUTED_VALUE"""),"Matt Shelton")</f>
        <v>Matt Shelton</v>
      </c>
      <c r="B1718" s="19" t="str">
        <f>IFERROR(__xludf.DUMMYFUNCTION("""COMPUTED_VALUE"""),"QLD")</f>
        <v>QLD</v>
      </c>
      <c r="C1718" s="5" t="str">
        <f>IFERROR(__xludf.DUMMYFUNCTION("""COMPUTED_VALUE"""),"Reedy Creek")</f>
        <v>Reedy Creek</v>
      </c>
      <c r="D1718" s="5" t="str">
        <f>IFERROR(__xludf.DUMMYFUNCTION("""COMPUTED_VALUE"""),"30 Tuckeroo Place")</f>
        <v>30 Tuckeroo Place</v>
      </c>
      <c r="E1718" s="25">
        <f>IFERROR(__xludf.DUMMYFUNCTION("""COMPUTED_VALUE"""),45960.0)</f>
        <v>45960</v>
      </c>
      <c r="F1718" s="5" t="str">
        <f>IFERROR(__xludf.DUMMYFUNCTION("""COMPUTED_VALUE"""),"Featured")</f>
        <v>Featured</v>
      </c>
      <c r="G1718" s="19" t="str">
        <f>IFERROR(__xludf.DUMMYFUNCTION("""COMPUTED_VALUE"""),"Commission Comparison")</f>
        <v>Commission Comparison</v>
      </c>
      <c r="H1718" s="19"/>
      <c r="I1718" s="62"/>
      <c r="J1718" s="19"/>
    </row>
    <row r="1719">
      <c r="A1719" s="19" t="str">
        <f>IFERROR(__xludf.DUMMYFUNCTION("""COMPUTED_VALUE"""),"Matt Shelton")</f>
        <v>Matt Shelton</v>
      </c>
      <c r="B1719" s="19" t="str">
        <f>IFERROR(__xludf.DUMMYFUNCTION("""COMPUTED_VALUE"""),"QLD")</f>
        <v>QLD</v>
      </c>
      <c r="C1719" s="5" t="str">
        <f>IFERROR(__xludf.DUMMYFUNCTION("""COMPUTED_VALUE"""),"Varsity Lakes")</f>
        <v>Varsity Lakes</v>
      </c>
      <c r="D1719" s="5" t="str">
        <f>IFERROR(__xludf.DUMMYFUNCTION("""COMPUTED_VALUE"""),"37 Majorca Crescent Varsity Lakes QLD 4227")</f>
        <v>37 Majorca Crescent Varsity Lakes QLD 4227</v>
      </c>
      <c r="E1719" s="25">
        <f>IFERROR(__xludf.DUMMYFUNCTION("""COMPUTED_VALUE"""),45960.0)</f>
        <v>45960</v>
      </c>
      <c r="F1719" s="5">
        <f>IFERROR(__xludf.DUMMYFUNCTION("""COMPUTED_VALUE"""),8.0)</f>
        <v>8</v>
      </c>
      <c r="G1719" s="19" t="str">
        <f>IFERROR(__xludf.DUMMYFUNCTION("""COMPUTED_VALUE"""),"Instant Forms")</f>
        <v>Instant Forms</v>
      </c>
      <c r="H1719" s="19"/>
      <c r="I1719" s="62"/>
      <c r="J1719" s="19"/>
    </row>
    <row r="1720">
      <c r="A1720" s="19" t="str">
        <f>IFERROR(__xludf.DUMMYFUNCTION("""COMPUTED_VALUE"""),"Matt Shelton")</f>
        <v>Matt Shelton</v>
      </c>
      <c r="B1720" s="19" t="str">
        <f>IFERROR(__xludf.DUMMYFUNCTION("""COMPUTED_VALUE"""),"QLD")</f>
        <v>QLD</v>
      </c>
      <c r="C1720" s="5" t="str">
        <f>IFERROR(__xludf.DUMMYFUNCTION("""COMPUTED_VALUE"""),"Varsity lakes")</f>
        <v>Varsity lakes</v>
      </c>
      <c r="D1720" s="5" t="str">
        <f>IFERROR(__xludf.DUMMYFUNCTION("""COMPUTED_VALUE"""),"5 Roundelay Drive Varsity Lakes QLD 4227")</f>
        <v>5 Roundelay Drive Varsity Lakes QLD 4227</v>
      </c>
      <c r="E1720" s="25">
        <f>IFERROR(__xludf.DUMMYFUNCTION("""COMPUTED_VALUE"""),45961.0)</f>
        <v>45961</v>
      </c>
      <c r="F1720" s="5">
        <f>IFERROR(__xludf.DUMMYFUNCTION("""COMPUTED_VALUE"""),8.0)</f>
        <v>8</v>
      </c>
      <c r="G1720" s="19" t="str">
        <f>IFERROR(__xludf.DUMMYFUNCTION("""COMPUTED_VALUE"""),"Instant Forms")</f>
        <v>Instant Forms</v>
      </c>
      <c r="H1720" s="19"/>
      <c r="I1720" s="62"/>
      <c r="J1720" s="19"/>
    </row>
    <row r="1721">
      <c r="A1721" s="19" t="str">
        <f>IFERROR(__xludf.DUMMYFUNCTION("""COMPUTED_VALUE"""),"Matt Shelton")</f>
        <v>Matt Shelton</v>
      </c>
      <c r="B1721" s="19" t="str">
        <f>IFERROR(__xludf.DUMMYFUNCTION("""COMPUTED_VALUE"""),"QLD")</f>
        <v>QLD</v>
      </c>
      <c r="C1721" s="5" t="str">
        <f>IFERROR(__xludf.DUMMYFUNCTION("""COMPUTED_VALUE"""),"Robina")</f>
        <v>Robina</v>
      </c>
      <c r="D1721" s="5" t="str">
        <f>IFERROR(__xludf.DUMMYFUNCTION("""COMPUTED_VALUE"""),"7 Moorabbin Place  Robina, Robina, 4226")</f>
        <v>7 Moorabbin Place  Robina, Robina, 4226</v>
      </c>
      <c r="E1721" s="27">
        <f>IFERROR(__xludf.DUMMYFUNCTION("""COMPUTED_VALUE"""),45727.0)</f>
        <v>45727</v>
      </c>
      <c r="F1721" s="5" t="str">
        <f>IFERROR(__xludf.DUMMYFUNCTION("""COMPUTED_VALUE"""),"Featured")</f>
        <v>Featured</v>
      </c>
      <c r="G1721" s="19" t="str">
        <f>IFERROR(__xludf.DUMMYFUNCTION("""COMPUTED_VALUE"""),"Meta Commission Report")</f>
        <v>Meta Commission Report</v>
      </c>
      <c r="H1721" s="19" t="str">
        <f>IFERROR(__xludf.DUMMYFUNCTION("""COMPUTED_VALUE"""),"Cathy Vrolyks")</f>
        <v>Cathy Vrolyks</v>
      </c>
      <c r="I1721" s="62"/>
      <c r="J1721" s="19"/>
    </row>
    <row r="1722">
      <c r="A1722" s="19" t="str">
        <f>IFERROR(__xludf.DUMMYFUNCTION("""COMPUTED_VALUE"""),"Matt Shelton")</f>
        <v>Matt Shelton</v>
      </c>
      <c r="B1722" s="19" t="str">
        <f>IFERROR(__xludf.DUMMYFUNCTION("""COMPUTED_VALUE"""),"QLD")</f>
        <v>QLD</v>
      </c>
      <c r="C1722" s="5" t="str">
        <f>IFERROR(__xludf.DUMMYFUNCTION("""COMPUTED_VALUE"""),"Mermaid Waters")</f>
        <v>Mermaid Waters</v>
      </c>
      <c r="D1722" s="5" t="str">
        <f>IFERROR(__xludf.DUMMYFUNCTION("""COMPUTED_VALUE"""),"4 Winch Court, Mermaid Waters, QLD, 4218, Australia")</f>
        <v>4 Winch Court, Mermaid Waters, QLD, 4218, Australia</v>
      </c>
      <c r="E1722" s="25">
        <f>IFERROR(__xludf.DUMMYFUNCTION("""COMPUTED_VALUE"""),45964.0)</f>
        <v>45964</v>
      </c>
      <c r="F1722" s="5" t="str">
        <f>IFERROR(__xludf.DUMMYFUNCTION("""COMPUTED_VALUE"""),"Featured")</f>
        <v>Featured</v>
      </c>
      <c r="G1722" s="19" t="str">
        <f>IFERROR(__xludf.DUMMYFUNCTION("""COMPUTED_VALUE"""),"Commission Comparison")</f>
        <v>Commission Comparison</v>
      </c>
      <c r="H1722" s="19"/>
      <c r="I1722" s="62"/>
      <c r="J1722" s="19"/>
    </row>
    <row r="1723">
      <c r="A1723" s="19" t="str">
        <f>IFERROR(__xludf.DUMMYFUNCTION("""COMPUTED_VALUE"""),"Matt Shelton")</f>
        <v>Matt Shelton</v>
      </c>
      <c r="B1723" s="19" t="str">
        <f>IFERROR(__xludf.DUMMYFUNCTION("""COMPUTED_VALUE"""),"QLD")</f>
        <v>QLD</v>
      </c>
      <c r="C1723" s="5" t="str">
        <f>IFERROR(__xludf.DUMMYFUNCTION("""COMPUTED_VALUE"""),"Burleigh Waters")</f>
        <v>Burleigh Waters</v>
      </c>
      <c r="D1723" s="5" t="str">
        <f>IFERROR(__xludf.DUMMYFUNCTION("""COMPUTED_VALUE"""),"3 Nuthatch Street Burleigh Waters QLD 4220")</f>
        <v>3 Nuthatch Street Burleigh Waters QLD 4220</v>
      </c>
      <c r="E1723" s="25">
        <f>IFERROR(__xludf.DUMMYFUNCTION("""COMPUTED_VALUE"""),45966.0)</f>
        <v>45966</v>
      </c>
      <c r="F1723" s="5">
        <f>IFERROR(__xludf.DUMMYFUNCTION("""COMPUTED_VALUE"""),8.0)</f>
        <v>8</v>
      </c>
      <c r="G1723" s="19" t="str">
        <f>IFERROR(__xludf.DUMMYFUNCTION("""COMPUTED_VALUE"""),"Instant Forms")</f>
        <v>Instant Forms</v>
      </c>
      <c r="H1723" s="19" t="str">
        <f>IFERROR(__xludf.DUMMYFUNCTION("""COMPUTED_VALUE"""),"Robert Parsons")</f>
        <v>Robert Parsons</v>
      </c>
      <c r="I1723" s="62">
        <f>IFERROR(__xludf.DUMMYFUNCTION("""COMPUTED_VALUE"""),6.1409647527E10)</f>
        <v>61409647527</v>
      </c>
      <c r="J1723" s="19" t="str">
        <f>IFERROR(__xludf.DUMMYFUNCTION("""COMPUTED_VALUE"""),"cherylandbob7@optusnet.com.au")</f>
        <v>cherylandbob7@optusnet.com.au</v>
      </c>
    </row>
    <row r="1724">
      <c r="A1724" s="19" t="str">
        <f>IFERROR(__xludf.DUMMYFUNCTION("""COMPUTED_VALUE"""),"Matt Shelton")</f>
        <v>Matt Shelton</v>
      </c>
      <c r="B1724" s="19" t="str">
        <f>IFERROR(__xludf.DUMMYFUNCTION("""COMPUTED_VALUE"""),"QLD")</f>
        <v>QLD</v>
      </c>
      <c r="C1724" s="5" t="str">
        <f>IFERROR(__xludf.DUMMYFUNCTION("""COMPUTED_VALUE"""),"Robina")</f>
        <v>Robina</v>
      </c>
      <c r="D1724" s="5" t="str">
        <f>IFERROR(__xludf.DUMMYFUNCTION("""COMPUTED_VALUE"""),"10 Straite Drive Robina QLD 4226")</f>
        <v>10 Straite Drive Robina QLD 4226</v>
      </c>
      <c r="E1724" s="25">
        <f>IFERROR(__xludf.DUMMYFUNCTION("""COMPUTED_VALUE"""),45972.0)</f>
        <v>45972</v>
      </c>
      <c r="F1724" s="5">
        <f>IFERROR(__xludf.DUMMYFUNCTION("""COMPUTED_VALUE"""),8.0)</f>
        <v>8</v>
      </c>
      <c r="G1724" s="19" t="str">
        <f>IFERROR(__xludf.DUMMYFUNCTION("""COMPUTED_VALUE"""),"Instant Forms")</f>
        <v>Instant Forms</v>
      </c>
      <c r="H1724" s="19" t="str">
        <f>IFERROR(__xludf.DUMMYFUNCTION("""COMPUTED_VALUE"""),"Anna Vanderhelm")</f>
        <v>Anna Vanderhelm</v>
      </c>
      <c r="I1724" s="62">
        <f>IFERROR(__xludf.DUMMYFUNCTION("""COMPUTED_VALUE"""),6.1407892027E10)</f>
        <v>61407892027</v>
      </c>
      <c r="J1724" s="19" t="str">
        <f>IFERROR(__xludf.DUMMYFUNCTION("""COMPUTED_VALUE"""),"annavanbrooke@yahoo.com.au")</f>
        <v>annavanbrooke@yahoo.com.au</v>
      </c>
    </row>
    <row r="1725">
      <c r="A1725" s="19" t="str">
        <f>IFERROR(__xludf.DUMMYFUNCTION("""COMPUTED_VALUE"""),"Matt Shelton")</f>
        <v>Matt Shelton</v>
      </c>
      <c r="B1725" s="19" t="str">
        <f>IFERROR(__xludf.DUMMYFUNCTION("""COMPUTED_VALUE"""),"QLD")</f>
        <v>QLD</v>
      </c>
      <c r="C1725" s="5" t="str">
        <f>IFERROR(__xludf.DUMMYFUNCTION("""COMPUTED_VALUE"""),"Gold Coast")</f>
        <v>Gold Coast</v>
      </c>
      <c r="D1725" s="5"/>
      <c r="E1725" s="25">
        <f>IFERROR(__xludf.DUMMYFUNCTION("""COMPUTED_VALUE"""),45974.0)</f>
        <v>45974</v>
      </c>
      <c r="F1725" s="5">
        <f>IFERROR(__xludf.DUMMYFUNCTION("""COMPUTED_VALUE"""),5.0)</f>
        <v>5</v>
      </c>
      <c r="G1725" s="19" t="str">
        <f>IFERROR(__xludf.DUMMYFUNCTION("""COMPUTED_VALUE"""),"Instant Forms")</f>
        <v>Instant Forms</v>
      </c>
      <c r="H1725" s="19" t="str">
        <f>IFERROR(__xludf.DUMMYFUNCTION("""COMPUTED_VALUE"""),"Mia Coffey")</f>
        <v>Mia Coffey</v>
      </c>
      <c r="I1725" s="62">
        <f>IFERROR(__xludf.DUMMYFUNCTION("""COMPUTED_VALUE"""),6.141166972E10)</f>
        <v>61411669720</v>
      </c>
      <c r="J1725" s="19" t="str">
        <f>IFERROR(__xludf.DUMMYFUNCTION("""COMPUTED_VALUE"""),"healthhacks.holistic@gmail.com")</f>
        <v>healthhacks.holistic@gmail.com</v>
      </c>
    </row>
    <row r="1726">
      <c r="A1726" s="19" t="str">
        <f>IFERROR(__xludf.DUMMYFUNCTION("""COMPUTED_VALUE"""),"Matt Shelton")</f>
        <v>Matt Shelton</v>
      </c>
      <c r="B1726" s="19" t="str">
        <f>IFERROR(__xludf.DUMMYFUNCTION("""COMPUTED_VALUE"""),"QLD")</f>
        <v>QLD</v>
      </c>
      <c r="C1726" s="5" t="str">
        <f>IFERROR(__xludf.DUMMYFUNCTION("""COMPUTED_VALUE"""),"Elanora")</f>
        <v>Elanora</v>
      </c>
      <c r="D1726" s="5" t="str">
        <f>IFERROR(__xludf.DUMMYFUNCTION("""COMPUTED_VALUE"""),"3/12 Cupania Place Elanora QLD 4221")</f>
        <v>3/12 Cupania Place Elanora QLD 4221</v>
      </c>
      <c r="E1726" s="5" t="str">
        <f>IFERROR(__xludf.DUMMYFUNCTION("""COMPUTED_VALUE"""),"19/11/2025")</f>
        <v>19/11/2025</v>
      </c>
      <c r="F1726" s="5">
        <f>IFERROR(__xludf.DUMMYFUNCTION("""COMPUTED_VALUE"""),8.0)</f>
        <v>8</v>
      </c>
      <c r="G1726" s="19" t="str">
        <f>IFERROR(__xludf.DUMMYFUNCTION("""COMPUTED_VALUE"""),"Instant Forms")</f>
        <v>Instant Forms</v>
      </c>
      <c r="H1726" s="19" t="str">
        <f>IFERROR(__xludf.DUMMYFUNCTION("""COMPUTED_VALUE"""),"Adam Dawes")</f>
        <v>Adam Dawes</v>
      </c>
      <c r="I1726" s="62">
        <f>IFERROR(__xludf.DUMMYFUNCTION("""COMPUTED_VALUE"""),6.1401221216E10)</f>
        <v>61401221216</v>
      </c>
      <c r="J1726" s="19" t="str">
        <f>IFERROR(__xludf.DUMMYFUNCTION("""COMPUTED_VALUE"""),"ajdawes@yahoo.com.au")</f>
        <v>ajdawes@yahoo.com.au</v>
      </c>
    </row>
    <row r="1727">
      <c r="A1727" s="19" t="str">
        <f>IFERROR(__xludf.DUMMYFUNCTION("""COMPUTED_VALUE"""),"Matt Shelton")</f>
        <v>Matt Shelton</v>
      </c>
      <c r="B1727" s="19" t="str">
        <f>IFERROR(__xludf.DUMMYFUNCTION("""COMPUTED_VALUE"""),"QLD")</f>
        <v>QLD</v>
      </c>
      <c r="C1727" s="5" t="str">
        <f>IFERROR(__xludf.DUMMYFUNCTION("""COMPUTED_VALUE"""),"Runaway Bay")</f>
        <v>Runaway Bay</v>
      </c>
      <c r="D1727" s="5" t="str">
        <f>IFERROR(__xludf.DUMMYFUNCTION("""COMPUTED_VALUE"""),"48 Deagon Drive, Runaway Bay, QLD, 4216, Australia")</f>
        <v>48 Deagon Drive, Runaway Bay, QLD, 4216, Australia</v>
      </c>
      <c r="E1727" s="5" t="str">
        <f>IFERROR(__xludf.DUMMYFUNCTION("""COMPUTED_VALUE"""),"19/11/2025")</f>
        <v>19/11/2025</v>
      </c>
      <c r="F1727" s="5" t="str">
        <f>IFERROR(__xludf.DUMMYFUNCTION("""COMPUTED_VALUE"""),"Featured")</f>
        <v>Featured</v>
      </c>
      <c r="G1727" s="19" t="str">
        <f>IFERROR(__xludf.DUMMYFUNCTION("""COMPUTED_VALUE"""),"Commission Comparison")</f>
        <v>Commission Comparison</v>
      </c>
      <c r="H1727" s="19" t="str">
        <f>IFERROR(__xludf.DUMMYFUNCTION("""COMPUTED_VALUE"""),"Julie Mauger")</f>
        <v>Julie Mauger</v>
      </c>
      <c r="I1727" s="62">
        <f>IFERROR(__xludf.DUMMYFUNCTION("""COMPUTED_VALUE"""),6.1404868923E10)</f>
        <v>61404868923</v>
      </c>
      <c r="J1727" s="19" t="str">
        <f>IFERROR(__xludf.DUMMYFUNCTION("""COMPUTED_VALUE"""),"julie.mauger@bigpond.com")</f>
        <v>julie.mauger@bigpond.com</v>
      </c>
    </row>
    <row r="1728">
      <c r="A1728" s="19" t="str">
        <f>IFERROR(__xludf.DUMMYFUNCTION("""COMPUTED_VALUE"""),"Matt Shelton")</f>
        <v>Matt Shelton</v>
      </c>
      <c r="B1728" s="19" t="str">
        <f>IFERROR(__xludf.DUMMYFUNCTION("""COMPUTED_VALUE"""),"QLD")</f>
        <v>QLD</v>
      </c>
      <c r="C1728" s="5" t="str">
        <f>IFERROR(__xludf.DUMMYFUNCTION("""COMPUTED_VALUE"""),"Robina")</f>
        <v>Robina</v>
      </c>
      <c r="D1728" s="5" t="str">
        <f>IFERROR(__xludf.DUMMYFUNCTION("""COMPUTED_VALUE"""),"17 Mikado Way Robina QLD 4226")</f>
        <v>17 Mikado Way Robina QLD 4226</v>
      </c>
      <c r="E1728" s="5" t="str">
        <f>IFERROR(__xludf.DUMMYFUNCTION("""COMPUTED_VALUE"""),"19/11/2025")</f>
        <v>19/11/2025</v>
      </c>
      <c r="F1728" s="5" t="str">
        <f>IFERROR(__xludf.DUMMYFUNCTION("""COMPUTED_VALUE"""),"Featured")</f>
        <v>Featured</v>
      </c>
      <c r="G1728" s="19" t="str">
        <f>IFERROR(__xludf.DUMMYFUNCTION("""COMPUTED_VALUE"""),"Meta Commission Report")</f>
        <v>Meta Commission Report</v>
      </c>
      <c r="H1728" s="19" t="str">
        <f>IFERROR(__xludf.DUMMYFUNCTION("""COMPUTED_VALUE"""),"Annie Cook")</f>
        <v>Annie Cook</v>
      </c>
      <c r="I1728" s="62">
        <f>IFERROR(__xludf.DUMMYFUNCTION("""COMPUTED_VALUE"""),6.1402502735E10)</f>
        <v>61402502735</v>
      </c>
      <c r="J1728" s="19" t="str">
        <f>IFERROR(__xludf.DUMMYFUNCTION("""COMPUTED_VALUE"""),"Kuuipo@hotmail.com.au")</f>
        <v>Kuuipo@hotmail.com.au</v>
      </c>
    </row>
    <row r="1729">
      <c r="A1729" s="19" t="str">
        <f>IFERROR(__xludf.DUMMYFUNCTION("""COMPUTED_VALUE"""),"Matt Shelton")</f>
        <v>Matt Shelton</v>
      </c>
      <c r="B1729" s="19" t="str">
        <f>IFERROR(__xludf.DUMMYFUNCTION("""COMPUTED_VALUE"""),"QLD")</f>
        <v>QLD</v>
      </c>
      <c r="C1729" s="5" t="str">
        <f>IFERROR(__xludf.DUMMYFUNCTION("""COMPUTED_VALUE"""),"Elanora")</f>
        <v>Elanora</v>
      </c>
      <c r="D1729" s="5" t="str">
        <f>IFERROR(__xludf.DUMMYFUNCTION("""COMPUTED_VALUE"""),"3 Hovea Court Elanora QLD 4221")</f>
        <v>3 Hovea Court Elanora QLD 4221</v>
      </c>
      <c r="E1729" s="5" t="str">
        <f>IFERROR(__xludf.DUMMYFUNCTION("""COMPUTED_VALUE"""),"20/11/2025")</f>
        <v>20/11/2025</v>
      </c>
      <c r="F1729" s="5">
        <f>IFERROR(__xludf.DUMMYFUNCTION("""COMPUTED_VALUE"""),8.0)</f>
        <v>8</v>
      </c>
      <c r="G1729" s="19" t="str">
        <f>IFERROR(__xludf.DUMMYFUNCTION("""COMPUTED_VALUE"""),"Instant Forms")</f>
        <v>Instant Forms</v>
      </c>
      <c r="H1729" s="19" t="str">
        <f>IFERROR(__xludf.DUMMYFUNCTION("""COMPUTED_VALUE"""),"Margaret Rose Best")</f>
        <v>Margaret Rose Best</v>
      </c>
      <c r="I1729" s="62">
        <f>IFERROR(__xludf.DUMMYFUNCTION("""COMPUTED_VALUE"""),6.1452411499E10)</f>
        <v>61452411499</v>
      </c>
      <c r="J1729" s="19" t="str">
        <f>IFERROR(__xludf.DUMMYFUNCTION("""COMPUTED_VALUE"""),"margaret.best1948@icloud.com")</f>
        <v>margaret.best1948@icloud.com</v>
      </c>
    </row>
    <row r="1730">
      <c r="A1730" s="19" t="str">
        <f>IFERROR(__xludf.DUMMYFUNCTION("""COMPUTED_VALUE"""),"Matt Shelton")</f>
        <v>Matt Shelton</v>
      </c>
      <c r="B1730" s="19" t="str">
        <f>IFERROR(__xludf.DUMMYFUNCTION("""COMPUTED_VALUE"""),"QLD")</f>
        <v>QLD</v>
      </c>
      <c r="C1730" s="5" t="str">
        <f>IFERROR(__xludf.DUMMYFUNCTION("""COMPUTED_VALUE"""),"Labrador")</f>
        <v>Labrador</v>
      </c>
      <c r="D1730" s="5" t="str">
        <f>IFERROR(__xludf.DUMMYFUNCTION("""COMPUTED_VALUE"""),"372 Matine pde, Labrador, 4215")</f>
        <v>372 Matine pde, Labrador, 4215</v>
      </c>
      <c r="E1730" s="5" t="str">
        <f>IFERROR(__xludf.DUMMYFUNCTION("""COMPUTED_VALUE"""),"21/11/2025")</f>
        <v>21/11/2025</v>
      </c>
      <c r="F1730" s="5" t="str">
        <f>IFERROR(__xludf.DUMMYFUNCTION("""COMPUTED_VALUE"""),"Featured")</f>
        <v>Featured</v>
      </c>
      <c r="G1730" s="19" t="str">
        <f>IFERROR(__xludf.DUMMYFUNCTION("""COMPUTED_VALUE"""),"Meta Commission Report")</f>
        <v>Meta Commission Report</v>
      </c>
      <c r="H1730" s="19" t="str">
        <f>IFERROR(__xludf.DUMMYFUNCTION("""COMPUTED_VALUE"""),"Louise Bennett")</f>
        <v>Louise Bennett</v>
      </c>
      <c r="I1730" s="62">
        <f>IFERROR(__xludf.DUMMYFUNCTION("""COMPUTED_VALUE"""),6.1423686395E10)</f>
        <v>61423686395</v>
      </c>
      <c r="J1730" s="19" t="str">
        <f>IFERROR(__xludf.DUMMYFUNCTION("""COMPUTED_VALUE"""),"Louisebennett3001@gmail.com")</f>
        <v>Louisebennett3001@gmail.com</v>
      </c>
    </row>
    <row r="1731">
      <c r="A1731" s="19" t="str">
        <f>IFERROR(__xludf.DUMMYFUNCTION("""COMPUTED_VALUE"""),"Matt Shelton")</f>
        <v>Matt Shelton</v>
      </c>
      <c r="B1731" s="19" t="str">
        <f>IFERROR(__xludf.DUMMYFUNCTION("""COMPUTED_VALUE"""),"QLD")</f>
        <v>QLD</v>
      </c>
      <c r="C1731" s="5" t="str">
        <f>IFERROR(__xludf.DUMMYFUNCTION("""COMPUTED_VALUE"""),"Labrador")</f>
        <v>Labrador</v>
      </c>
      <c r="D1731" s="5" t="str">
        <f>IFERROR(__xludf.DUMMYFUNCTION("""COMPUTED_VALUE"""),"42 Greenacre Dr, Labrador, 4215")</f>
        <v>42 Greenacre Dr, Labrador, 4215</v>
      </c>
      <c r="E1731" s="5" t="str">
        <f>IFERROR(__xludf.DUMMYFUNCTION("""COMPUTED_VALUE"""),"22/11/2025")</f>
        <v>22/11/2025</v>
      </c>
      <c r="F1731" s="5" t="str">
        <f>IFERROR(__xludf.DUMMYFUNCTION("""COMPUTED_VALUE"""),"Featured")</f>
        <v>Featured</v>
      </c>
      <c r="G1731" s="19" t="str">
        <f>IFERROR(__xludf.DUMMYFUNCTION("""COMPUTED_VALUE"""),"Meta Commission Report")</f>
        <v>Meta Commission Report</v>
      </c>
      <c r="H1731" s="19" t="str">
        <f>IFERROR(__xludf.DUMMYFUNCTION("""COMPUTED_VALUE"""),"Diane Smith")</f>
        <v>Diane Smith</v>
      </c>
      <c r="I1731" s="62">
        <f>IFERROR(__xludf.DUMMYFUNCTION("""COMPUTED_VALUE"""),6.1404604787E10)</f>
        <v>61404604787</v>
      </c>
      <c r="J1731" s="19" t="str">
        <f>IFERROR(__xludf.DUMMYFUNCTION("""COMPUTED_VALUE"""),"diane_08@live.com.au")</f>
        <v>diane_08@live.com.au</v>
      </c>
    </row>
    <row r="1732">
      <c r="A1732" s="19" t="str">
        <f>IFERROR(__xludf.DUMMYFUNCTION("""COMPUTED_VALUE"""),"Matt Shelton")</f>
        <v>Matt Shelton</v>
      </c>
      <c r="B1732" s="19" t="str">
        <f>IFERROR(__xludf.DUMMYFUNCTION("""COMPUTED_VALUE"""),"QLD")</f>
        <v>QLD</v>
      </c>
      <c r="C1732" s="5" t="str">
        <f>IFERROR(__xludf.DUMMYFUNCTION("""COMPUTED_VALUE"""),"Merrimac")</f>
        <v>Merrimac</v>
      </c>
      <c r="D1732" s="5" t="str">
        <f>IFERROR(__xludf.DUMMYFUNCTION("""COMPUTED_VALUE"""),"25 County Lane, Merrimac, 4226, Merrimac, 4226")</f>
        <v>25 County Lane, Merrimac, 4226, Merrimac, 4226</v>
      </c>
      <c r="E1732" s="5" t="str">
        <f>IFERROR(__xludf.DUMMYFUNCTION("""COMPUTED_VALUE"""),"23/11/2025")</f>
        <v>23/11/2025</v>
      </c>
      <c r="F1732" s="5" t="str">
        <f>IFERROR(__xludf.DUMMYFUNCTION("""COMPUTED_VALUE"""),"Featured")</f>
        <v>Featured</v>
      </c>
      <c r="G1732" s="19" t="str">
        <f>IFERROR(__xludf.DUMMYFUNCTION("""COMPUTED_VALUE"""),"Meta Commission Report")</f>
        <v>Meta Commission Report</v>
      </c>
      <c r="H1732" s="19" t="str">
        <f>IFERROR(__xludf.DUMMYFUNCTION("""COMPUTED_VALUE"""),"Mary Galagher")</f>
        <v>Mary Galagher</v>
      </c>
      <c r="I1732" s="62">
        <f>IFERROR(__xludf.DUMMYFUNCTION("""COMPUTED_VALUE"""),6.1490028561E10)</f>
        <v>61490028561</v>
      </c>
      <c r="J1732" s="19" t="str">
        <f>IFERROR(__xludf.DUMMYFUNCTION("""COMPUTED_VALUE"""),"mgalagher@gmail.com")</f>
        <v>mgalagher@gmail.com</v>
      </c>
    </row>
    <row r="1733">
      <c r="A1733" s="19" t="str">
        <f>IFERROR(__xludf.DUMMYFUNCTION("""COMPUTED_VALUE"""),"Matt Shelton")</f>
        <v>Matt Shelton</v>
      </c>
      <c r="B1733" s="19" t="str">
        <f>IFERROR(__xludf.DUMMYFUNCTION("""COMPUTED_VALUE"""),"QLD")</f>
        <v>QLD</v>
      </c>
      <c r="C1733" s="5" t="str">
        <f>IFERROR(__xludf.DUMMYFUNCTION("""COMPUTED_VALUE"""),"Labrador")</f>
        <v>Labrador</v>
      </c>
      <c r="D1733" s="5" t="str">
        <f>IFERROR(__xludf.DUMMYFUNCTION("""COMPUTED_VALUE"""),"42 Greenacre Dr, Labrador, 4215, Labrador, 4215")</f>
        <v>42 Greenacre Dr, Labrador, 4215, Labrador, 4215</v>
      </c>
      <c r="E1733" s="5" t="str">
        <f>IFERROR(__xludf.DUMMYFUNCTION("""COMPUTED_VALUE"""),"23/11/2025")</f>
        <v>23/11/2025</v>
      </c>
      <c r="F1733" s="5" t="str">
        <f>IFERROR(__xludf.DUMMYFUNCTION("""COMPUTED_VALUE"""),"Featured")</f>
        <v>Featured</v>
      </c>
      <c r="G1733" s="19" t="str">
        <f>IFERROR(__xludf.DUMMYFUNCTION("""COMPUTED_VALUE"""),"Meta Commission Report")</f>
        <v>Meta Commission Report</v>
      </c>
      <c r="H1733" s="19" t="str">
        <f>IFERROR(__xludf.DUMMYFUNCTION("""COMPUTED_VALUE"""),"Diane Smith")</f>
        <v>Diane Smith</v>
      </c>
      <c r="I1733" s="62">
        <f>IFERROR(__xludf.DUMMYFUNCTION("""COMPUTED_VALUE"""),6.1404604787E10)</f>
        <v>61404604787</v>
      </c>
      <c r="J1733" s="19" t="str">
        <f>IFERROR(__xludf.DUMMYFUNCTION("""COMPUTED_VALUE"""),"diane_08@live.com.au")</f>
        <v>diane_08@live.com.au</v>
      </c>
    </row>
    <row r="1734">
      <c r="A1734" s="19" t="str">
        <f>IFERROR(__xludf.DUMMYFUNCTION("""COMPUTED_VALUE"""),"Matt Shelton")</f>
        <v>Matt Shelton</v>
      </c>
      <c r="B1734" s="19" t="str">
        <f>IFERROR(__xludf.DUMMYFUNCTION("""COMPUTED_VALUE"""),"QLD")</f>
        <v>QLD</v>
      </c>
      <c r="C1734" s="5" t="str">
        <f>IFERROR(__xludf.DUMMYFUNCTION("""COMPUTED_VALUE"""),"Varsity Lakes")</f>
        <v>Varsity Lakes</v>
      </c>
      <c r="D1734" s="5" t="str">
        <f>IFERROR(__xludf.DUMMYFUNCTION("""COMPUTED_VALUE"""),"2 Amorette Avenue, Varsity Lakes, 4227")</f>
        <v>2 Amorette Avenue, Varsity Lakes, 4227</v>
      </c>
      <c r="E1734" s="5" t="str">
        <f>IFERROR(__xludf.DUMMYFUNCTION("""COMPUTED_VALUE"""),"25/11/2025")</f>
        <v>25/11/2025</v>
      </c>
      <c r="F1734" s="5" t="str">
        <f>IFERROR(__xludf.DUMMYFUNCTION("""COMPUTED_VALUE"""),"Featured")</f>
        <v>Featured</v>
      </c>
      <c r="G1734" s="19" t="str">
        <f>IFERROR(__xludf.DUMMYFUNCTION("""COMPUTED_VALUE"""),"Meta Commission Report")</f>
        <v>Meta Commission Report</v>
      </c>
      <c r="H1734" s="19" t="str">
        <f>IFERROR(__xludf.DUMMYFUNCTION("""COMPUTED_VALUE"""),"John Palmer")</f>
        <v>John Palmer</v>
      </c>
      <c r="I1734" s="62">
        <f>IFERROR(__xludf.DUMMYFUNCTION("""COMPUTED_VALUE"""),6.1414735766E10)</f>
        <v>61414735766</v>
      </c>
      <c r="J1734" s="19" t="str">
        <f>IFERROR(__xludf.DUMMYFUNCTION("""COMPUTED_VALUE"""),"johnmichaelpalmer77@gmail.com")</f>
        <v>johnmichaelpalmer77@gmail.com</v>
      </c>
    </row>
    <row r="1735">
      <c r="A1735" s="19" t="str">
        <f>IFERROR(__xludf.DUMMYFUNCTION("""COMPUTED_VALUE"""),"Matt Shelton")</f>
        <v>Matt Shelton</v>
      </c>
      <c r="B1735" s="19" t="str">
        <f>IFERROR(__xludf.DUMMYFUNCTION("""COMPUTED_VALUE"""),"QLD")</f>
        <v>QLD</v>
      </c>
      <c r="C1735" s="5" t="str">
        <f>IFERROR(__xludf.DUMMYFUNCTION("""COMPUTED_VALUE"""),"Miami")</f>
        <v>Miami</v>
      </c>
      <c r="D1735" s="5" t="str">
        <f>IFERROR(__xludf.DUMMYFUNCTION("""COMPUTED_VALUE"""),"31/1 Great Hall Drive Miami QLD 4220")</f>
        <v>31/1 Great Hall Drive Miami QLD 4220</v>
      </c>
      <c r="E1735" s="5" t="str">
        <f>IFERROR(__xludf.DUMMYFUNCTION("""COMPUTED_VALUE"""),"26/11/2025")</f>
        <v>26/11/2025</v>
      </c>
      <c r="F1735" s="5">
        <f>IFERROR(__xludf.DUMMYFUNCTION("""COMPUTED_VALUE"""),8.0)</f>
        <v>8</v>
      </c>
      <c r="G1735" s="19" t="str">
        <f>IFERROR(__xludf.DUMMYFUNCTION("""COMPUTED_VALUE"""),"Instant Forms")</f>
        <v>Instant Forms</v>
      </c>
      <c r="H1735" s="19" t="str">
        <f>IFERROR(__xludf.DUMMYFUNCTION("""COMPUTED_VALUE"""),"Di Collins")</f>
        <v>Di Collins</v>
      </c>
      <c r="I1735" s="62">
        <f>IFERROR(__xludf.DUMMYFUNCTION("""COMPUTED_VALUE"""),6.1432703467E10)</f>
        <v>61432703467</v>
      </c>
      <c r="J1735" s="19" t="str">
        <f>IFERROR(__xludf.DUMMYFUNCTION("""COMPUTED_VALUE"""),"too_di_4@hotmail.com")</f>
        <v>too_di_4@hotmail.com</v>
      </c>
    </row>
    <row r="1736">
      <c r="A1736" s="19" t="str">
        <f>IFERROR(__xludf.DUMMYFUNCTION("""COMPUTED_VALUE"""),"Matt Shelton")</f>
        <v>Matt Shelton</v>
      </c>
      <c r="B1736" s="19" t="str">
        <f>IFERROR(__xludf.DUMMYFUNCTION("""COMPUTED_VALUE"""),"QLD")</f>
        <v>QLD</v>
      </c>
      <c r="C1736" s="5" t="str">
        <f>IFERROR(__xludf.DUMMYFUNCTION("""COMPUTED_VALUE"""),"Burleigh Heads")</f>
        <v>Burleigh Heads</v>
      </c>
      <c r="D1736" s="5" t="str">
        <f>IFERROR(__xludf.DUMMYFUNCTION("""COMPUTED_VALUE"""),"1/15 Cedar Court Burleigh Heads QLD 4220")</f>
        <v>1/15 Cedar Court Burleigh Heads QLD 4220</v>
      </c>
      <c r="E1736" s="5" t="str">
        <f>IFERROR(__xludf.DUMMYFUNCTION("""COMPUTED_VALUE"""),"26/11/2025")</f>
        <v>26/11/2025</v>
      </c>
      <c r="F1736" s="5" t="str">
        <f>IFERROR(__xludf.DUMMYFUNCTION("""COMPUTED_VALUE"""),"Featured")</f>
        <v>Featured</v>
      </c>
      <c r="G1736" s="19" t="str">
        <f>IFERROR(__xludf.DUMMYFUNCTION("""COMPUTED_VALUE"""),"Commission Comparison")</f>
        <v>Commission Comparison</v>
      </c>
      <c r="H1736" s="19" t="str">
        <f>IFERROR(__xludf.DUMMYFUNCTION("""COMPUTED_VALUE"""),"Michele Jones")</f>
        <v>Michele Jones</v>
      </c>
      <c r="I1736" s="62">
        <f>IFERROR(__xludf.DUMMYFUNCTION("""COMPUTED_VALUE"""),6.1413549378E10)</f>
        <v>61413549378</v>
      </c>
      <c r="J1736" s="19" t="str">
        <f>IFERROR(__xludf.DUMMYFUNCTION("""COMPUTED_VALUE"""),"scottmichele9@hotmail.com")</f>
        <v>scottmichele9@hotmail.com</v>
      </c>
    </row>
    <row r="1737">
      <c r="A1737" s="19" t="str">
        <f>IFERROR(__xludf.DUMMYFUNCTION("""COMPUTED_VALUE"""),"Matt Shelton")</f>
        <v>Matt Shelton</v>
      </c>
      <c r="B1737" s="19" t="str">
        <f>IFERROR(__xludf.DUMMYFUNCTION("""COMPUTED_VALUE"""),"QLD")</f>
        <v>QLD</v>
      </c>
      <c r="C1737" s="5" t="str">
        <f>IFERROR(__xludf.DUMMYFUNCTION("""COMPUTED_VALUE"""),"Robina")</f>
        <v>Robina</v>
      </c>
      <c r="D1737" s="5" t="str">
        <f>IFERROR(__xludf.DUMMYFUNCTION("""COMPUTED_VALUE"""),"88 Glen Eagles Drive Robina QLD 4226")</f>
        <v>88 Glen Eagles Drive Robina QLD 4226</v>
      </c>
      <c r="E1737" s="5" t="str">
        <f>IFERROR(__xludf.DUMMYFUNCTION("""COMPUTED_VALUE"""),"28/11/2025")</f>
        <v>28/11/2025</v>
      </c>
      <c r="F1737" s="64">
        <f>IFERROR(__xludf.DUMMYFUNCTION("""COMPUTED_VALUE"""),0.2)</f>
        <v>0.2</v>
      </c>
      <c r="G1737" s="19" t="str">
        <f>IFERROR(__xludf.DUMMYFUNCTION("""COMPUTED_VALUE"""),"Instant Forms")</f>
        <v>Instant Forms</v>
      </c>
      <c r="H1737" s="19" t="str">
        <f>IFERROR(__xludf.DUMMYFUNCTION("""COMPUTED_VALUE"""),"Caryn Ward")</f>
        <v>Caryn Ward</v>
      </c>
      <c r="I1737" s="62">
        <f>IFERROR(__xludf.DUMMYFUNCTION("""COMPUTED_VALUE"""),6.1422552811E10)</f>
        <v>61422552811</v>
      </c>
      <c r="J1737" s="19" t="str">
        <f>IFERROR(__xludf.DUMMYFUNCTION("""COMPUTED_VALUE"""),"caryn.ward61@gmail.com")</f>
        <v>caryn.ward61@gmail.com</v>
      </c>
    </row>
    <row r="1738">
      <c r="A1738" s="19" t="str">
        <f>IFERROR(__xludf.DUMMYFUNCTION("""COMPUTED_VALUE"""),"Matt Shelton")</f>
        <v>Matt Shelton</v>
      </c>
      <c r="B1738" s="19" t="str">
        <f>IFERROR(__xludf.DUMMYFUNCTION("""COMPUTED_VALUE"""),"QLD")</f>
        <v>QLD</v>
      </c>
      <c r="C1738" s="5" t="str">
        <f>IFERROR(__xludf.DUMMYFUNCTION("""COMPUTED_VALUE"""),"Mudgeeraba")</f>
        <v>Mudgeeraba</v>
      </c>
      <c r="D1738" s="5" t="str">
        <f>IFERROR(__xludf.DUMMYFUNCTION("""COMPUTED_VALUE"""),"8 Madeline Street Mudgeeraba QLD 4213")</f>
        <v>8 Madeline Street Mudgeeraba QLD 4213</v>
      </c>
      <c r="E1738" s="5" t="str">
        <f>IFERROR(__xludf.DUMMYFUNCTION("""COMPUTED_VALUE"""),"28/11/2025")</f>
        <v>28/11/2025</v>
      </c>
      <c r="F1738" s="64">
        <f>IFERROR(__xludf.DUMMYFUNCTION("""COMPUTED_VALUE"""),0.2)</f>
        <v>0.2</v>
      </c>
      <c r="G1738" s="19" t="str">
        <f>IFERROR(__xludf.DUMMYFUNCTION("""COMPUTED_VALUE"""),"Instant Forms")</f>
        <v>Instant Forms</v>
      </c>
      <c r="H1738" s="19" t="str">
        <f>IFERROR(__xludf.DUMMYFUNCTION("""COMPUTED_VALUE"""),"Shakey Lake")</f>
        <v>Shakey Lake</v>
      </c>
      <c r="I1738" s="62">
        <f>IFERROR(__xludf.DUMMYFUNCTION("""COMPUTED_VALUE"""),6.1411742539E10)</f>
        <v>61411742539</v>
      </c>
      <c r="J1738" s="19" t="str">
        <f>IFERROR(__xludf.DUMMYFUNCTION("""COMPUTED_VALUE"""),"shakey49@optusnet.com")</f>
        <v>shakey49@optusnet.com</v>
      </c>
    </row>
    <row r="1739">
      <c r="A1739" s="19" t="str">
        <f>IFERROR(__xludf.DUMMYFUNCTION("""COMPUTED_VALUE"""),"Matt Shelton")</f>
        <v>Matt Shelton</v>
      </c>
      <c r="B1739" s="19" t="str">
        <f>IFERROR(__xludf.DUMMYFUNCTION("""COMPUTED_VALUE"""),"QLD")</f>
        <v>QLD</v>
      </c>
      <c r="C1739" s="5" t="str">
        <f>IFERROR(__xludf.DUMMYFUNCTION("""COMPUTED_VALUE"""),"Broadbeach Waters")</f>
        <v>Broadbeach Waters</v>
      </c>
      <c r="D1739" s="5" t="str">
        <f>IFERROR(__xludf.DUMMYFUNCTION("""COMPUTED_VALUE"""),"13 Meredith Dr")</f>
        <v>13 Meredith Dr</v>
      </c>
      <c r="E1739" s="27">
        <f>IFERROR(__xludf.DUMMYFUNCTION("""COMPUTED_VALUE"""),45669.0)</f>
        <v>45669</v>
      </c>
      <c r="F1739" s="64">
        <f>IFERROR(__xludf.DUMMYFUNCTION("""COMPUTED_VALUE"""),0.2)</f>
        <v>0.2</v>
      </c>
      <c r="G1739" s="19" t="str">
        <f>IFERROR(__xludf.DUMMYFUNCTION("""COMPUTED_VALUE"""),"Commission Comparison")</f>
        <v>Commission Comparison</v>
      </c>
      <c r="H1739" s="19" t="str">
        <f>IFERROR(__xludf.DUMMYFUNCTION("""COMPUTED_VALUE"""),"Shaun Greenland")</f>
        <v>Shaun Greenland</v>
      </c>
      <c r="I1739" s="62">
        <f>IFERROR(__xludf.DUMMYFUNCTION("""COMPUTED_VALUE"""),6.1413451955E10)</f>
        <v>61413451955</v>
      </c>
      <c r="J1739" s="19" t="str">
        <f>IFERROR(__xludf.DUMMYFUNCTION("""COMPUTED_VALUE"""),"sgbuilders01@gmail.com")</f>
        <v>sgbuilders01@gmail.com</v>
      </c>
    </row>
    <row r="1740">
      <c r="A1740" s="19" t="str">
        <f>IFERROR(__xludf.DUMMYFUNCTION("""COMPUTED_VALUE"""),"Matt Shelton")</f>
        <v>Matt Shelton</v>
      </c>
      <c r="B1740" s="19" t="str">
        <f>IFERROR(__xludf.DUMMYFUNCTION("""COMPUTED_VALUE"""),"QLD")</f>
        <v>QLD</v>
      </c>
      <c r="C1740" s="5">
        <f>IFERROR(__xludf.DUMMYFUNCTION("""COMPUTED_VALUE"""),4217.0)</f>
        <v>4217</v>
      </c>
      <c r="D1740" s="5"/>
      <c r="E1740" s="27">
        <f>IFERROR(__xludf.DUMMYFUNCTION("""COMPUTED_VALUE"""),45728.0)</f>
        <v>45728</v>
      </c>
      <c r="F1740" s="64">
        <f>IFERROR(__xludf.DUMMYFUNCTION("""COMPUTED_VALUE"""),0.0)</f>
        <v>0</v>
      </c>
      <c r="G1740" s="19" t="str">
        <f>IFERROR(__xludf.DUMMYFUNCTION("""COMPUTED_VALUE"""),"Instant Forms")</f>
        <v>Instant Forms</v>
      </c>
      <c r="H1740" s="19" t="str">
        <f>IFERROR(__xludf.DUMMYFUNCTION("""COMPUTED_VALUE"""),"Elizabeth Morrisby")</f>
        <v>Elizabeth Morrisby</v>
      </c>
      <c r="I1740" s="62">
        <f>IFERROR(__xludf.DUMMYFUNCTION("""COMPUTED_VALUE"""),6.1419843543E10)</f>
        <v>61419843543</v>
      </c>
      <c r="J1740" s="19" t="str">
        <f>IFERROR(__xludf.DUMMYFUNCTION("""COMPUTED_VALUE"""),"emorrisb@bigpond.com")</f>
        <v>emorrisb@bigpond.com</v>
      </c>
    </row>
    <row r="1741">
      <c r="A1741" s="19" t="str">
        <f>IFERROR(__xludf.DUMMYFUNCTION("""COMPUTED_VALUE"""),"Matt Shelton")</f>
        <v>Matt Shelton</v>
      </c>
      <c r="B1741" s="19" t="str">
        <f>IFERROR(__xludf.DUMMYFUNCTION("""COMPUTED_VALUE"""),"QLD")</f>
        <v>QLD</v>
      </c>
      <c r="C1741" s="5" t="str">
        <f>IFERROR(__xludf.DUMMYFUNCTION("""COMPUTED_VALUE"""),"Elanora")</f>
        <v>Elanora</v>
      </c>
      <c r="D1741" s="5" t="str">
        <f>IFERROR(__xludf.DUMMYFUNCTION("""COMPUTED_VALUE"""),"3 / 32 Darnel Street, Elanora, QLD, 4221, Australia")</f>
        <v>3 / 32 Darnel Street, Elanora, QLD, 4221, Australia</v>
      </c>
      <c r="E1741" s="27">
        <f>IFERROR(__xludf.DUMMYFUNCTION("""COMPUTED_VALUE"""),45728.0)</f>
        <v>45728</v>
      </c>
      <c r="F1741" s="64">
        <f>IFERROR(__xludf.DUMMYFUNCTION("""COMPUTED_VALUE"""),0.2)</f>
        <v>0.2</v>
      </c>
      <c r="G1741" s="19" t="str">
        <f>IFERROR(__xludf.DUMMYFUNCTION("""COMPUTED_VALUE"""),"Commission Comparison")</f>
        <v>Commission Comparison</v>
      </c>
      <c r="H1741" s="19" t="str">
        <f>IFERROR(__xludf.DUMMYFUNCTION("""COMPUTED_VALUE"""),"Juanita Murphy")</f>
        <v>Juanita Murphy</v>
      </c>
      <c r="I1741" s="62">
        <f>IFERROR(__xludf.DUMMYFUNCTION("""COMPUTED_VALUE"""),6.10417642084E11)</f>
        <v>610417642084</v>
      </c>
      <c r="J1741" s="19" t="str">
        <f>IFERROR(__xludf.DUMMYFUNCTION("""COMPUTED_VALUE"""),"jmcaskill1@hotmail.com")</f>
        <v>jmcaskill1@hotmail.com</v>
      </c>
    </row>
    <row r="1742">
      <c r="A1742" s="19" t="str">
        <f>IFERROR(__xludf.DUMMYFUNCTION("""COMPUTED_VALUE"""),"Matt Shelton")</f>
        <v>Matt Shelton</v>
      </c>
      <c r="B1742" s="19" t="str">
        <f>IFERROR(__xludf.DUMMYFUNCTION("""COMPUTED_VALUE"""),"QLD")</f>
        <v>QLD</v>
      </c>
      <c r="C1742" s="5" t="str">
        <f>IFERROR(__xludf.DUMMYFUNCTION("""COMPUTED_VALUE"""),"replace(replace(replace(trim(65 Glen Eagles Drive Robina QLD 4226); /,/g; "" ""); /\s+/g; "" ""); /.\b(?:avenue|ave|boulevard|blvd|bvd|circuit|cct|close|cl|court|ct|crescent|cres|drive|dr|esplanade|esp|grove|gr|highway|hwy|lane|ln|laneway|lnwy|parade|pde|"&amp;"place|pl|promenade|prom|road|rd|row|ro|street|st|terrace|tce|way|wy)\b\s+(.+?)\s+(NSW|QLD|VIC|WA|SA|TAS|ACT|NT)\s+\d{4}\b.$/i; ""$1"")")</f>
        <v>replace(replace(replace(trim(65 Glen Eagles Drive Robina QLD 4226);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742" s="5" t="str">
        <f>IFERROR(__xludf.DUMMYFUNCTION("""COMPUTED_VALUE"""),"65 Glen Eagles Drive Robina QLD 4226")</f>
        <v>65 Glen Eagles Drive Robina QLD 4226</v>
      </c>
      <c r="E1742" s="27">
        <f>IFERROR(__xludf.DUMMYFUNCTION("""COMPUTED_VALUE"""),45759.0)</f>
        <v>45759</v>
      </c>
      <c r="F1742" s="64">
        <f>IFERROR(__xludf.DUMMYFUNCTION("""COMPUTED_VALUE"""),0.2)</f>
        <v>0.2</v>
      </c>
      <c r="G1742" s="19" t="str">
        <f>IFERROR(__xludf.DUMMYFUNCTION("""COMPUTED_VALUE"""),"Instant Forms")</f>
        <v>Instant Forms</v>
      </c>
      <c r="H1742" s="19" t="str">
        <f>IFERROR(__xludf.DUMMYFUNCTION("""COMPUTED_VALUE"""),"Tony Lloyd")</f>
        <v>Tony Lloyd</v>
      </c>
      <c r="I1742" s="62">
        <f>IFERROR(__xludf.DUMMYFUNCTION("""COMPUTED_VALUE"""),6.1403118932E10)</f>
        <v>61403118932</v>
      </c>
      <c r="J1742" s="19" t="str">
        <f>IFERROR(__xludf.DUMMYFUNCTION("""COMPUTED_VALUE"""),"tony6and1@gmail.com")</f>
        <v>tony6and1@gmail.com</v>
      </c>
    </row>
    <row r="1743">
      <c r="A1743" s="19" t="str">
        <f>IFERROR(__xludf.DUMMYFUNCTION("""COMPUTED_VALUE"""),"Matt Shelton")</f>
        <v>Matt Shelton</v>
      </c>
      <c r="B1743" s="19" t="str">
        <f>IFERROR(__xludf.DUMMYFUNCTION("""COMPUTED_VALUE"""),"QLD")</f>
        <v>QLD</v>
      </c>
      <c r="C1743" s="5" t="str">
        <f>IFERROR(__xludf.DUMMYFUNCTION("""COMPUTED_VALUE"""),"replace(replace(replace(trim(9 Pilot Court Mermaid Waters QLD 4218);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replace(replace(replace(trim(9 Pilot Court Mermaid Waters QLD 4218);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743" s="5" t="str">
        <f>IFERROR(__xludf.DUMMYFUNCTION("""COMPUTED_VALUE"""),"9 Pilot Court Mermaid Waters QLD 4218")</f>
        <v>9 Pilot Court Mermaid Waters QLD 4218</v>
      </c>
      <c r="E1743" s="27">
        <f>IFERROR(__xludf.DUMMYFUNCTION("""COMPUTED_VALUE"""),45789.0)</f>
        <v>45789</v>
      </c>
      <c r="F1743" s="64">
        <f>IFERROR(__xludf.DUMMYFUNCTION("""COMPUTED_VALUE"""),0.2)</f>
        <v>0.2</v>
      </c>
      <c r="G1743" s="19" t="str">
        <f>IFERROR(__xludf.DUMMYFUNCTION("""COMPUTED_VALUE"""),"Instant Forms")</f>
        <v>Instant Forms</v>
      </c>
      <c r="H1743" s="19" t="str">
        <f>IFERROR(__xludf.DUMMYFUNCTION("""COMPUTED_VALUE"""),"Jennifer Burrows")</f>
        <v>Jennifer Burrows</v>
      </c>
      <c r="I1743" s="62">
        <f>IFERROR(__xludf.DUMMYFUNCTION("""COMPUTED_VALUE"""),6.143112955E10)</f>
        <v>61431129550</v>
      </c>
      <c r="J1743" s="19" t="str">
        <f>IFERROR(__xludf.DUMMYFUNCTION("""COMPUTED_VALUE"""),"rodnjen@hotmail.com")</f>
        <v>rodnjen@hotmail.com</v>
      </c>
    </row>
    <row r="1744">
      <c r="A1744" s="19" t="str">
        <f>IFERROR(__xludf.DUMMYFUNCTION("""COMPUTED_VALUE"""),"Matt Shelton")</f>
        <v>Matt Shelton</v>
      </c>
      <c r="B1744" s="19" t="str">
        <f>IFERROR(__xludf.DUMMYFUNCTION("""COMPUTED_VALUE"""),"QLD")</f>
        <v>QLD</v>
      </c>
      <c r="C1744" s="5" t="str">
        <f>IFERROR(__xludf.DUMMYFUNCTION("""COMPUTED_VALUE"""),"Mermaid")</f>
        <v>Mermaid</v>
      </c>
      <c r="D1744" s="5" t="str">
        <f>IFERROR(__xludf.DUMMYFUNCTION("""COMPUTED_VALUE"""),"9 Pilot Court Mermaid Waters QLD 4218")</f>
        <v>9 Pilot Court Mermaid Waters QLD 4218</v>
      </c>
      <c r="E1744" s="27">
        <f>IFERROR(__xludf.DUMMYFUNCTION("""COMPUTED_VALUE"""),45820.0)</f>
        <v>45820</v>
      </c>
      <c r="F1744" s="64">
        <f>IFERROR(__xludf.DUMMYFUNCTION("""COMPUTED_VALUE"""),0.2)</f>
        <v>0.2</v>
      </c>
      <c r="G1744" s="19" t="str">
        <f>IFERROR(__xludf.DUMMYFUNCTION("""COMPUTED_VALUE"""),"Instant Forms")</f>
        <v>Instant Forms</v>
      </c>
      <c r="H1744" s="19" t="str">
        <f>IFERROR(__xludf.DUMMYFUNCTION("""COMPUTED_VALUE"""),"Jennifer Burrows")</f>
        <v>Jennifer Burrows</v>
      </c>
      <c r="I1744" s="62">
        <f>IFERROR(__xludf.DUMMYFUNCTION("""COMPUTED_VALUE"""),6.143112955E10)</f>
        <v>61431129550</v>
      </c>
      <c r="J1744" s="19" t="str">
        <f>IFERROR(__xludf.DUMMYFUNCTION("""COMPUTED_VALUE"""),"rodnjen@hotmail.com")</f>
        <v>rodnjen@hotmail.com</v>
      </c>
    </row>
    <row r="1745">
      <c r="A1745" s="19" t="str">
        <f>IFERROR(__xludf.DUMMYFUNCTION("""COMPUTED_VALUE"""),"Matt Shelton")</f>
        <v>Matt Shelton</v>
      </c>
      <c r="B1745" s="19" t="str">
        <f>IFERROR(__xludf.DUMMYFUNCTION("""COMPUTED_VALUE"""),"QLD")</f>
        <v>QLD</v>
      </c>
      <c r="C1745" s="5" t="str">
        <f>IFERROR(__xludf.DUMMYFUNCTION("""COMPUTED_VALUE"""),"Mermaid")</f>
        <v>Mermaid</v>
      </c>
      <c r="D1745" s="5" t="str">
        <f>IFERROR(__xludf.DUMMYFUNCTION("""COMPUTED_VALUE"""),"4/22 Peter Parade Mermaid Waters QLD 4218")</f>
        <v>4/22 Peter Parade Mermaid Waters QLD 4218</v>
      </c>
      <c r="E1745" s="27">
        <f>IFERROR(__xludf.DUMMYFUNCTION("""COMPUTED_VALUE"""),45820.0)</f>
        <v>45820</v>
      </c>
      <c r="F1745" s="64">
        <f>IFERROR(__xludf.DUMMYFUNCTION("""COMPUTED_VALUE"""),0.2)</f>
        <v>0.2</v>
      </c>
      <c r="G1745" s="19" t="str">
        <f>IFERROR(__xludf.DUMMYFUNCTION("""COMPUTED_VALUE"""),"Instant Forms")</f>
        <v>Instant Forms</v>
      </c>
      <c r="H1745" s="19" t="str">
        <f>IFERROR(__xludf.DUMMYFUNCTION("""COMPUTED_VALUE"""),"Jerildine Stevenson")</f>
        <v>Jerildine Stevenson</v>
      </c>
      <c r="I1745" s="62">
        <f>IFERROR(__xludf.DUMMYFUNCTION("""COMPUTED_VALUE"""),6.1410730827E10)</f>
        <v>61410730827</v>
      </c>
      <c r="J1745" s="19" t="str">
        <f>IFERROR(__xludf.DUMMYFUNCTION("""COMPUTED_VALUE"""),"jerildine@hotmail.com")</f>
        <v>jerildine@hotmail.com</v>
      </c>
    </row>
    <row r="1746">
      <c r="A1746" s="19" t="str">
        <f>IFERROR(__xludf.DUMMYFUNCTION("""COMPUTED_VALUE"""),"")</f>
        <v/>
      </c>
      <c r="B1746" s="19" t="str">
        <f>IFERROR(__xludf.DUMMYFUNCTION("""COMPUTED_VALUE"""),"")</f>
        <v/>
      </c>
      <c r="C1746" s="5" t="str">
        <f>IFERROR(__xludf.DUMMYFUNCTION("""COMPUTED_VALUE"""),"")</f>
        <v/>
      </c>
      <c r="D1746" s="5" t="str">
        <f>IFERROR(__xludf.DUMMYFUNCTION("""COMPUTED_VALUE"""),"")</f>
        <v/>
      </c>
      <c r="E1746" s="5" t="str">
        <f>IFERROR(__xludf.DUMMYFUNCTION("""COMPUTED_VALUE"""),"")</f>
        <v/>
      </c>
      <c r="F1746" s="5" t="str">
        <f>IFERROR(__xludf.DUMMYFUNCTION("""COMPUTED_VALUE"""),"")</f>
        <v/>
      </c>
      <c r="G1746" s="19" t="str">
        <f>IFERROR(__xludf.DUMMYFUNCTION("""COMPUTED_VALUE"""),"")</f>
        <v/>
      </c>
      <c r="H1746" s="19" t="str">
        <f>IFERROR(__xludf.DUMMYFUNCTION("""COMPUTED_VALUE"""),"")</f>
        <v/>
      </c>
      <c r="I1746" s="62" t="str">
        <f>IFERROR(__xludf.DUMMYFUNCTION("""COMPUTED_VALUE"""),"")</f>
        <v/>
      </c>
      <c r="J1746" s="19" t="str">
        <f>IFERROR(__xludf.DUMMYFUNCTION("""COMPUTED_VALUE"""),"")</f>
        <v/>
      </c>
    </row>
    <row r="1747">
      <c r="A1747" s="19" t="str">
        <f>IFERROR(__xludf.DUMMYFUNCTION("""COMPUTED_VALUE"""),"")</f>
        <v/>
      </c>
      <c r="B1747" s="19" t="str">
        <f>IFERROR(__xludf.DUMMYFUNCTION("""COMPUTED_VALUE"""),"")</f>
        <v/>
      </c>
      <c r="C1747" s="5" t="str">
        <f>IFERROR(__xludf.DUMMYFUNCTION("""COMPUTED_VALUE"""),"")</f>
        <v/>
      </c>
      <c r="D1747" s="5" t="str">
        <f>IFERROR(__xludf.DUMMYFUNCTION("""COMPUTED_VALUE"""),"")</f>
        <v/>
      </c>
      <c r="E1747" s="5" t="str">
        <f>IFERROR(__xludf.DUMMYFUNCTION("""COMPUTED_VALUE"""),"")</f>
        <v/>
      </c>
      <c r="F1747" s="5" t="str">
        <f>IFERROR(__xludf.DUMMYFUNCTION("""COMPUTED_VALUE"""),"")</f>
        <v/>
      </c>
      <c r="G1747" s="19" t="str">
        <f>IFERROR(__xludf.DUMMYFUNCTION("""COMPUTED_VALUE"""),"")</f>
        <v/>
      </c>
      <c r="H1747" s="19" t="str">
        <f>IFERROR(__xludf.DUMMYFUNCTION("""COMPUTED_VALUE"""),"")</f>
        <v/>
      </c>
      <c r="I1747" s="62" t="str">
        <f>IFERROR(__xludf.DUMMYFUNCTION("""COMPUTED_VALUE"""),"")</f>
        <v/>
      </c>
      <c r="J1747" s="19" t="str">
        <f>IFERROR(__xludf.DUMMYFUNCTION("""COMPUTED_VALUE"""),"")</f>
        <v/>
      </c>
    </row>
    <row r="1748">
      <c r="A1748" s="19" t="str">
        <f>IFERROR(__xludf.DUMMYFUNCTION("""COMPUTED_VALUE"""),"Matthew Turner")</f>
        <v>Matthew Turner</v>
      </c>
      <c r="B1748" s="19" t="str">
        <f>IFERROR(__xludf.DUMMYFUNCTION("""COMPUTED_VALUE"""),"NSW")</f>
        <v>NSW</v>
      </c>
      <c r="C1748" s="5">
        <f>IFERROR(__xludf.DUMMYFUNCTION("""COMPUTED_VALUE"""),2099.0)</f>
        <v>2099</v>
      </c>
      <c r="D1748" s="5"/>
      <c r="E1748" s="63">
        <f>IFERROR(__xludf.DUMMYFUNCTION("""COMPUTED_VALUE"""),45859.39407407407)</f>
        <v>45859.39407</v>
      </c>
      <c r="F1748" s="5" t="str">
        <f>IFERROR(__xludf.DUMMYFUNCTION("""COMPUTED_VALUE"""),"Featured")</f>
        <v>Featured</v>
      </c>
      <c r="G1748" s="19" t="str">
        <f>IFERROR(__xludf.DUMMYFUNCTION("""COMPUTED_VALUE"""),"Instant Forms")</f>
        <v>Instant Forms</v>
      </c>
      <c r="H1748" s="19"/>
      <c r="I1748" s="62"/>
      <c r="J1748" s="19"/>
    </row>
    <row r="1749">
      <c r="A1749" s="19" t="str">
        <f>IFERROR(__xludf.DUMMYFUNCTION("""COMPUTED_VALUE"""),"Matthew Turner")</f>
        <v>Matthew Turner</v>
      </c>
      <c r="B1749" s="19" t="str">
        <f>IFERROR(__xludf.DUMMYFUNCTION("""COMPUTED_VALUE"""),"NSW")</f>
        <v>NSW</v>
      </c>
      <c r="C1749" s="5" t="str">
        <f>IFERROR(__xludf.DUMMYFUNCTION("""COMPUTED_VALUE"""),"dee why")</f>
        <v>dee why</v>
      </c>
      <c r="D1749" s="5"/>
      <c r="E1749" s="63" t="str">
        <f>IFERROR(__xludf.DUMMYFUNCTION("""COMPUTED_VALUE"""),"25/07/2025")</f>
        <v>25/07/2025</v>
      </c>
      <c r="F1749" s="5" t="str">
        <f>IFERROR(__xludf.DUMMYFUNCTION("""COMPUTED_VALUE"""),"Featured")</f>
        <v>Featured</v>
      </c>
      <c r="G1749" s="19" t="str">
        <f>IFERROR(__xludf.DUMMYFUNCTION("""COMPUTED_VALUE"""),"Instant Forms")</f>
        <v>Instant Forms</v>
      </c>
      <c r="H1749" s="19"/>
      <c r="I1749" s="62"/>
      <c r="J1749" s="19"/>
    </row>
    <row r="1750">
      <c r="A1750" s="19" t="str">
        <f>IFERROR(__xludf.DUMMYFUNCTION("""COMPUTED_VALUE"""),"Matthew Turner")</f>
        <v>Matthew Turner</v>
      </c>
      <c r="B1750" s="19" t="str">
        <f>IFERROR(__xludf.DUMMYFUNCTION("""COMPUTED_VALUE"""),"NSW")</f>
        <v>NSW</v>
      </c>
      <c r="C1750" s="5">
        <f>IFERROR(__xludf.DUMMYFUNCTION("""COMPUTED_VALUE"""),2099.0)</f>
        <v>2099</v>
      </c>
      <c r="D1750" s="5"/>
      <c r="E1750" s="25">
        <f>IFERROR(__xludf.DUMMYFUNCTION("""COMPUTED_VALUE"""),45900.0)</f>
        <v>45900</v>
      </c>
      <c r="F1750" s="5" t="str">
        <f>IFERROR(__xludf.DUMMYFUNCTION("""COMPUTED_VALUE"""),"Featured")</f>
        <v>Featured</v>
      </c>
      <c r="G1750" s="19" t="str">
        <f>IFERROR(__xludf.DUMMYFUNCTION("""COMPUTED_VALUE"""),"Instant Forms")</f>
        <v>Instant Forms</v>
      </c>
      <c r="H1750" s="19"/>
      <c r="I1750" s="62"/>
      <c r="J1750" s="19"/>
    </row>
    <row r="1751">
      <c r="A1751" s="19" t="str">
        <f>IFERROR(__xludf.DUMMYFUNCTION("""COMPUTED_VALUE"""),"Matthew Turner")</f>
        <v>Matthew Turner</v>
      </c>
      <c r="B1751" s="19" t="str">
        <f>IFERROR(__xludf.DUMMYFUNCTION("""COMPUTED_VALUE"""),"NSW")</f>
        <v>NSW</v>
      </c>
      <c r="C1751" s="5" t="str">
        <f>IFERROR(__xludf.DUMMYFUNCTION("""COMPUTED_VALUE"""),"Dee Why")</f>
        <v>Dee Why</v>
      </c>
      <c r="D1751" s="5" t="str">
        <f>IFERROR(__xludf.DUMMYFUNCTION("""COMPUTED_VALUE"""),"8/32-38 Cassia Street Dee Why NSW 2099")</f>
        <v>8/32-38 Cassia Street Dee Why NSW 2099</v>
      </c>
      <c r="E1751" s="25">
        <f>IFERROR(__xludf.DUMMYFUNCTION("""COMPUTED_VALUE"""),45904.0)</f>
        <v>45904</v>
      </c>
      <c r="F1751" s="5" t="str">
        <f>IFERROR(__xludf.DUMMYFUNCTION("""COMPUTED_VALUE"""),"Featured")</f>
        <v>Featured</v>
      </c>
      <c r="G1751" s="19" t="str">
        <f>IFERROR(__xludf.DUMMYFUNCTION("""COMPUTED_VALUE"""),"Instant Forms")</f>
        <v>Instant Forms</v>
      </c>
      <c r="H1751" s="19"/>
      <c r="I1751" s="62"/>
      <c r="J1751" s="19"/>
    </row>
    <row r="1752">
      <c r="A1752" s="19" t="str">
        <f>IFERROR(__xludf.DUMMYFUNCTION("""COMPUTED_VALUE"""),"Matthew Turner")</f>
        <v>Matthew Turner</v>
      </c>
      <c r="B1752" s="19" t="str">
        <f>IFERROR(__xludf.DUMMYFUNCTION("""COMPUTED_VALUE"""),"NSW")</f>
        <v>NSW</v>
      </c>
      <c r="C1752" s="5" t="str">
        <f>IFERROR(__xludf.DUMMYFUNCTION("""COMPUTED_VALUE"""),"Cromer")</f>
        <v>Cromer</v>
      </c>
      <c r="D1752" s="5" t="str">
        <f>IFERROR(__xludf.DUMMYFUNCTION("""COMPUTED_VALUE"""),"22 Howse Crescent Cromer NSW 2099")</f>
        <v>22 Howse Crescent Cromer NSW 2099</v>
      </c>
      <c r="E1752" s="25">
        <f>IFERROR(__xludf.DUMMYFUNCTION("""COMPUTED_VALUE"""),45904.0)</f>
        <v>45904</v>
      </c>
      <c r="F1752" s="5" t="str">
        <f>IFERROR(__xludf.DUMMYFUNCTION("""COMPUTED_VALUE"""),"Featured")</f>
        <v>Featured</v>
      </c>
      <c r="G1752" s="19" t="str">
        <f>IFERROR(__xludf.DUMMYFUNCTION("""COMPUTED_VALUE"""),"Instant Forms")</f>
        <v>Instant Forms</v>
      </c>
      <c r="H1752" s="19"/>
      <c r="I1752" s="62"/>
      <c r="J1752" s="19"/>
    </row>
    <row r="1753">
      <c r="A1753" s="19" t="str">
        <f>IFERROR(__xludf.DUMMYFUNCTION("""COMPUTED_VALUE"""),"Matthew Turner")</f>
        <v>Matthew Turner</v>
      </c>
      <c r="B1753" s="19" t="str">
        <f>IFERROR(__xludf.DUMMYFUNCTION("""COMPUTED_VALUE"""),"NSW")</f>
        <v>NSW</v>
      </c>
      <c r="C1753" s="5" t="str">
        <f>IFERROR(__xludf.DUMMYFUNCTION("""COMPUTED_VALUE"""),"Cromer")</f>
        <v>Cromer</v>
      </c>
      <c r="D1753" s="5" t="str">
        <f>IFERROR(__xludf.DUMMYFUNCTION("""COMPUTED_VALUE"""),"14 Boromi Way Cromer NSW 2099")</f>
        <v>14 Boromi Way Cromer NSW 2099</v>
      </c>
      <c r="E1753" s="25">
        <f>IFERROR(__xludf.DUMMYFUNCTION("""COMPUTED_VALUE"""),45906.0)</f>
        <v>45906</v>
      </c>
      <c r="F1753" s="5" t="str">
        <f>IFERROR(__xludf.DUMMYFUNCTION("""COMPUTED_VALUE"""),"Featured")</f>
        <v>Featured</v>
      </c>
      <c r="G1753" s="19" t="str">
        <f>IFERROR(__xludf.DUMMYFUNCTION("""COMPUTED_VALUE"""),"Instant Forms")</f>
        <v>Instant Forms</v>
      </c>
      <c r="H1753" s="19"/>
      <c r="I1753" s="62"/>
      <c r="J1753" s="19"/>
    </row>
    <row r="1754">
      <c r="A1754" s="19" t="str">
        <f>IFERROR(__xludf.DUMMYFUNCTION("""COMPUTED_VALUE"""),"Matthew Turner")</f>
        <v>Matthew Turner</v>
      </c>
      <c r="B1754" s="19" t="str">
        <f>IFERROR(__xludf.DUMMYFUNCTION("""COMPUTED_VALUE"""),"NSW")</f>
        <v>NSW</v>
      </c>
      <c r="C1754" s="5" t="str">
        <f>IFERROR(__xludf.DUMMYFUNCTION("""COMPUTED_VALUE"""),"Beacon hill")</f>
        <v>Beacon hill</v>
      </c>
      <c r="D1754" s="5" t="str">
        <f>IFERROR(__xludf.DUMMYFUNCTION("""COMPUTED_VALUE"""),"21 Mills Place Beacon Hill NSW 2100")</f>
        <v>21 Mills Place Beacon Hill NSW 2100</v>
      </c>
      <c r="E1754" s="25">
        <f>IFERROR(__xludf.DUMMYFUNCTION("""COMPUTED_VALUE"""),45908.0)</f>
        <v>45908</v>
      </c>
      <c r="F1754" s="5" t="str">
        <f>IFERROR(__xludf.DUMMYFUNCTION("""COMPUTED_VALUE"""),"Featured")</f>
        <v>Featured</v>
      </c>
      <c r="G1754" s="19" t="str">
        <f>IFERROR(__xludf.DUMMYFUNCTION("""COMPUTED_VALUE"""),"Instant Forms")</f>
        <v>Instant Forms</v>
      </c>
      <c r="H1754" s="19"/>
      <c r="I1754" s="62"/>
      <c r="J1754" s="19"/>
    </row>
    <row r="1755">
      <c r="A1755" s="19" t="str">
        <f>IFERROR(__xludf.DUMMYFUNCTION("""COMPUTED_VALUE"""),"Matthew Turner")</f>
        <v>Matthew Turner</v>
      </c>
      <c r="B1755" s="19" t="str">
        <f>IFERROR(__xludf.DUMMYFUNCTION("""COMPUTED_VALUE"""),"NSW")</f>
        <v>NSW</v>
      </c>
      <c r="C1755" s="5" t="str">
        <f>IFERROR(__xludf.DUMMYFUNCTION("""COMPUTED_VALUE"""),"Queenscliff")</f>
        <v>Queenscliff</v>
      </c>
      <c r="D1755" s="5" t="str">
        <f>IFERROR(__xludf.DUMMYFUNCTION("""COMPUTED_VALUE"""),"303/168 Queenscliff Road Queenscliff NSW 2096")</f>
        <v>303/168 Queenscliff Road Queenscliff NSW 2096</v>
      </c>
      <c r="E1755" s="25">
        <f>IFERROR(__xludf.DUMMYFUNCTION("""COMPUTED_VALUE"""),45928.0)</f>
        <v>45928</v>
      </c>
      <c r="F1755" s="5">
        <f>IFERROR(__xludf.DUMMYFUNCTION("""COMPUTED_VALUE"""),10.0)</f>
        <v>10</v>
      </c>
      <c r="G1755" s="19" t="str">
        <f>IFERROR(__xludf.DUMMYFUNCTION("""COMPUTED_VALUE"""),"Instant Forms")</f>
        <v>Instant Forms</v>
      </c>
      <c r="H1755" s="19" t="str">
        <f>IFERROR(__xludf.DUMMYFUNCTION("""COMPUTED_VALUE"""),"Nicola Hensler")</f>
        <v>Nicola Hensler</v>
      </c>
      <c r="I1755" s="62"/>
      <c r="J1755" s="19"/>
    </row>
    <row r="1756">
      <c r="A1756" s="19" t="str">
        <f>IFERROR(__xludf.DUMMYFUNCTION("""COMPUTED_VALUE"""),"Matthew Turner")</f>
        <v>Matthew Turner</v>
      </c>
      <c r="B1756" s="19" t="str">
        <f>IFERROR(__xludf.DUMMYFUNCTION("""COMPUTED_VALUE"""),"NSW")</f>
        <v>NSW</v>
      </c>
      <c r="C1756" s="5" t="str">
        <f>IFERROR(__xludf.DUMMYFUNCTION("""COMPUTED_VALUE"""),"Beacon Hill")</f>
        <v>Beacon Hill</v>
      </c>
      <c r="D1756" s="5" t="str">
        <f>IFERROR(__xludf.DUMMYFUNCTION("""COMPUTED_VALUE"""),"6 Owen Stanley Avenue Beacon Hill NSW 2100")</f>
        <v>6 Owen Stanley Avenue Beacon Hill NSW 2100</v>
      </c>
      <c r="E1756" s="25">
        <f>IFERROR(__xludf.DUMMYFUNCTION("""COMPUTED_VALUE"""),45929.0)</f>
        <v>45929</v>
      </c>
      <c r="F1756" s="5">
        <f>IFERROR(__xludf.DUMMYFUNCTION("""COMPUTED_VALUE"""),6.0)</f>
        <v>6</v>
      </c>
      <c r="G1756" s="19" t="str">
        <f>IFERROR(__xludf.DUMMYFUNCTION("""COMPUTED_VALUE"""),"Instant Forms")</f>
        <v>Instant Forms</v>
      </c>
      <c r="H1756" s="19" t="str">
        <f>IFERROR(__xludf.DUMMYFUNCTION("""COMPUTED_VALUE"""),"Susan Jean")</f>
        <v>Susan Jean</v>
      </c>
      <c r="I1756" s="62"/>
      <c r="J1756" s="19"/>
    </row>
    <row r="1757">
      <c r="A1757" s="19" t="str">
        <f>IFERROR(__xludf.DUMMYFUNCTION("""COMPUTED_VALUE"""),"Matthew Turner")</f>
        <v>Matthew Turner</v>
      </c>
      <c r="B1757" s="19" t="str">
        <f>IFERROR(__xludf.DUMMYFUNCTION("""COMPUTED_VALUE"""),"NSW")</f>
        <v>NSW</v>
      </c>
      <c r="C1757" s="5" t="str">
        <f>IFERROR(__xludf.DUMMYFUNCTION("""COMPUTED_VALUE"""),"Cromer")</f>
        <v>Cromer</v>
      </c>
      <c r="D1757" s="5" t="str">
        <f>IFERROR(__xludf.DUMMYFUNCTION("""COMPUTED_VALUE"""),"75 Grover Avenue Cromer NSW 2099")</f>
        <v>75 Grover Avenue Cromer NSW 2099</v>
      </c>
      <c r="E1757" s="25">
        <f>IFERROR(__xludf.DUMMYFUNCTION("""COMPUTED_VALUE"""),45931.0)</f>
        <v>45931</v>
      </c>
      <c r="F1757" s="5">
        <f>IFERROR(__xludf.DUMMYFUNCTION("""COMPUTED_VALUE"""),8.0)</f>
        <v>8</v>
      </c>
      <c r="G1757" s="19" t="str">
        <f>IFERROR(__xludf.DUMMYFUNCTION("""COMPUTED_VALUE"""),"Instant Forms")</f>
        <v>Instant Forms</v>
      </c>
      <c r="H1757" s="19" t="str">
        <f>IFERROR(__xludf.DUMMYFUNCTION("""COMPUTED_VALUE"""),"Alicen van Bokhoven")</f>
        <v>Alicen van Bokhoven</v>
      </c>
      <c r="I1757" s="62"/>
      <c r="J1757" s="19"/>
    </row>
    <row r="1758">
      <c r="A1758" s="19" t="str">
        <f>IFERROR(__xludf.DUMMYFUNCTION("""COMPUTED_VALUE"""),"Matthew Turner")</f>
        <v>Matthew Turner</v>
      </c>
      <c r="B1758" s="19" t="str">
        <f>IFERROR(__xludf.DUMMYFUNCTION("""COMPUTED_VALUE"""),"NSW")</f>
        <v>NSW</v>
      </c>
      <c r="C1758" s="5" t="str">
        <f>IFERROR(__xludf.DUMMYFUNCTION("""COMPUTED_VALUE"""),"Dee Why")</f>
        <v>Dee Why</v>
      </c>
      <c r="D1758" s="5" t="str">
        <f>IFERROR(__xludf.DUMMYFUNCTION("""COMPUTED_VALUE"""),"U 8 32 Cassia St, Dee Why, 2099")</f>
        <v>U 8 32 Cassia St, Dee Why, 2099</v>
      </c>
      <c r="E1758" s="27">
        <f>IFERROR(__xludf.DUMMYFUNCTION("""COMPUTED_VALUE"""),45848.0)</f>
        <v>45848</v>
      </c>
      <c r="F1758" s="5" t="str">
        <f>IFERROR(__xludf.DUMMYFUNCTION("""COMPUTED_VALUE"""),"Featured")</f>
        <v>Featured</v>
      </c>
      <c r="G1758" s="19" t="str">
        <f>IFERROR(__xludf.DUMMYFUNCTION("""COMPUTED_VALUE"""),"Meta Commission Report")</f>
        <v>Meta Commission Report</v>
      </c>
      <c r="H1758" s="19" t="str">
        <f>IFERROR(__xludf.DUMMYFUNCTION("""COMPUTED_VALUE"""),"Roslyn Dunne")</f>
        <v>Roslyn Dunne</v>
      </c>
      <c r="I1758" s="62"/>
      <c r="J1758" s="19"/>
    </row>
    <row r="1759">
      <c r="A1759" s="19" t="str">
        <f>IFERROR(__xludf.DUMMYFUNCTION("""COMPUTED_VALUE"""),"Matthew Turner")</f>
        <v>Matthew Turner</v>
      </c>
      <c r="B1759" s="19" t="str">
        <f>IFERROR(__xludf.DUMMYFUNCTION("""COMPUTED_VALUE"""),"NSW")</f>
        <v>NSW</v>
      </c>
      <c r="C1759" s="5" t="str">
        <f>IFERROR(__xludf.DUMMYFUNCTION("""COMPUTED_VALUE"""),"Allambie Heights")</f>
        <v>Allambie Heights</v>
      </c>
      <c r="D1759" s="5" t="str">
        <f>IFERROR(__xludf.DUMMYFUNCTION("""COMPUTED_VALUE"""),"12 Tobruk Avenue Allambie Heights NSW 2100")</f>
        <v>12 Tobruk Avenue Allambie Heights NSW 2100</v>
      </c>
      <c r="E1759" s="25">
        <f>IFERROR(__xludf.DUMMYFUNCTION("""COMPUTED_VALUE"""),45937.0)</f>
        <v>45937</v>
      </c>
      <c r="F1759" s="5">
        <f>IFERROR(__xludf.DUMMYFUNCTION("""COMPUTED_VALUE"""),8.0)</f>
        <v>8</v>
      </c>
      <c r="G1759" s="19" t="str">
        <f>IFERROR(__xludf.DUMMYFUNCTION("""COMPUTED_VALUE"""),"Instant Forms")</f>
        <v>Instant Forms</v>
      </c>
      <c r="H1759" s="19" t="str">
        <f>IFERROR(__xludf.DUMMYFUNCTION("""COMPUTED_VALUE"""),"Daana Seeney")</f>
        <v>Daana Seeney</v>
      </c>
      <c r="I1759" s="62"/>
      <c r="J1759" s="19"/>
    </row>
    <row r="1760">
      <c r="A1760" s="19" t="str">
        <f>IFERROR(__xludf.DUMMYFUNCTION("""COMPUTED_VALUE"""),"Matthew Turner")</f>
        <v>Matthew Turner</v>
      </c>
      <c r="B1760" s="19" t="str">
        <f>IFERROR(__xludf.DUMMYFUNCTION("""COMPUTED_VALUE"""),"NSW")</f>
        <v>NSW</v>
      </c>
      <c r="C1760" s="5" t="str">
        <f>IFERROR(__xludf.DUMMYFUNCTION("""COMPUTED_VALUE"""),"Dee Why")</f>
        <v>Dee Why</v>
      </c>
      <c r="D1760" s="5" t="str">
        <f>IFERROR(__xludf.DUMMYFUNCTION("""COMPUTED_VALUE"""),"52 &amp; 124/4-16 Kingsway Dee Why NSW 2099")</f>
        <v>52 &amp; 124/4-16 Kingsway Dee Why NSW 2099</v>
      </c>
      <c r="E1760" s="25">
        <f>IFERROR(__xludf.DUMMYFUNCTION("""COMPUTED_VALUE"""),45943.0)</f>
        <v>45943</v>
      </c>
      <c r="F1760" s="5">
        <f>IFERROR(__xludf.DUMMYFUNCTION("""COMPUTED_VALUE"""),8.0)</f>
        <v>8</v>
      </c>
      <c r="G1760" s="19" t="str">
        <f>IFERROR(__xludf.DUMMYFUNCTION("""COMPUTED_VALUE"""),"Instant Forms")</f>
        <v>Instant Forms</v>
      </c>
      <c r="H1760" s="19"/>
      <c r="I1760" s="62"/>
      <c r="J1760" s="19"/>
    </row>
    <row r="1761">
      <c r="A1761" s="19" t="str">
        <f>IFERROR(__xludf.DUMMYFUNCTION("""COMPUTED_VALUE"""),"Matthew Turner")</f>
        <v>Matthew Turner</v>
      </c>
      <c r="B1761" s="19" t="str">
        <f>IFERROR(__xludf.DUMMYFUNCTION("""COMPUTED_VALUE"""),"NSW")</f>
        <v>NSW</v>
      </c>
      <c r="C1761" s="5" t="str">
        <f>IFERROR(__xludf.DUMMYFUNCTION("""COMPUTED_VALUE"""),"Manly Vale")</f>
        <v>Manly Vale</v>
      </c>
      <c r="D1761" s="5" t="str">
        <f>IFERROR(__xludf.DUMMYFUNCTION("""COMPUTED_VALUE"""),"2 / 7 Quirk Road, Manly Vale, New South Wales, 2093, Australia")</f>
        <v>2 / 7 Quirk Road, Manly Vale, New South Wales, 2093, Australia</v>
      </c>
      <c r="E1761" s="25">
        <f>IFERROR(__xludf.DUMMYFUNCTION("""COMPUTED_VALUE"""),45945.0)</f>
        <v>45945</v>
      </c>
      <c r="F1761" s="5">
        <f>IFERROR(__xludf.DUMMYFUNCTION("""COMPUTED_VALUE"""),9.0)</f>
        <v>9</v>
      </c>
      <c r="G1761" s="19" t="str">
        <f>IFERROR(__xludf.DUMMYFUNCTION("""COMPUTED_VALUE"""),"Instant Forms")</f>
        <v>Instant Forms</v>
      </c>
      <c r="H1761" s="19"/>
      <c r="I1761" s="62"/>
      <c r="J1761" s="19"/>
    </row>
    <row r="1762">
      <c r="A1762" s="19" t="str">
        <f>IFERROR(__xludf.DUMMYFUNCTION("""COMPUTED_VALUE"""),"Matthew Turner")</f>
        <v>Matthew Turner</v>
      </c>
      <c r="B1762" s="19" t="str">
        <f>IFERROR(__xludf.DUMMYFUNCTION("""COMPUTED_VALUE"""),"NSW")</f>
        <v>NSW</v>
      </c>
      <c r="C1762" s="5" t="str">
        <f>IFERROR(__xludf.DUMMYFUNCTION("""COMPUTED_VALUE"""),"dee why")</f>
        <v>dee why</v>
      </c>
      <c r="D1762" s="5" t="str">
        <f>IFERROR(__xludf.DUMMYFUNCTION("""COMPUTED_VALUE"""),"11/18 Grafton Crescent Dee Why NSW 2099")</f>
        <v>11/18 Grafton Crescent Dee Why NSW 2099</v>
      </c>
      <c r="E1762" s="25">
        <f>IFERROR(__xludf.DUMMYFUNCTION("""COMPUTED_VALUE"""),45947.0)</f>
        <v>45947</v>
      </c>
      <c r="F1762" s="5">
        <f>IFERROR(__xludf.DUMMYFUNCTION("""COMPUTED_VALUE"""),8.0)</f>
        <v>8</v>
      </c>
      <c r="G1762" s="19" t="str">
        <f>IFERROR(__xludf.DUMMYFUNCTION("""COMPUTED_VALUE"""),"Instant Forms")</f>
        <v>Instant Forms</v>
      </c>
      <c r="H1762" s="19"/>
      <c r="I1762" s="62"/>
      <c r="J1762" s="19"/>
    </row>
    <row r="1763">
      <c r="A1763" s="19" t="str">
        <f>IFERROR(__xludf.DUMMYFUNCTION("""COMPUTED_VALUE"""),"Matthew Turner")</f>
        <v>Matthew Turner</v>
      </c>
      <c r="B1763" s="19" t="str">
        <f>IFERROR(__xludf.DUMMYFUNCTION("""COMPUTED_VALUE"""),"NSW")</f>
        <v>NSW</v>
      </c>
      <c r="C1763" s="5">
        <f>IFERROR(__xludf.DUMMYFUNCTION("""COMPUTED_VALUE"""),2099.0)</f>
        <v>2099</v>
      </c>
      <c r="D1763" s="5"/>
      <c r="E1763" s="25">
        <f>IFERROR(__xludf.DUMMYFUNCTION("""COMPUTED_VALUE"""),45949.0)</f>
        <v>45949</v>
      </c>
      <c r="F1763" s="5">
        <f>IFERROR(__xludf.DUMMYFUNCTION("""COMPUTED_VALUE"""),6.0)</f>
        <v>6</v>
      </c>
      <c r="G1763" s="19" t="str">
        <f>IFERROR(__xludf.DUMMYFUNCTION("""COMPUTED_VALUE"""),"Instant Forms")</f>
        <v>Instant Forms</v>
      </c>
      <c r="H1763" s="19"/>
      <c r="I1763" s="62"/>
      <c r="J1763" s="19"/>
    </row>
    <row r="1764">
      <c r="A1764" s="19" t="str">
        <f>IFERROR(__xludf.DUMMYFUNCTION("""COMPUTED_VALUE"""),"Matthew Turner")</f>
        <v>Matthew Turner</v>
      </c>
      <c r="B1764" s="19" t="str">
        <f>IFERROR(__xludf.DUMMYFUNCTION("""COMPUTED_VALUE"""),"NSW")</f>
        <v>NSW</v>
      </c>
      <c r="C1764" s="5" t="str">
        <f>IFERROR(__xludf.DUMMYFUNCTION("""COMPUTED_VALUE"""),"Dee Why")</f>
        <v>Dee Why</v>
      </c>
      <c r="D1764" s="5"/>
      <c r="E1764" s="25">
        <f>IFERROR(__xludf.DUMMYFUNCTION("""COMPUTED_VALUE"""),45975.0)</f>
        <v>45975</v>
      </c>
      <c r="F1764" s="5">
        <f>IFERROR(__xludf.DUMMYFUNCTION("""COMPUTED_VALUE"""),6.0)</f>
        <v>6</v>
      </c>
      <c r="G1764" s="19" t="str">
        <f>IFERROR(__xludf.DUMMYFUNCTION("""COMPUTED_VALUE"""),"Instant Forms")</f>
        <v>Instant Forms</v>
      </c>
      <c r="H1764" s="19" t="str">
        <f>IFERROR(__xludf.DUMMYFUNCTION("""COMPUTED_VALUE"""),"Caroline Casey")</f>
        <v>Caroline Casey</v>
      </c>
      <c r="I1764" s="62">
        <f>IFERROR(__xludf.DUMMYFUNCTION("""COMPUTED_VALUE"""),6.1417488208E10)</f>
        <v>61417488208</v>
      </c>
      <c r="J1764" s="19" t="str">
        <f>IFERROR(__xludf.DUMMYFUNCTION("""COMPUTED_VALUE"""),"casey6271@outlook.com")</f>
        <v>casey6271@outlook.com</v>
      </c>
    </row>
    <row r="1765">
      <c r="A1765" s="19" t="str">
        <f>IFERROR(__xludf.DUMMYFUNCTION("""COMPUTED_VALUE"""),"")</f>
        <v/>
      </c>
      <c r="B1765" s="19" t="str">
        <f>IFERROR(__xludf.DUMMYFUNCTION("""COMPUTED_VALUE"""),"")</f>
        <v/>
      </c>
      <c r="C1765" s="5" t="str">
        <f>IFERROR(__xludf.DUMMYFUNCTION("""COMPUTED_VALUE"""),"")</f>
        <v/>
      </c>
      <c r="D1765" s="5" t="str">
        <f>IFERROR(__xludf.DUMMYFUNCTION("""COMPUTED_VALUE"""),"")</f>
        <v/>
      </c>
      <c r="E1765" s="5" t="str">
        <f>IFERROR(__xludf.DUMMYFUNCTION("""COMPUTED_VALUE"""),"")</f>
        <v/>
      </c>
      <c r="F1765" s="5" t="str">
        <f>IFERROR(__xludf.DUMMYFUNCTION("""COMPUTED_VALUE"""),"")</f>
        <v/>
      </c>
      <c r="G1765" s="19" t="str">
        <f>IFERROR(__xludf.DUMMYFUNCTION("""COMPUTED_VALUE"""),"")</f>
        <v/>
      </c>
      <c r="H1765" s="19" t="str">
        <f>IFERROR(__xludf.DUMMYFUNCTION("""COMPUTED_VALUE"""),"")</f>
        <v/>
      </c>
      <c r="I1765" s="62" t="str">
        <f>IFERROR(__xludf.DUMMYFUNCTION("""COMPUTED_VALUE"""),"")</f>
        <v/>
      </c>
      <c r="J1765" s="19" t="str">
        <f>IFERROR(__xludf.DUMMYFUNCTION("""COMPUTED_VALUE"""),"")</f>
        <v/>
      </c>
    </row>
    <row r="1766">
      <c r="A1766" s="19" t="str">
        <f>IFERROR(__xludf.DUMMYFUNCTION("""COMPUTED_VALUE"""),"")</f>
        <v/>
      </c>
      <c r="B1766" s="19" t="str">
        <f>IFERROR(__xludf.DUMMYFUNCTION("""COMPUTED_VALUE"""),"")</f>
        <v/>
      </c>
      <c r="C1766" s="5" t="str">
        <f>IFERROR(__xludf.DUMMYFUNCTION("""COMPUTED_VALUE"""),"")</f>
        <v/>
      </c>
      <c r="D1766" s="5" t="str">
        <f>IFERROR(__xludf.DUMMYFUNCTION("""COMPUTED_VALUE"""),"")</f>
        <v/>
      </c>
      <c r="E1766" s="5" t="str">
        <f>IFERROR(__xludf.DUMMYFUNCTION("""COMPUTED_VALUE"""),"")</f>
        <v/>
      </c>
      <c r="F1766" s="5" t="str">
        <f>IFERROR(__xludf.DUMMYFUNCTION("""COMPUTED_VALUE"""),"")</f>
        <v/>
      </c>
      <c r="G1766" s="19" t="str">
        <f>IFERROR(__xludf.DUMMYFUNCTION("""COMPUTED_VALUE"""),"")</f>
        <v/>
      </c>
      <c r="H1766" s="19" t="str">
        <f>IFERROR(__xludf.DUMMYFUNCTION("""COMPUTED_VALUE"""),"")</f>
        <v/>
      </c>
      <c r="I1766" s="62" t="str">
        <f>IFERROR(__xludf.DUMMYFUNCTION("""COMPUTED_VALUE"""),"")</f>
        <v/>
      </c>
      <c r="J1766" s="19" t="str">
        <f>IFERROR(__xludf.DUMMYFUNCTION("""COMPUTED_VALUE"""),"")</f>
        <v/>
      </c>
    </row>
    <row r="1767">
      <c r="A1767" s="19" t="str">
        <f>IFERROR(__xludf.DUMMYFUNCTION("""COMPUTED_VALUE"""),"Melinda Smith")</f>
        <v>Melinda Smith</v>
      </c>
      <c r="B1767" s="19" t="str">
        <f>IFERROR(__xludf.DUMMYFUNCTION("""COMPUTED_VALUE"""),"QLD")</f>
        <v>QLD</v>
      </c>
      <c r="C1767" s="5" t="str">
        <f>IFERROR(__xludf.DUMMYFUNCTION("""COMPUTED_VALUE"""),"Narangba")</f>
        <v>Narangba</v>
      </c>
      <c r="D1767" s="5" t="str">
        <f>IFERROR(__xludf.DUMMYFUNCTION("""COMPUTED_VALUE"""),"3 James Mac Court Narangba QLD 4504")</f>
        <v>3 James Mac Court Narangba QLD 4504</v>
      </c>
      <c r="E1767" s="25">
        <f>IFERROR(__xludf.DUMMYFUNCTION("""COMPUTED_VALUE"""),45930.0)</f>
        <v>45930</v>
      </c>
      <c r="F1767" s="5">
        <f>IFERROR(__xludf.DUMMYFUNCTION("""COMPUTED_VALUE"""),6.0)</f>
        <v>6</v>
      </c>
      <c r="G1767" s="19" t="str">
        <f>IFERROR(__xludf.DUMMYFUNCTION("""COMPUTED_VALUE"""),"Instant Forms")</f>
        <v>Instant Forms</v>
      </c>
      <c r="H1767" s="19" t="str">
        <f>IFERROR(__xludf.DUMMYFUNCTION("""COMPUTED_VALUE"""),"Carey Hibbett")</f>
        <v>Carey Hibbett</v>
      </c>
      <c r="I1767" s="62"/>
      <c r="J1767" s="19"/>
    </row>
    <row r="1768">
      <c r="A1768" s="19" t="str">
        <f>IFERROR(__xludf.DUMMYFUNCTION("""COMPUTED_VALUE"""),"Melinda Smith")</f>
        <v>Melinda Smith</v>
      </c>
      <c r="B1768" s="19" t="str">
        <f>IFERROR(__xludf.DUMMYFUNCTION("""COMPUTED_VALUE"""),"QLD")</f>
        <v>QLD</v>
      </c>
      <c r="C1768" s="5" t="str">
        <f>IFERROR(__xludf.DUMMYFUNCTION("""COMPUTED_VALUE"""),"deception bay")</f>
        <v>deception bay</v>
      </c>
      <c r="D1768" s="5" t="str">
        <f>IFERROR(__xludf.DUMMYFUNCTION("""COMPUTED_VALUE"""),"44/80 Webster Road Deception Bay QLD 4508")</f>
        <v>44/80 Webster Road Deception Bay QLD 4508</v>
      </c>
      <c r="E1768" s="25">
        <f>IFERROR(__xludf.DUMMYFUNCTION("""COMPUTED_VALUE"""),45930.0)</f>
        <v>45930</v>
      </c>
      <c r="F1768" s="5">
        <f>IFERROR(__xludf.DUMMYFUNCTION("""COMPUTED_VALUE"""),6.0)</f>
        <v>6</v>
      </c>
      <c r="G1768" s="19" t="str">
        <f>IFERROR(__xludf.DUMMYFUNCTION("""COMPUTED_VALUE"""),"Instant Forms")</f>
        <v>Instant Forms</v>
      </c>
      <c r="H1768" s="19" t="str">
        <f>IFERROR(__xludf.DUMMYFUNCTION("""COMPUTED_VALUE"""),"kesa m")</f>
        <v>kesa m</v>
      </c>
      <c r="I1768" s="62"/>
      <c r="J1768" s="19"/>
    </row>
    <row r="1769">
      <c r="A1769" s="19" t="str">
        <f>IFERROR(__xludf.DUMMYFUNCTION("""COMPUTED_VALUE"""),"Melinda Smith")</f>
        <v>Melinda Smith</v>
      </c>
      <c r="B1769" s="19" t="str">
        <f>IFERROR(__xludf.DUMMYFUNCTION("""COMPUTED_VALUE"""),"QLD")</f>
        <v>QLD</v>
      </c>
      <c r="C1769" s="5" t="str">
        <f>IFERROR(__xludf.DUMMYFUNCTION("""COMPUTED_VALUE"""),"Bellmere")</f>
        <v>Bellmere</v>
      </c>
      <c r="D1769" s="5" t="str">
        <f>IFERROR(__xludf.DUMMYFUNCTION("""COMPUTED_VALUE"""),"28 Riverside Circuit Bellmere QLD 4510")</f>
        <v>28 Riverside Circuit Bellmere QLD 4510</v>
      </c>
      <c r="E1769" s="25">
        <f>IFERROR(__xludf.DUMMYFUNCTION("""COMPUTED_VALUE"""),45931.0)</f>
        <v>45931</v>
      </c>
      <c r="F1769" s="5">
        <f>IFERROR(__xludf.DUMMYFUNCTION("""COMPUTED_VALUE"""),8.0)</f>
        <v>8</v>
      </c>
      <c r="G1769" s="19" t="str">
        <f>IFERROR(__xludf.DUMMYFUNCTION("""COMPUTED_VALUE"""),"Instant Forms")</f>
        <v>Instant Forms</v>
      </c>
      <c r="H1769" s="19" t="str">
        <f>IFERROR(__xludf.DUMMYFUNCTION("""COMPUTED_VALUE"""),"Vicki Paradine Hawes")</f>
        <v>Vicki Paradine Hawes</v>
      </c>
      <c r="I1769" s="62"/>
      <c r="J1769" s="19"/>
    </row>
    <row r="1770">
      <c r="A1770" s="19" t="str">
        <f>IFERROR(__xludf.DUMMYFUNCTION("""COMPUTED_VALUE"""),"Melinda Smith")</f>
        <v>Melinda Smith</v>
      </c>
      <c r="B1770" s="19" t="str">
        <f>IFERROR(__xludf.DUMMYFUNCTION("""COMPUTED_VALUE"""),"QLD")</f>
        <v>QLD</v>
      </c>
      <c r="C1770" s="5" t="str">
        <f>IFERROR(__xludf.DUMMYFUNCTION("""COMPUTED_VALUE"""),"North lakes")</f>
        <v>North lakes</v>
      </c>
      <c r="D1770" s="5" t="str">
        <f>IFERROR(__xludf.DUMMYFUNCTION("""COMPUTED_VALUE"""),"19 Kangaroo Street North Lakes QLD 4509")</f>
        <v>19 Kangaroo Street North Lakes QLD 4509</v>
      </c>
      <c r="E1770" s="25">
        <f>IFERROR(__xludf.DUMMYFUNCTION("""COMPUTED_VALUE"""),45931.0)</f>
        <v>45931</v>
      </c>
      <c r="F1770" s="5">
        <f>IFERROR(__xludf.DUMMYFUNCTION("""COMPUTED_VALUE"""),8.0)</f>
        <v>8</v>
      </c>
      <c r="G1770" s="19" t="str">
        <f>IFERROR(__xludf.DUMMYFUNCTION("""COMPUTED_VALUE"""),"Instant Forms")</f>
        <v>Instant Forms</v>
      </c>
      <c r="H1770" s="19" t="str">
        <f>IFERROR(__xludf.DUMMYFUNCTION("""COMPUTED_VALUE"""),"Peta Bahre")</f>
        <v>Peta Bahre</v>
      </c>
      <c r="I1770" s="62"/>
      <c r="J1770" s="19"/>
    </row>
    <row r="1771">
      <c r="A1771" s="19" t="str">
        <f>IFERROR(__xludf.DUMMYFUNCTION("""COMPUTED_VALUE"""),"Melinda Smith")</f>
        <v>Melinda Smith</v>
      </c>
      <c r="B1771" s="19" t="str">
        <f>IFERROR(__xludf.DUMMYFUNCTION("""COMPUTED_VALUE"""),"QLD")</f>
        <v>QLD</v>
      </c>
      <c r="C1771" s="5" t="str">
        <f>IFERROR(__xludf.DUMMYFUNCTION("""COMPUTED_VALUE"""),"Kallangur")</f>
        <v>Kallangur</v>
      </c>
      <c r="D1771" s="5" t="str">
        <f>IFERROR(__xludf.DUMMYFUNCTION("""COMPUTED_VALUE"""),"21 Lintone Street Kallangur QLD 4503")</f>
        <v>21 Lintone Street Kallangur QLD 4503</v>
      </c>
      <c r="E1771" s="25">
        <f>IFERROR(__xludf.DUMMYFUNCTION("""COMPUTED_VALUE"""),45934.0)</f>
        <v>45934</v>
      </c>
      <c r="F1771" s="5">
        <f>IFERROR(__xludf.DUMMYFUNCTION("""COMPUTED_VALUE"""),8.0)</f>
        <v>8</v>
      </c>
      <c r="G1771" s="19" t="str">
        <f>IFERROR(__xludf.DUMMYFUNCTION("""COMPUTED_VALUE"""),"Instant Forms")</f>
        <v>Instant Forms</v>
      </c>
      <c r="H1771" s="19" t="str">
        <f>IFERROR(__xludf.DUMMYFUNCTION("""COMPUTED_VALUE"""),"Chris Moran")</f>
        <v>Chris Moran</v>
      </c>
      <c r="I1771" s="62"/>
      <c r="J1771" s="19"/>
    </row>
    <row r="1772">
      <c r="A1772" s="19" t="str">
        <f>IFERROR(__xludf.DUMMYFUNCTION("""COMPUTED_VALUE"""),"Melinda Smith")</f>
        <v>Melinda Smith</v>
      </c>
      <c r="B1772" s="19" t="str">
        <f>IFERROR(__xludf.DUMMYFUNCTION("""COMPUTED_VALUE"""),"QLD")</f>
        <v>QLD</v>
      </c>
      <c r="C1772" s="5" t="str">
        <f>IFERROR(__xludf.DUMMYFUNCTION("""COMPUTED_VALUE"""),"Deception Bay")</f>
        <v>Deception Bay</v>
      </c>
      <c r="D1772" s="5" t="str">
        <f>IFERROR(__xludf.DUMMYFUNCTION("""COMPUTED_VALUE"""),"62 / 80 Webster Road, Deception Bay, QLD, 4508, Australia")</f>
        <v>62 / 80 Webster Road, Deception Bay, QLD, 4508, Australia</v>
      </c>
      <c r="E1772" s="27">
        <f>IFERROR(__xludf.DUMMYFUNCTION("""COMPUTED_VALUE"""),45848.0)</f>
        <v>45848</v>
      </c>
      <c r="F1772" s="5" t="str">
        <f>IFERROR(__xludf.DUMMYFUNCTION("""COMPUTED_VALUE"""),"Featured")</f>
        <v>Featured</v>
      </c>
      <c r="G1772" s="19"/>
      <c r="H1772" s="19"/>
      <c r="I1772" s="62"/>
      <c r="J1772" s="19"/>
    </row>
    <row r="1773">
      <c r="A1773" s="19" t="str">
        <f>IFERROR(__xludf.DUMMYFUNCTION("""COMPUTED_VALUE"""),"Melinda Smith")</f>
        <v>Melinda Smith</v>
      </c>
      <c r="B1773" s="19" t="str">
        <f>IFERROR(__xludf.DUMMYFUNCTION("""COMPUTED_VALUE"""),"QLD")</f>
        <v>QLD</v>
      </c>
      <c r="C1773" s="5" t="str">
        <f>IFERROR(__xludf.DUMMYFUNCTION("""COMPUTED_VALUE"""),"Deception Bay, Qld.")</f>
        <v>Deception Bay, Qld.</v>
      </c>
      <c r="D1773" s="5" t="str">
        <f>IFERROR(__xludf.DUMMYFUNCTION("""COMPUTED_VALUE"""),"unit 62/ 80 webster road")</f>
        <v>unit 62/ 80 webster road</v>
      </c>
      <c r="E1773" s="25">
        <f>IFERROR(__xludf.DUMMYFUNCTION("""COMPUTED_VALUE"""),45937.0)</f>
        <v>45937</v>
      </c>
      <c r="F1773" s="5" t="str">
        <f>IFERROR(__xludf.DUMMYFUNCTION("""COMPUTED_VALUE"""),"Featured")</f>
        <v>Featured</v>
      </c>
      <c r="G1773" s="19" t="str">
        <f>IFERROR(__xludf.DUMMYFUNCTION("""COMPUTED_VALUE"""),"Commission Comparison")</f>
        <v>Commission Comparison</v>
      </c>
      <c r="H1773" s="19"/>
      <c r="I1773" s="62"/>
      <c r="J1773" s="19"/>
    </row>
    <row r="1774">
      <c r="A1774" s="19" t="str">
        <f>IFERROR(__xludf.DUMMYFUNCTION("""COMPUTED_VALUE"""),"Melinda Smith")</f>
        <v>Melinda Smith</v>
      </c>
      <c r="B1774" s="19" t="str">
        <f>IFERROR(__xludf.DUMMYFUNCTION("""COMPUTED_VALUE"""),"QLD")</f>
        <v>QLD</v>
      </c>
      <c r="C1774" s="5" t="str">
        <f>IFERROR(__xludf.DUMMYFUNCTION("""COMPUTED_VALUE"""),"Burpengary")</f>
        <v>Burpengary</v>
      </c>
      <c r="D1774" s="5" t="str">
        <f>IFERROR(__xludf.DUMMYFUNCTION("""COMPUTED_VALUE"""),"15 Bartok Street, Burpengary, QLD, 4505, Australia")</f>
        <v>15 Bartok Street, Burpengary, QLD, 4505, Australia</v>
      </c>
      <c r="E1774" s="25">
        <f>IFERROR(__xludf.DUMMYFUNCTION("""COMPUTED_VALUE"""),45944.0)</f>
        <v>45944</v>
      </c>
      <c r="F1774" s="5" t="str">
        <f>IFERROR(__xludf.DUMMYFUNCTION("""COMPUTED_VALUE"""),"Featured")</f>
        <v>Featured</v>
      </c>
      <c r="G1774" s="19" t="str">
        <f>IFERROR(__xludf.DUMMYFUNCTION("""COMPUTED_VALUE"""),"Commission Comparison")</f>
        <v>Commission Comparison</v>
      </c>
      <c r="H1774" s="19"/>
      <c r="I1774" s="62"/>
      <c r="J1774" s="19"/>
    </row>
    <row r="1775">
      <c r="A1775" s="19" t="str">
        <f>IFERROR(__xludf.DUMMYFUNCTION("""COMPUTED_VALUE"""),"Melinda Smith")</f>
        <v>Melinda Smith</v>
      </c>
      <c r="B1775" s="19" t="str">
        <f>IFERROR(__xludf.DUMMYFUNCTION("""COMPUTED_VALUE"""),"QLD")</f>
        <v>QLD</v>
      </c>
      <c r="C1775" s="5" t="str">
        <f>IFERROR(__xludf.DUMMYFUNCTION("""COMPUTED_VALUE"""),"North Lakes")</f>
        <v>North Lakes</v>
      </c>
      <c r="D1775" s="5" t="str">
        <f>IFERROR(__xludf.DUMMYFUNCTION("""COMPUTED_VALUE"""),"28 Rosemead Street North Lakes QLD 4509")</f>
        <v>28 Rosemead Street North Lakes QLD 4509</v>
      </c>
      <c r="E1775" s="25">
        <f>IFERROR(__xludf.DUMMYFUNCTION("""COMPUTED_VALUE"""),45945.0)</f>
        <v>45945</v>
      </c>
      <c r="F1775" s="5">
        <f>IFERROR(__xludf.DUMMYFUNCTION("""COMPUTED_VALUE"""),8.0)</f>
        <v>8</v>
      </c>
      <c r="G1775" s="19" t="str">
        <f>IFERROR(__xludf.DUMMYFUNCTION("""COMPUTED_VALUE"""),"Instant Forms")</f>
        <v>Instant Forms</v>
      </c>
      <c r="H1775" s="19" t="str">
        <f>IFERROR(__xludf.DUMMYFUNCTION("""COMPUTED_VALUE"""),"Erani Muller Haarhoff")</f>
        <v>Erani Muller Haarhoff</v>
      </c>
      <c r="I1775" s="62"/>
      <c r="J1775" s="19"/>
    </row>
    <row r="1776">
      <c r="A1776" s="19" t="str">
        <f>IFERROR(__xludf.DUMMYFUNCTION("""COMPUTED_VALUE"""),"Melinda Smith")</f>
        <v>Melinda Smith</v>
      </c>
      <c r="B1776" s="19" t="str">
        <f>IFERROR(__xludf.DUMMYFUNCTION("""COMPUTED_VALUE"""),"QLD")</f>
        <v>QLD</v>
      </c>
      <c r="C1776" s="5" t="str">
        <f>IFERROR(__xludf.DUMMYFUNCTION("""COMPUTED_VALUE"""),"Caboolture")</f>
        <v>Caboolture</v>
      </c>
      <c r="D1776" s="5" t="str">
        <f>IFERROR(__xludf.DUMMYFUNCTION("""COMPUTED_VALUE"""),"5 Williams Road Caboolture QLD 4510")</f>
        <v>5 Williams Road Caboolture QLD 4510</v>
      </c>
      <c r="E1776" s="25">
        <f>IFERROR(__xludf.DUMMYFUNCTION("""COMPUTED_VALUE"""),45945.0)</f>
        <v>45945</v>
      </c>
      <c r="F1776" s="5">
        <f>IFERROR(__xludf.DUMMYFUNCTION("""COMPUTED_VALUE"""),6.0)</f>
        <v>6</v>
      </c>
      <c r="G1776" s="19" t="str">
        <f>IFERROR(__xludf.DUMMYFUNCTION("""COMPUTED_VALUE"""),"Instant Forms")</f>
        <v>Instant Forms</v>
      </c>
      <c r="H1776" s="19" t="str">
        <f>IFERROR(__xludf.DUMMYFUNCTION("""COMPUTED_VALUE"""),"Graham Laidlaw")</f>
        <v>Graham Laidlaw</v>
      </c>
      <c r="I1776" s="62"/>
      <c r="J1776" s="19"/>
    </row>
    <row r="1777">
      <c r="A1777" s="19" t="str">
        <f>IFERROR(__xludf.DUMMYFUNCTION("""COMPUTED_VALUE"""),"Melinda Smith")</f>
        <v>Melinda Smith</v>
      </c>
      <c r="B1777" s="19" t="str">
        <f>IFERROR(__xludf.DUMMYFUNCTION("""COMPUTED_VALUE"""),"QLD")</f>
        <v>QLD</v>
      </c>
      <c r="C1777" s="5" t="str">
        <f>IFERROR(__xludf.DUMMYFUNCTION("""COMPUTED_VALUE"""),"bellmere")</f>
        <v>bellmere</v>
      </c>
      <c r="D1777" s="5" t="str">
        <f>IFERROR(__xludf.DUMMYFUNCTION("""COMPUTED_VALUE"""),"81 Thompson Road Bellmere QLD 4510")</f>
        <v>81 Thompson Road Bellmere QLD 4510</v>
      </c>
      <c r="E1777" s="25">
        <f>IFERROR(__xludf.DUMMYFUNCTION("""COMPUTED_VALUE"""),45945.0)</f>
        <v>45945</v>
      </c>
      <c r="F1777" s="5">
        <f>IFERROR(__xludf.DUMMYFUNCTION("""COMPUTED_VALUE"""),6.0)</f>
        <v>6</v>
      </c>
      <c r="G1777" s="19" t="str">
        <f>IFERROR(__xludf.DUMMYFUNCTION("""COMPUTED_VALUE"""),"Instant Forms")</f>
        <v>Instant Forms</v>
      </c>
      <c r="H1777" s="19" t="str">
        <f>IFERROR(__xludf.DUMMYFUNCTION("""COMPUTED_VALUE"""),"John Sparks")</f>
        <v>John Sparks</v>
      </c>
      <c r="I1777" s="62"/>
      <c r="J1777" s="19"/>
    </row>
    <row r="1778">
      <c r="A1778" s="19" t="str">
        <f>IFERROR(__xludf.DUMMYFUNCTION("""COMPUTED_VALUE"""),"Melinda Smith")</f>
        <v>Melinda Smith</v>
      </c>
      <c r="B1778" s="19" t="str">
        <f>IFERROR(__xludf.DUMMYFUNCTION("""COMPUTED_VALUE"""),"QLD")</f>
        <v>QLD</v>
      </c>
      <c r="C1778" s="5" t="str">
        <f>IFERROR(__xludf.DUMMYFUNCTION("""COMPUTED_VALUE"""),"caboolture")</f>
        <v>caboolture</v>
      </c>
      <c r="D1778" s="5" t="str">
        <f>IFERROR(__xludf.DUMMYFUNCTION("""COMPUTED_VALUE"""),"15 Glendale Street Caboolture QLD 4510")</f>
        <v>15 Glendale Street Caboolture QLD 4510</v>
      </c>
      <c r="E1778" s="25">
        <f>IFERROR(__xludf.DUMMYFUNCTION("""COMPUTED_VALUE"""),45945.0)</f>
        <v>45945</v>
      </c>
      <c r="F1778" s="5">
        <f>IFERROR(__xludf.DUMMYFUNCTION("""COMPUTED_VALUE"""),6.0)</f>
        <v>6</v>
      </c>
      <c r="G1778" s="19" t="str">
        <f>IFERROR(__xludf.DUMMYFUNCTION("""COMPUTED_VALUE"""),"Instant Forms")</f>
        <v>Instant Forms</v>
      </c>
      <c r="H1778" s="19" t="str">
        <f>IFERROR(__xludf.DUMMYFUNCTION("""COMPUTED_VALUE"""),"Helen Chalker")</f>
        <v>Helen Chalker</v>
      </c>
      <c r="I1778" s="62"/>
      <c r="J1778" s="19"/>
    </row>
    <row r="1779">
      <c r="A1779" s="19" t="str">
        <f>IFERROR(__xludf.DUMMYFUNCTION("""COMPUTED_VALUE"""),"Melinda Smith")</f>
        <v>Melinda Smith</v>
      </c>
      <c r="B1779" s="19" t="str">
        <f>IFERROR(__xludf.DUMMYFUNCTION("""COMPUTED_VALUE"""),"QLD")</f>
        <v>QLD</v>
      </c>
      <c r="C1779" s="5" t="str">
        <f>IFERROR(__xludf.DUMMYFUNCTION("""COMPUTED_VALUE"""),"Morayfield")</f>
        <v>Morayfield</v>
      </c>
      <c r="D1779" s="5" t="str">
        <f>IFERROR(__xludf.DUMMYFUNCTION("""COMPUTED_VALUE"""),"331 Forest Hills Drive Morayfield QLD 4506")</f>
        <v>331 Forest Hills Drive Morayfield QLD 4506</v>
      </c>
      <c r="E1779" s="25">
        <f>IFERROR(__xludf.DUMMYFUNCTION("""COMPUTED_VALUE"""),45945.0)</f>
        <v>45945</v>
      </c>
      <c r="F1779" s="5">
        <f>IFERROR(__xludf.DUMMYFUNCTION("""COMPUTED_VALUE"""),8.0)</f>
        <v>8</v>
      </c>
      <c r="G1779" s="19" t="str">
        <f>IFERROR(__xludf.DUMMYFUNCTION("""COMPUTED_VALUE"""),"Instant Forms")</f>
        <v>Instant Forms</v>
      </c>
      <c r="H1779" s="19"/>
      <c r="I1779" s="62"/>
      <c r="J1779" s="19"/>
    </row>
    <row r="1780">
      <c r="A1780" s="19" t="str">
        <f>IFERROR(__xludf.DUMMYFUNCTION("""COMPUTED_VALUE"""),"Melinda Smith")</f>
        <v>Melinda Smith</v>
      </c>
      <c r="B1780" s="19" t="str">
        <f>IFERROR(__xludf.DUMMYFUNCTION("""COMPUTED_VALUE"""),"QLD")</f>
        <v>QLD</v>
      </c>
      <c r="C1780" s="5" t="str">
        <f>IFERROR(__xludf.DUMMYFUNCTION("""COMPUTED_VALUE"""),"Morayfield")</f>
        <v>Morayfield</v>
      </c>
      <c r="D1780" s="5" t="str">
        <f>IFERROR(__xludf.DUMMYFUNCTION("""COMPUTED_VALUE"""),"112 Excelsior Drive Morayfield QLD 4506")</f>
        <v>112 Excelsior Drive Morayfield QLD 4506</v>
      </c>
      <c r="E1780" s="25">
        <f>IFERROR(__xludf.DUMMYFUNCTION("""COMPUTED_VALUE"""),45949.0)</f>
        <v>45949</v>
      </c>
      <c r="F1780" s="5">
        <f>IFERROR(__xludf.DUMMYFUNCTION("""COMPUTED_VALUE"""),6.0)</f>
        <v>6</v>
      </c>
      <c r="G1780" s="19" t="str">
        <f>IFERROR(__xludf.DUMMYFUNCTION("""COMPUTED_VALUE"""),"Instant Forms")</f>
        <v>Instant Forms</v>
      </c>
      <c r="H1780" s="19"/>
      <c r="I1780" s="62"/>
      <c r="J1780" s="19"/>
    </row>
    <row r="1781">
      <c r="A1781" s="19" t="str">
        <f>IFERROR(__xludf.DUMMYFUNCTION("""COMPUTED_VALUE"""),"Melinda Smith")</f>
        <v>Melinda Smith</v>
      </c>
      <c r="B1781" s="19" t="str">
        <f>IFERROR(__xludf.DUMMYFUNCTION("""COMPUTED_VALUE"""),"QLD")</f>
        <v>QLD</v>
      </c>
      <c r="C1781" s="5" t="str">
        <f>IFERROR(__xludf.DUMMYFUNCTION("""COMPUTED_VALUE"""),"Griffin")</f>
        <v>Griffin</v>
      </c>
      <c r="D1781" s="5" t="str">
        <f>IFERROR(__xludf.DUMMYFUNCTION("""COMPUTED_VALUE"""),"39 Tarragon Parade Griffin QLD 4503")</f>
        <v>39 Tarragon Parade Griffin QLD 4503</v>
      </c>
      <c r="E1781" s="25">
        <f>IFERROR(__xludf.DUMMYFUNCTION("""COMPUTED_VALUE"""),45953.0)</f>
        <v>45953</v>
      </c>
      <c r="F1781" s="5">
        <f>IFERROR(__xludf.DUMMYFUNCTION("""COMPUTED_VALUE"""),8.0)</f>
        <v>8</v>
      </c>
      <c r="G1781" s="19" t="str">
        <f>IFERROR(__xludf.DUMMYFUNCTION("""COMPUTED_VALUE"""),"Instant Forms")</f>
        <v>Instant Forms</v>
      </c>
      <c r="H1781" s="19"/>
      <c r="I1781" s="62"/>
      <c r="J1781" s="19"/>
    </row>
    <row r="1782">
      <c r="A1782" s="19" t="str">
        <f>IFERROR(__xludf.DUMMYFUNCTION("""COMPUTED_VALUE"""),"Melinda Smith")</f>
        <v>Melinda Smith</v>
      </c>
      <c r="B1782" s="19" t="str">
        <f>IFERROR(__xludf.DUMMYFUNCTION("""COMPUTED_VALUE"""),"QLD")</f>
        <v>QLD</v>
      </c>
      <c r="C1782" s="5" t="str">
        <f>IFERROR(__xludf.DUMMYFUNCTION("""COMPUTED_VALUE"""),"Deception Bay")</f>
        <v>Deception Bay</v>
      </c>
      <c r="D1782" s="5" t="str">
        <f>IFERROR(__xludf.DUMMYFUNCTION("""COMPUTED_VALUE"""),"11 sometset dv. deception bay, deception bay, 4508")</f>
        <v>11 sometset dv. deception bay, deception bay, 4508</v>
      </c>
      <c r="E1782" s="25" t="str">
        <f>IFERROR(__xludf.DUMMYFUNCTION("""COMPUTED_VALUE"""),"29/10/2025")</f>
        <v>29/10/2025</v>
      </c>
      <c r="F1782" s="5" t="str">
        <f>IFERROR(__xludf.DUMMYFUNCTION("""COMPUTED_VALUE"""),"Featured")</f>
        <v>Featured</v>
      </c>
      <c r="G1782" s="19" t="str">
        <f>IFERROR(__xludf.DUMMYFUNCTION("""COMPUTED_VALUE"""),"Meta Commission Report")</f>
        <v>Meta Commission Report</v>
      </c>
      <c r="H1782" s="19" t="str">
        <f>IFERROR(__xludf.DUMMYFUNCTION("""COMPUTED_VALUE"""),"andrew")</f>
        <v>andrew</v>
      </c>
      <c r="I1782" s="62"/>
      <c r="J1782" s="19"/>
    </row>
    <row r="1783">
      <c r="A1783" s="19" t="str">
        <f>IFERROR(__xludf.DUMMYFUNCTION("""COMPUTED_VALUE"""),"Melinda Smith")</f>
        <v>Melinda Smith</v>
      </c>
      <c r="B1783" s="19" t="str">
        <f>IFERROR(__xludf.DUMMYFUNCTION("""COMPUTED_VALUE"""),"QLD")</f>
        <v>QLD</v>
      </c>
      <c r="C1783" s="5" t="str">
        <f>IFERROR(__xludf.DUMMYFUNCTION("""COMPUTED_VALUE"""),"Deception Bay")</f>
        <v>Deception Bay</v>
      </c>
      <c r="D1783" s="5" t="str">
        <f>IFERROR(__xludf.DUMMYFUNCTION("""COMPUTED_VALUE"""),"62/80 Webster Road Deception Bay QLD 4508")</f>
        <v>62/80 Webster Road Deception Bay QLD 4508</v>
      </c>
      <c r="E1783" s="25">
        <f>IFERROR(__xludf.DUMMYFUNCTION("""COMPUTED_VALUE"""),45962.0)</f>
        <v>45962</v>
      </c>
      <c r="F1783" s="5">
        <f>IFERROR(__xludf.DUMMYFUNCTION("""COMPUTED_VALUE"""),8.0)</f>
        <v>8</v>
      </c>
      <c r="G1783" s="19" t="str">
        <f>IFERROR(__xludf.DUMMYFUNCTION("""COMPUTED_VALUE"""),"Instant Forms")</f>
        <v>Instant Forms</v>
      </c>
      <c r="H1783" s="19"/>
      <c r="I1783" s="62"/>
      <c r="J1783" s="19"/>
    </row>
    <row r="1784">
      <c r="A1784" s="19" t="str">
        <f>IFERROR(__xludf.DUMMYFUNCTION("""COMPUTED_VALUE"""),"Melinda Smith")</f>
        <v>Melinda Smith</v>
      </c>
      <c r="B1784" s="19" t="str">
        <f>IFERROR(__xludf.DUMMYFUNCTION("""COMPUTED_VALUE"""),"QLD")</f>
        <v>QLD</v>
      </c>
      <c r="C1784" s="5" t="str">
        <f>IFERROR(__xludf.DUMMYFUNCTION("""COMPUTED_VALUE"""),"Caboolture")</f>
        <v>Caboolture</v>
      </c>
      <c r="D1784" s="5" t="str">
        <f>IFERROR(__xludf.DUMMYFUNCTION("""COMPUTED_VALUE"""),"12 Arthur St")</f>
        <v>12 Arthur St</v>
      </c>
      <c r="E1784" s="25">
        <f>IFERROR(__xludf.DUMMYFUNCTION("""COMPUTED_VALUE"""),45964.0)</f>
        <v>45964</v>
      </c>
      <c r="F1784" s="5" t="str">
        <f>IFERROR(__xludf.DUMMYFUNCTION("""COMPUTED_VALUE"""),"Featured")</f>
        <v>Featured</v>
      </c>
      <c r="G1784" s="19" t="str">
        <f>IFERROR(__xludf.DUMMYFUNCTION("""COMPUTED_VALUE"""),"Commission Comparison")</f>
        <v>Commission Comparison</v>
      </c>
      <c r="H1784" s="19"/>
      <c r="I1784" s="62"/>
      <c r="J1784" s="19"/>
    </row>
    <row r="1785">
      <c r="A1785" s="19" t="str">
        <f>IFERROR(__xludf.DUMMYFUNCTION("""COMPUTED_VALUE"""),"Melinda Smith")</f>
        <v>Melinda Smith</v>
      </c>
      <c r="B1785" s="19" t="str">
        <f>IFERROR(__xludf.DUMMYFUNCTION("""COMPUTED_VALUE"""),"QLD")</f>
        <v>QLD</v>
      </c>
      <c r="C1785" s="5" t="str">
        <f>IFERROR(__xludf.DUMMYFUNCTION("""COMPUTED_VALUE"""),"Kallangur")</f>
        <v>Kallangur</v>
      </c>
      <c r="D1785" s="5" t="str">
        <f>IFERROR(__xludf.DUMMYFUNCTION("""COMPUTED_VALUE"""),"38 kahala rd")</f>
        <v>38 kahala rd</v>
      </c>
      <c r="E1785" s="25">
        <f>IFERROR(__xludf.DUMMYFUNCTION("""COMPUTED_VALUE"""),45964.0)</f>
        <v>45964</v>
      </c>
      <c r="F1785" s="5" t="str">
        <f>IFERROR(__xludf.DUMMYFUNCTION("""COMPUTED_VALUE"""),"Featured")</f>
        <v>Featured</v>
      </c>
      <c r="G1785" s="19" t="str">
        <f>IFERROR(__xludf.DUMMYFUNCTION("""COMPUTED_VALUE"""),"Commission Comparison")</f>
        <v>Commission Comparison</v>
      </c>
      <c r="H1785" s="19"/>
      <c r="I1785" s="62"/>
      <c r="J1785" s="19"/>
    </row>
    <row r="1786">
      <c r="A1786" s="19" t="str">
        <f>IFERROR(__xludf.DUMMYFUNCTION("""COMPUTED_VALUE"""),"Melinda Smith")</f>
        <v>Melinda Smith</v>
      </c>
      <c r="B1786" s="19" t="str">
        <f>IFERROR(__xludf.DUMMYFUNCTION("""COMPUTED_VALUE"""),"QLD")</f>
        <v>QLD</v>
      </c>
      <c r="C1786" s="5" t="str">
        <f>IFERROR(__xludf.DUMMYFUNCTION("""COMPUTED_VALUE"""),"Capella")</f>
        <v>Capella</v>
      </c>
      <c r="D1786" s="5" t="str">
        <f>IFERROR(__xludf.DUMMYFUNCTION("""COMPUTED_VALUE"""),"36 Carmody Parade North Lakes")</f>
        <v>36 Carmody Parade North Lakes</v>
      </c>
      <c r="E1786" s="25">
        <f>IFERROR(__xludf.DUMMYFUNCTION("""COMPUTED_VALUE"""),45971.0)</f>
        <v>45971</v>
      </c>
      <c r="F1786" s="64">
        <f>IFERROR(__xludf.DUMMYFUNCTION("""COMPUTED_VALUE"""),0.15)</f>
        <v>0.15</v>
      </c>
      <c r="G1786" s="19" t="str">
        <f>IFERROR(__xludf.DUMMYFUNCTION("""COMPUTED_VALUE"""),"Commission Comparison")</f>
        <v>Commission Comparison</v>
      </c>
      <c r="H1786" s="19" t="str">
        <f>IFERROR(__xludf.DUMMYFUNCTION("""COMPUTED_VALUE"""),"Russell Diack")</f>
        <v>Russell Diack</v>
      </c>
      <c r="I1786" s="62">
        <f>IFERROR(__xludf.DUMMYFUNCTION("""COMPUTED_VALUE"""),6.1431757609E10)</f>
        <v>61431757609</v>
      </c>
      <c r="J1786" s="19" t="str">
        <f>IFERROR(__xludf.DUMMYFUNCTION("""COMPUTED_VALUE"""),"russelldiack@gmail.com")</f>
        <v>russelldiack@gmail.com</v>
      </c>
    </row>
    <row r="1787">
      <c r="A1787" s="19" t="str">
        <f>IFERROR(__xludf.DUMMYFUNCTION("""COMPUTED_VALUE"""),"Melinda Smith")</f>
        <v>Melinda Smith</v>
      </c>
      <c r="B1787" s="19" t="str">
        <f>IFERROR(__xludf.DUMMYFUNCTION("""COMPUTED_VALUE"""),"QLD")</f>
        <v>QLD</v>
      </c>
      <c r="C1787" s="5" t="str">
        <f>IFERROR(__xludf.DUMMYFUNCTION("""COMPUTED_VALUE"""),"kallangur")</f>
        <v>kallangur</v>
      </c>
      <c r="D1787" s="5" t="str">
        <f>IFERROR(__xludf.DUMMYFUNCTION("""COMPUTED_VALUE"""),"3 Shield Street Kallangur QLD 4503")</f>
        <v>3 Shield Street Kallangur QLD 4503</v>
      </c>
      <c r="E1787" s="25">
        <f>IFERROR(__xludf.DUMMYFUNCTION("""COMPUTED_VALUE"""),45973.0)</f>
        <v>45973</v>
      </c>
      <c r="F1787" s="5">
        <f>IFERROR(__xludf.DUMMYFUNCTION("""COMPUTED_VALUE"""),8.0)</f>
        <v>8</v>
      </c>
      <c r="G1787" s="19" t="str">
        <f>IFERROR(__xludf.DUMMYFUNCTION("""COMPUTED_VALUE"""),"Instant Forms")</f>
        <v>Instant Forms</v>
      </c>
      <c r="H1787" s="19" t="str">
        <f>IFERROR(__xludf.DUMMYFUNCTION("""COMPUTED_VALUE"""),"grant Fitzgerald")</f>
        <v>grant Fitzgerald</v>
      </c>
      <c r="I1787" s="62">
        <f>IFERROR(__xludf.DUMMYFUNCTION("""COMPUTED_VALUE"""),6.1411809987E10)</f>
        <v>61411809987</v>
      </c>
      <c r="J1787" s="19" t="str">
        <f>IFERROR(__xludf.DUMMYFUNCTION("""COMPUTED_VALUE"""),"Grantfitzgerald777@proton.me")</f>
        <v>Grantfitzgerald777@proton.me</v>
      </c>
    </row>
    <row r="1788">
      <c r="A1788" s="19" t="str">
        <f>IFERROR(__xludf.DUMMYFUNCTION("""COMPUTED_VALUE"""),"Melinda Smith")</f>
        <v>Melinda Smith</v>
      </c>
      <c r="B1788" s="19" t="str">
        <f>IFERROR(__xludf.DUMMYFUNCTION("""COMPUTED_VALUE"""),"QLD")</f>
        <v>QLD</v>
      </c>
      <c r="C1788" s="5" t="str">
        <f>IFERROR(__xludf.DUMMYFUNCTION("""COMPUTED_VALUE"""),"Deception Bay")</f>
        <v>Deception Bay</v>
      </c>
      <c r="D1788" s="5" t="str">
        <f>IFERROR(__xludf.DUMMYFUNCTION("""COMPUTED_VALUE"""),"19 Breakwater crt  Deception Bay, 4018")</f>
        <v>19 Breakwater crt  Deception Bay, 4018</v>
      </c>
      <c r="E1788" s="5" t="str">
        <f>IFERROR(__xludf.DUMMYFUNCTION("""COMPUTED_VALUE"""),"29/11/2025")</f>
        <v>29/11/2025</v>
      </c>
      <c r="F1788" s="64">
        <f>IFERROR(__xludf.DUMMYFUNCTION("""COMPUTED_VALUE"""),0.2)</f>
        <v>0.2</v>
      </c>
      <c r="G1788" s="19" t="str">
        <f>IFERROR(__xludf.DUMMYFUNCTION("""COMPUTED_VALUE"""),"Meta Commission Report")</f>
        <v>Meta Commission Report</v>
      </c>
      <c r="H1788" s="19" t="str">
        <f>IFERROR(__xludf.DUMMYFUNCTION("""COMPUTED_VALUE"""),"Donna Murphy")</f>
        <v>Donna Murphy</v>
      </c>
      <c r="I1788" s="62">
        <f>IFERROR(__xludf.DUMMYFUNCTION("""COMPUTED_VALUE"""),6.1449821633E10)</f>
        <v>61449821633</v>
      </c>
      <c r="J1788" s="19" t="str">
        <f>IFERROR(__xludf.DUMMYFUNCTION("""COMPUTED_VALUE"""),"dhawea08@gmail.com")</f>
        <v>dhawea08@gmail.com</v>
      </c>
    </row>
    <row r="1789">
      <c r="A1789" s="19" t="str">
        <f>IFERROR(__xludf.DUMMYFUNCTION("""COMPUTED_VALUE"""),"")</f>
        <v/>
      </c>
      <c r="B1789" s="19" t="str">
        <f>IFERROR(__xludf.DUMMYFUNCTION("""COMPUTED_VALUE"""),"")</f>
        <v/>
      </c>
      <c r="C1789" s="5" t="str">
        <f>IFERROR(__xludf.DUMMYFUNCTION("""COMPUTED_VALUE"""),"")</f>
        <v/>
      </c>
      <c r="D1789" s="5" t="str">
        <f>IFERROR(__xludf.DUMMYFUNCTION("""COMPUTED_VALUE"""),"")</f>
        <v/>
      </c>
      <c r="E1789" s="5" t="str">
        <f>IFERROR(__xludf.DUMMYFUNCTION("""COMPUTED_VALUE"""),"")</f>
        <v/>
      </c>
      <c r="F1789" s="5" t="str">
        <f>IFERROR(__xludf.DUMMYFUNCTION("""COMPUTED_VALUE"""),"")</f>
        <v/>
      </c>
      <c r="G1789" s="19" t="str">
        <f>IFERROR(__xludf.DUMMYFUNCTION("""COMPUTED_VALUE"""),"")</f>
        <v/>
      </c>
      <c r="H1789" s="19" t="str">
        <f>IFERROR(__xludf.DUMMYFUNCTION("""COMPUTED_VALUE"""),"")</f>
        <v/>
      </c>
      <c r="I1789" s="62" t="str">
        <f>IFERROR(__xludf.DUMMYFUNCTION("""COMPUTED_VALUE"""),"")</f>
        <v/>
      </c>
      <c r="J1789" s="19" t="str">
        <f>IFERROR(__xludf.DUMMYFUNCTION("""COMPUTED_VALUE"""),"")</f>
        <v/>
      </c>
    </row>
    <row r="1790">
      <c r="A1790" s="19" t="str">
        <f>IFERROR(__xludf.DUMMYFUNCTION("""COMPUTED_VALUE"""),"")</f>
        <v/>
      </c>
      <c r="B1790" s="19" t="str">
        <f>IFERROR(__xludf.DUMMYFUNCTION("""COMPUTED_VALUE"""),"")</f>
        <v/>
      </c>
      <c r="C1790" s="5" t="str">
        <f>IFERROR(__xludf.DUMMYFUNCTION("""COMPUTED_VALUE"""),"")</f>
        <v/>
      </c>
      <c r="D1790" s="5" t="str">
        <f>IFERROR(__xludf.DUMMYFUNCTION("""COMPUTED_VALUE"""),"")</f>
        <v/>
      </c>
      <c r="E1790" s="5" t="str">
        <f>IFERROR(__xludf.DUMMYFUNCTION("""COMPUTED_VALUE"""),"")</f>
        <v/>
      </c>
      <c r="F1790" s="5" t="str">
        <f>IFERROR(__xludf.DUMMYFUNCTION("""COMPUTED_VALUE"""),"")</f>
        <v/>
      </c>
      <c r="G1790" s="19" t="str">
        <f>IFERROR(__xludf.DUMMYFUNCTION("""COMPUTED_VALUE"""),"")</f>
        <v/>
      </c>
      <c r="H1790" s="19" t="str">
        <f>IFERROR(__xludf.DUMMYFUNCTION("""COMPUTED_VALUE"""),"")</f>
        <v/>
      </c>
      <c r="I1790" s="62" t="str">
        <f>IFERROR(__xludf.DUMMYFUNCTION("""COMPUTED_VALUE"""),"")</f>
        <v/>
      </c>
      <c r="J1790" s="19" t="str">
        <f>IFERROR(__xludf.DUMMYFUNCTION("""COMPUTED_VALUE"""),"")</f>
        <v/>
      </c>
    </row>
    <row r="1791">
      <c r="A1791" s="19" t="str">
        <f>IFERROR(__xludf.DUMMYFUNCTION("""COMPUTED_VALUE"""),"Melissa Ahearn")</f>
        <v>Melissa Ahearn</v>
      </c>
      <c r="B1791" s="19" t="str">
        <f>IFERROR(__xludf.DUMMYFUNCTION("""COMPUTED_VALUE"""),"VIC")</f>
        <v>VIC</v>
      </c>
      <c r="C1791" s="5" t="str">
        <f>IFERROR(__xludf.DUMMYFUNCTION("""COMPUTED_VALUE"""),"Drouin")</f>
        <v>Drouin</v>
      </c>
      <c r="D1791" s="5" t="str">
        <f>IFERROR(__xludf.DUMMYFUNCTION("""COMPUTED_VALUE"""),"13 Bertram Street Drouin VIC 3818")</f>
        <v>13 Bertram Street Drouin VIC 3818</v>
      </c>
      <c r="E1791" s="25">
        <f>IFERROR(__xludf.DUMMYFUNCTION("""COMPUTED_VALUE"""),45917.0)</f>
        <v>45917</v>
      </c>
      <c r="F1791" s="5">
        <f>IFERROR(__xludf.DUMMYFUNCTION("""COMPUTED_VALUE"""),8.0)</f>
        <v>8</v>
      </c>
      <c r="G1791" s="19" t="str">
        <f>IFERROR(__xludf.DUMMYFUNCTION("""COMPUTED_VALUE"""),"Instant Forms")</f>
        <v>Instant Forms</v>
      </c>
      <c r="H1791" s="19" t="str">
        <f>IFERROR(__xludf.DUMMYFUNCTION("""COMPUTED_VALUE"""),"Daniel Bush")</f>
        <v>Daniel Bush</v>
      </c>
      <c r="I1791" s="62"/>
      <c r="J1791" s="19"/>
    </row>
    <row r="1792">
      <c r="A1792" s="19" t="str">
        <f>IFERROR(__xludf.DUMMYFUNCTION("""COMPUTED_VALUE"""),"")</f>
        <v/>
      </c>
      <c r="B1792" s="19" t="str">
        <f>IFERROR(__xludf.DUMMYFUNCTION("""COMPUTED_VALUE"""),"")</f>
        <v/>
      </c>
      <c r="C1792" s="5" t="str">
        <f>IFERROR(__xludf.DUMMYFUNCTION("""COMPUTED_VALUE"""),"")</f>
        <v/>
      </c>
      <c r="D1792" s="5" t="str">
        <f>IFERROR(__xludf.DUMMYFUNCTION("""COMPUTED_VALUE"""),"")</f>
        <v/>
      </c>
      <c r="E1792" s="5" t="str">
        <f>IFERROR(__xludf.DUMMYFUNCTION("""COMPUTED_VALUE"""),"")</f>
        <v/>
      </c>
      <c r="F1792" s="5" t="str">
        <f>IFERROR(__xludf.DUMMYFUNCTION("""COMPUTED_VALUE"""),"")</f>
        <v/>
      </c>
      <c r="G1792" s="19" t="str">
        <f>IFERROR(__xludf.DUMMYFUNCTION("""COMPUTED_VALUE"""),"")</f>
        <v/>
      </c>
      <c r="H1792" s="19" t="str">
        <f>IFERROR(__xludf.DUMMYFUNCTION("""COMPUTED_VALUE"""),"")</f>
        <v/>
      </c>
      <c r="I1792" s="62" t="str">
        <f>IFERROR(__xludf.DUMMYFUNCTION("""COMPUTED_VALUE"""),"")</f>
        <v/>
      </c>
      <c r="J1792" s="19" t="str">
        <f>IFERROR(__xludf.DUMMYFUNCTION("""COMPUTED_VALUE"""),"")</f>
        <v/>
      </c>
    </row>
    <row r="1793">
      <c r="A1793" s="19" t="str">
        <f>IFERROR(__xludf.DUMMYFUNCTION("""COMPUTED_VALUE"""),"")</f>
        <v/>
      </c>
      <c r="B1793" s="19" t="str">
        <f>IFERROR(__xludf.DUMMYFUNCTION("""COMPUTED_VALUE"""),"")</f>
        <v/>
      </c>
      <c r="C1793" s="5" t="str">
        <f>IFERROR(__xludf.DUMMYFUNCTION("""COMPUTED_VALUE"""),"")</f>
        <v/>
      </c>
      <c r="D1793" s="5" t="str">
        <f>IFERROR(__xludf.DUMMYFUNCTION("""COMPUTED_VALUE"""),"")</f>
        <v/>
      </c>
      <c r="E1793" s="5" t="str">
        <f>IFERROR(__xludf.DUMMYFUNCTION("""COMPUTED_VALUE"""),"")</f>
        <v/>
      </c>
      <c r="F1793" s="5" t="str">
        <f>IFERROR(__xludf.DUMMYFUNCTION("""COMPUTED_VALUE"""),"")</f>
        <v/>
      </c>
      <c r="G1793" s="19" t="str">
        <f>IFERROR(__xludf.DUMMYFUNCTION("""COMPUTED_VALUE"""),"")</f>
        <v/>
      </c>
      <c r="H1793" s="19" t="str">
        <f>IFERROR(__xludf.DUMMYFUNCTION("""COMPUTED_VALUE"""),"")</f>
        <v/>
      </c>
      <c r="I1793" s="62" t="str">
        <f>IFERROR(__xludf.DUMMYFUNCTION("""COMPUTED_VALUE"""),"")</f>
        <v/>
      </c>
      <c r="J1793" s="19" t="str">
        <f>IFERROR(__xludf.DUMMYFUNCTION("""COMPUTED_VALUE"""),"")</f>
        <v/>
      </c>
    </row>
    <row r="1794">
      <c r="A1794" s="19" t="str">
        <f>IFERROR(__xludf.DUMMYFUNCTION("""COMPUTED_VALUE"""),"Michael Wallace")</f>
        <v>Michael Wallace</v>
      </c>
      <c r="B1794" s="19" t="str">
        <f>IFERROR(__xludf.DUMMYFUNCTION("""COMPUTED_VALUE"""),"WA")</f>
        <v>WA</v>
      </c>
      <c r="C1794" s="5" t="str">
        <f>IFERROR(__xludf.DUMMYFUNCTION("""COMPUTED_VALUE"""),"High Wycombe")</f>
        <v>High Wycombe</v>
      </c>
      <c r="D1794" s="5" t="str">
        <f>IFERROR(__xludf.DUMMYFUNCTION("""COMPUTED_VALUE"""),"21 Littlefield Rd   High Wycombe, high Wycombe, 6057")</f>
        <v>21 Littlefield Rd   High Wycombe, high Wycombe, 6057</v>
      </c>
      <c r="E1794" s="25" t="str">
        <f>IFERROR(__xludf.DUMMYFUNCTION("""COMPUTED_VALUE"""),"17/11/2025")</f>
        <v>17/11/2025</v>
      </c>
      <c r="F1794" s="5" t="str">
        <f>IFERROR(__xludf.DUMMYFUNCTION("""COMPUTED_VALUE"""),"Featured")</f>
        <v>Featured</v>
      </c>
      <c r="G1794" s="19" t="str">
        <f>IFERROR(__xludf.DUMMYFUNCTION("""COMPUTED_VALUE"""),"Meta Commission Report")</f>
        <v>Meta Commission Report</v>
      </c>
      <c r="H1794" s="19" t="str">
        <f>IFERROR(__xludf.DUMMYFUNCTION("""COMPUTED_VALUE"""),"Vivienne Gosling")</f>
        <v>Vivienne Gosling</v>
      </c>
      <c r="I1794" s="62">
        <f>IFERROR(__xludf.DUMMYFUNCTION("""COMPUTED_VALUE"""),6.1400755929E10)</f>
        <v>61400755929</v>
      </c>
      <c r="J1794" s="19" t="str">
        <f>IFERROR(__xludf.DUMMYFUNCTION("""COMPUTED_VALUE"""),"v_gosling@yahoo.com")</f>
        <v>v_gosling@yahoo.com</v>
      </c>
    </row>
    <row r="1795">
      <c r="A1795" s="19" t="str">
        <f>IFERROR(__xludf.DUMMYFUNCTION("""COMPUTED_VALUE"""),"Michael Wallace")</f>
        <v>Michael Wallace</v>
      </c>
      <c r="B1795" s="19" t="str">
        <f>IFERROR(__xludf.DUMMYFUNCTION("""COMPUTED_VALUE"""),"WA")</f>
        <v>WA</v>
      </c>
      <c r="C1795" s="5" t="str">
        <f>IFERROR(__xludf.DUMMYFUNCTION("""COMPUTED_VALUE"""),"Maida Vale")</f>
        <v>Maida Vale</v>
      </c>
      <c r="D1795" s="5" t="str">
        <f>IFERROR(__xludf.DUMMYFUNCTION("""COMPUTED_VALUE"""),"292 Kalamunda Road Maida Vale WA 6057, Maida Vale, 6057")</f>
        <v>292 Kalamunda Road Maida Vale WA 6057, Maida Vale, 6057</v>
      </c>
      <c r="E1795" s="5" t="str">
        <f>IFERROR(__xludf.DUMMYFUNCTION("""COMPUTED_VALUE"""),"23/11/2025")</f>
        <v>23/11/2025</v>
      </c>
      <c r="F1795" s="5" t="str">
        <f>IFERROR(__xludf.DUMMYFUNCTION("""COMPUTED_VALUE"""),"Featured")</f>
        <v>Featured</v>
      </c>
      <c r="G1795" s="19" t="str">
        <f>IFERROR(__xludf.DUMMYFUNCTION("""COMPUTED_VALUE"""),"Meta Commission Report")</f>
        <v>Meta Commission Report</v>
      </c>
      <c r="H1795" s="19" t="str">
        <f>IFERROR(__xludf.DUMMYFUNCTION("""COMPUTED_VALUE"""),"Maurice Latino")</f>
        <v>Maurice Latino</v>
      </c>
      <c r="I1795" s="62">
        <f>IFERROR(__xludf.DUMMYFUNCTION("""COMPUTED_VALUE"""),6.1405819416E10)</f>
        <v>61405819416</v>
      </c>
      <c r="J1795" s="19" t="str">
        <f>IFERROR(__xludf.DUMMYFUNCTION("""COMPUTED_VALUE"""),"Cnbmmc@gmail.com")</f>
        <v>Cnbmmc@gmail.com</v>
      </c>
    </row>
    <row r="1796">
      <c r="A1796" s="19" t="str">
        <f>IFERROR(__xludf.DUMMYFUNCTION("""COMPUTED_VALUE"""),"Michael Wallace")</f>
        <v>Michael Wallace</v>
      </c>
      <c r="B1796" s="19" t="str">
        <f>IFERROR(__xludf.DUMMYFUNCTION("""COMPUTED_VALUE"""),"WA")</f>
        <v>WA</v>
      </c>
      <c r="C1796" s="5" t="str">
        <f>IFERROR(__xludf.DUMMYFUNCTION("""COMPUTED_VALUE"""),"Wattle Grove")</f>
        <v>Wattle Grove</v>
      </c>
      <c r="D1796" s="5" t="str">
        <f>IFERROR(__xludf.DUMMYFUNCTION("""COMPUTED_VALUE"""),"268 Hale Road Wattle Grove WA 6107")</f>
        <v>268 Hale Road Wattle Grove WA 6107</v>
      </c>
      <c r="E1796" s="5" t="str">
        <f>IFERROR(__xludf.DUMMYFUNCTION("""COMPUTED_VALUE"""),"26/11/2025")</f>
        <v>26/11/2025</v>
      </c>
      <c r="F1796" s="5">
        <f>IFERROR(__xludf.DUMMYFUNCTION("""COMPUTED_VALUE"""),8.0)</f>
        <v>8</v>
      </c>
      <c r="G1796" s="19" t="str">
        <f>IFERROR(__xludf.DUMMYFUNCTION("""COMPUTED_VALUE"""),"Instant Forms")</f>
        <v>Instant Forms</v>
      </c>
      <c r="H1796" s="19" t="str">
        <f>IFERROR(__xludf.DUMMYFUNCTION("""COMPUTED_VALUE"""),"Gary McIntosh")</f>
        <v>Gary McIntosh</v>
      </c>
      <c r="I1796" s="62">
        <f>IFERROR(__xludf.DUMMYFUNCTION("""COMPUTED_VALUE"""),6.1416559654E10)</f>
        <v>61416559654</v>
      </c>
      <c r="J1796" s="19" t="str">
        <f>IFERROR(__xludf.DUMMYFUNCTION("""COMPUTED_VALUE"""),"gmcintosh@iinet.net.au")</f>
        <v>gmcintosh@iinet.net.au</v>
      </c>
    </row>
    <row r="1797">
      <c r="A1797" s="19" t="str">
        <f>IFERROR(__xludf.DUMMYFUNCTION("""COMPUTED_VALUE"""),"Michael Wallace")</f>
        <v>Michael Wallace</v>
      </c>
      <c r="B1797" s="19" t="str">
        <f>IFERROR(__xludf.DUMMYFUNCTION("""COMPUTED_VALUE"""),"WA")</f>
        <v>WA</v>
      </c>
      <c r="C1797" s="5" t="str">
        <f>IFERROR(__xludf.DUMMYFUNCTION("""COMPUTED_VALUE"""),"High Wycombe")</f>
        <v>High Wycombe</v>
      </c>
      <c r="D1797" s="5" t="str">
        <f>IFERROR(__xludf.DUMMYFUNCTION("""COMPUTED_VALUE"""),"146 Newburn Road High Wycombe WA 6057")</f>
        <v>146 Newburn Road High Wycombe WA 6057</v>
      </c>
      <c r="E1797" s="27">
        <f>IFERROR(__xludf.DUMMYFUNCTION("""COMPUTED_VALUE"""),45669.0)</f>
        <v>45669</v>
      </c>
      <c r="F1797" s="64">
        <f>IFERROR(__xludf.DUMMYFUNCTION("""COMPUTED_VALUE"""),0.2)</f>
        <v>0.2</v>
      </c>
      <c r="G1797" s="19" t="str">
        <f>IFERROR(__xludf.DUMMYFUNCTION("""COMPUTED_VALUE"""),"Instant Forms")</f>
        <v>Instant Forms</v>
      </c>
      <c r="H1797" s="19" t="str">
        <f>IFERROR(__xludf.DUMMYFUNCTION("""COMPUTED_VALUE"""),"Geoffrey Trutwein")</f>
        <v>Geoffrey Trutwein</v>
      </c>
      <c r="I1797" s="62">
        <f>IFERROR(__xludf.DUMMYFUNCTION("""COMPUTED_VALUE"""),6.1418906575E10)</f>
        <v>61418906575</v>
      </c>
      <c r="J1797" s="19" t="str">
        <f>IFERROR(__xludf.DUMMYFUNCTION("""COMPUTED_VALUE"""),"Geofftrut@gmail.com")</f>
        <v>Geofftrut@gmail.com</v>
      </c>
    </row>
    <row r="1798">
      <c r="A1798" s="19" t="str">
        <f>IFERROR(__xludf.DUMMYFUNCTION("""COMPUTED_VALUE"""),"Michael Wallace")</f>
        <v>Michael Wallace</v>
      </c>
      <c r="B1798" s="19" t="str">
        <f>IFERROR(__xludf.DUMMYFUNCTION("""COMPUTED_VALUE"""),"WA")</f>
        <v>WA</v>
      </c>
      <c r="C1798" s="5" t="str">
        <f>IFERROR(__xludf.DUMMYFUNCTION("""COMPUTED_VALUE"""),"Maida Vale")</f>
        <v>Maida Vale</v>
      </c>
      <c r="D1798" s="5" t="str">
        <f>IFERROR(__xludf.DUMMYFUNCTION("""COMPUTED_VALUE"""),"12 Crump Lane Maida Vale WA 6057")</f>
        <v>12 Crump Lane Maida Vale WA 6057</v>
      </c>
      <c r="E1798" s="27">
        <f>IFERROR(__xludf.DUMMYFUNCTION("""COMPUTED_VALUE"""),45728.0)</f>
        <v>45728</v>
      </c>
      <c r="F1798" s="64">
        <f>IFERROR(__xludf.DUMMYFUNCTION("""COMPUTED_VALUE"""),0.2)</f>
        <v>0.2</v>
      </c>
      <c r="G1798" s="19" t="str">
        <f>IFERROR(__xludf.DUMMYFUNCTION("""COMPUTED_VALUE"""),"Instant Forms")</f>
        <v>Instant Forms</v>
      </c>
      <c r="H1798" s="19" t="str">
        <f>IFERROR(__xludf.DUMMYFUNCTION("""COMPUTED_VALUE"""),"Lori Woods")</f>
        <v>Lori Woods</v>
      </c>
      <c r="I1798" s="62">
        <f>IFERROR(__xludf.DUMMYFUNCTION("""COMPUTED_VALUE"""),6.1417981139E10)</f>
        <v>61417981139</v>
      </c>
      <c r="J1798" s="19" t="str">
        <f>IFERROR(__xludf.DUMMYFUNCTION("""COMPUTED_VALUE"""),"lori@bigpond.net.au")</f>
        <v>lori@bigpond.net.au</v>
      </c>
    </row>
    <row r="1799">
      <c r="A1799" s="19" t="str">
        <f>IFERROR(__xludf.DUMMYFUNCTION("""COMPUTED_VALUE"""),"")</f>
        <v/>
      </c>
      <c r="B1799" s="19" t="str">
        <f>IFERROR(__xludf.DUMMYFUNCTION("""COMPUTED_VALUE"""),"")</f>
        <v/>
      </c>
      <c r="C1799" s="5" t="str">
        <f>IFERROR(__xludf.DUMMYFUNCTION("""COMPUTED_VALUE"""),"")</f>
        <v/>
      </c>
      <c r="D1799" s="5" t="str">
        <f>IFERROR(__xludf.DUMMYFUNCTION("""COMPUTED_VALUE"""),"")</f>
        <v/>
      </c>
      <c r="E1799" s="5" t="str">
        <f>IFERROR(__xludf.DUMMYFUNCTION("""COMPUTED_VALUE"""),"")</f>
        <v/>
      </c>
      <c r="F1799" s="5" t="str">
        <f>IFERROR(__xludf.DUMMYFUNCTION("""COMPUTED_VALUE"""),"")</f>
        <v/>
      </c>
      <c r="G1799" s="19" t="str">
        <f>IFERROR(__xludf.DUMMYFUNCTION("""COMPUTED_VALUE"""),"")</f>
        <v/>
      </c>
      <c r="H1799" s="19" t="str">
        <f>IFERROR(__xludf.DUMMYFUNCTION("""COMPUTED_VALUE"""),"")</f>
        <v/>
      </c>
      <c r="I1799" s="62" t="str">
        <f>IFERROR(__xludf.DUMMYFUNCTION("""COMPUTED_VALUE"""),"")</f>
        <v/>
      </c>
      <c r="J1799" s="19" t="str">
        <f>IFERROR(__xludf.DUMMYFUNCTION("""COMPUTED_VALUE"""),"")</f>
        <v/>
      </c>
    </row>
    <row r="1800">
      <c r="A1800" s="19" t="str">
        <f>IFERROR(__xludf.DUMMYFUNCTION("""COMPUTED_VALUE"""),"")</f>
        <v/>
      </c>
      <c r="B1800" s="19" t="str">
        <f>IFERROR(__xludf.DUMMYFUNCTION("""COMPUTED_VALUE"""),"")</f>
        <v/>
      </c>
      <c r="C1800" s="5" t="str">
        <f>IFERROR(__xludf.DUMMYFUNCTION("""COMPUTED_VALUE"""),"")</f>
        <v/>
      </c>
      <c r="D1800" s="5" t="str">
        <f>IFERROR(__xludf.DUMMYFUNCTION("""COMPUTED_VALUE"""),"")</f>
        <v/>
      </c>
      <c r="E1800" s="5" t="str">
        <f>IFERROR(__xludf.DUMMYFUNCTION("""COMPUTED_VALUE"""),"")</f>
        <v/>
      </c>
      <c r="F1800" s="5" t="str">
        <f>IFERROR(__xludf.DUMMYFUNCTION("""COMPUTED_VALUE"""),"")</f>
        <v/>
      </c>
      <c r="G1800" s="19" t="str">
        <f>IFERROR(__xludf.DUMMYFUNCTION("""COMPUTED_VALUE"""),"")</f>
        <v/>
      </c>
      <c r="H1800" s="19" t="str">
        <f>IFERROR(__xludf.DUMMYFUNCTION("""COMPUTED_VALUE"""),"")</f>
        <v/>
      </c>
      <c r="I1800" s="62" t="str">
        <f>IFERROR(__xludf.DUMMYFUNCTION("""COMPUTED_VALUE"""),"")</f>
        <v/>
      </c>
      <c r="J1800" s="19" t="str">
        <f>IFERROR(__xludf.DUMMYFUNCTION("""COMPUTED_VALUE"""),"")</f>
        <v/>
      </c>
    </row>
    <row r="1801">
      <c r="A1801" s="19" t="str">
        <f>IFERROR(__xludf.DUMMYFUNCTION("""COMPUTED_VALUE"""),"Michelle Galletti")</f>
        <v>Michelle Galletti</v>
      </c>
      <c r="B1801" s="19" t="str">
        <f>IFERROR(__xludf.DUMMYFUNCTION("""COMPUTED_VALUE"""),"NSW")</f>
        <v>NSW</v>
      </c>
      <c r="C1801" s="5" t="str">
        <f>IFERROR(__xludf.DUMMYFUNCTION("""COMPUTED_VALUE"""),"Seaforth")</f>
        <v>Seaforth</v>
      </c>
      <c r="D1801" s="5" t="str">
        <f>IFERROR(__xludf.DUMMYFUNCTION("""COMPUTED_VALUE"""),"6 Panorama Parade")</f>
        <v>6 Panorama Parade</v>
      </c>
      <c r="E1801" s="63"/>
      <c r="F1801" s="5" t="str">
        <f>IFERROR(__xludf.DUMMYFUNCTION("""COMPUTED_VALUE"""),"Featured")</f>
        <v>Featured</v>
      </c>
      <c r="G1801" s="19" t="str">
        <f>IFERROR(__xludf.DUMMYFUNCTION("""COMPUTED_VALUE"""),"Commission Comparison")</f>
        <v>Commission Comparison</v>
      </c>
      <c r="H1801" s="19"/>
      <c r="I1801" s="62"/>
      <c r="J1801" s="19"/>
    </row>
    <row r="1802">
      <c r="A1802" s="19" t="str">
        <f>IFERROR(__xludf.DUMMYFUNCTION("""COMPUTED_VALUE"""),"Michelle Galletti")</f>
        <v>Michelle Galletti</v>
      </c>
      <c r="B1802" s="19" t="str">
        <f>IFERROR(__xludf.DUMMYFUNCTION("""COMPUTED_VALUE"""),"NSW")</f>
        <v>NSW</v>
      </c>
      <c r="C1802" s="5" t="str">
        <f>IFERROR(__xludf.DUMMYFUNCTION("""COMPUTED_VALUE"""),"Queenscliff")</f>
        <v>Queenscliff</v>
      </c>
      <c r="D1802" s="5" t="str">
        <f>IFERROR(__xludf.DUMMYFUNCTION("""COMPUTED_VALUE"""),"12/64 Crown Road Queenscliff NSW 2096")</f>
        <v>12/64 Crown Road Queenscliff NSW 2096</v>
      </c>
      <c r="E1802" s="25">
        <f>IFERROR(__xludf.DUMMYFUNCTION("""COMPUTED_VALUE"""),45905.0)</f>
        <v>45905</v>
      </c>
      <c r="F1802" s="5" t="str">
        <f>IFERROR(__xludf.DUMMYFUNCTION("""COMPUTED_VALUE"""),"Featured")</f>
        <v>Featured</v>
      </c>
      <c r="G1802" s="19" t="str">
        <f>IFERROR(__xludf.DUMMYFUNCTION("""COMPUTED_VALUE"""),"Instant Forms")</f>
        <v>Instant Forms</v>
      </c>
      <c r="H1802" s="19"/>
      <c r="I1802" s="62"/>
      <c r="J1802" s="19"/>
    </row>
    <row r="1803">
      <c r="A1803" s="19" t="str">
        <f>IFERROR(__xludf.DUMMYFUNCTION("""COMPUTED_VALUE"""),"Michelle Galletti")</f>
        <v>Michelle Galletti</v>
      </c>
      <c r="B1803" s="19" t="str">
        <f>IFERROR(__xludf.DUMMYFUNCTION("""COMPUTED_VALUE"""),"NSW")</f>
        <v>NSW</v>
      </c>
      <c r="C1803" s="5" t="str">
        <f>IFERROR(__xludf.DUMMYFUNCTION("""COMPUTED_VALUE"""),"Manly")</f>
        <v>Manly</v>
      </c>
      <c r="D1803" s="5" t="str">
        <f>IFERROR(__xludf.DUMMYFUNCTION("""COMPUTED_VALUE"""),"4/101 North Steyne Manly NSW 2095")</f>
        <v>4/101 North Steyne Manly NSW 2095</v>
      </c>
      <c r="E1803" s="25">
        <f>IFERROR(__xludf.DUMMYFUNCTION("""COMPUTED_VALUE"""),45906.0)</f>
        <v>45906</v>
      </c>
      <c r="F1803" s="5" t="str">
        <f>IFERROR(__xludf.DUMMYFUNCTION("""COMPUTED_VALUE"""),"Featured")</f>
        <v>Featured</v>
      </c>
      <c r="G1803" s="19" t="str">
        <f>IFERROR(__xludf.DUMMYFUNCTION("""COMPUTED_VALUE"""),"Instant Forms")</f>
        <v>Instant Forms</v>
      </c>
      <c r="H1803" s="19"/>
      <c r="I1803" s="62"/>
      <c r="J1803" s="19"/>
    </row>
    <row r="1804">
      <c r="A1804" s="19" t="str">
        <f>IFERROR(__xludf.DUMMYFUNCTION("""COMPUTED_VALUE"""),"Michelle Galletti")</f>
        <v>Michelle Galletti</v>
      </c>
      <c r="B1804" s="19" t="str">
        <f>IFERROR(__xludf.DUMMYFUNCTION("""COMPUTED_VALUE"""),"NSW")</f>
        <v>NSW</v>
      </c>
      <c r="C1804" s="5" t="str">
        <f>IFERROR(__xludf.DUMMYFUNCTION("""COMPUTED_VALUE"""),"Balgowlah")</f>
        <v>Balgowlah</v>
      </c>
      <c r="D1804" s="5" t="str">
        <f>IFERROR(__xludf.DUMMYFUNCTION("""COMPUTED_VALUE"""),"1 Beatrice Street Clontarf NSW 2093")</f>
        <v>1 Beatrice Street Clontarf NSW 2093</v>
      </c>
      <c r="E1804" s="25">
        <f>IFERROR(__xludf.DUMMYFUNCTION("""COMPUTED_VALUE"""),45906.0)</f>
        <v>45906</v>
      </c>
      <c r="F1804" s="5" t="str">
        <f>IFERROR(__xludf.DUMMYFUNCTION("""COMPUTED_VALUE"""),"Featured")</f>
        <v>Featured</v>
      </c>
      <c r="G1804" s="19" t="str">
        <f>IFERROR(__xludf.DUMMYFUNCTION("""COMPUTED_VALUE"""),"Instant Forms")</f>
        <v>Instant Forms</v>
      </c>
      <c r="H1804" s="19"/>
      <c r="I1804" s="62"/>
      <c r="J1804" s="19"/>
    </row>
    <row r="1805">
      <c r="A1805" s="19" t="str">
        <f>IFERROR(__xludf.DUMMYFUNCTION("""COMPUTED_VALUE"""),"Michelle Galletti")</f>
        <v>Michelle Galletti</v>
      </c>
      <c r="B1805" s="19" t="str">
        <f>IFERROR(__xludf.DUMMYFUNCTION("""COMPUTED_VALUE"""),"NSW")</f>
        <v>NSW</v>
      </c>
      <c r="C1805" s="5" t="str">
        <f>IFERROR(__xludf.DUMMYFUNCTION("""COMPUTED_VALUE"""),"North Manly")</f>
        <v>North Manly</v>
      </c>
      <c r="D1805" s="5" t="str">
        <f>IFERROR(__xludf.DUMMYFUNCTION("""COMPUTED_VALUE"""),"3 Wakefield Street North Manly NSW 2100")</f>
        <v>3 Wakefield Street North Manly NSW 2100</v>
      </c>
      <c r="E1805" s="25">
        <f>IFERROR(__xludf.DUMMYFUNCTION("""COMPUTED_VALUE"""),45908.0)</f>
        <v>45908</v>
      </c>
      <c r="F1805" s="5" t="str">
        <f>IFERROR(__xludf.DUMMYFUNCTION("""COMPUTED_VALUE"""),"Featured")</f>
        <v>Featured</v>
      </c>
      <c r="G1805" s="19" t="str">
        <f>IFERROR(__xludf.DUMMYFUNCTION("""COMPUTED_VALUE"""),"Instant Forms")</f>
        <v>Instant Forms</v>
      </c>
      <c r="H1805" s="19"/>
      <c r="I1805" s="62"/>
      <c r="J1805" s="19"/>
    </row>
    <row r="1806">
      <c r="A1806" s="19" t="str">
        <f>IFERROR(__xludf.DUMMYFUNCTION("""COMPUTED_VALUE"""),"Michelle Galletti")</f>
        <v>Michelle Galletti</v>
      </c>
      <c r="B1806" s="19" t="str">
        <f>IFERROR(__xludf.DUMMYFUNCTION("""COMPUTED_VALUE"""),"NSW")</f>
        <v>NSW</v>
      </c>
      <c r="C1806" s="5" t="str">
        <f>IFERROR(__xludf.DUMMYFUNCTION("""COMPUTED_VALUE"""),"North Manly")</f>
        <v>North Manly</v>
      </c>
      <c r="D1806" s="5" t="str">
        <f>IFERROR(__xludf.DUMMYFUNCTION("""COMPUTED_VALUE"""),"3 Wakefield Street North Manly NSW 2100")</f>
        <v>3 Wakefield Street North Manly NSW 2100</v>
      </c>
      <c r="E1806" s="25">
        <f>IFERROR(__xludf.DUMMYFUNCTION("""COMPUTED_VALUE"""),45910.0)</f>
        <v>45910</v>
      </c>
      <c r="F1806" s="5">
        <f>IFERROR(__xludf.DUMMYFUNCTION("""COMPUTED_VALUE"""),8.0)</f>
        <v>8</v>
      </c>
      <c r="G1806" s="19" t="str">
        <f>IFERROR(__xludf.DUMMYFUNCTION("""COMPUTED_VALUE"""),"Instant Forms")</f>
        <v>Instant Forms</v>
      </c>
      <c r="H1806" s="19" t="str">
        <f>IFERROR(__xludf.DUMMYFUNCTION("""COMPUTED_VALUE"""),"Kay Vee (Karen Joan Visser)")</f>
        <v>Kay Vee (Karen Joan Visser)</v>
      </c>
      <c r="I1806" s="62"/>
      <c r="J1806" s="19"/>
    </row>
    <row r="1807">
      <c r="A1807" s="19" t="str">
        <f>IFERROR(__xludf.DUMMYFUNCTION("""COMPUTED_VALUE"""),"Michelle Galletti")</f>
        <v>Michelle Galletti</v>
      </c>
      <c r="B1807" s="19" t="str">
        <f>IFERROR(__xludf.DUMMYFUNCTION("""COMPUTED_VALUE"""),"NSW")</f>
        <v>NSW</v>
      </c>
      <c r="C1807" s="5" t="str">
        <f>IFERROR(__xludf.DUMMYFUNCTION("""COMPUTED_VALUE"""),"Queenscliff")</f>
        <v>Queenscliff</v>
      </c>
      <c r="D1807" s="5" t="str">
        <f>IFERROR(__xludf.DUMMYFUNCTION("""COMPUTED_VALUE"""),"15 Highview Avenue Queenscliff NSW 2096")</f>
        <v>15 Highview Avenue Queenscliff NSW 2096</v>
      </c>
      <c r="E1807" s="25">
        <f>IFERROR(__xludf.DUMMYFUNCTION("""COMPUTED_VALUE"""),45912.0)</f>
        <v>45912</v>
      </c>
      <c r="F1807" s="5">
        <f>IFERROR(__xludf.DUMMYFUNCTION("""COMPUTED_VALUE"""),6.0)</f>
        <v>6</v>
      </c>
      <c r="G1807" s="19" t="str">
        <f>IFERROR(__xludf.DUMMYFUNCTION("""COMPUTED_VALUE"""),"Instant Forms")</f>
        <v>Instant Forms</v>
      </c>
      <c r="H1807" s="19" t="str">
        <f>IFERROR(__xludf.DUMMYFUNCTION("""COMPUTED_VALUE"""),"Robyn Perillo")</f>
        <v>Robyn Perillo</v>
      </c>
      <c r="I1807" s="62"/>
      <c r="J1807" s="19"/>
    </row>
    <row r="1808">
      <c r="A1808" s="19" t="str">
        <f>IFERROR(__xludf.DUMMYFUNCTION("""COMPUTED_VALUE"""),"Michelle Galletti")</f>
        <v>Michelle Galletti</v>
      </c>
      <c r="B1808" s="19" t="str">
        <f>IFERROR(__xludf.DUMMYFUNCTION("""COMPUTED_VALUE"""),"NSW")</f>
        <v>NSW</v>
      </c>
      <c r="C1808" s="5"/>
      <c r="D1808" s="5" t="str">
        <f>IFERROR(__xludf.DUMMYFUNCTION("""COMPUTED_VALUE"""),"15 Denison Street Manly NSW 2095")</f>
        <v>15 Denison Street Manly NSW 2095</v>
      </c>
      <c r="E1808" s="25">
        <f>IFERROR(__xludf.DUMMYFUNCTION("""COMPUTED_VALUE"""),45912.0)</f>
        <v>45912</v>
      </c>
      <c r="F1808" s="5">
        <f>IFERROR(__xludf.DUMMYFUNCTION("""COMPUTED_VALUE"""),5.0)</f>
        <v>5</v>
      </c>
      <c r="G1808" s="19" t="str">
        <f>IFERROR(__xludf.DUMMYFUNCTION("""COMPUTED_VALUE"""),"Instant Forms")</f>
        <v>Instant Forms</v>
      </c>
      <c r="H1808" s="19"/>
      <c r="I1808" s="62"/>
      <c r="J1808" s="19"/>
    </row>
    <row r="1809">
      <c r="A1809" s="19" t="str">
        <f>IFERROR(__xludf.DUMMYFUNCTION("""COMPUTED_VALUE"""),"Michelle Galletti")</f>
        <v>Michelle Galletti</v>
      </c>
      <c r="B1809" s="19" t="str">
        <f>IFERROR(__xludf.DUMMYFUNCTION("""COMPUTED_VALUE"""),"NSW")</f>
        <v>NSW</v>
      </c>
      <c r="C1809" s="5"/>
      <c r="D1809" s="5" t="str">
        <f>IFERROR(__xludf.DUMMYFUNCTION("""COMPUTED_VALUE"""),"35 Middle Road Exeter NSW 2579")</f>
        <v>35 Middle Road Exeter NSW 2579</v>
      </c>
      <c r="E1809" s="25">
        <f>IFERROR(__xludf.DUMMYFUNCTION("""COMPUTED_VALUE"""),45912.0)</f>
        <v>45912</v>
      </c>
      <c r="F1809" s="5">
        <f>IFERROR(__xludf.DUMMYFUNCTION("""COMPUTED_VALUE"""),5.0)</f>
        <v>5</v>
      </c>
      <c r="G1809" s="19" t="str">
        <f>IFERROR(__xludf.DUMMYFUNCTION("""COMPUTED_VALUE"""),"Instant Forms")</f>
        <v>Instant Forms</v>
      </c>
      <c r="H1809" s="19"/>
      <c r="I1809" s="62"/>
      <c r="J1809" s="19"/>
    </row>
    <row r="1810">
      <c r="A1810" s="19" t="str">
        <f>IFERROR(__xludf.DUMMYFUNCTION("""COMPUTED_VALUE"""),"Michelle Galletti")</f>
        <v>Michelle Galletti</v>
      </c>
      <c r="B1810" s="19" t="str">
        <f>IFERROR(__xludf.DUMMYFUNCTION("""COMPUTED_VALUE"""),"NSW")</f>
        <v>NSW</v>
      </c>
      <c r="C1810" s="5" t="str">
        <f>IFERROR(__xludf.DUMMYFUNCTION("""COMPUTED_VALUE"""),"Balgowlah")</f>
        <v>Balgowlah</v>
      </c>
      <c r="D1810" s="5" t="str">
        <f>IFERROR(__xludf.DUMMYFUNCTION("""COMPUTED_VALUE"""),"1 / 27 Seaview Street, Balgowlah, NSW, 2093, Australia")</f>
        <v>1 / 27 Seaview Street, Balgowlah, NSW, 2093, Australia</v>
      </c>
      <c r="E1810" s="25">
        <f>IFERROR(__xludf.DUMMYFUNCTION("""COMPUTED_VALUE"""),45922.0)</f>
        <v>45922</v>
      </c>
      <c r="F1810" s="5" t="str">
        <f>IFERROR(__xludf.DUMMYFUNCTION("""COMPUTED_VALUE"""),"Featured")</f>
        <v>Featured</v>
      </c>
      <c r="G1810" s="19" t="str">
        <f>IFERROR(__xludf.DUMMYFUNCTION("""COMPUTED_VALUE"""),"Commission Comparison")</f>
        <v>Commission Comparison</v>
      </c>
      <c r="H1810" s="19"/>
      <c r="I1810" s="62"/>
      <c r="J1810" s="19"/>
    </row>
    <row r="1811">
      <c r="A1811" s="19" t="str">
        <f>IFERROR(__xludf.DUMMYFUNCTION("""COMPUTED_VALUE"""),"Michelle Galletti")</f>
        <v>Michelle Galletti</v>
      </c>
      <c r="B1811" s="19" t="str">
        <f>IFERROR(__xludf.DUMMYFUNCTION("""COMPUTED_VALUE"""),"NSW")</f>
        <v>NSW</v>
      </c>
      <c r="C1811" s="5" t="str">
        <f>IFERROR(__xludf.DUMMYFUNCTION("""COMPUTED_VALUE"""),"Freshwater")</f>
        <v>Freshwater</v>
      </c>
      <c r="D1811" s="5" t="str">
        <f>IFERROR(__xludf.DUMMYFUNCTION("""COMPUTED_VALUE"""),"18 Old Smithfield Road Freshwater QLD 4870")</f>
        <v>18 Old Smithfield Road Freshwater QLD 4870</v>
      </c>
      <c r="E1811" s="25">
        <f>IFERROR(__xludf.DUMMYFUNCTION("""COMPUTED_VALUE"""),45928.0)</f>
        <v>45928</v>
      </c>
      <c r="F1811" s="5">
        <f>IFERROR(__xludf.DUMMYFUNCTION("""COMPUTED_VALUE"""),8.0)</f>
        <v>8</v>
      </c>
      <c r="G1811" s="19" t="str">
        <f>IFERROR(__xludf.DUMMYFUNCTION("""COMPUTED_VALUE"""),"Instant Forms")</f>
        <v>Instant Forms</v>
      </c>
      <c r="H1811" s="19" t="str">
        <f>IFERROR(__xludf.DUMMYFUNCTION("""COMPUTED_VALUE"""),"Helen Simpson")</f>
        <v>Helen Simpson</v>
      </c>
      <c r="I1811" s="62"/>
      <c r="J1811" s="19"/>
    </row>
    <row r="1812">
      <c r="A1812" s="19" t="str">
        <f>IFERROR(__xludf.DUMMYFUNCTION("""COMPUTED_VALUE"""),"Michelle Galletti")</f>
        <v>Michelle Galletti</v>
      </c>
      <c r="B1812" s="19" t="str">
        <f>IFERROR(__xludf.DUMMYFUNCTION("""COMPUTED_VALUE"""),"NSW")</f>
        <v>NSW</v>
      </c>
      <c r="C1812" s="5" t="str">
        <f>IFERROR(__xludf.DUMMYFUNCTION("""COMPUTED_VALUE"""),"Freshwater")</f>
        <v>Freshwater</v>
      </c>
      <c r="D1812" s="5" t="str">
        <f>IFERROR(__xludf.DUMMYFUNCTION("""COMPUTED_VALUE"""),"72 Wyadra Avenue, Freshwater, NSW, 2096, Australia")</f>
        <v>72 Wyadra Avenue, Freshwater, NSW, 2096, Australia</v>
      </c>
      <c r="E1812" s="25" t="str">
        <f>IFERROR(__xludf.DUMMYFUNCTION("""COMPUTED_VALUE"""),"28/09/2025")</f>
        <v>28/09/2025</v>
      </c>
      <c r="F1812" s="5" t="str">
        <f>IFERROR(__xludf.DUMMYFUNCTION("""COMPUTED_VALUE"""),"Featured")</f>
        <v>Featured</v>
      </c>
      <c r="G1812" s="19"/>
      <c r="H1812" s="19"/>
      <c r="I1812" s="62"/>
      <c r="J1812" s="19"/>
    </row>
    <row r="1813">
      <c r="A1813" s="19" t="str">
        <f>IFERROR(__xludf.DUMMYFUNCTION("""COMPUTED_VALUE"""),"Michelle Galletti")</f>
        <v>Michelle Galletti</v>
      </c>
      <c r="B1813" s="19" t="str">
        <f>IFERROR(__xludf.DUMMYFUNCTION("""COMPUTED_VALUE"""),"NSW")</f>
        <v>NSW</v>
      </c>
      <c r="C1813" s="5" t="str">
        <f>IFERROR(__xludf.DUMMYFUNCTION("""COMPUTED_VALUE"""),"Balgowlah")</f>
        <v>Balgowlah</v>
      </c>
      <c r="D1813" s="5" t="str">
        <f>IFERROR(__xludf.DUMMYFUNCTION("""COMPUTED_VALUE"""),"119 Woodland Street Balgowlah NSW 2093")</f>
        <v>119 Woodland Street Balgowlah NSW 2093</v>
      </c>
      <c r="E1813" s="25">
        <f>IFERROR(__xludf.DUMMYFUNCTION("""COMPUTED_VALUE"""),45929.0)</f>
        <v>45929</v>
      </c>
      <c r="F1813" s="5">
        <f>IFERROR(__xludf.DUMMYFUNCTION("""COMPUTED_VALUE"""),8.0)</f>
        <v>8</v>
      </c>
      <c r="G1813" s="19" t="str">
        <f>IFERROR(__xludf.DUMMYFUNCTION("""COMPUTED_VALUE"""),"Instant Forms")</f>
        <v>Instant Forms</v>
      </c>
      <c r="H1813" s="19" t="str">
        <f>IFERROR(__xludf.DUMMYFUNCTION("""COMPUTED_VALUE"""),"Lisa Birch")</f>
        <v>Lisa Birch</v>
      </c>
      <c r="I1813" s="62"/>
      <c r="J1813" s="19"/>
    </row>
    <row r="1814">
      <c r="A1814" s="19" t="str">
        <f>IFERROR(__xludf.DUMMYFUNCTION("""COMPUTED_VALUE"""),"Michelle Galletti")</f>
        <v>Michelle Galletti</v>
      </c>
      <c r="B1814" s="19" t="str">
        <f>IFERROR(__xludf.DUMMYFUNCTION("""COMPUTED_VALUE"""),"NSW")</f>
        <v>NSW</v>
      </c>
      <c r="C1814" s="5" t="str">
        <f>IFERROR(__xludf.DUMMYFUNCTION("""COMPUTED_VALUE"""),"North Manly")</f>
        <v>North Manly</v>
      </c>
      <c r="D1814" s="5" t="str">
        <f>IFERROR(__xludf.DUMMYFUNCTION("""COMPUTED_VALUE"""),"7 Robert Avenue North Manly NSW 2100")</f>
        <v>7 Robert Avenue North Manly NSW 2100</v>
      </c>
      <c r="E1814" s="25">
        <f>IFERROR(__xludf.DUMMYFUNCTION("""COMPUTED_VALUE"""),45947.0)</f>
        <v>45947</v>
      </c>
      <c r="F1814" s="5">
        <f>IFERROR(__xludf.DUMMYFUNCTION("""COMPUTED_VALUE"""),8.0)</f>
        <v>8</v>
      </c>
      <c r="G1814" s="19" t="str">
        <f>IFERROR(__xludf.DUMMYFUNCTION("""COMPUTED_VALUE"""),"Instant Forms")</f>
        <v>Instant Forms</v>
      </c>
      <c r="H1814" s="19"/>
      <c r="I1814" s="62"/>
      <c r="J1814" s="19"/>
    </row>
    <row r="1815">
      <c r="A1815" s="19" t="str">
        <f>IFERROR(__xludf.DUMMYFUNCTION("""COMPUTED_VALUE"""),"Michelle Galletti")</f>
        <v>Michelle Galletti</v>
      </c>
      <c r="B1815" s="19" t="str">
        <f>IFERROR(__xludf.DUMMYFUNCTION("""COMPUTED_VALUE"""),"NSW")</f>
        <v>NSW</v>
      </c>
      <c r="C1815" s="5" t="str">
        <f>IFERROR(__xludf.DUMMYFUNCTION("""COMPUTED_VALUE"""),"Seaforth")</f>
        <v>Seaforth</v>
      </c>
      <c r="D1815" s="5" t="str">
        <f>IFERROR(__xludf.DUMMYFUNCTION("""COMPUTED_VALUE"""),"2 Alto Avenue Seaforth NSW 2092")</f>
        <v>2 Alto Avenue Seaforth NSW 2092</v>
      </c>
      <c r="E1815" s="25">
        <f>IFERROR(__xludf.DUMMYFUNCTION("""COMPUTED_VALUE"""),45955.0)</f>
        <v>45955</v>
      </c>
      <c r="F1815" s="5">
        <f>IFERROR(__xludf.DUMMYFUNCTION("""COMPUTED_VALUE"""),8.0)</f>
        <v>8</v>
      </c>
      <c r="G1815" s="19" t="str">
        <f>IFERROR(__xludf.DUMMYFUNCTION("""COMPUTED_VALUE"""),"Instant Forms")</f>
        <v>Instant Forms</v>
      </c>
      <c r="H1815" s="19"/>
      <c r="I1815" s="62"/>
      <c r="J1815" s="19"/>
    </row>
    <row r="1816">
      <c r="A1816" s="19" t="str">
        <f>IFERROR(__xludf.DUMMYFUNCTION("""COMPUTED_VALUE"""),"Michelle Galletti")</f>
        <v>Michelle Galletti</v>
      </c>
      <c r="B1816" s="19" t="str">
        <f>IFERROR(__xludf.DUMMYFUNCTION("""COMPUTED_VALUE"""),"NSW")</f>
        <v>NSW</v>
      </c>
      <c r="C1816" s="5" t="str">
        <f>IFERROR(__xludf.DUMMYFUNCTION("""COMPUTED_VALUE"""),"Seaforth")</f>
        <v>Seaforth</v>
      </c>
      <c r="D1816" s="5" t="str">
        <f>IFERROR(__xludf.DUMMYFUNCTION("""COMPUTED_VALUE"""),"2 Alto Avenue Seaforth NSW 2092")</f>
        <v>2 Alto Avenue Seaforth NSW 2092</v>
      </c>
      <c r="E1816" s="25">
        <f>IFERROR(__xludf.DUMMYFUNCTION("""COMPUTED_VALUE"""),45958.0)</f>
        <v>45958</v>
      </c>
      <c r="F1816" s="5">
        <f>IFERROR(__xludf.DUMMYFUNCTION("""COMPUTED_VALUE"""),8.0)</f>
        <v>8</v>
      </c>
      <c r="G1816" s="19" t="str">
        <f>IFERROR(__xludf.DUMMYFUNCTION("""COMPUTED_VALUE"""),"Instant Forms")</f>
        <v>Instant Forms</v>
      </c>
      <c r="H1816" s="19"/>
      <c r="I1816" s="62"/>
      <c r="J1816" s="19"/>
    </row>
    <row r="1817">
      <c r="A1817" s="19" t="str">
        <f>IFERROR(__xludf.DUMMYFUNCTION("""COMPUTED_VALUE"""),"Michelle Galletti")</f>
        <v>Michelle Galletti</v>
      </c>
      <c r="B1817" s="19" t="str">
        <f>IFERROR(__xludf.DUMMYFUNCTION("""COMPUTED_VALUE"""),"NSW")</f>
        <v>NSW</v>
      </c>
      <c r="C1817" s="5" t="str">
        <f>IFERROR(__xludf.DUMMYFUNCTION("""COMPUTED_VALUE"""),"Freshwater")</f>
        <v>Freshwater</v>
      </c>
      <c r="D1817" s="5"/>
      <c r="E1817" s="25">
        <f>IFERROR(__xludf.DUMMYFUNCTION("""COMPUTED_VALUE"""),45960.0)</f>
        <v>45960</v>
      </c>
      <c r="F1817" s="5">
        <f>IFERROR(__xludf.DUMMYFUNCTION("""COMPUTED_VALUE"""),5.0)</f>
        <v>5</v>
      </c>
      <c r="G1817" s="19" t="str">
        <f>IFERROR(__xludf.DUMMYFUNCTION("""COMPUTED_VALUE"""),"Instant Forms")</f>
        <v>Instant Forms</v>
      </c>
      <c r="H1817" s="19"/>
      <c r="I1817" s="62"/>
      <c r="J1817" s="19"/>
    </row>
    <row r="1818">
      <c r="A1818" s="19" t="str">
        <f>IFERROR(__xludf.DUMMYFUNCTION("""COMPUTED_VALUE"""),"Michelle Galletti")</f>
        <v>Michelle Galletti</v>
      </c>
      <c r="B1818" s="19" t="str">
        <f>IFERROR(__xludf.DUMMYFUNCTION("""COMPUTED_VALUE"""),"NSW")</f>
        <v>NSW</v>
      </c>
      <c r="C1818" s="5" t="str">
        <f>IFERROR(__xludf.DUMMYFUNCTION("""COMPUTED_VALUE"""),"Freshwater nsw")</f>
        <v>Freshwater nsw</v>
      </c>
      <c r="D1818" s="5"/>
      <c r="E1818" s="25">
        <f>IFERROR(__xludf.DUMMYFUNCTION("""COMPUTED_VALUE"""),45968.0)</f>
        <v>45968</v>
      </c>
      <c r="F1818" s="5">
        <f>IFERROR(__xludf.DUMMYFUNCTION("""COMPUTED_VALUE"""),5.0)</f>
        <v>5</v>
      </c>
      <c r="G1818" s="19" t="str">
        <f>IFERROR(__xludf.DUMMYFUNCTION("""COMPUTED_VALUE"""),"Instant Forms")</f>
        <v>Instant Forms</v>
      </c>
      <c r="H1818" s="19" t="str">
        <f>IFERROR(__xludf.DUMMYFUNCTION("""COMPUTED_VALUE"""),"Kathy Ingram")</f>
        <v>Kathy Ingram</v>
      </c>
      <c r="I1818" s="62">
        <f>IFERROR(__xludf.DUMMYFUNCTION("""COMPUTED_VALUE"""),6.1425219784E10)</f>
        <v>61425219784</v>
      </c>
      <c r="J1818" s="19" t="str">
        <f>IFERROR(__xludf.DUMMYFUNCTION("""COMPUTED_VALUE"""),"Rogeringram@ozemail.com.au")</f>
        <v>Rogeringram@ozemail.com.au</v>
      </c>
    </row>
    <row r="1819">
      <c r="A1819" s="19" t="str">
        <f>IFERROR(__xludf.DUMMYFUNCTION("""COMPUTED_VALUE"""),"Michelle Galletti")</f>
        <v>Michelle Galletti</v>
      </c>
      <c r="B1819" s="19" t="str">
        <f>IFERROR(__xludf.DUMMYFUNCTION("""COMPUTED_VALUE"""),"NSW")</f>
        <v>NSW</v>
      </c>
      <c r="C1819" s="5" t="str">
        <f>IFERROR(__xludf.DUMMYFUNCTION("""COMPUTED_VALUE"""),"Balgowlah")</f>
        <v>Balgowlah</v>
      </c>
      <c r="D1819" s="5" t="str">
        <f>IFERROR(__xludf.DUMMYFUNCTION("""COMPUTED_VALUE"""),"2/104 Condamine Street Balgowlah NSW 2093")</f>
        <v>2/104 Condamine Street Balgowlah NSW 2093</v>
      </c>
      <c r="E1819" s="5" t="str">
        <f>IFERROR(__xludf.DUMMYFUNCTION("""COMPUTED_VALUE"""),"19/11/2025")</f>
        <v>19/11/2025</v>
      </c>
      <c r="F1819" s="5">
        <f>IFERROR(__xludf.DUMMYFUNCTION("""COMPUTED_VALUE"""),8.0)</f>
        <v>8</v>
      </c>
      <c r="G1819" s="19" t="str">
        <f>IFERROR(__xludf.DUMMYFUNCTION("""COMPUTED_VALUE"""),"Instant Forms")</f>
        <v>Instant Forms</v>
      </c>
      <c r="H1819" s="19" t="str">
        <f>IFERROR(__xludf.DUMMYFUNCTION("""COMPUTED_VALUE"""),"Dave Thompson")</f>
        <v>Dave Thompson</v>
      </c>
      <c r="I1819" s="62">
        <f>IFERROR(__xludf.DUMMYFUNCTION("""COMPUTED_VALUE"""),6.1423982073E10)</f>
        <v>61423982073</v>
      </c>
      <c r="J1819" s="19" t="str">
        <f>IFERROR(__xludf.DUMMYFUNCTION("""COMPUTED_VALUE"""),"davedakota888@gmail.com")</f>
        <v>davedakota888@gmail.com</v>
      </c>
    </row>
    <row r="1820">
      <c r="A1820" s="19" t="str">
        <f>IFERROR(__xludf.DUMMYFUNCTION("""COMPUTED_VALUE"""),"")</f>
        <v/>
      </c>
      <c r="B1820" s="19" t="str">
        <f>IFERROR(__xludf.DUMMYFUNCTION("""COMPUTED_VALUE"""),"")</f>
        <v/>
      </c>
      <c r="C1820" s="5" t="str">
        <f>IFERROR(__xludf.DUMMYFUNCTION("""COMPUTED_VALUE"""),"")</f>
        <v/>
      </c>
      <c r="D1820" s="5" t="str">
        <f>IFERROR(__xludf.DUMMYFUNCTION("""COMPUTED_VALUE"""),"")</f>
        <v/>
      </c>
      <c r="E1820" s="5" t="str">
        <f>IFERROR(__xludf.DUMMYFUNCTION("""COMPUTED_VALUE"""),"")</f>
        <v/>
      </c>
      <c r="F1820" s="5" t="str">
        <f>IFERROR(__xludf.DUMMYFUNCTION("""COMPUTED_VALUE"""),"")</f>
        <v/>
      </c>
      <c r="G1820" s="19" t="str">
        <f>IFERROR(__xludf.DUMMYFUNCTION("""COMPUTED_VALUE"""),"")</f>
        <v/>
      </c>
      <c r="H1820" s="19" t="str">
        <f>IFERROR(__xludf.DUMMYFUNCTION("""COMPUTED_VALUE"""),"")</f>
        <v/>
      </c>
      <c r="I1820" s="62" t="str">
        <f>IFERROR(__xludf.DUMMYFUNCTION("""COMPUTED_VALUE"""),"")</f>
        <v/>
      </c>
      <c r="J1820" s="19" t="str">
        <f>IFERROR(__xludf.DUMMYFUNCTION("""COMPUTED_VALUE"""),"")</f>
        <v/>
      </c>
    </row>
    <row r="1821">
      <c r="A1821" s="19" t="str">
        <f>IFERROR(__xludf.DUMMYFUNCTION("""COMPUTED_VALUE"""),"")</f>
        <v/>
      </c>
      <c r="B1821" s="19" t="str">
        <f>IFERROR(__xludf.DUMMYFUNCTION("""COMPUTED_VALUE"""),"")</f>
        <v/>
      </c>
      <c r="C1821" s="5" t="str">
        <f>IFERROR(__xludf.DUMMYFUNCTION("""COMPUTED_VALUE"""),"")</f>
        <v/>
      </c>
      <c r="D1821" s="5" t="str">
        <f>IFERROR(__xludf.DUMMYFUNCTION("""COMPUTED_VALUE"""),"")</f>
        <v/>
      </c>
      <c r="E1821" s="5" t="str">
        <f>IFERROR(__xludf.DUMMYFUNCTION("""COMPUTED_VALUE"""),"")</f>
        <v/>
      </c>
      <c r="F1821" s="5" t="str">
        <f>IFERROR(__xludf.DUMMYFUNCTION("""COMPUTED_VALUE"""),"")</f>
        <v/>
      </c>
      <c r="G1821" s="19" t="str">
        <f>IFERROR(__xludf.DUMMYFUNCTION("""COMPUTED_VALUE"""),"")</f>
        <v/>
      </c>
      <c r="H1821" s="19" t="str">
        <f>IFERROR(__xludf.DUMMYFUNCTION("""COMPUTED_VALUE"""),"")</f>
        <v/>
      </c>
      <c r="I1821" s="62" t="str">
        <f>IFERROR(__xludf.DUMMYFUNCTION("""COMPUTED_VALUE"""),"")</f>
        <v/>
      </c>
      <c r="J1821" s="19" t="str">
        <f>IFERROR(__xludf.DUMMYFUNCTION("""COMPUTED_VALUE"""),"")</f>
        <v/>
      </c>
    </row>
    <row r="1822">
      <c r="A1822" s="19" t="str">
        <f>IFERROR(__xludf.DUMMYFUNCTION("""COMPUTED_VALUE"""),"Monique Field")</f>
        <v>Monique Field</v>
      </c>
      <c r="B1822" s="19" t="str">
        <f>IFERROR(__xludf.DUMMYFUNCTION("""COMPUTED_VALUE"""),"NSW")</f>
        <v>NSW</v>
      </c>
      <c r="C1822" s="5" t="str">
        <f>IFERROR(__xludf.DUMMYFUNCTION("""COMPUTED_VALUE"""),"Oak Flats")</f>
        <v>Oak Flats</v>
      </c>
      <c r="D1822" s="5"/>
      <c r="E1822" s="25">
        <f>IFERROR(__xludf.DUMMYFUNCTION("""COMPUTED_VALUE"""),45882.0)</f>
        <v>45882</v>
      </c>
      <c r="F1822" s="5" t="str">
        <f>IFERROR(__xludf.DUMMYFUNCTION("""COMPUTED_VALUE"""),"Featured")</f>
        <v>Featured</v>
      </c>
      <c r="G1822" s="19" t="str">
        <f>IFERROR(__xludf.DUMMYFUNCTION("""COMPUTED_VALUE"""),"Instant Forms")</f>
        <v>Instant Forms</v>
      </c>
      <c r="H1822" s="19"/>
      <c r="I1822" s="62"/>
      <c r="J1822" s="19"/>
    </row>
    <row r="1823">
      <c r="A1823" s="19" t="str">
        <f>IFERROR(__xludf.DUMMYFUNCTION("""COMPUTED_VALUE"""),"Monique Field")</f>
        <v>Monique Field</v>
      </c>
      <c r="B1823" s="19" t="str">
        <f>IFERROR(__xludf.DUMMYFUNCTION("""COMPUTED_VALUE"""),"NSW")</f>
        <v>NSW</v>
      </c>
      <c r="C1823" s="5">
        <f>IFERROR(__xludf.DUMMYFUNCTION("""COMPUTED_VALUE"""),2528.0)</f>
        <v>2528</v>
      </c>
      <c r="D1823" s="5"/>
      <c r="E1823" s="25">
        <f>IFERROR(__xludf.DUMMYFUNCTION("""COMPUTED_VALUE"""),45885.0)</f>
        <v>45885</v>
      </c>
      <c r="F1823" s="5" t="str">
        <f>IFERROR(__xludf.DUMMYFUNCTION("""COMPUTED_VALUE"""),"Featured")</f>
        <v>Featured</v>
      </c>
      <c r="G1823" s="19" t="str">
        <f>IFERROR(__xludf.DUMMYFUNCTION("""COMPUTED_VALUE"""),"Instant Forms")</f>
        <v>Instant Forms</v>
      </c>
      <c r="H1823" s="19"/>
      <c r="I1823" s="62"/>
      <c r="J1823" s="19"/>
    </row>
    <row r="1824">
      <c r="A1824" s="19" t="str">
        <f>IFERROR(__xludf.DUMMYFUNCTION("""COMPUTED_VALUE"""),"Monique Field")</f>
        <v>Monique Field</v>
      </c>
      <c r="B1824" s="19" t="str">
        <f>IFERROR(__xludf.DUMMYFUNCTION("""COMPUTED_VALUE"""),"NSW")</f>
        <v>NSW</v>
      </c>
      <c r="C1824" s="5" t="str">
        <f>IFERROR(__xludf.DUMMYFUNCTION("""COMPUTED_VALUE"""),"Albion park")</f>
        <v>Albion park</v>
      </c>
      <c r="D1824" s="5"/>
      <c r="E1824" s="25">
        <f>IFERROR(__xludf.DUMMYFUNCTION("""COMPUTED_VALUE"""),45887.0)</f>
        <v>45887</v>
      </c>
      <c r="F1824" s="5" t="str">
        <f>IFERROR(__xludf.DUMMYFUNCTION("""COMPUTED_VALUE"""),"Featured")</f>
        <v>Featured</v>
      </c>
      <c r="G1824" s="19" t="str">
        <f>IFERROR(__xludf.DUMMYFUNCTION("""COMPUTED_VALUE"""),"Instant Forms")</f>
        <v>Instant Forms</v>
      </c>
      <c r="H1824" s="19"/>
      <c r="I1824" s="62"/>
      <c r="J1824" s="19"/>
    </row>
    <row r="1825">
      <c r="A1825" s="19" t="str">
        <f>IFERROR(__xludf.DUMMYFUNCTION("""COMPUTED_VALUE"""),"Monique Field")</f>
        <v>Monique Field</v>
      </c>
      <c r="B1825" s="19" t="str">
        <f>IFERROR(__xludf.DUMMYFUNCTION("""COMPUTED_VALUE"""),"NSW")</f>
        <v>NSW</v>
      </c>
      <c r="C1825" s="5" t="str">
        <f>IFERROR(__xludf.DUMMYFUNCTION("""COMPUTED_VALUE"""),"Gledswood Hills")</f>
        <v>Gledswood Hills</v>
      </c>
      <c r="D1825" s="5"/>
      <c r="E1825" s="5"/>
      <c r="F1825" s="5" t="str">
        <f>IFERROR(__xludf.DUMMYFUNCTION("""COMPUTED_VALUE"""),"Negotiate Commission")</f>
        <v>Negotiate Commission</v>
      </c>
      <c r="G1825" s="19"/>
      <c r="H1825" s="19" t="str">
        <f>IFERROR(__xludf.DUMMYFUNCTION("""COMPUTED_VALUE"""),"Mitch Knezevic")</f>
        <v>Mitch Knezevic</v>
      </c>
      <c r="I1825" s="62">
        <f>IFERROR(__xludf.DUMMYFUNCTION("""COMPUTED_VALUE"""),6.1402241096E10)</f>
        <v>61402241096</v>
      </c>
      <c r="J1825" s="19" t="str">
        <f>IFERROR(__xludf.DUMMYFUNCTION("""COMPUTED_VALUE"""),"mitch.knezevic@gmail.com")</f>
        <v>mitch.knezevic@gmail.com</v>
      </c>
    </row>
    <row r="1826">
      <c r="A1826" s="19" t="str">
        <f>IFERROR(__xludf.DUMMYFUNCTION("""COMPUTED_VALUE"""),"Monique Field")</f>
        <v>Monique Field</v>
      </c>
      <c r="B1826" s="19" t="str">
        <f>IFERROR(__xludf.DUMMYFUNCTION("""COMPUTED_VALUE"""),"NSW")</f>
        <v>NSW</v>
      </c>
      <c r="C1826" s="5">
        <f>IFERROR(__xludf.DUMMYFUNCTION("""COMPUTED_VALUE"""),2529.0)</f>
        <v>2529</v>
      </c>
      <c r="D1826" s="5"/>
      <c r="E1826" s="25">
        <f>IFERROR(__xludf.DUMMYFUNCTION("""COMPUTED_VALUE"""),45894.0)</f>
        <v>45894</v>
      </c>
      <c r="F1826" s="5" t="str">
        <f>IFERROR(__xludf.DUMMYFUNCTION("""COMPUTED_VALUE"""),"Free")</f>
        <v>Free</v>
      </c>
      <c r="G1826" s="19" t="str">
        <f>IFERROR(__xludf.DUMMYFUNCTION("""COMPUTED_VALUE"""),"Instant Forms")</f>
        <v>Instant Forms</v>
      </c>
      <c r="H1826" s="19"/>
      <c r="I1826" s="62"/>
      <c r="J1826" s="19"/>
    </row>
    <row r="1827">
      <c r="A1827" s="19" t="str">
        <f>IFERROR(__xludf.DUMMYFUNCTION("""COMPUTED_VALUE"""),"Monique Field")</f>
        <v>Monique Field</v>
      </c>
      <c r="B1827" s="19" t="str">
        <f>IFERROR(__xludf.DUMMYFUNCTION("""COMPUTED_VALUE"""),"NSW")</f>
        <v>NSW</v>
      </c>
      <c r="C1827" s="5" t="str">
        <f>IFERROR(__xludf.DUMMYFUNCTION("""COMPUTED_VALUE"""),"Albion Park Rail")</f>
        <v>Albion Park Rail</v>
      </c>
      <c r="D1827" s="5" t="str">
        <f>IFERROR(__xludf.DUMMYFUNCTION("""COMPUTED_VALUE"""),"75 Elm Street Albion Park Rail NSW 2527")</f>
        <v>75 Elm Street Albion Park Rail NSW 2527</v>
      </c>
      <c r="E1827" s="25">
        <f>IFERROR(__xludf.DUMMYFUNCTION("""COMPUTED_VALUE"""),45904.0)</f>
        <v>45904</v>
      </c>
      <c r="F1827" s="5" t="str">
        <f>IFERROR(__xludf.DUMMYFUNCTION("""COMPUTED_VALUE"""),"Featured")</f>
        <v>Featured</v>
      </c>
      <c r="G1827" s="19" t="str">
        <f>IFERROR(__xludf.DUMMYFUNCTION("""COMPUTED_VALUE"""),"Instant Forms")</f>
        <v>Instant Forms</v>
      </c>
      <c r="H1827" s="19"/>
      <c r="I1827" s="62"/>
      <c r="J1827" s="19"/>
    </row>
    <row r="1828">
      <c r="A1828" s="19" t="str">
        <f>IFERROR(__xludf.DUMMYFUNCTION("""COMPUTED_VALUE"""),"Monique Field")</f>
        <v>Monique Field</v>
      </c>
      <c r="B1828" s="19" t="str">
        <f>IFERROR(__xludf.DUMMYFUNCTION("""COMPUTED_VALUE"""),"NSW")</f>
        <v>NSW</v>
      </c>
      <c r="C1828" s="5" t="str">
        <f>IFERROR(__xludf.DUMMYFUNCTION("""COMPUTED_VALUE"""),"Shell Cove")</f>
        <v>Shell Cove</v>
      </c>
      <c r="D1828" s="5" t="str">
        <f>IFERROR(__xludf.DUMMYFUNCTION("""COMPUTED_VALUE"""),"5 Tasman Drive Shell Cove NSW 2529")</f>
        <v>5 Tasman Drive Shell Cove NSW 2529</v>
      </c>
      <c r="E1828" s="25">
        <f>IFERROR(__xludf.DUMMYFUNCTION("""COMPUTED_VALUE"""),45905.0)</f>
        <v>45905</v>
      </c>
      <c r="F1828" s="5" t="str">
        <f>IFERROR(__xludf.DUMMYFUNCTION("""COMPUTED_VALUE"""),"Featured")</f>
        <v>Featured</v>
      </c>
      <c r="G1828" s="19" t="str">
        <f>IFERROR(__xludf.DUMMYFUNCTION("""COMPUTED_VALUE"""),"Instant Forms")</f>
        <v>Instant Forms</v>
      </c>
      <c r="H1828" s="19"/>
      <c r="I1828" s="62"/>
      <c r="J1828" s="19"/>
    </row>
    <row r="1829">
      <c r="A1829" s="19" t="str">
        <f>IFERROR(__xludf.DUMMYFUNCTION("""COMPUTED_VALUE"""),"Monique Field")</f>
        <v>Monique Field</v>
      </c>
      <c r="B1829" s="19" t="str">
        <f>IFERROR(__xludf.DUMMYFUNCTION("""COMPUTED_VALUE"""),"NSW")</f>
        <v>NSW</v>
      </c>
      <c r="C1829" s="5">
        <f>IFERROR(__xludf.DUMMYFUNCTION("""COMPUTED_VALUE"""),2530.0)</f>
        <v>2530</v>
      </c>
      <c r="D1829" s="5"/>
      <c r="E1829" s="25">
        <f>IFERROR(__xludf.DUMMYFUNCTION("""COMPUTED_VALUE"""),45908.0)</f>
        <v>45908</v>
      </c>
      <c r="F1829" s="5" t="str">
        <f>IFERROR(__xludf.DUMMYFUNCTION("""COMPUTED_VALUE"""),"Free")</f>
        <v>Free</v>
      </c>
      <c r="G1829" s="19" t="str">
        <f>IFERROR(__xludf.DUMMYFUNCTION("""COMPUTED_VALUE"""),"Instant Forms")</f>
        <v>Instant Forms</v>
      </c>
      <c r="H1829" s="19"/>
      <c r="I1829" s="62"/>
      <c r="J1829" s="19"/>
    </row>
    <row r="1830">
      <c r="A1830" s="19" t="str">
        <f>IFERROR(__xludf.DUMMYFUNCTION("""COMPUTED_VALUE"""),"Monique Field")</f>
        <v>Monique Field</v>
      </c>
      <c r="B1830" s="19" t="str">
        <f>IFERROR(__xludf.DUMMYFUNCTION("""COMPUTED_VALUE"""),"NSW")</f>
        <v>NSW</v>
      </c>
      <c r="C1830" s="5" t="str">
        <f>IFERROR(__xludf.DUMMYFUNCTION("""COMPUTED_VALUE"""),"Albion Park")</f>
        <v>Albion Park</v>
      </c>
      <c r="D1830" s="5" t="str">
        <f>IFERROR(__xludf.DUMMYFUNCTION("""COMPUTED_VALUE"""),"9 Pleasant View Close Albion Park NSW 2527")</f>
        <v>9 Pleasant View Close Albion Park NSW 2527</v>
      </c>
      <c r="E1830" s="25">
        <f>IFERROR(__xludf.DUMMYFUNCTION("""COMPUTED_VALUE"""),45910.0)</f>
        <v>45910</v>
      </c>
      <c r="F1830" s="5">
        <f>IFERROR(__xludf.DUMMYFUNCTION("""COMPUTED_VALUE"""),8.0)</f>
        <v>8</v>
      </c>
      <c r="G1830" s="19" t="str">
        <f>IFERROR(__xludf.DUMMYFUNCTION("""COMPUTED_VALUE"""),"Instant Forms")</f>
        <v>Instant Forms</v>
      </c>
      <c r="H1830" s="19" t="str">
        <f>IFERROR(__xludf.DUMMYFUNCTION("""COMPUTED_VALUE"""),"Shanin Long (Shanin Neveling)")</f>
        <v>Shanin Long (Shanin Neveling)</v>
      </c>
      <c r="I1830" s="62"/>
      <c r="J1830" s="19"/>
    </row>
    <row r="1831">
      <c r="A1831" s="19" t="str">
        <f>IFERROR(__xludf.DUMMYFUNCTION("""COMPUTED_VALUE"""),"Monique Field")</f>
        <v>Monique Field</v>
      </c>
      <c r="B1831" s="19" t="str">
        <f>IFERROR(__xludf.DUMMYFUNCTION("""COMPUTED_VALUE"""),"NSW")</f>
        <v>NSW</v>
      </c>
      <c r="C1831" s="5" t="str">
        <f>IFERROR(__xludf.DUMMYFUNCTION("""COMPUTED_VALUE"""),"Shellharbour")</f>
        <v>Shellharbour</v>
      </c>
      <c r="D1831" s="5" t="str">
        <f>IFERROR(__xludf.DUMMYFUNCTION("""COMPUTED_VALUE"""),"38 Leawarra Avenue Barrack Heights NSW 2528")</f>
        <v>38 Leawarra Avenue Barrack Heights NSW 2528</v>
      </c>
      <c r="E1831" s="25">
        <f>IFERROR(__xludf.DUMMYFUNCTION("""COMPUTED_VALUE"""),45912.0)</f>
        <v>45912</v>
      </c>
      <c r="F1831" s="5">
        <f>IFERROR(__xludf.DUMMYFUNCTION("""COMPUTED_VALUE"""),8.0)</f>
        <v>8</v>
      </c>
      <c r="G1831" s="19" t="str">
        <f>IFERROR(__xludf.DUMMYFUNCTION("""COMPUTED_VALUE"""),"Instant Forms")</f>
        <v>Instant Forms</v>
      </c>
      <c r="H1831" s="19" t="str">
        <f>IFERROR(__xludf.DUMMYFUNCTION("""COMPUTED_VALUE"""),"Biserka Zufic")</f>
        <v>Biserka Zufic</v>
      </c>
      <c r="I1831" s="62"/>
      <c r="J1831" s="19"/>
    </row>
    <row r="1832">
      <c r="A1832" s="19" t="str">
        <f>IFERROR(__xludf.DUMMYFUNCTION("""COMPUTED_VALUE"""),"Monique Field")</f>
        <v>Monique Field</v>
      </c>
      <c r="B1832" s="19" t="str">
        <f>IFERROR(__xludf.DUMMYFUNCTION("""COMPUTED_VALUE"""),"NSW")</f>
        <v>NSW</v>
      </c>
      <c r="C1832" s="5" t="str">
        <f>IFERROR(__xludf.DUMMYFUNCTION("""COMPUTED_VALUE"""),"Albion Park Rail")</f>
        <v>Albion Park Rail</v>
      </c>
      <c r="D1832" s="5" t="str">
        <f>IFERROR(__xludf.DUMMYFUNCTION("""COMPUTED_VALUE"""),"98 Jarrah Way, Albion Park Rail, NSW, 2527, Australia")</f>
        <v>98 Jarrah Way, Albion Park Rail, NSW, 2527, Australia</v>
      </c>
      <c r="E1832" s="25">
        <f>IFERROR(__xludf.DUMMYFUNCTION("""COMPUTED_VALUE"""),45922.0)</f>
        <v>45922</v>
      </c>
      <c r="F1832" s="5" t="str">
        <f>IFERROR(__xludf.DUMMYFUNCTION("""COMPUTED_VALUE"""),"Featured")</f>
        <v>Featured</v>
      </c>
      <c r="G1832" s="19" t="str">
        <f>IFERROR(__xludf.DUMMYFUNCTION("""COMPUTED_VALUE"""),"Commission Comparison")</f>
        <v>Commission Comparison</v>
      </c>
      <c r="H1832" s="19"/>
      <c r="I1832" s="62"/>
      <c r="J1832" s="19"/>
    </row>
    <row r="1833">
      <c r="A1833" s="19" t="str">
        <f>IFERROR(__xludf.DUMMYFUNCTION("""COMPUTED_VALUE"""),"Monique Field")</f>
        <v>Monique Field</v>
      </c>
      <c r="B1833" s="19" t="str">
        <f>IFERROR(__xludf.DUMMYFUNCTION("""COMPUTED_VALUE"""),"NSW")</f>
        <v>NSW</v>
      </c>
      <c r="C1833" s="5" t="str">
        <f>IFERROR(__xludf.DUMMYFUNCTION("""COMPUTED_VALUE"""),"Wollongong")</f>
        <v>Wollongong</v>
      </c>
      <c r="D1833" s="5" t="str">
        <f>IFERROR(__xludf.DUMMYFUNCTION("""COMPUTED_VALUE"""),"28 Cooinda Place Kiama NSW 2533")</f>
        <v>28 Cooinda Place Kiama NSW 2533</v>
      </c>
      <c r="E1833" s="25">
        <f>IFERROR(__xludf.DUMMYFUNCTION("""COMPUTED_VALUE"""),45931.0)</f>
        <v>45931</v>
      </c>
      <c r="F1833" s="5">
        <f>IFERROR(__xludf.DUMMYFUNCTION("""COMPUTED_VALUE"""),6.0)</f>
        <v>6</v>
      </c>
      <c r="G1833" s="19" t="str">
        <f>IFERROR(__xludf.DUMMYFUNCTION("""COMPUTED_VALUE"""),"Instant Forms")</f>
        <v>Instant Forms</v>
      </c>
      <c r="H1833" s="19" t="str">
        <f>IFERROR(__xludf.DUMMYFUNCTION("""COMPUTED_VALUE"""),"John Gabriele")</f>
        <v>John Gabriele</v>
      </c>
      <c r="I1833" s="62"/>
      <c r="J1833" s="19"/>
    </row>
    <row r="1834">
      <c r="A1834" s="19" t="str">
        <f>IFERROR(__xludf.DUMMYFUNCTION("""COMPUTED_VALUE"""),"Monique Field")</f>
        <v>Monique Field</v>
      </c>
      <c r="B1834" s="19" t="str">
        <f>IFERROR(__xludf.DUMMYFUNCTION("""COMPUTED_VALUE"""),"NSW")</f>
        <v>NSW</v>
      </c>
      <c r="C1834" s="5" t="str">
        <f>IFERROR(__xludf.DUMMYFUNCTION("""COMPUTED_VALUE"""),"Shelharbour")</f>
        <v>Shelharbour</v>
      </c>
      <c r="D1834" s="5" t="str">
        <f>IFERROR(__xludf.DUMMYFUNCTION("""COMPUTED_VALUE"""),"29 Elizabeth Circuit Flinders NSW 2529")</f>
        <v>29 Elizabeth Circuit Flinders NSW 2529</v>
      </c>
      <c r="E1834" s="25">
        <f>IFERROR(__xludf.DUMMYFUNCTION("""COMPUTED_VALUE"""),45935.0)</f>
        <v>45935</v>
      </c>
      <c r="F1834" s="5">
        <f>IFERROR(__xludf.DUMMYFUNCTION("""COMPUTED_VALUE"""),6.0)</f>
        <v>6</v>
      </c>
      <c r="G1834" s="19" t="str">
        <f>IFERROR(__xludf.DUMMYFUNCTION("""COMPUTED_VALUE"""),"Instant Forms")</f>
        <v>Instant Forms</v>
      </c>
      <c r="H1834" s="19" t="str">
        <f>IFERROR(__xludf.DUMMYFUNCTION("""COMPUTED_VALUE"""),"Andrew clancy")</f>
        <v>Andrew clancy</v>
      </c>
      <c r="I1834" s="62"/>
      <c r="J1834" s="19"/>
    </row>
    <row r="1835">
      <c r="A1835" s="19" t="str">
        <f>IFERROR(__xludf.DUMMYFUNCTION("""COMPUTED_VALUE"""),"Monique Field")</f>
        <v>Monique Field</v>
      </c>
      <c r="B1835" s="19" t="str">
        <f>IFERROR(__xludf.DUMMYFUNCTION("""COMPUTED_VALUE"""),"NSW")</f>
        <v>NSW</v>
      </c>
      <c r="C1835" s="5" t="str">
        <f>IFERROR(__xludf.DUMMYFUNCTION("""COMPUTED_VALUE"""),"Albion Park Rail")</f>
        <v>Albion Park Rail</v>
      </c>
      <c r="D1835" s="5" t="str">
        <f>IFERROR(__xludf.DUMMYFUNCTION("""COMPUTED_VALUE"""),"2 Silvertop Place Albion Park Rail NSW 2527")</f>
        <v>2 Silvertop Place Albion Park Rail NSW 2527</v>
      </c>
      <c r="E1835" s="25">
        <f>IFERROR(__xludf.DUMMYFUNCTION("""COMPUTED_VALUE"""),45936.0)</f>
        <v>45936</v>
      </c>
      <c r="F1835" s="5">
        <f>IFERROR(__xludf.DUMMYFUNCTION("""COMPUTED_VALUE"""),8.0)</f>
        <v>8</v>
      </c>
      <c r="G1835" s="19" t="str">
        <f>IFERROR(__xludf.DUMMYFUNCTION("""COMPUTED_VALUE"""),"Instant Forms")</f>
        <v>Instant Forms</v>
      </c>
      <c r="H1835" s="19" t="str">
        <f>IFERROR(__xludf.DUMMYFUNCTION("""COMPUTED_VALUE"""),"Jacky Horn")</f>
        <v>Jacky Horn</v>
      </c>
      <c r="I1835" s="62"/>
      <c r="J1835" s="19"/>
    </row>
    <row r="1836">
      <c r="A1836" s="19" t="str">
        <f>IFERROR(__xludf.DUMMYFUNCTION("""COMPUTED_VALUE"""),"Monique Field")</f>
        <v>Monique Field</v>
      </c>
      <c r="B1836" s="19" t="str">
        <f>IFERROR(__xludf.DUMMYFUNCTION("""COMPUTED_VALUE"""),"NSW")</f>
        <v>NSW</v>
      </c>
      <c r="C1836" s="5" t="str">
        <f>IFERROR(__xludf.DUMMYFUNCTION("""COMPUTED_VALUE"""),"Kiama")</f>
        <v>Kiama</v>
      </c>
      <c r="D1836" s="5" t="str">
        <f>IFERROR(__xludf.DUMMYFUNCTION("""COMPUTED_VALUE"""),"2/129 Terralong Street Kiama NSW 2533")</f>
        <v>2/129 Terralong Street Kiama NSW 2533</v>
      </c>
      <c r="E1836" s="25">
        <f>IFERROR(__xludf.DUMMYFUNCTION("""COMPUTED_VALUE"""),45937.0)</f>
        <v>45937</v>
      </c>
      <c r="F1836" s="5">
        <f>IFERROR(__xludf.DUMMYFUNCTION("""COMPUTED_VALUE"""),8.0)</f>
        <v>8</v>
      </c>
      <c r="G1836" s="19" t="str">
        <f>IFERROR(__xludf.DUMMYFUNCTION("""COMPUTED_VALUE"""),"Instant Forms")</f>
        <v>Instant Forms</v>
      </c>
      <c r="H1836" s="19" t="str">
        <f>IFERROR(__xludf.DUMMYFUNCTION("""COMPUTED_VALUE"""),"Danielle Steel")</f>
        <v>Danielle Steel</v>
      </c>
      <c r="I1836" s="62"/>
      <c r="J1836" s="19"/>
    </row>
    <row r="1837">
      <c r="A1837" s="19" t="str">
        <f>IFERROR(__xludf.DUMMYFUNCTION("""COMPUTED_VALUE"""),"Monique Field")</f>
        <v>Monique Field</v>
      </c>
      <c r="B1837" s="19" t="str">
        <f>IFERROR(__xludf.DUMMYFUNCTION("""COMPUTED_VALUE"""),"NSW")</f>
        <v>NSW</v>
      </c>
      <c r="C1837" s="5" t="str">
        <f>IFERROR(__xludf.DUMMYFUNCTION("""COMPUTED_VALUE"""),"Albion Park")</f>
        <v>Albion Park</v>
      </c>
      <c r="D1837" s="5" t="str">
        <f>IFERROR(__xludf.DUMMYFUNCTION("""COMPUTED_VALUE"""),"19 Barcoo Circuit Albion Park NSW 2527")</f>
        <v>19 Barcoo Circuit Albion Park NSW 2527</v>
      </c>
      <c r="E1837" s="25">
        <f>IFERROR(__xludf.DUMMYFUNCTION("""COMPUTED_VALUE"""),45943.0)</f>
        <v>45943</v>
      </c>
      <c r="F1837" s="5">
        <f>IFERROR(__xludf.DUMMYFUNCTION("""COMPUTED_VALUE"""),5.0)</f>
        <v>5</v>
      </c>
      <c r="G1837" s="19" t="str">
        <f>IFERROR(__xludf.DUMMYFUNCTION("""COMPUTED_VALUE"""),"Instant Forms")</f>
        <v>Instant Forms</v>
      </c>
      <c r="H1837" s="19"/>
      <c r="I1837" s="62"/>
      <c r="J1837" s="19"/>
    </row>
    <row r="1838">
      <c r="A1838" s="19" t="str">
        <f>IFERROR(__xludf.DUMMYFUNCTION("""COMPUTED_VALUE"""),"Monique Field")</f>
        <v>Monique Field</v>
      </c>
      <c r="B1838" s="19" t="str">
        <f>IFERROR(__xludf.DUMMYFUNCTION("""COMPUTED_VALUE"""),"NSW")</f>
        <v>NSW</v>
      </c>
      <c r="C1838" s="5" t="str">
        <f>IFERROR(__xludf.DUMMYFUNCTION("""COMPUTED_VALUE"""),"Oak Flats")</f>
        <v>Oak Flats</v>
      </c>
      <c r="D1838" s="5" t="str">
        <f>IFERROR(__xludf.DUMMYFUNCTION("""COMPUTED_VALUE"""),"7 Kilpa Place Oak Flats NSW 2529")</f>
        <v>7 Kilpa Place Oak Flats NSW 2529</v>
      </c>
      <c r="E1838" s="25">
        <f>IFERROR(__xludf.DUMMYFUNCTION("""COMPUTED_VALUE"""),45947.0)</f>
        <v>45947</v>
      </c>
      <c r="F1838" s="5">
        <f>IFERROR(__xludf.DUMMYFUNCTION("""COMPUTED_VALUE"""),6.0)</f>
        <v>6</v>
      </c>
      <c r="G1838" s="19" t="str">
        <f>IFERROR(__xludf.DUMMYFUNCTION("""COMPUTED_VALUE"""),"Instant Forms")</f>
        <v>Instant Forms</v>
      </c>
      <c r="H1838" s="19"/>
      <c r="I1838" s="62"/>
      <c r="J1838" s="19"/>
    </row>
    <row r="1839">
      <c r="A1839" s="19" t="str">
        <f>IFERROR(__xludf.DUMMYFUNCTION("""COMPUTED_VALUE"""),"Monique Field")</f>
        <v>Monique Field</v>
      </c>
      <c r="B1839" s="19" t="str">
        <f>IFERROR(__xludf.DUMMYFUNCTION("""COMPUTED_VALUE"""),"NSW")</f>
        <v>NSW</v>
      </c>
      <c r="C1839" s="5" t="str">
        <f>IFERROR(__xludf.DUMMYFUNCTION("""COMPUTED_VALUE"""),"Albion Park Rail")</f>
        <v>Albion Park Rail</v>
      </c>
      <c r="D1839" s="5" t="str">
        <f>IFERROR(__xludf.DUMMYFUNCTION("""COMPUTED_VALUE"""),"205 Princes Highway, Albion Park Rail, NSW, 2527, Australia")</f>
        <v>205 Princes Highway, Albion Park Rail, NSW, 2527, Australia</v>
      </c>
      <c r="E1839" s="25" t="str">
        <f>IFERROR(__xludf.DUMMYFUNCTION("""COMPUTED_VALUE"""),"18/10/2025")</f>
        <v>18/10/2025</v>
      </c>
      <c r="F1839" s="5" t="str">
        <f>IFERROR(__xludf.DUMMYFUNCTION("""COMPUTED_VALUE"""),"Featured")</f>
        <v>Featured</v>
      </c>
      <c r="G1839" s="19"/>
      <c r="H1839" s="19"/>
      <c r="I1839" s="62"/>
      <c r="J1839" s="19"/>
    </row>
    <row r="1840">
      <c r="A1840" s="19" t="str">
        <f>IFERROR(__xludf.DUMMYFUNCTION("""COMPUTED_VALUE"""),"Monique Field")</f>
        <v>Monique Field</v>
      </c>
      <c r="B1840" s="19" t="str">
        <f>IFERROR(__xludf.DUMMYFUNCTION("""COMPUTED_VALUE"""),"NSW")</f>
        <v>NSW</v>
      </c>
      <c r="C1840" s="5" t="str">
        <f>IFERROR(__xludf.DUMMYFUNCTION("""COMPUTED_VALUE"""),"Kiama")</f>
        <v>Kiama</v>
      </c>
      <c r="D1840" s="5" t="str">
        <f>IFERROR(__xludf.DUMMYFUNCTION("""COMPUTED_VALUE"""),"46 Oxley Avenue Kiama Downs NSW 2533")</f>
        <v>46 Oxley Avenue Kiama Downs NSW 2533</v>
      </c>
      <c r="E1840" s="25">
        <f>IFERROR(__xludf.DUMMYFUNCTION("""COMPUTED_VALUE"""),45950.0)</f>
        <v>45950</v>
      </c>
      <c r="F1840" s="5">
        <f>IFERROR(__xludf.DUMMYFUNCTION("""COMPUTED_VALUE"""),8.0)</f>
        <v>8</v>
      </c>
      <c r="G1840" s="19" t="str">
        <f>IFERROR(__xludf.DUMMYFUNCTION("""COMPUTED_VALUE"""),"Instant Forms")</f>
        <v>Instant Forms</v>
      </c>
      <c r="H1840" s="19"/>
      <c r="I1840" s="62"/>
      <c r="J1840" s="19"/>
    </row>
    <row r="1841">
      <c r="A1841" s="19" t="str">
        <f>IFERROR(__xludf.DUMMYFUNCTION("""COMPUTED_VALUE"""),"Monique Field")</f>
        <v>Monique Field</v>
      </c>
      <c r="B1841" s="19" t="str">
        <f>IFERROR(__xludf.DUMMYFUNCTION("""COMPUTED_VALUE"""),"NSW")</f>
        <v>NSW</v>
      </c>
      <c r="C1841" s="5" t="str">
        <f>IFERROR(__xludf.DUMMYFUNCTION("""COMPUTED_VALUE"""),"Primbee")</f>
        <v>Primbee</v>
      </c>
      <c r="D1841" s="5" t="str">
        <f>IFERROR(__xludf.DUMMYFUNCTION("""COMPUTED_VALUE"""),"47 Jones Ave Primbee 2502")</f>
        <v>47 Jones Ave Primbee 2502</v>
      </c>
      <c r="E1841" s="25">
        <f>IFERROR(__xludf.DUMMYFUNCTION("""COMPUTED_VALUE"""),45951.0)</f>
        <v>45951</v>
      </c>
      <c r="F1841" s="5" t="str">
        <f>IFERROR(__xludf.DUMMYFUNCTION("""COMPUTED_VALUE"""),"Featured")</f>
        <v>Featured</v>
      </c>
      <c r="G1841" s="19" t="str">
        <f>IFERROR(__xludf.DUMMYFUNCTION("""COMPUTED_VALUE"""),"Commission Comparison")</f>
        <v>Commission Comparison</v>
      </c>
      <c r="H1841" s="19"/>
      <c r="I1841" s="62"/>
      <c r="J1841" s="19"/>
    </row>
    <row r="1842">
      <c r="A1842" s="19" t="str">
        <f>IFERROR(__xludf.DUMMYFUNCTION("""COMPUTED_VALUE"""),"Monique Field")</f>
        <v>Monique Field</v>
      </c>
      <c r="B1842" s="19" t="str">
        <f>IFERROR(__xludf.DUMMYFUNCTION("""COMPUTED_VALUE"""),"NSW")</f>
        <v>NSW</v>
      </c>
      <c r="C1842" s="5" t="str">
        <f>IFERROR(__xludf.DUMMYFUNCTION("""COMPUTED_VALUE"""),"Tullimbar")</f>
        <v>Tullimbar</v>
      </c>
      <c r="D1842" s="5" t="str">
        <f>IFERROR(__xludf.DUMMYFUNCTION("""COMPUTED_VALUE"""),"16 nimittabel st tullimbar 2527, Tullimbar, 2527")</f>
        <v>16 nimittabel st tullimbar 2527, Tullimbar, 2527</v>
      </c>
      <c r="E1842" s="25" t="str">
        <f>IFERROR(__xludf.DUMMYFUNCTION("""COMPUTED_VALUE"""),"28/10/2025")</f>
        <v>28/10/2025</v>
      </c>
      <c r="F1842" s="5" t="str">
        <f>IFERROR(__xludf.DUMMYFUNCTION("""COMPUTED_VALUE"""),"Featured")</f>
        <v>Featured</v>
      </c>
      <c r="G1842" s="19" t="str">
        <f>IFERROR(__xludf.DUMMYFUNCTION("""COMPUTED_VALUE"""),"Meta Commission Report")</f>
        <v>Meta Commission Report</v>
      </c>
      <c r="H1842" s="19" t="str">
        <f>IFERROR(__xludf.DUMMYFUNCTION("""COMPUTED_VALUE"""),"Bruce Smith")</f>
        <v>Bruce Smith</v>
      </c>
      <c r="I1842" s="62"/>
      <c r="J1842" s="19"/>
    </row>
    <row r="1843">
      <c r="A1843" s="19" t="str">
        <f>IFERROR(__xludf.DUMMYFUNCTION("""COMPUTED_VALUE"""),"Monique Field")</f>
        <v>Monique Field</v>
      </c>
      <c r="B1843" s="19" t="str">
        <f>IFERROR(__xludf.DUMMYFUNCTION("""COMPUTED_VALUE"""),"NSW")</f>
        <v>NSW</v>
      </c>
      <c r="C1843" s="5" t="str">
        <f>IFERROR(__xludf.DUMMYFUNCTION("""COMPUTED_VALUE"""),"Lake Illawarra")</f>
        <v>Lake Illawarra</v>
      </c>
      <c r="D1843" s="5" t="str">
        <f>IFERROR(__xludf.DUMMYFUNCTION("""COMPUTED_VALUE"""),"58 Addison Ave lake illawarra")</f>
        <v>58 Addison Ave lake illawarra</v>
      </c>
      <c r="E1843" s="25">
        <f>IFERROR(__xludf.DUMMYFUNCTION("""COMPUTED_VALUE"""),45959.0)</f>
        <v>45959</v>
      </c>
      <c r="F1843" s="5" t="str">
        <f>IFERROR(__xludf.DUMMYFUNCTION("""COMPUTED_VALUE"""),"Featured")</f>
        <v>Featured</v>
      </c>
      <c r="G1843" s="19" t="str">
        <f>IFERROR(__xludf.DUMMYFUNCTION("""COMPUTED_VALUE"""),"Commission Comparison")</f>
        <v>Commission Comparison</v>
      </c>
      <c r="H1843" s="19"/>
      <c r="I1843" s="62"/>
      <c r="J1843" s="19"/>
    </row>
    <row r="1844">
      <c r="A1844" s="19" t="str">
        <f>IFERROR(__xludf.DUMMYFUNCTION("""COMPUTED_VALUE"""),"Monique Field")</f>
        <v>Monique Field</v>
      </c>
      <c r="B1844" s="19" t="str">
        <f>IFERROR(__xludf.DUMMYFUNCTION("""COMPUTED_VALUE"""),"NSW")</f>
        <v>NSW</v>
      </c>
      <c r="C1844" s="5" t="str">
        <f>IFERROR(__xludf.DUMMYFUNCTION("""COMPUTED_VALUE"""),"Kiama")</f>
        <v>Kiama</v>
      </c>
      <c r="D1844" s="5" t="str">
        <f>IFERROR(__xludf.DUMMYFUNCTION("""COMPUTED_VALUE"""),"6/118 Manning Street Kiama NSW 2533")</f>
        <v>6/118 Manning Street Kiama NSW 2533</v>
      </c>
      <c r="E1844" s="25">
        <f>IFERROR(__xludf.DUMMYFUNCTION("""COMPUTED_VALUE"""),45962.0)</f>
        <v>45962</v>
      </c>
      <c r="F1844" s="5">
        <f>IFERROR(__xludf.DUMMYFUNCTION("""COMPUTED_VALUE"""),6.0)</f>
        <v>6</v>
      </c>
      <c r="G1844" s="19" t="str">
        <f>IFERROR(__xludf.DUMMYFUNCTION("""COMPUTED_VALUE"""),"Instant Forms")</f>
        <v>Instant Forms</v>
      </c>
      <c r="H1844" s="19"/>
      <c r="I1844" s="62"/>
      <c r="J1844" s="19"/>
    </row>
    <row r="1845">
      <c r="A1845" s="19" t="str">
        <f>IFERROR(__xludf.DUMMYFUNCTION("""COMPUTED_VALUE"""),"Monique Field")</f>
        <v>Monique Field</v>
      </c>
      <c r="B1845" s="19" t="str">
        <f>IFERROR(__xludf.DUMMYFUNCTION("""COMPUTED_VALUE"""),"NSW")</f>
        <v>NSW</v>
      </c>
      <c r="C1845" s="5" t="str">
        <f>IFERROR(__xludf.DUMMYFUNCTION("""COMPUTED_VALUE"""),"Tullimbar")</f>
        <v>Tullimbar</v>
      </c>
      <c r="D1845" s="5" t="str">
        <f>IFERROR(__xludf.DUMMYFUNCTION("""COMPUTED_VALUE"""),"25 Broughton Avenue Tullimbar NSW 2527")</f>
        <v>25 Broughton Avenue Tullimbar NSW 2527</v>
      </c>
      <c r="E1845" s="25">
        <f>IFERROR(__xludf.DUMMYFUNCTION("""COMPUTED_VALUE"""),45966.0)</f>
        <v>45966</v>
      </c>
      <c r="F1845" s="5">
        <f>IFERROR(__xludf.DUMMYFUNCTION("""COMPUTED_VALUE"""),8.0)</f>
        <v>8</v>
      </c>
      <c r="G1845" s="19" t="str">
        <f>IFERROR(__xludf.DUMMYFUNCTION("""COMPUTED_VALUE"""),"Instant Forms")</f>
        <v>Instant Forms</v>
      </c>
      <c r="H1845" s="19" t="str">
        <f>IFERROR(__xludf.DUMMYFUNCTION("""COMPUTED_VALUE"""),"Michelle Steenkamp")</f>
        <v>Michelle Steenkamp</v>
      </c>
      <c r="I1845" s="62">
        <f>IFERROR(__xludf.DUMMYFUNCTION("""COMPUTED_VALUE"""),6.1404482544E10)</f>
        <v>61404482544</v>
      </c>
      <c r="J1845" s="19" t="str">
        <f>IFERROR(__xludf.DUMMYFUNCTION("""COMPUTED_VALUE"""),"michellee7@hotmail.com")</f>
        <v>michellee7@hotmail.com</v>
      </c>
    </row>
    <row r="1846">
      <c r="A1846" s="19" t="str">
        <f>IFERROR(__xludf.DUMMYFUNCTION("""COMPUTED_VALUE"""),"Monique Field")</f>
        <v>Monique Field</v>
      </c>
      <c r="B1846" s="19" t="str">
        <f>IFERROR(__xludf.DUMMYFUNCTION("""COMPUTED_VALUE"""),"NSW")</f>
        <v>NSW</v>
      </c>
      <c r="C1846" s="5" t="str">
        <f>IFERROR(__xludf.DUMMYFUNCTION("""COMPUTED_VALUE"""),"Albion Park")</f>
        <v>Albion Park</v>
      </c>
      <c r="D1846" s="5" t="str">
        <f>IFERROR(__xludf.DUMMYFUNCTION("""COMPUTED_VALUE"""),"U 1 61 Thalassa Ave, Albion Park, 2518")</f>
        <v>U 1 61 Thalassa Ave, Albion Park, 2518</v>
      </c>
      <c r="E1846" s="27">
        <f>IFERROR(__xludf.DUMMYFUNCTION("""COMPUTED_VALUE"""),45880.0)</f>
        <v>45880</v>
      </c>
      <c r="F1846" s="5" t="str">
        <f>IFERROR(__xludf.DUMMYFUNCTION("""COMPUTED_VALUE"""),"Featured")</f>
        <v>Featured</v>
      </c>
      <c r="G1846" s="19" t="str">
        <f>IFERROR(__xludf.DUMMYFUNCTION("""COMPUTED_VALUE"""),"Meta Commission Report")</f>
        <v>Meta Commission Report</v>
      </c>
      <c r="H1846" s="19" t="str">
        <f>IFERROR(__xludf.DUMMYFUNCTION("""COMPUTED_VALUE"""),"Vic Vaccaro")</f>
        <v>Vic Vaccaro</v>
      </c>
      <c r="I1846" s="62">
        <f>IFERROR(__xludf.DUMMYFUNCTION("""COMPUTED_VALUE"""),6.1412598484E10)</f>
        <v>61412598484</v>
      </c>
      <c r="J1846" s="19" t="str">
        <f>IFERROR(__xludf.DUMMYFUNCTION("""COMPUTED_VALUE"""),"vic.vaccaro@y7mail.com")</f>
        <v>vic.vaccaro@y7mail.com</v>
      </c>
    </row>
    <row r="1847">
      <c r="A1847" s="19" t="str">
        <f>IFERROR(__xludf.DUMMYFUNCTION("""COMPUTED_VALUE"""),"Monique Field")</f>
        <v>Monique Field</v>
      </c>
      <c r="B1847" s="19" t="str">
        <f>IFERROR(__xludf.DUMMYFUNCTION("""COMPUTED_VALUE"""),"NSW")</f>
        <v>NSW</v>
      </c>
      <c r="C1847" s="5" t="str">
        <f>IFERROR(__xludf.DUMMYFUNCTION("""COMPUTED_VALUE"""),"Albion Park")</f>
        <v>Albion Park</v>
      </c>
      <c r="D1847" s="5" t="str">
        <f>IFERROR(__xludf.DUMMYFUNCTION("""COMPUTED_VALUE"""),"19 Banjo Street Albion Park NSW 2527")</f>
        <v>19 Banjo Street Albion Park NSW 2527</v>
      </c>
      <c r="E1847" s="25">
        <f>IFERROR(__xludf.DUMMYFUNCTION("""COMPUTED_VALUE"""),45969.0)</f>
        <v>45969</v>
      </c>
      <c r="F1847" s="5">
        <f>IFERROR(__xludf.DUMMYFUNCTION("""COMPUTED_VALUE"""),6.0)</f>
        <v>6</v>
      </c>
      <c r="G1847" s="19" t="str">
        <f>IFERROR(__xludf.DUMMYFUNCTION("""COMPUTED_VALUE"""),"Instant Forms")</f>
        <v>Instant Forms</v>
      </c>
      <c r="H1847" s="19" t="str">
        <f>IFERROR(__xludf.DUMMYFUNCTION("""COMPUTED_VALUE"""),"Paul Sullivan")</f>
        <v>Paul Sullivan</v>
      </c>
      <c r="I1847" s="62">
        <f>IFERROR(__xludf.DUMMYFUNCTION("""COMPUTED_VALUE"""),6.14088598E10)</f>
        <v>61408859800</v>
      </c>
      <c r="J1847" s="19" t="str">
        <f>IFERROR(__xludf.DUMMYFUNCTION("""COMPUTED_VALUE"""),"psullo@optusnet.com.au")</f>
        <v>psullo@optusnet.com.au</v>
      </c>
    </row>
    <row r="1848">
      <c r="A1848" s="19" t="str">
        <f>IFERROR(__xludf.DUMMYFUNCTION("""COMPUTED_VALUE"""),"Monique Field")</f>
        <v>Monique Field</v>
      </c>
      <c r="B1848" s="19" t="str">
        <f>IFERROR(__xludf.DUMMYFUNCTION("""COMPUTED_VALUE"""),"NSW")</f>
        <v>NSW</v>
      </c>
      <c r="C1848" s="5" t="str">
        <f>IFERROR(__xludf.DUMMYFUNCTION("""COMPUTED_VALUE"""),"Oak Flats")</f>
        <v>Oak Flats</v>
      </c>
      <c r="D1848" s="5" t="str">
        <f>IFERROR(__xludf.DUMMYFUNCTION("""COMPUTED_VALUE"""),"22 Birra Drive Oak Flats NSW 2529")</f>
        <v>22 Birra Drive Oak Flats NSW 2529</v>
      </c>
      <c r="E1848" s="25">
        <f>IFERROR(__xludf.DUMMYFUNCTION("""COMPUTED_VALUE"""),45969.0)</f>
        <v>45969</v>
      </c>
      <c r="F1848" s="5">
        <f>IFERROR(__xludf.DUMMYFUNCTION("""COMPUTED_VALUE"""),8.0)</f>
        <v>8</v>
      </c>
      <c r="G1848" s="19" t="str">
        <f>IFERROR(__xludf.DUMMYFUNCTION("""COMPUTED_VALUE"""),"Instant Forms")</f>
        <v>Instant Forms</v>
      </c>
      <c r="H1848" s="19" t="str">
        <f>IFERROR(__xludf.DUMMYFUNCTION("""COMPUTED_VALUE"""),"Narelle Gollan (Property appears to have just sold)")</f>
        <v>Narelle Gollan (Property appears to have just sold)</v>
      </c>
      <c r="I1848" s="62">
        <f>IFERROR(__xludf.DUMMYFUNCTION("""COMPUTED_VALUE"""),6.1435129106E10)</f>
        <v>61435129106</v>
      </c>
      <c r="J1848" s="19" t="str">
        <f>IFERROR(__xludf.DUMMYFUNCTION("""COMPUTED_VALUE"""),"narelle.gollan@hotmail.com")</f>
        <v>narelle.gollan@hotmail.com</v>
      </c>
    </row>
    <row r="1849">
      <c r="A1849" s="19" t="str">
        <f>IFERROR(__xludf.DUMMYFUNCTION("""COMPUTED_VALUE"""),"Monique Field")</f>
        <v>Monique Field</v>
      </c>
      <c r="B1849" s="19" t="str">
        <f>IFERROR(__xludf.DUMMYFUNCTION("""COMPUTED_VALUE"""),"NSW")</f>
        <v>NSW</v>
      </c>
      <c r="C1849" s="5" t="str">
        <f>IFERROR(__xludf.DUMMYFUNCTION("""COMPUTED_VALUE"""),"Horsley")</f>
        <v>Horsley</v>
      </c>
      <c r="D1849" s="5" t="str">
        <f>IFERROR(__xludf.DUMMYFUNCTION("""COMPUTED_VALUE"""),"23 Parkdale Avenue Horsley NSW 2530")</f>
        <v>23 Parkdale Avenue Horsley NSW 2530</v>
      </c>
      <c r="E1849" s="25">
        <f>IFERROR(__xludf.DUMMYFUNCTION("""COMPUTED_VALUE"""),45970.0)</f>
        <v>45970</v>
      </c>
      <c r="F1849" s="5">
        <f>IFERROR(__xludf.DUMMYFUNCTION("""COMPUTED_VALUE"""),8.0)</f>
        <v>8</v>
      </c>
      <c r="G1849" s="19" t="str">
        <f>IFERROR(__xludf.DUMMYFUNCTION("""COMPUTED_VALUE"""),"Instant Forms")</f>
        <v>Instant Forms</v>
      </c>
      <c r="H1849" s="19" t="str">
        <f>IFERROR(__xludf.DUMMYFUNCTION("""COMPUTED_VALUE"""),"Michelle Haiser")</f>
        <v>Michelle Haiser</v>
      </c>
      <c r="I1849" s="62">
        <f>IFERROR(__xludf.DUMMYFUNCTION("""COMPUTED_VALUE"""),6.1413144551E10)</f>
        <v>61413144551</v>
      </c>
      <c r="J1849" s="19" t="str">
        <f>IFERROR(__xludf.DUMMYFUNCTION("""COMPUTED_VALUE"""),"Michellehaiser29@gmail.com")</f>
        <v>Michellehaiser29@gmail.com</v>
      </c>
    </row>
    <row r="1850">
      <c r="A1850" s="19" t="str">
        <f>IFERROR(__xludf.DUMMYFUNCTION("""COMPUTED_VALUE"""),"Monique Field")</f>
        <v>Monique Field</v>
      </c>
      <c r="B1850" s="19" t="str">
        <f>IFERROR(__xludf.DUMMYFUNCTION("""COMPUTED_VALUE"""),"NSW")</f>
        <v>NSW</v>
      </c>
      <c r="C1850" s="5" t="str">
        <f>IFERROR(__xludf.DUMMYFUNCTION("""COMPUTED_VALUE"""),"Calderwood")</f>
        <v>Calderwood</v>
      </c>
      <c r="D1850" s="5" t="str">
        <f>IFERROR(__xludf.DUMMYFUNCTION("""COMPUTED_VALUE"""),"2 Oak Farm Rd Calderwood, Calderwood, 2527")</f>
        <v>2 Oak Farm Rd Calderwood, Calderwood, 2527</v>
      </c>
      <c r="E1850" s="25">
        <f>IFERROR(__xludf.DUMMYFUNCTION("""COMPUTED_VALUE"""),45972.0)</f>
        <v>45972</v>
      </c>
      <c r="F1850" s="5" t="str">
        <f>IFERROR(__xludf.DUMMYFUNCTION("""COMPUTED_VALUE"""),"Featured")</f>
        <v>Featured</v>
      </c>
      <c r="G1850" s="19" t="str">
        <f>IFERROR(__xludf.DUMMYFUNCTION("""COMPUTED_VALUE"""),"Meta Commission Report")</f>
        <v>Meta Commission Report</v>
      </c>
      <c r="H1850" s="19" t="str">
        <f>IFERROR(__xludf.DUMMYFUNCTION("""COMPUTED_VALUE"""),"Salvatore Nardi")</f>
        <v>Salvatore Nardi</v>
      </c>
      <c r="I1850" s="62">
        <f>IFERROR(__xludf.DUMMYFUNCTION("""COMPUTED_VALUE"""),6.1413979238E10)</f>
        <v>61413979238</v>
      </c>
      <c r="J1850" s="19" t="str">
        <f>IFERROR(__xludf.DUMMYFUNCTION("""COMPUTED_VALUE"""),"samammy7072@gmail.com")</f>
        <v>samammy7072@gmail.com</v>
      </c>
    </row>
    <row r="1851">
      <c r="A1851" s="19" t="str">
        <f>IFERROR(__xludf.DUMMYFUNCTION("""COMPUTED_VALUE"""),"Monique Field")</f>
        <v>Monique Field</v>
      </c>
      <c r="B1851" s="19" t="str">
        <f>IFERROR(__xludf.DUMMYFUNCTION("""COMPUTED_VALUE"""),"NSW")</f>
        <v>NSW</v>
      </c>
      <c r="C1851" s="5" t="str">
        <f>IFERROR(__xludf.DUMMYFUNCTION("""COMPUTED_VALUE"""),"Dapto NSW 2530")</f>
        <v>Dapto NSW 2530</v>
      </c>
      <c r="D1851" s="5" t="str">
        <f>IFERROR(__xludf.DUMMYFUNCTION("""COMPUTED_VALUE"""),"21-23 Colvin Place Dapto NSW 2530")</f>
        <v>21-23 Colvin Place Dapto NSW 2530</v>
      </c>
      <c r="E1851" s="25">
        <f>IFERROR(__xludf.DUMMYFUNCTION("""COMPUTED_VALUE"""),45974.0)</f>
        <v>45974</v>
      </c>
      <c r="F1851" s="5">
        <f>IFERROR(__xludf.DUMMYFUNCTION("""COMPUTED_VALUE"""),8.0)</f>
        <v>8</v>
      </c>
      <c r="G1851" s="19" t="str">
        <f>IFERROR(__xludf.DUMMYFUNCTION("""COMPUTED_VALUE"""),"Instant Forms")</f>
        <v>Instant Forms</v>
      </c>
      <c r="H1851" s="19" t="str">
        <f>IFERROR(__xludf.DUMMYFUNCTION("""COMPUTED_VALUE"""),"Clem O'Leary")</f>
        <v>Clem O'Leary</v>
      </c>
      <c r="I1851" s="62">
        <f>IFERROR(__xludf.DUMMYFUNCTION("""COMPUTED_VALUE"""),6.1407461591E10)</f>
        <v>61407461591</v>
      </c>
      <c r="J1851" s="19" t="str">
        <f>IFERROR(__xludf.DUMMYFUNCTION("""COMPUTED_VALUE"""),"clemsmail48@gmail.com")</f>
        <v>clemsmail48@gmail.com</v>
      </c>
    </row>
    <row r="1852">
      <c r="A1852" s="19" t="str">
        <f>IFERROR(__xludf.DUMMYFUNCTION("""COMPUTED_VALUE"""),"Monique Field")</f>
        <v>Monique Field</v>
      </c>
      <c r="B1852" s="19" t="str">
        <f>IFERROR(__xludf.DUMMYFUNCTION("""COMPUTED_VALUE"""),"NSW")</f>
        <v>NSW</v>
      </c>
      <c r="C1852" s="5" t="str">
        <f>IFERROR(__xludf.DUMMYFUNCTION("""COMPUTED_VALUE"""),"Shellharbour")</f>
        <v>Shellharbour</v>
      </c>
      <c r="D1852" s="5" t="str">
        <f>IFERROR(__xludf.DUMMYFUNCTION("""COMPUTED_VALUE"""),"2/121 Tongarra Road Albion Park NSW 2527")</f>
        <v>2/121 Tongarra Road Albion Park NSW 2527</v>
      </c>
      <c r="E1852" s="5" t="str">
        <f>IFERROR(__xludf.DUMMYFUNCTION("""COMPUTED_VALUE"""),"27/11/2025")</f>
        <v>27/11/2025</v>
      </c>
      <c r="F1852" s="64">
        <f>IFERROR(__xludf.DUMMYFUNCTION("""COMPUTED_VALUE"""),0.0)</f>
        <v>0</v>
      </c>
      <c r="G1852" s="19" t="str">
        <f>IFERROR(__xludf.DUMMYFUNCTION("""COMPUTED_VALUE"""),"Instant Forms")</f>
        <v>Instant Forms</v>
      </c>
      <c r="H1852" s="19" t="str">
        <f>IFERROR(__xludf.DUMMYFUNCTION("""COMPUTED_VALUE"""),"Alcia Jones")</f>
        <v>Alcia Jones</v>
      </c>
      <c r="I1852" s="62">
        <f>IFERROR(__xludf.DUMMYFUNCTION("""COMPUTED_VALUE"""),6.1402858576E10)</f>
        <v>61402858576</v>
      </c>
      <c r="J1852" s="19" t="str">
        <f>IFERROR(__xludf.DUMMYFUNCTION("""COMPUTED_VALUE"""),"Iviscu@gmail.com")</f>
        <v>Iviscu@gmail.com</v>
      </c>
    </row>
    <row r="1853">
      <c r="A1853" s="19" t="str">
        <f>IFERROR(__xludf.DUMMYFUNCTION("""COMPUTED_VALUE"""),"Monique Field")</f>
        <v>Monique Field</v>
      </c>
      <c r="B1853" s="19" t="str">
        <f>IFERROR(__xludf.DUMMYFUNCTION("""COMPUTED_VALUE"""),"NSW")</f>
        <v>NSW</v>
      </c>
      <c r="C1853" s="5" t="str">
        <f>IFERROR(__xludf.DUMMYFUNCTION("""COMPUTED_VALUE"""),"replace(replace(replace(trim(89 Shoalhaven Street Kiama NSW 2533); /,/g; "" ""); /\s+/g; "" ""); /.\b(?:avenue|ave|boulevard|blvd|bvd|circuit|cct|close|cl|court|ct|crescent|cres|drive|dr|esplanade|esp|grove|gr|highway|hwy|lane|ln|laneway|lnwy|parade|pde|p"&amp;"lace|pl|promenade|prom|road|rd|row|ro|street|st|terrace|tce|way|wy)\b\s+(.+?)\s+(NSW|QLD|VIC|WA|SA|TAS|ACT|NT)\s+\d{4}\b.$/i; ""$1"")")</f>
        <v>replace(replace(replace(trim(89 Shoalhaven Street Kiama NSW 2533);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1853" s="5" t="str">
        <f>IFERROR(__xludf.DUMMYFUNCTION("""COMPUTED_VALUE"""),"89 Shoalhaven Street Kiama NSW 2533")</f>
        <v>89 Shoalhaven Street Kiama NSW 2533</v>
      </c>
      <c r="E1853" s="27">
        <f>IFERROR(__xludf.DUMMYFUNCTION("""COMPUTED_VALUE"""),45759.0)</f>
        <v>45759</v>
      </c>
      <c r="F1853" s="64">
        <f>IFERROR(__xludf.DUMMYFUNCTION("""COMPUTED_VALUE"""),0.2)</f>
        <v>0.2</v>
      </c>
      <c r="G1853" s="19" t="str">
        <f>IFERROR(__xludf.DUMMYFUNCTION("""COMPUTED_VALUE"""),"Instant Forms")</f>
        <v>Instant Forms</v>
      </c>
      <c r="H1853" s="19" t="str">
        <f>IFERROR(__xludf.DUMMYFUNCTION("""COMPUTED_VALUE"""),"Chris Murray")</f>
        <v>Chris Murray</v>
      </c>
      <c r="I1853" s="62">
        <f>IFERROR(__xludf.DUMMYFUNCTION("""COMPUTED_VALUE"""),6.1450065566E10)</f>
        <v>61450065566</v>
      </c>
      <c r="J1853" s="19" t="str">
        <f>IFERROR(__xludf.DUMMYFUNCTION("""COMPUTED_VALUE"""),"car_murray@hotmail.com")</f>
        <v>car_murray@hotmail.com</v>
      </c>
    </row>
    <row r="1854">
      <c r="A1854" s="19" t="str">
        <f>IFERROR(__xludf.DUMMYFUNCTION("""COMPUTED_VALUE"""),"Monique Field")</f>
        <v>Monique Field</v>
      </c>
      <c r="B1854" s="19" t="str">
        <f>IFERROR(__xludf.DUMMYFUNCTION("""COMPUTED_VALUE"""),"NSW")</f>
        <v>NSW</v>
      </c>
      <c r="C1854" s="5" t="str">
        <f>IFERROR(__xludf.DUMMYFUNCTION("""COMPUTED_VALUE"""),"Mount Warrigal")</f>
        <v>Mount Warrigal</v>
      </c>
      <c r="D1854" s="5" t="str">
        <f>IFERROR(__xludf.DUMMYFUNCTION("""COMPUTED_VALUE"""),"17 Marchant Crescent Mount Warrigal NSW 2528, Mount Warrigal, 2528")</f>
        <v>17 Marchant Crescent Mount Warrigal NSW 2528, Mount Warrigal, 2528</v>
      </c>
      <c r="E1854" s="27">
        <f>IFERROR(__xludf.DUMMYFUNCTION("""COMPUTED_VALUE"""),45820.0)</f>
        <v>45820</v>
      </c>
      <c r="F1854" s="64">
        <f>IFERROR(__xludf.DUMMYFUNCTION("""COMPUTED_VALUE"""),0.2)</f>
        <v>0.2</v>
      </c>
      <c r="G1854" s="19" t="str">
        <f>IFERROR(__xludf.DUMMYFUNCTION("""COMPUTED_VALUE"""),"Meta Commission Report")</f>
        <v>Meta Commission Report</v>
      </c>
      <c r="H1854" s="19" t="str">
        <f>IFERROR(__xludf.DUMMYFUNCTION("""COMPUTED_VALUE"""),"Sandra Piper")</f>
        <v>Sandra Piper</v>
      </c>
      <c r="I1854" s="62">
        <f>IFERROR(__xludf.DUMMYFUNCTION("""COMPUTED_VALUE"""),6.1415905884E10)</f>
        <v>61415905884</v>
      </c>
      <c r="J1854" s="19" t="str">
        <f>IFERROR(__xludf.DUMMYFUNCTION("""COMPUTED_VALUE"""),"sandrapiper70@gmail.com")</f>
        <v>sandrapiper70@gmail.com</v>
      </c>
    </row>
    <row r="1855">
      <c r="A1855" s="19" t="str">
        <f>IFERROR(__xludf.DUMMYFUNCTION("""COMPUTED_VALUE"""),"")</f>
        <v/>
      </c>
      <c r="B1855" s="19" t="str">
        <f>IFERROR(__xludf.DUMMYFUNCTION("""COMPUTED_VALUE"""),"")</f>
        <v/>
      </c>
      <c r="C1855" s="5" t="str">
        <f>IFERROR(__xludf.DUMMYFUNCTION("""COMPUTED_VALUE"""),"")</f>
        <v/>
      </c>
      <c r="D1855" s="5" t="str">
        <f>IFERROR(__xludf.DUMMYFUNCTION("""COMPUTED_VALUE"""),"")</f>
        <v/>
      </c>
      <c r="E1855" s="5" t="str">
        <f>IFERROR(__xludf.DUMMYFUNCTION("""COMPUTED_VALUE"""),"")</f>
        <v/>
      </c>
      <c r="F1855" s="5" t="str">
        <f>IFERROR(__xludf.DUMMYFUNCTION("""COMPUTED_VALUE"""),"")</f>
        <v/>
      </c>
      <c r="G1855" s="19" t="str">
        <f>IFERROR(__xludf.DUMMYFUNCTION("""COMPUTED_VALUE"""),"")</f>
        <v/>
      </c>
      <c r="H1855" s="19" t="str">
        <f>IFERROR(__xludf.DUMMYFUNCTION("""COMPUTED_VALUE"""),"")</f>
        <v/>
      </c>
      <c r="I1855" s="62" t="str">
        <f>IFERROR(__xludf.DUMMYFUNCTION("""COMPUTED_VALUE"""),"")</f>
        <v/>
      </c>
      <c r="J1855" s="19" t="str">
        <f>IFERROR(__xludf.DUMMYFUNCTION("""COMPUTED_VALUE"""),"")</f>
        <v/>
      </c>
    </row>
    <row r="1856">
      <c r="A1856" s="19" t="str">
        <f>IFERROR(__xludf.DUMMYFUNCTION("""COMPUTED_VALUE"""),"")</f>
        <v/>
      </c>
      <c r="B1856" s="19" t="str">
        <f>IFERROR(__xludf.DUMMYFUNCTION("""COMPUTED_VALUE"""),"")</f>
        <v/>
      </c>
      <c r="C1856" s="5" t="str">
        <f>IFERROR(__xludf.DUMMYFUNCTION("""COMPUTED_VALUE"""),"")</f>
        <v/>
      </c>
      <c r="D1856" s="5" t="str">
        <f>IFERROR(__xludf.DUMMYFUNCTION("""COMPUTED_VALUE"""),"")</f>
        <v/>
      </c>
      <c r="E1856" s="5" t="str">
        <f>IFERROR(__xludf.DUMMYFUNCTION("""COMPUTED_VALUE"""),"")</f>
        <v/>
      </c>
      <c r="F1856" s="5" t="str">
        <f>IFERROR(__xludf.DUMMYFUNCTION("""COMPUTED_VALUE"""),"")</f>
        <v/>
      </c>
      <c r="G1856" s="19" t="str">
        <f>IFERROR(__xludf.DUMMYFUNCTION("""COMPUTED_VALUE"""),"")</f>
        <v/>
      </c>
      <c r="H1856" s="19" t="str">
        <f>IFERROR(__xludf.DUMMYFUNCTION("""COMPUTED_VALUE"""),"")</f>
        <v/>
      </c>
      <c r="I1856" s="62" t="str">
        <f>IFERROR(__xludf.DUMMYFUNCTION("""COMPUTED_VALUE"""),"")</f>
        <v/>
      </c>
      <c r="J1856" s="19" t="str">
        <f>IFERROR(__xludf.DUMMYFUNCTION("""COMPUTED_VALUE"""),"")</f>
        <v/>
      </c>
    </row>
    <row r="1857">
      <c r="A1857" s="19" t="str">
        <f>IFERROR(__xludf.DUMMYFUNCTION("""COMPUTED_VALUE"""),"Nathan Briggs")</f>
        <v>Nathan Briggs</v>
      </c>
      <c r="B1857" s="19" t="str">
        <f>IFERROR(__xludf.DUMMYFUNCTION("""COMPUTED_VALUE"""),"QLD")</f>
        <v>QLD</v>
      </c>
      <c r="C1857" s="5">
        <f>IFERROR(__xludf.DUMMYFUNCTION("""COMPUTED_VALUE"""),4006.0)</f>
        <v>4006</v>
      </c>
      <c r="D1857" s="5"/>
      <c r="E1857" s="63">
        <f>IFERROR(__xludf.DUMMYFUNCTION("""COMPUTED_VALUE"""),45846.78907407408)</f>
        <v>45846.78907</v>
      </c>
      <c r="F1857" s="5" t="str">
        <f>IFERROR(__xludf.DUMMYFUNCTION("""COMPUTED_VALUE"""),"Featured")</f>
        <v>Featured</v>
      </c>
      <c r="G1857" s="19" t="str">
        <f>IFERROR(__xludf.DUMMYFUNCTION("""COMPUTED_VALUE"""),"Instant Forms")</f>
        <v>Instant Forms</v>
      </c>
      <c r="H1857" s="19"/>
      <c r="I1857" s="62"/>
      <c r="J1857" s="19"/>
    </row>
    <row r="1858">
      <c r="A1858" s="19" t="str">
        <f>IFERROR(__xludf.DUMMYFUNCTION("""COMPUTED_VALUE"""),"Nathan Briggs")</f>
        <v>Nathan Briggs</v>
      </c>
      <c r="B1858" s="19" t="str">
        <f>IFERROR(__xludf.DUMMYFUNCTION("""COMPUTED_VALUE"""),"QLD")</f>
        <v>QLD</v>
      </c>
      <c r="C1858" s="5">
        <f>IFERROR(__xludf.DUMMYFUNCTION("""COMPUTED_VALUE"""),4006.0)</f>
        <v>4006</v>
      </c>
      <c r="D1858" s="5"/>
      <c r="E1858" s="63">
        <f>IFERROR(__xludf.DUMMYFUNCTION("""COMPUTED_VALUE"""),45850.78666666666)</f>
        <v>45850.78667</v>
      </c>
      <c r="F1858" s="5" t="str">
        <f>IFERROR(__xludf.DUMMYFUNCTION("""COMPUTED_VALUE"""),"Featured")</f>
        <v>Featured</v>
      </c>
      <c r="G1858" s="19" t="str">
        <f>IFERROR(__xludf.DUMMYFUNCTION("""COMPUTED_VALUE"""),"Instant Forms")</f>
        <v>Instant Forms</v>
      </c>
      <c r="H1858" s="19"/>
      <c r="I1858" s="62"/>
      <c r="J1858" s="19"/>
    </row>
    <row r="1859">
      <c r="A1859" s="19" t="str">
        <f>IFERROR(__xludf.DUMMYFUNCTION("""COMPUTED_VALUE"""),"Nathan Briggs")</f>
        <v>Nathan Briggs</v>
      </c>
      <c r="B1859" s="19" t="str">
        <f>IFERROR(__xludf.DUMMYFUNCTION("""COMPUTED_VALUE"""),"QLD")</f>
        <v>QLD</v>
      </c>
      <c r="C1859" s="5">
        <f>IFERROR(__xludf.DUMMYFUNCTION("""COMPUTED_VALUE"""),4031.0)</f>
        <v>4031</v>
      </c>
      <c r="D1859" s="5"/>
      <c r="E1859" s="63">
        <f>IFERROR(__xludf.DUMMYFUNCTION("""COMPUTED_VALUE"""),45852.3887962963)</f>
        <v>45852.3888</v>
      </c>
      <c r="F1859" s="5" t="str">
        <f>IFERROR(__xludf.DUMMYFUNCTION("""COMPUTED_VALUE"""),"Featured")</f>
        <v>Featured</v>
      </c>
      <c r="G1859" s="19" t="str">
        <f>IFERROR(__xludf.DUMMYFUNCTION("""COMPUTED_VALUE"""),"Instant Forms")</f>
        <v>Instant Forms</v>
      </c>
      <c r="H1859" s="19"/>
      <c r="I1859" s="62"/>
      <c r="J1859" s="19"/>
    </row>
    <row r="1860">
      <c r="A1860" s="19" t="str">
        <f>IFERROR(__xludf.DUMMYFUNCTION("""COMPUTED_VALUE"""),"Nathan Briggs")</f>
        <v>Nathan Briggs</v>
      </c>
      <c r="B1860" s="19" t="str">
        <f>IFERROR(__xludf.DUMMYFUNCTION("""COMPUTED_VALUE"""),"QLD")</f>
        <v>QLD</v>
      </c>
      <c r="C1860" s="5">
        <f>IFERROR(__xludf.DUMMYFUNCTION("""COMPUTED_VALUE"""),4005.0)</f>
        <v>4005</v>
      </c>
      <c r="D1860" s="5"/>
      <c r="E1860" s="63">
        <f>IFERROR(__xludf.DUMMYFUNCTION("""COMPUTED_VALUE"""),45852.38974537037)</f>
        <v>45852.38975</v>
      </c>
      <c r="F1860" s="5" t="str">
        <f>IFERROR(__xludf.DUMMYFUNCTION("""COMPUTED_VALUE"""),"Plus")</f>
        <v>Plus</v>
      </c>
      <c r="G1860" s="19" t="str">
        <f>IFERROR(__xludf.DUMMYFUNCTION("""COMPUTED_VALUE"""),"Instant Forms")</f>
        <v>Instant Forms</v>
      </c>
      <c r="H1860" s="19"/>
      <c r="I1860" s="62"/>
      <c r="J1860" s="19"/>
    </row>
    <row r="1861">
      <c r="A1861" s="19" t="str">
        <f>IFERROR(__xludf.DUMMYFUNCTION("""COMPUTED_VALUE"""),"Nathan Briggs")</f>
        <v>Nathan Briggs</v>
      </c>
      <c r="B1861" s="19" t="str">
        <f>IFERROR(__xludf.DUMMYFUNCTION("""COMPUTED_VALUE"""),"QLD")</f>
        <v>QLD</v>
      </c>
      <c r="C1861" s="5">
        <f>IFERROR(__xludf.DUMMYFUNCTION("""COMPUTED_VALUE"""),4000.0)</f>
        <v>4000</v>
      </c>
      <c r="D1861" s="5"/>
      <c r="E1861" s="63" t="str">
        <f>IFERROR(__xludf.DUMMYFUNCTION("""COMPUTED_VALUE"""),"18/07/2025")</f>
        <v>18/07/2025</v>
      </c>
      <c r="F1861" s="5" t="str">
        <f>IFERROR(__xludf.DUMMYFUNCTION("""COMPUTED_VALUE"""),"Featured")</f>
        <v>Featured</v>
      </c>
      <c r="G1861" s="19" t="str">
        <f>IFERROR(__xludf.DUMMYFUNCTION("""COMPUTED_VALUE"""),"Instant Forms")</f>
        <v>Instant Forms</v>
      </c>
      <c r="H1861" s="19"/>
      <c r="I1861" s="62"/>
      <c r="J1861" s="19"/>
    </row>
    <row r="1862">
      <c r="A1862" s="19" t="str">
        <f>IFERROR(__xludf.DUMMYFUNCTION("""COMPUTED_VALUE"""),"Nathan Briggs")</f>
        <v>Nathan Briggs</v>
      </c>
      <c r="B1862" s="19" t="str">
        <f>IFERROR(__xludf.DUMMYFUNCTION("""COMPUTED_VALUE"""),"QLD")</f>
        <v>QLD</v>
      </c>
      <c r="C1862" s="5" t="str">
        <f>IFERROR(__xludf.DUMMYFUNCTION("""COMPUTED_VALUE"""),"Chermside")</f>
        <v>Chermside</v>
      </c>
      <c r="D1862" s="5" t="str">
        <f>IFERROR(__xludf.DUMMYFUNCTION("""COMPUTED_VALUE"""),"703 / 59 Latham Street")</f>
        <v>703 / 59 Latham Street</v>
      </c>
      <c r="E1862" s="63"/>
      <c r="F1862" s="5" t="str">
        <f>IFERROR(__xludf.DUMMYFUNCTION("""COMPUTED_VALUE"""),"Featured")</f>
        <v>Featured</v>
      </c>
      <c r="G1862" s="19" t="str">
        <f>IFERROR(__xludf.DUMMYFUNCTION("""COMPUTED_VALUE"""),"Commission Comparison")</f>
        <v>Commission Comparison</v>
      </c>
      <c r="H1862" s="19"/>
      <c r="I1862" s="62"/>
      <c r="J1862" s="19"/>
    </row>
    <row r="1863">
      <c r="A1863" s="19" t="str">
        <f>IFERROR(__xludf.DUMMYFUNCTION("""COMPUTED_VALUE"""),"Nathan Briggs")</f>
        <v>Nathan Briggs</v>
      </c>
      <c r="B1863" s="19" t="str">
        <f>IFERROR(__xludf.DUMMYFUNCTION("""COMPUTED_VALUE"""),"QLD")</f>
        <v>QLD</v>
      </c>
      <c r="C1863" s="5" t="str">
        <f>IFERROR(__xludf.DUMMYFUNCTION("""COMPUTED_VALUE"""),"Annerley")</f>
        <v>Annerley</v>
      </c>
      <c r="D1863" s="5" t="str">
        <f>IFERROR(__xludf.DUMMYFUNCTION("""COMPUTED_VALUE"""),"9 Cavan Street, Annerley, QLD, 4103, Australia")</f>
        <v>9 Cavan Street, Annerley, QLD, 4103, Australia</v>
      </c>
      <c r="E1863" s="63">
        <f>IFERROR(__xludf.DUMMYFUNCTION("""COMPUTED_VALUE"""),45859.0)</f>
        <v>45859</v>
      </c>
      <c r="F1863" s="5" t="str">
        <f>IFERROR(__xludf.DUMMYFUNCTION("""COMPUTED_VALUE"""),"Featured")</f>
        <v>Featured</v>
      </c>
      <c r="G1863" s="19" t="str">
        <f>IFERROR(__xludf.DUMMYFUNCTION("""COMPUTED_VALUE"""),"Commission Comparison")</f>
        <v>Commission Comparison</v>
      </c>
      <c r="H1863" s="19"/>
      <c r="I1863" s="62"/>
      <c r="J1863" s="19"/>
    </row>
    <row r="1864">
      <c r="A1864" s="19" t="str">
        <f>IFERROR(__xludf.DUMMYFUNCTION("""COMPUTED_VALUE"""),"Nathan Briggs")</f>
        <v>Nathan Briggs</v>
      </c>
      <c r="B1864" s="19" t="str">
        <f>IFERROR(__xludf.DUMMYFUNCTION("""COMPUTED_VALUE"""),"QLD")</f>
        <v>QLD</v>
      </c>
      <c r="C1864" s="5" t="str">
        <f>IFERROR(__xludf.DUMMYFUNCTION("""COMPUTED_VALUE"""),"South Brisbane")</f>
        <v>South Brisbane</v>
      </c>
      <c r="D1864" s="5" t="str">
        <f>IFERROR(__xludf.DUMMYFUNCTION("""COMPUTED_VALUE"""),"1109 / 15 Manning Street, South Brisbane, QLD, 4101, Australia")</f>
        <v>1109 / 15 Manning Street, South Brisbane, QLD, 4101, Australia</v>
      </c>
      <c r="E1864" s="63">
        <f>IFERROR(__xludf.DUMMYFUNCTION("""COMPUTED_VALUE"""),45859.0)</f>
        <v>45859</v>
      </c>
      <c r="F1864" s="5" t="str">
        <f>IFERROR(__xludf.DUMMYFUNCTION("""COMPUTED_VALUE"""),"Featured")</f>
        <v>Featured</v>
      </c>
      <c r="G1864" s="19" t="str">
        <f>IFERROR(__xludf.DUMMYFUNCTION("""COMPUTED_VALUE"""),"Commission Comparison")</f>
        <v>Commission Comparison</v>
      </c>
      <c r="H1864" s="19"/>
      <c r="I1864" s="62"/>
      <c r="J1864" s="19"/>
    </row>
    <row r="1865">
      <c r="A1865" s="19" t="str">
        <f>IFERROR(__xludf.DUMMYFUNCTION("""COMPUTED_VALUE"""),"Nathan Briggs")</f>
        <v>Nathan Briggs</v>
      </c>
      <c r="B1865" s="19" t="str">
        <f>IFERROR(__xludf.DUMMYFUNCTION("""COMPUTED_VALUE"""),"QLD")</f>
        <v>QLD</v>
      </c>
      <c r="C1865" s="5">
        <f>IFERROR(__xludf.DUMMYFUNCTION("""COMPUTED_VALUE"""),4065.0)</f>
        <v>4065</v>
      </c>
      <c r="D1865" s="5"/>
      <c r="E1865" s="63">
        <f>IFERROR(__xludf.DUMMYFUNCTION("""COMPUTED_VALUE"""),45860.0)</f>
        <v>45860</v>
      </c>
      <c r="F1865" s="5" t="str">
        <f>IFERROR(__xludf.DUMMYFUNCTION("""COMPUTED_VALUE"""),"Featured")</f>
        <v>Featured</v>
      </c>
      <c r="G1865" s="19" t="str">
        <f>IFERROR(__xludf.DUMMYFUNCTION("""COMPUTED_VALUE"""),"Instant Forms")</f>
        <v>Instant Forms</v>
      </c>
      <c r="H1865" s="19"/>
      <c r="I1865" s="62"/>
      <c r="J1865" s="19"/>
    </row>
    <row r="1866">
      <c r="A1866" s="19" t="str">
        <f>IFERROR(__xludf.DUMMYFUNCTION("""COMPUTED_VALUE"""),"Nathan Briggs")</f>
        <v>Nathan Briggs</v>
      </c>
      <c r="B1866" s="19" t="str">
        <f>IFERROR(__xludf.DUMMYFUNCTION("""COMPUTED_VALUE"""),"QLD")</f>
        <v>QLD</v>
      </c>
      <c r="C1866" s="5" t="str">
        <f>IFERROR(__xludf.DUMMYFUNCTION("""COMPUTED_VALUE"""),"Fortitude Valley")</f>
        <v>Fortitude Valley</v>
      </c>
      <c r="D1866" s="5"/>
      <c r="E1866" s="63">
        <f>IFERROR(__xludf.DUMMYFUNCTION("""COMPUTED_VALUE"""),45665.0)</f>
        <v>45665</v>
      </c>
      <c r="F1866" s="5" t="str">
        <f>IFERROR(__xludf.DUMMYFUNCTION("""COMPUTED_VALUE"""),"Featured")</f>
        <v>Featured</v>
      </c>
      <c r="G1866" s="19" t="str">
        <f>IFERROR(__xludf.DUMMYFUNCTION("""COMPUTED_VALUE"""),"Instant Forms")</f>
        <v>Instant Forms</v>
      </c>
      <c r="H1866" s="19"/>
      <c r="I1866" s="62"/>
      <c r="J1866" s="19"/>
    </row>
    <row r="1867">
      <c r="A1867" s="19" t="str">
        <f>IFERROR(__xludf.DUMMYFUNCTION("""COMPUTED_VALUE"""),"Nathan Briggs")</f>
        <v>Nathan Briggs</v>
      </c>
      <c r="B1867" s="19" t="str">
        <f>IFERROR(__xludf.DUMMYFUNCTION("""COMPUTED_VALUE"""),"QLD")</f>
        <v>QLD</v>
      </c>
      <c r="C1867" s="5">
        <f>IFERROR(__xludf.DUMMYFUNCTION("""COMPUTED_VALUE"""),4006.0)</f>
        <v>4006</v>
      </c>
      <c r="D1867" s="5"/>
      <c r="E1867" s="25">
        <f>IFERROR(__xludf.DUMMYFUNCTION("""COMPUTED_VALUE"""),45876.0)</f>
        <v>45876</v>
      </c>
      <c r="F1867" s="5" t="str">
        <f>IFERROR(__xludf.DUMMYFUNCTION("""COMPUTED_VALUE"""),"Free")</f>
        <v>Free</v>
      </c>
      <c r="G1867" s="19" t="str">
        <f>IFERROR(__xludf.DUMMYFUNCTION("""COMPUTED_VALUE"""),"Instant Forms")</f>
        <v>Instant Forms</v>
      </c>
      <c r="H1867" s="19"/>
      <c r="I1867" s="62"/>
      <c r="J1867" s="19"/>
    </row>
    <row r="1868">
      <c r="A1868" s="19" t="str">
        <f>IFERROR(__xludf.DUMMYFUNCTION("""COMPUTED_VALUE"""),"Nathan Briggs")</f>
        <v>Nathan Briggs</v>
      </c>
      <c r="B1868" s="19" t="str">
        <f>IFERROR(__xludf.DUMMYFUNCTION("""COMPUTED_VALUE"""),"QLD")</f>
        <v>QLD</v>
      </c>
      <c r="C1868" s="5">
        <f>IFERROR(__xludf.DUMMYFUNCTION("""COMPUTED_VALUE"""),4007.0)</f>
        <v>4007</v>
      </c>
      <c r="D1868" s="5"/>
      <c r="E1868" s="25">
        <f>IFERROR(__xludf.DUMMYFUNCTION("""COMPUTED_VALUE"""),45877.0)</f>
        <v>45877</v>
      </c>
      <c r="F1868" s="5" t="str">
        <f>IFERROR(__xludf.DUMMYFUNCTION("""COMPUTED_VALUE"""),"Featured")</f>
        <v>Featured</v>
      </c>
      <c r="G1868" s="19" t="str">
        <f>IFERROR(__xludf.DUMMYFUNCTION("""COMPUTED_VALUE"""),"Instant Forms")</f>
        <v>Instant Forms</v>
      </c>
      <c r="H1868" s="19"/>
      <c r="I1868" s="62"/>
      <c r="J1868" s="19"/>
    </row>
    <row r="1869">
      <c r="A1869" s="19" t="str">
        <f>IFERROR(__xludf.DUMMYFUNCTION("""COMPUTED_VALUE"""),"Nathan Briggs")</f>
        <v>Nathan Briggs</v>
      </c>
      <c r="B1869" s="19" t="str">
        <f>IFERROR(__xludf.DUMMYFUNCTION("""COMPUTED_VALUE"""),"QLD")</f>
        <v>QLD</v>
      </c>
      <c r="C1869" s="5" t="str">
        <f>IFERROR(__xludf.DUMMYFUNCTION("""COMPUTED_VALUE"""),"New farm")</f>
        <v>New farm</v>
      </c>
      <c r="D1869" s="5"/>
      <c r="E1869" s="25">
        <f>IFERROR(__xludf.DUMMYFUNCTION("""COMPUTED_VALUE"""),45887.0)</f>
        <v>45887</v>
      </c>
      <c r="F1869" s="5" t="str">
        <f>IFERROR(__xludf.DUMMYFUNCTION("""COMPUTED_VALUE"""),"Free")</f>
        <v>Free</v>
      </c>
      <c r="G1869" s="19" t="str">
        <f>IFERROR(__xludf.DUMMYFUNCTION("""COMPUTED_VALUE"""),"Instant Forms")</f>
        <v>Instant Forms</v>
      </c>
      <c r="H1869" s="19"/>
      <c r="I1869" s="62"/>
      <c r="J1869" s="19"/>
    </row>
    <row r="1870">
      <c r="A1870" s="19" t="str">
        <f>IFERROR(__xludf.DUMMYFUNCTION("""COMPUTED_VALUE"""),"Nathan Briggs")</f>
        <v>Nathan Briggs</v>
      </c>
      <c r="B1870" s="19" t="str">
        <f>IFERROR(__xludf.DUMMYFUNCTION("""COMPUTED_VALUE"""),"QLD")</f>
        <v>QLD</v>
      </c>
      <c r="C1870" s="5" t="str">
        <f>IFERROR(__xludf.DUMMYFUNCTION("""COMPUTED_VALUE"""),"Fortitude Valley")</f>
        <v>Fortitude Valley</v>
      </c>
      <c r="D1870" s="5" t="str">
        <f>IFERROR(__xludf.DUMMYFUNCTION("""COMPUTED_VALUE"""),"31/35 Gotha Street Fortitude Valley QLD 4006")</f>
        <v>31/35 Gotha Street Fortitude Valley QLD 4006</v>
      </c>
      <c r="E1870" s="25">
        <f>IFERROR(__xludf.DUMMYFUNCTION("""COMPUTED_VALUE"""),45887.0)</f>
        <v>45887</v>
      </c>
      <c r="F1870" s="5" t="str">
        <f>IFERROR(__xludf.DUMMYFUNCTION("""COMPUTED_VALUE"""),"Plus")</f>
        <v>Plus</v>
      </c>
      <c r="G1870" s="19" t="str">
        <f>IFERROR(__xludf.DUMMYFUNCTION("""COMPUTED_VALUE"""),"Instant Forms")</f>
        <v>Instant Forms</v>
      </c>
      <c r="H1870" s="19"/>
      <c r="I1870" s="62"/>
      <c r="J1870" s="19"/>
    </row>
    <row r="1871">
      <c r="A1871" s="19" t="str">
        <f>IFERROR(__xludf.DUMMYFUNCTION("""COMPUTED_VALUE"""),"Nathan Briggs")</f>
        <v>Nathan Briggs</v>
      </c>
      <c r="B1871" s="19" t="str">
        <f>IFERROR(__xludf.DUMMYFUNCTION("""COMPUTED_VALUE"""),"QLD")</f>
        <v>QLD</v>
      </c>
      <c r="C1871" s="5" t="str">
        <f>IFERROR(__xludf.DUMMYFUNCTION("""COMPUTED_VALUE"""),"Bulimba")</f>
        <v>Bulimba</v>
      </c>
      <c r="D1871" s="5" t="str">
        <f>IFERROR(__xludf.DUMMYFUNCTION("""COMPUTED_VALUE"""),"186 Brisbane Street Bulimba QLD 4171")</f>
        <v>186 Brisbane Street Bulimba QLD 4171</v>
      </c>
      <c r="E1871" s="25">
        <f>IFERROR(__xludf.DUMMYFUNCTION("""COMPUTED_VALUE"""),45889.0)</f>
        <v>45889</v>
      </c>
      <c r="F1871" s="5" t="str">
        <f>IFERROR(__xludf.DUMMYFUNCTION("""COMPUTED_VALUE"""),"Featured")</f>
        <v>Featured</v>
      </c>
      <c r="G1871" s="19" t="str">
        <f>IFERROR(__xludf.DUMMYFUNCTION("""COMPUTED_VALUE"""),"Instant Forms")</f>
        <v>Instant Forms</v>
      </c>
      <c r="H1871" s="19"/>
      <c r="I1871" s="62"/>
      <c r="J1871" s="19"/>
    </row>
    <row r="1872">
      <c r="A1872" s="19" t="str">
        <f>IFERROR(__xludf.DUMMYFUNCTION("""COMPUTED_VALUE"""),"Nathan Briggs")</f>
        <v>Nathan Briggs</v>
      </c>
      <c r="B1872" s="19" t="str">
        <f>IFERROR(__xludf.DUMMYFUNCTION("""COMPUTED_VALUE"""),"QLD")</f>
        <v>QLD</v>
      </c>
      <c r="C1872" s="5" t="str">
        <f>IFERROR(__xludf.DUMMYFUNCTION("""COMPUTED_VALUE"""),"Wavell heights/Wooloowin")</f>
        <v>Wavell heights/Wooloowin</v>
      </c>
      <c r="D1872" s="5" t="str">
        <f>IFERROR(__xludf.DUMMYFUNCTION("""COMPUTED_VALUE"""),"97 McLennan Street Wooloowin QLD 4030")</f>
        <v>97 McLennan Street Wooloowin QLD 4030</v>
      </c>
      <c r="E1872" s="25">
        <f>IFERROR(__xludf.DUMMYFUNCTION("""COMPUTED_VALUE"""),45889.0)</f>
        <v>45889</v>
      </c>
      <c r="F1872" s="5" t="str">
        <f>IFERROR(__xludf.DUMMYFUNCTION("""COMPUTED_VALUE"""),"Plus")</f>
        <v>Plus</v>
      </c>
      <c r="G1872" s="19" t="str">
        <f>IFERROR(__xludf.DUMMYFUNCTION("""COMPUTED_VALUE"""),"Instant Forms")</f>
        <v>Instant Forms</v>
      </c>
      <c r="H1872" s="19"/>
      <c r="I1872" s="62"/>
      <c r="J1872" s="19"/>
    </row>
    <row r="1873">
      <c r="A1873" s="19" t="str">
        <f>IFERROR(__xludf.DUMMYFUNCTION("""COMPUTED_VALUE"""),"Nathan Briggs")</f>
        <v>Nathan Briggs</v>
      </c>
      <c r="B1873" s="19" t="str">
        <f>IFERROR(__xludf.DUMMYFUNCTION("""COMPUTED_VALUE"""),"QLD")</f>
        <v>QLD</v>
      </c>
      <c r="C1873" s="5" t="str">
        <f>IFERROR(__xludf.DUMMYFUNCTION("""COMPUTED_VALUE"""),"West End")</f>
        <v>West End</v>
      </c>
      <c r="D1873" s="5" t="str">
        <f>IFERROR(__xludf.DUMMYFUNCTION("""COMPUTED_VALUE"""),"10/153 Hardgrave Road West End QLD 4101")</f>
        <v>10/153 Hardgrave Road West End QLD 4101</v>
      </c>
      <c r="E1873" s="25">
        <f>IFERROR(__xludf.DUMMYFUNCTION("""COMPUTED_VALUE"""),45889.0)</f>
        <v>45889</v>
      </c>
      <c r="F1873" s="5" t="str">
        <f>IFERROR(__xludf.DUMMYFUNCTION("""COMPUTED_VALUE"""),"Featured")</f>
        <v>Featured</v>
      </c>
      <c r="G1873" s="19" t="str">
        <f>IFERROR(__xludf.DUMMYFUNCTION("""COMPUTED_VALUE"""),"Instant Forms")</f>
        <v>Instant Forms</v>
      </c>
      <c r="H1873" s="19"/>
      <c r="I1873" s="62"/>
      <c r="J1873" s="19"/>
    </row>
    <row r="1874">
      <c r="A1874" s="19" t="str">
        <f>IFERROR(__xludf.DUMMYFUNCTION("""COMPUTED_VALUE"""),"Nathan Briggs")</f>
        <v>Nathan Briggs</v>
      </c>
      <c r="B1874" s="19" t="str">
        <f>IFERROR(__xludf.DUMMYFUNCTION("""COMPUTED_VALUE"""),"QLD")</f>
        <v>QLD</v>
      </c>
      <c r="C1874" s="5" t="str">
        <f>IFERROR(__xludf.DUMMYFUNCTION("""COMPUTED_VALUE"""),"Gordon Park")</f>
        <v>Gordon Park</v>
      </c>
      <c r="D1874" s="5"/>
      <c r="E1874" s="25">
        <f>IFERROR(__xludf.DUMMYFUNCTION("""COMPUTED_VALUE"""),45889.0)</f>
        <v>45889</v>
      </c>
      <c r="F1874" s="5" t="str">
        <f>IFERROR(__xludf.DUMMYFUNCTION("""COMPUTED_VALUE"""),"Free")</f>
        <v>Free</v>
      </c>
      <c r="G1874" s="19" t="str">
        <f>IFERROR(__xludf.DUMMYFUNCTION("""COMPUTED_VALUE"""),"Instant Forms")</f>
        <v>Instant Forms</v>
      </c>
      <c r="H1874" s="19"/>
      <c r="I1874" s="62"/>
      <c r="J1874" s="19"/>
    </row>
    <row r="1875">
      <c r="A1875" s="19" t="str">
        <f>IFERROR(__xludf.DUMMYFUNCTION("""COMPUTED_VALUE"""),"Nathan Briggs")</f>
        <v>Nathan Briggs</v>
      </c>
      <c r="B1875" s="19" t="str">
        <f>IFERROR(__xludf.DUMMYFUNCTION("""COMPUTED_VALUE"""),"QLD")</f>
        <v>QLD</v>
      </c>
      <c r="C1875" s="5" t="str">
        <f>IFERROR(__xludf.DUMMYFUNCTION("""COMPUTED_VALUE"""),"Hawthorne")</f>
        <v>Hawthorne</v>
      </c>
      <c r="D1875" s="5" t="str">
        <f>IFERROR(__xludf.DUMMYFUNCTION("""COMPUTED_VALUE"""),"184 Barton Road, Hawthorne")</f>
        <v>184 Barton Road, Hawthorne</v>
      </c>
      <c r="E1875" s="25">
        <f>IFERROR(__xludf.DUMMYFUNCTION("""COMPUTED_VALUE"""),45890.0)</f>
        <v>45890</v>
      </c>
      <c r="F1875" s="5" t="str">
        <f>IFERROR(__xludf.DUMMYFUNCTION("""COMPUTED_VALUE"""),"Featured")</f>
        <v>Featured</v>
      </c>
      <c r="G1875" s="19" t="str">
        <f>IFERROR(__xludf.DUMMYFUNCTION("""COMPUTED_VALUE"""),"Instant Forms")</f>
        <v>Instant Forms</v>
      </c>
      <c r="H1875" s="19"/>
      <c r="I1875" s="62"/>
      <c r="J1875" s="19"/>
    </row>
    <row r="1876">
      <c r="A1876" s="19" t="str">
        <f>IFERROR(__xludf.DUMMYFUNCTION("""COMPUTED_VALUE"""),"Nathan Briggs")</f>
        <v>Nathan Briggs</v>
      </c>
      <c r="B1876" s="19" t="str">
        <f>IFERROR(__xludf.DUMMYFUNCTION("""COMPUTED_VALUE"""),"QLD")</f>
        <v>QLD</v>
      </c>
      <c r="C1876" s="5" t="str">
        <f>IFERROR(__xludf.DUMMYFUNCTION("""COMPUTED_VALUE"""),"Teneriffe")</f>
        <v>Teneriffe</v>
      </c>
      <c r="D1876" s="5" t="str">
        <f>IFERROR(__xludf.DUMMYFUNCTION("""COMPUTED_VALUE"""),"57/54 Vernon Terrace Teneriffe QLD 4005")</f>
        <v>57/54 Vernon Terrace Teneriffe QLD 4005</v>
      </c>
      <c r="E1876" s="25">
        <f>IFERROR(__xludf.DUMMYFUNCTION("""COMPUTED_VALUE"""),45890.0)</f>
        <v>45890</v>
      </c>
      <c r="F1876" s="5" t="str">
        <f>IFERROR(__xludf.DUMMYFUNCTION("""COMPUTED_VALUE"""),"Plus")</f>
        <v>Plus</v>
      </c>
      <c r="G1876" s="19" t="str">
        <f>IFERROR(__xludf.DUMMYFUNCTION("""COMPUTED_VALUE"""),"Instant Forms")</f>
        <v>Instant Forms</v>
      </c>
      <c r="H1876" s="19"/>
      <c r="I1876" s="62"/>
      <c r="J1876" s="19"/>
    </row>
    <row r="1877">
      <c r="A1877" s="19" t="str">
        <f>IFERROR(__xludf.DUMMYFUNCTION("""COMPUTED_VALUE"""),"Nathan Briggs")</f>
        <v>Nathan Briggs</v>
      </c>
      <c r="B1877" s="19" t="str">
        <f>IFERROR(__xludf.DUMMYFUNCTION("""COMPUTED_VALUE"""),"QLD")</f>
        <v>QLD</v>
      </c>
      <c r="C1877" s="5" t="str">
        <f>IFERROR(__xludf.DUMMYFUNCTION("""COMPUTED_VALUE"""),"Morningside")</f>
        <v>Morningside</v>
      </c>
      <c r="D1877" s="5" t="str">
        <f>IFERROR(__xludf.DUMMYFUNCTION("""COMPUTED_VALUE"""),"2/689 Wynnum Road Morningside QLD 4170")</f>
        <v>2/689 Wynnum Road Morningside QLD 4170</v>
      </c>
      <c r="E1877" s="25">
        <f>IFERROR(__xludf.DUMMYFUNCTION("""COMPUTED_VALUE"""),45894.0)</f>
        <v>45894</v>
      </c>
      <c r="F1877" s="5" t="str">
        <f>IFERROR(__xludf.DUMMYFUNCTION("""COMPUTED_VALUE"""),"Featured")</f>
        <v>Featured</v>
      </c>
      <c r="G1877" s="19" t="str">
        <f>IFERROR(__xludf.DUMMYFUNCTION("""COMPUTED_VALUE"""),"Instant Forms")</f>
        <v>Instant Forms</v>
      </c>
      <c r="H1877" s="19"/>
      <c r="I1877" s="62"/>
      <c r="J1877" s="19"/>
    </row>
    <row r="1878">
      <c r="A1878" s="19" t="str">
        <f>IFERROR(__xludf.DUMMYFUNCTION("""COMPUTED_VALUE"""),"Nathan Briggs")</f>
        <v>Nathan Briggs</v>
      </c>
      <c r="B1878" s="19" t="str">
        <f>IFERROR(__xludf.DUMMYFUNCTION("""COMPUTED_VALUE"""),"QLD")</f>
        <v>QLD</v>
      </c>
      <c r="C1878" s="5" t="str">
        <f>IFERROR(__xludf.DUMMYFUNCTION("""COMPUTED_VALUE"""),"Ascot")</f>
        <v>Ascot</v>
      </c>
      <c r="D1878" s="5"/>
      <c r="E1878" s="25">
        <f>IFERROR(__xludf.DUMMYFUNCTION("""COMPUTED_VALUE"""),45895.0)</f>
        <v>45895</v>
      </c>
      <c r="F1878" s="5" t="str">
        <f>IFERROR(__xludf.DUMMYFUNCTION("""COMPUTED_VALUE"""),"Free")</f>
        <v>Free</v>
      </c>
      <c r="G1878" s="19" t="str">
        <f>IFERROR(__xludf.DUMMYFUNCTION("""COMPUTED_VALUE"""),"Instant Forms")</f>
        <v>Instant Forms</v>
      </c>
      <c r="H1878" s="19"/>
      <c r="I1878" s="62"/>
      <c r="J1878" s="19"/>
    </row>
    <row r="1879">
      <c r="A1879" s="19" t="str">
        <f>IFERROR(__xludf.DUMMYFUNCTION("""COMPUTED_VALUE"""),"Nathan Briggs")</f>
        <v>Nathan Briggs</v>
      </c>
      <c r="B1879" s="19" t="str">
        <f>IFERROR(__xludf.DUMMYFUNCTION("""COMPUTED_VALUE"""),"QLD")</f>
        <v>QLD</v>
      </c>
      <c r="C1879" s="5" t="str">
        <f>IFERROR(__xludf.DUMMYFUNCTION("""COMPUTED_VALUE"""),"Bulimba")</f>
        <v>Bulimba</v>
      </c>
      <c r="D1879" s="5" t="str">
        <f>IFERROR(__xludf.DUMMYFUNCTION("""COMPUTED_VALUE"""),"22 Tennyson Street Bulimba QLD 4171")</f>
        <v>22 Tennyson Street Bulimba QLD 4171</v>
      </c>
      <c r="E1879" s="25">
        <f>IFERROR(__xludf.DUMMYFUNCTION("""COMPUTED_VALUE"""),45895.0)</f>
        <v>45895</v>
      </c>
      <c r="F1879" s="5" t="str">
        <f>IFERROR(__xludf.DUMMYFUNCTION("""COMPUTED_VALUE"""),"Featured")</f>
        <v>Featured</v>
      </c>
      <c r="G1879" s="19" t="str">
        <f>IFERROR(__xludf.DUMMYFUNCTION("""COMPUTED_VALUE"""),"Instant Forms")</f>
        <v>Instant Forms</v>
      </c>
      <c r="H1879" s="19"/>
      <c r="I1879" s="62"/>
      <c r="J1879" s="19"/>
    </row>
    <row r="1880">
      <c r="A1880" s="19" t="str">
        <f>IFERROR(__xludf.DUMMYFUNCTION("""COMPUTED_VALUE"""),"Nathan Briggs")</f>
        <v>Nathan Briggs</v>
      </c>
      <c r="B1880" s="19" t="str">
        <f>IFERROR(__xludf.DUMMYFUNCTION("""COMPUTED_VALUE"""),"QLD")</f>
        <v>QLD</v>
      </c>
      <c r="C1880" s="5" t="str">
        <f>IFERROR(__xludf.DUMMYFUNCTION("""COMPUTED_VALUE"""),"Clayfield")</f>
        <v>Clayfield</v>
      </c>
      <c r="D1880" s="5" t="str">
        <f>IFERROR(__xludf.DUMMYFUNCTION("""COMPUTED_VALUE"""),"178 Bonney Avenue Clayfield QLD 4011")</f>
        <v>178 Bonney Avenue Clayfield QLD 4011</v>
      </c>
      <c r="E1880" s="25">
        <f>IFERROR(__xludf.DUMMYFUNCTION("""COMPUTED_VALUE"""),45897.0)</f>
        <v>45897</v>
      </c>
      <c r="F1880" s="5" t="str">
        <f>IFERROR(__xludf.DUMMYFUNCTION("""COMPUTED_VALUE"""),"Featured")</f>
        <v>Featured</v>
      </c>
      <c r="G1880" s="19" t="str">
        <f>IFERROR(__xludf.DUMMYFUNCTION("""COMPUTED_VALUE"""),"Instant Forms")</f>
        <v>Instant Forms</v>
      </c>
      <c r="H1880" s="19"/>
      <c r="I1880" s="62"/>
      <c r="J1880" s="19"/>
    </row>
    <row r="1881">
      <c r="A1881" s="19" t="str">
        <f>IFERROR(__xludf.DUMMYFUNCTION("""COMPUTED_VALUE"""),"Nathan Briggs")</f>
        <v>Nathan Briggs</v>
      </c>
      <c r="B1881" s="19" t="str">
        <f>IFERROR(__xludf.DUMMYFUNCTION("""COMPUTED_VALUE"""),"QLD")</f>
        <v>QLD</v>
      </c>
      <c r="C1881" s="5" t="str">
        <f>IFERROR(__xludf.DUMMYFUNCTION("""COMPUTED_VALUE"""),"Milton")</f>
        <v>Milton</v>
      </c>
      <c r="D1881" s="5" t="str">
        <f>IFERROR(__xludf.DUMMYFUNCTION("""COMPUTED_VALUE"""),"2017/18 Manning Street Milton QLD 4064")</f>
        <v>2017/18 Manning Street Milton QLD 4064</v>
      </c>
      <c r="E1881" s="25">
        <f>IFERROR(__xludf.DUMMYFUNCTION("""COMPUTED_VALUE"""),45898.0)</f>
        <v>45898</v>
      </c>
      <c r="F1881" s="5" t="str">
        <f>IFERROR(__xludf.DUMMYFUNCTION("""COMPUTED_VALUE"""),"Featured")</f>
        <v>Featured</v>
      </c>
      <c r="G1881" s="19" t="str">
        <f>IFERROR(__xludf.DUMMYFUNCTION("""COMPUTED_VALUE"""),"Instant Forms")</f>
        <v>Instant Forms</v>
      </c>
      <c r="H1881" s="19"/>
      <c r="I1881" s="62"/>
      <c r="J1881" s="19"/>
    </row>
    <row r="1882">
      <c r="A1882" s="19" t="str">
        <f>IFERROR(__xludf.DUMMYFUNCTION("""COMPUTED_VALUE"""),"Nathan Briggs")</f>
        <v>Nathan Briggs</v>
      </c>
      <c r="B1882" s="19" t="str">
        <f>IFERROR(__xludf.DUMMYFUNCTION("""COMPUTED_VALUE"""),"QLD")</f>
        <v>QLD</v>
      </c>
      <c r="C1882" s="5" t="str">
        <f>IFERROR(__xludf.DUMMYFUNCTION("""COMPUTED_VALUE"""),"Hamilton")</f>
        <v>Hamilton</v>
      </c>
      <c r="D1882" s="5"/>
      <c r="E1882" s="25">
        <f>IFERROR(__xludf.DUMMYFUNCTION("""COMPUTED_VALUE"""),45898.0)</f>
        <v>45898</v>
      </c>
      <c r="F1882" s="5" t="str">
        <f>IFERROR(__xludf.DUMMYFUNCTION("""COMPUTED_VALUE"""),"Featured")</f>
        <v>Featured</v>
      </c>
      <c r="G1882" s="19" t="str">
        <f>IFERROR(__xludf.DUMMYFUNCTION("""COMPUTED_VALUE"""),"Instant Forms")</f>
        <v>Instant Forms</v>
      </c>
      <c r="H1882" s="19"/>
      <c r="I1882" s="62"/>
      <c r="J1882" s="19"/>
    </row>
    <row r="1883">
      <c r="A1883" s="19" t="str">
        <f>IFERROR(__xludf.DUMMYFUNCTION("""COMPUTED_VALUE"""),"Nathan Briggs")</f>
        <v>Nathan Briggs</v>
      </c>
      <c r="B1883" s="19" t="str">
        <f>IFERROR(__xludf.DUMMYFUNCTION("""COMPUTED_VALUE"""),"QLD")</f>
        <v>QLD</v>
      </c>
      <c r="C1883" s="5" t="str">
        <f>IFERROR(__xludf.DUMMYFUNCTION("""COMPUTED_VALUE"""),"east Brisbane")</f>
        <v>east Brisbane</v>
      </c>
      <c r="D1883" s="5" t="str">
        <f>IFERROR(__xludf.DUMMYFUNCTION("""COMPUTED_VALUE"""),"110 Mowbray Terrace East Brisbane QLD 4169")</f>
        <v>110 Mowbray Terrace East Brisbane QLD 4169</v>
      </c>
      <c r="E1883" s="25">
        <f>IFERROR(__xludf.DUMMYFUNCTION("""COMPUTED_VALUE"""),45899.0)</f>
        <v>45899</v>
      </c>
      <c r="F1883" s="5" t="str">
        <f>IFERROR(__xludf.DUMMYFUNCTION("""COMPUTED_VALUE"""),"Featured")</f>
        <v>Featured</v>
      </c>
      <c r="G1883" s="19" t="str">
        <f>IFERROR(__xludf.DUMMYFUNCTION("""COMPUTED_VALUE"""),"Instant Forms")</f>
        <v>Instant Forms</v>
      </c>
      <c r="H1883" s="19"/>
      <c r="I1883" s="62"/>
      <c r="J1883" s="19"/>
    </row>
    <row r="1884">
      <c r="A1884" s="19" t="str">
        <f>IFERROR(__xludf.DUMMYFUNCTION("""COMPUTED_VALUE"""),"Nathan Briggs")</f>
        <v>Nathan Briggs</v>
      </c>
      <c r="B1884" s="19" t="str">
        <f>IFERROR(__xludf.DUMMYFUNCTION("""COMPUTED_VALUE"""),"QLD")</f>
        <v>QLD</v>
      </c>
      <c r="C1884" s="5" t="str">
        <f>IFERROR(__xludf.DUMMYFUNCTION("""COMPUTED_VALUE"""),"Lutwyche")</f>
        <v>Lutwyche</v>
      </c>
      <c r="D1884" s="5" t="str">
        <f>IFERROR(__xludf.DUMMYFUNCTION("""COMPUTED_VALUE"""),"19 Gunyah Street Lutwyche QLD 4030")</f>
        <v>19 Gunyah Street Lutwyche QLD 4030</v>
      </c>
      <c r="E1884" s="25">
        <f>IFERROR(__xludf.DUMMYFUNCTION("""COMPUTED_VALUE"""),45899.0)</f>
        <v>45899</v>
      </c>
      <c r="F1884" s="5" t="str">
        <f>IFERROR(__xludf.DUMMYFUNCTION("""COMPUTED_VALUE"""),"Featured")</f>
        <v>Featured</v>
      </c>
      <c r="G1884" s="19" t="str">
        <f>IFERROR(__xludf.DUMMYFUNCTION("""COMPUTED_VALUE"""),"Instant Forms")</f>
        <v>Instant Forms</v>
      </c>
      <c r="H1884" s="19"/>
      <c r="I1884" s="62"/>
      <c r="J1884" s="19"/>
    </row>
    <row r="1885">
      <c r="A1885" s="19" t="str">
        <f>IFERROR(__xludf.DUMMYFUNCTION("""COMPUTED_VALUE"""),"Nathan Briggs")</f>
        <v>Nathan Briggs</v>
      </c>
      <c r="B1885" s="19" t="str">
        <f>IFERROR(__xludf.DUMMYFUNCTION("""COMPUTED_VALUE"""),"QLD")</f>
        <v>QLD</v>
      </c>
      <c r="C1885" s="5" t="str">
        <f>IFERROR(__xludf.DUMMYFUNCTION("""COMPUTED_VALUE"""),"Windsor")</f>
        <v>Windsor</v>
      </c>
      <c r="D1885" s="5" t="str">
        <f>IFERROR(__xludf.DUMMYFUNCTION("""COMPUTED_VALUE"""),"29B Salt Street Windsor QLD 4030")</f>
        <v>29B Salt Street Windsor QLD 4030</v>
      </c>
      <c r="E1885" s="25">
        <f>IFERROR(__xludf.DUMMYFUNCTION("""COMPUTED_VALUE"""),45900.0)</f>
        <v>45900</v>
      </c>
      <c r="F1885" s="5" t="str">
        <f>IFERROR(__xludf.DUMMYFUNCTION("""COMPUTED_VALUE"""),"Featured")</f>
        <v>Featured</v>
      </c>
      <c r="G1885" s="19" t="str">
        <f>IFERROR(__xludf.DUMMYFUNCTION("""COMPUTED_VALUE"""),"Instant Forms")</f>
        <v>Instant Forms</v>
      </c>
      <c r="H1885" s="19"/>
      <c r="I1885" s="62"/>
      <c r="J1885" s="19"/>
    </row>
    <row r="1886">
      <c r="A1886" s="19" t="str">
        <f>IFERROR(__xludf.DUMMYFUNCTION("""COMPUTED_VALUE"""),"Nathan Briggs")</f>
        <v>Nathan Briggs</v>
      </c>
      <c r="B1886" s="19" t="str">
        <f>IFERROR(__xludf.DUMMYFUNCTION("""COMPUTED_VALUE"""),"QLD")</f>
        <v>QLD</v>
      </c>
      <c r="C1886" s="5" t="str">
        <f>IFERROR(__xludf.DUMMYFUNCTION("""COMPUTED_VALUE"""),"Chermside")</f>
        <v>Chermside</v>
      </c>
      <c r="D1886" s="5"/>
      <c r="E1886" s="25">
        <f>IFERROR(__xludf.DUMMYFUNCTION("""COMPUTED_VALUE"""),45900.0)</f>
        <v>45900</v>
      </c>
      <c r="F1886" s="5" t="str">
        <f>IFERROR(__xludf.DUMMYFUNCTION("""COMPUTED_VALUE"""),"Featured")</f>
        <v>Featured</v>
      </c>
      <c r="G1886" s="19" t="str">
        <f>IFERROR(__xludf.DUMMYFUNCTION("""COMPUTED_VALUE"""),"Instant Forms")</f>
        <v>Instant Forms</v>
      </c>
      <c r="H1886" s="19"/>
      <c r="I1886" s="62"/>
      <c r="J1886" s="19"/>
    </row>
    <row r="1887">
      <c r="A1887" s="19" t="str">
        <f>IFERROR(__xludf.DUMMYFUNCTION("""COMPUTED_VALUE"""),"Nathan Briggs")</f>
        <v>Nathan Briggs</v>
      </c>
      <c r="B1887" s="19" t="str">
        <f>IFERROR(__xludf.DUMMYFUNCTION("""COMPUTED_VALUE"""),"QLD")</f>
        <v>QLD</v>
      </c>
      <c r="C1887" s="5" t="str">
        <f>IFERROR(__xludf.DUMMYFUNCTION("""COMPUTED_VALUE"""),"Albion")</f>
        <v>Albion</v>
      </c>
      <c r="D1887" s="5"/>
      <c r="E1887" s="25">
        <f>IFERROR(__xludf.DUMMYFUNCTION("""COMPUTED_VALUE"""),45901.0)</f>
        <v>45901</v>
      </c>
      <c r="F1887" s="5" t="str">
        <f>IFERROR(__xludf.DUMMYFUNCTION("""COMPUTED_VALUE"""),"Free")</f>
        <v>Free</v>
      </c>
      <c r="G1887" s="19" t="str">
        <f>IFERROR(__xludf.DUMMYFUNCTION("""COMPUTED_VALUE"""),"Instant Forms")</f>
        <v>Instant Forms</v>
      </c>
      <c r="H1887" s="19"/>
      <c r="I1887" s="62"/>
      <c r="J1887" s="19"/>
    </row>
    <row r="1888">
      <c r="A1888" s="19" t="str">
        <f>IFERROR(__xludf.DUMMYFUNCTION("""COMPUTED_VALUE"""),"Nathan Briggs")</f>
        <v>Nathan Briggs</v>
      </c>
      <c r="B1888" s="19" t="str">
        <f>IFERROR(__xludf.DUMMYFUNCTION("""COMPUTED_VALUE"""),"QLD")</f>
        <v>QLD</v>
      </c>
      <c r="C1888" s="5" t="str">
        <f>IFERROR(__xludf.DUMMYFUNCTION("""COMPUTED_VALUE"""),"Windsor")</f>
        <v>Windsor</v>
      </c>
      <c r="D1888" s="5" t="str">
        <f>IFERROR(__xludf.DUMMYFUNCTION("""COMPUTED_VALUE"""),"1/45 Oakwal Terrace Windsor QLD 4030")</f>
        <v>1/45 Oakwal Terrace Windsor QLD 4030</v>
      </c>
      <c r="E1888" s="25">
        <f>IFERROR(__xludf.DUMMYFUNCTION("""COMPUTED_VALUE"""),45903.0)</f>
        <v>45903</v>
      </c>
      <c r="F1888" s="5" t="str">
        <f>IFERROR(__xludf.DUMMYFUNCTION("""COMPUTED_VALUE"""),"Featured")</f>
        <v>Featured</v>
      </c>
      <c r="G1888" s="19" t="str">
        <f>IFERROR(__xludf.DUMMYFUNCTION("""COMPUTED_VALUE"""),"Instant Forms")</f>
        <v>Instant Forms</v>
      </c>
      <c r="H1888" s="19"/>
      <c r="I1888" s="62"/>
      <c r="J1888" s="19"/>
    </row>
    <row r="1889">
      <c r="A1889" s="19" t="str">
        <f>IFERROR(__xludf.DUMMYFUNCTION("""COMPUTED_VALUE"""),"Nathan Briggs")</f>
        <v>Nathan Briggs</v>
      </c>
      <c r="B1889" s="19" t="str">
        <f>IFERROR(__xludf.DUMMYFUNCTION("""COMPUTED_VALUE"""),"QLD")</f>
        <v>QLD</v>
      </c>
      <c r="C1889" s="5" t="str">
        <f>IFERROR(__xludf.DUMMYFUNCTION("""COMPUTED_VALUE"""),"Clayfield")</f>
        <v>Clayfield</v>
      </c>
      <c r="D1889" s="5" t="str">
        <f>IFERROR(__xludf.DUMMYFUNCTION("""COMPUTED_VALUE"""),"5/205 Bonney Avenue Clayfield QLD 4011")</f>
        <v>5/205 Bonney Avenue Clayfield QLD 4011</v>
      </c>
      <c r="E1889" s="25">
        <f>IFERROR(__xludf.DUMMYFUNCTION("""COMPUTED_VALUE"""),45903.0)</f>
        <v>45903</v>
      </c>
      <c r="F1889" s="5" t="str">
        <f>IFERROR(__xludf.DUMMYFUNCTION("""COMPUTED_VALUE"""),"Featured")</f>
        <v>Featured</v>
      </c>
      <c r="G1889" s="19" t="str">
        <f>IFERROR(__xludf.DUMMYFUNCTION("""COMPUTED_VALUE"""),"Instant Forms")</f>
        <v>Instant Forms</v>
      </c>
      <c r="H1889" s="19"/>
      <c r="I1889" s="62"/>
      <c r="J1889" s="19"/>
    </row>
    <row r="1890">
      <c r="A1890" s="19" t="str">
        <f>IFERROR(__xludf.DUMMYFUNCTION("""COMPUTED_VALUE"""),"Nathan Briggs")</f>
        <v>Nathan Briggs</v>
      </c>
      <c r="B1890" s="19" t="str">
        <f>IFERROR(__xludf.DUMMYFUNCTION("""COMPUTED_VALUE"""),"QLD")</f>
        <v>QLD</v>
      </c>
      <c r="C1890" s="5" t="str">
        <f>IFERROR(__xludf.DUMMYFUNCTION("""COMPUTED_VALUE"""),"East Brisbane")</f>
        <v>East Brisbane</v>
      </c>
      <c r="D1890" s="5" t="str">
        <f>IFERROR(__xludf.DUMMYFUNCTION("""COMPUTED_VALUE"""),"62 Gresham Street East Brisbane QLD 4169")</f>
        <v>62 Gresham Street East Brisbane QLD 4169</v>
      </c>
      <c r="E1890" s="25">
        <f>IFERROR(__xludf.DUMMYFUNCTION("""COMPUTED_VALUE"""),45904.0)</f>
        <v>45904</v>
      </c>
      <c r="F1890" s="5" t="str">
        <f>IFERROR(__xludf.DUMMYFUNCTION("""COMPUTED_VALUE"""),"Featured")</f>
        <v>Featured</v>
      </c>
      <c r="G1890" s="19" t="str">
        <f>IFERROR(__xludf.DUMMYFUNCTION("""COMPUTED_VALUE"""),"Instant Forms")</f>
        <v>Instant Forms</v>
      </c>
      <c r="H1890" s="19"/>
      <c r="I1890" s="62"/>
      <c r="J1890" s="19"/>
    </row>
    <row r="1891">
      <c r="A1891" s="19" t="str">
        <f>IFERROR(__xludf.DUMMYFUNCTION("""COMPUTED_VALUE"""),"Nathan Briggs")</f>
        <v>Nathan Briggs</v>
      </c>
      <c r="B1891" s="19" t="str">
        <f>IFERROR(__xludf.DUMMYFUNCTION("""COMPUTED_VALUE"""),"QLD")</f>
        <v>QLD</v>
      </c>
      <c r="C1891" s="5" t="str">
        <f>IFERROR(__xludf.DUMMYFUNCTION("""COMPUTED_VALUE"""),"Petrie Terrace")</f>
        <v>Petrie Terrace</v>
      </c>
      <c r="D1891" s="5"/>
      <c r="E1891" s="25">
        <f>IFERROR(__xludf.DUMMYFUNCTION("""COMPUTED_VALUE"""),45905.0)</f>
        <v>45905</v>
      </c>
      <c r="F1891" s="5" t="str">
        <f>IFERROR(__xludf.DUMMYFUNCTION("""COMPUTED_VALUE"""),"Free")</f>
        <v>Free</v>
      </c>
      <c r="G1891" s="19" t="str">
        <f>IFERROR(__xludf.DUMMYFUNCTION("""COMPUTED_VALUE"""),"Instant Forms")</f>
        <v>Instant Forms</v>
      </c>
      <c r="H1891" s="19"/>
      <c r="I1891" s="62"/>
      <c r="J1891" s="19"/>
    </row>
    <row r="1892">
      <c r="A1892" s="19" t="str">
        <f>IFERROR(__xludf.DUMMYFUNCTION("""COMPUTED_VALUE"""),"Nathan Briggs")</f>
        <v>Nathan Briggs</v>
      </c>
      <c r="B1892" s="19" t="str">
        <f>IFERROR(__xludf.DUMMYFUNCTION("""COMPUTED_VALUE"""),"QLD")</f>
        <v>QLD</v>
      </c>
      <c r="C1892" s="5" t="str">
        <f>IFERROR(__xludf.DUMMYFUNCTION("""COMPUTED_VALUE"""),"FORTITUDE VALLEY")</f>
        <v>FORTITUDE VALLEY</v>
      </c>
      <c r="D1892" s="5" t="str">
        <f>IFERROR(__xludf.DUMMYFUNCTION("""COMPUTED_VALUE"""),"Unit 31A  41 Gotha Street FORTITUDE VALLEY QLD 4006")</f>
        <v>Unit 31A  41 Gotha Street FORTITUDE VALLEY QLD 4006</v>
      </c>
      <c r="E1892" s="25">
        <f>IFERROR(__xludf.DUMMYFUNCTION("""COMPUTED_VALUE"""),45909.0)</f>
        <v>45909</v>
      </c>
      <c r="F1892" s="5" t="str">
        <f>IFERROR(__xludf.DUMMYFUNCTION("""COMPUTED_VALUE"""),"Featured Plus")</f>
        <v>Featured Plus</v>
      </c>
      <c r="G1892" s="19" t="str">
        <f>IFERROR(__xludf.DUMMYFUNCTION("""COMPUTED_VALUE"""),"Instant Forms")</f>
        <v>Instant Forms</v>
      </c>
      <c r="H1892" s="19" t="str">
        <f>IFERROR(__xludf.DUMMYFUNCTION("""COMPUTED_VALUE"""),"Allan Russell")</f>
        <v>Allan Russell</v>
      </c>
      <c r="I1892" s="62"/>
      <c r="J1892" s="19"/>
    </row>
    <row r="1893">
      <c r="A1893" s="19" t="str">
        <f>IFERROR(__xludf.DUMMYFUNCTION("""COMPUTED_VALUE"""),"Nathan Briggs")</f>
        <v>Nathan Briggs</v>
      </c>
      <c r="B1893" s="19" t="str">
        <f>IFERROR(__xludf.DUMMYFUNCTION("""COMPUTED_VALUE"""),"QLD")</f>
        <v>QLD</v>
      </c>
      <c r="C1893" s="5" t="str">
        <f>IFERROR(__xludf.DUMMYFUNCTION("""COMPUTED_VALUE"""),"Wooloowin")</f>
        <v>Wooloowin</v>
      </c>
      <c r="D1893" s="5" t="str">
        <f>IFERROR(__xludf.DUMMYFUNCTION("""COMPUTED_VALUE"""),"26 Rigby Street Wooloowin QLD 4030")</f>
        <v>26 Rigby Street Wooloowin QLD 4030</v>
      </c>
      <c r="E1893" s="25">
        <f>IFERROR(__xludf.DUMMYFUNCTION("""COMPUTED_VALUE"""),45910.0)</f>
        <v>45910</v>
      </c>
      <c r="F1893" s="5">
        <f>IFERROR(__xludf.DUMMYFUNCTION("""COMPUTED_VALUE"""),8.0)</f>
        <v>8</v>
      </c>
      <c r="G1893" s="19" t="str">
        <f>IFERROR(__xludf.DUMMYFUNCTION("""COMPUTED_VALUE"""),"Instant Forms")</f>
        <v>Instant Forms</v>
      </c>
      <c r="H1893" s="19" t="str">
        <f>IFERROR(__xludf.DUMMYFUNCTION("""COMPUTED_VALUE"""),"Callum Thompson")</f>
        <v>Callum Thompson</v>
      </c>
      <c r="I1893" s="62"/>
      <c r="J1893" s="19"/>
    </row>
    <row r="1894">
      <c r="A1894" s="19" t="str">
        <f>IFERROR(__xludf.DUMMYFUNCTION("""COMPUTED_VALUE"""),"Nathan Briggs")</f>
        <v>Nathan Briggs</v>
      </c>
      <c r="B1894" s="19" t="str">
        <f>IFERROR(__xludf.DUMMYFUNCTION("""COMPUTED_VALUE"""),"QLD")</f>
        <v>QLD</v>
      </c>
      <c r="C1894" s="5" t="str">
        <f>IFERROR(__xludf.DUMMYFUNCTION("""COMPUTED_VALUE"""),"Brisbane City")</f>
        <v>Brisbane City</v>
      </c>
      <c r="D1894" s="5" t="str">
        <f>IFERROR(__xludf.DUMMYFUNCTION("""COMPUTED_VALUE"""),"7056/7 Parkland Boulevard Brisbane City QLD 4000")</f>
        <v>7056/7 Parkland Boulevard Brisbane City QLD 4000</v>
      </c>
      <c r="E1894" s="25">
        <f>IFERROR(__xludf.DUMMYFUNCTION("""COMPUTED_VALUE"""),45910.0)</f>
        <v>45910</v>
      </c>
      <c r="F1894" s="5">
        <f>IFERROR(__xludf.DUMMYFUNCTION("""COMPUTED_VALUE"""),8.0)</f>
        <v>8</v>
      </c>
      <c r="G1894" s="19" t="str">
        <f>IFERROR(__xludf.DUMMYFUNCTION("""COMPUTED_VALUE"""),"Instant Forms")</f>
        <v>Instant Forms</v>
      </c>
      <c r="H1894" s="19" t="str">
        <f>IFERROR(__xludf.DUMMYFUNCTION("""COMPUTED_VALUE"""),"Anne Morrison")</f>
        <v>Anne Morrison</v>
      </c>
      <c r="I1894" s="62"/>
      <c r="J1894" s="19"/>
    </row>
    <row r="1895">
      <c r="A1895" s="19" t="str">
        <f>IFERROR(__xludf.DUMMYFUNCTION("""COMPUTED_VALUE"""),"Nathan Briggs")</f>
        <v>Nathan Briggs</v>
      </c>
      <c r="B1895" s="19" t="str">
        <f>IFERROR(__xludf.DUMMYFUNCTION("""COMPUTED_VALUE"""),"QLD")</f>
        <v>QLD</v>
      </c>
      <c r="C1895" s="5" t="str">
        <f>IFERROR(__xludf.DUMMYFUNCTION("""COMPUTED_VALUE"""),"Spring Hill")</f>
        <v>Spring Hill</v>
      </c>
      <c r="D1895" s="5" t="str">
        <f>IFERROR(__xludf.DUMMYFUNCTION("""COMPUTED_VALUE"""),"Unit 17  128 Bowen Street SPRING HILL QLD 4000")</f>
        <v>Unit 17  128 Bowen Street SPRING HILL QLD 4000</v>
      </c>
      <c r="E1895" s="25">
        <f>IFERROR(__xludf.DUMMYFUNCTION("""COMPUTED_VALUE"""),45911.0)</f>
        <v>45911</v>
      </c>
      <c r="F1895" s="5">
        <f>IFERROR(__xludf.DUMMYFUNCTION("""COMPUTED_VALUE"""),6.0)</f>
        <v>6</v>
      </c>
      <c r="G1895" s="19" t="str">
        <f>IFERROR(__xludf.DUMMYFUNCTION("""COMPUTED_VALUE"""),"Instant Forms")</f>
        <v>Instant Forms</v>
      </c>
      <c r="H1895" s="19" t="str">
        <f>IFERROR(__xludf.DUMMYFUNCTION("""COMPUTED_VALUE"""),"Len Hannah")</f>
        <v>Len Hannah</v>
      </c>
      <c r="I1895" s="62"/>
      <c r="J1895" s="19"/>
    </row>
    <row r="1896">
      <c r="A1896" s="19" t="str">
        <f>IFERROR(__xludf.DUMMYFUNCTION("""COMPUTED_VALUE"""),"Nathan Briggs")</f>
        <v>Nathan Briggs</v>
      </c>
      <c r="B1896" s="19" t="str">
        <f>IFERROR(__xludf.DUMMYFUNCTION("""COMPUTED_VALUE"""),"QLD")</f>
        <v>QLD</v>
      </c>
      <c r="C1896" s="5" t="str">
        <f>IFERROR(__xludf.DUMMYFUNCTION("""COMPUTED_VALUE"""),"Morningside")</f>
        <v>Morningside</v>
      </c>
      <c r="D1896" s="5" t="str">
        <f>IFERROR(__xludf.DUMMYFUNCTION("""COMPUTED_VALUE"""),"15/7 Titania Street Morningside QLD 4170")</f>
        <v>15/7 Titania Street Morningside QLD 4170</v>
      </c>
      <c r="E1896" s="25">
        <f>IFERROR(__xludf.DUMMYFUNCTION("""COMPUTED_VALUE"""),45912.0)</f>
        <v>45912</v>
      </c>
      <c r="F1896" s="5">
        <f>IFERROR(__xludf.DUMMYFUNCTION("""COMPUTED_VALUE"""),8.0)</f>
        <v>8</v>
      </c>
      <c r="G1896" s="19" t="str">
        <f>IFERROR(__xludf.DUMMYFUNCTION("""COMPUTED_VALUE"""),"Instant Forms")</f>
        <v>Instant Forms</v>
      </c>
      <c r="H1896" s="19" t="str">
        <f>IFERROR(__xludf.DUMMYFUNCTION("""COMPUTED_VALUE"""),"Denise Baring-Gould")</f>
        <v>Denise Baring-Gould</v>
      </c>
      <c r="I1896" s="62"/>
      <c r="J1896" s="19"/>
    </row>
    <row r="1897">
      <c r="A1897" s="19" t="str">
        <f>IFERROR(__xludf.DUMMYFUNCTION("""COMPUTED_VALUE"""),"Nathan Briggs")</f>
        <v>Nathan Briggs</v>
      </c>
      <c r="B1897" s="19" t="str">
        <f>IFERROR(__xludf.DUMMYFUNCTION("""COMPUTED_VALUE"""),"QLD")</f>
        <v>QLD</v>
      </c>
      <c r="C1897" s="5" t="str">
        <f>IFERROR(__xludf.DUMMYFUNCTION("""COMPUTED_VALUE"""),"Windsor")</f>
        <v>Windsor</v>
      </c>
      <c r="D1897" s="5" t="str">
        <f>IFERROR(__xludf.DUMMYFUNCTION("""COMPUTED_VALUE"""),"9 Grafton Street Windsor QLD 4030")</f>
        <v>9 Grafton Street Windsor QLD 4030</v>
      </c>
      <c r="E1897" s="25">
        <f>IFERROR(__xludf.DUMMYFUNCTION("""COMPUTED_VALUE"""),45912.0)</f>
        <v>45912</v>
      </c>
      <c r="F1897" s="5">
        <f>IFERROR(__xludf.DUMMYFUNCTION("""COMPUTED_VALUE"""),10.0)</f>
        <v>10</v>
      </c>
      <c r="G1897" s="19" t="str">
        <f>IFERROR(__xludf.DUMMYFUNCTION("""COMPUTED_VALUE"""),"Instant Forms")</f>
        <v>Instant Forms</v>
      </c>
      <c r="H1897" s="19" t="str">
        <f>IFERROR(__xludf.DUMMYFUNCTION("""COMPUTED_VALUE"""),"Matt Best")</f>
        <v>Matt Best</v>
      </c>
      <c r="I1897" s="62"/>
      <c r="J1897" s="19"/>
    </row>
    <row r="1898">
      <c r="A1898" s="19" t="str">
        <f>IFERROR(__xludf.DUMMYFUNCTION("""COMPUTED_VALUE"""),"Nathan Briggs")</f>
        <v>Nathan Briggs</v>
      </c>
      <c r="B1898" s="19" t="str">
        <f>IFERROR(__xludf.DUMMYFUNCTION("""COMPUTED_VALUE"""),"QLD")</f>
        <v>QLD</v>
      </c>
      <c r="C1898" s="5" t="str">
        <f>IFERROR(__xludf.DUMMYFUNCTION("""COMPUTED_VALUE"""),"Red Hill")</f>
        <v>Red Hill</v>
      </c>
      <c r="D1898" s="5" t="str">
        <f>IFERROR(__xludf.DUMMYFUNCTION("""COMPUTED_VALUE"""),"2/12 Lower Clifton Terrace Red Hill QLD 4059")</f>
        <v>2/12 Lower Clifton Terrace Red Hill QLD 4059</v>
      </c>
      <c r="E1898" s="25">
        <f>IFERROR(__xludf.DUMMYFUNCTION("""COMPUTED_VALUE"""),45918.0)</f>
        <v>45918</v>
      </c>
      <c r="F1898" s="5">
        <f>IFERROR(__xludf.DUMMYFUNCTION("""COMPUTED_VALUE"""),8.0)</f>
        <v>8</v>
      </c>
      <c r="G1898" s="19" t="str">
        <f>IFERROR(__xludf.DUMMYFUNCTION("""COMPUTED_VALUE"""),"Instant Forms")</f>
        <v>Instant Forms</v>
      </c>
      <c r="H1898" s="19" t="str">
        <f>IFERROR(__xludf.DUMMYFUNCTION("""COMPUTED_VALUE"""),"John Welsh")</f>
        <v>John Welsh</v>
      </c>
      <c r="I1898" s="62"/>
      <c r="J1898" s="19"/>
    </row>
    <row r="1899">
      <c r="A1899" s="19" t="str">
        <f>IFERROR(__xludf.DUMMYFUNCTION("""COMPUTED_VALUE"""),"Nathan Briggs")</f>
        <v>Nathan Briggs</v>
      </c>
      <c r="B1899" s="19" t="str">
        <f>IFERROR(__xludf.DUMMYFUNCTION("""COMPUTED_VALUE"""),"QLD")</f>
        <v>QLD</v>
      </c>
      <c r="C1899" s="5" t="str">
        <f>IFERROR(__xludf.DUMMYFUNCTION("""COMPUTED_VALUE"""),"Hamilton")</f>
        <v>Hamilton</v>
      </c>
      <c r="D1899" s="5" t="str">
        <f>IFERROR(__xludf.DUMMYFUNCTION("""COMPUTED_VALUE"""),"5/14 Hilda Street Hamilton QLD 4007")</f>
        <v>5/14 Hilda Street Hamilton QLD 4007</v>
      </c>
      <c r="E1899" s="25">
        <f>IFERROR(__xludf.DUMMYFUNCTION("""COMPUTED_VALUE"""),45924.0)</f>
        <v>45924</v>
      </c>
      <c r="F1899" s="5">
        <f>IFERROR(__xludf.DUMMYFUNCTION("""COMPUTED_VALUE"""),6.0)</f>
        <v>6</v>
      </c>
      <c r="G1899" s="19" t="str">
        <f>IFERROR(__xludf.DUMMYFUNCTION("""COMPUTED_VALUE"""),"Instant Forms")</f>
        <v>Instant Forms</v>
      </c>
      <c r="H1899" s="19" t="str">
        <f>IFERROR(__xludf.DUMMYFUNCTION("""COMPUTED_VALUE"""),"Dale Starkey")</f>
        <v>Dale Starkey</v>
      </c>
      <c r="I1899" s="62"/>
      <c r="J1899" s="19"/>
    </row>
    <row r="1900">
      <c r="A1900" s="19" t="str">
        <f>IFERROR(__xludf.DUMMYFUNCTION("""COMPUTED_VALUE"""),"Nathan Briggs")</f>
        <v>Nathan Briggs</v>
      </c>
      <c r="B1900" s="19" t="str">
        <f>IFERROR(__xludf.DUMMYFUNCTION("""COMPUTED_VALUE"""),"QLD")</f>
        <v>QLD</v>
      </c>
      <c r="C1900" s="5" t="str">
        <f>IFERROR(__xludf.DUMMYFUNCTION("""COMPUTED_VALUE"""),"Bulimba")</f>
        <v>Bulimba</v>
      </c>
      <c r="D1900" s="5" t="str">
        <f>IFERROR(__xludf.DUMMYFUNCTION("""COMPUTED_VALUE"""),"36 Parry Street Bulimba QLD 4171")</f>
        <v>36 Parry Street Bulimba QLD 4171</v>
      </c>
      <c r="E1900" s="25">
        <f>IFERROR(__xludf.DUMMYFUNCTION("""COMPUTED_VALUE"""),45925.0)</f>
        <v>45925</v>
      </c>
      <c r="F1900" s="5">
        <f>IFERROR(__xludf.DUMMYFUNCTION("""COMPUTED_VALUE"""),6.0)</f>
        <v>6</v>
      </c>
      <c r="G1900" s="19" t="str">
        <f>IFERROR(__xludf.DUMMYFUNCTION("""COMPUTED_VALUE"""),"Instant Forms")</f>
        <v>Instant Forms</v>
      </c>
      <c r="H1900" s="19" t="str">
        <f>IFERROR(__xludf.DUMMYFUNCTION("""COMPUTED_VALUE"""),"Lyn Harrys")</f>
        <v>Lyn Harrys</v>
      </c>
      <c r="I1900" s="62"/>
      <c r="J1900" s="19"/>
    </row>
    <row r="1901">
      <c r="A1901" s="19" t="str">
        <f>IFERROR(__xludf.DUMMYFUNCTION("""COMPUTED_VALUE"""),"Nathan Briggs")</f>
        <v>Nathan Briggs</v>
      </c>
      <c r="B1901" s="19" t="str">
        <f>IFERROR(__xludf.DUMMYFUNCTION("""COMPUTED_VALUE"""),"QLD")</f>
        <v>QLD</v>
      </c>
      <c r="C1901" s="5" t="str">
        <f>IFERROR(__xludf.DUMMYFUNCTION("""COMPUTED_VALUE"""),"Hawthorne")</f>
        <v>Hawthorne</v>
      </c>
      <c r="D1901" s="5" t="str">
        <f>IFERROR(__xludf.DUMMYFUNCTION("""COMPUTED_VALUE"""),"184 Barton Road Hawthorne QLD 4171")</f>
        <v>184 Barton Road Hawthorne QLD 4171</v>
      </c>
      <c r="E1901" s="25">
        <f>IFERROR(__xludf.DUMMYFUNCTION("""COMPUTED_VALUE"""),45929.0)</f>
        <v>45929</v>
      </c>
      <c r="F1901" s="5">
        <f>IFERROR(__xludf.DUMMYFUNCTION("""COMPUTED_VALUE"""),10.0)</f>
        <v>10</v>
      </c>
      <c r="G1901" s="19" t="str">
        <f>IFERROR(__xludf.DUMMYFUNCTION("""COMPUTED_VALUE"""),"Instant Forms")</f>
        <v>Instant Forms</v>
      </c>
      <c r="H1901" s="19" t="str">
        <f>IFERROR(__xludf.DUMMYFUNCTION("""COMPUTED_VALUE"""),"Kris Wellings (Previously we have sent this too you, but given the additional information and guides downloaded we are more confident in this lead now)")</f>
        <v>Kris Wellings (Previously we have sent this too you, but given the additional information and guides downloaded we are more confident in this lead now)</v>
      </c>
      <c r="I1901" s="62"/>
      <c r="J1901" s="19"/>
    </row>
    <row r="1902">
      <c r="A1902" s="19" t="str">
        <f>IFERROR(__xludf.DUMMYFUNCTION("""COMPUTED_VALUE"""),"Nathan Briggs")</f>
        <v>Nathan Briggs</v>
      </c>
      <c r="B1902" s="19" t="str">
        <f>IFERROR(__xludf.DUMMYFUNCTION("""COMPUTED_VALUE"""),"QLD")</f>
        <v>QLD</v>
      </c>
      <c r="C1902" s="5" t="str">
        <f>IFERROR(__xludf.DUMMYFUNCTION("""COMPUTED_VALUE"""),"Brisbane")</f>
        <v>Brisbane</v>
      </c>
      <c r="D1902" s="5" t="str">
        <f>IFERROR(__xludf.DUMMYFUNCTION("""COMPUTED_VALUE"""),"30 Gresham Street East Brisbane QLD 4169")</f>
        <v>30 Gresham Street East Brisbane QLD 4169</v>
      </c>
      <c r="E1902" s="25">
        <f>IFERROR(__xludf.DUMMYFUNCTION("""COMPUTED_VALUE"""),45929.0)</f>
        <v>45929</v>
      </c>
      <c r="F1902" s="5">
        <f>IFERROR(__xludf.DUMMYFUNCTION("""COMPUTED_VALUE"""),6.0)</f>
        <v>6</v>
      </c>
      <c r="G1902" s="19" t="str">
        <f>IFERROR(__xludf.DUMMYFUNCTION("""COMPUTED_VALUE"""),"Instant Forms")</f>
        <v>Instant Forms</v>
      </c>
      <c r="H1902" s="19" t="str">
        <f>IFERROR(__xludf.DUMMYFUNCTION("""COMPUTED_VALUE"""),"Gary Gaudion")</f>
        <v>Gary Gaudion</v>
      </c>
      <c r="I1902" s="62"/>
      <c r="J1902" s="19"/>
    </row>
    <row r="1903">
      <c r="A1903" s="19" t="str">
        <f>IFERROR(__xludf.DUMMYFUNCTION("""COMPUTED_VALUE"""),"Nathan Briggs")</f>
        <v>Nathan Briggs</v>
      </c>
      <c r="B1903" s="19" t="str">
        <f>IFERROR(__xludf.DUMMYFUNCTION("""COMPUTED_VALUE"""),"QLD")</f>
        <v>QLD</v>
      </c>
      <c r="C1903" s="5" t="str">
        <f>IFERROR(__xludf.DUMMYFUNCTION("""COMPUTED_VALUE"""),"Balmoral")</f>
        <v>Balmoral</v>
      </c>
      <c r="D1903" s="5" t="str">
        <f>IFERROR(__xludf.DUMMYFUNCTION("""COMPUTED_VALUE"""),"13 Bexley Avenue Balmoral QLD 4171")</f>
        <v>13 Bexley Avenue Balmoral QLD 4171</v>
      </c>
      <c r="E1903" s="25">
        <f>IFERROR(__xludf.DUMMYFUNCTION("""COMPUTED_VALUE"""),45930.0)</f>
        <v>45930</v>
      </c>
      <c r="F1903" s="5">
        <f>IFERROR(__xludf.DUMMYFUNCTION("""COMPUTED_VALUE"""),6.0)</f>
        <v>6</v>
      </c>
      <c r="G1903" s="19" t="str">
        <f>IFERROR(__xludf.DUMMYFUNCTION("""COMPUTED_VALUE"""),"Instant Forms")</f>
        <v>Instant Forms</v>
      </c>
      <c r="H1903" s="19" t="str">
        <f>IFERROR(__xludf.DUMMYFUNCTION("""COMPUTED_VALUE"""),"Andrew Churcher")</f>
        <v>Andrew Churcher</v>
      </c>
      <c r="I1903" s="62"/>
      <c r="J1903" s="19"/>
    </row>
    <row r="1904">
      <c r="A1904" s="19" t="str">
        <f>IFERROR(__xludf.DUMMYFUNCTION("""COMPUTED_VALUE"""),"Nathan Briggs")</f>
        <v>Nathan Briggs</v>
      </c>
      <c r="B1904" s="19" t="str">
        <f>IFERROR(__xludf.DUMMYFUNCTION("""COMPUTED_VALUE"""),"QLD")</f>
        <v>QLD</v>
      </c>
      <c r="C1904" s="5" t="str">
        <f>IFERROR(__xludf.DUMMYFUNCTION("""COMPUTED_VALUE"""),"hendra")</f>
        <v>hendra</v>
      </c>
      <c r="D1904" s="5" t="str">
        <f>IFERROR(__xludf.DUMMYFUNCTION("""COMPUTED_VALUE"""),"27 Clarke Street HENDRA QLD 4011")</f>
        <v>27 Clarke Street HENDRA QLD 4011</v>
      </c>
      <c r="E1904" s="25">
        <f>IFERROR(__xludf.DUMMYFUNCTION("""COMPUTED_VALUE"""),45931.0)</f>
        <v>45931</v>
      </c>
      <c r="F1904" s="5">
        <f>IFERROR(__xludf.DUMMYFUNCTION("""COMPUTED_VALUE"""),6.0)</f>
        <v>6</v>
      </c>
      <c r="G1904" s="19" t="str">
        <f>IFERROR(__xludf.DUMMYFUNCTION("""COMPUTED_VALUE"""),"Instant Forms")</f>
        <v>Instant Forms</v>
      </c>
      <c r="H1904" s="19" t="str">
        <f>IFERROR(__xludf.DUMMYFUNCTION("""COMPUTED_VALUE"""),"Monique Bell")</f>
        <v>Monique Bell</v>
      </c>
      <c r="I1904" s="62"/>
      <c r="J1904" s="19"/>
    </row>
    <row r="1905">
      <c r="A1905" s="19" t="str">
        <f>IFERROR(__xludf.DUMMYFUNCTION("""COMPUTED_VALUE"""),"Nathan Briggs")</f>
        <v>Nathan Briggs</v>
      </c>
      <c r="B1905" s="19" t="str">
        <f>IFERROR(__xludf.DUMMYFUNCTION("""COMPUTED_VALUE"""),"QLD")</f>
        <v>QLD</v>
      </c>
      <c r="C1905" s="5" t="str">
        <f>IFERROR(__xludf.DUMMYFUNCTION("""COMPUTED_VALUE"""),"Hendra")</f>
        <v>Hendra</v>
      </c>
      <c r="D1905" s="5"/>
      <c r="E1905" s="25">
        <f>IFERROR(__xludf.DUMMYFUNCTION("""COMPUTED_VALUE"""),45931.0)</f>
        <v>45931</v>
      </c>
      <c r="F1905" s="5">
        <f>IFERROR(__xludf.DUMMYFUNCTION("""COMPUTED_VALUE"""),6.0)</f>
        <v>6</v>
      </c>
      <c r="G1905" s="19" t="str">
        <f>IFERROR(__xludf.DUMMYFUNCTION("""COMPUTED_VALUE"""),"Instant Forms")</f>
        <v>Instant Forms</v>
      </c>
      <c r="H1905" s="19" t="str">
        <f>IFERROR(__xludf.DUMMYFUNCTION("""COMPUTED_VALUE"""),"Sandy")</f>
        <v>Sandy</v>
      </c>
      <c r="I1905" s="62"/>
      <c r="J1905" s="19"/>
    </row>
    <row r="1906">
      <c r="A1906" s="19" t="str">
        <f>IFERROR(__xludf.DUMMYFUNCTION("""COMPUTED_VALUE"""),"Nathan Briggs")</f>
        <v>Nathan Briggs</v>
      </c>
      <c r="B1906" s="19" t="str">
        <f>IFERROR(__xludf.DUMMYFUNCTION("""COMPUTED_VALUE"""),"QLD")</f>
        <v>QLD</v>
      </c>
      <c r="C1906" s="5" t="str">
        <f>IFERROR(__xludf.DUMMYFUNCTION("""COMPUTED_VALUE"""),"Newstead")</f>
        <v>Newstead</v>
      </c>
      <c r="D1906" s="5" t="str">
        <f>IFERROR(__xludf.DUMMYFUNCTION("""COMPUTED_VALUE"""),"208/8 Kyabra Street Newstead QLD 4006")</f>
        <v>208/8 Kyabra Street Newstead QLD 4006</v>
      </c>
      <c r="E1906" s="25">
        <f>IFERROR(__xludf.DUMMYFUNCTION("""COMPUTED_VALUE"""),45933.0)</f>
        <v>45933</v>
      </c>
      <c r="F1906" s="5" t="str">
        <f>IFERROR(__xludf.DUMMYFUNCTION("""COMPUTED_VALUE"""),"Featured Plus")</f>
        <v>Featured Plus</v>
      </c>
      <c r="G1906" s="19" t="str">
        <f>IFERROR(__xludf.DUMMYFUNCTION("""COMPUTED_VALUE"""),"Instant Forms")</f>
        <v>Instant Forms</v>
      </c>
      <c r="H1906" s="19" t="str">
        <f>IFERROR(__xludf.DUMMYFUNCTION("""COMPUTED_VALUE"""),"Kellie Lean")</f>
        <v>Kellie Lean</v>
      </c>
      <c r="I1906" s="62"/>
      <c r="J1906" s="19"/>
    </row>
    <row r="1907">
      <c r="A1907" s="19" t="str">
        <f>IFERROR(__xludf.DUMMYFUNCTION("""COMPUTED_VALUE"""),"Nathan Briggs")</f>
        <v>Nathan Briggs</v>
      </c>
      <c r="B1907" s="19" t="str">
        <f>IFERROR(__xludf.DUMMYFUNCTION("""COMPUTED_VALUE"""),"QLD")</f>
        <v>QLD</v>
      </c>
      <c r="C1907" s="5" t="str">
        <f>IFERROR(__xludf.DUMMYFUNCTION("""COMPUTED_VALUE"""),"Albion")</f>
        <v>Albion</v>
      </c>
      <c r="D1907" s="5" t="str">
        <f>IFERROR(__xludf.DUMMYFUNCTION("""COMPUTED_VALUE"""),"29/20 Store Street Albion QLD 4010")</f>
        <v>29/20 Store Street Albion QLD 4010</v>
      </c>
      <c r="E1907" s="25">
        <f>IFERROR(__xludf.DUMMYFUNCTION("""COMPUTED_VALUE"""),45934.0)</f>
        <v>45934</v>
      </c>
      <c r="F1907" s="5">
        <f>IFERROR(__xludf.DUMMYFUNCTION("""COMPUTED_VALUE"""),6.0)</f>
        <v>6</v>
      </c>
      <c r="G1907" s="19" t="str">
        <f>IFERROR(__xludf.DUMMYFUNCTION("""COMPUTED_VALUE"""),"Instant Forms")</f>
        <v>Instant Forms</v>
      </c>
      <c r="H1907" s="19" t="str">
        <f>IFERROR(__xludf.DUMMYFUNCTION("""COMPUTED_VALUE"""),"Darren Willersdorf")</f>
        <v>Darren Willersdorf</v>
      </c>
      <c r="I1907" s="62"/>
      <c r="J1907" s="19"/>
    </row>
    <row r="1908">
      <c r="A1908" s="19" t="str">
        <f>IFERROR(__xludf.DUMMYFUNCTION("""COMPUTED_VALUE"""),"Nathan Briggs")</f>
        <v>Nathan Briggs</v>
      </c>
      <c r="B1908" s="19" t="str">
        <f>IFERROR(__xludf.DUMMYFUNCTION("""COMPUTED_VALUE"""),"QLD")</f>
        <v>QLD</v>
      </c>
      <c r="C1908" s="5" t="str">
        <f>IFERROR(__xludf.DUMMYFUNCTION("""COMPUTED_VALUE"""),"Morningside")</f>
        <v>Morningside</v>
      </c>
      <c r="D1908" s="5" t="str">
        <f>IFERROR(__xludf.DUMMYFUNCTION("""COMPUTED_VALUE"""),"31 moore street morningside")</f>
        <v>31 moore street morningside</v>
      </c>
      <c r="E1908" s="25">
        <f>IFERROR(__xludf.DUMMYFUNCTION("""COMPUTED_VALUE"""),45935.0)</f>
        <v>45935</v>
      </c>
      <c r="F1908" s="5" t="str">
        <f>IFERROR(__xludf.DUMMYFUNCTION("""COMPUTED_VALUE"""),"Featured")</f>
        <v>Featured</v>
      </c>
      <c r="G1908" s="19" t="str">
        <f>IFERROR(__xludf.DUMMYFUNCTION("""COMPUTED_VALUE"""),"Commission Comparison")</f>
        <v>Commission Comparison</v>
      </c>
      <c r="H1908" s="19"/>
      <c r="I1908" s="62"/>
      <c r="J1908" s="19"/>
    </row>
    <row r="1909">
      <c r="A1909" s="19" t="str">
        <f>IFERROR(__xludf.DUMMYFUNCTION("""COMPUTED_VALUE"""),"Nathan Briggs")</f>
        <v>Nathan Briggs</v>
      </c>
      <c r="B1909" s="19" t="str">
        <f>IFERROR(__xludf.DUMMYFUNCTION("""COMPUTED_VALUE"""),"QLD")</f>
        <v>QLD</v>
      </c>
      <c r="C1909" s="5" t="str">
        <f>IFERROR(__xludf.DUMMYFUNCTION("""COMPUTED_VALUE"""),"Bulimba")</f>
        <v>Bulimba</v>
      </c>
      <c r="D1909" s="5" t="str">
        <f>IFERROR(__xludf.DUMMYFUNCTION("""COMPUTED_VALUE"""),"33/17 Ferry Lane Bulimba QLD 4171")</f>
        <v>33/17 Ferry Lane Bulimba QLD 4171</v>
      </c>
      <c r="E1909" s="25">
        <f>IFERROR(__xludf.DUMMYFUNCTION("""COMPUTED_VALUE"""),45937.0)</f>
        <v>45937</v>
      </c>
      <c r="F1909" s="5">
        <f>IFERROR(__xludf.DUMMYFUNCTION("""COMPUTED_VALUE"""),8.0)</f>
        <v>8</v>
      </c>
      <c r="G1909" s="19" t="str">
        <f>IFERROR(__xludf.DUMMYFUNCTION("""COMPUTED_VALUE"""),"Instant Forms")</f>
        <v>Instant Forms</v>
      </c>
      <c r="H1909" s="19" t="str">
        <f>IFERROR(__xludf.DUMMYFUNCTION("""COMPUTED_VALUE"""),"Jenny Barton")</f>
        <v>Jenny Barton</v>
      </c>
      <c r="I1909" s="62"/>
      <c r="J1909" s="19"/>
    </row>
    <row r="1910">
      <c r="A1910" s="19" t="str">
        <f>IFERROR(__xludf.DUMMYFUNCTION("""COMPUTED_VALUE"""),"Nathan Briggs")</f>
        <v>Nathan Briggs</v>
      </c>
      <c r="B1910" s="19" t="str">
        <f>IFERROR(__xludf.DUMMYFUNCTION("""COMPUTED_VALUE"""),"QLD")</f>
        <v>QLD</v>
      </c>
      <c r="C1910" s="5" t="str">
        <f>IFERROR(__xludf.DUMMYFUNCTION("""COMPUTED_VALUE"""),"Balmoral")</f>
        <v>Balmoral</v>
      </c>
      <c r="D1910" s="5" t="str">
        <f>IFERROR(__xludf.DUMMYFUNCTION("""COMPUTED_VALUE"""),"26 Byrne Parade Balmoral QLD 4171")</f>
        <v>26 Byrne Parade Balmoral QLD 4171</v>
      </c>
      <c r="E1910" s="25">
        <f>IFERROR(__xludf.DUMMYFUNCTION("""COMPUTED_VALUE"""),45937.0)</f>
        <v>45937</v>
      </c>
      <c r="F1910" s="5">
        <f>IFERROR(__xludf.DUMMYFUNCTION("""COMPUTED_VALUE"""),8.0)</f>
        <v>8</v>
      </c>
      <c r="G1910" s="19" t="str">
        <f>IFERROR(__xludf.DUMMYFUNCTION("""COMPUTED_VALUE"""),"Instant Forms")</f>
        <v>Instant Forms</v>
      </c>
      <c r="H1910" s="19" t="str">
        <f>IFERROR(__xludf.DUMMYFUNCTION("""COMPUTED_VALUE"""),"Allison Rens")</f>
        <v>Allison Rens</v>
      </c>
      <c r="I1910" s="62"/>
      <c r="J1910" s="19"/>
    </row>
    <row r="1911">
      <c r="A1911" s="19" t="str">
        <f>IFERROR(__xludf.DUMMYFUNCTION("""COMPUTED_VALUE"""),"Nathan Briggs")</f>
        <v>Nathan Briggs</v>
      </c>
      <c r="B1911" s="19" t="str">
        <f>IFERROR(__xludf.DUMMYFUNCTION("""COMPUTED_VALUE"""),"QLD")</f>
        <v>QLD</v>
      </c>
      <c r="C1911" s="5" t="str">
        <f>IFERROR(__xludf.DUMMYFUNCTION("""COMPUTED_VALUE"""),"Pinkenba")</f>
        <v>Pinkenba</v>
      </c>
      <c r="D1911" s="5"/>
      <c r="E1911" s="25">
        <f>IFERROR(__xludf.DUMMYFUNCTION("""COMPUTED_VALUE"""),45937.0)</f>
        <v>45937</v>
      </c>
      <c r="F1911" s="5">
        <f>IFERROR(__xludf.DUMMYFUNCTION("""COMPUTED_VALUE"""),5.0)</f>
        <v>5</v>
      </c>
      <c r="G1911" s="19" t="str">
        <f>IFERROR(__xludf.DUMMYFUNCTION("""COMPUTED_VALUE"""),"Instant Forms")</f>
        <v>Instant Forms</v>
      </c>
      <c r="H1911" s="19" t="str">
        <f>IFERROR(__xludf.DUMMYFUNCTION("""COMPUTED_VALUE"""),"Damien Rykfield")</f>
        <v>Damien Rykfield</v>
      </c>
      <c r="I1911" s="62"/>
      <c r="J1911" s="19"/>
    </row>
    <row r="1912">
      <c r="A1912" s="19" t="str">
        <f>IFERROR(__xludf.DUMMYFUNCTION("""COMPUTED_VALUE"""),"Nathan Briggs")</f>
        <v>Nathan Briggs</v>
      </c>
      <c r="B1912" s="19" t="str">
        <f>IFERROR(__xludf.DUMMYFUNCTION("""COMPUTED_VALUE"""),"QLD")</f>
        <v>QLD</v>
      </c>
      <c r="C1912" s="5" t="str">
        <f>IFERROR(__xludf.DUMMYFUNCTION("""COMPUTED_VALUE"""),"Ascot")</f>
        <v>Ascot</v>
      </c>
      <c r="D1912" s="5" t="str">
        <f>IFERROR(__xludf.DUMMYFUNCTION("""COMPUTED_VALUE"""),"40 hopetoun st ascot 4007")</f>
        <v>40 hopetoun st ascot 4007</v>
      </c>
      <c r="E1912" s="25">
        <f>IFERROR(__xludf.DUMMYFUNCTION("""COMPUTED_VALUE"""),45938.0)</f>
        <v>45938</v>
      </c>
      <c r="F1912" s="5" t="str">
        <f>IFERROR(__xludf.DUMMYFUNCTION("""COMPUTED_VALUE"""),"Featured")</f>
        <v>Featured</v>
      </c>
      <c r="G1912" s="19" t="str">
        <f>IFERROR(__xludf.DUMMYFUNCTION("""COMPUTED_VALUE"""),"Commission Comparison")</f>
        <v>Commission Comparison</v>
      </c>
      <c r="H1912" s="19"/>
      <c r="I1912" s="62"/>
      <c r="J1912" s="19"/>
    </row>
    <row r="1913">
      <c r="A1913" s="19" t="str">
        <f>IFERROR(__xludf.DUMMYFUNCTION("""COMPUTED_VALUE"""),"Nathan Briggs")</f>
        <v>Nathan Briggs</v>
      </c>
      <c r="B1913" s="19" t="str">
        <f>IFERROR(__xludf.DUMMYFUNCTION("""COMPUTED_VALUE"""),"QLD")</f>
        <v>QLD</v>
      </c>
      <c r="C1913" s="5" t="str">
        <f>IFERROR(__xludf.DUMMYFUNCTION("""COMPUTED_VALUE"""),"Lutwyche")</f>
        <v>Lutwyche</v>
      </c>
      <c r="D1913" s="5" t="str">
        <f>IFERROR(__xludf.DUMMYFUNCTION("""COMPUTED_VALUE"""),"104 Brook Street, Lutwyche, Queensland, 4030, Australia")</f>
        <v>104 Brook Street, Lutwyche, Queensland, 4030, Australia</v>
      </c>
      <c r="E1913" s="25">
        <f>IFERROR(__xludf.DUMMYFUNCTION("""COMPUTED_VALUE"""),45943.0)</f>
        <v>45943</v>
      </c>
      <c r="F1913" s="5">
        <f>IFERROR(__xludf.DUMMYFUNCTION("""COMPUTED_VALUE"""),9.0)</f>
        <v>9</v>
      </c>
      <c r="G1913" s="19" t="str">
        <f>IFERROR(__xludf.DUMMYFUNCTION("""COMPUTED_VALUE"""),"Instant Forms")</f>
        <v>Instant Forms</v>
      </c>
      <c r="H1913" s="19"/>
      <c r="I1913" s="62"/>
      <c r="J1913" s="19"/>
    </row>
    <row r="1914">
      <c r="A1914" s="19" t="str">
        <f>IFERROR(__xludf.DUMMYFUNCTION("""COMPUTED_VALUE"""),"Nathan Briggs")</f>
        <v>Nathan Briggs</v>
      </c>
      <c r="B1914" s="19" t="str">
        <f>IFERROR(__xludf.DUMMYFUNCTION("""COMPUTED_VALUE"""),"QLD")</f>
        <v>QLD</v>
      </c>
      <c r="C1914" s="5" t="str">
        <f>IFERROR(__xludf.DUMMYFUNCTION("""COMPUTED_VALUE"""),"West End")</f>
        <v>West End</v>
      </c>
      <c r="D1914" s="5" t="str">
        <f>IFERROR(__xludf.DUMMYFUNCTION("""COMPUTED_VALUE"""),"16 Victoria Street West End QLD 4101")</f>
        <v>16 Victoria Street West End QLD 4101</v>
      </c>
      <c r="E1914" s="25">
        <f>IFERROR(__xludf.DUMMYFUNCTION("""COMPUTED_VALUE"""),45953.0)</f>
        <v>45953</v>
      </c>
      <c r="F1914" s="5">
        <f>IFERROR(__xludf.DUMMYFUNCTION("""COMPUTED_VALUE"""),8.0)</f>
        <v>8</v>
      </c>
      <c r="G1914" s="19" t="str">
        <f>IFERROR(__xludf.DUMMYFUNCTION("""COMPUTED_VALUE"""),"Instant Forms")</f>
        <v>Instant Forms</v>
      </c>
      <c r="H1914" s="19"/>
      <c r="I1914" s="62"/>
      <c r="J1914" s="19"/>
    </row>
    <row r="1915">
      <c r="A1915" s="19" t="str">
        <f>IFERROR(__xludf.DUMMYFUNCTION("""COMPUTED_VALUE"""),"Nathan Briggs")</f>
        <v>Nathan Briggs</v>
      </c>
      <c r="B1915" s="19" t="str">
        <f>IFERROR(__xludf.DUMMYFUNCTION("""COMPUTED_VALUE"""),"QLD")</f>
        <v>QLD</v>
      </c>
      <c r="C1915" s="5" t="str">
        <f>IFERROR(__xludf.DUMMYFUNCTION("""COMPUTED_VALUE"""),"Hawthorne")</f>
        <v>Hawthorne</v>
      </c>
      <c r="D1915" s="5" t="str">
        <f>IFERROR(__xludf.DUMMYFUNCTION("""COMPUTED_VALUE"""),"183 Virginia Avenue Hawthorne QLD 4171")</f>
        <v>183 Virginia Avenue Hawthorne QLD 4171</v>
      </c>
      <c r="E1915" s="25">
        <f>IFERROR(__xludf.DUMMYFUNCTION("""COMPUTED_VALUE"""),45968.0)</f>
        <v>45968</v>
      </c>
      <c r="F1915" s="5">
        <f>IFERROR(__xludf.DUMMYFUNCTION("""COMPUTED_VALUE"""),8.0)</f>
        <v>8</v>
      </c>
      <c r="G1915" s="19" t="str">
        <f>IFERROR(__xludf.DUMMYFUNCTION("""COMPUTED_VALUE"""),"Instant Forms")</f>
        <v>Instant Forms</v>
      </c>
      <c r="H1915" s="19" t="str">
        <f>IFERROR(__xludf.DUMMYFUNCTION("""COMPUTED_VALUE"""),"Mark Scanlan")</f>
        <v>Mark Scanlan</v>
      </c>
      <c r="I1915" s="62">
        <f>IFERROR(__xludf.DUMMYFUNCTION("""COMPUTED_VALUE"""),6.1409267258E10)</f>
        <v>61409267258</v>
      </c>
      <c r="J1915" s="19" t="str">
        <f>IFERROR(__xludf.DUMMYFUNCTION("""COMPUTED_VALUE"""),"markscanlan@optusnet.com.au")</f>
        <v>markscanlan@optusnet.com.au</v>
      </c>
    </row>
    <row r="1916">
      <c r="A1916" s="19" t="str">
        <f>IFERROR(__xludf.DUMMYFUNCTION("""COMPUTED_VALUE"""),"Nathan Briggs")</f>
        <v>Nathan Briggs</v>
      </c>
      <c r="B1916" s="19" t="str">
        <f>IFERROR(__xludf.DUMMYFUNCTION("""COMPUTED_VALUE"""),"QLD")</f>
        <v>QLD</v>
      </c>
      <c r="C1916" s="5" t="str">
        <f>IFERROR(__xludf.DUMMYFUNCTION("""COMPUTED_VALUE"""),"Brisbane City")</f>
        <v>Brisbane City</v>
      </c>
      <c r="D1916" s="5" t="str">
        <f>IFERROR(__xludf.DUMMYFUNCTION("""COMPUTED_VALUE"""),"233/30 Macrossan Street Brisbane City QLD 4000")</f>
        <v>233/30 Macrossan Street Brisbane City QLD 4000</v>
      </c>
      <c r="E1916" s="25">
        <f>IFERROR(__xludf.DUMMYFUNCTION("""COMPUTED_VALUE"""),45970.0)</f>
        <v>45970</v>
      </c>
      <c r="F1916" s="5">
        <f>IFERROR(__xludf.DUMMYFUNCTION("""COMPUTED_VALUE"""),8.0)</f>
        <v>8</v>
      </c>
      <c r="G1916" s="19" t="str">
        <f>IFERROR(__xludf.DUMMYFUNCTION("""COMPUTED_VALUE"""),"Instant Forms")</f>
        <v>Instant Forms</v>
      </c>
      <c r="H1916" s="19" t="str">
        <f>IFERROR(__xludf.DUMMYFUNCTION("""COMPUTED_VALUE"""),"Peter Cross")</f>
        <v>Peter Cross</v>
      </c>
      <c r="I1916" s="62">
        <f>IFERROR(__xludf.DUMMYFUNCTION("""COMPUTED_VALUE"""),6.1459037795E10)</f>
        <v>61459037795</v>
      </c>
      <c r="J1916" s="19" t="str">
        <f>IFERROR(__xludf.DUMMYFUNCTION("""COMPUTED_VALUE"""),"petercross848@gmail.com")</f>
        <v>petercross848@gmail.com</v>
      </c>
    </row>
    <row r="1917">
      <c r="A1917" s="19" t="str">
        <f>IFERROR(__xludf.DUMMYFUNCTION("""COMPUTED_VALUE"""),"Nathan Briggs")</f>
        <v>Nathan Briggs</v>
      </c>
      <c r="B1917" s="19" t="str">
        <f>IFERROR(__xludf.DUMMYFUNCTION("""COMPUTED_VALUE"""),"QLD")</f>
        <v>QLD</v>
      </c>
      <c r="C1917" s="5" t="str">
        <f>IFERROR(__xludf.DUMMYFUNCTION("""COMPUTED_VALUE"""),"Kalinga")</f>
        <v>Kalinga</v>
      </c>
      <c r="D1917" s="5" t="str">
        <f>IFERROR(__xludf.DUMMYFUNCTION("""COMPUTED_VALUE"""),"30 Turner Street Windsor QLD 4030")</f>
        <v>30 Turner Street Windsor QLD 4030</v>
      </c>
      <c r="E1917" s="25">
        <f>IFERROR(__xludf.DUMMYFUNCTION("""COMPUTED_VALUE"""),45975.0)</f>
        <v>45975</v>
      </c>
      <c r="F1917" s="5">
        <f>IFERROR(__xludf.DUMMYFUNCTION("""COMPUTED_VALUE"""),8.0)</f>
        <v>8</v>
      </c>
      <c r="G1917" s="19" t="str">
        <f>IFERROR(__xludf.DUMMYFUNCTION("""COMPUTED_VALUE"""),"Instant Forms")</f>
        <v>Instant Forms</v>
      </c>
      <c r="H1917" s="19" t="str">
        <f>IFERROR(__xludf.DUMMYFUNCTION("""COMPUTED_VALUE"""),"Mick Cole")</f>
        <v>Mick Cole</v>
      </c>
      <c r="I1917" s="62">
        <f>IFERROR(__xludf.DUMMYFUNCTION("""COMPUTED_VALUE"""),6.1417487966E10)</f>
        <v>61417487966</v>
      </c>
      <c r="J1917" s="19" t="str">
        <f>IFERROR(__xludf.DUMMYFUNCTION("""COMPUTED_VALUE"""),"mickcole3481@gmail.com")</f>
        <v>mickcole3481@gmail.com</v>
      </c>
    </row>
    <row r="1918">
      <c r="A1918" s="19" t="str">
        <f>IFERROR(__xludf.DUMMYFUNCTION("""COMPUTED_VALUE"""),"Nathan Briggs")</f>
        <v>Nathan Briggs</v>
      </c>
      <c r="B1918" s="19" t="str">
        <f>IFERROR(__xludf.DUMMYFUNCTION("""COMPUTED_VALUE"""),"QLD")</f>
        <v>QLD</v>
      </c>
      <c r="C1918" s="5" t="str">
        <f>IFERROR(__xludf.DUMMYFUNCTION("""COMPUTED_VALUE"""),"West End")</f>
        <v>West End</v>
      </c>
      <c r="D1918" s="5" t="str">
        <f>IFERROR(__xludf.DUMMYFUNCTION("""COMPUTED_VALUE"""),"81602/23 mollison st west end")</f>
        <v>81602/23 mollison st west end</v>
      </c>
      <c r="E1918" s="5" t="str">
        <f>IFERROR(__xludf.DUMMYFUNCTION("""COMPUTED_VALUE"""),"18/11/2025")</f>
        <v>18/11/2025</v>
      </c>
      <c r="F1918" s="5" t="str">
        <f>IFERROR(__xludf.DUMMYFUNCTION("""COMPUTED_VALUE"""),"Featured")</f>
        <v>Featured</v>
      </c>
      <c r="G1918" s="19" t="str">
        <f>IFERROR(__xludf.DUMMYFUNCTION("""COMPUTED_VALUE"""),"Commission Comparison")</f>
        <v>Commission Comparison</v>
      </c>
      <c r="H1918" s="19" t="str">
        <f>IFERROR(__xludf.DUMMYFUNCTION("""COMPUTED_VALUE"""),"Conor Scanlan")</f>
        <v>Conor Scanlan</v>
      </c>
      <c r="I1918" s="62">
        <f>IFERROR(__xludf.DUMMYFUNCTION("""COMPUTED_VALUE"""),6.1435905957E10)</f>
        <v>61435905957</v>
      </c>
      <c r="J1918" s="19" t="str">
        <f>IFERROR(__xludf.DUMMYFUNCTION("""COMPUTED_VALUE"""),"conor.scanlan@bigpond.com")</f>
        <v>conor.scanlan@bigpond.com</v>
      </c>
    </row>
    <row r="1919">
      <c r="A1919" s="19" t="str">
        <f>IFERROR(__xludf.DUMMYFUNCTION("""COMPUTED_VALUE"""),"Nathan Briggs")</f>
        <v>Nathan Briggs</v>
      </c>
      <c r="B1919" s="19" t="str">
        <f>IFERROR(__xludf.DUMMYFUNCTION("""COMPUTED_VALUE"""),"QLD")</f>
        <v>QLD</v>
      </c>
      <c r="C1919" s="5" t="str">
        <f>IFERROR(__xludf.DUMMYFUNCTION("""COMPUTED_VALUE"""),"Bulimba")</f>
        <v>Bulimba</v>
      </c>
      <c r="D1919" s="5" t="str">
        <f>IFERROR(__xludf.DUMMYFUNCTION("""COMPUTED_VALUE"""),"2/9 Cambridge Street Bulimba QLD 4171")</f>
        <v>2/9 Cambridge Street Bulimba QLD 4171</v>
      </c>
      <c r="E1919" s="27">
        <f>IFERROR(__xludf.DUMMYFUNCTION("""COMPUTED_VALUE"""),45700.0)</f>
        <v>45700</v>
      </c>
      <c r="F1919" s="64">
        <f>IFERROR(__xludf.DUMMYFUNCTION("""COMPUTED_VALUE"""),0.2)</f>
        <v>0.2</v>
      </c>
      <c r="G1919" s="19" t="str">
        <f>IFERROR(__xludf.DUMMYFUNCTION("""COMPUTED_VALUE"""),"Instant Forms")</f>
        <v>Instant Forms</v>
      </c>
      <c r="H1919" s="19" t="str">
        <f>IFERROR(__xludf.DUMMYFUNCTION("""COMPUTED_VALUE"""),"Jill Warlow")</f>
        <v>Jill Warlow</v>
      </c>
      <c r="I1919" s="62">
        <f>IFERROR(__xludf.DUMMYFUNCTION("""COMPUTED_VALUE"""),6.1403127133E10)</f>
        <v>61403127133</v>
      </c>
      <c r="J1919" s="19" t="str">
        <f>IFERROR(__xludf.DUMMYFUNCTION("""COMPUTED_VALUE"""),"Jillwarlow@gmail.com")</f>
        <v>Jillwarlow@gmail.com</v>
      </c>
    </row>
    <row r="1920">
      <c r="A1920" s="19" t="str">
        <f>IFERROR(__xludf.DUMMYFUNCTION("""COMPUTED_VALUE"""),"Nathan Briggs")</f>
        <v>Nathan Briggs</v>
      </c>
      <c r="B1920" s="19" t="str">
        <f>IFERROR(__xludf.DUMMYFUNCTION("""COMPUTED_VALUE"""),"QLD")</f>
        <v>QLD</v>
      </c>
      <c r="C1920" s="5" t="str">
        <f>IFERROR(__xludf.DUMMYFUNCTION("""COMPUTED_VALUE"""),"Bowen Hills")</f>
        <v>Bowen Hills</v>
      </c>
      <c r="D1920" s="5" t="str">
        <f>IFERROR(__xludf.DUMMYFUNCTION("""COMPUTED_VALUE"""),"301/36 King Street Bowen Hills QLD 4006")</f>
        <v>301/36 King Street Bowen Hills QLD 4006</v>
      </c>
      <c r="E1920" s="27">
        <f>IFERROR(__xludf.DUMMYFUNCTION("""COMPUTED_VALUE"""),45728.0)</f>
        <v>45728</v>
      </c>
      <c r="F1920" s="64">
        <f>IFERROR(__xludf.DUMMYFUNCTION("""COMPUTED_VALUE"""),0.2)</f>
        <v>0.2</v>
      </c>
      <c r="G1920" s="19" t="str">
        <f>IFERROR(__xludf.DUMMYFUNCTION("""COMPUTED_VALUE"""),"Instant Forms")</f>
        <v>Instant Forms</v>
      </c>
      <c r="H1920" s="19" t="str">
        <f>IFERROR(__xludf.DUMMYFUNCTION("""COMPUTED_VALUE"""),"Taylor Vogt")</f>
        <v>Taylor Vogt</v>
      </c>
      <c r="I1920" s="62">
        <f>IFERROR(__xludf.DUMMYFUNCTION("""COMPUTED_VALUE"""),6.1433909754E10)</f>
        <v>61433909754</v>
      </c>
      <c r="J1920" s="19" t="str">
        <f>IFERROR(__xludf.DUMMYFUNCTION("""COMPUTED_VALUE"""),"taylorlvogt@gmail.com")</f>
        <v>taylorlvogt@gmail.com</v>
      </c>
    </row>
    <row r="1921">
      <c r="A1921" s="19" t="str">
        <f>IFERROR(__xludf.DUMMYFUNCTION("""COMPUTED_VALUE"""),"")</f>
        <v/>
      </c>
      <c r="B1921" s="19" t="str">
        <f>IFERROR(__xludf.DUMMYFUNCTION("""COMPUTED_VALUE"""),"")</f>
        <v/>
      </c>
      <c r="C1921" s="5" t="str">
        <f>IFERROR(__xludf.DUMMYFUNCTION("""COMPUTED_VALUE"""),"")</f>
        <v/>
      </c>
      <c r="D1921" s="5" t="str">
        <f>IFERROR(__xludf.DUMMYFUNCTION("""COMPUTED_VALUE"""),"")</f>
        <v/>
      </c>
      <c r="E1921" s="5" t="str">
        <f>IFERROR(__xludf.DUMMYFUNCTION("""COMPUTED_VALUE"""),"")</f>
        <v/>
      </c>
      <c r="F1921" s="5" t="str">
        <f>IFERROR(__xludf.DUMMYFUNCTION("""COMPUTED_VALUE"""),"")</f>
        <v/>
      </c>
      <c r="G1921" s="19" t="str">
        <f>IFERROR(__xludf.DUMMYFUNCTION("""COMPUTED_VALUE"""),"")</f>
        <v/>
      </c>
      <c r="H1921" s="19" t="str">
        <f>IFERROR(__xludf.DUMMYFUNCTION("""COMPUTED_VALUE"""),"")</f>
        <v/>
      </c>
      <c r="I1921" s="62" t="str">
        <f>IFERROR(__xludf.DUMMYFUNCTION("""COMPUTED_VALUE"""),"")</f>
        <v/>
      </c>
      <c r="J1921" s="19" t="str">
        <f>IFERROR(__xludf.DUMMYFUNCTION("""COMPUTED_VALUE"""),"")</f>
        <v/>
      </c>
    </row>
    <row r="1922">
      <c r="A1922" s="19" t="str">
        <f>IFERROR(__xludf.DUMMYFUNCTION("""COMPUTED_VALUE"""),"")</f>
        <v/>
      </c>
      <c r="B1922" s="19" t="str">
        <f>IFERROR(__xludf.DUMMYFUNCTION("""COMPUTED_VALUE"""),"")</f>
        <v/>
      </c>
      <c r="C1922" s="5" t="str">
        <f>IFERROR(__xludf.DUMMYFUNCTION("""COMPUTED_VALUE"""),"")</f>
        <v/>
      </c>
      <c r="D1922" s="5" t="str">
        <f>IFERROR(__xludf.DUMMYFUNCTION("""COMPUTED_VALUE"""),"")</f>
        <v/>
      </c>
      <c r="E1922" s="5" t="str">
        <f>IFERROR(__xludf.DUMMYFUNCTION("""COMPUTED_VALUE"""),"")</f>
        <v/>
      </c>
      <c r="F1922" s="5" t="str">
        <f>IFERROR(__xludf.DUMMYFUNCTION("""COMPUTED_VALUE"""),"")</f>
        <v/>
      </c>
      <c r="G1922" s="19" t="str">
        <f>IFERROR(__xludf.DUMMYFUNCTION("""COMPUTED_VALUE"""),"")</f>
        <v/>
      </c>
      <c r="H1922" s="19" t="str">
        <f>IFERROR(__xludf.DUMMYFUNCTION("""COMPUTED_VALUE"""),"")</f>
        <v/>
      </c>
      <c r="I1922" s="62" t="str">
        <f>IFERROR(__xludf.DUMMYFUNCTION("""COMPUTED_VALUE"""),"")</f>
        <v/>
      </c>
      <c r="J1922" s="19" t="str">
        <f>IFERROR(__xludf.DUMMYFUNCTION("""COMPUTED_VALUE"""),"")</f>
        <v/>
      </c>
    </row>
    <row r="1923">
      <c r="A1923" s="19" t="str">
        <f>IFERROR(__xludf.DUMMYFUNCTION("""COMPUTED_VALUE"""),"Nathan Deegenaars")</f>
        <v>Nathan Deegenaars</v>
      </c>
      <c r="B1923" s="19" t="str">
        <f>IFERROR(__xludf.DUMMYFUNCTION("""COMPUTED_VALUE"""),"QLD")</f>
        <v>QLD</v>
      </c>
      <c r="C1923" s="5" t="str">
        <f>IFERROR(__xludf.DUMMYFUNCTION("""COMPUTED_VALUE"""),"Upper Coomera")</f>
        <v>Upper Coomera</v>
      </c>
      <c r="D1923" s="5"/>
      <c r="E1923" s="63">
        <f>IFERROR(__xludf.DUMMYFUNCTION("""COMPUTED_VALUE"""),45755.0)</f>
        <v>45755</v>
      </c>
      <c r="F1923" s="5" t="str">
        <f>IFERROR(__xludf.DUMMYFUNCTION("""COMPUTED_VALUE"""),"Featured")</f>
        <v>Featured</v>
      </c>
      <c r="G1923" s="19" t="str">
        <f>IFERROR(__xludf.DUMMYFUNCTION("""COMPUTED_VALUE"""),"Instant Forms")</f>
        <v>Instant Forms</v>
      </c>
      <c r="H1923" s="19"/>
      <c r="I1923" s="62"/>
      <c r="J1923" s="19"/>
    </row>
    <row r="1924">
      <c r="A1924" s="19" t="str">
        <f>IFERROR(__xludf.DUMMYFUNCTION("""COMPUTED_VALUE"""),"")</f>
        <v/>
      </c>
      <c r="B1924" s="19" t="str">
        <f>IFERROR(__xludf.DUMMYFUNCTION("""COMPUTED_VALUE"""),"")</f>
        <v/>
      </c>
      <c r="C1924" s="5" t="str">
        <f>IFERROR(__xludf.DUMMYFUNCTION("""COMPUTED_VALUE"""),"")</f>
        <v/>
      </c>
      <c r="D1924" s="5" t="str">
        <f>IFERROR(__xludf.DUMMYFUNCTION("""COMPUTED_VALUE"""),"")</f>
        <v/>
      </c>
      <c r="E1924" s="5" t="str">
        <f>IFERROR(__xludf.DUMMYFUNCTION("""COMPUTED_VALUE"""),"")</f>
        <v/>
      </c>
      <c r="F1924" s="5" t="str">
        <f>IFERROR(__xludf.DUMMYFUNCTION("""COMPUTED_VALUE"""),"")</f>
        <v/>
      </c>
      <c r="G1924" s="19" t="str">
        <f>IFERROR(__xludf.DUMMYFUNCTION("""COMPUTED_VALUE"""),"")</f>
        <v/>
      </c>
      <c r="H1924" s="19" t="str">
        <f>IFERROR(__xludf.DUMMYFUNCTION("""COMPUTED_VALUE"""),"")</f>
        <v/>
      </c>
      <c r="I1924" s="62" t="str">
        <f>IFERROR(__xludf.DUMMYFUNCTION("""COMPUTED_VALUE"""),"")</f>
        <v/>
      </c>
      <c r="J1924" s="19" t="str">
        <f>IFERROR(__xludf.DUMMYFUNCTION("""COMPUTED_VALUE"""),"")</f>
        <v/>
      </c>
    </row>
    <row r="1925">
      <c r="A1925" s="19" t="str">
        <f>IFERROR(__xludf.DUMMYFUNCTION("""COMPUTED_VALUE"""),"")</f>
        <v/>
      </c>
      <c r="B1925" s="19" t="str">
        <f>IFERROR(__xludf.DUMMYFUNCTION("""COMPUTED_VALUE"""),"")</f>
        <v/>
      </c>
      <c r="C1925" s="5" t="str">
        <f>IFERROR(__xludf.DUMMYFUNCTION("""COMPUTED_VALUE"""),"")</f>
        <v/>
      </c>
      <c r="D1925" s="5" t="str">
        <f>IFERROR(__xludf.DUMMYFUNCTION("""COMPUTED_VALUE"""),"")</f>
        <v/>
      </c>
      <c r="E1925" s="5" t="str">
        <f>IFERROR(__xludf.DUMMYFUNCTION("""COMPUTED_VALUE"""),"")</f>
        <v/>
      </c>
      <c r="F1925" s="5" t="str">
        <f>IFERROR(__xludf.DUMMYFUNCTION("""COMPUTED_VALUE"""),"")</f>
        <v/>
      </c>
      <c r="G1925" s="19" t="str">
        <f>IFERROR(__xludf.DUMMYFUNCTION("""COMPUTED_VALUE"""),"")</f>
        <v/>
      </c>
      <c r="H1925" s="19" t="str">
        <f>IFERROR(__xludf.DUMMYFUNCTION("""COMPUTED_VALUE"""),"")</f>
        <v/>
      </c>
      <c r="I1925" s="62" t="str">
        <f>IFERROR(__xludf.DUMMYFUNCTION("""COMPUTED_VALUE"""),"")</f>
        <v/>
      </c>
      <c r="J1925" s="19" t="str">
        <f>IFERROR(__xludf.DUMMYFUNCTION("""COMPUTED_VALUE"""),"")</f>
        <v/>
      </c>
    </row>
    <row r="1926">
      <c r="A1926" s="19" t="str">
        <f>IFERROR(__xludf.DUMMYFUNCTION("""COMPUTED_VALUE"""),"Nathan Simon")</f>
        <v>Nathan Simon</v>
      </c>
      <c r="B1926" s="19" t="str">
        <f>IFERROR(__xludf.DUMMYFUNCTION("""COMPUTED_VALUE"""),"QLD")</f>
        <v>QLD</v>
      </c>
      <c r="C1926" s="5" t="str">
        <f>IFERROR(__xludf.DUMMYFUNCTION("""COMPUTED_VALUE"""),"Maudsland")</f>
        <v>Maudsland</v>
      </c>
      <c r="D1926" s="5" t="str">
        <f>IFERROR(__xludf.DUMMYFUNCTION("""COMPUTED_VALUE"""),"2 Maloney Crescent")</f>
        <v>2 Maloney Crescent</v>
      </c>
      <c r="E1926" s="63"/>
      <c r="F1926" s="5" t="str">
        <f>IFERROR(__xludf.DUMMYFUNCTION("""COMPUTED_VALUE"""),"Featured")</f>
        <v>Featured</v>
      </c>
      <c r="G1926" s="19" t="str">
        <f>IFERROR(__xludf.DUMMYFUNCTION("""COMPUTED_VALUE"""),"Commission Comparison")</f>
        <v>Commission Comparison</v>
      </c>
      <c r="H1926" s="19"/>
      <c r="I1926" s="62"/>
      <c r="J1926" s="19"/>
    </row>
    <row r="1927">
      <c r="A1927" s="19" t="str">
        <f>IFERROR(__xludf.DUMMYFUNCTION("""COMPUTED_VALUE"""),"Nathan Simon")</f>
        <v>Nathan Simon</v>
      </c>
      <c r="B1927" s="19" t="str">
        <f>IFERROR(__xludf.DUMMYFUNCTION("""COMPUTED_VALUE"""),"QLD")</f>
        <v>QLD</v>
      </c>
      <c r="C1927" s="5" t="str">
        <f>IFERROR(__xludf.DUMMYFUNCTION("""COMPUTED_VALUE"""),"Ormeau Hills")</f>
        <v>Ormeau Hills</v>
      </c>
      <c r="D1927" s="5" t="str">
        <f>IFERROR(__xludf.DUMMYFUNCTION("""COMPUTED_VALUE"""),"24 Islandview Terrace Ormeau Hills QLD 4208")</f>
        <v>24 Islandview Terrace Ormeau Hills QLD 4208</v>
      </c>
      <c r="E1927" s="25">
        <f>IFERROR(__xludf.DUMMYFUNCTION("""COMPUTED_VALUE"""),45881.0)</f>
        <v>45881</v>
      </c>
      <c r="F1927" s="5" t="str">
        <f>IFERROR(__xludf.DUMMYFUNCTION("""COMPUTED_VALUE"""),"Featured")</f>
        <v>Featured</v>
      </c>
      <c r="G1927" s="19" t="str">
        <f>IFERROR(__xludf.DUMMYFUNCTION("""COMPUTED_VALUE"""),"Instant Forms")</f>
        <v>Instant Forms</v>
      </c>
      <c r="H1927" s="19"/>
      <c r="I1927" s="62"/>
      <c r="J1927" s="19"/>
    </row>
    <row r="1928">
      <c r="A1928" s="19" t="str">
        <f>IFERROR(__xludf.DUMMYFUNCTION("""COMPUTED_VALUE"""),"Nathan Simon")</f>
        <v>Nathan Simon</v>
      </c>
      <c r="B1928" s="19" t="str">
        <f>IFERROR(__xludf.DUMMYFUNCTION("""COMPUTED_VALUE"""),"QLD")</f>
        <v>QLD</v>
      </c>
      <c r="C1928" s="5" t="str">
        <f>IFERROR(__xludf.DUMMYFUNCTION("""COMPUTED_VALUE"""),"Pimpama")</f>
        <v>Pimpama</v>
      </c>
      <c r="D1928" s="5" t="str">
        <f>IFERROR(__xludf.DUMMYFUNCTION("""COMPUTED_VALUE"""),"117 Melville Drive Pimpama QLD 4209")</f>
        <v>117 Melville Drive Pimpama QLD 4209</v>
      </c>
      <c r="E1928" s="25">
        <f>IFERROR(__xludf.DUMMYFUNCTION("""COMPUTED_VALUE"""),45889.0)</f>
        <v>45889</v>
      </c>
      <c r="F1928" s="5" t="str">
        <f>IFERROR(__xludf.DUMMYFUNCTION("""COMPUTED_VALUE"""),"Featured")</f>
        <v>Featured</v>
      </c>
      <c r="G1928" s="19" t="str">
        <f>IFERROR(__xludf.DUMMYFUNCTION("""COMPUTED_VALUE"""),"Instant Forms")</f>
        <v>Instant Forms</v>
      </c>
      <c r="H1928" s="19"/>
      <c r="I1928" s="62"/>
      <c r="J1928" s="19"/>
    </row>
    <row r="1929">
      <c r="A1929" s="19" t="str">
        <f>IFERROR(__xludf.DUMMYFUNCTION("""COMPUTED_VALUE"""),"Nathan Simon")</f>
        <v>Nathan Simon</v>
      </c>
      <c r="B1929" s="19" t="str">
        <f>IFERROR(__xludf.DUMMYFUNCTION("""COMPUTED_VALUE"""),"QLD")</f>
        <v>QLD</v>
      </c>
      <c r="C1929" s="5" t="str">
        <f>IFERROR(__xludf.DUMMYFUNCTION("""COMPUTED_VALUE"""),"Pimpama")</f>
        <v>Pimpama</v>
      </c>
      <c r="D1929" s="5"/>
      <c r="E1929" s="25">
        <f>IFERROR(__xludf.DUMMYFUNCTION("""COMPUTED_VALUE"""),45889.0)</f>
        <v>45889</v>
      </c>
      <c r="F1929" s="5" t="str">
        <f>IFERROR(__xludf.DUMMYFUNCTION("""COMPUTED_VALUE"""),"Free")</f>
        <v>Free</v>
      </c>
      <c r="G1929" s="19" t="str">
        <f>IFERROR(__xludf.DUMMYFUNCTION("""COMPUTED_VALUE"""),"Instant Forms")</f>
        <v>Instant Forms</v>
      </c>
      <c r="H1929" s="19"/>
      <c r="I1929" s="62"/>
      <c r="J1929" s="19"/>
    </row>
    <row r="1930">
      <c r="A1930" s="19" t="str">
        <f>IFERROR(__xludf.DUMMYFUNCTION("""COMPUTED_VALUE"""),"Nathan Simon")</f>
        <v>Nathan Simon</v>
      </c>
      <c r="B1930" s="19" t="str">
        <f>IFERROR(__xludf.DUMMYFUNCTION("""COMPUTED_VALUE"""),"QLD")</f>
        <v>QLD</v>
      </c>
      <c r="C1930" s="5" t="str">
        <f>IFERROR(__xludf.DUMMYFUNCTION("""COMPUTED_VALUE"""),"Ormeau")</f>
        <v>Ormeau</v>
      </c>
      <c r="D1930" s="5" t="str">
        <f>IFERROR(__xludf.DUMMYFUNCTION("""COMPUTED_VALUE"""),"48-50 McIvor Court")</f>
        <v>48-50 McIvor Court</v>
      </c>
      <c r="E1930" s="25">
        <f>IFERROR(__xludf.DUMMYFUNCTION("""COMPUTED_VALUE"""),45889.0)</f>
        <v>45889</v>
      </c>
      <c r="F1930" s="5" t="str">
        <f>IFERROR(__xludf.DUMMYFUNCTION("""COMPUTED_VALUE"""),"Featured")</f>
        <v>Featured</v>
      </c>
      <c r="G1930" s="19" t="str">
        <f>IFERROR(__xludf.DUMMYFUNCTION("""COMPUTED_VALUE"""),"Commission Comparison")</f>
        <v>Commission Comparison</v>
      </c>
      <c r="H1930" s="19"/>
      <c r="I1930" s="62"/>
      <c r="J1930" s="19"/>
    </row>
    <row r="1931">
      <c r="A1931" s="19" t="str">
        <f>IFERROR(__xludf.DUMMYFUNCTION("""COMPUTED_VALUE"""),"Nathan Simon")</f>
        <v>Nathan Simon</v>
      </c>
      <c r="B1931" s="19" t="str">
        <f>IFERROR(__xludf.DUMMYFUNCTION("""COMPUTED_VALUE"""),"QLD")</f>
        <v>QLD</v>
      </c>
      <c r="C1931" s="5" t="str">
        <f>IFERROR(__xludf.DUMMYFUNCTION("""COMPUTED_VALUE"""),"Helensvale")</f>
        <v>Helensvale</v>
      </c>
      <c r="D1931" s="5" t="str">
        <f>IFERROR(__xludf.DUMMYFUNCTION("""COMPUTED_VALUE"""),"5 Glenwater Crescent Helensvale QLD 4212")</f>
        <v>5 Glenwater Crescent Helensvale QLD 4212</v>
      </c>
      <c r="E1931" s="25">
        <f>IFERROR(__xludf.DUMMYFUNCTION("""COMPUTED_VALUE"""),45890.0)</f>
        <v>45890</v>
      </c>
      <c r="F1931" s="5" t="str">
        <f>IFERROR(__xludf.DUMMYFUNCTION("""COMPUTED_VALUE"""),"Featured")</f>
        <v>Featured</v>
      </c>
      <c r="G1931" s="19" t="str">
        <f>IFERROR(__xludf.DUMMYFUNCTION("""COMPUTED_VALUE"""),"Instant Forms")</f>
        <v>Instant Forms</v>
      </c>
      <c r="H1931" s="19"/>
      <c r="I1931" s="62"/>
      <c r="J1931" s="19"/>
    </row>
    <row r="1932">
      <c r="A1932" s="19" t="str">
        <f>IFERROR(__xludf.DUMMYFUNCTION("""COMPUTED_VALUE"""),"Nathan Simon")</f>
        <v>Nathan Simon</v>
      </c>
      <c r="B1932" s="19" t="str">
        <f>IFERROR(__xludf.DUMMYFUNCTION("""COMPUTED_VALUE"""),"QLD")</f>
        <v>QLD</v>
      </c>
      <c r="C1932" s="5" t="str">
        <f>IFERROR(__xludf.DUMMYFUNCTION("""COMPUTED_VALUE"""),"Pimpama")</f>
        <v>Pimpama</v>
      </c>
      <c r="D1932" s="5" t="str">
        <f>IFERROR(__xludf.DUMMYFUNCTION("""COMPUTED_VALUE"""),"55 Guara Grove Pimpama QLD 4209")</f>
        <v>55 Guara Grove Pimpama QLD 4209</v>
      </c>
      <c r="E1932" s="25">
        <f>IFERROR(__xludf.DUMMYFUNCTION("""COMPUTED_VALUE"""),45891.0)</f>
        <v>45891</v>
      </c>
      <c r="F1932" s="5" t="str">
        <f>IFERROR(__xludf.DUMMYFUNCTION("""COMPUTED_VALUE"""),"Featured")</f>
        <v>Featured</v>
      </c>
      <c r="G1932" s="19" t="str">
        <f>IFERROR(__xludf.DUMMYFUNCTION("""COMPUTED_VALUE"""),"Instant Forms")</f>
        <v>Instant Forms</v>
      </c>
      <c r="H1932" s="19"/>
      <c r="I1932" s="62"/>
      <c r="J1932" s="19"/>
    </row>
    <row r="1933">
      <c r="A1933" s="19" t="str">
        <f>IFERROR(__xludf.DUMMYFUNCTION("""COMPUTED_VALUE"""),"Nathan Simon")</f>
        <v>Nathan Simon</v>
      </c>
      <c r="B1933" s="19" t="str">
        <f>IFERROR(__xludf.DUMMYFUNCTION("""COMPUTED_VALUE"""),"QLD")</f>
        <v>QLD</v>
      </c>
      <c r="C1933" s="5" t="str">
        <f>IFERROR(__xludf.DUMMYFUNCTION("""COMPUTED_VALUE"""),"Jacobs Well")</f>
        <v>Jacobs Well</v>
      </c>
      <c r="D1933" s="5" t="str">
        <f>IFERROR(__xludf.DUMMYFUNCTION("""COMPUTED_VALUE"""),"26 Kumgum Street Jacobs Well QLD 4208")</f>
        <v>26 Kumgum Street Jacobs Well QLD 4208</v>
      </c>
      <c r="E1933" s="25">
        <f>IFERROR(__xludf.DUMMYFUNCTION("""COMPUTED_VALUE"""),45898.0)</f>
        <v>45898</v>
      </c>
      <c r="F1933" s="5" t="str">
        <f>IFERROR(__xludf.DUMMYFUNCTION("""COMPUTED_VALUE"""),"Featured")</f>
        <v>Featured</v>
      </c>
      <c r="G1933" s="19" t="str">
        <f>IFERROR(__xludf.DUMMYFUNCTION("""COMPUTED_VALUE"""),"Instant Forms")</f>
        <v>Instant Forms</v>
      </c>
      <c r="H1933" s="19"/>
      <c r="I1933" s="62"/>
      <c r="J1933" s="19"/>
    </row>
    <row r="1934">
      <c r="A1934" s="19" t="str">
        <f>IFERROR(__xludf.DUMMYFUNCTION("""COMPUTED_VALUE"""),"Nathan Simon")</f>
        <v>Nathan Simon</v>
      </c>
      <c r="B1934" s="19" t="str">
        <f>IFERROR(__xludf.DUMMYFUNCTION("""COMPUTED_VALUE"""),"QLD")</f>
        <v>QLD</v>
      </c>
      <c r="C1934" s="5" t="str">
        <f>IFERROR(__xludf.DUMMYFUNCTION("""COMPUTED_VALUE"""),"Tamborine Mountain")</f>
        <v>Tamborine Mountain</v>
      </c>
      <c r="D1934" s="5" t="str">
        <f>IFERROR(__xludf.DUMMYFUNCTION("""COMPUTED_VALUE"""),"262-266 Macdonnell Road Tamborine Mountain QLD 4272")</f>
        <v>262-266 Macdonnell Road Tamborine Mountain QLD 4272</v>
      </c>
      <c r="E1934" s="25">
        <f>IFERROR(__xludf.DUMMYFUNCTION("""COMPUTED_VALUE"""),45898.0)</f>
        <v>45898</v>
      </c>
      <c r="F1934" s="5" t="str">
        <f>IFERROR(__xludf.DUMMYFUNCTION("""COMPUTED_VALUE"""),"Featured")</f>
        <v>Featured</v>
      </c>
      <c r="G1934" s="19" t="str">
        <f>IFERROR(__xludf.DUMMYFUNCTION("""COMPUTED_VALUE"""),"Instant Forms")</f>
        <v>Instant Forms</v>
      </c>
      <c r="H1934" s="19"/>
      <c r="I1934" s="62"/>
      <c r="J1934" s="19"/>
    </row>
    <row r="1935">
      <c r="A1935" s="19" t="str">
        <f>IFERROR(__xludf.DUMMYFUNCTION("""COMPUTED_VALUE"""),"Nathan Simon")</f>
        <v>Nathan Simon</v>
      </c>
      <c r="B1935" s="19" t="str">
        <f>IFERROR(__xludf.DUMMYFUNCTION("""COMPUTED_VALUE"""),"QLD")</f>
        <v>QLD</v>
      </c>
      <c r="C1935" s="5" t="str">
        <f>IFERROR(__xludf.DUMMYFUNCTION("""COMPUTED_VALUE"""),"Jacobs well")</f>
        <v>Jacobs well</v>
      </c>
      <c r="D1935" s="5" t="str">
        <f>IFERROR(__xludf.DUMMYFUNCTION("""COMPUTED_VALUE"""),"12 Poinciana Place Jacobs Well QLD 4208")</f>
        <v>12 Poinciana Place Jacobs Well QLD 4208</v>
      </c>
      <c r="E1935" s="25">
        <f>IFERROR(__xludf.DUMMYFUNCTION("""COMPUTED_VALUE"""),45903.0)</f>
        <v>45903</v>
      </c>
      <c r="F1935" s="5" t="str">
        <f>IFERROR(__xludf.DUMMYFUNCTION("""COMPUTED_VALUE"""),"Featured")</f>
        <v>Featured</v>
      </c>
      <c r="G1935" s="19" t="str">
        <f>IFERROR(__xludf.DUMMYFUNCTION("""COMPUTED_VALUE"""),"Instant Forms")</f>
        <v>Instant Forms</v>
      </c>
      <c r="H1935" s="19"/>
      <c r="I1935" s="62"/>
      <c r="J1935" s="19"/>
    </row>
    <row r="1936">
      <c r="A1936" s="19" t="str">
        <f>IFERROR(__xludf.DUMMYFUNCTION("""COMPUTED_VALUE"""),"Nathan Simon")</f>
        <v>Nathan Simon</v>
      </c>
      <c r="B1936" s="19" t="str">
        <f>IFERROR(__xludf.DUMMYFUNCTION("""COMPUTED_VALUE"""),"QLD")</f>
        <v>QLD</v>
      </c>
      <c r="C1936" s="5" t="str">
        <f>IFERROR(__xludf.DUMMYFUNCTION("""COMPUTED_VALUE"""),"Helensvale")</f>
        <v>Helensvale</v>
      </c>
      <c r="D1936" s="5"/>
      <c r="E1936" s="25">
        <f>IFERROR(__xludf.DUMMYFUNCTION("""COMPUTED_VALUE"""),45903.0)</f>
        <v>45903</v>
      </c>
      <c r="F1936" s="5" t="str">
        <f>IFERROR(__xludf.DUMMYFUNCTION("""COMPUTED_VALUE"""),"Featured")</f>
        <v>Featured</v>
      </c>
      <c r="G1936" s="19" t="str">
        <f>IFERROR(__xludf.DUMMYFUNCTION("""COMPUTED_VALUE"""),"Instant Forms")</f>
        <v>Instant Forms</v>
      </c>
      <c r="H1936" s="19"/>
      <c r="I1936" s="62"/>
      <c r="J1936" s="19"/>
    </row>
    <row r="1937">
      <c r="A1937" s="19" t="str">
        <f>IFERROR(__xludf.DUMMYFUNCTION("""COMPUTED_VALUE"""),"Nathan Simon")</f>
        <v>Nathan Simon</v>
      </c>
      <c r="B1937" s="19" t="str">
        <f>IFERROR(__xludf.DUMMYFUNCTION("""COMPUTED_VALUE"""),"QLD")</f>
        <v>QLD</v>
      </c>
      <c r="C1937" s="5" t="str">
        <f>IFERROR(__xludf.DUMMYFUNCTION("""COMPUTED_VALUE"""),"Helensvale")</f>
        <v>Helensvale</v>
      </c>
      <c r="D1937" s="5" t="str">
        <f>IFERROR(__xludf.DUMMYFUNCTION("""COMPUTED_VALUE"""),"35 Glenwater Crescent Helensvale QLD 4212")</f>
        <v>35 Glenwater Crescent Helensvale QLD 4212</v>
      </c>
      <c r="E1937" s="25">
        <f>IFERROR(__xludf.DUMMYFUNCTION("""COMPUTED_VALUE"""),45904.0)</f>
        <v>45904</v>
      </c>
      <c r="F1937" s="5" t="str">
        <f>IFERROR(__xludf.DUMMYFUNCTION("""COMPUTED_VALUE"""),"Featured")</f>
        <v>Featured</v>
      </c>
      <c r="G1937" s="19" t="str">
        <f>IFERROR(__xludf.DUMMYFUNCTION("""COMPUTED_VALUE"""),"Instant Forms")</f>
        <v>Instant Forms</v>
      </c>
      <c r="H1937" s="19"/>
      <c r="I1937" s="62"/>
      <c r="J1937" s="19"/>
    </row>
    <row r="1938">
      <c r="A1938" s="19" t="str">
        <f>IFERROR(__xludf.DUMMYFUNCTION("""COMPUTED_VALUE"""),"Nathan Simon")</f>
        <v>Nathan Simon</v>
      </c>
      <c r="B1938" s="19" t="str">
        <f>IFERROR(__xludf.DUMMYFUNCTION("""COMPUTED_VALUE"""),"QLD")</f>
        <v>QLD</v>
      </c>
      <c r="C1938" s="5" t="str">
        <f>IFERROR(__xludf.DUMMYFUNCTION("""COMPUTED_VALUE"""),"Maudsland")</f>
        <v>Maudsland</v>
      </c>
      <c r="D1938" s="5" t="str">
        <f>IFERROR(__xludf.DUMMYFUNCTION("""COMPUTED_VALUE"""),"7 Lowe Court Maudsland QLD 4210")</f>
        <v>7 Lowe Court Maudsland QLD 4210</v>
      </c>
      <c r="E1938" s="25">
        <f>IFERROR(__xludf.DUMMYFUNCTION("""COMPUTED_VALUE"""),45906.0)</f>
        <v>45906</v>
      </c>
      <c r="F1938" s="5" t="str">
        <f>IFERROR(__xludf.DUMMYFUNCTION("""COMPUTED_VALUE"""),"Featured")</f>
        <v>Featured</v>
      </c>
      <c r="G1938" s="19" t="str">
        <f>IFERROR(__xludf.DUMMYFUNCTION("""COMPUTED_VALUE"""),"Instant Forms")</f>
        <v>Instant Forms</v>
      </c>
      <c r="H1938" s="19"/>
      <c r="I1938" s="62"/>
      <c r="J1938" s="19"/>
    </row>
    <row r="1939">
      <c r="A1939" s="19" t="str">
        <f>IFERROR(__xludf.DUMMYFUNCTION("""COMPUTED_VALUE"""),"Nathan Simon")</f>
        <v>Nathan Simon</v>
      </c>
      <c r="B1939" s="19" t="str">
        <f>IFERROR(__xludf.DUMMYFUNCTION("""COMPUTED_VALUE"""),"QLD")</f>
        <v>QLD</v>
      </c>
      <c r="C1939" s="5" t="str">
        <f>IFERROR(__xludf.DUMMYFUNCTION("""COMPUTED_VALUE"""),"Upper Coomera")</f>
        <v>Upper Coomera</v>
      </c>
      <c r="D1939" s="5" t="str">
        <f>IFERROR(__xludf.DUMMYFUNCTION("""COMPUTED_VALUE"""),"9A Herbert Street Upper Coomera QLD 4209")</f>
        <v>9A Herbert Street Upper Coomera QLD 4209</v>
      </c>
      <c r="E1939" s="25">
        <f>IFERROR(__xludf.DUMMYFUNCTION("""COMPUTED_VALUE"""),45911.0)</f>
        <v>45911</v>
      </c>
      <c r="F1939" s="5">
        <f>IFERROR(__xludf.DUMMYFUNCTION("""COMPUTED_VALUE"""),8.0)</f>
        <v>8</v>
      </c>
      <c r="G1939" s="19" t="str">
        <f>IFERROR(__xludf.DUMMYFUNCTION("""COMPUTED_VALUE"""),"Instant Forms")</f>
        <v>Instant Forms</v>
      </c>
      <c r="H1939" s="19" t="str">
        <f>IFERROR(__xludf.DUMMYFUNCTION("""COMPUTED_VALUE"""),"Sarah Welch (Sarah Cabral)")</f>
        <v>Sarah Welch (Sarah Cabral)</v>
      </c>
      <c r="I1939" s="62"/>
      <c r="J1939" s="19"/>
    </row>
    <row r="1940">
      <c r="A1940" s="19" t="str">
        <f>IFERROR(__xludf.DUMMYFUNCTION("""COMPUTED_VALUE"""),"Nathan Simon")</f>
        <v>Nathan Simon</v>
      </c>
      <c r="B1940" s="19" t="str">
        <f>IFERROR(__xludf.DUMMYFUNCTION("""COMPUTED_VALUE"""),"QLD")</f>
        <v>QLD</v>
      </c>
      <c r="C1940" s="5" t="str">
        <f>IFERROR(__xludf.DUMMYFUNCTION("""COMPUTED_VALUE"""),"Helensvale")</f>
        <v>Helensvale</v>
      </c>
      <c r="D1940" s="5" t="str">
        <f>IFERROR(__xludf.DUMMYFUNCTION("""COMPUTED_VALUE"""),"44 River Links Blvd E.")</f>
        <v>44 River Links Blvd E.</v>
      </c>
      <c r="E1940" s="25">
        <f>IFERROR(__xludf.DUMMYFUNCTION("""COMPUTED_VALUE"""),45920.0)</f>
        <v>45920</v>
      </c>
      <c r="F1940" s="5" t="str">
        <f>IFERROR(__xludf.DUMMYFUNCTION("""COMPUTED_VALUE"""),"Featured")</f>
        <v>Featured</v>
      </c>
      <c r="G1940" s="19" t="str">
        <f>IFERROR(__xludf.DUMMYFUNCTION("""COMPUTED_VALUE"""),"Commission Comparison")</f>
        <v>Commission Comparison</v>
      </c>
      <c r="H1940" s="19"/>
      <c r="I1940" s="62"/>
      <c r="J1940" s="19"/>
    </row>
    <row r="1941">
      <c r="A1941" s="19" t="str">
        <f>IFERROR(__xludf.DUMMYFUNCTION("""COMPUTED_VALUE"""),"Nathan Simon")</f>
        <v>Nathan Simon</v>
      </c>
      <c r="B1941" s="19" t="str">
        <f>IFERROR(__xludf.DUMMYFUNCTION("""COMPUTED_VALUE"""),"QLD")</f>
        <v>QLD</v>
      </c>
      <c r="C1941" s="5" t="str">
        <f>IFERROR(__xludf.DUMMYFUNCTION("""COMPUTED_VALUE"""),"Coomera")</f>
        <v>Coomera</v>
      </c>
      <c r="D1941" s="5" t="str">
        <f>IFERROR(__xludf.DUMMYFUNCTION("""COMPUTED_VALUE"""),"20 Waddiwong Road Coomera")</f>
        <v>20 Waddiwong Road Coomera</v>
      </c>
      <c r="E1941" s="25">
        <f>IFERROR(__xludf.DUMMYFUNCTION("""COMPUTED_VALUE"""),45921.0)</f>
        <v>45921</v>
      </c>
      <c r="F1941" s="5" t="str">
        <f>IFERROR(__xludf.DUMMYFUNCTION("""COMPUTED_VALUE"""),"Featured")</f>
        <v>Featured</v>
      </c>
      <c r="G1941" s="19" t="str">
        <f>IFERROR(__xludf.DUMMYFUNCTION("""COMPUTED_VALUE"""),"Commission Comparison")</f>
        <v>Commission Comparison</v>
      </c>
      <c r="H1941" s="19"/>
      <c r="I1941" s="62"/>
      <c r="J1941" s="19"/>
    </row>
    <row r="1942">
      <c r="A1942" s="19" t="str">
        <f>IFERROR(__xludf.DUMMYFUNCTION("""COMPUTED_VALUE"""),"Nathan Simon")</f>
        <v>Nathan Simon</v>
      </c>
      <c r="B1942" s="19" t="str">
        <f>IFERROR(__xludf.DUMMYFUNCTION("""COMPUTED_VALUE"""),"QLD")</f>
        <v>QLD</v>
      </c>
      <c r="C1942" s="5" t="str">
        <f>IFERROR(__xludf.DUMMYFUNCTION("""COMPUTED_VALUE"""),"Pimpama")</f>
        <v>Pimpama</v>
      </c>
      <c r="D1942" s="5" t="str">
        <f>IFERROR(__xludf.DUMMYFUNCTION("""COMPUTED_VALUE"""),"41/7 Angela Way Pimpama QLD 4209")</f>
        <v>41/7 Angela Way Pimpama QLD 4209</v>
      </c>
      <c r="E1942" s="25">
        <f>IFERROR(__xludf.DUMMYFUNCTION("""COMPUTED_VALUE"""),45924.0)</f>
        <v>45924</v>
      </c>
      <c r="F1942" s="5">
        <f>IFERROR(__xludf.DUMMYFUNCTION("""COMPUTED_VALUE"""),8.0)</f>
        <v>8</v>
      </c>
      <c r="G1942" s="19" t="str">
        <f>IFERROR(__xludf.DUMMYFUNCTION("""COMPUTED_VALUE"""),"Instant Forms")</f>
        <v>Instant Forms</v>
      </c>
      <c r="H1942" s="19" t="str">
        <f>IFERROR(__xludf.DUMMYFUNCTION("""COMPUTED_VALUE"""),"Alan Stewart")</f>
        <v>Alan Stewart</v>
      </c>
      <c r="I1942" s="62"/>
      <c r="J1942" s="19"/>
    </row>
    <row r="1943">
      <c r="A1943" s="19" t="str">
        <f>IFERROR(__xludf.DUMMYFUNCTION("""COMPUTED_VALUE"""),"Nathan Simon")</f>
        <v>Nathan Simon</v>
      </c>
      <c r="B1943" s="19" t="str">
        <f>IFERROR(__xludf.DUMMYFUNCTION("""COMPUTED_VALUE"""),"QLD")</f>
        <v>QLD</v>
      </c>
      <c r="C1943" s="5" t="str">
        <f>IFERROR(__xludf.DUMMYFUNCTION("""COMPUTED_VALUE"""),"Upper Coomera")</f>
        <v>Upper Coomera</v>
      </c>
      <c r="D1943" s="5" t="str">
        <f>IFERROR(__xludf.DUMMYFUNCTION("""COMPUTED_VALUE"""),"11 Mada Drive Upper Coomera QLD 4209")</f>
        <v>11 Mada Drive Upper Coomera QLD 4209</v>
      </c>
      <c r="E1943" s="25">
        <f>IFERROR(__xludf.DUMMYFUNCTION("""COMPUTED_VALUE"""),45925.0)</f>
        <v>45925</v>
      </c>
      <c r="F1943" s="5">
        <f>IFERROR(__xludf.DUMMYFUNCTION("""COMPUTED_VALUE"""),6.0)</f>
        <v>6</v>
      </c>
      <c r="G1943" s="19" t="str">
        <f>IFERROR(__xludf.DUMMYFUNCTION("""COMPUTED_VALUE"""),"Instant Forms")</f>
        <v>Instant Forms</v>
      </c>
      <c r="H1943" s="19" t="str">
        <f>IFERROR(__xludf.DUMMYFUNCTION("""COMPUTED_VALUE"""),"Anne Heinonen")</f>
        <v>Anne Heinonen</v>
      </c>
      <c r="I1943" s="62"/>
      <c r="J1943" s="19"/>
    </row>
    <row r="1944">
      <c r="A1944" s="19" t="str">
        <f>IFERROR(__xludf.DUMMYFUNCTION("""COMPUTED_VALUE"""),"Nathan Simon")</f>
        <v>Nathan Simon</v>
      </c>
      <c r="B1944" s="19" t="str">
        <f>IFERROR(__xludf.DUMMYFUNCTION("""COMPUTED_VALUE"""),"QLD")</f>
        <v>QLD</v>
      </c>
      <c r="C1944" s="5" t="str">
        <f>IFERROR(__xludf.DUMMYFUNCTION("""COMPUTED_VALUE"""),"Helensvale")</f>
        <v>Helensvale</v>
      </c>
      <c r="D1944" s="5" t="str">
        <f>IFERROR(__xludf.DUMMYFUNCTION("""COMPUTED_VALUE"""),"1 Wilmington Court Helensvale QLD 4212")</f>
        <v>1 Wilmington Court Helensvale QLD 4212</v>
      </c>
      <c r="E1944" s="25">
        <f>IFERROR(__xludf.DUMMYFUNCTION("""COMPUTED_VALUE"""),45928.0)</f>
        <v>45928</v>
      </c>
      <c r="F1944" s="5">
        <f>IFERROR(__xludf.DUMMYFUNCTION("""COMPUTED_VALUE"""),8.0)</f>
        <v>8</v>
      </c>
      <c r="G1944" s="19" t="str">
        <f>IFERROR(__xludf.DUMMYFUNCTION("""COMPUTED_VALUE"""),"Instant Forms")</f>
        <v>Instant Forms</v>
      </c>
      <c r="H1944" s="19" t="str">
        <f>IFERROR(__xludf.DUMMYFUNCTION("""COMPUTED_VALUE"""),"Wendy Lam")</f>
        <v>Wendy Lam</v>
      </c>
      <c r="I1944" s="62"/>
      <c r="J1944" s="19"/>
    </row>
    <row r="1945">
      <c r="A1945" s="19" t="str">
        <f>IFERROR(__xludf.DUMMYFUNCTION("""COMPUTED_VALUE"""),"Nathan Simon")</f>
        <v>Nathan Simon</v>
      </c>
      <c r="B1945" s="19" t="str">
        <f>IFERROR(__xludf.DUMMYFUNCTION("""COMPUTED_VALUE"""),"QLD")</f>
        <v>QLD</v>
      </c>
      <c r="C1945" s="5" t="str">
        <f>IFERROR(__xludf.DUMMYFUNCTION("""COMPUTED_VALUE"""),"Helensvale")</f>
        <v>Helensvale</v>
      </c>
      <c r="D1945" s="5" t="str">
        <f>IFERROR(__xludf.DUMMYFUNCTION("""COMPUTED_VALUE"""),"44 River Links Boulevard East Helensvale QLD 4212")</f>
        <v>44 River Links Boulevard East Helensvale QLD 4212</v>
      </c>
      <c r="E1945" s="25">
        <f>IFERROR(__xludf.DUMMYFUNCTION("""COMPUTED_VALUE"""),45929.0)</f>
        <v>45929</v>
      </c>
      <c r="F1945" s="5">
        <f>IFERROR(__xludf.DUMMYFUNCTION("""COMPUTED_VALUE"""),10.0)</f>
        <v>10</v>
      </c>
      <c r="G1945" s="19" t="str">
        <f>IFERROR(__xludf.DUMMYFUNCTION("""COMPUTED_VALUE"""),"Instant Forms")</f>
        <v>Instant Forms</v>
      </c>
      <c r="H1945" s="19" t="str">
        <f>IFERROR(__xludf.DUMMYFUNCTION("""COMPUTED_VALUE"""),"Bob Hayward")</f>
        <v>Bob Hayward</v>
      </c>
      <c r="I1945" s="62"/>
      <c r="J1945" s="19"/>
    </row>
    <row r="1946">
      <c r="A1946" s="19" t="str">
        <f>IFERROR(__xludf.DUMMYFUNCTION("""COMPUTED_VALUE"""),"Nathan Simon")</f>
        <v>Nathan Simon</v>
      </c>
      <c r="B1946" s="19" t="str">
        <f>IFERROR(__xludf.DUMMYFUNCTION("""COMPUTED_VALUE"""),"QLD")</f>
        <v>QLD</v>
      </c>
      <c r="C1946" s="5" t="str">
        <f>IFERROR(__xludf.DUMMYFUNCTION("""COMPUTED_VALUE"""),"Oxenford")</f>
        <v>Oxenford</v>
      </c>
      <c r="D1946" s="5" t="str">
        <f>IFERROR(__xludf.DUMMYFUNCTION("""COMPUTED_VALUE"""),"1044 / 6 Crestridge Crescent, Oxenford, QLD, 4210, Australia")</f>
        <v>1044 / 6 Crestridge Crescent, Oxenford, QLD, 4210, Australia</v>
      </c>
      <c r="E1946" s="27">
        <f>IFERROR(__xludf.DUMMYFUNCTION("""COMPUTED_VALUE"""),45667.0)</f>
        <v>45667</v>
      </c>
      <c r="F1946" s="5" t="str">
        <f>IFERROR(__xludf.DUMMYFUNCTION("""COMPUTED_VALUE"""),"Featured")</f>
        <v>Featured</v>
      </c>
      <c r="G1946" s="19"/>
      <c r="H1946" s="19"/>
      <c r="I1946" s="62"/>
      <c r="J1946" s="19"/>
    </row>
    <row r="1947">
      <c r="A1947" s="19" t="str">
        <f>IFERROR(__xludf.DUMMYFUNCTION("""COMPUTED_VALUE"""),"Nathan Simon")</f>
        <v>Nathan Simon</v>
      </c>
      <c r="B1947" s="19" t="str">
        <f>IFERROR(__xludf.DUMMYFUNCTION("""COMPUTED_VALUE"""),"QLD")</f>
        <v>QLD</v>
      </c>
      <c r="C1947" s="5" t="str">
        <f>IFERROR(__xludf.DUMMYFUNCTION("""COMPUTED_VALUE"""),"Upper Coomera")</f>
        <v>Upper Coomera</v>
      </c>
      <c r="D1947" s="5" t="str">
        <f>IFERROR(__xludf.DUMMYFUNCTION("""COMPUTED_VALUE"""),"11 Mada Drive Upper Coomera, Upper Coomera, 4209")</f>
        <v>11 Mada Drive Upper Coomera, Upper Coomera, 4209</v>
      </c>
      <c r="E1947" s="27">
        <f>IFERROR(__xludf.DUMMYFUNCTION("""COMPUTED_VALUE"""),45848.0)</f>
        <v>45848</v>
      </c>
      <c r="F1947" s="5" t="str">
        <f>IFERROR(__xludf.DUMMYFUNCTION("""COMPUTED_VALUE"""),"Featured")</f>
        <v>Featured</v>
      </c>
      <c r="G1947" s="19" t="str">
        <f>IFERROR(__xludf.DUMMYFUNCTION("""COMPUTED_VALUE"""),"Meta Commission Report")</f>
        <v>Meta Commission Report</v>
      </c>
      <c r="H1947" s="19" t="str">
        <f>IFERROR(__xludf.DUMMYFUNCTION("""COMPUTED_VALUE"""),"Anne Heinonen")</f>
        <v>Anne Heinonen</v>
      </c>
      <c r="I1947" s="62"/>
      <c r="J1947" s="19"/>
    </row>
    <row r="1948">
      <c r="A1948" s="19" t="str">
        <f>IFERROR(__xludf.DUMMYFUNCTION("""COMPUTED_VALUE"""),"Nathan Simon")</f>
        <v>Nathan Simon</v>
      </c>
      <c r="B1948" s="19" t="str">
        <f>IFERROR(__xludf.DUMMYFUNCTION("""COMPUTED_VALUE"""),"QLD")</f>
        <v>QLD</v>
      </c>
      <c r="C1948" s="5" t="str">
        <f>IFERROR(__xludf.DUMMYFUNCTION("""COMPUTED_VALUE"""),"Upper Coomera")</f>
        <v>Upper Coomera</v>
      </c>
      <c r="D1948" s="5" t="str">
        <f>IFERROR(__xludf.DUMMYFUNCTION("""COMPUTED_VALUE"""),"11 Mada Drive, Upper Coomera, QLD, 4209, Australia")</f>
        <v>11 Mada Drive, Upper Coomera, QLD, 4209, Australia</v>
      </c>
      <c r="E1948" s="27">
        <f>IFERROR(__xludf.DUMMYFUNCTION("""COMPUTED_VALUE"""),45848.0)</f>
        <v>45848</v>
      </c>
      <c r="F1948" s="5" t="str">
        <f>IFERROR(__xludf.DUMMYFUNCTION("""COMPUTED_VALUE"""),"Featured")</f>
        <v>Featured</v>
      </c>
      <c r="G1948" s="19"/>
      <c r="H1948" s="19"/>
      <c r="I1948" s="62"/>
      <c r="J1948" s="19"/>
    </row>
    <row r="1949">
      <c r="A1949" s="19" t="str">
        <f>IFERROR(__xludf.DUMMYFUNCTION("""COMPUTED_VALUE"""),"Nathan Simon")</f>
        <v>Nathan Simon</v>
      </c>
      <c r="B1949" s="19" t="str">
        <f>IFERROR(__xludf.DUMMYFUNCTION("""COMPUTED_VALUE"""),"QLD")</f>
        <v>QLD</v>
      </c>
      <c r="C1949" s="5" t="str">
        <f>IFERROR(__xludf.DUMMYFUNCTION("""COMPUTED_VALUE"""),"pacific pines")</f>
        <v>pacific pines</v>
      </c>
      <c r="D1949" s="5" t="str">
        <f>IFERROR(__xludf.DUMMYFUNCTION("""COMPUTED_VALUE"""),"29 salvado dr Pacific Pines qld 4211")</f>
        <v>29 salvado dr Pacific Pines qld 4211</v>
      </c>
      <c r="E1949" s="25">
        <f>IFERROR(__xludf.DUMMYFUNCTION("""COMPUTED_VALUE"""),45938.0)</f>
        <v>45938</v>
      </c>
      <c r="F1949" s="5" t="str">
        <f>IFERROR(__xludf.DUMMYFUNCTION("""COMPUTED_VALUE"""),"Featured")</f>
        <v>Featured</v>
      </c>
      <c r="G1949" s="19" t="str">
        <f>IFERROR(__xludf.DUMMYFUNCTION("""COMPUTED_VALUE"""),"Commission Comparison")</f>
        <v>Commission Comparison</v>
      </c>
      <c r="H1949" s="19"/>
      <c r="I1949" s="62"/>
      <c r="J1949" s="19"/>
    </row>
    <row r="1950">
      <c r="A1950" s="19" t="str">
        <f>IFERROR(__xludf.DUMMYFUNCTION("""COMPUTED_VALUE"""),"Nathan Simon")</f>
        <v>Nathan Simon</v>
      </c>
      <c r="B1950" s="19" t="str">
        <f>IFERROR(__xludf.DUMMYFUNCTION("""COMPUTED_VALUE"""),"QLD")</f>
        <v>QLD</v>
      </c>
      <c r="C1950" s="5" t="str">
        <f>IFERROR(__xludf.DUMMYFUNCTION("""COMPUTED_VALUE"""),"Willow vale")</f>
        <v>Willow vale</v>
      </c>
      <c r="D1950" s="5" t="str">
        <f>IFERROR(__xludf.DUMMYFUNCTION("""COMPUTED_VALUE"""),"22 Rosemount Drive Willow Vale QLD 4209")</f>
        <v>22 Rosemount Drive Willow Vale QLD 4209</v>
      </c>
      <c r="E1950" s="25">
        <f>IFERROR(__xludf.DUMMYFUNCTION("""COMPUTED_VALUE"""),45941.0)</f>
        <v>45941</v>
      </c>
      <c r="F1950" s="5">
        <f>IFERROR(__xludf.DUMMYFUNCTION("""COMPUTED_VALUE"""),8.0)</f>
        <v>8</v>
      </c>
      <c r="G1950" s="19" t="str">
        <f>IFERROR(__xludf.DUMMYFUNCTION("""COMPUTED_VALUE"""),"Instant Forms")</f>
        <v>Instant Forms</v>
      </c>
      <c r="H1950" s="19"/>
      <c r="I1950" s="62"/>
      <c r="J1950" s="19"/>
    </row>
    <row r="1951">
      <c r="A1951" s="19" t="str">
        <f>IFERROR(__xludf.DUMMYFUNCTION("""COMPUTED_VALUE"""),"Nathan Simon")</f>
        <v>Nathan Simon</v>
      </c>
      <c r="B1951" s="19" t="str">
        <f>IFERROR(__xludf.DUMMYFUNCTION("""COMPUTED_VALUE"""),"QLD")</f>
        <v>QLD</v>
      </c>
      <c r="C1951" s="5" t="str">
        <f>IFERROR(__xludf.DUMMYFUNCTION("""COMPUTED_VALUE"""),"Coomera")</f>
        <v>Coomera</v>
      </c>
      <c r="D1951" s="5" t="str">
        <f>IFERROR(__xludf.DUMMYFUNCTION("""COMPUTED_VALUE"""),"5 Stormvogel Court Coomera QLD 4209")</f>
        <v>5 Stormvogel Court Coomera QLD 4209</v>
      </c>
      <c r="E1951" s="25">
        <f>IFERROR(__xludf.DUMMYFUNCTION("""COMPUTED_VALUE"""),45943.0)</f>
        <v>45943</v>
      </c>
      <c r="F1951" s="5">
        <f>IFERROR(__xludf.DUMMYFUNCTION("""COMPUTED_VALUE"""),8.0)</f>
        <v>8</v>
      </c>
      <c r="G1951" s="19" t="str">
        <f>IFERROR(__xludf.DUMMYFUNCTION("""COMPUTED_VALUE"""),"Instant Forms")</f>
        <v>Instant Forms</v>
      </c>
      <c r="H1951" s="19"/>
      <c r="I1951" s="62"/>
      <c r="J1951" s="19"/>
    </row>
    <row r="1952">
      <c r="A1952" s="19" t="str">
        <f>IFERROR(__xludf.DUMMYFUNCTION("""COMPUTED_VALUE"""),"Nathan Simon")</f>
        <v>Nathan Simon</v>
      </c>
      <c r="B1952" s="19" t="str">
        <f>IFERROR(__xludf.DUMMYFUNCTION("""COMPUTED_VALUE"""),"QLD")</f>
        <v>QLD</v>
      </c>
      <c r="C1952" s="5" t="str">
        <f>IFERROR(__xludf.DUMMYFUNCTION("""COMPUTED_VALUE"""),"Upper Coomera")</f>
        <v>Upper Coomera</v>
      </c>
      <c r="D1952" s="5" t="str">
        <f>IFERROR(__xludf.DUMMYFUNCTION("""COMPUTED_VALUE"""),"12/2 Catalina Way Upper Coomera QLD 4209")</f>
        <v>12/2 Catalina Way Upper Coomera QLD 4209</v>
      </c>
      <c r="E1952" s="25">
        <f>IFERROR(__xludf.DUMMYFUNCTION("""COMPUTED_VALUE"""),45943.0)</f>
        <v>45943</v>
      </c>
      <c r="F1952" s="5">
        <f>IFERROR(__xludf.DUMMYFUNCTION("""COMPUTED_VALUE"""),8.0)</f>
        <v>8</v>
      </c>
      <c r="G1952" s="19" t="str">
        <f>IFERROR(__xludf.DUMMYFUNCTION("""COMPUTED_VALUE"""),"Instant Forms")</f>
        <v>Instant Forms</v>
      </c>
      <c r="H1952" s="19"/>
      <c r="I1952" s="62"/>
      <c r="J1952" s="19"/>
    </row>
    <row r="1953">
      <c r="A1953" s="19" t="str">
        <f>IFERROR(__xludf.DUMMYFUNCTION("""COMPUTED_VALUE"""),"Nathan Simon")</f>
        <v>Nathan Simon</v>
      </c>
      <c r="B1953" s="19" t="str">
        <f>IFERROR(__xludf.DUMMYFUNCTION("""COMPUTED_VALUE"""),"QLD")</f>
        <v>QLD</v>
      </c>
      <c r="C1953" s="5" t="str">
        <f>IFERROR(__xludf.DUMMYFUNCTION("""COMPUTED_VALUE"""),"Helensvale")</f>
        <v>Helensvale</v>
      </c>
      <c r="D1953" s="5" t="str">
        <f>IFERROR(__xludf.DUMMYFUNCTION("""COMPUTED_VALUE"""),"44 River Links Boulevard East Helensvale QLD 4212")</f>
        <v>44 River Links Boulevard East Helensvale QLD 4212</v>
      </c>
      <c r="E1953" s="25">
        <f>IFERROR(__xludf.DUMMYFUNCTION("""COMPUTED_VALUE"""),45946.0)</f>
        <v>45946</v>
      </c>
      <c r="F1953" s="5">
        <f>IFERROR(__xludf.DUMMYFUNCTION("""COMPUTED_VALUE"""),8.0)</f>
        <v>8</v>
      </c>
      <c r="G1953" s="19" t="str">
        <f>IFERROR(__xludf.DUMMYFUNCTION("""COMPUTED_VALUE"""),"Instant Forms")</f>
        <v>Instant Forms</v>
      </c>
      <c r="H1953" s="19"/>
      <c r="I1953" s="62"/>
      <c r="J1953" s="19"/>
    </row>
    <row r="1954">
      <c r="A1954" s="19" t="str">
        <f>IFERROR(__xludf.DUMMYFUNCTION("""COMPUTED_VALUE"""),"Nathan Simon")</f>
        <v>Nathan Simon</v>
      </c>
      <c r="B1954" s="19" t="str">
        <f>IFERROR(__xludf.DUMMYFUNCTION("""COMPUTED_VALUE"""),"QLD")</f>
        <v>QLD</v>
      </c>
      <c r="C1954" s="5" t="str">
        <f>IFERROR(__xludf.DUMMYFUNCTION("""COMPUTED_VALUE"""),"Coomera")</f>
        <v>Coomera</v>
      </c>
      <c r="D1954" s="5" t="str">
        <f>IFERROR(__xludf.DUMMYFUNCTION("""COMPUTED_VALUE"""),"15 Tribulation Crescent Coomera QLD 4209")</f>
        <v>15 Tribulation Crescent Coomera QLD 4209</v>
      </c>
      <c r="E1954" s="25">
        <f>IFERROR(__xludf.DUMMYFUNCTION("""COMPUTED_VALUE"""),45950.0)</f>
        <v>45950</v>
      </c>
      <c r="F1954" s="5">
        <f>IFERROR(__xludf.DUMMYFUNCTION("""COMPUTED_VALUE"""),8.0)</f>
        <v>8</v>
      </c>
      <c r="G1954" s="19" t="str">
        <f>IFERROR(__xludf.DUMMYFUNCTION("""COMPUTED_VALUE"""),"Instant Forms")</f>
        <v>Instant Forms</v>
      </c>
      <c r="H1954" s="19"/>
      <c r="I1954" s="62"/>
      <c r="J1954" s="19"/>
    </row>
    <row r="1955">
      <c r="A1955" s="19" t="str">
        <f>IFERROR(__xludf.DUMMYFUNCTION("""COMPUTED_VALUE"""),"Nathan Simon")</f>
        <v>Nathan Simon</v>
      </c>
      <c r="B1955" s="19" t="str">
        <f>IFERROR(__xludf.DUMMYFUNCTION("""COMPUTED_VALUE"""),"QLD")</f>
        <v>QLD</v>
      </c>
      <c r="C1955" s="5" t="str">
        <f>IFERROR(__xludf.DUMMYFUNCTION("""COMPUTED_VALUE"""),"Pacific Pines")</f>
        <v>Pacific Pines</v>
      </c>
      <c r="D1955" s="5" t="str">
        <f>IFERROR(__xludf.DUMMYFUNCTION("""COMPUTED_VALUE"""),"29 salvado dr Pacific Pines qld 4211")</f>
        <v>29 salvado dr Pacific Pines qld 4211</v>
      </c>
      <c r="E1955" s="25">
        <f>IFERROR(__xludf.DUMMYFUNCTION("""COMPUTED_VALUE"""),45950.0)</f>
        <v>45950</v>
      </c>
      <c r="F1955" s="5" t="str">
        <f>IFERROR(__xludf.DUMMYFUNCTION("""COMPUTED_VALUE"""),"Featured")</f>
        <v>Featured</v>
      </c>
      <c r="G1955" s="19" t="str">
        <f>IFERROR(__xludf.DUMMYFUNCTION("""COMPUTED_VALUE"""),"Commission Comparison")</f>
        <v>Commission Comparison</v>
      </c>
      <c r="H1955" s="19"/>
      <c r="I1955" s="62"/>
      <c r="J1955" s="19"/>
    </row>
    <row r="1956">
      <c r="A1956" s="19" t="str">
        <f>IFERROR(__xludf.DUMMYFUNCTION("""COMPUTED_VALUE"""),"Nathan Simon")</f>
        <v>Nathan Simon</v>
      </c>
      <c r="B1956" s="19" t="str">
        <f>IFERROR(__xludf.DUMMYFUNCTION("""COMPUTED_VALUE"""),"QLD")</f>
        <v>QLD</v>
      </c>
      <c r="C1956" s="5" t="str">
        <f>IFERROR(__xludf.DUMMYFUNCTION("""COMPUTED_VALUE"""),"Oxenford")</f>
        <v>Oxenford</v>
      </c>
      <c r="D1956" s="5" t="str">
        <f>IFERROR(__xludf.DUMMYFUNCTION("""COMPUTED_VALUE"""),"66 California Drive Oxenford QLD 4210")</f>
        <v>66 California Drive Oxenford QLD 4210</v>
      </c>
      <c r="E1956" s="25">
        <f>IFERROR(__xludf.DUMMYFUNCTION("""COMPUTED_VALUE"""),45960.0)</f>
        <v>45960</v>
      </c>
      <c r="F1956" s="5">
        <f>IFERROR(__xludf.DUMMYFUNCTION("""COMPUTED_VALUE"""),8.0)</f>
        <v>8</v>
      </c>
      <c r="G1956" s="19" t="str">
        <f>IFERROR(__xludf.DUMMYFUNCTION("""COMPUTED_VALUE"""),"Instant Forms")</f>
        <v>Instant Forms</v>
      </c>
      <c r="H1956" s="19"/>
      <c r="I1956" s="62"/>
      <c r="J1956" s="19"/>
    </row>
    <row r="1957">
      <c r="A1957" s="19" t="str">
        <f>IFERROR(__xludf.DUMMYFUNCTION("""COMPUTED_VALUE"""),"Nathan Simon")</f>
        <v>Nathan Simon</v>
      </c>
      <c r="B1957" s="19" t="str">
        <f>IFERROR(__xludf.DUMMYFUNCTION("""COMPUTED_VALUE"""),"QLD")</f>
        <v>QLD</v>
      </c>
      <c r="C1957" s="5" t="str">
        <f>IFERROR(__xludf.DUMMYFUNCTION("""COMPUTED_VALUE"""),"Hope Island")</f>
        <v>Hope Island</v>
      </c>
      <c r="D1957" s="5" t="str">
        <f>IFERROR(__xludf.DUMMYFUNCTION("""COMPUTED_VALUE"""),"26 North Quay Circuit Hope Island QLD 4212")</f>
        <v>26 North Quay Circuit Hope Island QLD 4212</v>
      </c>
      <c r="E1957" s="25">
        <f>IFERROR(__xludf.DUMMYFUNCTION("""COMPUTED_VALUE"""),45964.0)</f>
        <v>45964</v>
      </c>
      <c r="F1957" s="5">
        <f>IFERROR(__xludf.DUMMYFUNCTION("""COMPUTED_VALUE"""),6.0)</f>
        <v>6</v>
      </c>
      <c r="G1957" s="19" t="str">
        <f>IFERROR(__xludf.DUMMYFUNCTION("""COMPUTED_VALUE"""),"Instant Forms")</f>
        <v>Instant Forms</v>
      </c>
      <c r="H1957" s="19"/>
      <c r="I1957" s="62"/>
      <c r="J1957" s="19"/>
    </row>
    <row r="1958">
      <c r="A1958" s="19" t="str">
        <f>IFERROR(__xludf.DUMMYFUNCTION("""COMPUTED_VALUE"""),"Nathan Simon")</f>
        <v>Nathan Simon</v>
      </c>
      <c r="B1958" s="19" t="str">
        <f>IFERROR(__xludf.DUMMYFUNCTION("""COMPUTED_VALUE"""),"QLD")</f>
        <v>QLD</v>
      </c>
      <c r="C1958" s="5" t="str">
        <f>IFERROR(__xludf.DUMMYFUNCTION("""COMPUTED_VALUE"""),"Maudsland")</f>
        <v>Maudsland</v>
      </c>
      <c r="D1958" s="5" t="str">
        <f>IFERROR(__xludf.DUMMYFUNCTION("""COMPUTED_VALUE"""),"10 Hibiscus Crescent Maudsland QLD 4210")</f>
        <v>10 Hibiscus Crescent Maudsland QLD 4210</v>
      </c>
      <c r="E1958" s="25">
        <f>IFERROR(__xludf.DUMMYFUNCTION("""COMPUTED_VALUE"""),45965.0)</f>
        <v>45965</v>
      </c>
      <c r="F1958" s="5">
        <f>IFERROR(__xludf.DUMMYFUNCTION("""COMPUTED_VALUE"""),8.0)</f>
        <v>8</v>
      </c>
      <c r="G1958" s="19" t="str">
        <f>IFERROR(__xludf.DUMMYFUNCTION("""COMPUTED_VALUE"""),"Instant Forms")</f>
        <v>Instant Forms</v>
      </c>
      <c r="H1958" s="19" t="str">
        <f>IFERROR(__xludf.DUMMYFUNCTION("""COMPUTED_VALUE"""),"Jason Smit")</f>
        <v>Jason Smit</v>
      </c>
      <c r="I1958" s="62">
        <f>IFERROR(__xludf.DUMMYFUNCTION("""COMPUTED_VALUE"""),6.1451398421E10)</f>
        <v>61451398421</v>
      </c>
      <c r="J1958" s="19" t="str">
        <f>IFERROR(__xludf.DUMMYFUNCTION("""COMPUTED_VALUE"""),"je7smit@hotmail.com")</f>
        <v>je7smit@hotmail.com</v>
      </c>
    </row>
    <row r="1959">
      <c r="A1959" s="19" t="str">
        <f>IFERROR(__xludf.DUMMYFUNCTION("""COMPUTED_VALUE"""),"Nathan Simon")</f>
        <v>Nathan Simon</v>
      </c>
      <c r="B1959" s="19" t="str">
        <f>IFERROR(__xludf.DUMMYFUNCTION("""COMPUTED_VALUE"""),"QLD")</f>
        <v>QLD</v>
      </c>
      <c r="C1959" s="5" t="str">
        <f>IFERROR(__xludf.DUMMYFUNCTION("""COMPUTED_VALUE"""),"Coomera Waters")</f>
        <v>Coomera Waters</v>
      </c>
      <c r="D1959" s="5" t="str">
        <f>IFERROR(__xludf.DUMMYFUNCTION("""COMPUTED_VALUE"""),"15 Waddiwong Road")</f>
        <v>15 Waddiwong Road</v>
      </c>
      <c r="E1959" s="27">
        <f>IFERROR(__xludf.DUMMYFUNCTION("""COMPUTED_VALUE"""),45819.0)</f>
        <v>45819</v>
      </c>
      <c r="F1959" s="5" t="str">
        <f>IFERROR(__xludf.DUMMYFUNCTION("""COMPUTED_VALUE"""),"Featured")</f>
        <v>Featured</v>
      </c>
      <c r="G1959" s="19" t="str">
        <f>IFERROR(__xludf.DUMMYFUNCTION("""COMPUTED_VALUE"""),"Commission Comparison")</f>
        <v>Commission Comparison</v>
      </c>
      <c r="H1959" s="19" t="str">
        <f>IFERROR(__xludf.DUMMYFUNCTION("""COMPUTED_VALUE"""),"Katrina Branch")</f>
        <v>Katrina Branch</v>
      </c>
      <c r="I1959" s="62">
        <f>IFERROR(__xludf.DUMMYFUNCTION("""COMPUTED_VALUE"""),6.1431618526E10)</f>
        <v>61431618526</v>
      </c>
      <c r="J1959" s="19" t="str">
        <f>IFERROR(__xludf.DUMMYFUNCTION("""COMPUTED_VALUE"""),"matrina66@gmail.com")</f>
        <v>matrina66@gmail.com</v>
      </c>
    </row>
    <row r="1960">
      <c r="A1960" s="19" t="str">
        <f>IFERROR(__xludf.DUMMYFUNCTION("""COMPUTED_VALUE"""),"Nathan Simon")</f>
        <v>Nathan Simon</v>
      </c>
      <c r="B1960" s="19" t="str">
        <f>IFERROR(__xludf.DUMMYFUNCTION("""COMPUTED_VALUE"""),"QLD")</f>
        <v>QLD</v>
      </c>
      <c r="C1960" s="5" t="str">
        <f>IFERROR(__xludf.DUMMYFUNCTION("""COMPUTED_VALUE"""),"Maudsland")</f>
        <v>Maudsland</v>
      </c>
      <c r="D1960" s="5" t="str">
        <f>IFERROR(__xludf.DUMMYFUNCTION("""COMPUTED_VALUE"""),"9 Summerstone Place Maudsland QLD 4210")</f>
        <v>9 Summerstone Place Maudsland QLD 4210</v>
      </c>
      <c r="E1960" s="25">
        <f>IFERROR(__xludf.DUMMYFUNCTION("""COMPUTED_VALUE"""),45968.0)</f>
        <v>45968</v>
      </c>
      <c r="F1960" s="5" t="str">
        <f>IFERROR(__xludf.DUMMYFUNCTION("""COMPUTED_VALUE"""),"Featured")</f>
        <v>Featured</v>
      </c>
      <c r="G1960" s="19" t="str">
        <f>IFERROR(__xludf.DUMMYFUNCTION("""COMPUTED_VALUE"""),"Commission Comparison")</f>
        <v>Commission Comparison</v>
      </c>
      <c r="H1960" s="19" t="str">
        <f>IFERROR(__xludf.DUMMYFUNCTION("""COMPUTED_VALUE"""),"Dennis Phillip Sharp")</f>
        <v>Dennis Phillip Sharp</v>
      </c>
      <c r="I1960" s="62">
        <f>IFERROR(__xludf.DUMMYFUNCTION("""COMPUTED_VALUE"""),6.1408209998E10)</f>
        <v>61408209998</v>
      </c>
      <c r="J1960" s="19" t="str">
        <f>IFERROR(__xludf.DUMMYFUNCTION("""COMPUTED_VALUE"""),"dsharpee@bigpond.com")</f>
        <v>dsharpee@bigpond.com</v>
      </c>
    </row>
    <row r="1961">
      <c r="A1961" s="19" t="str">
        <f>IFERROR(__xludf.DUMMYFUNCTION("""COMPUTED_VALUE"""),"Nathan Simon")</f>
        <v>Nathan Simon</v>
      </c>
      <c r="B1961" s="19" t="str">
        <f>IFERROR(__xludf.DUMMYFUNCTION("""COMPUTED_VALUE"""),"QLD")</f>
        <v>QLD</v>
      </c>
      <c r="C1961" s="5" t="str">
        <f>IFERROR(__xludf.DUMMYFUNCTION("""COMPUTED_VALUE"""),"Upper Coomera")</f>
        <v>Upper Coomera</v>
      </c>
      <c r="D1961" s="5" t="str">
        <f>IFERROR(__xludf.DUMMYFUNCTION("""COMPUTED_VALUE"""),"4 Stonecurlew Street UPPER COOMERA QLD 4209")</f>
        <v>4 Stonecurlew Street UPPER COOMERA QLD 4209</v>
      </c>
      <c r="E1961" s="25">
        <f>IFERROR(__xludf.DUMMYFUNCTION("""COMPUTED_VALUE"""),45969.0)</f>
        <v>45969</v>
      </c>
      <c r="F1961" s="5">
        <f>IFERROR(__xludf.DUMMYFUNCTION("""COMPUTED_VALUE"""),8.0)</f>
        <v>8</v>
      </c>
      <c r="G1961" s="19" t="str">
        <f>IFERROR(__xludf.DUMMYFUNCTION("""COMPUTED_VALUE"""),"Instant Forms")</f>
        <v>Instant Forms</v>
      </c>
      <c r="H1961" s="19" t="str">
        <f>IFERROR(__xludf.DUMMYFUNCTION("""COMPUTED_VALUE"""),"Roy Gardner")</f>
        <v>Roy Gardner</v>
      </c>
      <c r="I1961" s="62">
        <f>IFERROR(__xludf.DUMMYFUNCTION("""COMPUTED_VALUE"""),6.1402031889E10)</f>
        <v>61402031889</v>
      </c>
      <c r="J1961" s="19" t="str">
        <f>IFERROR(__xludf.DUMMYFUNCTION("""COMPUTED_VALUE"""),"roy.gardner@yatalaformwork.com.au")</f>
        <v>roy.gardner@yatalaformwork.com.au</v>
      </c>
    </row>
    <row r="1962">
      <c r="A1962" s="19" t="str">
        <f>IFERROR(__xludf.DUMMYFUNCTION("""COMPUTED_VALUE"""),"Nathan Simon")</f>
        <v>Nathan Simon</v>
      </c>
      <c r="B1962" s="19" t="str">
        <f>IFERROR(__xludf.DUMMYFUNCTION("""COMPUTED_VALUE"""),"QLD")</f>
        <v>QLD</v>
      </c>
      <c r="C1962" s="5" t="str">
        <f>IFERROR(__xludf.DUMMYFUNCTION("""COMPUTED_VALUE"""),"Coomera")</f>
        <v>Coomera</v>
      </c>
      <c r="D1962" s="5" t="str">
        <f>IFERROR(__xludf.DUMMYFUNCTION("""COMPUTED_VALUE"""),"15 Tribulation Crescent Coomera QLD 4209")</f>
        <v>15 Tribulation Crescent Coomera QLD 4209</v>
      </c>
      <c r="E1962" s="25">
        <f>IFERROR(__xludf.DUMMYFUNCTION("""COMPUTED_VALUE"""),45970.0)</f>
        <v>45970</v>
      </c>
      <c r="F1962" s="5">
        <f>IFERROR(__xludf.DUMMYFUNCTION("""COMPUTED_VALUE"""),8.0)</f>
        <v>8</v>
      </c>
      <c r="G1962" s="19" t="str">
        <f>IFERROR(__xludf.DUMMYFUNCTION("""COMPUTED_VALUE"""),"Instant Forms")</f>
        <v>Instant Forms</v>
      </c>
      <c r="H1962" s="19" t="str">
        <f>IFERROR(__xludf.DUMMYFUNCTION("""COMPUTED_VALUE"""),"Tania Brattle")</f>
        <v>Tania Brattle</v>
      </c>
      <c r="I1962" s="62">
        <f>IFERROR(__xludf.DUMMYFUNCTION("""COMPUTED_VALUE"""),6.1419109081E10)</f>
        <v>61419109081</v>
      </c>
      <c r="J1962" s="19" t="str">
        <f>IFERROR(__xludf.DUMMYFUNCTION("""COMPUTED_VALUE"""),"tbrattz@hotmail.com")</f>
        <v>tbrattz@hotmail.com</v>
      </c>
    </row>
    <row r="1963">
      <c r="A1963" s="19" t="str">
        <f>IFERROR(__xludf.DUMMYFUNCTION("""COMPUTED_VALUE"""),"Nathan Simon")</f>
        <v>Nathan Simon</v>
      </c>
      <c r="B1963" s="19" t="str">
        <f>IFERROR(__xludf.DUMMYFUNCTION("""COMPUTED_VALUE"""),"QLD")</f>
        <v>QLD</v>
      </c>
      <c r="C1963" s="5" t="str">
        <f>IFERROR(__xludf.DUMMYFUNCTION("""COMPUTED_VALUE"""),"Maudsland")</f>
        <v>Maudsland</v>
      </c>
      <c r="D1963" s="5" t="str">
        <f>IFERROR(__xludf.DUMMYFUNCTION("""COMPUTED_VALUE"""),"4 Elanor Court Maudsland QLD 4210")</f>
        <v>4 Elanor Court Maudsland QLD 4210</v>
      </c>
      <c r="E1963" s="25">
        <f>IFERROR(__xludf.DUMMYFUNCTION("""COMPUTED_VALUE"""),45978.0)</f>
        <v>45978</v>
      </c>
      <c r="F1963" s="5">
        <f>IFERROR(__xludf.DUMMYFUNCTION("""COMPUTED_VALUE"""),8.0)</f>
        <v>8</v>
      </c>
      <c r="G1963" s="19" t="str">
        <f>IFERROR(__xludf.DUMMYFUNCTION("""COMPUTED_VALUE"""),"Instant Forms")</f>
        <v>Instant Forms</v>
      </c>
      <c r="H1963" s="19" t="str">
        <f>IFERROR(__xludf.DUMMYFUNCTION("""COMPUTED_VALUE"""),"Wendy Freid")</f>
        <v>Wendy Freid</v>
      </c>
      <c r="I1963" s="62">
        <f>IFERROR(__xludf.DUMMYFUNCTION("""COMPUTED_VALUE"""),6.1408738628E10)</f>
        <v>61408738628</v>
      </c>
      <c r="J1963" s="19" t="str">
        <f>IFERROR(__xludf.DUMMYFUNCTION("""COMPUTED_VALUE"""),"imogen81@bigpond.com")</f>
        <v>imogen81@bigpond.com</v>
      </c>
    </row>
    <row r="1964">
      <c r="A1964" s="19" t="str">
        <f>IFERROR(__xludf.DUMMYFUNCTION("""COMPUTED_VALUE"""),"Nathan Simon")</f>
        <v>Nathan Simon</v>
      </c>
      <c r="B1964" s="19" t="str">
        <f>IFERROR(__xludf.DUMMYFUNCTION("""COMPUTED_VALUE"""),"QLD")</f>
        <v>QLD</v>
      </c>
      <c r="C1964" s="5" t="str">
        <f>IFERROR(__xludf.DUMMYFUNCTION("""COMPUTED_VALUE"""),"Upper Coomera")</f>
        <v>Upper Coomera</v>
      </c>
      <c r="D1964" s="5" t="str">
        <f>IFERROR(__xludf.DUMMYFUNCTION("""COMPUTED_VALUE"""),"Riverside Resdential Resort, Upper Coomera, 4209")</f>
        <v>Riverside Resdential Resort, Upper Coomera, 4209</v>
      </c>
      <c r="E1964" s="5" t="str">
        <f>IFERROR(__xludf.DUMMYFUNCTION("""COMPUTED_VALUE"""),"22/11/2025")</f>
        <v>22/11/2025</v>
      </c>
      <c r="F1964" s="5" t="str">
        <f>IFERROR(__xludf.DUMMYFUNCTION("""COMPUTED_VALUE"""),"Featured")</f>
        <v>Featured</v>
      </c>
      <c r="G1964" s="19" t="str">
        <f>IFERROR(__xludf.DUMMYFUNCTION("""COMPUTED_VALUE"""),"Meta Commission Report")</f>
        <v>Meta Commission Report</v>
      </c>
      <c r="H1964" s="19" t="str">
        <f>IFERROR(__xludf.DUMMYFUNCTION("""COMPUTED_VALUE"""),"Barry Fairley")</f>
        <v>Barry Fairley</v>
      </c>
      <c r="I1964" s="62">
        <f>IFERROR(__xludf.DUMMYFUNCTION("""COMPUTED_VALUE"""),6.1421306759E10)</f>
        <v>61421306759</v>
      </c>
      <c r="J1964" s="19" t="str">
        <f>IFERROR(__xludf.DUMMYFUNCTION("""COMPUTED_VALUE"""),"bafairley@ngvemail.com")</f>
        <v>bafairley@ngvemail.com</v>
      </c>
    </row>
    <row r="1965">
      <c r="A1965" s="19" t="str">
        <f>IFERROR(__xludf.DUMMYFUNCTION("""COMPUTED_VALUE"""),"Nathan Simon")</f>
        <v>Nathan Simon</v>
      </c>
      <c r="B1965" s="19" t="str">
        <f>IFERROR(__xludf.DUMMYFUNCTION("""COMPUTED_VALUE"""),"QLD")</f>
        <v>QLD</v>
      </c>
      <c r="C1965" s="5" t="str">
        <f>IFERROR(__xludf.DUMMYFUNCTION("""COMPUTED_VALUE"""),"Pimpama")</f>
        <v>Pimpama</v>
      </c>
      <c r="D1965" s="5" t="str">
        <f>IFERROR(__xludf.DUMMYFUNCTION("""COMPUTED_VALUE"""),"9 Shawnee Crescent, Pimpama, 4209")</f>
        <v>9 Shawnee Crescent, Pimpama, 4209</v>
      </c>
      <c r="E1965" s="5" t="str">
        <f>IFERROR(__xludf.DUMMYFUNCTION("""COMPUTED_VALUE"""),"23/11/2025")</f>
        <v>23/11/2025</v>
      </c>
      <c r="F1965" s="5" t="str">
        <f>IFERROR(__xludf.DUMMYFUNCTION("""COMPUTED_VALUE"""),"Featured")</f>
        <v>Featured</v>
      </c>
      <c r="G1965" s="19" t="str">
        <f>IFERROR(__xludf.DUMMYFUNCTION("""COMPUTED_VALUE"""),"Meta Commission Report")</f>
        <v>Meta Commission Report</v>
      </c>
      <c r="H1965" s="19" t="str">
        <f>IFERROR(__xludf.DUMMYFUNCTION("""COMPUTED_VALUE"""),"Jillian Patricia")</f>
        <v>Jillian Patricia</v>
      </c>
      <c r="I1965" s="62">
        <f>IFERROR(__xludf.DUMMYFUNCTION("""COMPUTED_VALUE"""),6.1439678739E10)</f>
        <v>61439678739</v>
      </c>
      <c r="J1965" s="19" t="str">
        <f>IFERROR(__xludf.DUMMYFUNCTION("""COMPUTED_VALUE"""),"jpquinn1958@gmail.com")</f>
        <v>jpquinn1958@gmail.com</v>
      </c>
    </row>
    <row r="1966">
      <c r="A1966" s="19" t="str">
        <f>IFERROR(__xludf.DUMMYFUNCTION("""COMPUTED_VALUE"""),"Nathan Simon")</f>
        <v>Nathan Simon</v>
      </c>
      <c r="B1966" s="19" t="str">
        <f>IFERROR(__xludf.DUMMYFUNCTION("""COMPUTED_VALUE"""),"QLD")</f>
        <v>QLD</v>
      </c>
      <c r="C1966" s="5" t="str">
        <f>IFERROR(__xludf.DUMMYFUNCTION("""COMPUTED_VALUE"""),"Pimpama")</f>
        <v>Pimpama</v>
      </c>
      <c r="D1966" s="5" t="str">
        <f>IFERROR(__xludf.DUMMYFUNCTION("""COMPUTED_VALUE"""),"9 Shawnee Crescent, Pimpama, 4209, Pimpama, 4209")</f>
        <v>9 Shawnee Crescent, Pimpama, 4209, Pimpama, 4209</v>
      </c>
      <c r="E1966" s="5" t="str">
        <f>IFERROR(__xludf.DUMMYFUNCTION("""COMPUTED_VALUE"""),"23/11/2025")</f>
        <v>23/11/2025</v>
      </c>
      <c r="F1966" s="5" t="str">
        <f>IFERROR(__xludf.DUMMYFUNCTION("""COMPUTED_VALUE"""),"Featured")</f>
        <v>Featured</v>
      </c>
      <c r="G1966" s="19" t="str">
        <f>IFERROR(__xludf.DUMMYFUNCTION("""COMPUTED_VALUE"""),"Meta Commission Report")</f>
        <v>Meta Commission Report</v>
      </c>
      <c r="H1966" s="19" t="str">
        <f>IFERROR(__xludf.DUMMYFUNCTION("""COMPUTED_VALUE"""),"Jillian Patricia")</f>
        <v>Jillian Patricia</v>
      </c>
      <c r="I1966" s="62">
        <f>IFERROR(__xludf.DUMMYFUNCTION("""COMPUTED_VALUE"""),6.1439678739E10)</f>
        <v>61439678739</v>
      </c>
      <c r="J1966" s="19" t="str">
        <f>IFERROR(__xludf.DUMMYFUNCTION("""COMPUTED_VALUE"""),"jpquinn1958@gmail.com")</f>
        <v>jpquinn1958@gmail.com</v>
      </c>
    </row>
    <row r="1967">
      <c r="A1967" s="19" t="str">
        <f>IFERROR(__xludf.DUMMYFUNCTION("""COMPUTED_VALUE"""),"Nathan Simon")</f>
        <v>Nathan Simon</v>
      </c>
      <c r="B1967" s="19" t="str">
        <f>IFERROR(__xludf.DUMMYFUNCTION("""COMPUTED_VALUE"""),"QLD")</f>
        <v>QLD</v>
      </c>
      <c r="C1967" s="5" t="str">
        <f>IFERROR(__xludf.DUMMYFUNCTION("""COMPUTED_VALUE"""),"Oxenford")</f>
        <v>Oxenford</v>
      </c>
      <c r="D1967" s="5" t="str">
        <f>IFERROR(__xludf.DUMMYFUNCTION("""COMPUTED_VALUE"""),"9 Dakota Pl, Oxenford, 4210")</f>
        <v>9 Dakota Pl, Oxenford, 4210</v>
      </c>
      <c r="E1967" s="5" t="str">
        <f>IFERROR(__xludf.DUMMYFUNCTION("""COMPUTED_VALUE"""),"23/11/2025")</f>
        <v>23/11/2025</v>
      </c>
      <c r="F1967" s="5" t="str">
        <f>IFERROR(__xludf.DUMMYFUNCTION("""COMPUTED_VALUE"""),"Featured")</f>
        <v>Featured</v>
      </c>
      <c r="G1967" s="19" t="str">
        <f>IFERROR(__xludf.DUMMYFUNCTION("""COMPUTED_VALUE"""),"Meta Commission Report")</f>
        <v>Meta Commission Report</v>
      </c>
      <c r="H1967" s="19" t="str">
        <f>IFERROR(__xludf.DUMMYFUNCTION("""COMPUTED_VALUE"""),"Doñald Tru")</f>
        <v>Doñald Tru</v>
      </c>
      <c r="I1967" s="62">
        <f>IFERROR(__xludf.DUMMYFUNCTION("""COMPUTED_VALUE"""),6.1407149161E10)</f>
        <v>61407149161</v>
      </c>
      <c r="J1967" s="19" t="str">
        <f>IFERROR(__xludf.DUMMYFUNCTION("""COMPUTED_VALUE"""),"keepon042@gmail.com")</f>
        <v>keepon042@gmail.com</v>
      </c>
    </row>
    <row r="1968">
      <c r="A1968" s="19" t="str">
        <f>IFERROR(__xludf.DUMMYFUNCTION("""COMPUTED_VALUE"""),"Nathan Simon")</f>
        <v>Nathan Simon</v>
      </c>
      <c r="B1968" s="19" t="str">
        <f>IFERROR(__xludf.DUMMYFUNCTION("""COMPUTED_VALUE"""),"QLD")</f>
        <v>QLD</v>
      </c>
      <c r="C1968" s="5" t="str">
        <f>IFERROR(__xludf.DUMMYFUNCTION("""COMPUTED_VALUE"""),"Oxenford")</f>
        <v>Oxenford</v>
      </c>
      <c r="D1968" s="5" t="str">
        <f>IFERROR(__xludf.DUMMYFUNCTION("""COMPUTED_VALUE"""),"23 Rushcutter Avenue Oxenford QLD 4210")</f>
        <v>23 Rushcutter Avenue Oxenford QLD 4210</v>
      </c>
      <c r="E1968" s="5" t="str">
        <f>IFERROR(__xludf.DUMMYFUNCTION("""COMPUTED_VALUE"""),"23/11/2025")</f>
        <v>23/11/2025</v>
      </c>
      <c r="F1968" s="5">
        <f>IFERROR(__xludf.DUMMYFUNCTION("""COMPUTED_VALUE"""),8.0)</f>
        <v>8</v>
      </c>
      <c r="G1968" s="19" t="str">
        <f>IFERROR(__xludf.DUMMYFUNCTION("""COMPUTED_VALUE"""),"Instant Forms")</f>
        <v>Instant Forms</v>
      </c>
      <c r="H1968" s="19" t="str">
        <f>IFERROR(__xludf.DUMMYFUNCTION("""COMPUTED_VALUE"""),"Wendy Freid")</f>
        <v>Wendy Freid</v>
      </c>
      <c r="I1968" s="62">
        <f>IFERROR(__xludf.DUMMYFUNCTION("""COMPUTED_VALUE"""),6.1408738628E10)</f>
        <v>61408738628</v>
      </c>
      <c r="J1968" s="19" t="str">
        <f>IFERROR(__xludf.DUMMYFUNCTION("""COMPUTED_VALUE"""),"imogen81@bigpond.com")</f>
        <v>imogen81@bigpond.com</v>
      </c>
    </row>
    <row r="1969">
      <c r="A1969" s="19" t="str">
        <f>IFERROR(__xludf.DUMMYFUNCTION("""COMPUTED_VALUE"""),"Nathan Simon")</f>
        <v>Nathan Simon</v>
      </c>
      <c r="B1969" s="19" t="str">
        <f>IFERROR(__xludf.DUMMYFUNCTION("""COMPUTED_VALUE"""),"QLD")</f>
        <v>QLD</v>
      </c>
      <c r="C1969" s="5" t="str">
        <f>IFERROR(__xludf.DUMMYFUNCTION("""COMPUTED_VALUE"""),"Upper Coomera")</f>
        <v>Upper Coomera</v>
      </c>
      <c r="D1969" s="5"/>
      <c r="E1969" s="5" t="str">
        <f>IFERROR(__xludf.DUMMYFUNCTION("""COMPUTED_VALUE"""),"23/11/2025")</f>
        <v>23/11/2025</v>
      </c>
      <c r="F1969" s="5">
        <f>IFERROR(__xludf.DUMMYFUNCTION("""COMPUTED_VALUE"""),5.0)</f>
        <v>5</v>
      </c>
      <c r="G1969" s="19" t="str">
        <f>IFERROR(__xludf.DUMMYFUNCTION("""COMPUTED_VALUE"""),"Instant Forms")</f>
        <v>Instant Forms</v>
      </c>
      <c r="H1969" s="19" t="str">
        <f>IFERROR(__xludf.DUMMYFUNCTION("""COMPUTED_VALUE"""),"Ray Palmer")</f>
        <v>Ray Palmer</v>
      </c>
      <c r="I1969" s="62">
        <f>IFERROR(__xludf.DUMMYFUNCTION("""COMPUTED_VALUE"""),6.1402484239E10)</f>
        <v>61402484239</v>
      </c>
      <c r="J1969" s="19" t="str">
        <f>IFERROR(__xludf.DUMMYFUNCTION("""COMPUTED_VALUE"""),"ray.palmer2@bigpond.com")</f>
        <v>ray.palmer2@bigpond.com</v>
      </c>
    </row>
    <row r="1970">
      <c r="A1970" s="19" t="str">
        <f>IFERROR(__xludf.DUMMYFUNCTION("""COMPUTED_VALUE"""),"Nathan Simon")</f>
        <v>Nathan Simon</v>
      </c>
      <c r="B1970" s="19" t="str">
        <f>IFERROR(__xludf.DUMMYFUNCTION("""COMPUTED_VALUE"""),"QLD")</f>
        <v>QLD</v>
      </c>
      <c r="C1970" s="5" t="str">
        <f>IFERROR(__xludf.DUMMYFUNCTION("""COMPUTED_VALUE"""),"Ormeau")</f>
        <v>Ormeau</v>
      </c>
      <c r="D1970" s="5" t="str">
        <f>IFERROR(__xludf.DUMMYFUNCTION("""COMPUTED_VALUE"""),"12 Boree Court Ormeau QLD 4208")</f>
        <v>12 Boree Court Ormeau QLD 4208</v>
      </c>
      <c r="E1970" s="5" t="str">
        <f>IFERROR(__xludf.DUMMYFUNCTION("""COMPUTED_VALUE"""),"25/11/2025")</f>
        <v>25/11/2025</v>
      </c>
      <c r="F1970" s="5">
        <f>IFERROR(__xludf.DUMMYFUNCTION("""COMPUTED_VALUE"""),8.0)</f>
        <v>8</v>
      </c>
      <c r="G1970" s="19" t="str">
        <f>IFERROR(__xludf.DUMMYFUNCTION("""COMPUTED_VALUE"""),"Instant Forms")</f>
        <v>Instant Forms</v>
      </c>
      <c r="H1970" s="19" t="str">
        <f>IFERROR(__xludf.DUMMYFUNCTION("""COMPUTED_VALUE"""),"Melissa Semmler")</f>
        <v>Melissa Semmler</v>
      </c>
      <c r="I1970" s="62">
        <f>IFERROR(__xludf.DUMMYFUNCTION("""COMPUTED_VALUE"""),6.1475393444E10)</f>
        <v>61475393444</v>
      </c>
      <c r="J1970" s="19" t="str">
        <f>IFERROR(__xludf.DUMMYFUNCTION("""COMPUTED_VALUE"""),"melissa_smelt@hotmail.com")</f>
        <v>melissa_smelt@hotmail.com</v>
      </c>
    </row>
    <row r="1971">
      <c r="A1971" s="19" t="str">
        <f>IFERROR(__xludf.DUMMYFUNCTION("""COMPUTED_VALUE"""),"Nathan Simon")</f>
        <v>Nathan Simon</v>
      </c>
      <c r="B1971" s="19" t="str">
        <f>IFERROR(__xludf.DUMMYFUNCTION("""COMPUTED_VALUE"""),"QLD")</f>
        <v>QLD</v>
      </c>
      <c r="C1971" s="5" t="str">
        <f>IFERROR(__xludf.DUMMYFUNCTION("""COMPUTED_VALUE"""),"Helensvale")</f>
        <v>Helensvale</v>
      </c>
      <c r="D1971" s="5" t="str">
        <f>IFERROR(__xludf.DUMMYFUNCTION("""COMPUTED_VALUE"""),"13 Tamworth Drive, Helensvale 4212, Helensvale, 4212")</f>
        <v>13 Tamworth Drive, Helensvale 4212, Helensvale, 4212</v>
      </c>
      <c r="E1971" s="5" t="str">
        <f>IFERROR(__xludf.DUMMYFUNCTION("""COMPUTED_VALUE"""),"26/11/2025")</f>
        <v>26/11/2025</v>
      </c>
      <c r="F1971" s="5" t="str">
        <f>IFERROR(__xludf.DUMMYFUNCTION("""COMPUTED_VALUE"""),"Featured")</f>
        <v>Featured</v>
      </c>
      <c r="G1971" s="19" t="str">
        <f>IFERROR(__xludf.DUMMYFUNCTION("""COMPUTED_VALUE"""),"Meta Commission Report")</f>
        <v>Meta Commission Report</v>
      </c>
      <c r="H1971" s="19" t="str">
        <f>IFERROR(__xludf.DUMMYFUNCTION("""COMPUTED_VALUE"""),"Moira Cunningham")</f>
        <v>Moira Cunningham</v>
      </c>
      <c r="I1971" s="62">
        <f>IFERROR(__xludf.DUMMYFUNCTION("""COMPUTED_VALUE"""),6.145249433E10)</f>
        <v>61452494330</v>
      </c>
      <c r="J1971" s="19" t="str">
        <f>IFERROR(__xludf.DUMMYFUNCTION("""COMPUTED_VALUE"""),"moycunningham@yahoo.co.uk")</f>
        <v>moycunningham@yahoo.co.uk</v>
      </c>
    </row>
    <row r="1972">
      <c r="A1972" s="19" t="str">
        <f>IFERROR(__xludf.DUMMYFUNCTION("""COMPUTED_VALUE"""),"Nathan Simon")</f>
        <v>Nathan Simon</v>
      </c>
      <c r="B1972" s="19" t="str">
        <f>IFERROR(__xludf.DUMMYFUNCTION("""COMPUTED_VALUE"""),"QLD")</f>
        <v>QLD</v>
      </c>
      <c r="C1972" s="5" t="str">
        <f>IFERROR(__xludf.DUMMYFUNCTION("""COMPUTED_VALUE"""),"Oxenford")</f>
        <v>Oxenford</v>
      </c>
      <c r="D1972" s="5" t="str">
        <f>IFERROR(__xludf.DUMMYFUNCTION("""COMPUTED_VALUE"""),"2 Dorchester Court Oxenford QLD 4210")</f>
        <v>2 Dorchester Court Oxenford QLD 4210</v>
      </c>
      <c r="E1972" s="5" t="str">
        <f>IFERROR(__xludf.DUMMYFUNCTION("""COMPUTED_VALUE"""),"28/11/2025")</f>
        <v>28/11/2025</v>
      </c>
      <c r="F1972" s="64">
        <f>IFERROR(__xludf.DUMMYFUNCTION("""COMPUTED_VALUE"""),0.2)</f>
        <v>0.2</v>
      </c>
      <c r="G1972" s="19" t="str">
        <f>IFERROR(__xludf.DUMMYFUNCTION("""COMPUTED_VALUE"""),"Instant Forms")</f>
        <v>Instant Forms</v>
      </c>
      <c r="H1972" s="19" t="str">
        <f>IFERROR(__xludf.DUMMYFUNCTION("""COMPUTED_VALUE"""),"Maria Casey")</f>
        <v>Maria Casey</v>
      </c>
      <c r="I1972" s="62">
        <f>IFERROR(__xludf.DUMMYFUNCTION("""COMPUTED_VALUE"""),6.1400958451E10)</f>
        <v>61400958451</v>
      </c>
      <c r="J1972" s="19" t="str">
        <f>IFERROR(__xludf.DUMMYFUNCTION("""COMPUTED_VALUE"""),"maria@coastalspace.com.au")</f>
        <v>maria@coastalspace.com.au</v>
      </c>
    </row>
    <row r="1973">
      <c r="A1973" s="19" t="str">
        <f>IFERROR(__xludf.DUMMYFUNCTION("""COMPUTED_VALUE"""),"Nathan Simon")</f>
        <v>Nathan Simon</v>
      </c>
      <c r="B1973" s="19" t="str">
        <f>IFERROR(__xludf.DUMMYFUNCTION("""COMPUTED_VALUE"""),"QLD")</f>
        <v>QLD</v>
      </c>
      <c r="C1973" s="5" t="str">
        <f>IFERROR(__xludf.DUMMYFUNCTION("""COMPUTED_VALUE"""),"Pimpama")</f>
        <v>Pimpama</v>
      </c>
      <c r="D1973" s="5" t="str">
        <f>IFERROR(__xludf.DUMMYFUNCTION("""COMPUTED_VALUE"""),"13 Panama Street Pimpama QLD 4209")</f>
        <v>13 Panama Street Pimpama QLD 4209</v>
      </c>
      <c r="E1973" s="5" t="str">
        <f>IFERROR(__xludf.DUMMYFUNCTION("""COMPUTED_VALUE"""),"28/11/2025")</f>
        <v>28/11/2025</v>
      </c>
      <c r="F1973" s="64">
        <f>IFERROR(__xludf.DUMMYFUNCTION("""COMPUTED_VALUE"""),0.0)</f>
        <v>0</v>
      </c>
      <c r="G1973" s="19" t="str">
        <f>IFERROR(__xludf.DUMMYFUNCTION("""COMPUTED_VALUE"""),"Instant Forms")</f>
        <v>Instant Forms</v>
      </c>
      <c r="H1973" s="19" t="str">
        <f>IFERROR(__xludf.DUMMYFUNCTION("""COMPUTED_VALUE"""),"Nardine Smith")</f>
        <v>Nardine Smith</v>
      </c>
      <c r="I1973" s="62">
        <f>IFERROR(__xludf.DUMMYFUNCTION("""COMPUTED_VALUE"""),6.140645022E10)</f>
        <v>61406450220</v>
      </c>
      <c r="J1973" s="19" t="str">
        <f>IFERROR(__xludf.DUMMYFUNCTION("""COMPUTED_VALUE"""),"nardzee175@gmail.com")</f>
        <v>nardzee175@gmail.com</v>
      </c>
    </row>
    <row r="1974">
      <c r="A1974" s="19" t="str">
        <f>IFERROR(__xludf.DUMMYFUNCTION("""COMPUTED_VALUE"""),"Nathan Simon")</f>
        <v>Nathan Simon</v>
      </c>
      <c r="B1974" s="19" t="str">
        <f>IFERROR(__xludf.DUMMYFUNCTION("""COMPUTED_VALUE"""),"QLD")</f>
        <v>QLD</v>
      </c>
      <c r="C1974" s="5" t="str">
        <f>IFERROR(__xludf.DUMMYFUNCTION("""COMPUTED_VALUE"""),"Jacobs Well")</f>
        <v>Jacobs Well</v>
      </c>
      <c r="D1974" s="5" t="str">
        <f>IFERROR(__xludf.DUMMYFUNCTION("""COMPUTED_VALUE"""),"11 Woodswallow St")</f>
        <v>11 Woodswallow St</v>
      </c>
      <c r="E1974" s="27">
        <f>IFERROR(__xludf.DUMMYFUNCTION("""COMPUTED_VALUE"""),45669.0)</f>
        <v>45669</v>
      </c>
      <c r="F1974" s="64">
        <f>IFERROR(__xludf.DUMMYFUNCTION("""COMPUTED_VALUE"""),0.2)</f>
        <v>0.2</v>
      </c>
      <c r="G1974" s="19" t="str">
        <f>IFERROR(__xludf.DUMMYFUNCTION("""COMPUTED_VALUE"""),"Commission Comparison")</f>
        <v>Commission Comparison</v>
      </c>
      <c r="H1974" s="19" t="str">
        <f>IFERROR(__xludf.DUMMYFUNCTION("""COMPUTED_VALUE"""),"Debbie Madison")</f>
        <v>Debbie Madison</v>
      </c>
      <c r="I1974" s="62">
        <f>IFERROR(__xludf.DUMMYFUNCTION("""COMPUTED_VALUE"""),6.1415428851E10)</f>
        <v>61415428851</v>
      </c>
      <c r="J1974" s="19" t="str">
        <f>IFERROR(__xludf.DUMMYFUNCTION("""COMPUTED_VALUE"""),"debbie.madison279@gmail.com")</f>
        <v>debbie.madison279@gmail.com</v>
      </c>
    </row>
    <row r="1975">
      <c r="A1975" s="19" t="str">
        <f>IFERROR(__xludf.DUMMYFUNCTION("""COMPUTED_VALUE"""),"Nathan Simon")</f>
        <v>Nathan Simon</v>
      </c>
      <c r="B1975" s="19" t="str">
        <f>IFERROR(__xludf.DUMMYFUNCTION("""COMPUTED_VALUE"""),"QLD")</f>
        <v>QLD</v>
      </c>
      <c r="C1975" s="5" t="str">
        <f>IFERROR(__xludf.DUMMYFUNCTION("""COMPUTED_VALUE"""),"Ormeau")</f>
        <v>Ormeau</v>
      </c>
      <c r="D1975" s="5" t="str">
        <f>IFERROR(__xludf.DUMMYFUNCTION("""COMPUTED_VALUE"""),"7 Begonia Street Ormeau QLD 4208")</f>
        <v>7 Begonia Street Ormeau QLD 4208</v>
      </c>
      <c r="E1975" s="27">
        <f>IFERROR(__xludf.DUMMYFUNCTION("""COMPUTED_VALUE"""),45669.0)</f>
        <v>45669</v>
      </c>
      <c r="F1975" s="64">
        <f>IFERROR(__xludf.DUMMYFUNCTION("""COMPUTED_VALUE"""),0.2)</f>
        <v>0.2</v>
      </c>
      <c r="G1975" s="19" t="str">
        <f>IFERROR(__xludf.DUMMYFUNCTION("""COMPUTED_VALUE"""),"Instant Forms")</f>
        <v>Instant Forms</v>
      </c>
      <c r="H1975" s="19" t="str">
        <f>IFERROR(__xludf.DUMMYFUNCTION("""COMPUTED_VALUE"""),"Kaye Hutchinson")</f>
        <v>Kaye Hutchinson</v>
      </c>
      <c r="I1975" s="62">
        <f>IFERROR(__xludf.DUMMYFUNCTION("""COMPUTED_VALUE"""),6.1403585778E10)</f>
        <v>61403585778</v>
      </c>
      <c r="J1975" s="19" t="str">
        <f>IFERROR(__xludf.DUMMYFUNCTION("""COMPUTED_VALUE"""),"sootyfangx@hotmail.com")</f>
        <v>sootyfangx@hotmail.com</v>
      </c>
    </row>
    <row r="1976">
      <c r="A1976" s="19" t="str">
        <f>IFERROR(__xludf.DUMMYFUNCTION("""COMPUTED_VALUE"""),"Nathan Simon")</f>
        <v>Nathan Simon</v>
      </c>
      <c r="B1976" s="19" t="str">
        <f>IFERROR(__xludf.DUMMYFUNCTION("""COMPUTED_VALUE"""),"QLD")</f>
        <v>QLD</v>
      </c>
      <c r="C1976" s="5" t="str">
        <f>IFERROR(__xludf.DUMMYFUNCTION("""COMPUTED_VALUE"""),"Pacific Pines")</f>
        <v>Pacific Pines</v>
      </c>
      <c r="D1976" s="5" t="str">
        <f>IFERROR(__xludf.DUMMYFUNCTION("""COMPUTED_VALUE"""),"17 Bimberi Row Pacific Pines QLD 4211")</f>
        <v>17 Bimberi Row Pacific Pines QLD 4211</v>
      </c>
      <c r="E1976" s="27">
        <f>IFERROR(__xludf.DUMMYFUNCTION("""COMPUTED_VALUE"""),45728.0)</f>
        <v>45728</v>
      </c>
      <c r="F1976" s="64">
        <f>IFERROR(__xludf.DUMMYFUNCTION("""COMPUTED_VALUE"""),0.2)</f>
        <v>0.2</v>
      </c>
      <c r="G1976" s="19" t="str">
        <f>IFERROR(__xludf.DUMMYFUNCTION("""COMPUTED_VALUE"""),"Instant Forms")</f>
        <v>Instant Forms</v>
      </c>
      <c r="H1976" s="19" t="str">
        <f>IFERROR(__xludf.DUMMYFUNCTION("""COMPUTED_VALUE"""),"Angela Hall")</f>
        <v>Angela Hall</v>
      </c>
      <c r="I1976" s="62">
        <f>IFERROR(__xludf.DUMMYFUNCTION("""COMPUTED_VALUE"""),6.1448836215E10)</f>
        <v>61448836215</v>
      </c>
      <c r="J1976" s="19" t="str">
        <f>IFERROR(__xludf.DUMMYFUNCTION("""COMPUTED_VALUE"""),"angelahall.ah@gmail.com")</f>
        <v>angelahall.ah@gmail.com</v>
      </c>
    </row>
    <row r="1977">
      <c r="A1977" s="19" t="str">
        <f>IFERROR(__xludf.DUMMYFUNCTION("""COMPUTED_VALUE"""),"Nathan Simon")</f>
        <v>Nathan Simon</v>
      </c>
      <c r="B1977" s="19" t="str">
        <f>IFERROR(__xludf.DUMMYFUNCTION("""COMPUTED_VALUE"""),"QLD")</f>
        <v>QLD</v>
      </c>
      <c r="C1977" s="5" t="str">
        <f>IFERROR(__xludf.DUMMYFUNCTION("""COMPUTED_VALUE"""),"Helensvale")</f>
        <v>Helensvale</v>
      </c>
      <c r="D1977" s="5" t="str">
        <f>IFERROR(__xludf.DUMMYFUNCTION("""COMPUTED_VALUE"""),"1 Armidale Cres, 4212")</f>
        <v>1 Armidale Cres, 4212</v>
      </c>
      <c r="E1977" s="27">
        <f>IFERROR(__xludf.DUMMYFUNCTION("""COMPUTED_VALUE"""),45728.0)</f>
        <v>45728</v>
      </c>
      <c r="F1977" s="64">
        <f>IFERROR(__xludf.DUMMYFUNCTION("""COMPUTED_VALUE"""),0.2)</f>
        <v>0.2</v>
      </c>
      <c r="G1977" s="19" t="str">
        <f>IFERROR(__xludf.DUMMYFUNCTION("""COMPUTED_VALUE"""),"Meta Commission Report")</f>
        <v>Meta Commission Report</v>
      </c>
      <c r="H1977" s="19" t="str">
        <f>IFERROR(__xludf.DUMMYFUNCTION("""COMPUTED_VALUE"""),"Brickie Lawrence")</f>
        <v>Brickie Lawrence</v>
      </c>
      <c r="I1977" s="62">
        <f>IFERROR(__xludf.DUMMYFUNCTION("""COMPUTED_VALUE"""),6.1412705331E10)</f>
        <v>61412705331</v>
      </c>
      <c r="J1977" s="19" t="str">
        <f>IFERROR(__xludf.DUMMYFUNCTION("""COMPUTED_VALUE"""),"laubec@bigpond.com")</f>
        <v>laubec@bigpond.com</v>
      </c>
    </row>
    <row r="1978">
      <c r="A1978" s="19" t="str">
        <f>IFERROR(__xludf.DUMMYFUNCTION("""COMPUTED_VALUE"""),"Nathan Simon")</f>
        <v>Nathan Simon</v>
      </c>
      <c r="B1978" s="19" t="str">
        <f>IFERROR(__xludf.DUMMYFUNCTION("""COMPUTED_VALUE"""),"QLD")</f>
        <v>QLD</v>
      </c>
      <c r="C1978" s="5" t="str">
        <f>IFERROR(__xludf.DUMMYFUNCTION("""COMPUTED_VALUE"""),"Oxenford")</f>
        <v>Oxenford</v>
      </c>
      <c r="D1978" s="5" t="str">
        <f>IFERROR(__xludf.DUMMYFUNCTION("""COMPUTED_VALUE"""),"16 Ontario Court")</f>
        <v>16 Ontario Court</v>
      </c>
      <c r="E1978" s="27">
        <f>IFERROR(__xludf.DUMMYFUNCTION("""COMPUTED_VALUE"""),45759.0)</f>
        <v>45759</v>
      </c>
      <c r="F1978" s="64">
        <f>IFERROR(__xludf.DUMMYFUNCTION("""COMPUTED_VALUE"""),0.2)</f>
        <v>0.2</v>
      </c>
      <c r="G1978" s="19" t="str">
        <f>IFERROR(__xludf.DUMMYFUNCTION("""COMPUTED_VALUE"""),"Commission Comparison")</f>
        <v>Commission Comparison</v>
      </c>
      <c r="H1978" s="19" t="str">
        <f>IFERROR(__xludf.DUMMYFUNCTION("""COMPUTED_VALUE"""),"Gary Howle")</f>
        <v>Gary Howle</v>
      </c>
      <c r="I1978" s="62">
        <f>IFERROR(__xludf.DUMMYFUNCTION("""COMPUTED_VALUE"""),6.1422756615E10)</f>
        <v>61422756615</v>
      </c>
      <c r="J1978" s="19" t="str">
        <f>IFERROR(__xludf.DUMMYFUNCTION("""COMPUTED_VALUE"""),"g_howle@hotmail.com")</f>
        <v>g_howle@hotmail.com</v>
      </c>
    </row>
    <row r="1979">
      <c r="A1979" s="19" t="str">
        <f>IFERROR(__xludf.DUMMYFUNCTION("""COMPUTED_VALUE"""),"")</f>
        <v/>
      </c>
      <c r="B1979" s="19" t="str">
        <f>IFERROR(__xludf.DUMMYFUNCTION("""COMPUTED_VALUE"""),"")</f>
        <v/>
      </c>
      <c r="C1979" s="5" t="str">
        <f>IFERROR(__xludf.DUMMYFUNCTION("""COMPUTED_VALUE"""),"")</f>
        <v/>
      </c>
      <c r="D1979" s="5" t="str">
        <f>IFERROR(__xludf.DUMMYFUNCTION("""COMPUTED_VALUE"""),"")</f>
        <v/>
      </c>
      <c r="E1979" s="5" t="str">
        <f>IFERROR(__xludf.DUMMYFUNCTION("""COMPUTED_VALUE"""),"")</f>
        <v/>
      </c>
      <c r="F1979" s="5" t="str">
        <f>IFERROR(__xludf.DUMMYFUNCTION("""COMPUTED_VALUE"""),"")</f>
        <v/>
      </c>
      <c r="G1979" s="19" t="str">
        <f>IFERROR(__xludf.DUMMYFUNCTION("""COMPUTED_VALUE"""),"")</f>
        <v/>
      </c>
      <c r="H1979" s="19" t="str">
        <f>IFERROR(__xludf.DUMMYFUNCTION("""COMPUTED_VALUE"""),"")</f>
        <v/>
      </c>
      <c r="I1979" s="62" t="str">
        <f>IFERROR(__xludf.DUMMYFUNCTION("""COMPUTED_VALUE"""),"")</f>
        <v/>
      </c>
      <c r="J1979" s="19" t="str">
        <f>IFERROR(__xludf.DUMMYFUNCTION("""COMPUTED_VALUE"""),"")</f>
        <v/>
      </c>
    </row>
    <row r="1980">
      <c r="A1980" s="19" t="str">
        <f>IFERROR(__xludf.DUMMYFUNCTION("""COMPUTED_VALUE"""),"")</f>
        <v/>
      </c>
      <c r="B1980" s="19" t="str">
        <f>IFERROR(__xludf.DUMMYFUNCTION("""COMPUTED_VALUE"""),"")</f>
        <v/>
      </c>
      <c r="C1980" s="5" t="str">
        <f>IFERROR(__xludf.DUMMYFUNCTION("""COMPUTED_VALUE"""),"")</f>
        <v/>
      </c>
      <c r="D1980" s="5" t="str">
        <f>IFERROR(__xludf.DUMMYFUNCTION("""COMPUTED_VALUE"""),"")</f>
        <v/>
      </c>
      <c r="E1980" s="5" t="str">
        <f>IFERROR(__xludf.DUMMYFUNCTION("""COMPUTED_VALUE"""),"")</f>
        <v/>
      </c>
      <c r="F1980" s="5" t="str">
        <f>IFERROR(__xludf.DUMMYFUNCTION("""COMPUTED_VALUE"""),"")</f>
        <v/>
      </c>
      <c r="G1980" s="19" t="str">
        <f>IFERROR(__xludf.DUMMYFUNCTION("""COMPUTED_VALUE"""),"")</f>
        <v/>
      </c>
      <c r="H1980" s="19" t="str">
        <f>IFERROR(__xludf.DUMMYFUNCTION("""COMPUTED_VALUE"""),"")</f>
        <v/>
      </c>
      <c r="I1980" s="62" t="str">
        <f>IFERROR(__xludf.DUMMYFUNCTION("""COMPUTED_VALUE"""),"")</f>
        <v/>
      </c>
      <c r="J1980" s="19" t="str">
        <f>IFERROR(__xludf.DUMMYFUNCTION("""COMPUTED_VALUE"""),"")</f>
        <v/>
      </c>
    </row>
    <row r="1981">
      <c r="A1981" s="19" t="str">
        <f>IFERROR(__xludf.DUMMYFUNCTION("""COMPUTED_VALUE"""),"Olivia Burgess")</f>
        <v>Olivia Burgess</v>
      </c>
      <c r="B1981" s="19" t="str">
        <f>IFERROR(__xludf.DUMMYFUNCTION("""COMPUTED_VALUE"""),"NSW")</f>
        <v>NSW</v>
      </c>
      <c r="C1981" s="5" t="str">
        <f>IFERROR(__xludf.DUMMYFUNCTION("""COMPUTED_VALUE"""),"Kiama")</f>
        <v>Kiama</v>
      </c>
      <c r="D1981" s="5" t="str">
        <f>IFERROR(__xludf.DUMMYFUNCTION("""COMPUTED_VALUE"""),"67 Gipps Street Kiama NSW 2533")</f>
        <v>67 Gipps Street Kiama NSW 2533</v>
      </c>
      <c r="E1981" s="25">
        <f>IFERROR(__xludf.DUMMYFUNCTION("""COMPUTED_VALUE"""),45904.0)</f>
        <v>45904</v>
      </c>
      <c r="F1981" s="5" t="str">
        <f>IFERROR(__xludf.DUMMYFUNCTION("""COMPUTED_VALUE"""),"Featured")</f>
        <v>Featured</v>
      </c>
      <c r="G1981" s="19" t="str">
        <f>IFERROR(__xludf.DUMMYFUNCTION("""COMPUTED_VALUE"""),"Instant Forms")</f>
        <v>Instant Forms</v>
      </c>
      <c r="H1981" s="19"/>
      <c r="I1981" s="62"/>
      <c r="J1981" s="19"/>
    </row>
    <row r="1982">
      <c r="A1982" s="19" t="str">
        <f>IFERROR(__xludf.DUMMYFUNCTION("""COMPUTED_VALUE"""),"Olivia Burgess")</f>
        <v>Olivia Burgess</v>
      </c>
      <c r="B1982" s="19" t="str">
        <f>IFERROR(__xludf.DUMMYFUNCTION("""COMPUTED_VALUE"""),"NSW")</f>
        <v>NSW</v>
      </c>
      <c r="C1982" s="5" t="str">
        <f>IFERROR(__xludf.DUMMYFUNCTION("""COMPUTED_VALUE"""),"Kiama")</f>
        <v>Kiama</v>
      </c>
      <c r="D1982" s="5" t="str">
        <f>IFERROR(__xludf.DUMMYFUNCTION("""COMPUTED_VALUE"""),"119 Shoalhaven Street Kiama NSW 2533")</f>
        <v>119 Shoalhaven Street Kiama NSW 2533</v>
      </c>
      <c r="E1982" s="25">
        <f>IFERROR(__xludf.DUMMYFUNCTION("""COMPUTED_VALUE"""),45904.0)</f>
        <v>45904</v>
      </c>
      <c r="F1982" s="5" t="str">
        <f>IFERROR(__xludf.DUMMYFUNCTION("""COMPUTED_VALUE"""),"Featured")</f>
        <v>Featured</v>
      </c>
      <c r="G1982" s="19" t="str">
        <f>IFERROR(__xludf.DUMMYFUNCTION("""COMPUTED_VALUE"""),"Instant Forms")</f>
        <v>Instant Forms</v>
      </c>
      <c r="H1982" s="19"/>
      <c r="I1982" s="62"/>
      <c r="J1982" s="19"/>
    </row>
    <row r="1983">
      <c r="A1983" s="19" t="str">
        <f>IFERROR(__xludf.DUMMYFUNCTION("""COMPUTED_VALUE"""),"")</f>
        <v/>
      </c>
      <c r="B1983" s="19" t="str">
        <f>IFERROR(__xludf.DUMMYFUNCTION("""COMPUTED_VALUE"""),"")</f>
        <v/>
      </c>
      <c r="C1983" s="5" t="str">
        <f>IFERROR(__xludf.DUMMYFUNCTION("""COMPUTED_VALUE"""),"")</f>
        <v/>
      </c>
      <c r="D1983" s="5" t="str">
        <f>IFERROR(__xludf.DUMMYFUNCTION("""COMPUTED_VALUE"""),"")</f>
        <v/>
      </c>
      <c r="E1983" s="5" t="str">
        <f>IFERROR(__xludf.DUMMYFUNCTION("""COMPUTED_VALUE"""),"")</f>
        <v/>
      </c>
      <c r="F1983" s="5" t="str">
        <f>IFERROR(__xludf.DUMMYFUNCTION("""COMPUTED_VALUE"""),"")</f>
        <v/>
      </c>
      <c r="G1983" s="19" t="str">
        <f>IFERROR(__xludf.DUMMYFUNCTION("""COMPUTED_VALUE"""),"")</f>
        <v/>
      </c>
      <c r="H1983" s="19" t="str">
        <f>IFERROR(__xludf.DUMMYFUNCTION("""COMPUTED_VALUE"""),"")</f>
        <v/>
      </c>
      <c r="I1983" s="62" t="str">
        <f>IFERROR(__xludf.DUMMYFUNCTION("""COMPUTED_VALUE"""),"")</f>
        <v/>
      </c>
      <c r="J1983" s="19" t="str">
        <f>IFERROR(__xludf.DUMMYFUNCTION("""COMPUTED_VALUE"""),"")</f>
        <v/>
      </c>
    </row>
    <row r="1984">
      <c r="A1984" s="19" t="str">
        <f>IFERROR(__xludf.DUMMYFUNCTION("""COMPUTED_VALUE"""),"")</f>
        <v/>
      </c>
      <c r="B1984" s="19" t="str">
        <f>IFERROR(__xludf.DUMMYFUNCTION("""COMPUTED_VALUE"""),"")</f>
        <v/>
      </c>
      <c r="C1984" s="5" t="str">
        <f>IFERROR(__xludf.DUMMYFUNCTION("""COMPUTED_VALUE"""),"")</f>
        <v/>
      </c>
      <c r="D1984" s="5" t="str">
        <f>IFERROR(__xludf.DUMMYFUNCTION("""COMPUTED_VALUE"""),"")</f>
        <v/>
      </c>
      <c r="E1984" s="5" t="str">
        <f>IFERROR(__xludf.DUMMYFUNCTION("""COMPUTED_VALUE"""),"")</f>
        <v/>
      </c>
      <c r="F1984" s="5" t="str">
        <f>IFERROR(__xludf.DUMMYFUNCTION("""COMPUTED_VALUE"""),"")</f>
        <v/>
      </c>
      <c r="G1984" s="19" t="str">
        <f>IFERROR(__xludf.DUMMYFUNCTION("""COMPUTED_VALUE"""),"")</f>
        <v/>
      </c>
      <c r="H1984" s="19" t="str">
        <f>IFERROR(__xludf.DUMMYFUNCTION("""COMPUTED_VALUE"""),"")</f>
        <v/>
      </c>
      <c r="I1984" s="62" t="str">
        <f>IFERROR(__xludf.DUMMYFUNCTION("""COMPUTED_VALUE"""),"")</f>
        <v/>
      </c>
      <c r="J1984" s="19" t="str">
        <f>IFERROR(__xludf.DUMMYFUNCTION("""COMPUTED_VALUE"""),"")</f>
        <v/>
      </c>
    </row>
    <row r="1985">
      <c r="A1985" s="19" t="str">
        <f>IFERROR(__xludf.DUMMYFUNCTION("""COMPUTED_VALUE"""),"Paul Rily")</f>
        <v>Paul Rily</v>
      </c>
      <c r="B1985" s="19" t="str">
        <f>IFERROR(__xludf.DUMMYFUNCTION("""COMPUTED_VALUE"""),"QLD")</f>
        <v>QLD</v>
      </c>
      <c r="C1985" s="5">
        <f>IFERROR(__xludf.DUMMYFUNCTION("""COMPUTED_VALUE"""),4565.0)</f>
        <v>4565</v>
      </c>
      <c r="D1985" s="5"/>
      <c r="E1985" s="63">
        <f>IFERROR(__xludf.DUMMYFUNCTION("""COMPUTED_VALUE"""),45839.737233796295)</f>
        <v>45839.73723</v>
      </c>
      <c r="F1985" s="5" t="str">
        <f>IFERROR(__xludf.DUMMYFUNCTION("""COMPUTED_VALUE"""),"Featured")</f>
        <v>Featured</v>
      </c>
      <c r="G1985" s="19" t="str">
        <f>IFERROR(__xludf.DUMMYFUNCTION("""COMPUTED_VALUE"""),"Instant Forms")</f>
        <v>Instant Forms</v>
      </c>
      <c r="H1985" s="19"/>
      <c r="I1985" s="62"/>
      <c r="J1985" s="19"/>
    </row>
    <row r="1986">
      <c r="A1986" s="19" t="str">
        <f>IFERROR(__xludf.DUMMYFUNCTION("""COMPUTED_VALUE"""),"Paul Rily")</f>
        <v>Paul Rily</v>
      </c>
      <c r="B1986" s="19" t="str">
        <f>IFERROR(__xludf.DUMMYFUNCTION("""COMPUTED_VALUE"""),"QLD")</f>
        <v>QLD</v>
      </c>
      <c r="C1986" s="5">
        <f>IFERROR(__xludf.DUMMYFUNCTION("""COMPUTED_VALUE"""),4573.0)</f>
        <v>4573</v>
      </c>
      <c r="D1986" s="5"/>
      <c r="E1986" s="63">
        <f>IFERROR(__xludf.DUMMYFUNCTION("""COMPUTED_VALUE"""),45854.74967592592)</f>
        <v>45854.74968</v>
      </c>
      <c r="F1986" s="5" t="str">
        <f>IFERROR(__xludf.DUMMYFUNCTION("""COMPUTED_VALUE"""),"Featured")</f>
        <v>Featured</v>
      </c>
      <c r="G1986" s="19" t="str">
        <f>IFERROR(__xludf.DUMMYFUNCTION("""COMPUTED_VALUE"""),"Instant Forms")</f>
        <v>Instant Forms</v>
      </c>
      <c r="H1986" s="19"/>
      <c r="I1986" s="62"/>
      <c r="J1986" s="19"/>
    </row>
    <row r="1987">
      <c r="A1987" s="19" t="str">
        <f>IFERROR(__xludf.DUMMYFUNCTION("""COMPUTED_VALUE"""),"Paul Rily")</f>
        <v>Paul Rily</v>
      </c>
      <c r="B1987" s="19" t="str">
        <f>IFERROR(__xludf.DUMMYFUNCTION("""COMPUTED_VALUE"""),"QLD")</f>
        <v>QLD</v>
      </c>
      <c r="C1987" s="5" t="str">
        <f>IFERROR(__xludf.DUMMYFUNCTION("""COMPUTED_VALUE"""),"Noosa Heads")</f>
        <v>Noosa Heads</v>
      </c>
      <c r="D1987" s="5" t="str">
        <f>IFERROR(__xludf.DUMMYFUNCTION("""COMPUTED_VALUE"""),"76 Noosa Parade Noosa Heads QLD 4567")</f>
        <v>76 Noosa Parade Noosa Heads QLD 4567</v>
      </c>
      <c r="E1987" s="27">
        <f>IFERROR(__xludf.DUMMYFUNCTION("""COMPUTED_VALUE"""),45700.0)</f>
        <v>45700</v>
      </c>
      <c r="F1987" s="64">
        <f>IFERROR(__xludf.DUMMYFUNCTION("""COMPUTED_VALUE"""),0.2)</f>
        <v>0.2</v>
      </c>
      <c r="G1987" s="19" t="str">
        <f>IFERROR(__xludf.DUMMYFUNCTION("""COMPUTED_VALUE"""),"Instant Forms")</f>
        <v>Instant Forms</v>
      </c>
      <c r="H1987" s="19" t="str">
        <f>IFERROR(__xludf.DUMMYFUNCTION("""COMPUTED_VALUE"""),"Lionel McElroy")</f>
        <v>Lionel McElroy</v>
      </c>
      <c r="I1987" s="62">
        <f>IFERROR(__xludf.DUMMYFUNCTION("""COMPUTED_VALUE"""),6.1412715245E10)</f>
        <v>61412715245</v>
      </c>
      <c r="J1987" s="19" t="str">
        <f>IFERROR(__xludf.DUMMYFUNCTION("""COMPUTED_VALUE"""),"lionelmcelroy@gmail.com")</f>
        <v>lionelmcelroy@gmail.com</v>
      </c>
    </row>
    <row r="1988">
      <c r="A1988" s="19" t="str">
        <f>IFERROR(__xludf.DUMMYFUNCTION("""COMPUTED_VALUE"""),"Paul Rily")</f>
        <v>Paul Rily</v>
      </c>
      <c r="B1988" s="19" t="str">
        <f>IFERROR(__xludf.DUMMYFUNCTION("""COMPUTED_VALUE"""),"QLD")</f>
        <v>QLD</v>
      </c>
      <c r="C1988" s="5" t="str">
        <f>IFERROR(__xludf.DUMMYFUNCTION("""COMPUTED_VALUE"""),"Noosaville")</f>
        <v>Noosaville</v>
      </c>
      <c r="D1988" s="5" t="str">
        <f>IFERROR(__xludf.DUMMYFUNCTION("""COMPUTED_VALUE"""),"1 Gumdale Court Noosaville QLD 4566")</f>
        <v>1 Gumdale Court Noosaville QLD 4566</v>
      </c>
      <c r="E1988" s="27">
        <f>IFERROR(__xludf.DUMMYFUNCTION("""COMPUTED_VALUE"""),45700.0)</f>
        <v>45700</v>
      </c>
      <c r="F1988" s="64">
        <f>IFERROR(__xludf.DUMMYFUNCTION("""COMPUTED_VALUE"""),0.2)</f>
        <v>0.2</v>
      </c>
      <c r="G1988" s="19" t="str">
        <f>IFERROR(__xludf.DUMMYFUNCTION("""COMPUTED_VALUE"""),"Instant Forms")</f>
        <v>Instant Forms</v>
      </c>
      <c r="H1988" s="19" t="str">
        <f>IFERROR(__xludf.DUMMYFUNCTION("""COMPUTED_VALUE"""),"Alex Milanese")</f>
        <v>Alex Milanese</v>
      </c>
      <c r="I1988" s="62">
        <f>IFERROR(__xludf.DUMMYFUNCTION("""COMPUTED_VALUE"""),6.1483803707E10)</f>
        <v>61483803707</v>
      </c>
      <c r="J1988" s="19" t="str">
        <f>IFERROR(__xludf.DUMMYFUNCTION("""COMPUTED_VALUE"""),"rexmalex01@gmail.com")</f>
        <v>rexmalex01@gmail.com</v>
      </c>
    </row>
    <row r="1989">
      <c r="A1989" s="19" t="str">
        <f>IFERROR(__xludf.DUMMYFUNCTION("""COMPUTED_VALUE"""),"Paul Rily")</f>
        <v>Paul Rily</v>
      </c>
      <c r="B1989" s="19" t="str">
        <f>IFERROR(__xludf.DUMMYFUNCTION("""COMPUTED_VALUE"""),"QLD")</f>
        <v>QLD</v>
      </c>
      <c r="C1989" s="5" t="str">
        <f>IFERROR(__xludf.DUMMYFUNCTION("""COMPUTED_VALUE"""),"Cooroibah")</f>
        <v>Cooroibah</v>
      </c>
      <c r="D1989" s="5" t="str">
        <f>IFERROR(__xludf.DUMMYFUNCTION("""COMPUTED_VALUE"""),"26 Craigslea crt Cooroibah, Cooroibah, 4565")</f>
        <v>26 Craigslea crt Cooroibah, Cooroibah, 4565</v>
      </c>
      <c r="E1989" s="27">
        <f>IFERROR(__xludf.DUMMYFUNCTION("""COMPUTED_VALUE"""),45789.0)</f>
        <v>45789</v>
      </c>
      <c r="F1989" s="64">
        <f>IFERROR(__xludf.DUMMYFUNCTION("""COMPUTED_VALUE"""),0.2)</f>
        <v>0.2</v>
      </c>
      <c r="G1989" s="19" t="str">
        <f>IFERROR(__xludf.DUMMYFUNCTION("""COMPUTED_VALUE"""),"Meta Commission Report")</f>
        <v>Meta Commission Report</v>
      </c>
      <c r="H1989" s="19" t="str">
        <f>IFERROR(__xludf.DUMMYFUNCTION("""COMPUTED_VALUE"""),"Wayne Hunt")</f>
        <v>Wayne Hunt</v>
      </c>
      <c r="I1989" s="62">
        <f>IFERROR(__xludf.DUMMYFUNCTION("""COMPUTED_VALUE"""),6.1418843644E10)</f>
        <v>61418843644</v>
      </c>
      <c r="J1989" s="19" t="str">
        <f>IFERROR(__xludf.DUMMYFUNCTION("""COMPUTED_VALUE"""),"waynehuntcc@bigpond.com")</f>
        <v>waynehuntcc@bigpond.com</v>
      </c>
    </row>
    <row r="1990">
      <c r="A1990" s="19" t="str">
        <f>IFERROR(__xludf.DUMMYFUNCTION("""COMPUTED_VALUE"""),"")</f>
        <v/>
      </c>
      <c r="B1990" s="19" t="str">
        <f>IFERROR(__xludf.DUMMYFUNCTION("""COMPUTED_VALUE"""),"")</f>
        <v/>
      </c>
      <c r="C1990" s="5" t="str">
        <f>IFERROR(__xludf.DUMMYFUNCTION("""COMPUTED_VALUE"""),"")</f>
        <v/>
      </c>
      <c r="D1990" s="5" t="str">
        <f>IFERROR(__xludf.DUMMYFUNCTION("""COMPUTED_VALUE"""),"")</f>
        <v/>
      </c>
      <c r="E1990" s="5" t="str">
        <f>IFERROR(__xludf.DUMMYFUNCTION("""COMPUTED_VALUE"""),"")</f>
        <v/>
      </c>
      <c r="F1990" s="5" t="str">
        <f>IFERROR(__xludf.DUMMYFUNCTION("""COMPUTED_VALUE"""),"")</f>
        <v/>
      </c>
      <c r="G1990" s="19" t="str">
        <f>IFERROR(__xludf.DUMMYFUNCTION("""COMPUTED_VALUE"""),"")</f>
        <v/>
      </c>
      <c r="H1990" s="19" t="str">
        <f>IFERROR(__xludf.DUMMYFUNCTION("""COMPUTED_VALUE"""),"")</f>
        <v/>
      </c>
      <c r="I1990" s="62" t="str">
        <f>IFERROR(__xludf.DUMMYFUNCTION("""COMPUTED_VALUE"""),"")</f>
        <v/>
      </c>
      <c r="J1990" s="19" t="str">
        <f>IFERROR(__xludf.DUMMYFUNCTION("""COMPUTED_VALUE"""),"")</f>
        <v/>
      </c>
    </row>
    <row r="1991">
      <c r="A1991" s="19" t="str">
        <f>IFERROR(__xludf.DUMMYFUNCTION("""COMPUTED_VALUE"""),"")</f>
        <v/>
      </c>
      <c r="B1991" s="19" t="str">
        <f>IFERROR(__xludf.DUMMYFUNCTION("""COMPUTED_VALUE"""),"")</f>
        <v/>
      </c>
      <c r="C1991" s="5" t="str">
        <f>IFERROR(__xludf.DUMMYFUNCTION("""COMPUTED_VALUE"""),"")</f>
        <v/>
      </c>
      <c r="D1991" s="5" t="str">
        <f>IFERROR(__xludf.DUMMYFUNCTION("""COMPUTED_VALUE"""),"")</f>
        <v/>
      </c>
      <c r="E1991" s="5" t="str">
        <f>IFERROR(__xludf.DUMMYFUNCTION("""COMPUTED_VALUE"""),"")</f>
        <v/>
      </c>
      <c r="F1991" s="5" t="str">
        <f>IFERROR(__xludf.DUMMYFUNCTION("""COMPUTED_VALUE"""),"")</f>
        <v/>
      </c>
      <c r="G1991" s="19" t="str">
        <f>IFERROR(__xludf.DUMMYFUNCTION("""COMPUTED_VALUE"""),"")</f>
        <v/>
      </c>
      <c r="H1991" s="19" t="str">
        <f>IFERROR(__xludf.DUMMYFUNCTION("""COMPUTED_VALUE"""),"")</f>
        <v/>
      </c>
      <c r="I1991" s="62" t="str">
        <f>IFERROR(__xludf.DUMMYFUNCTION("""COMPUTED_VALUE"""),"")</f>
        <v/>
      </c>
      <c r="J1991" s="19" t="str">
        <f>IFERROR(__xludf.DUMMYFUNCTION("""COMPUTED_VALUE"""),"")</f>
        <v/>
      </c>
    </row>
    <row r="1992">
      <c r="A1992" s="19" t="str">
        <f>IFERROR(__xludf.DUMMYFUNCTION("""COMPUTED_VALUE"""),"Penny Timothy")</f>
        <v>Penny Timothy</v>
      </c>
      <c r="B1992" s="19" t="str">
        <f>IFERROR(__xludf.DUMMYFUNCTION("""COMPUTED_VALUE"""),"NSW")</f>
        <v>NSW</v>
      </c>
      <c r="C1992" s="5" t="str">
        <f>IFERROR(__xludf.DUMMYFUNCTION("""COMPUTED_VALUE"""),"Potts Point")</f>
        <v>Potts Point</v>
      </c>
      <c r="D1992" s="5" t="str">
        <f>IFERROR(__xludf.DUMMYFUNCTION("""COMPUTED_VALUE"""),"5 / , Potts Point, NSW, 2011, Australia")</f>
        <v>5 / , Potts Point, NSW, 2011, Australia</v>
      </c>
      <c r="E1992" s="5" t="str">
        <f>IFERROR(__xludf.DUMMYFUNCTION("""COMPUTED_VALUE"""),"28/05/2025")</f>
        <v>28/05/2025</v>
      </c>
      <c r="F1992" s="5" t="str">
        <f>IFERROR(__xludf.DUMMYFUNCTION("""COMPUTED_VALUE"""),"Featured Plus")</f>
        <v>Featured Plus</v>
      </c>
      <c r="G1992" s="19"/>
      <c r="H1992" s="19"/>
      <c r="I1992" s="62"/>
      <c r="J1992" s="19"/>
    </row>
    <row r="1993">
      <c r="A1993" s="19" t="str">
        <f>IFERROR(__xludf.DUMMYFUNCTION("""COMPUTED_VALUE"""),"")</f>
        <v/>
      </c>
      <c r="B1993" s="19" t="str">
        <f>IFERROR(__xludf.DUMMYFUNCTION("""COMPUTED_VALUE"""),"")</f>
        <v/>
      </c>
      <c r="C1993" s="5" t="str">
        <f>IFERROR(__xludf.DUMMYFUNCTION("""COMPUTED_VALUE"""),"")</f>
        <v/>
      </c>
      <c r="D1993" s="5" t="str">
        <f>IFERROR(__xludf.DUMMYFUNCTION("""COMPUTED_VALUE"""),"")</f>
        <v/>
      </c>
      <c r="E1993" s="5" t="str">
        <f>IFERROR(__xludf.DUMMYFUNCTION("""COMPUTED_VALUE"""),"")</f>
        <v/>
      </c>
      <c r="F1993" s="5" t="str">
        <f>IFERROR(__xludf.DUMMYFUNCTION("""COMPUTED_VALUE"""),"")</f>
        <v/>
      </c>
      <c r="G1993" s="19" t="str">
        <f>IFERROR(__xludf.DUMMYFUNCTION("""COMPUTED_VALUE"""),"")</f>
        <v/>
      </c>
      <c r="H1993" s="19" t="str">
        <f>IFERROR(__xludf.DUMMYFUNCTION("""COMPUTED_VALUE"""),"")</f>
        <v/>
      </c>
      <c r="I1993" s="62" t="str">
        <f>IFERROR(__xludf.DUMMYFUNCTION("""COMPUTED_VALUE"""),"")</f>
        <v/>
      </c>
      <c r="J1993" s="19" t="str">
        <f>IFERROR(__xludf.DUMMYFUNCTION("""COMPUTED_VALUE"""),"")</f>
        <v/>
      </c>
    </row>
    <row r="1994">
      <c r="A1994" s="19" t="str">
        <f>IFERROR(__xludf.DUMMYFUNCTION("""COMPUTED_VALUE"""),"")</f>
        <v/>
      </c>
      <c r="B1994" s="19" t="str">
        <f>IFERROR(__xludf.DUMMYFUNCTION("""COMPUTED_VALUE"""),"")</f>
        <v/>
      </c>
      <c r="C1994" s="5" t="str">
        <f>IFERROR(__xludf.DUMMYFUNCTION("""COMPUTED_VALUE"""),"")</f>
        <v/>
      </c>
      <c r="D1994" s="5" t="str">
        <f>IFERROR(__xludf.DUMMYFUNCTION("""COMPUTED_VALUE"""),"")</f>
        <v/>
      </c>
      <c r="E1994" s="5" t="str">
        <f>IFERROR(__xludf.DUMMYFUNCTION("""COMPUTED_VALUE"""),"")</f>
        <v/>
      </c>
      <c r="F1994" s="5" t="str">
        <f>IFERROR(__xludf.DUMMYFUNCTION("""COMPUTED_VALUE"""),"")</f>
        <v/>
      </c>
      <c r="G1994" s="19" t="str">
        <f>IFERROR(__xludf.DUMMYFUNCTION("""COMPUTED_VALUE"""),"")</f>
        <v/>
      </c>
      <c r="H1994" s="19" t="str">
        <f>IFERROR(__xludf.DUMMYFUNCTION("""COMPUTED_VALUE"""),"")</f>
        <v/>
      </c>
      <c r="I1994" s="62" t="str">
        <f>IFERROR(__xludf.DUMMYFUNCTION("""COMPUTED_VALUE"""),"")</f>
        <v/>
      </c>
      <c r="J1994" s="19" t="str">
        <f>IFERROR(__xludf.DUMMYFUNCTION("""COMPUTED_VALUE"""),"")</f>
        <v/>
      </c>
    </row>
    <row r="1995">
      <c r="A1995" s="19" t="str">
        <f>IFERROR(__xludf.DUMMYFUNCTION("""COMPUTED_VALUE"""),"Peter Hess")</f>
        <v>Peter Hess</v>
      </c>
      <c r="B1995" s="19" t="str">
        <f>IFERROR(__xludf.DUMMYFUNCTION("""COMPUTED_VALUE"""),"VIC")</f>
        <v>VIC</v>
      </c>
      <c r="C1995" s="5">
        <f>IFERROR(__xludf.DUMMYFUNCTION("""COMPUTED_VALUE"""),3764.0)</f>
        <v>3764</v>
      </c>
      <c r="D1995" s="5"/>
      <c r="E1995" s="25">
        <f>IFERROR(__xludf.DUMMYFUNCTION("""COMPUTED_VALUE"""),45881.0)</f>
        <v>45881</v>
      </c>
      <c r="F1995" s="5" t="str">
        <f>IFERROR(__xludf.DUMMYFUNCTION("""COMPUTED_VALUE"""),"Featured")</f>
        <v>Featured</v>
      </c>
      <c r="G1995" s="19" t="str">
        <f>IFERROR(__xludf.DUMMYFUNCTION("""COMPUTED_VALUE"""),"Instant Forms")</f>
        <v>Instant Forms</v>
      </c>
      <c r="H1995" s="19"/>
      <c r="I1995" s="62"/>
      <c r="J1995" s="19"/>
    </row>
    <row r="1996">
      <c r="A1996" s="19" t="str">
        <f>IFERROR(__xludf.DUMMYFUNCTION("""COMPUTED_VALUE"""),"Peter Hess")</f>
        <v>Peter Hess</v>
      </c>
      <c r="B1996" s="19" t="str">
        <f>IFERROR(__xludf.DUMMYFUNCTION("""COMPUTED_VALUE"""),"VIC")</f>
        <v>VIC</v>
      </c>
      <c r="C1996" s="5" t="str">
        <f>IFERROR(__xludf.DUMMYFUNCTION("""COMPUTED_VALUE"""),"Broadford")</f>
        <v>Broadford</v>
      </c>
      <c r="D1996" s="5" t="str">
        <f>IFERROR(__xludf.DUMMYFUNCTION("""COMPUTED_VALUE"""),"22 First Street BROADFORD VIC 3658")</f>
        <v>22 First Street BROADFORD VIC 3658</v>
      </c>
      <c r="E1996" s="25">
        <f>IFERROR(__xludf.DUMMYFUNCTION("""COMPUTED_VALUE"""),45890.0)</f>
        <v>45890</v>
      </c>
      <c r="F1996" s="5" t="str">
        <f>IFERROR(__xludf.DUMMYFUNCTION("""COMPUTED_VALUE"""),"Featured")</f>
        <v>Featured</v>
      </c>
      <c r="G1996" s="19" t="str">
        <f>IFERROR(__xludf.DUMMYFUNCTION("""COMPUTED_VALUE"""),"Instant Forms")</f>
        <v>Instant Forms</v>
      </c>
      <c r="H1996" s="19"/>
      <c r="I1996" s="62"/>
      <c r="J1996" s="19"/>
    </row>
    <row r="1997">
      <c r="A1997" s="19" t="str">
        <f>IFERROR(__xludf.DUMMYFUNCTION("""COMPUTED_VALUE"""),"Peter Hess")</f>
        <v>Peter Hess</v>
      </c>
      <c r="B1997" s="19" t="str">
        <f>IFERROR(__xludf.DUMMYFUNCTION("""COMPUTED_VALUE"""),"VIC")</f>
        <v>VIC</v>
      </c>
      <c r="C1997" s="5" t="str">
        <f>IFERROR(__xludf.DUMMYFUNCTION("""COMPUTED_VALUE"""),"Kilmore")</f>
        <v>Kilmore</v>
      </c>
      <c r="D1997" s="5"/>
      <c r="E1997" s="25">
        <f>IFERROR(__xludf.DUMMYFUNCTION("""COMPUTED_VALUE"""),45901.0)</f>
        <v>45901</v>
      </c>
      <c r="F1997" s="5" t="str">
        <f>IFERROR(__xludf.DUMMYFUNCTION("""COMPUTED_VALUE"""),"Featured")</f>
        <v>Featured</v>
      </c>
      <c r="G1997" s="19" t="str">
        <f>IFERROR(__xludf.DUMMYFUNCTION("""COMPUTED_VALUE"""),"Instant Forms")</f>
        <v>Instant Forms</v>
      </c>
      <c r="H1997" s="19"/>
      <c r="I1997" s="62"/>
      <c r="J1997" s="19"/>
    </row>
    <row r="1998">
      <c r="A1998" s="19" t="str">
        <f>IFERROR(__xludf.DUMMYFUNCTION("""COMPUTED_VALUE"""),"Peter Hess")</f>
        <v>Peter Hess</v>
      </c>
      <c r="B1998" s="19" t="str">
        <f>IFERROR(__xludf.DUMMYFUNCTION("""COMPUTED_VALUE"""),"VIC")</f>
        <v>VIC</v>
      </c>
      <c r="C1998" s="5" t="str">
        <f>IFERROR(__xludf.DUMMYFUNCTION("""COMPUTED_VALUE"""),"Broadford")</f>
        <v>Broadford</v>
      </c>
      <c r="D1998" s="5" t="str">
        <f>IFERROR(__xludf.DUMMYFUNCTION("""COMPUTED_VALUE"""),"22 First Street, Broadford, VIC, 3658, Australia")</f>
        <v>22 First Street, Broadford, VIC, 3658, Australia</v>
      </c>
      <c r="E1998" s="27">
        <f>IFERROR(__xludf.DUMMYFUNCTION("""COMPUTED_VALUE"""),45725.0)</f>
        <v>45725</v>
      </c>
      <c r="F1998" s="5" t="str">
        <f>IFERROR(__xludf.DUMMYFUNCTION("""COMPUTED_VALUE"""),"Featured")</f>
        <v>Featured</v>
      </c>
      <c r="G1998" s="19"/>
      <c r="H1998" s="19"/>
      <c r="I1998" s="62"/>
      <c r="J1998" s="19"/>
    </row>
    <row r="1999">
      <c r="A1999" s="19" t="str">
        <f>IFERROR(__xludf.DUMMYFUNCTION("""COMPUTED_VALUE"""),"Peter Hess")</f>
        <v>Peter Hess</v>
      </c>
      <c r="B1999" s="19" t="str">
        <f>IFERROR(__xludf.DUMMYFUNCTION("""COMPUTED_VALUE"""),"VIC")</f>
        <v>VIC</v>
      </c>
      <c r="C1999" s="5" t="str">
        <f>IFERROR(__xludf.DUMMYFUNCTION("""COMPUTED_VALUE"""),"Glenaroua")</f>
        <v>Glenaroua</v>
      </c>
      <c r="D1999" s="5" t="str">
        <f>IFERROR(__xludf.DUMMYFUNCTION("""COMPUTED_VALUE"""),"690 Daisyburn Road Glenaroua VIC 3764")</f>
        <v>690 Daisyburn Road Glenaroua VIC 3764</v>
      </c>
      <c r="E1999" s="25">
        <f>IFERROR(__xludf.DUMMYFUNCTION("""COMPUTED_VALUE"""),45904.0)</f>
        <v>45904</v>
      </c>
      <c r="F1999" s="5" t="str">
        <f>IFERROR(__xludf.DUMMYFUNCTION("""COMPUTED_VALUE"""),"Free")</f>
        <v>Free</v>
      </c>
      <c r="G1999" s="19" t="str">
        <f>IFERROR(__xludf.DUMMYFUNCTION("""COMPUTED_VALUE"""),"Instant Forms")</f>
        <v>Instant Forms</v>
      </c>
      <c r="H1999" s="19"/>
      <c r="I1999" s="62"/>
      <c r="J1999" s="19"/>
    </row>
    <row r="2000">
      <c r="A2000" s="19" t="str">
        <f>IFERROR(__xludf.DUMMYFUNCTION("""COMPUTED_VALUE"""),"Peter Hess")</f>
        <v>Peter Hess</v>
      </c>
      <c r="B2000" s="19" t="str">
        <f>IFERROR(__xludf.DUMMYFUNCTION("""COMPUTED_VALUE"""),"VIC")</f>
        <v>VIC</v>
      </c>
      <c r="C2000" s="5" t="str">
        <f>IFERROR(__xludf.DUMMYFUNCTION("""COMPUTED_VALUE"""),"Wallan")</f>
        <v>Wallan</v>
      </c>
      <c r="D2000" s="5" t="str">
        <f>IFERROR(__xludf.DUMMYFUNCTION("""COMPUTED_VALUE"""),"31 Hopkins Way Wallan VIC 3756")</f>
        <v>31 Hopkins Way Wallan VIC 3756</v>
      </c>
      <c r="E2000" s="25">
        <f>IFERROR(__xludf.DUMMYFUNCTION("""COMPUTED_VALUE"""),45904.0)</f>
        <v>45904</v>
      </c>
      <c r="F2000" s="5" t="str">
        <f>IFERROR(__xludf.DUMMYFUNCTION("""COMPUTED_VALUE"""),"Featured")</f>
        <v>Featured</v>
      </c>
      <c r="G2000" s="19" t="str">
        <f>IFERROR(__xludf.DUMMYFUNCTION("""COMPUTED_VALUE"""),"Instant Forms")</f>
        <v>Instant Forms</v>
      </c>
      <c r="H2000" s="19"/>
      <c r="I2000" s="62"/>
      <c r="J2000" s="19"/>
    </row>
    <row r="2001">
      <c r="A2001" s="19" t="str">
        <f>IFERROR(__xludf.DUMMYFUNCTION("""COMPUTED_VALUE"""),"Peter Hess")</f>
        <v>Peter Hess</v>
      </c>
      <c r="B2001" s="19" t="str">
        <f>IFERROR(__xludf.DUMMYFUNCTION("""COMPUTED_VALUE"""),"VIC")</f>
        <v>VIC</v>
      </c>
      <c r="C2001" s="5" t="str">
        <f>IFERROR(__xludf.DUMMYFUNCTION("""COMPUTED_VALUE"""),"wallan")</f>
        <v>wallan</v>
      </c>
      <c r="D2001" s="5" t="str">
        <f>IFERROR(__xludf.DUMMYFUNCTION("""COMPUTED_VALUE"""),"47 Toscana Way Wallan VIC 3756")</f>
        <v>47 Toscana Way Wallan VIC 3756</v>
      </c>
      <c r="E2001" s="25">
        <f>IFERROR(__xludf.DUMMYFUNCTION("""COMPUTED_VALUE"""),45921.0)</f>
        <v>45921</v>
      </c>
      <c r="F2001" s="5">
        <f>IFERROR(__xludf.DUMMYFUNCTION("""COMPUTED_VALUE"""),6.0)</f>
        <v>6</v>
      </c>
      <c r="G2001" s="19" t="str">
        <f>IFERROR(__xludf.DUMMYFUNCTION("""COMPUTED_VALUE"""),"Instant Forms")</f>
        <v>Instant Forms</v>
      </c>
      <c r="H2001" s="19" t="str">
        <f>IFERROR(__xludf.DUMMYFUNCTION("""COMPUTED_VALUE"""),"Sharon Liebenberg")</f>
        <v>Sharon Liebenberg</v>
      </c>
      <c r="I2001" s="62"/>
      <c r="J2001" s="19"/>
    </row>
    <row r="2002">
      <c r="A2002" s="19" t="str">
        <f>IFERROR(__xludf.DUMMYFUNCTION("""COMPUTED_VALUE"""),"Peter Hess")</f>
        <v>Peter Hess</v>
      </c>
      <c r="B2002" s="19" t="str">
        <f>IFERROR(__xludf.DUMMYFUNCTION("""COMPUTED_VALUE"""),"VIC")</f>
        <v>VIC</v>
      </c>
      <c r="C2002" s="5" t="str">
        <f>IFERROR(__xludf.DUMMYFUNCTION("""COMPUTED_VALUE"""),"Wallan")</f>
        <v>Wallan</v>
      </c>
      <c r="D2002" s="5" t="str">
        <f>IFERROR(__xludf.DUMMYFUNCTION("""COMPUTED_VALUE"""),"2 Cascade Avenue Wallan VIC 3756")</f>
        <v>2 Cascade Avenue Wallan VIC 3756</v>
      </c>
      <c r="E2002" s="25">
        <f>IFERROR(__xludf.DUMMYFUNCTION("""COMPUTED_VALUE"""),45923.0)</f>
        <v>45923</v>
      </c>
      <c r="F2002" s="5">
        <f>IFERROR(__xludf.DUMMYFUNCTION("""COMPUTED_VALUE"""),6.0)</f>
        <v>6</v>
      </c>
      <c r="G2002" s="19" t="str">
        <f>IFERROR(__xludf.DUMMYFUNCTION("""COMPUTED_VALUE"""),"Instant Forms")</f>
        <v>Instant Forms</v>
      </c>
      <c r="H2002" s="19" t="str">
        <f>IFERROR(__xludf.DUMMYFUNCTION("""COMPUTED_VALUE"""),"Philip Nicholson")</f>
        <v>Philip Nicholson</v>
      </c>
      <c r="I2002" s="62"/>
      <c r="J2002" s="19"/>
    </row>
    <row r="2003">
      <c r="A2003" s="19" t="str">
        <f>IFERROR(__xludf.DUMMYFUNCTION("""COMPUTED_VALUE"""),"Peter Hess")</f>
        <v>Peter Hess</v>
      </c>
      <c r="B2003" s="19" t="str">
        <f>IFERROR(__xludf.DUMMYFUNCTION("""COMPUTED_VALUE"""),"VIC")</f>
        <v>VIC</v>
      </c>
      <c r="C2003" s="5">
        <f>IFERROR(__xludf.DUMMYFUNCTION("""COMPUTED_VALUE"""),3658.0)</f>
        <v>3658</v>
      </c>
      <c r="D2003" s="5"/>
      <c r="E2003" s="25">
        <f>IFERROR(__xludf.DUMMYFUNCTION("""COMPUTED_VALUE"""),45924.0)</f>
        <v>45924</v>
      </c>
      <c r="F2003" s="5">
        <f>IFERROR(__xludf.DUMMYFUNCTION("""COMPUTED_VALUE"""),5.0)</f>
        <v>5</v>
      </c>
      <c r="G2003" s="19" t="str">
        <f>IFERROR(__xludf.DUMMYFUNCTION("""COMPUTED_VALUE"""),"Instant Forms")</f>
        <v>Instant Forms</v>
      </c>
      <c r="H2003" s="19" t="str">
        <f>IFERROR(__xludf.DUMMYFUNCTION("""COMPUTED_VALUE"""),"Pam Hancock")</f>
        <v>Pam Hancock</v>
      </c>
      <c r="I2003" s="62"/>
      <c r="J2003" s="19"/>
    </row>
    <row r="2004">
      <c r="A2004" s="19" t="str">
        <f>IFERROR(__xludf.DUMMYFUNCTION("""COMPUTED_VALUE"""),"Peter Hess")</f>
        <v>Peter Hess</v>
      </c>
      <c r="B2004" s="19" t="str">
        <f>IFERROR(__xludf.DUMMYFUNCTION("""COMPUTED_VALUE"""),"VIC")</f>
        <v>VIC</v>
      </c>
      <c r="C2004" s="5" t="str">
        <f>IFERROR(__xludf.DUMMYFUNCTION("""COMPUTED_VALUE"""),"Wallan")</f>
        <v>Wallan</v>
      </c>
      <c r="D2004" s="5"/>
      <c r="E2004" s="25">
        <f>IFERROR(__xludf.DUMMYFUNCTION("""COMPUTED_VALUE"""),45925.0)</f>
        <v>45925</v>
      </c>
      <c r="F2004" s="5">
        <f>IFERROR(__xludf.DUMMYFUNCTION("""COMPUTED_VALUE"""),5.0)</f>
        <v>5</v>
      </c>
      <c r="G2004" s="19" t="str">
        <f>IFERROR(__xludf.DUMMYFUNCTION("""COMPUTED_VALUE"""),"Instant Forms")</f>
        <v>Instant Forms</v>
      </c>
      <c r="H2004" s="19" t="str">
        <f>IFERROR(__xludf.DUMMYFUNCTION("""COMPUTED_VALUE"""),"Lindy Loo")</f>
        <v>Lindy Loo</v>
      </c>
      <c r="I2004" s="62"/>
      <c r="J2004" s="19"/>
    </row>
    <row r="2005">
      <c r="A2005" s="19" t="str">
        <f>IFERROR(__xludf.DUMMYFUNCTION("""COMPUTED_VALUE"""),"Peter Hess")</f>
        <v>Peter Hess</v>
      </c>
      <c r="B2005" s="19" t="str">
        <f>IFERROR(__xludf.DUMMYFUNCTION("""COMPUTED_VALUE"""),"VIC")</f>
        <v>VIC</v>
      </c>
      <c r="C2005" s="5" t="str">
        <f>IFERROR(__xludf.DUMMYFUNCTION("""COMPUTED_VALUE"""),"Wallan")</f>
        <v>Wallan</v>
      </c>
      <c r="D2005" s="5" t="str">
        <f>IFERROR(__xludf.DUMMYFUNCTION("""COMPUTED_VALUE"""),"57 Wallara Waters Boulevard Wallan VIC 3756")</f>
        <v>57 Wallara Waters Boulevard Wallan VIC 3756</v>
      </c>
      <c r="E2005" s="25">
        <f>IFERROR(__xludf.DUMMYFUNCTION("""COMPUTED_VALUE"""),45931.0)</f>
        <v>45931</v>
      </c>
      <c r="F2005" s="5">
        <f>IFERROR(__xludf.DUMMYFUNCTION("""COMPUTED_VALUE"""),8.0)</f>
        <v>8</v>
      </c>
      <c r="G2005" s="19" t="str">
        <f>IFERROR(__xludf.DUMMYFUNCTION("""COMPUTED_VALUE"""),"Instant Forms")</f>
        <v>Instant Forms</v>
      </c>
      <c r="H2005" s="19" t="str">
        <f>IFERROR(__xludf.DUMMYFUNCTION("""COMPUTED_VALUE"""),"Helen Savage")</f>
        <v>Helen Savage</v>
      </c>
      <c r="I2005" s="62"/>
      <c r="J2005" s="19"/>
    </row>
    <row r="2006">
      <c r="A2006" s="19" t="str">
        <f>IFERROR(__xludf.DUMMYFUNCTION("""COMPUTED_VALUE"""),"Peter Hess")</f>
        <v>Peter Hess</v>
      </c>
      <c r="B2006" s="19" t="str">
        <f>IFERROR(__xludf.DUMMYFUNCTION("""COMPUTED_VALUE"""),"VIC")</f>
        <v>VIC</v>
      </c>
      <c r="C2006" s="5" t="str">
        <f>IFERROR(__xludf.DUMMYFUNCTION("""COMPUTED_VALUE"""),"Wallan")</f>
        <v>Wallan</v>
      </c>
      <c r="D2006" s="5" t="str">
        <f>IFERROR(__xludf.DUMMYFUNCTION("""COMPUTED_VALUE"""),"49 Craig Parry Drive Wallan VIC 3756")</f>
        <v>49 Craig Parry Drive Wallan VIC 3756</v>
      </c>
      <c r="E2006" s="25">
        <f>IFERROR(__xludf.DUMMYFUNCTION("""COMPUTED_VALUE"""),45934.0)</f>
        <v>45934</v>
      </c>
      <c r="F2006" s="5">
        <f>IFERROR(__xludf.DUMMYFUNCTION("""COMPUTED_VALUE"""),8.0)</f>
        <v>8</v>
      </c>
      <c r="G2006" s="19" t="str">
        <f>IFERROR(__xludf.DUMMYFUNCTION("""COMPUTED_VALUE"""),"Instant Forms")</f>
        <v>Instant Forms</v>
      </c>
      <c r="H2006" s="19" t="str">
        <f>IFERROR(__xludf.DUMMYFUNCTION("""COMPUTED_VALUE"""),"Nicky Harrison")</f>
        <v>Nicky Harrison</v>
      </c>
      <c r="I2006" s="62"/>
      <c r="J2006" s="19"/>
    </row>
    <row r="2007">
      <c r="A2007" s="19" t="str">
        <f>IFERROR(__xludf.DUMMYFUNCTION("""COMPUTED_VALUE"""),"")</f>
        <v/>
      </c>
      <c r="B2007" s="19" t="str">
        <f>IFERROR(__xludf.DUMMYFUNCTION("""COMPUTED_VALUE"""),"")</f>
        <v/>
      </c>
      <c r="C2007" s="5" t="str">
        <f>IFERROR(__xludf.DUMMYFUNCTION("""COMPUTED_VALUE"""),"")</f>
        <v/>
      </c>
      <c r="D2007" s="5" t="str">
        <f>IFERROR(__xludf.DUMMYFUNCTION("""COMPUTED_VALUE"""),"")</f>
        <v/>
      </c>
      <c r="E2007" s="5" t="str">
        <f>IFERROR(__xludf.DUMMYFUNCTION("""COMPUTED_VALUE"""),"")</f>
        <v/>
      </c>
      <c r="F2007" s="5" t="str">
        <f>IFERROR(__xludf.DUMMYFUNCTION("""COMPUTED_VALUE"""),"")</f>
        <v/>
      </c>
      <c r="G2007" s="19" t="str">
        <f>IFERROR(__xludf.DUMMYFUNCTION("""COMPUTED_VALUE"""),"")</f>
        <v/>
      </c>
      <c r="H2007" s="19" t="str">
        <f>IFERROR(__xludf.DUMMYFUNCTION("""COMPUTED_VALUE"""),"")</f>
        <v/>
      </c>
      <c r="I2007" s="62" t="str">
        <f>IFERROR(__xludf.DUMMYFUNCTION("""COMPUTED_VALUE"""),"")</f>
        <v/>
      </c>
      <c r="J2007" s="19" t="str">
        <f>IFERROR(__xludf.DUMMYFUNCTION("""COMPUTED_VALUE"""),"")</f>
        <v/>
      </c>
    </row>
    <row r="2008">
      <c r="A2008" s="19" t="str">
        <f>IFERROR(__xludf.DUMMYFUNCTION("""COMPUTED_VALUE"""),"")</f>
        <v/>
      </c>
      <c r="B2008" s="19" t="str">
        <f>IFERROR(__xludf.DUMMYFUNCTION("""COMPUTED_VALUE"""),"")</f>
        <v/>
      </c>
      <c r="C2008" s="5" t="str">
        <f>IFERROR(__xludf.DUMMYFUNCTION("""COMPUTED_VALUE"""),"")</f>
        <v/>
      </c>
      <c r="D2008" s="5" t="str">
        <f>IFERROR(__xludf.DUMMYFUNCTION("""COMPUTED_VALUE"""),"")</f>
        <v/>
      </c>
      <c r="E2008" s="5" t="str">
        <f>IFERROR(__xludf.DUMMYFUNCTION("""COMPUTED_VALUE"""),"")</f>
        <v/>
      </c>
      <c r="F2008" s="5" t="str">
        <f>IFERROR(__xludf.DUMMYFUNCTION("""COMPUTED_VALUE"""),"")</f>
        <v/>
      </c>
      <c r="G2008" s="19" t="str">
        <f>IFERROR(__xludf.DUMMYFUNCTION("""COMPUTED_VALUE"""),"")</f>
        <v/>
      </c>
      <c r="H2008" s="19" t="str">
        <f>IFERROR(__xludf.DUMMYFUNCTION("""COMPUTED_VALUE"""),"")</f>
        <v/>
      </c>
      <c r="I2008" s="62" t="str">
        <f>IFERROR(__xludf.DUMMYFUNCTION("""COMPUTED_VALUE"""),"")</f>
        <v/>
      </c>
      <c r="J2008" s="19" t="str">
        <f>IFERROR(__xludf.DUMMYFUNCTION("""COMPUTED_VALUE"""),"")</f>
        <v/>
      </c>
    </row>
    <row r="2009">
      <c r="A2009" s="19" t="str">
        <f>IFERROR(__xludf.DUMMYFUNCTION("""COMPUTED_VALUE"""),"Philip Talbot")</f>
        <v>Philip Talbot</v>
      </c>
      <c r="B2009" s="19" t="str">
        <f>IFERROR(__xludf.DUMMYFUNCTION("""COMPUTED_VALUE"""),"NSW")</f>
        <v>NSW</v>
      </c>
      <c r="C2009" s="5" t="str">
        <f>IFERROR(__xludf.DUMMYFUNCTION("""COMPUTED_VALUE"""),"Sapphire Beach")</f>
        <v>Sapphire Beach</v>
      </c>
      <c r="D2009" s="5" t="str">
        <f>IFERROR(__xludf.DUMMYFUNCTION("""COMPUTED_VALUE"""),"15 Red Gum Circuit, Sapphire Beach, NSW, 2450, Australia")</f>
        <v>15 Red Gum Circuit, Sapphire Beach, NSW, 2450, Australia</v>
      </c>
      <c r="E2009" s="27">
        <f>IFERROR(__xludf.DUMMYFUNCTION("""COMPUTED_VALUE"""),45698.0)</f>
        <v>45698</v>
      </c>
      <c r="F2009" s="5" t="str">
        <f>IFERROR(__xludf.DUMMYFUNCTION("""COMPUTED_VALUE"""),"Featured")</f>
        <v>Featured</v>
      </c>
      <c r="G2009" s="19"/>
      <c r="H2009" s="19"/>
      <c r="I2009" s="62"/>
      <c r="J2009" s="19"/>
    </row>
    <row r="2010">
      <c r="A2010" s="19" t="str">
        <f>IFERROR(__xludf.DUMMYFUNCTION("""COMPUTED_VALUE"""),"Philip Talbot")</f>
        <v>Philip Talbot</v>
      </c>
      <c r="B2010" s="19" t="str">
        <f>IFERROR(__xludf.DUMMYFUNCTION("""COMPUTED_VALUE"""),"NSW")</f>
        <v>NSW</v>
      </c>
      <c r="C2010" s="5" t="str">
        <f>IFERROR(__xludf.DUMMYFUNCTION("""COMPUTED_VALUE"""),"Hydes Creek")</f>
        <v>Hydes Creek</v>
      </c>
      <c r="D2010" s="5" t="str">
        <f>IFERROR(__xludf.DUMMYFUNCTION("""COMPUTED_VALUE"""),"450 Hydes Creek Road Hydes Creek NSW 2454")</f>
        <v>450 Hydes Creek Road Hydes Creek NSW 2454</v>
      </c>
      <c r="E2010" s="25">
        <f>IFERROR(__xludf.DUMMYFUNCTION("""COMPUTED_VALUE"""),45933.0)</f>
        <v>45933</v>
      </c>
      <c r="F2010" s="5">
        <f>IFERROR(__xludf.DUMMYFUNCTION("""COMPUTED_VALUE"""),9.0)</f>
        <v>9</v>
      </c>
      <c r="G2010" s="19" t="str">
        <f>IFERROR(__xludf.DUMMYFUNCTION("""COMPUTED_VALUE"""),"Instant Forms")</f>
        <v>Instant Forms</v>
      </c>
      <c r="H2010" s="19" t="str">
        <f>IFERROR(__xludf.DUMMYFUNCTION("""COMPUTED_VALUE"""),"Michael Newton")</f>
        <v>Michael Newton</v>
      </c>
      <c r="I2010" s="62"/>
      <c r="J2010" s="19"/>
    </row>
    <row r="2011">
      <c r="A2011" s="19" t="str">
        <f>IFERROR(__xludf.DUMMYFUNCTION("""COMPUTED_VALUE"""),"Philip Talbot")</f>
        <v>Philip Talbot</v>
      </c>
      <c r="B2011" s="19" t="str">
        <f>IFERROR(__xludf.DUMMYFUNCTION("""COMPUTED_VALUE"""),"NSW")</f>
        <v>NSW</v>
      </c>
      <c r="C2011" s="5" t="str">
        <f>IFERROR(__xludf.DUMMYFUNCTION("""COMPUTED_VALUE"""),"Coffs Harbour")</f>
        <v>Coffs Harbour</v>
      </c>
      <c r="D2011" s="5" t="str">
        <f>IFERROR(__xludf.DUMMYFUNCTION("""COMPUTED_VALUE"""),"14 Diggers Beach Road Coffs Harbour NSW 2450")</f>
        <v>14 Diggers Beach Road Coffs Harbour NSW 2450</v>
      </c>
      <c r="E2011" s="25">
        <f>IFERROR(__xludf.DUMMYFUNCTION("""COMPUTED_VALUE"""),45933.0)</f>
        <v>45933</v>
      </c>
      <c r="F2011" s="5">
        <f>IFERROR(__xludf.DUMMYFUNCTION("""COMPUTED_VALUE"""),9.0)</f>
        <v>9</v>
      </c>
      <c r="G2011" s="19" t="str">
        <f>IFERROR(__xludf.DUMMYFUNCTION("""COMPUTED_VALUE"""),"Instant Forms")</f>
        <v>Instant Forms</v>
      </c>
      <c r="H2011" s="19" t="str">
        <f>IFERROR(__xludf.DUMMYFUNCTION("""COMPUTED_VALUE"""),"Mimi Neill")</f>
        <v>Mimi Neill</v>
      </c>
      <c r="I2011" s="62"/>
      <c r="J2011" s="19"/>
    </row>
    <row r="2012">
      <c r="A2012" s="19" t="str">
        <f>IFERROR(__xludf.DUMMYFUNCTION("""COMPUTED_VALUE"""),"Philip Talbot")</f>
        <v>Philip Talbot</v>
      </c>
      <c r="B2012" s="19" t="str">
        <f>IFERROR(__xludf.DUMMYFUNCTION("""COMPUTED_VALUE"""),"NSW")</f>
        <v>NSW</v>
      </c>
      <c r="C2012" s="5">
        <f>IFERROR(__xludf.DUMMYFUNCTION("""COMPUTED_VALUE"""),2450.0)</f>
        <v>2450</v>
      </c>
      <c r="D2012" s="5"/>
      <c r="E2012" s="25">
        <f>IFERROR(__xludf.DUMMYFUNCTION("""COMPUTED_VALUE"""),45937.0)</f>
        <v>45937</v>
      </c>
      <c r="F2012" s="5">
        <f>IFERROR(__xludf.DUMMYFUNCTION("""COMPUTED_VALUE"""),5.0)</f>
        <v>5</v>
      </c>
      <c r="G2012" s="19" t="str">
        <f>IFERROR(__xludf.DUMMYFUNCTION("""COMPUTED_VALUE"""),"Instant Forms")</f>
        <v>Instant Forms</v>
      </c>
      <c r="H2012" s="19" t="str">
        <f>IFERROR(__xludf.DUMMYFUNCTION("""COMPUTED_VALUE"""),"Elizabeth Rose")</f>
        <v>Elizabeth Rose</v>
      </c>
      <c r="I2012" s="62"/>
      <c r="J2012" s="19"/>
    </row>
    <row r="2013">
      <c r="A2013" s="19" t="str">
        <f>IFERROR(__xludf.DUMMYFUNCTION("""COMPUTED_VALUE"""),"Philip Talbot")</f>
        <v>Philip Talbot</v>
      </c>
      <c r="B2013" s="19" t="str">
        <f>IFERROR(__xludf.DUMMYFUNCTION("""COMPUTED_VALUE"""),"NSW")</f>
        <v>NSW</v>
      </c>
      <c r="C2013" s="5" t="str">
        <f>IFERROR(__xludf.DUMMYFUNCTION("""COMPUTED_VALUE"""),"Coffs Harbour")</f>
        <v>Coffs Harbour</v>
      </c>
      <c r="D2013" s="5" t="str">
        <f>IFERROR(__xludf.DUMMYFUNCTION("""COMPUTED_VALUE"""),"15 Red Cedar Drive Coffs Harbour NSW 2450")</f>
        <v>15 Red Cedar Drive Coffs Harbour NSW 2450</v>
      </c>
      <c r="E2013" s="25">
        <f>IFERROR(__xludf.DUMMYFUNCTION("""COMPUTED_VALUE"""),45939.0)</f>
        <v>45939</v>
      </c>
      <c r="F2013" s="5">
        <f>IFERROR(__xludf.DUMMYFUNCTION("""COMPUTED_VALUE"""),6.0)</f>
        <v>6</v>
      </c>
      <c r="G2013" s="19" t="str">
        <f>IFERROR(__xludf.DUMMYFUNCTION("""COMPUTED_VALUE"""),"Instant Forms")</f>
        <v>Instant Forms</v>
      </c>
      <c r="H2013" s="19"/>
      <c r="I2013" s="62"/>
      <c r="J2013" s="19"/>
    </row>
    <row r="2014">
      <c r="A2014" s="19" t="str">
        <f>IFERROR(__xludf.DUMMYFUNCTION("""COMPUTED_VALUE"""),"Philip Talbot")</f>
        <v>Philip Talbot</v>
      </c>
      <c r="B2014" s="19" t="str">
        <f>IFERROR(__xludf.DUMMYFUNCTION("""COMPUTED_VALUE"""),"NSW")</f>
        <v>NSW</v>
      </c>
      <c r="C2014" s="5" t="str">
        <f>IFERROR(__xludf.DUMMYFUNCTION("""COMPUTED_VALUE"""),"Coffs Harbour")</f>
        <v>Coffs Harbour</v>
      </c>
      <c r="D2014" s="5" t="str">
        <f>IFERROR(__xludf.DUMMYFUNCTION("""COMPUTED_VALUE"""),"23 Plantation Avenue Coffs Harbour NSW 2450")</f>
        <v>23 Plantation Avenue Coffs Harbour NSW 2450</v>
      </c>
      <c r="E2014" s="25">
        <f>IFERROR(__xludf.DUMMYFUNCTION("""COMPUTED_VALUE"""),45939.0)</f>
        <v>45939</v>
      </c>
      <c r="F2014" s="5">
        <f>IFERROR(__xludf.DUMMYFUNCTION("""COMPUTED_VALUE"""),8.0)</f>
        <v>8</v>
      </c>
      <c r="G2014" s="19" t="str">
        <f>IFERROR(__xludf.DUMMYFUNCTION("""COMPUTED_VALUE"""),"Instant Forms")</f>
        <v>Instant Forms</v>
      </c>
      <c r="H2014" s="19"/>
      <c r="I2014" s="62"/>
      <c r="J2014" s="19"/>
    </row>
    <row r="2015">
      <c r="A2015" s="19" t="str">
        <f>IFERROR(__xludf.DUMMYFUNCTION("""COMPUTED_VALUE"""),"Philip Talbot")</f>
        <v>Philip Talbot</v>
      </c>
      <c r="B2015" s="19" t="str">
        <f>IFERROR(__xludf.DUMMYFUNCTION("""COMPUTED_VALUE"""),"NSW")</f>
        <v>NSW</v>
      </c>
      <c r="C2015" s="5">
        <f>IFERROR(__xludf.DUMMYFUNCTION("""COMPUTED_VALUE"""),2450.0)</f>
        <v>2450</v>
      </c>
      <c r="D2015" s="5"/>
      <c r="E2015" s="25">
        <f>IFERROR(__xludf.DUMMYFUNCTION("""COMPUTED_VALUE"""),45939.0)</f>
        <v>45939</v>
      </c>
      <c r="F2015" s="5">
        <f>IFERROR(__xludf.DUMMYFUNCTION("""COMPUTED_VALUE"""),5.0)</f>
        <v>5</v>
      </c>
      <c r="G2015" s="19" t="str">
        <f>IFERROR(__xludf.DUMMYFUNCTION("""COMPUTED_VALUE"""),"Instant Forms")</f>
        <v>Instant Forms</v>
      </c>
      <c r="H2015" s="19"/>
      <c r="I2015" s="62"/>
      <c r="J2015" s="19"/>
    </row>
    <row r="2016">
      <c r="A2016" s="19" t="str">
        <f>IFERROR(__xludf.DUMMYFUNCTION("""COMPUTED_VALUE"""),"Philip Talbot")</f>
        <v>Philip Talbot</v>
      </c>
      <c r="B2016" s="19" t="str">
        <f>IFERROR(__xludf.DUMMYFUNCTION("""COMPUTED_VALUE"""),"NSW")</f>
        <v>NSW</v>
      </c>
      <c r="C2016" s="5" t="str">
        <f>IFERROR(__xludf.DUMMYFUNCTION("""COMPUTED_VALUE"""),"safety beach")</f>
        <v>safety beach</v>
      </c>
      <c r="D2016" s="5" t="str">
        <f>IFERROR(__xludf.DUMMYFUNCTION("""COMPUTED_VALUE"""),"2 young street")</f>
        <v>2 young street</v>
      </c>
      <c r="E2016" s="25">
        <f>IFERROR(__xludf.DUMMYFUNCTION("""COMPUTED_VALUE"""),45953.0)</f>
        <v>45953</v>
      </c>
      <c r="F2016" s="5" t="str">
        <f>IFERROR(__xludf.DUMMYFUNCTION("""COMPUTED_VALUE"""),"Featured")</f>
        <v>Featured</v>
      </c>
      <c r="G2016" s="19" t="str">
        <f>IFERROR(__xludf.DUMMYFUNCTION("""COMPUTED_VALUE"""),"Commission Comparison")</f>
        <v>Commission Comparison</v>
      </c>
      <c r="H2016" s="19"/>
      <c r="I2016" s="62"/>
      <c r="J2016" s="19"/>
    </row>
    <row r="2017">
      <c r="A2017" s="19" t="str">
        <f>IFERROR(__xludf.DUMMYFUNCTION("""COMPUTED_VALUE"""),"Philip Talbot")</f>
        <v>Philip Talbot</v>
      </c>
      <c r="B2017" s="19" t="str">
        <f>IFERROR(__xludf.DUMMYFUNCTION("""COMPUTED_VALUE"""),"NSW")</f>
        <v>NSW</v>
      </c>
      <c r="C2017" s="5" t="str">
        <f>IFERROR(__xludf.DUMMYFUNCTION("""COMPUTED_VALUE"""),"Arrawarra")</f>
        <v>Arrawarra</v>
      </c>
      <c r="D2017" s="5" t="str">
        <f>IFERROR(__xludf.DUMMYFUNCTION("""COMPUTED_VALUE"""),"36 Ocean View Road Arrawarra Headland NSW 2456")</f>
        <v>36 Ocean View Road Arrawarra Headland NSW 2456</v>
      </c>
      <c r="E2017" s="25">
        <f>IFERROR(__xludf.DUMMYFUNCTION("""COMPUTED_VALUE"""),45954.0)</f>
        <v>45954</v>
      </c>
      <c r="F2017" s="5">
        <f>IFERROR(__xludf.DUMMYFUNCTION("""COMPUTED_VALUE"""),6.0)</f>
        <v>6</v>
      </c>
      <c r="G2017" s="19" t="str">
        <f>IFERROR(__xludf.DUMMYFUNCTION("""COMPUTED_VALUE"""),"Instant Forms")</f>
        <v>Instant Forms</v>
      </c>
      <c r="H2017" s="19"/>
      <c r="I2017" s="62"/>
      <c r="J2017" s="19"/>
    </row>
    <row r="2018">
      <c r="A2018" s="19" t="str">
        <f>IFERROR(__xludf.DUMMYFUNCTION("""COMPUTED_VALUE"""),"Philip Talbot")</f>
        <v>Philip Talbot</v>
      </c>
      <c r="B2018" s="19" t="str">
        <f>IFERROR(__xludf.DUMMYFUNCTION("""COMPUTED_VALUE"""),"NSW")</f>
        <v>NSW</v>
      </c>
      <c r="C2018" s="5" t="str">
        <f>IFERROR(__xludf.DUMMYFUNCTION("""COMPUTED_VALUE"""),"Boambee")</f>
        <v>Boambee</v>
      </c>
      <c r="D2018" s="5" t="str">
        <f>IFERROR(__xludf.DUMMYFUNCTION("""COMPUTED_VALUE"""),"33 Deans Road Boambee NSW 2450")</f>
        <v>33 Deans Road Boambee NSW 2450</v>
      </c>
      <c r="E2018" s="25">
        <f>IFERROR(__xludf.DUMMYFUNCTION("""COMPUTED_VALUE"""),45955.0)</f>
        <v>45955</v>
      </c>
      <c r="F2018" s="5">
        <f>IFERROR(__xludf.DUMMYFUNCTION("""COMPUTED_VALUE"""),8.0)</f>
        <v>8</v>
      </c>
      <c r="G2018" s="19" t="str">
        <f>IFERROR(__xludf.DUMMYFUNCTION("""COMPUTED_VALUE"""),"Instant Forms")</f>
        <v>Instant Forms</v>
      </c>
      <c r="H2018" s="19"/>
      <c r="I2018" s="62"/>
      <c r="J2018" s="19"/>
    </row>
    <row r="2019">
      <c r="A2019" s="19" t="str">
        <f>IFERROR(__xludf.DUMMYFUNCTION("""COMPUTED_VALUE"""),"Philip Talbot")</f>
        <v>Philip Talbot</v>
      </c>
      <c r="B2019" s="19" t="str">
        <f>IFERROR(__xludf.DUMMYFUNCTION("""COMPUTED_VALUE"""),"NSW")</f>
        <v>NSW</v>
      </c>
      <c r="C2019" s="5">
        <f>IFERROR(__xludf.DUMMYFUNCTION("""COMPUTED_VALUE"""),2542.0)</f>
        <v>2542</v>
      </c>
      <c r="D2019" s="5" t="str">
        <f>IFERROR(__xludf.DUMMYFUNCTION("""COMPUTED_VALUE"""),"2/11 Kingfisher Close Boambee East NSW 2452")</f>
        <v>2/11 Kingfisher Close Boambee East NSW 2452</v>
      </c>
      <c r="E2019" s="25">
        <f>IFERROR(__xludf.DUMMYFUNCTION("""COMPUTED_VALUE"""),45955.0)</f>
        <v>45955</v>
      </c>
      <c r="F2019" s="5">
        <f>IFERROR(__xludf.DUMMYFUNCTION("""COMPUTED_VALUE"""),6.0)</f>
        <v>6</v>
      </c>
      <c r="G2019" s="19" t="str">
        <f>IFERROR(__xludf.DUMMYFUNCTION("""COMPUTED_VALUE"""),"Instant Forms")</f>
        <v>Instant Forms</v>
      </c>
      <c r="H2019" s="19"/>
      <c r="I2019" s="62"/>
      <c r="J2019" s="19"/>
    </row>
    <row r="2020">
      <c r="A2020" s="19" t="str">
        <f>IFERROR(__xludf.DUMMYFUNCTION("""COMPUTED_VALUE"""),"Philip Talbot")</f>
        <v>Philip Talbot</v>
      </c>
      <c r="B2020" s="19" t="str">
        <f>IFERROR(__xludf.DUMMYFUNCTION("""COMPUTED_VALUE"""),"NSW")</f>
        <v>NSW</v>
      </c>
      <c r="C2020" s="5">
        <f>IFERROR(__xludf.DUMMYFUNCTION("""COMPUTED_VALUE"""),2452.0)</f>
        <v>2452</v>
      </c>
      <c r="D2020" s="5"/>
      <c r="E2020" s="25">
        <f>IFERROR(__xludf.DUMMYFUNCTION("""COMPUTED_VALUE"""),45956.0)</f>
        <v>45956</v>
      </c>
      <c r="F2020" s="5">
        <f>IFERROR(__xludf.DUMMYFUNCTION("""COMPUTED_VALUE"""),5.0)</f>
        <v>5</v>
      </c>
      <c r="G2020" s="19" t="str">
        <f>IFERROR(__xludf.DUMMYFUNCTION("""COMPUTED_VALUE"""),"Instant Forms")</f>
        <v>Instant Forms</v>
      </c>
      <c r="H2020" s="19"/>
      <c r="I2020" s="62"/>
      <c r="J2020" s="19"/>
    </row>
    <row r="2021">
      <c r="A2021" s="19" t="str">
        <f>IFERROR(__xludf.DUMMYFUNCTION("""COMPUTED_VALUE"""),"Philip Talbot")</f>
        <v>Philip Talbot</v>
      </c>
      <c r="B2021" s="19" t="str">
        <f>IFERROR(__xludf.DUMMYFUNCTION("""COMPUTED_VALUE"""),"NSW")</f>
        <v>NSW</v>
      </c>
      <c r="C2021" s="5" t="str">
        <f>IFERROR(__xludf.DUMMYFUNCTION("""COMPUTED_VALUE"""),"Coffs Harbour")</f>
        <v>Coffs Harbour</v>
      </c>
      <c r="D2021" s="5"/>
      <c r="E2021" s="25">
        <f>IFERROR(__xludf.DUMMYFUNCTION("""COMPUTED_VALUE"""),45958.0)</f>
        <v>45958</v>
      </c>
      <c r="F2021" s="5">
        <f>IFERROR(__xludf.DUMMYFUNCTION("""COMPUTED_VALUE"""),5.0)</f>
        <v>5</v>
      </c>
      <c r="G2021" s="19" t="str">
        <f>IFERROR(__xludf.DUMMYFUNCTION("""COMPUTED_VALUE"""),"Instant Forms")</f>
        <v>Instant Forms</v>
      </c>
      <c r="H2021" s="19"/>
      <c r="I2021" s="62"/>
      <c r="J2021" s="19"/>
    </row>
    <row r="2022">
      <c r="A2022" s="19" t="str">
        <f>IFERROR(__xludf.DUMMYFUNCTION("""COMPUTED_VALUE"""),"Philip Talbot")</f>
        <v>Philip Talbot</v>
      </c>
      <c r="B2022" s="19" t="str">
        <f>IFERROR(__xludf.DUMMYFUNCTION("""COMPUTED_VALUE"""),"NSW")</f>
        <v>NSW</v>
      </c>
      <c r="C2022" s="5" t="str">
        <f>IFERROR(__xludf.DUMMYFUNCTION("""COMPUTED_VALUE"""),"Corindi Beach")</f>
        <v>Corindi Beach</v>
      </c>
      <c r="D2022" s="5" t="str">
        <f>IFERROR(__xludf.DUMMYFUNCTION("""COMPUTED_VALUE"""),"95 Corindi Park Drive, Corindi Beach, NSW, 2456, Australia")</f>
        <v>95 Corindi Park Drive, Corindi Beach, NSW, 2456, Australia</v>
      </c>
      <c r="E2022" s="25">
        <f>IFERROR(__xludf.DUMMYFUNCTION("""COMPUTED_VALUE"""),45958.0)</f>
        <v>45958</v>
      </c>
      <c r="F2022" s="5" t="str">
        <f>IFERROR(__xludf.DUMMYFUNCTION("""COMPUTED_VALUE"""),"Featured")</f>
        <v>Featured</v>
      </c>
      <c r="G2022" s="19" t="str">
        <f>IFERROR(__xludf.DUMMYFUNCTION("""COMPUTED_VALUE"""),"Commission Comparison")</f>
        <v>Commission Comparison</v>
      </c>
      <c r="H2022" s="19"/>
      <c r="I2022" s="62"/>
      <c r="J2022" s="19"/>
    </row>
    <row r="2023">
      <c r="A2023" s="19" t="str">
        <f>IFERROR(__xludf.DUMMYFUNCTION("""COMPUTED_VALUE"""),"Philip Talbot")</f>
        <v>Philip Talbot</v>
      </c>
      <c r="B2023" s="19" t="str">
        <f>IFERROR(__xludf.DUMMYFUNCTION("""COMPUTED_VALUE"""),"NSW")</f>
        <v>NSW</v>
      </c>
      <c r="C2023" s="5" t="str">
        <f>IFERROR(__xludf.DUMMYFUNCTION("""COMPUTED_VALUE"""),"Coffs Harbour")</f>
        <v>Coffs Harbour</v>
      </c>
      <c r="D2023" s="5" t="str">
        <f>IFERROR(__xludf.DUMMYFUNCTION("""COMPUTED_VALUE"""),"27 Thompsons Road Coffs Harbour NSW 2450")</f>
        <v>27 Thompsons Road Coffs Harbour NSW 2450</v>
      </c>
      <c r="E2023" s="25">
        <f>IFERROR(__xludf.DUMMYFUNCTION("""COMPUTED_VALUE"""),45959.0)</f>
        <v>45959</v>
      </c>
      <c r="F2023" s="5">
        <f>IFERROR(__xludf.DUMMYFUNCTION("""COMPUTED_VALUE"""),8.0)</f>
        <v>8</v>
      </c>
      <c r="G2023" s="19" t="str">
        <f>IFERROR(__xludf.DUMMYFUNCTION("""COMPUTED_VALUE"""),"Instant Forms")</f>
        <v>Instant Forms</v>
      </c>
      <c r="H2023" s="19"/>
      <c r="I2023" s="62"/>
      <c r="J2023" s="19"/>
    </row>
    <row r="2024">
      <c r="A2024" s="19" t="str">
        <f>IFERROR(__xludf.DUMMYFUNCTION("""COMPUTED_VALUE"""),"Philip Talbot")</f>
        <v>Philip Talbot</v>
      </c>
      <c r="B2024" s="19" t="str">
        <f>IFERROR(__xludf.DUMMYFUNCTION("""COMPUTED_VALUE"""),"NSW")</f>
        <v>NSW</v>
      </c>
      <c r="C2024" s="5" t="str">
        <f>IFERROR(__xludf.DUMMYFUNCTION("""COMPUTED_VALUE"""),"Coffs Harbour")</f>
        <v>Coffs Harbour</v>
      </c>
      <c r="D2024" s="5" t="str">
        <f>IFERROR(__xludf.DUMMYFUNCTION("""COMPUTED_VALUE"""),"16 Aubrey Crescent Coffs Harbour NSW 2450")</f>
        <v>16 Aubrey Crescent Coffs Harbour NSW 2450</v>
      </c>
      <c r="E2024" s="25">
        <f>IFERROR(__xludf.DUMMYFUNCTION("""COMPUTED_VALUE"""),45960.0)</f>
        <v>45960</v>
      </c>
      <c r="F2024" s="5">
        <f>IFERROR(__xludf.DUMMYFUNCTION("""COMPUTED_VALUE"""),8.0)</f>
        <v>8</v>
      </c>
      <c r="G2024" s="19" t="str">
        <f>IFERROR(__xludf.DUMMYFUNCTION("""COMPUTED_VALUE"""),"Instant Forms")</f>
        <v>Instant Forms</v>
      </c>
      <c r="H2024" s="19"/>
      <c r="I2024" s="62"/>
      <c r="J2024" s="19"/>
    </row>
    <row r="2025">
      <c r="A2025" s="19" t="str">
        <f>IFERROR(__xludf.DUMMYFUNCTION("""COMPUTED_VALUE"""),"Philip Talbot")</f>
        <v>Philip Talbot</v>
      </c>
      <c r="B2025" s="19" t="str">
        <f>IFERROR(__xludf.DUMMYFUNCTION("""COMPUTED_VALUE"""),"NSW")</f>
        <v>NSW</v>
      </c>
      <c r="C2025" s="5" t="str">
        <f>IFERROR(__xludf.DUMMYFUNCTION("""COMPUTED_VALUE"""),"Coffs Harbour")</f>
        <v>Coffs Harbour</v>
      </c>
      <c r="D2025" s="5" t="str">
        <f>IFERROR(__xludf.DUMMYFUNCTION("""COMPUTED_VALUE"""),"22 Jean Street Coffs Harbour NSW 2450")</f>
        <v>22 Jean Street Coffs Harbour NSW 2450</v>
      </c>
      <c r="E2025" s="25">
        <f>IFERROR(__xludf.DUMMYFUNCTION("""COMPUTED_VALUE"""),45960.0)</f>
        <v>45960</v>
      </c>
      <c r="F2025" s="5">
        <f>IFERROR(__xludf.DUMMYFUNCTION("""COMPUTED_VALUE"""),8.0)</f>
        <v>8</v>
      </c>
      <c r="G2025" s="19" t="str">
        <f>IFERROR(__xludf.DUMMYFUNCTION("""COMPUTED_VALUE"""),"Instant Forms")</f>
        <v>Instant Forms</v>
      </c>
      <c r="H2025" s="19"/>
      <c r="I2025" s="62"/>
      <c r="J2025" s="19"/>
    </row>
    <row r="2026">
      <c r="A2026" s="19" t="str">
        <f>IFERROR(__xludf.DUMMYFUNCTION("""COMPUTED_VALUE"""),"Philip Talbot")</f>
        <v>Philip Talbot</v>
      </c>
      <c r="B2026" s="19" t="str">
        <f>IFERROR(__xludf.DUMMYFUNCTION("""COMPUTED_VALUE"""),"NSW")</f>
        <v>NSW</v>
      </c>
      <c r="C2026" s="5" t="str">
        <f>IFERROR(__xludf.DUMMYFUNCTION("""COMPUTED_VALUE"""),"Coffs Harbour")</f>
        <v>Coffs Harbour</v>
      </c>
      <c r="D2026" s="5" t="str">
        <f>IFERROR(__xludf.DUMMYFUNCTION("""COMPUTED_VALUE"""),"2/69 William Sharp Drive Coffs Harbour NSW 2450")</f>
        <v>2/69 William Sharp Drive Coffs Harbour NSW 2450</v>
      </c>
      <c r="E2026" s="25">
        <f>IFERROR(__xludf.DUMMYFUNCTION("""COMPUTED_VALUE"""),45960.0)</f>
        <v>45960</v>
      </c>
      <c r="F2026" s="5">
        <f>IFERROR(__xludf.DUMMYFUNCTION("""COMPUTED_VALUE"""),9.0)</f>
        <v>9</v>
      </c>
      <c r="G2026" s="19" t="str">
        <f>IFERROR(__xludf.DUMMYFUNCTION("""COMPUTED_VALUE"""),"Instant Forms")</f>
        <v>Instant Forms</v>
      </c>
      <c r="H2026" s="19"/>
      <c r="I2026" s="62"/>
      <c r="J2026" s="19"/>
    </row>
    <row r="2027">
      <c r="A2027" s="19" t="str">
        <f>IFERROR(__xludf.DUMMYFUNCTION("""COMPUTED_VALUE"""),"Philip Talbot")</f>
        <v>Philip Talbot</v>
      </c>
      <c r="B2027" s="19" t="str">
        <f>IFERROR(__xludf.DUMMYFUNCTION("""COMPUTED_VALUE"""),"NSW")</f>
        <v>NSW</v>
      </c>
      <c r="C2027" s="5" t="str">
        <f>IFERROR(__xludf.DUMMYFUNCTION("""COMPUTED_VALUE"""),"Sapphire Beach")</f>
        <v>Sapphire Beach</v>
      </c>
      <c r="D2027" s="5" t="str">
        <f>IFERROR(__xludf.DUMMYFUNCTION("""COMPUTED_VALUE"""),"38 Warrawee Street Sapphire Beach NSW 2450")</f>
        <v>38 Warrawee Street Sapphire Beach NSW 2450</v>
      </c>
      <c r="E2027" s="25">
        <f>IFERROR(__xludf.DUMMYFUNCTION("""COMPUTED_VALUE"""),45964.0)</f>
        <v>45964</v>
      </c>
      <c r="F2027" s="5">
        <f>IFERROR(__xludf.DUMMYFUNCTION("""COMPUTED_VALUE"""),8.0)</f>
        <v>8</v>
      </c>
      <c r="G2027" s="19" t="str">
        <f>IFERROR(__xludf.DUMMYFUNCTION("""COMPUTED_VALUE"""),"Instant Forms")</f>
        <v>Instant Forms</v>
      </c>
      <c r="H2027" s="19"/>
      <c r="I2027" s="62"/>
      <c r="J2027" s="19"/>
    </row>
    <row r="2028">
      <c r="A2028" s="19" t="str">
        <f>IFERROR(__xludf.DUMMYFUNCTION("""COMPUTED_VALUE"""),"Philip Talbot")</f>
        <v>Philip Talbot</v>
      </c>
      <c r="B2028" s="19" t="str">
        <f>IFERROR(__xludf.DUMMYFUNCTION("""COMPUTED_VALUE"""),"NSW")</f>
        <v>NSW</v>
      </c>
      <c r="C2028" s="5" t="str">
        <f>IFERROR(__xludf.DUMMYFUNCTION("""COMPUTED_VALUE"""),"Sandy beach")</f>
        <v>Sandy beach</v>
      </c>
      <c r="D2028" s="5"/>
      <c r="E2028" s="25">
        <f>IFERROR(__xludf.DUMMYFUNCTION("""COMPUTED_VALUE"""),45965.0)</f>
        <v>45965</v>
      </c>
      <c r="F2028" s="5" t="str">
        <f>IFERROR(__xludf.DUMMYFUNCTION("""COMPUTED_VALUE"""),"Featured")</f>
        <v>Featured</v>
      </c>
      <c r="G2028" s="19" t="str">
        <f>IFERROR(__xludf.DUMMYFUNCTION("""COMPUTED_VALUE"""),"Commission Comparison")</f>
        <v>Commission Comparison</v>
      </c>
      <c r="H2028" s="19" t="str">
        <f>IFERROR(__xludf.DUMMYFUNCTION("""COMPUTED_VALUE"""),"Lisa Wyatt")</f>
        <v>Lisa Wyatt</v>
      </c>
      <c r="I2028" s="62">
        <f>IFERROR(__xludf.DUMMYFUNCTION("""COMPUTED_VALUE"""),6.1417758517E10)</f>
        <v>61417758517</v>
      </c>
      <c r="J2028" s="19" t="str">
        <f>IFERROR(__xludf.DUMMYFUNCTION("""COMPUTED_VALUE"""),"lisawyatt60@gmail.com")</f>
        <v>lisawyatt60@gmail.com</v>
      </c>
    </row>
    <row r="2029">
      <c r="A2029" s="19" t="str">
        <f>IFERROR(__xludf.DUMMYFUNCTION("""COMPUTED_VALUE"""),"Philip Talbot")</f>
        <v>Philip Talbot</v>
      </c>
      <c r="B2029" s="19" t="str">
        <f>IFERROR(__xludf.DUMMYFUNCTION("""COMPUTED_VALUE"""),"NSW")</f>
        <v>NSW</v>
      </c>
      <c r="C2029" s="5" t="str">
        <f>IFERROR(__xludf.DUMMYFUNCTION("""COMPUTED_VALUE"""),"Emerald Beach")</f>
        <v>Emerald Beach</v>
      </c>
      <c r="D2029" s="5" t="str">
        <f>IFERROR(__xludf.DUMMYFUNCTION("""COMPUTED_VALUE"""),"51 Lights Street Emerald Beach NSW 2456")</f>
        <v>51 Lights Street Emerald Beach NSW 2456</v>
      </c>
      <c r="E2029" s="25">
        <f>IFERROR(__xludf.DUMMYFUNCTION("""COMPUTED_VALUE"""),45969.0)</f>
        <v>45969</v>
      </c>
      <c r="F2029" s="5">
        <f>IFERROR(__xludf.DUMMYFUNCTION("""COMPUTED_VALUE"""),8.0)</f>
        <v>8</v>
      </c>
      <c r="G2029" s="19" t="str">
        <f>IFERROR(__xludf.DUMMYFUNCTION("""COMPUTED_VALUE"""),"Instant Forms")</f>
        <v>Instant Forms</v>
      </c>
      <c r="H2029" s="19" t="str">
        <f>IFERROR(__xludf.DUMMYFUNCTION("""COMPUTED_VALUE"""),"Helen Young")</f>
        <v>Helen Young</v>
      </c>
      <c r="I2029" s="62">
        <f>IFERROR(__xludf.DUMMYFUNCTION("""COMPUTED_VALUE"""),6.1412589051E10)</f>
        <v>61412589051</v>
      </c>
      <c r="J2029" s="19" t="str">
        <f>IFERROR(__xludf.DUMMYFUNCTION("""COMPUTED_VALUE"""),"hyoung4359@gmail.com")</f>
        <v>hyoung4359@gmail.com</v>
      </c>
    </row>
    <row r="2030">
      <c r="A2030" s="19" t="str">
        <f>IFERROR(__xludf.DUMMYFUNCTION("""COMPUTED_VALUE"""),"Philip Talbot")</f>
        <v>Philip Talbot</v>
      </c>
      <c r="B2030" s="19" t="str">
        <f>IFERROR(__xludf.DUMMYFUNCTION("""COMPUTED_VALUE"""),"NSW")</f>
        <v>NSW</v>
      </c>
      <c r="C2030" s="5" t="str">
        <f>IFERROR(__xludf.DUMMYFUNCTION("""COMPUTED_VALUE"""),"Sandy Beach")</f>
        <v>Sandy Beach</v>
      </c>
      <c r="D2030" s="5" t="str">
        <f>IFERROR(__xludf.DUMMYFUNCTION("""COMPUTED_VALUE"""),"1378 Solitary Islands Way Sandy Beach NSW 2456")</f>
        <v>1378 Solitary Islands Way Sandy Beach NSW 2456</v>
      </c>
      <c r="E2030" s="25">
        <f>IFERROR(__xludf.DUMMYFUNCTION("""COMPUTED_VALUE"""),45974.0)</f>
        <v>45974</v>
      </c>
      <c r="F2030" s="5">
        <f>IFERROR(__xludf.DUMMYFUNCTION("""COMPUTED_VALUE"""),8.0)</f>
        <v>8</v>
      </c>
      <c r="G2030" s="19" t="str">
        <f>IFERROR(__xludf.DUMMYFUNCTION("""COMPUTED_VALUE"""),"Instant Forms")</f>
        <v>Instant Forms</v>
      </c>
      <c r="H2030" s="19" t="str">
        <f>IFERROR(__xludf.DUMMYFUNCTION("""COMPUTED_VALUE"""),"Owen Green")</f>
        <v>Owen Green</v>
      </c>
      <c r="I2030" s="62">
        <f>IFERROR(__xludf.DUMMYFUNCTION("""COMPUTED_VALUE"""),6.1448704887E10)</f>
        <v>61448704887</v>
      </c>
      <c r="J2030" s="19" t="str">
        <f>IFERROR(__xludf.DUMMYFUNCTION("""COMPUTED_VALUE"""),"ogreen7456@gmail.com")</f>
        <v>ogreen7456@gmail.com</v>
      </c>
    </row>
    <row r="2031">
      <c r="A2031" s="19" t="str">
        <f>IFERROR(__xludf.DUMMYFUNCTION("""COMPUTED_VALUE"""),"Philip Talbot")</f>
        <v>Philip Talbot</v>
      </c>
      <c r="B2031" s="19" t="str">
        <f>IFERROR(__xludf.DUMMYFUNCTION("""COMPUTED_VALUE"""),"NSW")</f>
        <v>NSW</v>
      </c>
      <c r="C2031" s="5" t="str">
        <f>IFERROR(__xludf.DUMMYFUNCTION("""COMPUTED_VALUE"""),"Toormina")</f>
        <v>Toormina</v>
      </c>
      <c r="D2031" s="5" t="str">
        <f>IFERROR(__xludf.DUMMYFUNCTION("""COMPUTED_VALUE"""),"10 Toormina Road Toormina NSW 2452")</f>
        <v>10 Toormina Road Toormina NSW 2452</v>
      </c>
      <c r="E2031" s="25">
        <f>IFERROR(__xludf.DUMMYFUNCTION("""COMPUTED_VALUE"""),45974.0)</f>
        <v>45974</v>
      </c>
      <c r="F2031" s="5">
        <f>IFERROR(__xludf.DUMMYFUNCTION("""COMPUTED_VALUE"""),5.0)</f>
        <v>5</v>
      </c>
      <c r="G2031" s="19" t="str">
        <f>IFERROR(__xludf.DUMMYFUNCTION("""COMPUTED_VALUE"""),"Instant Forms")</f>
        <v>Instant Forms</v>
      </c>
      <c r="H2031" s="19" t="str">
        <f>IFERROR(__xludf.DUMMYFUNCTION("""COMPUTED_VALUE"""),"Pamella Murphy")</f>
        <v>Pamella Murphy</v>
      </c>
      <c r="I2031" s="62">
        <f>IFERROR(__xludf.DUMMYFUNCTION("""COMPUTED_VALUE"""),6.1431627825E10)</f>
        <v>61431627825</v>
      </c>
      <c r="J2031" s="19" t="str">
        <f>IFERROR(__xludf.DUMMYFUNCTION("""COMPUTED_VALUE"""),"pamella2452@hotmail.com")</f>
        <v>pamella2452@hotmail.com</v>
      </c>
    </row>
    <row r="2032">
      <c r="A2032" s="19" t="str">
        <f>IFERROR(__xludf.DUMMYFUNCTION("""COMPUTED_VALUE"""),"Philip Talbot")</f>
        <v>Philip Talbot</v>
      </c>
      <c r="B2032" s="19" t="str">
        <f>IFERROR(__xludf.DUMMYFUNCTION("""COMPUTED_VALUE"""),"NSW")</f>
        <v>NSW</v>
      </c>
      <c r="C2032" s="5" t="str">
        <f>IFERROR(__xludf.DUMMYFUNCTION("""COMPUTED_VALUE"""),"Toormina")</f>
        <v>Toormina</v>
      </c>
      <c r="D2032" s="5" t="str">
        <f>IFERROR(__xludf.DUMMYFUNCTION("""COMPUTED_VALUE"""),"47 Kinchela Avenue Toormina NSW 2452")</f>
        <v>47 Kinchela Avenue Toormina NSW 2452</v>
      </c>
      <c r="E2032" s="25">
        <f>IFERROR(__xludf.DUMMYFUNCTION("""COMPUTED_VALUE"""),45974.0)</f>
        <v>45974</v>
      </c>
      <c r="F2032" s="5">
        <f>IFERROR(__xludf.DUMMYFUNCTION("""COMPUTED_VALUE"""),8.0)</f>
        <v>8</v>
      </c>
      <c r="G2032" s="19" t="str">
        <f>IFERROR(__xludf.DUMMYFUNCTION("""COMPUTED_VALUE"""),"Instant Forms")</f>
        <v>Instant Forms</v>
      </c>
      <c r="H2032" s="19" t="str">
        <f>IFERROR(__xludf.DUMMYFUNCTION("""COMPUTED_VALUE"""),"Barry Butler")</f>
        <v>Barry Butler</v>
      </c>
      <c r="I2032" s="62">
        <f>IFERROR(__xludf.DUMMYFUNCTION("""COMPUTED_VALUE"""),6.1415899807E10)</f>
        <v>61415899807</v>
      </c>
      <c r="J2032" s="19" t="str">
        <f>IFERROR(__xludf.DUMMYFUNCTION("""COMPUTED_VALUE"""),"barrybutler45@gmail.com")</f>
        <v>barrybutler45@gmail.com</v>
      </c>
    </row>
    <row r="2033">
      <c r="A2033" s="19" t="str">
        <f>IFERROR(__xludf.DUMMYFUNCTION("""COMPUTED_VALUE"""),"Philip Talbot")</f>
        <v>Philip Talbot</v>
      </c>
      <c r="B2033" s="19" t="str">
        <f>IFERROR(__xludf.DUMMYFUNCTION("""COMPUTED_VALUE"""),"NSW")</f>
        <v>NSW</v>
      </c>
      <c r="C2033" s="5" t="str">
        <f>IFERROR(__xludf.DUMMYFUNCTION("""COMPUTED_VALUE"""),"Coffs Harbour")</f>
        <v>Coffs Harbour</v>
      </c>
      <c r="D2033" s="5"/>
      <c r="E2033" s="25">
        <f>IFERROR(__xludf.DUMMYFUNCTION("""COMPUTED_VALUE"""),45977.0)</f>
        <v>45977</v>
      </c>
      <c r="F2033" s="5">
        <f>IFERROR(__xludf.DUMMYFUNCTION("""COMPUTED_VALUE"""),5.0)</f>
        <v>5</v>
      </c>
      <c r="G2033" s="19" t="str">
        <f>IFERROR(__xludf.DUMMYFUNCTION("""COMPUTED_VALUE"""),"Instant Forms")</f>
        <v>Instant Forms</v>
      </c>
      <c r="H2033" s="19" t="str">
        <f>IFERROR(__xludf.DUMMYFUNCTION("""COMPUTED_VALUE"""),"Jaz Cross")</f>
        <v>Jaz Cross</v>
      </c>
      <c r="I2033" s="62">
        <f>IFERROR(__xludf.DUMMYFUNCTION("""COMPUTED_VALUE"""),6.1415238461E10)</f>
        <v>61415238461</v>
      </c>
      <c r="J2033" s="19" t="str">
        <f>IFERROR(__xludf.DUMMYFUNCTION("""COMPUTED_VALUE"""),"j.omeagher@hotmail.com")</f>
        <v>j.omeagher@hotmail.com</v>
      </c>
    </row>
    <row r="2034">
      <c r="A2034" s="19" t="str">
        <f>IFERROR(__xludf.DUMMYFUNCTION("""COMPUTED_VALUE"""),"Philip Talbot")</f>
        <v>Philip Talbot</v>
      </c>
      <c r="B2034" s="19" t="str">
        <f>IFERROR(__xludf.DUMMYFUNCTION("""COMPUTED_VALUE"""),"NSW")</f>
        <v>NSW</v>
      </c>
      <c r="C2034" s="5">
        <f>IFERROR(__xludf.DUMMYFUNCTION("""COMPUTED_VALUE"""),2456.0)</f>
        <v>2456</v>
      </c>
      <c r="D2034" s="5" t="str">
        <f>IFERROR(__xludf.DUMMYFUNCTION("""COMPUTED_VALUE"""),"33 Nightingale Street Woolgoolga NSW 2456")</f>
        <v>33 Nightingale Street Woolgoolga NSW 2456</v>
      </c>
      <c r="E2034" s="25">
        <f>IFERROR(__xludf.DUMMYFUNCTION("""COMPUTED_VALUE"""),45977.0)</f>
        <v>45977</v>
      </c>
      <c r="F2034" s="5">
        <f>IFERROR(__xludf.DUMMYFUNCTION("""COMPUTED_VALUE"""),8.0)</f>
        <v>8</v>
      </c>
      <c r="G2034" s="19" t="str">
        <f>IFERROR(__xludf.DUMMYFUNCTION("""COMPUTED_VALUE"""),"Instant Forms")</f>
        <v>Instant Forms</v>
      </c>
      <c r="H2034" s="19" t="str">
        <f>IFERROR(__xludf.DUMMYFUNCTION("""COMPUTED_VALUE"""),"Johnene Hobson")</f>
        <v>Johnene Hobson</v>
      </c>
      <c r="I2034" s="62">
        <f>IFERROR(__xludf.DUMMYFUNCTION("""COMPUTED_VALUE"""),6.1428548618E10)</f>
        <v>61428548618</v>
      </c>
      <c r="J2034" s="19" t="str">
        <f>IFERROR(__xludf.DUMMYFUNCTION("""COMPUTED_VALUE"""),"jdhobbos@hotmail.com")</f>
        <v>jdhobbos@hotmail.com</v>
      </c>
    </row>
    <row r="2035">
      <c r="A2035" s="19" t="str">
        <f>IFERROR(__xludf.DUMMYFUNCTION("""COMPUTED_VALUE"""),"Philip Talbot")</f>
        <v>Philip Talbot</v>
      </c>
      <c r="B2035" s="19" t="str">
        <f>IFERROR(__xludf.DUMMYFUNCTION("""COMPUTED_VALUE"""),"NSW")</f>
        <v>NSW</v>
      </c>
      <c r="C2035" s="5" t="str">
        <f>IFERROR(__xludf.DUMMYFUNCTION("""COMPUTED_VALUE"""),"Sandy Beach")</f>
        <v>Sandy Beach</v>
      </c>
      <c r="D2035" s="5" t="str">
        <f>IFERROR(__xludf.DUMMYFUNCTION("""COMPUTED_VALUE"""),"123 Diamond Head Drive Sandy Beach NSW 2456")</f>
        <v>123 Diamond Head Drive Sandy Beach NSW 2456</v>
      </c>
      <c r="E2035" s="5" t="str">
        <f>IFERROR(__xludf.DUMMYFUNCTION("""COMPUTED_VALUE"""),"19/11/2025")</f>
        <v>19/11/2025</v>
      </c>
      <c r="F2035" s="5">
        <f>IFERROR(__xludf.DUMMYFUNCTION("""COMPUTED_VALUE"""),8.0)</f>
        <v>8</v>
      </c>
      <c r="G2035" s="19" t="str">
        <f>IFERROR(__xludf.DUMMYFUNCTION("""COMPUTED_VALUE"""),"Instant Forms")</f>
        <v>Instant Forms</v>
      </c>
      <c r="H2035" s="19" t="str">
        <f>IFERROR(__xludf.DUMMYFUNCTION("""COMPUTED_VALUE"""),"Mike Cole")</f>
        <v>Mike Cole</v>
      </c>
      <c r="I2035" s="62">
        <f>IFERROR(__xludf.DUMMYFUNCTION("""COMPUTED_VALUE"""),6.1428841826E10)</f>
        <v>61428841826</v>
      </c>
      <c r="J2035" s="19" t="str">
        <f>IFERROR(__xludf.DUMMYFUNCTION("""COMPUTED_VALUE"""),"mike.ed.cole@gmail.com")</f>
        <v>mike.ed.cole@gmail.com</v>
      </c>
    </row>
    <row r="2036">
      <c r="A2036" s="19" t="str">
        <f>IFERROR(__xludf.DUMMYFUNCTION("""COMPUTED_VALUE"""),"Philip Talbot")</f>
        <v>Philip Talbot</v>
      </c>
      <c r="B2036" s="19" t="str">
        <f>IFERROR(__xludf.DUMMYFUNCTION("""COMPUTED_VALUE"""),"NSW")</f>
        <v>NSW</v>
      </c>
      <c r="C2036" s="5" t="str">
        <f>IFERROR(__xludf.DUMMYFUNCTION("""COMPUTED_VALUE"""),"Woolgoolga")</f>
        <v>Woolgoolga</v>
      </c>
      <c r="D2036" s="5" t="str">
        <f>IFERROR(__xludf.DUMMYFUNCTION("""COMPUTED_VALUE"""),"42 Melaleuca Avenue Woolgoolga NSW 2456")</f>
        <v>42 Melaleuca Avenue Woolgoolga NSW 2456</v>
      </c>
      <c r="E2036" s="5" t="str">
        <f>IFERROR(__xludf.DUMMYFUNCTION("""COMPUTED_VALUE"""),"21/11/2025")</f>
        <v>21/11/2025</v>
      </c>
      <c r="F2036" s="5">
        <f>IFERROR(__xludf.DUMMYFUNCTION("""COMPUTED_VALUE"""),8.0)</f>
        <v>8</v>
      </c>
      <c r="G2036" s="19" t="str">
        <f>IFERROR(__xludf.DUMMYFUNCTION("""COMPUTED_VALUE"""),"Instant Forms")</f>
        <v>Instant Forms</v>
      </c>
      <c r="H2036" s="19" t="str">
        <f>IFERROR(__xludf.DUMMYFUNCTION("""COMPUTED_VALUE"""),"David Conallin")</f>
        <v>David Conallin</v>
      </c>
      <c r="I2036" s="62">
        <f>IFERROR(__xludf.DUMMYFUNCTION("""COMPUTED_VALUE"""),6.141128772E10)</f>
        <v>61411287720</v>
      </c>
      <c r="J2036" s="19" t="str">
        <f>IFERROR(__xludf.DUMMYFUNCTION("""COMPUTED_VALUE"""),"centurygoldau@yahoo.com.au")</f>
        <v>centurygoldau@yahoo.com.au</v>
      </c>
    </row>
    <row r="2037">
      <c r="A2037" s="19" t="str">
        <f>IFERROR(__xludf.DUMMYFUNCTION("""COMPUTED_VALUE"""),"Philip Talbot")</f>
        <v>Philip Talbot</v>
      </c>
      <c r="B2037" s="19" t="str">
        <f>IFERROR(__xludf.DUMMYFUNCTION("""COMPUTED_VALUE"""),"NSW")</f>
        <v>NSW</v>
      </c>
      <c r="C2037" s="5" t="str">
        <f>IFERROR(__xludf.DUMMYFUNCTION("""COMPUTED_VALUE"""),"Bonville")</f>
        <v>Bonville</v>
      </c>
      <c r="D2037" s="5" t="str">
        <f>IFERROR(__xludf.DUMMYFUNCTION("""COMPUTED_VALUE"""),"342 North Bonville Rd, Bonville, New South Wales")</f>
        <v>342 North Bonville Rd, Bonville, New South Wales</v>
      </c>
      <c r="E2037" s="5" t="str">
        <f>IFERROR(__xludf.DUMMYFUNCTION("""COMPUTED_VALUE"""),"30/11/2025")</f>
        <v>30/11/2025</v>
      </c>
      <c r="F2037" s="64">
        <f>IFERROR(__xludf.DUMMYFUNCTION("""COMPUTED_VALUE"""),0.2)</f>
        <v>0.2</v>
      </c>
      <c r="G2037" s="19" t="str">
        <f>IFERROR(__xludf.DUMMYFUNCTION("""COMPUTED_VALUE"""),"Commission Comparison")</f>
        <v>Commission Comparison</v>
      </c>
      <c r="H2037" s="19" t="str">
        <f>IFERROR(__xludf.DUMMYFUNCTION("""COMPUTED_VALUE"""),"Brett Constable")</f>
        <v>Brett Constable</v>
      </c>
      <c r="I2037" s="62">
        <f>IFERROR(__xludf.DUMMYFUNCTION("""COMPUTED_VALUE"""),6.1431315342E10)</f>
        <v>61431315342</v>
      </c>
      <c r="J2037" s="19" t="str">
        <f>IFERROR(__xludf.DUMMYFUNCTION("""COMPUTED_VALUE"""),"luxurycoastallawns@gmail.com.au")</f>
        <v>luxurycoastallawns@gmail.com.au</v>
      </c>
    </row>
    <row r="2038">
      <c r="A2038" s="19" t="str">
        <f>IFERROR(__xludf.DUMMYFUNCTION("""COMPUTED_VALUE"""),"Philip Talbot")</f>
        <v>Philip Talbot</v>
      </c>
      <c r="B2038" s="19" t="str">
        <f>IFERROR(__xludf.DUMMYFUNCTION("""COMPUTED_VALUE"""),"NSW")</f>
        <v>NSW</v>
      </c>
      <c r="C2038" s="5" t="str">
        <f>IFERROR(__xludf.DUMMYFUNCTION("""COMPUTED_VALUE"""),"Toormina")</f>
        <v>Toormina</v>
      </c>
      <c r="D2038" s="5" t="str">
        <f>IFERROR(__xludf.DUMMYFUNCTION("""COMPUTED_VALUE"""),"U 1 28 Amaroo Cres")</f>
        <v>U 1 28 Amaroo Cres</v>
      </c>
      <c r="E2038" s="27">
        <f>IFERROR(__xludf.DUMMYFUNCTION("""COMPUTED_VALUE"""),45669.0)</f>
        <v>45669</v>
      </c>
      <c r="F2038" s="64">
        <f>IFERROR(__xludf.DUMMYFUNCTION("""COMPUTED_VALUE"""),0.2)</f>
        <v>0.2</v>
      </c>
      <c r="G2038" s="19" t="str">
        <f>IFERROR(__xludf.DUMMYFUNCTION("""COMPUTED_VALUE"""),"Commission Comparison")</f>
        <v>Commission Comparison</v>
      </c>
      <c r="H2038" s="19" t="str">
        <f>IFERROR(__xludf.DUMMYFUNCTION("""COMPUTED_VALUE"""),"Jennyfer Wilbur")</f>
        <v>Jennyfer Wilbur</v>
      </c>
      <c r="I2038" s="62">
        <f>IFERROR(__xludf.DUMMYFUNCTION("""COMPUTED_VALUE"""),6.1401502329E10)</f>
        <v>61401502329</v>
      </c>
      <c r="J2038" s="19" t="str">
        <f>IFERROR(__xludf.DUMMYFUNCTION("""COMPUTED_VALUE"""),"jennyferwilbur@hotmil.com")</f>
        <v>jennyferwilbur@hotmil.com</v>
      </c>
    </row>
    <row r="2039">
      <c r="A2039" s="19" t="str">
        <f>IFERROR(__xludf.DUMMYFUNCTION("""COMPUTED_VALUE"""),"")</f>
        <v/>
      </c>
      <c r="B2039" s="19" t="str">
        <f>IFERROR(__xludf.DUMMYFUNCTION("""COMPUTED_VALUE"""),"")</f>
        <v/>
      </c>
      <c r="C2039" s="5" t="str">
        <f>IFERROR(__xludf.DUMMYFUNCTION("""COMPUTED_VALUE"""),"")</f>
        <v/>
      </c>
      <c r="D2039" s="5" t="str">
        <f>IFERROR(__xludf.DUMMYFUNCTION("""COMPUTED_VALUE"""),"")</f>
        <v/>
      </c>
      <c r="E2039" s="5" t="str">
        <f>IFERROR(__xludf.DUMMYFUNCTION("""COMPUTED_VALUE"""),"")</f>
        <v/>
      </c>
      <c r="F2039" s="5" t="str">
        <f>IFERROR(__xludf.DUMMYFUNCTION("""COMPUTED_VALUE"""),"")</f>
        <v/>
      </c>
      <c r="G2039" s="19" t="str">
        <f>IFERROR(__xludf.DUMMYFUNCTION("""COMPUTED_VALUE"""),"")</f>
        <v/>
      </c>
      <c r="H2039" s="19" t="str">
        <f>IFERROR(__xludf.DUMMYFUNCTION("""COMPUTED_VALUE"""),"")</f>
        <v/>
      </c>
      <c r="I2039" s="62" t="str">
        <f>IFERROR(__xludf.DUMMYFUNCTION("""COMPUTED_VALUE"""),"")</f>
        <v/>
      </c>
      <c r="J2039" s="19" t="str">
        <f>IFERROR(__xludf.DUMMYFUNCTION("""COMPUTED_VALUE"""),"")</f>
        <v/>
      </c>
    </row>
    <row r="2040">
      <c r="A2040" s="19" t="str">
        <f>IFERROR(__xludf.DUMMYFUNCTION("""COMPUTED_VALUE"""),"")</f>
        <v/>
      </c>
      <c r="B2040" s="19" t="str">
        <f>IFERROR(__xludf.DUMMYFUNCTION("""COMPUTED_VALUE"""),"")</f>
        <v/>
      </c>
      <c r="C2040" s="5" t="str">
        <f>IFERROR(__xludf.DUMMYFUNCTION("""COMPUTED_VALUE"""),"")</f>
        <v/>
      </c>
      <c r="D2040" s="5" t="str">
        <f>IFERROR(__xludf.DUMMYFUNCTION("""COMPUTED_VALUE"""),"")</f>
        <v/>
      </c>
      <c r="E2040" s="5" t="str">
        <f>IFERROR(__xludf.DUMMYFUNCTION("""COMPUTED_VALUE"""),"")</f>
        <v/>
      </c>
      <c r="F2040" s="5" t="str">
        <f>IFERROR(__xludf.DUMMYFUNCTION("""COMPUTED_VALUE"""),"")</f>
        <v/>
      </c>
      <c r="G2040" s="19" t="str">
        <f>IFERROR(__xludf.DUMMYFUNCTION("""COMPUTED_VALUE"""),"")</f>
        <v/>
      </c>
      <c r="H2040" s="19" t="str">
        <f>IFERROR(__xludf.DUMMYFUNCTION("""COMPUTED_VALUE"""),"")</f>
        <v/>
      </c>
      <c r="I2040" s="62" t="str">
        <f>IFERROR(__xludf.DUMMYFUNCTION("""COMPUTED_VALUE"""),"")</f>
        <v/>
      </c>
      <c r="J2040" s="19" t="str">
        <f>IFERROR(__xludf.DUMMYFUNCTION("""COMPUTED_VALUE"""),"")</f>
        <v/>
      </c>
    </row>
    <row r="2041">
      <c r="A2041" s="19" t="str">
        <f>IFERROR(__xludf.DUMMYFUNCTION("""COMPUTED_VALUE"""),"Phillip Nicholas")</f>
        <v>Phillip Nicholas</v>
      </c>
      <c r="B2041" s="19" t="str">
        <f>IFERROR(__xludf.DUMMYFUNCTION("""COMPUTED_VALUE"""),"NSW")</f>
        <v>NSW</v>
      </c>
      <c r="C2041" s="5" t="str">
        <f>IFERROR(__xludf.DUMMYFUNCTION("""COMPUTED_VALUE"""),"Mona Vale")</f>
        <v>Mona Vale</v>
      </c>
      <c r="D2041" s="5" t="str">
        <f>IFERROR(__xludf.DUMMYFUNCTION("""COMPUTED_VALUE"""),"22A Elimatta Road Mona Vale NSW 2103")</f>
        <v>22A Elimatta Road Mona Vale NSW 2103</v>
      </c>
      <c r="E2041" s="25">
        <f>IFERROR(__xludf.DUMMYFUNCTION("""COMPUTED_VALUE"""),45896.0)</f>
        <v>45896</v>
      </c>
      <c r="F2041" s="5" t="str">
        <f>IFERROR(__xludf.DUMMYFUNCTION("""COMPUTED_VALUE"""),"Featured")</f>
        <v>Featured</v>
      </c>
      <c r="G2041" s="19" t="str">
        <f>IFERROR(__xludf.DUMMYFUNCTION("""COMPUTED_VALUE"""),"Instant Forms")</f>
        <v>Instant Forms</v>
      </c>
      <c r="H2041" s="19"/>
      <c r="I2041" s="62"/>
      <c r="J2041" s="19"/>
    </row>
    <row r="2042">
      <c r="A2042" s="19" t="str">
        <f>IFERROR(__xludf.DUMMYFUNCTION("""COMPUTED_VALUE"""),"Phillip Nicholas")</f>
        <v>Phillip Nicholas</v>
      </c>
      <c r="B2042" s="19" t="str">
        <f>IFERROR(__xludf.DUMMYFUNCTION("""COMPUTED_VALUE"""),"NSW")</f>
        <v>NSW</v>
      </c>
      <c r="C2042" s="5" t="str">
        <f>IFERROR(__xludf.DUMMYFUNCTION("""COMPUTED_VALUE"""),"Warriewood")</f>
        <v>Warriewood</v>
      </c>
      <c r="D2042" s="5" t="str">
        <f>IFERROR(__xludf.DUMMYFUNCTION("""COMPUTED_VALUE"""),"Holly submitted Warriewood as suburb but appears they live at '45 Walworth Avenue Newport NSW 2106'")</f>
        <v>Holly submitted Warriewood as suburb but appears they live at '45 Walworth Avenue Newport NSW 2106'</v>
      </c>
      <c r="E2042" s="25">
        <f>IFERROR(__xludf.DUMMYFUNCTION("""COMPUTED_VALUE"""),45900.0)</f>
        <v>45900</v>
      </c>
      <c r="F2042" s="5" t="str">
        <f>IFERROR(__xludf.DUMMYFUNCTION("""COMPUTED_VALUE"""),"Featured")</f>
        <v>Featured</v>
      </c>
      <c r="G2042" s="19" t="str">
        <f>IFERROR(__xludf.DUMMYFUNCTION("""COMPUTED_VALUE"""),"Instant Forms")</f>
        <v>Instant Forms</v>
      </c>
      <c r="H2042" s="19"/>
      <c r="I2042" s="62"/>
      <c r="J2042" s="19"/>
    </row>
    <row r="2043">
      <c r="A2043" s="19" t="str">
        <f>IFERROR(__xludf.DUMMYFUNCTION("""COMPUTED_VALUE"""),"Phillip Nicholas")</f>
        <v>Phillip Nicholas</v>
      </c>
      <c r="B2043" s="19" t="str">
        <f>IFERROR(__xludf.DUMMYFUNCTION("""COMPUTED_VALUE"""),"NSW")</f>
        <v>NSW</v>
      </c>
      <c r="C2043" s="5" t="str">
        <f>IFERROR(__xludf.DUMMYFUNCTION("""COMPUTED_VALUE"""),"Terrey hills")</f>
        <v>Terrey hills</v>
      </c>
      <c r="D2043" s="5" t="str">
        <f>IFERROR(__xludf.DUMMYFUNCTION("""COMPUTED_VALUE"""),"8 Dandenong Road Terrey Hills NSW 2084")</f>
        <v>8 Dandenong Road Terrey Hills NSW 2084</v>
      </c>
      <c r="E2043" s="25">
        <f>IFERROR(__xludf.DUMMYFUNCTION("""COMPUTED_VALUE"""),45905.0)</f>
        <v>45905</v>
      </c>
      <c r="F2043" s="5" t="str">
        <f>IFERROR(__xludf.DUMMYFUNCTION("""COMPUTED_VALUE"""),"Featured")</f>
        <v>Featured</v>
      </c>
      <c r="G2043" s="19" t="str">
        <f>IFERROR(__xludf.DUMMYFUNCTION("""COMPUTED_VALUE"""),"Instant Forms")</f>
        <v>Instant Forms</v>
      </c>
      <c r="H2043" s="19"/>
      <c r="I2043" s="62"/>
      <c r="J2043" s="19"/>
    </row>
    <row r="2044">
      <c r="A2044" s="19" t="str">
        <f>IFERROR(__xludf.DUMMYFUNCTION("""COMPUTED_VALUE"""),"Phillip Nicholas")</f>
        <v>Phillip Nicholas</v>
      </c>
      <c r="B2044" s="19" t="str">
        <f>IFERROR(__xludf.DUMMYFUNCTION("""COMPUTED_VALUE"""),"NSW")</f>
        <v>NSW</v>
      </c>
      <c r="C2044" s="5" t="str">
        <f>IFERROR(__xludf.DUMMYFUNCTION("""COMPUTED_VALUE"""),"Newport")</f>
        <v>Newport</v>
      </c>
      <c r="D2044" s="5" t="str">
        <f>IFERROR(__xludf.DUMMYFUNCTION("""COMPUTED_VALUE"""),"5 Irrubel Road Newport NSW 2106")</f>
        <v>5 Irrubel Road Newport NSW 2106</v>
      </c>
      <c r="E2044" s="25">
        <f>IFERROR(__xludf.DUMMYFUNCTION("""COMPUTED_VALUE"""),45907.0)</f>
        <v>45907</v>
      </c>
      <c r="F2044" s="5" t="str">
        <f>IFERROR(__xludf.DUMMYFUNCTION("""COMPUTED_VALUE"""),"Featured")</f>
        <v>Featured</v>
      </c>
      <c r="G2044" s="19" t="str">
        <f>IFERROR(__xludf.DUMMYFUNCTION("""COMPUTED_VALUE"""),"Instant Forms")</f>
        <v>Instant Forms</v>
      </c>
      <c r="H2044" s="19"/>
      <c r="I2044" s="62"/>
      <c r="J2044" s="19"/>
    </row>
    <row r="2045">
      <c r="A2045" s="19" t="str">
        <f>IFERROR(__xludf.DUMMYFUNCTION("""COMPUTED_VALUE"""),"Phillip Nicholas")</f>
        <v>Phillip Nicholas</v>
      </c>
      <c r="B2045" s="19" t="str">
        <f>IFERROR(__xludf.DUMMYFUNCTION("""COMPUTED_VALUE"""),"NSW")</f>
        <v>NSW</v>
      </c>
      <c r="C2045" s="5" t="str">
        <f>IFERROR(__xludf.DUMMYFUNCTION("""COMPUTED_VALUE"""),"Newport")</f>
        <v>Newport</v>
      </c>
      <c r="D2045" s="5" t="str">
        <f>IFERROR(__xludf.DUMMYFUNCTION("""COMPUTED_VALUE"""),"9/405 Barrenjoey Road Newport NSW 2106")</f>
        <v>9/405 Barrenjoey Road Newport NSW 2106</v>
      </c>
      <c r="E2045" s="25">
        <f>IFERROR(__xludf.DUMMYFUNCTION("""COMPUTED_VALUE"""),45907.0)</f>
        <v>45907</v>
      </c>
      <c r="F2045" s="5" t="str">
        <f>IFERROR(__xludf.DUMMYFUNCTION("""COMPUTED_VALUE"""),"Featured")</f>
        <v>Featured</v>
      </c>
      <c r="G2045" s="19" t="str">
        <f>IFERROR(__xludf.DUMMYFUNCTION("""COMPUTED_VALUE"""),"Instant Forms")</f>
        <v>Instant Forms</v>
      </c>
      <c r="H2045" s="19"/>
      <c r="I2045" s="62"/>
      <c r="J2045" s="19"/>
    </row>
    <row r="2046">
      <c r="A2046" s="19" t="str">
        <f>IFERROR(__xludf.DUMMYFUNCTION("""COMPUTED_VALUE"""),"Phillip Nicholas")</f>
        <v>Phillip Nicholas</v>
      </c>
      <c r="B2046" s="19" t="str">
        <f>IFERROR(__xludf.DUMMYFUNCTION("""COMPUTED_VALUE"""),"NSW")</f>
        <v>NSW</v>
      </c>
      <c r="C2046" s="5" t="str">
        <f>IFERROR(__xludf.DUMMYFUNCTION("""COMPUTED_VALUE"""),"Newport")</f>
        <v>Newport</v>
      </c>
      <c r="D2046" s="5" t="str">
        <f>IFERROR(__xludf.DUMMYFUNCTION("""COMPUTED_VALUE"""),"66 Wallumatta Road Newport NSW 2106")</f>
        <v>66 Wallumatta Road Newport NSW 2106</v>
      </c>
      <c r="E2046" s="25">
        <f>IFERROR(__xludf.DUMMYFUNCTION("""COMPUTED_VALUE"""),45924.0)</f>
        <v>45924</v>
      </c>
      <c r="F2046" s="5">
        <f>IFERROR(__xludf.DUMMYFUNCTION("""COMPUTED_VALUE"""),8.0)</f>
        <v>8</v>
      </c>
      <c r="G2046" s="19" t="str">
        <f>IFERROR(__xludf.DUMMYFUNCTION("""COMPUTED_VALUE"""),"Instant Forms")</f>
        <v>Instant Forms</v>
      </c>
      <c r="H2046" s="19" t="str">
        <f>IFERROR(__xludf.DUMMYFUNCTION("""COMPUTED_VALUE"""),"Graham Spoard")</f>
        <v>Graham Spoard</v>
      </c>
      <c r="I2046" s="62"/>
      <c r="J2046" s="19"/>
    </row>
    <row r="2047">
      <c r="A2047" s="19" t="str">
        <f>IFERROR(__xludf.DUMMYFUNCTION("""COMPUTED_VALUE"""),"Phillip Nicholas")</f>
        <v>Phillip Nicholas</v>
      </c>
      <c r="B2047" s="19" t="str">
        <f>IFERROR(__xludf.DUMMYFUNCTION("""COMPUTED_VALUE"""),"NSW")</f>
        <v>NSW</v>
      </c>
      <c r="C2047" s="5" t="str">
        <f>IFERROR(__xludf.DUMMYFUNCTION("""COMPUTED_VALUE"""),"Warriewood")</f>
        <v>Warriewood</v>
      </c>
      <c r="D2047" s="5" t="str">
        <f>IFERROR(__xludf.DUMMYFUNCTION("""COMPUTED_VALUE"""),"10 Platypus Way Warriewood NSW 2102")</f>
        <v>10 Platypus Way Warriewood NSW 2102</v>
      </c>
      <c r="E2047" s="25">
        <f>IFERROR(__xludf.DUMMYFUNCTION("""COMPUTED_VALUE"""),45926.0)</f>
        <v>45926</v>
      </c>
      <c r="F2047" s="5">
        <f>IFERROR(__xludf.DUMMYFUNCTION("""COMPUTED_VALUE"""),6.0)</f>
        <v>6</v>
      </c>
      <c r="G2047" s="19" t="str">
        <f>IFERROR(__xludf.DUMMYFUNCTION("""COMPUTED_VALUE"""),"Instant Forms")</f>
        <v>Instant Forms</v>
      </c>
      <c r="H2047" s="19" t="str">
        <f>IFERROR(__xludf.DUMMYFUNCTION("""COMPUTED_VALUE"""),"Belinda Youell")</f>
        <v>Belinda Youell</v>
      </c>
      <c r="I2047" s="62"/>
      <c r="J2047" s="19"/>
    </row>
    <row r="2048">
      <c r="A2048" s="19" t="str">
        <f>IFERROR(__xludf.DUMMYFUNCTION("""COMPUTED_VALUE"""),"Phillip Nicholas")</f>
        <v>Phillip Nicholas</v>
      </c>
      <c r="B2048" s="19" t="str">
        <f>IFERROR(__xludf.DUMMYFUNCTION("""COMPUTED_VALUE"""),"NSW")</f>
        <v>NSW</v>
      </c>
      <c r="C2048" s="5" t="str">
        <f>IFERROR(__xludf.DUMMYFUNCTION("""COMPUTED_VALUE"""),"Warriewood")</f>
        <v>Warriewood</v>
      </c>
      <c r="D2048" s="5" t="str">
        <f>IFERROR(__xludf.DUMMYFUNCTION("""COMPUTED_VALUE"""),"353/79-91 Macpherson Street Warriewood NSW 2102")</f>
        <v>353/79-91 Macpherson Street Warriewood NSW 2102</v>
      </c>
      <c r="E2048" s="25">
        <f>IFERROR(__xludf.DUMMYFUNCTION("""COMPUTED_VALUE"""),45929.0)</f>
        <v>45929</v>
      </c>
      <c r="F2048" s="5">
        <f>IFERROR(__xludf.DUMMYFUNCTION("""COMPUTED_VALUE"""),8.0)</f>
        <v>8</v>
      </c>
      <c r="G2048" s="19" t="str">
        <f>IFERROR(__xludf.DUMMYFUNCTION("""COMPUTED_VALUE"""),"Instant Forms")</f>
        <v>Instant Forms</v>
      </c>
      <c r="H2048" s="19" t="str">
        <f>IFERROR(__xludf.DUMMYFUNCTION("""COMPUTED_VALUE"""),"Louise Smith")</f>
        <v>Louise Smith</v>
      </c>
      <c r="I2048" s="62"/>
      <c r="J2048" s="19"/>
    </row>
    <row r="2049">
      <c r="A2049" s="19" t="str">
        <f>IFERROR(__xludf.DUMMYFUNCTION("""COMPUTED_VALUE"""),"Phillip Nicholas")</f>
        <v>Phillip Nicholas</v>
      </c>
      <c r="B2049" s="19" t="str">
        <f>IFERROR(__xludf.DUMMYFUNCTION("""COMPUTED_VALUE"""),"NSW")</f>
        <v>NSW</v>
      </c>
      <c r="C2049" s="5" t="str">
        <f>IFERROR(__xludf.DUMMYFUNCTION("""COMPUTED_VALUE"""),"Warriewood")</f>
        <v>Warriewood</v>
      </c>
      <c r="D2049" s="5" t="str">
        <f>IFERROR(__xludf.DUMMYFUNCTION("""COMPUTED_VALUE"""),"30 Kingfisher Way Warriewood NSW 2102")</f>
        <v>30 Kingfisher Way Warriewood NSW 2102</v>
      </c>
      <c r="E2049" s="25">
        <f>IFERROR(__xludf.DUMMYFUNCTION("""COMPUTED_VALUE"""),45935.0)</f>
        <v>45935</v>
      </c>
      <c r="F2049" s="5">
        <f>IFERROR(__xludf.DUMMYFUNCTION("""COMPUTED_VALUE"""),8.0)</f>
        <v>8</v>
      </c>
      <c r="G2049" s="19" t="str">
        <f>IFERROR(__xludf.DUMMYFUNCTION("""COMPUTED_VALUE"""),"Instant Forms")</f>
        <v>Instant Forms</v>
      </c>
      <c r="H2049" s="19" t="str">
        <f>IFERROR(__xludf.DUMMYFUNCTION("""COMPUTED_VALUE"""),"Kay Houston Rice")</f>
        <v>Kay Houston Rice</v>
      </c>
      <c r="I2049" s="62"/>
      <c r="J2049" s="19"/>
    </row>
    <row r="2050">
      <c r="A2050" s="19" t="str">
        <f>IFERROR(__xludf.DUMMYFUNCTION("""COMPUTED_VALUE"""),"Phillip Nicholas")</f>
        <v>Phillip Nicholas</v>
      </c>
      <c r="B2050" s="19" t="str">
        <f>IFERROR(__xludf.DUMMYFUNCTION("""COMPUTED_VALUE"""),"NSW")</f>
        <v>NSW</v>
      </c>
      <c r="C2050" s="5" t="str">
        <f>IFERROR(__xludf.DUMMYFUNCTION("""COMPUTED_VALUE"""),"Warriewood")</f>
        <v>Warriewood</v>
      </c>
      <c r="D2050" s="5" t="str">
        <f>IFERROR(__xludf.DUMMYFUNCTION("""COMPUTED_VALUE"""),"21 Bubalo Street Warriewood NSW 2102")</f>
        <v>21 Bubalo Street Warriewood NSW 2102</v>
      </c>
      <c r="E2050" s="25">
        <f>IFERROR(__xludf.DUMMYFUNCTION("""COMPUTED_VALUE"""),45967.0)</f>
        <v>45967</v>
      </c>
      <c r="F2050" s="5">
        <f>IFERROR(__xludf.DUMMYFUNCTION("""COMPUTED_VALUE"""),6.0)</f>
        <v>6</v>
      </c>
      <c r="G2050" s="19" t="str">
        <f>IFERROR(__xludf.DUMMYFUNCTION("""COMPUTED_VALUE"""),"Instant Forms")</f>
        <v>Instant Forms</v>
      </c>
      <c r="H2050" s="19" t="str">
        <f>IFERROR(__xludf.DUMMYFUNCTION("""COMPUTED_VALUE"""),"Craig Robinson")</f>
        <v>Craig Robinson</v>
      </c>
      <c r="I2050" s="62">
        <f>IFERROR(__xludf.DUMMYFUNCTION("""COMPUTED_VALUE"""),6.1419759352E10)</f>
        <v>61419759352</v>
      </c>
      <c r="J2050" s="19" t="str">
        <f>IFERROR(__xludf.DUMMYFUNCTION("""COMPUTED_VALUE"""),"craig_at_the_beach@hotmail.com")</f>
        <v>craig_at_the_beach@hotmail.com</v>
      </c>
    </row>
    <row r="2051">
      <c r="A2051" s="19" t="str">
        <f>IFERROR(__xludf.DUMMYFUNCTION("""COMPUTED_VALUE"""),"")</f>
        <v/>
      </c>
      <c r="B2051" s="19" t="str">
        <f>IFERROR(__xludf.DUMMYFUNCTION("""COMPUTED_VALUE"""),"")</f>
        <v/>
      </c>
      <c r="C2051" s="5" t="str">
        <f>IFERROR(__xludf.DUMMYFUNCTION("""COMPUTED_VALUE"""),"")</f>
        <v/>
      </c>
      <c r="D2051" s="5" t="str">
        <f>IFERROR(__xludf.DUMMYFUNCTION("""COMPUTED_VALUE"""),"")</f>
        <v/>
      </c>
      <c r="E2051" s="5" t="str">
        <f>IFERROR(__xludf.DUMMYFUNCTION("""COMPUTED_VALUE"""),"")</f>
        <v/>
      </c>
      <c r="F2051" s="5" t="str">
        <f>IFERROR(__xludf.DUMMYFUNCTION("""COMPUTED_VALUE"""),"")</f>
        <v/>
      </c>
      <c r="G2051" s="19" t="str">
        <f>IFERROR(__xludf.DUMMYFUNCTION("""COMPUTED_VALUE"""),"")</f>
        <v/>
      </c>
      <c r="H2051" s="19" t="str">
        <f>IFERROR(__xludf.DUMMYFUNCTION("""COMPUTED_VALUE"""),"")</f>
        <v/>
      </c>
      <c r="I2051" s="62" t="str">
        <f>IFERROR(__xludf.DUMMYFUNCTION("""COMPUTED_VALUE"""),"")</f>
        <v/>
      </c>
      <c r="J2051" s="19" t="str">
        <f>IFERROR(__xludf.DUMMYFUNCTION("""COMPUTED_VALUE"""),"")</f>
        <v/>
      </c>
    </row>
    <row r="2052">
      <c r="A2052" s="19" t="str">
        <f>IFERROR(__xludf.DUMMYFUNCTION("""COMPUTED_VALUE"""),"")</f>
        <v/>
      </c>
      <c r="B2052" s="19" t="str">
        <f>IFERROR(__xludf.DUMMYFUNCTION("""COMPUTED_VALUE"""),"")</f>
        <v/>
      </c>
      <c r="C2052" s="5" t="str">
        <f>IFERROR(__xludf.DUMMYFUNCTION("""COMPUTED_VALUE"""),"")</f>
        <v/>
      </c>
      <c r="D2052" s="5" t="str">
        <f>IFERROR(__xludf.DUMMYFUNCTION("""COMPUTED_VALUE"""),"")</f>
        <v/>
      </c>
      <c r="E2052" s="5" t="str">
        <f>IFERROR(__xludf.DUMMYFUNCTION("""COMPUTED_VALUE"""),"")</f>
        <v/>
      </c>
      <c r="F2052" s="5" t="str">
        <f>IFERROR(__xludf.DUMMYFUNCTION("""COMPUTED_VALUE"""),"")</f>
        <v/>
      </c>
      <c r="G2052" s="19" t="str">
        <f>IFERROR(__xludf.DUMMYFUNCTION("""COMPUTED_VALUE"""),"")</f>
        <v/>
      </c>
      <c r="H2052" s="19" t="str">
        <f>IFERROR(__xludf.DUMMYFUNCTION("""COMPUTED_VALUE"""),"")</f>
        <v/>
      </c>
      <c r="I2052" s="62" t="str">
        <f>IFERROR(__xludf.DUMMYFUNCTION("""COMPUTED_VALUE"""),"")</f>
        <v/>
      </c>
      <c r="J2052" s="19" t="str">
        <f>IFERROR(__xludf.DUMMYFUNCTION("""COMPUTED_VALUE"""),"")</f>
        <v/>
      </c>
    </row>
    <row r="2053">
      <c r="A2053" s="19" t="str">
        <f>IFERROR(__xludf.DUMMYFUNCTION("""COMPUTED_VALUE"""),"Ricky Campton")</f>
        <v>Ricky Campton</v>
      </c>
      <c r="B2053" s="19" t="str">
        <f>IFERROR(__xludf.DUMMYFUNCTION("""COMPUTED_VALUE"""),"NSW")</f>
        <v>NSW</v>
      </c>
      <c r="C2053" s="5" t="str">
        <f>IFERROR(__xludf.DUMMYFUNCTION("""COMPUTED_VALUE"""),"Swansea")</f>
        <v>Swansea</v>
      </c>
      <c r="D2053" s="5" t="str">
        <f>IFERROR(__xludf.DUMMYFUNCTION("""COMPUTED_VALUE"""),"254 Old Pacific Highway, Swansea, NSW, 2281, Australia")</f>
        <v>254 Old Pacific Highway, Swansea, NSW, 2281, Australia</v>
      </c>
      <c r="E2053" s="25">
        <f>IFERROR(__xludf.DUMMYFUNCTION("""COMPUTED_VALUE"""),45919.0)</f>
        <v>45919</v>
      </c>
      <c r="F2053" s="5" t="str">
        <f>IFERROR(__xludf.DUMMYFUNCTION("""COMPUTED_VALUE"""),"Featured")</f>
        <v>Featured</v>
      </c>
      <c r="G2053" s="19" t="str">
        <f>IFERROR(__xludf.DUMMYFUNCTION("""COMPUTED_VALUE"""),"Commission Comparison")</f>
        <v>Commission Comparison</v>
      </c>
      <c r="H2053" s="19"/>
      <c r="I2053" s="62"/>
      <c r="J2053" s="19"/>
    </row>
    <row r="2054">
      <c r="A2054" s="19" t="str">
        <f>IFERROR(__xludf.DUMMYFUNCTION("""COMPUTED_VALUE"""),"Ricky Campton")</f>
        <v>Ricky Campton</v>
      </c>
      <c r="B2054" s="19" t="str">
        <f>IFERROR(__xludf.DUMMYFUNCTION("""COMPUTED_VALUE"""),"NSW")</f>
        <v>NSW</v>
      </c>
      <c r="C2054" s="5" t="str">
        <f>IFERROR(__xludf.DUMMYFUNCTION("""COMPUTED_VALUE"""),"Lakelands")</f>
        <v>Lakelands</v>
      </c>
      <c r="D2054" s="5" t="str">
        <f>IFERROR(__xludf.DUMMYFUNCTION("""COMPUTED_VALUE"""),"6 Ulverston Way Lakelands NSW 2282")</f>
        <v>6 Ulverston Way Lakelands NSW 2282</v>
      </c>
      <c r="E2054" s="25">
        <f>IFERROR(__xludf.DUMMYFUNCTION("""COMPUTED_VALUE"""),45933.0)</f>
        <v>45933</v>
      </c>
      <c r="F2054" s="5">
        <f>IFERROR(__xludf.DUMMYFUNCTION("""COMPUTED_VALUE"""),8.0)</f>
        <v>8</v>
      </c>
      <c r="G2054" s="19" t="str">
        <f>IFERROR(__xludf.DUMMYFUNCTION("""COMPUTED_VALUE"""),"Instant Forms")</f>
        <v>Instant Forms</v>
      </c>
      <c r="H2054" s="19" t="str">
        <f>IFERROR(__xludf.DUMMYFUNCTION("""COMPUTED_VALUE"""),"Luke Williams")</f>
        <v>Luke Williams</v>
      </c>
      <c r="I2054" s="62"/>
      <c r="J2054" s="19"/>
    </row>
    <row r="2055">
      <c r="A2055" s="19" t="str">
        <f>IFERROR(__xludf.DUMMYFUNCTION("""COMPUTED_VALUE"""),"Ricky Campton")</f>
        <v>Ricky Campton</v>
      </c>
      <c r="B2055" s="19" t="str">
        <f>IFERROR(__xludf.DUMMYFUNCTION("""COMPUTED_VALUE"""),"NSW")</f>
        <v>NSW</v>
      </c>
      <c r="C2055" s="5" t="str">
        <f>IFERROR(__xludf.DUMMYFUNCTION("""COMPUTED_VALUE"""),"Charlestown")</f>
        <v>Charlestown</v>
      </c>
      <c r="D2055" s="5" t="str">
        <f>IFERROR(__xludf.DUMMYFUNCTION("""COMPUTED_VALUE"""),"10 Alexander Parade Charlestown NSW 2290")</f>
        <v>10 Alexander Parade Charlestown NSW 2290</v>
      </c>
      <c r="E2055" s="25">
        <f>IFERROR(__xludf.DUMMYFUNCTION("""COMPUTED_VALUE"""),45933.0)</f>
        <v>45933</v>
      </c>
      <c r="F2055" s="5">
        <f>IFERROR(__xludf.DUMMYFUNCTION("""COMPUTED_VALUE"""),8.0)</f>
        <v>8</v>
      </c>
      <c r="G2055" s="19" t="str">
        <f>IFERROR(__xludf.DUMMYFUNCTION("""COMPUTED_VALUE"""),"Instant Forms")</f>
        <v>Instant Forms</v>
      </c>
      <c r="H2055" s="19" t="str">
        <f>IFERROR(__xludf.DUMMYFUNCTION("""COMPUTED_VALUE"""),"Frannie Scott")</f>
        <v>Frannie Scott</v>
      </c>
      <c r="I2055" s="62"/>
      <c r="J2055" s="19"/>
    </row>
    <row r="2056">
      <c r="A2056" s="19" t="str">
        <f>IFERROR(__xludf.DUMMYFUNCTION("""COMPUTED_VALUE"""),"Ricky Campton")</f>
        <v>Ricky Campton</v>
      </c>
      <c r="B2056" s="19" t="str">
        <f>IFERROR(__xludf.DUMMYFUNCTION("""COMPUTED_VALUE"""),"NSW")</f>
        <v>NSW</v>
      </c>
      <c r="C2056" s="5" t="str">
        <f>IFERROR(__xludf.DUMMYFUNCTION("""COMPUTED_VALUE"""),"Charlestown")</f>
        <v>Charlestown</v>
      </c>
      <c r="D2056" s="5" t="str">
        <f>IFERROR(__xludf.DUMMYFUNCTION("""COMPUTED_VALUE"""),"99 James Street Charlestown NSW 2290")</f>
        <v>99 James Street Charlestown NSW 2290</v>
      </c>
      <c r="E2056" s="25">
        <f>IFERROR(__xludf.DUMMYFUNCTION("""COMPUTED_VALUE"""),45934.0)</f>
        <v>45934</v>
      </c>
      <c r="F2056" s="5">
        <f>IFERROR(__xludf.DUMMYFUNCTION("""COMPUTED_VALUE"""),9.0)</f>
        <v>9</v>
      </c>
      <c r="G2056" s="19" t="str">
        <f>IFERROR(__xludf.DUMMYFUNCTION("""COMPUTED_VALUE"""),"Instant Forms")</f>
        <v>Instant Forms</v>
      </c>
      <c r="H2056" s="19" t="str">
        <f>IFERROR(__xludf.DUMMYFUNCTION("""COMPUTED_VALUE"""),"Suzy samiotis")</f>
        <v>Suzy samiotis</v>
      </c>
      <c r="I2056" s="62"/>
      <c r="J2056" s="19"/>
    </row>
    <row r="2057">
      <c r="A2057" s="19" t="str">
        <f>IFERROR(__xludf.DUMMYFUNCTION("""COMPUTED_VALUE"""),"Ricky Campton")</f>
        <v>Ricky Campton</v>
      </c>
      <c r="B2057" s="19" t="str">
        <f>IFERROR(__xludf.DUMMYFUNCTION("""COMPUTED_VALUE"""),"NSW")</f>
        <v>NSW</v>
      </c>
      <c r="C2057" s="5" t="str">
        <f>IFERROR(__xludf.DUMMYFUNCTION("""COMPUTED_VALUE"""),"Belmont")</f>
        <v>Belmont</v>
      </c>
      <c r="D2057" s="5" t="str">
        <f>IFERROR(__xludf.DUMMYFUNCTION("""COMPUTED_VALUE"""),"3, Topgallant Way, Belmont NSW 2280, Belmont, 2280")</f>
        <v>3, Topgallant Way, Belmont NSW 2280, Belmont, 2280</v>
      </c>
      <c r="E2057" s="25" t="str">
        <f>IFERROR(__xludf.DUMMYFUNCTION("""COMPUTED_VALUE"""),"15/10/2025")</f>
        <v>15/10/2025</v>
      </c>
      <c r="F2057" s="5" t="str">
        <f>IFERROR(__xludf.DUMMYFUNCTION("""COMPUTED_VALUE"""),"Featured")</f>
        <v>Featured</v>
      </c>
      <c r="G2057" s="19" t="str">
        <f>IFERROR(__xludf.DUMMYFUNCTION("""COMPUTED_VALUE"""),"Meta Commission Report")</f>
        <v>Meta Commission Report</v>
      </c>
      <c r="H2057" s="19" t="str">
        <f>IFERROR(__xludf.DUMMYFUNCTION("""COMPUTED_VALUE"""),"John Sims")</f>
        <v>John Sims</v>
      </c>
      <c r="I2057" s="62"/>
      <c r="J2057" s="19"/>
    </row>
    <row r="2058">
      <c r="A2058" s="19" t="str">
        <f>IFERROR(__xludf.DUMMYFUNCTION("""COMPUTED_VALUE"""),"Ricky Campton")</f>
        <v>Ricky Campton</v>
      </c>
      <c r="B2058" s="19" t="str">
        <f>IFERROR(__xludf.DUMMYFUNCTION("""COMPUTED_VALUE"""),"NSW")</f>
        <v>NSW</v>
      </c>
      <c r="C2058" s="5" t="str">
        <f>IFERROR(__xludf.DUMMYFUNCTION("""COMPUTED_VALUE"""),"Belmont")</f>
        <v>Belmont</v>
      </c>
      <c r="D2058" s="5" t="str">
        <f>IFERROR(__xludf.DUMMYFUNCTION("""COMPUTED_VALUE"""),"3 Topgallant Way, Belmont, NSW, 2280, Australia")</f>
        <v>3 Topgallant Way, Belmont, NSW, 2280, Australia</v>
      </c>
      <c r="E2058" s="25" t="str">
        <f>IFERROR(__xludf.DUMMYFUNCTION("""COMPUTED_VALUE"""),"15/10/2025")</f>
        <v>15/10/2025</v>
      </c>
      <c r="F2058" s="5" t="str">
        <f>IFERROR(__xludf.DUMMYFUNCTION("""COMPUTED_VALUE"""),"Featured")</f>
        <v>Featured</v>
      </c>
      <c r="G2058" s="19"/>
      <c r="H2058" s="19"/>
      <c r="I2058" s="62"/>
      <c r="J2058" s="19"/>
    </row>
    <row r="2059">
      <c r="A2059" s="19" t="str">
        <f>IFERROR(__xludf.DUMMYFUNCTION("""COMPUTED_VALUE"""),"")</f>
        <v/>
      </c>
      <c r="B2059" s="19" t="str">
        <f>IFERROR(__xludf.DUMMYFUNCTION("""COMPUTED_VALUE"""),"")</f>
        <v/>
      </c>
      <c r="C2059" s="5" t="str">
        <f>IFERROR(__xludf.DUMMYFUNCTION("""COMPUTED_VALUE"""),"")</f>
        <v/>
      </c>
      <c r="D2059" s="5" t="str">
        <f>IFERROR(__xludf.DUMMYFUNCTION("""COMPUTED_VALUE"""),"")</f>
        <v/>
      </c>
      <c r="E2059" s="5" t="str">
        <f>IFERROR(__xludf.DUMMYFUNCTION("""COMPUTED_VALUE"""),"")</f>
        <v/>
      </c>
      <c r="F2059" s="5" t="str">
        <f>IFERROR(__xludf.DUMMYFUNCTION("""COMPUTED_VALUE"""),"")</f>
        <v/>
      </c>
      <c r="G2059" s="19" t="str">
        <f>IFERROR(__xludf.DUMMYFUNCTION("""COMPUTED_VALUE"""),"")</f>
        <v/>
      </c>
      <c r="H2059" s="19" t="str">
        <f>IFERROR(__xludf.DUMMYFUNCTION("""COMPUTED_VALUE"""),"")</f>
        <v/>
      </c>
      <c r="I2059" s="62" t="str">
        <f>IFERROR(__xludf.DUMMYFUNCTION("""COMPUTED_VALUE"""),"")</f>
        <v/>
      </c>
      <c r="J2059" s="19" t="str">
        <f>IFERROR(__xludf.DUMMYFUNCTION("""COMPUTED_VALUE"""),"")</f>
        <v/>
      </c>
    </row>
    <row r="2060">
      <c r="A2060" s="19" t="str">
        <f>IFERROR(__xludf.DUMMYFUNCTION("""COMPUTED_VALUE"""),"")</f>
        <v/>
      </c>
      <c r="B2060" s="19" t="str">
        <f>IFERROR(__xludf.DUMMYFUNCTION("""COMPUTED_VALUE"""),"")</f>
        <v/>
      </c>
      <c r="C2060" s="5" t="str">
        <f>IFERROR(__xludf.DUMMYFUNCTION("""COMPUTED_VALUE"""),"")</f>
        <v/>
      </c>
      <c r="D2060" s="5" t="str">
        <f>IFERROR(__xludf.DUMMYFUNCTION("""COMPUTED_VALUE"""),"")</f>
        <v/>
      </c>
      <c r="E2060" s="5" t="str">
        <f>IFERROR(__xludf.DUMMYFUNCTION("""COMPUTED_VALUE"""),"")</f>
        <v/>
      </c>
      <c r="F2060" s="5" t="str">
        <f>IFERROR(__xludf.DUMMYFUNCTION("""COMPUTED_VALUE"""),"")</f>
        <v/>
      </c>
      <c r="G2060" s="19" t="str">
        <f>IFERROR(__xludf.DUMMYFUNCTION("""COMPUTED_VALUE"""),"")</f>
        <v/>
      </c>
      <c r="H2060" s="19" t="str">
        <f>IFERROR(__xludf.DUMMYFUNCTION("""COMPUTED_VALUE"""),"")</f>
        <v/>
      </c>
      <c r="I2060" s="62" t="str">
        <f>IFERROR(__xludf.DUMMYFUNCTION("""COMPUTED_VALUE"""),"")</f>
        <v/>
      </c>
      <c r="J2060" s="19" t="str">
        <f>IFERROR(__xludf.DUMMYFUNCTION("""COMPUTED_VALUE"""),"")</f>
        <v/>
      </c>
    </row>
    <row r="2061">
      <c r="A2061" s="19" t="str">
        <f>IFERROR(__xludf.DUMMYFUNCTION("""COMPUTED_VALUE"""),"Rodney Goodwin")</f>
        <v>Rodney Goodwin</v>
      </c>
      <c r="B2061" s="19" t="str">
        <f>IFERROR(__xludf.DUMMYFUNCTION("""COMPUTED_VALUE"""),"QLD")</f>
        <v>QLD</v>
      </c>
      <c r="C2061" s="5" t="str">
        <f>IFERROR(__xludf.DUMMYFUNCTION("""COMPUTED_VALUE"""),"Hamilton")</f>
        <v>Hamilton</v>
      </c>
      <c r="D2061" s="5" t="str">
        <f>IFERROR(__xludf.DUMMYFUNCTION("""COMPUTED_VALUE"""),"9/22 Donald Street Hamilton NSW 2303")</f>
        <v>9/22 Donald Street Hamilton NSW 2303</v>
      </c>
      <c r="E2061" s="25">
        <f>IFERROR(__xludf.DUMMYFUNCTION("""COMPUTED_VALUE"""),45912.0)</f>
        <v>45912</v>
      </c>
      <c r="F2061" s="5">
        <f>IFERROR(__xludf.DUMMYFUNCTION("""COMPUTED_VALUE"""),8.0)</f>
        <v>8</v>
      </c>
      <c r="G2061" s="19" t="str">
        <f>IFERROR(__xludf.DUMMYFUNCTION("""COMPUTED_VALUE"""),"Instant Forms")</f>
        <v>Instant Forms</v>
      </c>
      <c r="H2061" s="19" t="str">
        <f>IFERROR(__xludf.DUMMYFUNCTION("""COMPUTED_VALUE"""),"Paul Rothapfel")</f>
        <v>Paul Rothapfel</v>
      </c>
      <c r="I2061" s="62"/>
      <c r="J2061" s="19"/>
    </row>
    <row r="2062">
      <c r="A2062" s="19" t="str">
        <f>IFERROR(__xludf.DUMMYFUNCTION("""COMPUTED_VALUE"""),"Rodney Goodwin")</f>
        <v>Rodney Goodwin</v>
      </c>
      <c r="B2062" s="19" t="str">
        <f>IFERROR(__xludf.DUMMYFUNCTION("""COMPUTED_VALUE"""),"QLD")</f>
        <v>QLD</v>
      </c>
      <c r="C2062" s="5" t="str">
        <f>IFERROR(__xludf.DUMMYFUNCTION("""COMPUTED_VALUE"""),"Adamstown Hts")</f>
        <v>Adamstown Hts</v>
      </c>
      <c r="D2062" s="5" t="str">
        <f>IFERROR(__xludf.DUMMYFUNCTION("""COMPUTED_VALUE"""),"54 Madison Drive Adamstown Heights NSW 2289")</f>
        <v>54 Madison Drive Adamstown Heights NSW 2289</v>
      </c>
      <c r="E2062" s="25">
        <f>IFERROR(__xludf.DUMMYFUNCTION("""COMPUTED_VALUE"""),45912.0)</f>
        <v>45912</v>
      </c>
      <c r="F2062" s="5">
        <f>IFERROR(__xludf.DUMMYFUNCTION("""COMPUTED_VALUE"""),8.0)</f>
        <v>8</v>
      </c>
      <c r="G2062" s="19" t="str">
        <f>IFERROR(__xludf.DUMMYFUNCTION("""COMPUTED_VALUE"""),"Instant Forms")</f>
        <v>Instant Forms</v>
      </c>
      <c r="H2062" s="19" t="str">
        <f>IFERROR(__xludf.DUMMYFUNCTION("""COMPUTED_VALUE"""),"Karen Rutledge")</f>
        <v>Karen Rutledge</v>
      </c>
      <c r="I2062" s="62"/>
      <c r="J2062" s="19"/>
    </row>
    <row r="2063">
      <c r="A2063" s="19" t="str">
        <f>IFERROR(__xludf.DUMMYFUNCTION("""COMPUTED_VALUE"""),"Rodney Goodwin")</f>
        <v>Rodney Goodwin</v>
      </c>
      <c r="B2063" s="19" t="str">
        <f>IFERROR(__xludf.DUMMYFUNCTION("""COMPUTED_VALUE"""),"QLD")</f>
        <v>QLD</v>
      </c>
      <c r="C2063" s="5" t="str">
        <f>IFERROR(__xludf.DUMMYFUNCTION("""COMPUTED_VALUE"""),"Elermore Vale")</f>
        <v>Elermore Vale</v>
      </c>
      <c r="D2063" s="5" t="str">
        <f>IFERROR(__xludf.DUMMYFUNCTION("""COMPUTED_VALUE"""),"45 Aries Way Elermore Vale NSW 2287")</f>
        <v>45 Aries Way Elermore Vale NSW 2287</v>
      </c>
      <c r="E2063" s="25">
        <f>IFERROR(__xludf.DUMMYFUNCTION("""COMPUTED_VALUE"""),45912.0)</f>
        <v>45912</v>
      </c>
      <c r="F2063" s="5">
        <f>IFERROR(__xludf.DUMMYFUNCTION("""COMPUTED_VALUE"""),8.0)</f>
        <v>8</v>
      </c>
      <c r="G2063" s="19" t="str">
        <f>IFERROR(__xludf.DUMMYFUNCTION("""COMPUTED_VALUE"""),"Instant Forms")</f>
        <v>Instant Forms</v>
      </c>
      <c r="H2063" s="19" t="str">
        <f>IFERROR(__xludf.DUMMYFUNCTION("""COMPUTED_VALUE"""),"Nadines Ewin")</f>
        <v>Nadines Ewin</v>
      </c>
      <c r="I2063" s="62"/>
      <c r="J2063" s="19"/>
    </row>
    <row r="2064">
      <c r="A2064" s="19" t="str">
        <f>IFERROR(__xludf.DUMMYFUNCTION("""COMPUTED_VALUE"""),"Rodney Goodwin")</f>
        <v>Rodney Goodwin</v>
      </c>
      <c r="B2064" s="19" t="str">
        <f>IFERROR(__xludf.DUMMYFUNCTION("""COMPUTED_VALUE"""),"QLD")</f>
        <v>QLD</v>
      </c>
      <c r="C2064" s="5" t="str">
        <f>IFERROR(__xludf.DUMMYFUNCTION("""COMPUTED_VALUE"""),"Elermore vale")</f>
        <v>Elermore vale</v>
      </c>
      <c r="D2064" s="5"/>
      <c r="E2064" s="25">
        <f>IFERROR(__xludf.DUMMYFUNCTION("""COMPUTED_VALUE"""),45912.0)</f>
        <v>45912</v>
      </c>
      <c r="F2064" s="5">
        <f>IFERROR(__xludf.DUMMYFUNCTION("""COMPUTED_VALUE"""),5.0)</f>
        <v>5</v>
      </c>
      <c r="G2064" s="19" t="str">
        <f>IFERROR(__xludf.DUMMYFUNCTION("""COMPUTED_VALUE"""),"Instant Forms")</f>
        <v>Instant Forms</v>
      </c>
      <c r="H2064" s="19" t="str">
        <f>IFERROR(__xludf.DUMMYFUNCTION("""COMPUTED_VALUE"""),"Abby Cable")</f>
        <v>Abby Cable</v>
      </c>
      <c r="I2064" s="62"/>
      <c r="J2064" s="19"/>
    </row>
    <row r="2065">
      <c r="A2065" s="19" t="str">
        <f>IFERROR(__xludf.DUMMYFUNCTION("""COMPUTED_VALUE"""),"Rodney Goodwin")</f>
        <v>Rodney Goodwin</v>
      </c>
      <c r="B2065" s="19" t="str">
        <f>IFERROR(__xludf.DUMMYFUNCTION("""COMPUTED_VALUE"""),"QLD")</f>
        <v>QLD</v>
      </c>
      <c r="C2065" s="5" t="str">
        <f>IFERROR(__xludf.DUMMYFUNCTION("""COMPUTED_VALUE"""),"elermorevale")</f>
        <v>elermorevale</v>
      </c>
      <c r="D2065" s="5"/>
      <c r="E2065" s="25">
        <f>IFERROR(__xludf.DUMMYFUNCTION("""COMPUTED_VALUE"""),45916.0)</f>
        <v>45916</v>
      </c>
      <c r="F2065" s="5">
        <f>IFERROR(__xludf.DUMMYFUNCTION("""COMPUTED_VALUE"""),6.0)</f>
        <v>6</v>
      </c>
      <c r="G2065" s="19" t="str">
        <f>IFERROR(__xludf.DUMMYFUNCTION("""COMPUTED_VALUE"""),"Instant Forms")</f>
        <v>Instant Forms</v>
      </c>
      <c r="H2065" s="19" t="str">
        <f>IFERROR(__xludf.DUMMYFUNCTION("""COMPUTED_VALUE"""),"Wendall Hipwell")</f>
        <v>Wendall Hipwell</v>
      </c>
      <c r="I2065" s="62"/>
      <c r="J2065" s="19"/>
    </row>
    <row r="2066">
      <c r="A2066" s="19" t="str">
        <f>IFERROR(__xludf.DUMMYFUNCTION("""COMPUTED_VALUE"""),"Rodney Goodwin")</f>
        <v>Rodney Goodwin</v>
      </c>
      <c r="B2066" s="19" t="str">
        <f>IFERROR(__xludf.DUMMYFUNCTION("""COMPUTED_VALUE"""),"QLD")</f>
        <v>QLD</v>
      </c>
      <c r="C2066" s="5" t="str">
        <f>IFERROR(__xludf.DUMMYFUNCTION("""COMPUTED_VALUE"""),"New Lambton")</f>
        <v>New Lambton</v>
      </c>
      <c r="D2066" s="5" t="str">
        <f>IFERROR(__xludf.DUMMYFUNCTION("""COMPUTED_VALUE"""),"113 Regent Street New Lambton NSW 2305")</f>
        <v>113 Regent Street New Lambton NSW 2305</v>
      </c>
      <c r="E2066" s="25">
        <f>IFERROR(__xludf.DUMMYFUNCTION("""COMPUTED_VALUE"""),45916.0)</f>
        <v>45916</v>
      </c>
      <c r="F2066" s="5">
        <f>IFERROR(__xludf.DUMMYFUNCTION("""COMPUTED_VALUE"""),8.0)</f>
        <v>8</v>
      </c>
      <c r="G2066" s="19" t="str">
        <f>IFERROR(__xludf.DUMMYFUNCTION("""COMPUTED_VALUE"""),"Instant Forms")</f>
        <v>Instant Forms</v>
      </c>
      <c r="H2066" s="19" t="str">
        <f>IFERROR(__xludf.DUMMYFUNCTION("""COMPUTED_VALUE"""),"Graeme Silver")</f>
        <v>Graeme Silver</v>
      </c>
      <c r="I2066" s="62"/>
      <c r="J2066" s="19"/>
    </row>
    <row r="2067">
      <c r="A2067" s="19" t="str">
        <f>IFERROR(__xludf.DUMMYFUNCTION("""COMPUTED_VALUE"""),"Rodney Goodwin")</f>
        <v>Rodney Goodwin</v>
      </c>
      <c r="B2067" s="19" t="str">
        <f>IFERROR(__xludf.DUMMYFUNCTION("""COMPUTED_VALUE"""),"QLD")</f>
        <v>QLD</v>
      </c>
      <c r="C2067" s="5" t="str">
        <f>IFERROR(__xludf.DUMMYFUNCTION("""COMPUTED_VALUE"""),"New Lambton")</f>
        <v>New Lambton</v>
      </c>
      <c r="D2067" s="5" t="str">
        <f>IFERROR(__xludf.DUMMYFUNCTION("""COMPUTED_VALUE"""),"8 Rex Avenue New Lambton")</f>
        <v>8 Rex Avenue New Lambton</v>
      </c>
      <c r="E2067" s="25">
        <f>IFERROR(__xludf.DUMMYFUNCTION("""COMPUTED_VALUE"""),45916.0)</f>
        <v>45916</v>
      </c>
      <c r="F2067" s="5">
        <f>IFERROR(__xludf.DUMMYFUNCTION("""COMPUTED_VALUE"""),5.0)</f>
        <v>5</v>
      </c>
      <c r="G2067" s="19" t="str">
        <f>IFERROR(__xludf.DUMMYFUNCTION("""COMPUTED_VALUE"""),"Instant Forms")</f>
        <v>Instant Forms</v>
      </c>
      <c r="H2067" s="19"/>
      <c r="I2067" s="62"/>
      <c r="J2067" s="19"/>
    </row>
    <row r="2068">
      <c r="A2068" s="19" t="str">
        <f>IFERROR(__xludf.DUMMYFUNCTION("""COMPUTED_VALUE"""),"Rodney Goodwin")</f>
        <v>Rodney Goodwin</v>
      </c>
      <c r="B2068" s="19" t="str">
        <f>IFERROR(__xludf.DUMMYFUNCTION("""COMPUTED_VALUE"""),"QLD")</f>
        <v>QLD</v>
      </c>
      <c r="C2068" s="5" t="str">
        <f>IFERROR(__xludf.DUMMYFUNCTION("""COMPUTED_VALUE"""),"Adamstown")</f>
        <v>Adamstown</v>
      </c>
      <c r="D2068" s="5"/>
      <c r="E2068" s="25">
        <f>IFERROR(__xludf.DUMMYFUNCTION("""COMPUTED_VALUE"""),45917.0)</f>
        <v>45917</v>
      </c>
      <c r="F2068" s="5">
        <f>IFERROR(__xludf.DUMMYFUNCTION("""COMPUTED_VALUE"""),6.0)</f>
        <v>6</v>
      </c>
      <c r="G2068" s="19" t="str">
        <f>IFERROR(__xludf.DUMMYFUNCTION("""COMPUTED_VALUE"""),"Instant Forms")</f>
        <v>Instant Forms</v>
      </c>
      <c r="H2068" s="19" t="str">
        <f>IFERROR(__xludf.DUMMYFUNCTION("""COMPUTED_VALUE"""),"Sarah Snow")</f>
        <v>Sarah Snow</v>
      </c>
      <c r="I2068" s="62"/>
      <c r="J2068" s="19"/>
    </row>
    <row r="2069">
      <c r="A2069" s="19" t="str">
        <f>IFERROR(__xludf.DUMMYFUNCTION("""COMPUTED_VALUE"""),"Rodney Goodwin")</f>
        <v>Rodney Goodwin</v>
      </c>
      <c r="B2069" s="19" t="str">
        <f>IFERROR(__xludf.DUMMYFUNCTION("""COMPUTED_VALUE"""),"QLD")</f>
        <v>QLD</v>
      </c>
      <c r="C2069" s="5" t="str">
        <f>IFERROR(__xludf.DUMMYFUNCTION("""COMPUTED_VALUE"""),"Merewether")</f>
        <v>Merewether</v>
      </c>
      <c r="D2069" s="5" t="str">
        <f>IFERROR(__xludf.DUMMYFUNCTION("""COMPUTED_VALUE"""),"12 Woodward Street Merewether NSW 2291")</f>
        <v>12 Woodward Street Merewether NSW 2291</v>
      </c>
      <c r="E2069" s="25">
        <f>IFERROR(__xludf.DUMMYFUNCTION("""COMPUTED_VALUE"""),45917.0)</f>
        <v>45917</v>
      </c>
      <c r="F2069" s="5">
        <f>IFERROR(__xludf.DUMMYFUNCTION("""COMPUTED_VALUE"""),8.0)</f>
        <v>8</v>
      </c>
      <c r="G2069" s="19" t="str">
        <f>IFERROR(__xludf.DUMMYFUNCTION("""COMPUTED_VALUE"""),"Instant Forms")</f>
        <v>Instant Forms</v>
      </c>
      <c r="H2069" s="19" t="str">
        <f>IFERROR(__xludf.DUMMYFUNCTION("""COMPUTED_VALUE"""),"Jenny Sprout")</f>
        <v>Jenny Sprout</v>
      </c>
      <c r="I2069" s="62"/>
      <c r="J2069" s="19"/>
    </row>
    <row r="2070">
      <c r="A2070" s="19" t="str">
        <f>IFERROR(__xludf.DUMMYFUNCTION("""COMPUTED_VALUE"""),"Rodney Goodwin")</f>
        <v>Rodney Goodwin</v>
      </c>
      <c r="B2070" s="19" t="str">
        <f>IFERROR(__xludf.DUMMYFUNCTION("""COMPUTED_VALUE"""),"QLD")</f>
        <v>QLD</v>
      </c>
      <c r="C2070" s="5" t="str">
        <f>IFERROR(__xludf.DUMMYFUNCTION("""COMPUTED_VALUE"""),"Maryland")</f>
        <v>Maryland</v>
      </c>
      <c r="D2070" s="5" t="str">
        <f>IFERROR(__xludf.DUMMYFUNCTION("""COMPUTED_VALUE"""),"45 Beauford Avenue Maryland NSW 2287")</f>
        <v>45 Beauford Avenue Maryland NSW 2287</v>
      </c>
      <c r="E2070" s="25">
        <f>IFERROR(__xludf.DUMMYFUNCTION("""COMPUTED_VALUE"""),45917.0)</f>
        <v>45917</v>
      </c>
      <c r="F2070" s="5">
        <f>IFERROR(__xludf.DUMMYFUNCTION("""COMPUTED_VALUE"""),8.0)</f>
        <v>8</v>
      </c>
      <c r="G2070" s="19" t="str">
        <f>IFERROR(__xludf.DUMMYFUNCTION("""COMPUTED_VALUE"""),"Instant Forms")</f>
        <v>Instant Forms</v>
      </c>
      <c r="H2070" s="19" t="str">
        <f>IFERROR(__xludf.DUMMYFUNCTION("""COMPUTED_VALUE"""),"Michael Styles")</f>
        <v>Michael Styles</v>
      </c>
      <c r="I2070" s="62"/>
      <c r="J2070" s="19"/>
    </row>
    <row r="2071">
      <c r="A2071" s="19" t="str">
        <f>IFERROR(__xludf.DUMMYFUNCTION("""COMPUTED_VALUE"""),"Rodney Goodwin")</f>
        <v>Rodney Goodwin</v>
      </c>
      <c r="B2071" s="19" t="str">
        <f>IFERROR(__xludf.DUMMYFUNCTION("""COMPUTED_VALUE"""),"QLD")</f>
        <v>QLD</v>
      </c>
      <c r="C2071" s="5" t="str">
        <f>IFERROR(__xludf.DUMMYFUNCTION("""COMPUTED_VALUE"""),"Kahibah")</f>
        <v>Kahibah</v>
      </c>
      <c r="D2071" s="5" t="str">
        <f>IFERROR(__xludf.DUMMYFUNCTION("""COMPUTED_VALUE"""),"73 Burwood Street Kahibah NSW 2290")</f>
        <v>73 Burwood Street Kahibah NSW 2290</v>
      </c>
      <c r="E2071" s="25">
        <f>IFERROR(__xludf.DUMMYFUNCTION("""COMPUTED_VALUE"""),45921.0)</f>
        <v>45921</v>
      </c>
      <c r="F2071" s="5">
        <f>IFERROR(__xludf.DUMMYFUNCTION("""COMPUTED_VALUE"""),6.0)</f>
        <v>6</v>
      </c>
      <c r="G2071" s="19" t="str">
        <f>IFERROR(__xludf.DUMMYFUNCTION("""COMPUTED_VALUE"""),"Instant Forms")</f>
        <v>Instant Forms</v>
      </c>
      <c r="H2071" s="19" t="str">
        <f>IFERROR(__xludf.DUMMYFUNCTION("""COMPUTED_VALUE"""),"Sam Geale")</f>
        <v>Sam Geale</v>
      </c>
      <c r="I2071" s="62"/>
      <c r="J2071" s="19"/>
    </row>
    <row r="2072">
      <c r="A2072" s="19" t="str">
        <f>IFERROR(__xludf.DUMMYFUNCTION("""COMPUTED_VALUE"""),"Rodney Goodwin")</f>
        <v>Rodney Goodwin</v>
      </c>
      <c r="B2072" s="19" t="str">
        <f>IFERROR(__xludf.DUMMYFUNCTION("""COMPUTED_VALUE"""),"QLD")</f>
        <v>QLD</v>
      </c>
      <c r="C2072" s="5" t="str">
        <f>IFERROR(__xludf.DUMMYFUNCTION("""COMPUTED_VALUE"""),"New lambton")</f>
        <v>New lambton</v>
      </c>
      <c r="D2072" s="5" t="str">
        <f>IFERROR(__xludf.DUMMYFUNCTION("""COMPUTED_VALUE"""),"14 Curzon Road New Lambton NSW 2305")</f>
        <v>14 Curzon Road New Lambton NSW 2305</v>
      </c>
      <c r="E2072" s="25">
        <f>IFERROR(__xludf.DUMMYFUNCTION("""COMPUTED_VALUE"""),45922.0)</f>
        <v>45922</v>
      </c>
      <c r="F2072" s="5">
        <f>IFERROR(__xludf.DUMMYFUNCTION("""COMPUTED_VALUE"""),6.0)</f>
        <v>6</v>
      </c>
      <c r="G2072" s="19" t="str">
        <f>IFERROR(__xludf.DUMMYFUNCTION("""COMPUTED_VALUE"""),"Instant Forms")</f>
        <v>Instant Forms</v>
      </c>
      <c r="H2072" s="19" t="str">
        <f>IFERROR(__xludf.DUMMYFUNCTION("""COMPUTED_VALUE"""),"Steve Carter")</f>
        <v>Steve Carter</v>
      </c>
      <c r="I2072" s="62"/>
      <c r="J2072" s="19"/>
    </row>
    <row r="2073">
      <c r="A2073" s="19" t="str">
        <f>IFERROR(__xludf.DUMMYFUNCTION("""COMPUTED_VALUE"""),"Rodney Goodwin")</f>
        <v>Rodney Goodwin</v>
      </c>
      <c r="B2073" s="19" t="str">
        <f>IFERROR(__xludf.DUMMYFUNCTION("""COMPUTED_VALUE"""),"QLD")</f>
        <v>QLD</v>
      </c>
      <c r="C2073" s="5" t="str">
        <f>IFERROR(__xludf.DUMMYFUNCTION("""COMPUTED_VALUE"""),"Merewether")</f>
        <v>Merewether</v>
      </c>
      <c r="D2073" s="5" t="str">
        <f>IFERROR(__xludf.DUMMYFUNCTION("""COMPUTED_VALUE"""),"119 Henry Street Merewether NSW 2291")</f>
        <v>119 Henry Street Merewether NSW 2291</v>
      </c>
      <c r="E2073" s="25">
        <f>IFERROR(__xludf.DUMMYFUNCTION("""COMPUTED_VALUE"""),45928.0)</f>
        <v>45928</v>
      </c>
      <c r="F2073" s="5" t="str">
        <f>IFERROR(__xludf.DUMMYFUNCTION("""COMPUTED_VALUE"""),"Featured")</f>
        <v>Featured</v>
      </c>
      <c r="G2073" s="19" t="str">
        <f>IFERROR(__xludf.DUMMYFUNCTION("""COMPUTED_VALUE"""),"Commission Comparison")</f>
        <v>Commission Comparison</v>
      </c>
      <c r="H2073" s="19"/>
      <c r="I2073" s="62"/>
      <c r="J2073" s="19"/>
    </row>
    <row r="2074">
      <c r="A2074" s="19" t="str">
        <f>IFERROR(__xludf.DUMMYFUNCTION("""COMPUTED_VALUE"""),"")</f>
        <v/>
      </c>
      <c r="B2074" s="19" t="str">
        <f>IFERROR(__xludf.DUMMYFUNCTION("""COMPUTED_VALUE"""),"")</f>
        <v/>
      </c>
      <c r="C2074" s="5" t="str">
        <f>IFERROR(__xludf.DUMMYFUNCTION("""COMPUTED_VALUE"""),"")</f>
        <v/>
      </c>
      <c r="D2074" s="5" t="str">
        <f>IFERROR(__xludf.DUMMYFUNCTION("""COMPUTED_VALUE"""),"")</f>
        <v/>
      </c>
      <c r="E2074" s="5" t="str">
        <f>IFERROR(__xludf.DUMMYFUNCTION("""COMPUTED_VALUE"""),"")</f>
        <v/>
      </c>
      <c r="F2074" s="5" t="str">
        <f>IFERROR(__xludf.DUMMYFUNCTION("""COMPUTED_VALUE"""),"")</f>
        <v/>
      </c>
      <c r="G2074" s="19" t="str">
        <f>IFERROR(__xludf.DUMMYFUNCTION("""COMPUTED_VALUE"""),"")</f>
        <v/>
      </c>
      <c r="H2074" s="19" t="str">
        <f>IFERROR(__xludf.DUMMYFUNCTION("""COMPUTED_VALUE"""),"")</f>
        <v/>
      </c>
      <c r="I2074" s="62" t="str">
        <f>IFERROR(__xludf.DUMMYFUNCTION("""COMPUTED_VALUE"""),"")</f>
        <v/>
      </c>
      <c r="J2074" s="19" t="str">
        <f>IFERROR(__xludf.DUMMYFUNCTION("""COMPUTED_VALUE"""),"")</f>
        <v/>
      </c>
    </row>
    <row r="2075">
      <c r="A2075" s="19" t="str">
        <f>IFERROR(__xludf.DUMMYFUNCTION("""COMPUTED_VALUE"""),"")</f>
        <v/>
      </c>
      <c r="B2075" s="19" t="str">
        <f>IFERROR(__xludf.DUMMYFUNCTION("""COMPUTED_VALUE"""),"")</f>
        <v/>
      </c>
      <c r="C2075" s="5" t="str">
        <f>IFERROR(__xludf.DUMMYFUNCTION("""COMPUTED_VALUE"""),"")</f>
        <v/>
      </c>
      <c r="D2075" s="5" t="str">
        <f>IFERROR(__xludf.DUMMYFUNCTION("""COMPUTED_VALUE"""),"")</f>
        <v/>
      </c>
      <c r="E2075" s="5" t="str">
        <f>IFERROR(__xludf.DUMMYFUNCTION("""COMPUTED_VALUE"""),"")</f>
        <v/>
      </c>
      <c r="F2075" s="5" t="str">
        <f>IFERROR(__xludf.DUMMYFUNCTION("""COMPUTED_VALUE"""),"")</f>
        <v/>
      </c>
      <c r="G2075" s="19" t="str">
        <f>IFERROR(__xludf.DUMMYFUNCTION("""COMPUTED_VALUE"""),"")</f>
        <v/>
      </c>
      <c r="H2075" s="19" t="str">
        <f>IFERROR(__xludf.DUMMYFUNCTION("""COMPUTED_VALUE"""),"")</f>
        <v/>
      </c>
      <c r="I2075" s="62" t="str">
        <f>IFERROR(__xludf.DUMMYFUNCTION("""COMPUTED_VALUE"""),"")</f>
        <v/>
      </c>
      <c r="J2075" s="19" t="str">
        <f>IFERROR(__xludf.DUMMYFUNCTION("""COMPUTED_VALUE"""),"")</f>
        <v/>
      </c>
    </row>
    <row r="2076">
      <c r="A2076" s="19" t="str">
        <f>IFERROR(__xludf.DUMMYFUNCTION("""COMPUTED_VALUE"""),"Ryan Klooger")</f>
        <v>Ryan Klooger</v>
      </c>
      <c r="B2076" s="19" t="str">
        <f>IFERROR(__xludf.DUMMYFUNCTION("""COMPUTED_VALUE"""),"VIC")</f>
        <v>VIC</v>
      </c>
      <c r="C2076" s="5" t="str">
        <f>IFERROR(__xludf.DUMMYFUNCTION("""COMPUTED_VALUE"""),"Bentleigh East")</f>
        <v>Bentleigh East</v>
      </c>
      <c r="D2076" s="5" t="str">
        <f>IFERROR(__xludf.DUMMYFUNCTION("""COMPUTED_VALUE"""),"14 Niki Court, Bentleigh East, VIC, 3165, Australia")</f>
        <v>14 Niki Court, Bentleigh East, VIC, 3165, Australia</v>
      </c>
      <c r="E2076" s="5" t="str">
        <f>IFERROR(__xludf.DUMMYFUNCTION("""COMPUTED_VALUE"""),"21/05/2025")</f>
        <v>21/05/2025</v>
      </c>
      <c r="F2076" s="5" t="str">
        <f>IFERROR(__xludf.DUMMYFUNCTION("""COMPUTED_VALUE"""),"Featured")</f>
        <v>Featured</v>
      </c>
      <c r="G2076" s="19"/>
      <c r="H2076" s="19"/>
      <c r="I2076" s="62"/>
      <c r="J2076" s="19"/>
    </row>
    <row r="2077">
      <c r="A2077" s="19" t="str">
        <f>IFERROR(__xludf.DUMMYFUNCTION("""COMPUTED_VALUE"""),"Ryan Klooger")</f>
        <v>Ryan Klooger</v>
      </c>
      <c r="B2077" s="19" t="str">
        <f>IFERROR(__xludf.DUMMYFUNCTION("""COMPUTED_VALUE"""),"VIC")</f>
        <v>VIC</v>
      </c>
      <c r="C2077" s="5">
        <f>IFERROR(__xludf.DUMMYFUNCTION("""COMPUTED_VALUE"""),3162.0)</f>
        <v>3162</v>
      </c>
      <c r="D2077" s="5"/>
      <c r="E2077" s="63">
        <f>IFERROR(__xludf.DUMMYFUNCTION("""COMPUTED_VALUE"""),45850.7865162037)</f>
        <v>45850.78652</v>
      </c>
      <c r="F2077" s="5" t="str">
        <f>IFERROR(__xludf.DUMMYFUNCTION("""COMPUTED_VALUE"""),"Free")</f>
        <v>Free</v>
      </c>
      <c r="G2077" s="19" t="str">
        <f>IFERROR(__xludf.DUMMYFUNCTION("""COMPUTED_VALUE"""),"Instant Forms")</f>
        <v>Instant Forms</v>
      </c>
      <c r="H2077" s="19"/>
      <c r="I2077" s="62"/>
      <c r="J2077" s="19"/>
    </row>
    <row r="2078">
      <c r="A2078" s="19" t="str">
        <f>IFERROR(__xludf.DUMMYFUNCTION("""COMPUTED_VALUE"""),"Ryan Klooger")</f>
        <v>Ryan Klooger</v>
      </c>
      <c r="B2078" s="19" t="str">
        <f>IFERROR(__xludf.DUMMYFUNCTION("""COMPUTED_VALUE"""),"VIC")</f>
        <v>VIC</v>
      </c>
      <c r="C2078" s="5" t="str">
        <f>IFERROR(__xludf.DUMMYFUNCTION("""COMPUTED_VALUE"""),"Hampton East")</f>
        <v>Hampton East</v>
      </c>
      <c r="D2078" s="5" t="str">
        <f>IFERROR(__xludf.DUMMYFUNCTION("""COMPUTED_VALUE"""),"8 Wickham Road HAMPTON EAST VIC 3188")</f>
        <v>8 Wickham Road HAMPTON EAST VIC 3188</v>
      </c>
      <c r="E2078" s="25">
        <f>IFERROR(__xludf.DUMMYFUNCTION("""COMPUTED_VALUE"""),45917.0)</f>
        <v>45917</v>
      </c>
      <c r="F2078" s="5">
        <f>IFERROR(__xludf.DUMMYFUNCTION("""COMPUTED_VALUE"""),8.0)</f>
        <v>8</v>
      </c>
      <c r="G2078" s="19" t="str">
        <f>IFERROR(__xludf.DUMMYFUNCTION("""COMPUTED_VALUE"""),"Instant Forms")</f>
        <v>Instant Forms</v>
      </c>
      <c r="H2078" s="19" t="str">
        <f>IFERROR(__xludf.DUMMYFUNCTION("""COMPUTED_VALUE"""),"Melanie Bray")</f>
        <v>Melanie Bray</v>
      </c>
      <c r="I2078" s="62"/>
      <c r="J2078" s="19"/>
    </row>
    <row r="2079">
      <c r="A2079" s="19" t="str">
        <f>IFERROR(__xludf.DUMMYFUNCTION("""COMPUTED_VALUE"""),"Ryan Klooger")</f>
        <v>Ryan Klooger</v>
      </c>
      <c r="B2079" s="19" t="str">
        <f>IFERROR(__xludf.DUMMYFUNCTION("""COMPUTED_VALUE"""),"VIC")</f>
        <v>VIC</v>
      </c>
      <c r="C2079" s="5" t="str">
        <f>IFERROR(__xludf.DUMMYFUNCTION("""COMPUTED_VALUE"""),"McKinnon")</f>
        <v>McKinnon</v>
      </c>
      <c r="D2079" s="5"/>
      <c r="E2079" s="25">
        <f>IFERROR(__xludf.DUMMYFUNCTION("""COMPUTED_VALUE"""),45917.0)</f>
        <v>45917</v>
      </c>
      <c r="F2079" s="5">
        <f>IFERROR(__xludf.DUMMYFUNCTION("""COMPUTED_VALUE"""),5.0)</f>
        <v>5</v>
      </c>
      <c r="G2079" s="19" t="str">
        <f>IFERROR(__xludf.DUMMYFUNCTION("""COMPUTED_VALUE"""),"Instant Forms")</f>
        <v>Instant Forms</v>
      </c>
      <c r="H2079" s="19" t="str">
        <f>IFERROR(__xludf.DUMMYFUNCTION("""COMPUTED_VALUE"""),"Mark")</f>
        <v>Mark</v>
      </c>
      <c r="I2079" s="62"/>
      <c r="J2079" s="19"/>
    </row>
    <row r="2080">
      <c r="A2080" s="19" t="str">
        <f>IFERROR(__xludf.DUMMYFUNCTION("""COMPUTED_VALUE"""),"")</f>
        <v/>
      </c>
      <c r="B2080" s="19" t="str">
        <f>IFERROR(__xludf.DUMMYFUNCTION("""COMPUTED_VALUE"""),"")</f>
        <v/>
      </c>
      <c r="C2080" s="5" t="str">
        <f>IFERROR(__xludf.DUMMYFUNCTION("""COMPUTED_VALUE"""),"")</f>
        <v/>
      </c>
      <c r="D2080" s="5" t="str">
        <f>IFERROR(__xludf.DUMMYFUNCTION("""COMPUTED_VALUE"""),"")</f>
        <v/>
      </c>
      <c r="E2080" s="5" t="str">
        <f>IFERROR(__xludf.DUMMYFUNCTION("""COMPUTED_VALUE"""),"")</f>
        <v/>
      </c>
      <c r="F2080" s="5" t="str">
        <f>IFERROR(__xludf.DUMMYFUNCTION("""COMPUTED_VALUE"""),"")</f>
        <v/>
      </c>
      <c r="G2080" s="19" t="str">
        <f>IFERROR(__xludf.DUMMYFUNCTION("""COMPUTED_VALUE"""),"")</f>
        <v/>
      </c>
      <c r="H2080" s="19" t="str">
        <f>IFERROR(__xludf.DUMMYFUNCTION("""COMPUTED_VALUE"""),"")</f>
        <v/>
      </c>
      <c r="I2080" s="62" t="str">
        <f>IFERROR(__xludf.DUMMYFUNCTION("""COMPUTED_VALUE"""),"")</f>
        <v/>
      </c>
      <c r="J2080" s="19" t="str">
        <f>IFERROR(__xludf.DUMMYFUNCTION("""COMPUTED_VALUE"""),"")</f>
        <v/>
      </c>
    </row>
    <row r="2081">
      <c r="A2081" s="19" t="str">
        <f>IFERROR(__xludf.DUMMYFUNCTION("""COMPUTED_VALUE"""),"")</f>
        <v/>
      </c>
      <c r="B2081" s="19" t="str">
        <f>IFERROR(__xludf.DUMMYFUNCTION("""COMPUTED_VALUE"""),"")</f>
        <v/>
      </c>
      <c r="C2081" s="5" t="str">
        <f>IFERROR(__xludf.DUMMYFUNCTION("""COMPUTED_VALUE"""),"")</f>
        <v/>
      </c>
      <c r="D2081" s="5" t="str">
        <f>IFERROR(__xludf.DUMMYFUNCTION("""COMPUTED_VALUE"""),"")</f>
        <v/>
      </c>
      <c r="E2081" s="5" t="str">
        <f>IFERROR(__xludf.DUMMYFUNCTION("""COMPUTED_VALUE"""),"")</f>
        <v/>
      </c>
      <c r="F2081" s="5" t="str">
        <f>IFERROR(__xludf.DUMMYFUNCTION("""COMPUTED_VALUE"""),"")</f>
        <v/>
      </c>
      <c r="G2081" s="19" t="str">
        <f>IFERROR(__xludf.DUMMYFUNCTION("""COMPUTED_VALUE"""),"")</f>
        <v/>
      </c>
      <c r="H2081" s="19" t="str">
        <f>IFERROR(__xludf.DUMMYFUNCTION("""COMPUTED_VALUE"""),"")</f>
        <v/>
      </c>
      <c r="I2081" s="62" t="str">
        <f>IFERROR(__xludf.DUMMYFUNCTION("""COMPUTED_VALUE"""),"")</f>
        <v/>
      </c>
      <c r="J2081" s="19" t="str">
        <f>IFERROR(__xludf.DUMMYFUNCTION("""COMPUTED_VALUE"""),"")</f>
        <v/>
      </c>
    </row>
    <row r="2082">
      <c r="A2082" s="19" t="str">
        <f>IFERROR(__xludf.DUMMYFUNCTION("""COMPUTED_VALUE"""),"Sam Holt")</f>
        <v>Sam Holt</v>
      </c>
      <c r="B2082" s="19" t="str">
        <f>IFERROR(__xludf.DUMMYFUNCTION("""COMPUTED_VALUE"""),"QLD")</f>
        <v>QLD</v>
      </c>
      <c r="C2082" s="5" t="str">
        <f>IFERROR(__xludf.DUMMYFUNCTION("""COMPUTED_VALUE"""),"atherton")</f>
        <v>atherton</v>
      </c>
      <c r="D2082" s="5" t="str">
        <f>IFERROR(__xludf.DUMMYFUNCTION("""COMPUTED_VALUE"""),"25 Putt Street Atherton QLD 4883")</f>
        <v>25 Putt Street Atherton QLD 4883</v>
      </c>
      <c r="E2082" s="25">
        <f>IFERROR(__xludf.DUMMYFUNCTION("""COMPUTED_VALUE"""),45903.0)</f>
        <v>45903</v>
      </c>
      <c r="F2082" s="5" t="str">
        <f>IFERROR(__xludf.DUMMYFUNCTION("""COMPUTED_VALUE"""),"Featured")</f>
        <v>Featured</v>
      </c>
      <c r="G2082" s="19" t="str">
        <f>IFERROR(__xludf.DUMMYFUNCTION("""COMPUTED_VALUE"""),"Instant Forms")</f>
        <v>Instant Forms</v>
      </c>
      <c r="H2082" s="19"/>
      <c r="I2082" s="62"/>
      <c r="J2082" s="19"/>
    </row>
    <row r="2083">
      <c r="A2083" s="19" t="str">
        <f>IFERROR(__xludf.DUMMYFUNCTION("""COMPUTED_VALUE"""),"Sam Holt")</f>
        <v>Sam Holt</v>
      </c>
      <c r="B2083" s="19" t="str">
        <f>IFERROR(__xludf.DUMMYFUNCTION("""COMPUTED_VALUE"""),"QLD")</f>
        <v>QLD</v>
      </c>
      <c r="C2083" s="5" t="str">
        <f>IFERROR(__xludf.DUMMYFUNCTION("""COMPUTED_VALUE"""),"mooroobool")</f>
        <v>mooroobool</v>
      </c>
      <c r="D2083" s="5" t="str">
        <f>IFERROR(__xludf.DUMMYFUNCTION("""COMPUTED_VALUE"""),"77/101-109 Callum Street Mooroobool QLD 4870")</f>
        <v>77/101-109 Callum Street Mooroobool QLD 4870</v>
      </c>
      <c r="E2083" s="25">
        <f>IFERROR(__xludf.DUMMYFUNCTION("""COMPUTED_VALUE"""),45904.0)</f>
        <v>45904</v>
      </c>
      <c r="F2083" s="5" t="str">
        <f>IFERROR(__xludf.DUMMYFUNCTION("""COMPUTED_VALUE"""),"Featured")</f>
        <v>Featured</v>
      </c>
      <c r="G2083" s="19" t="str">
        <f>IFERROR(__xludf.DUMMYFUNCTION("""COMPUTED_VALUE"""),"Instant Forms")</f>
        <v>Instant Forms</v>
      </c>
      <c r="H2083" s="19"/>
      <c r="I2083" s="62"/>
      <c r="J2083" s="19"/>
    </row>
    <row r="2084">
      <c r="A2084" s="19" t="str">
        <f>IFERROR(__xludf.DUMMYFUNCTION("""COMPUTED_VALUE"""),"Sam Holt")</f>
        <v>Sam Holt</v>
      </c>
      <c r="B2084" s="19" t="str">
        <f>IFERROR(__xludf.DUMMYFUNCTION("""COMPUTED_VALUE"""),"QLD")</f>
        <v>QLD</v>
      </c>
      <c r="C2084" s="5" t="str">
        <f>IFERROR(__xludf.DUMMYFUNCTION("""COMPUTED_VALUE"""),"cairns")</f>
        <v>cairns</v>
      </c>
      <c r="D2084" s="5" t="str">
        <f>IFERROR(__xludf.DUMMYFUNCTION("""COMPUTED_VALUE"""),"5 Strike Avenue MOOROOBOOL QLD 4870")</f>
        <v>5 Strike Avenue MOOROOBOOL QLD 4870</v>
      </c>
      <c r="E2084" s="25">
        <f>IFERROR(__xludf.DUMMYFUNCTION("""COMPUTED_VALUE"""),45904.0)</f>
        <v>45904</v>
      </c>
      <c r="F2084" s="5" t="str">
        <f>IFERROR(__xludf.DUMMYFUNCTION("""COMPUTED_VALUE"""),"Featured")</f>
        <v>Featured</v>
      </c>
      <c r="G2084" s="19" t="str">
        <f>IFERROR(__xludf.DUMMYFUNCTION("""COMPUTED_VALUE"""),"Instant Forms")</f>
        <v>Instant Forms</v>
      </c>
      <c r="H2084" s="19"/>
      <c r="I2084" s="62"/>
      <c r="J2084" s="19"/>
    </row>
    <row r="2085">
      <c r="A2085" s="19" t="str">
        <f>IFERROR(__xludf.DUMMYFUNCTION("""COMPUTED_VALUE"""),"Sam Holt")</f>
        <v>Sam Holt</v>
      </c>
      <c r="B2085" s="19" t="str">
        <f>IFERROR(__xludf.DUMMYFUNCTION("""COMPUTED_VALUE"""),"QLD")</f>
        <v>QLD</v>
      </c>
      <c r="C2085" s="5" t="str">
        <f>IFERROR(__xludf.DUMMYFUNCTION("""COMPUTED_VALUE"""),"Goldsborough")</f>
        <v>Goldsborough</v>
      </c>
      <c r="D2085" s="5" t="str">
        <f>IFERROR(__xludf.DUMMYFUNCTION("""COMPUTED_VALUE"""),"13 Prospector Close Goldsborough QLD 4865")</f>
        <v>13 Prospector Close Goldsborough QLD 4865</v>
      </c>
      <c r="E2085" s="25">
        <f>IFERROR(__xludf.DUMMYFUNCTION("""COMPUTED_VALUE"""),45904.0)</f>
        <v>45904</v>
      </c>
      <c r="F2085" s="5" t="str">
        <f>IFERROR(__xludf.DUMMYFUNCTION("""COMPUTED_VALUE"""),"Featured")</f>
        <v>Featured</v>
      </c>
      <c r="G2085" s="19" t="str">
        <f>IFERROR(__xludf.DUMMYFUNCTION("""COMPUTED_VALUE"""),"Instant Forms")</f>
        <v>Instant Forms</v>
      </c>
      <c r="H2085" s="19"/>
      <c r="I2085" s="62"/>
      <c r="J2085" s="19"/>
    </row>
    <row r="2086">
      <c r="A2086" s="19" t="str">
        <f>IFERROR(__xludf.DUMMYFUNCTION("""COMPUTED_VALUE"""),"Sam Holt")</f>
        <v>Sam Holt</v>
      </c>
      <c r="B2086" s="19" t="str">
        <f>IFERROR(__xludf.DUMMYFUNCTION("""COMPUTED_VALUE"""),"QLD")</f>
        <v>QLD</v>
      </c>
      <c r="C2086" s="5" t="str">
        <f>IFERROR(__xludf.DUMMYFUNCTION("""COMPUTED_VALUE"""),"mt sheridan")</f>
        <v>mt sheridan</v>
      </c>
      <c r="D2086" s="5" t="str">
        <f>IFERROR(__xludf.DUMMYFUNCTION("""COMPUTED_VALUE"""),"12 Coolamon Terrace Mount Sheridan QLD 4868")</f>
        <v>12 Coolamon Terrace Mount Sheridan QLD 4868</v>
      </c>
      <c r="E2086" s="25">
        <f>IFERROR(__xludf.DUMMYFUNCTION("""COMPUTED_VALUE"""),45904.0)</f>
        <v>45904</v>
      </c>
      <c r="F2086" s="5" t="str">
        <f>IFERROR(__xludf.DUMMYFUNCTION("""COMPUTED_VALUE"""),"Featured")</f>
        <v>Featured</v>
      </c>
      <c r="G2086" s="19" t="str">
        <f>IFERROR(__xludf.DUMMYFUNCTION("""COMPUTED_VALUE"""),"Instant Forms")</f>
        <v>Instant Forms</v>
      </c>
      <c r="H2086" s="19"/>
      <c r="I2086" s="62"/>
      <c r="J2086" s="19"/>
    </row>
    <row r="2087">
      <c r="A2087" s="19" t="str">
        <f>IFERROR(__xludf.DUMMYFUNCTION("""COMPUTED_VALUE"""),"Sam Holt")</f>
        <v>Sam Holt</v>
      </c>
      <c r="B2087" s="19" t="str">
        <f>IFERROR(__xludf.DUMMYFUNCTION("""COMPUTED_VALUE"""),"QLD")</f>
        <v>QLD</v>
      </c>
      <c r="C2087" s="5" t="str">
        <f>IFERROR(__xludf.DUMMYFUNCTION("""COMPUTED_VALUE"""),"Gordonvale")</f>
        <v>Gordonvale</v>
      </c>
      <c r="D2087" s="5" t="str">
        <f>IFERROR(__xludf.DUMMYFUNCTION("""COMPUTED_VALUE"""),"15-21 Mercy Close Gordonvale QLD 4865")</f>
        <v>15-21 Mercy Close Gordonvale QLD 4865</v>
      </c>
      <c r="E2087" s="25">
        <f>IFERROR(__xludf.DUMMYFUNCTION("""COMPUTED_VALUE"""),45904.0)</f>
        <v>45904</v>
      </c>
      <c r="F2087" s="5" t="str">
        <f>IFERROR(__xludf.DUMMYFUNCTION("""COMPUTED_VALUE"""),"Featured")</f>
        <v>Featured</v>
      </c>
      <c r="G2087" s="19" t="str">
        <f>IFERROR(__xludf.DUMMYFUNCTION("""COMPUTED_VALUE"""),"Instant Forms")</f>
        <v>Instant Forms</v>
      </c>
      <c r="H2087" s="19"/>
      <c r="I2087" s="62"/>
      <c r="J2087" s="19"/>
    </row>
    <row r="2088">
      <c r="A2088" s="19" t="str">
        <f>IFERROR(__xludf.DUMMYFUNCTION("""COMPUTED_VALUE"""),"Sam Holt")</f>
        <v>Sam Holt</v>
      </c>
      <c r="B2088" s="19" t="str">
        <f>IFERROR(__xludf.DUMMYFUNCTION("""COMPUTED_VALUE"""),"QLD")</f>
        <v>QLD</v>
      </c>
      <c r="C2088" s="5" t="str">
        <f>IFERROR(__xludf.DUMMYFUNCTION("""COMPUTED_VALUE"""),"Mooroobool")</f>
        <v>Mooroobool</v>
      </c>
      <c r="D2088" s="5" t="str">
        <f>IFERROR(__xludf.DUMMYFUNCTION("""COMPUTED_VALUE"""),"6/16 Ingham Court Mooroobool QLD 4870")</f>
        <v>6/16 Ingham Court Mooroobool QLD 4870</v>
      </c>
      <c r="E2088" s="25">
        <f>IFERROR(__xludf.DUMMYFUNCTION("""COMPUTED_VALUE"""),45905.0)</f>
        <v>45905</v>
      </c>
      <c r="F2088" s="5" t="str">
        <f>IFERROR(__xludf.DUMMYFUNCTION("""COMPUTED_VALUE"""),"Featured")</f>
        <v>Featured</v>
      </c>
      <c r="G2088" s="19" t="str">
        <f>IFERROR(__xludf.DUMMYFUNCTION("""COMPUTED_VALUE"""),"Instant Forms")</f>
        <v>Instant Forms</v>
      </c>
      <c r="H2088" s="19"/>
      <c r="I2088" s="62"/>
      <c r="J2088" s="19"/>
    </row>
    <row r="2089">
      <c r="A2089" s="19" t="str">
        <f>IFERROR(__xludf.DUMMYFUNCTION("""COMPUTED_VALUE"""),"Sam Holt")</f>
        <v>Sam Holt</v>
      </c>
      <c r="B2089" s="19" t="str">
        <f>IFERROR(__xludf.DUMMYFUNCTION("""COMPUTED_VALUE"""),"QLD")</f>
        <v>QLD</v>
      </c>
      <c r="C2089" s="5" t="str">
        <f>IFERROR(__xludf.DUMMYFUNCTION("""COMPUTED_VALUE"""),"Manoora")</f>
        <v>Manoora</v>
      </c>
      <c r="D2089" s="5" t="str">
        <f>IFERROR(__xludf.DUMMYFUNCTION("""COMPUTED_VALUE"""),"74 Macilwraith Street Manoora QLD 4870")</f>
        <v>74 Macilwraith Street Manoora QLD 4870</v>
      </c>
      <c r="E2089" s="25">
        <f>IFERROR(__xludf.DUMMYFUNCTION("""COMPUTED_VALUE"""),45906.0)</f>
        <v>45906</v>
      </c>
      <c r="F2089" s="5" t="str">
        <f>IFERROR(__xludf.DUMMYFUNCTION("""COMPUTED_VALUE"""),"Featured")</f>
        <v>Featured</v>
      </c>
      <c r="G2089" s="19" t="str">
        <f>IFERROR(__xludf.DUMMYFUNCTION("""COMPUTED_VALUE"""),"Instant Forms")</f>
        <v>Instant Forms</v>
      </c>
      <c r="H2089" s="19"/>
      <c r="I2089" s="62"/>
      <c r="J2089" s="19"/>
    </row>
    <row r="2090">
      <c r="A2090" s="19" t="str">
        <f>IFERROR(__xludf.DUMMYFUNCTION("""COMPUTED_VALUE"""),"Sam Holt")</f>
        <v>Sam Holt</v>
      </c>
      <c r="B2090" s="19" t="str">
        <f>IFERROR(__xludf.DUMMYFUNCTION("""COMPUTED_VALUE"""),"QLD")</f>
        <v>QLD</v>
      </c>
      <c r="C2090" s="5" t="str">
        <f>IFERROR(__xludf.DUMMYFUNCTION("""COMPUTED_VALUE"""),"Mooroobool")</f>
        <v>Mooroobool</v>
      </c>
      <c r="D2090" s="5" t="str">
        <f>IFERROR(__xludf.DUMMYFUNCTION("""COMPUTED_VALUE"""),"17 Minerva Avenue Mooroobool QLD 4870")</f>
        <v>17 Minerva Avenue Mooroobool QLD 4870</v>
      </c>
      <c r="E2090" s="25">
        <f>IFERROR(__xludf.DUMMYFUNCTION("""COMPUTED_VALUE"""),45906.0)</f>
        <v>45906</v>
      </c>
      <c r="F2090" s="5" t="str">
        <f>IFERROR(__xludf.DUMMYFUNCTION("""COMPUTED_VALUE"""),"Featured")</f>
        <v>Featured</v>
      </c>
      <c r="G2090" s="19" t="str">
        <f>IFERROR(__xludf.DUMMYFUNCTION("""COMPUTED_VALUE"""),"Instant Forms")</f>
        <v>Instant Forms</v>
      </c>
      <c r="H2090" s="19"/>
      <c r="I2090" s="62"/>
      <c r="J2090" s="19"/>
    </row>
    <row r="2091">
      <c r="A2091" s="19" t="str">
        <f>IFERROR(__xludf.DUMMYFUNCTION("""COMPUTED_VALUE"""),"Sam Holt")</f>
        <v>Sam Holt</v>
      </c>
      <c r="B2091" s="19" t="str">
        <f>IFERROR(__xludf.DUMMYFUNCTION("""COMPUTED_VALUE"""),"QLD")</f>
        <v>QLD</v>
      </c>
      <c r="C2091" s="5" t="str">
        <f>IFERROR(__xludf.DUMMYFUNCTION("""COMPUTED_VALUE"""),"Cairns")</f>
        <v>Cairns</v>
      </c>
      <c r="D2091" s="5" t="str">
        <f>IFERROR(__xludf.DUMMYFUNCTION("""COMPUTED_VALUE"""),"3/327-329 Lake Street Cairns North QLD 4870")</f>
        <v>3/327-329 Lake Street Cairns North QLD 4870</v>
      </c>
      <c r="E2091" s="25">
        <f>IFERROR(__xludf.DUMMYFUNCTION("""COMPUTED_VALUE"""),45906.0)</f>
        <v>45906</v>
      </c>
      <c r="F2091" s="5" t="str">
        <f>IFERROR(__xludf.DUMMYFUNCTION("""COMPUTED_VALUE"""),"Featured")</f>
        <v>Featured</v>
      </c>
      <c r="G2091" s="19" t="str">
        <f>IFERROR(__xludf.DUMMYFUNCTION("""COMPUTED_VALUE"""),"Instant Forms")</f>
        <v>Instant Forms</v>
      </c>
      <c r="H2091" s="19"/>
      <c r="I2091" s="62"/>
      <c r="J2091" s="19"/>
    </row>
    <row r="2092">
      <c r="A2092" s="19" t="str">
        <f>IFERROR(__xludf.DUMMYFUNCTION("""COMPUTED_VALUE"""),"Sam Holt")</f>
        <v>Sam Holt</v>
      </c>
      <c r="B2092" s="19" t="str">
        <f>IFERROR(__xludf.DUMMYFUNCTION("""COMPUTED_VALUE"""),"QLD")</f>
        <v>QLD</v>
      </c>
      <c r="C2092" s="5" t="str">
        <f>IFERROR(__xludf.DUMMYFUNCTION("""COMPUTED_VALUE"""),"Mount Sheridan")</f>
        <v>Mount Sheridan</v>
      </c>
      <c r="D2092" s="5" t="str">
        <f>IFERROR(__xludf.DUMMYFUNCTION("""COMPUTED_VALUE"""),"10 Snowwood Close Mount Sheridan QLD 4868")</f>
        <v>10 Snowwood Close Mount Sheridan QLD 4868</v>
      </c>
      <c r="E2092" s="25">
        <f>IFERROR(__xludf.DUMMYFUNCTION("""COMPUTED_VALUE"""),45906.0)</f>
        <v>45906</v>
      </c>
      <c r="F2092" s="5" t="str">
        <f>IFERROR(__xludf.DUMMYFUNCTION("""COMPUTED_VALUE"""),"Featured")</f>
        <v>Featured</v>
      </c>
      <c r="G2092" s="19" t="str">
        <f>IFERROR(__xludf.DUMMYFUNCTION("""COMPUTED_VALUE"""),"Instant Forms")</f>
        <v>Instant Forms</v>
      </c>
      <c r="H2092" s="19"/>
      <c r="I2092" s="62"/>
      <c r="J2092" s="19"/>
    </row>
    <row r="2093">
      <c r="A2093" s="19" t="str">
        <f>IFERROR(__xludf.DUMMYFUNCTION("""COMPUTED_VALUE"""),"Sam Holt")</f>
        <v>Sam Holt</v>
      </c>
      <c r="B2093" s="19" t="str">
        <f>IFERROR(__xludf.DUMMYFUNCTION("""COMPUTED_VALUE"""),"QLD")</f>
        <v>QLD</v>
      </c>
      <c r="C2093" s="5" t="str">
        <f>IFERROR(__xludf.DUMMYFUNCTION("""COMPUTED_VALUE"""),"Holloways Beach")</f>
        <v>Holloways Beach</v>
      </c>
      <c r="D2093" s="5" t="str">
        <f>IFERROR(__xludf.DUMMYFUNCTION("""COMPUTED_VALUE"""),"1, 2, 3 &amp; 4/19 Hibiscus Lane Holloways Beach QLD 4878")</f>
        <v>1, 2, 3 &amp; 4/19 Hibiscus Lane Holloways Beach QLD 4878</v>
      </c>
      <c r="E2093" s="25">
        <f>IFERROR(__xludf.DUMMYFUNCTION("""COMPUTED_VALUE"""),45907.0)</f>
        <v>45907</v>
      </c>
      <c r="F2093" s="5" t="str">
        <f>IFERROR(__xludf.DUMMYFUNCTION("""COMPUTED_VALUE"""),"Featured")</f>
        <v>Featured</v>
      </c>
      <c r="G2093" s="19" t="str">
        <f>IFERROR(__xludf.DUMMYFUNCTION("""COMPUTED_VALUE"""),"Instant Forms")</f>
        <v>Instant Forms</v>
      </c>
      <c r="H2093" s="19"/>
      <c r="I2093" s="62"/>
      <c r="J2093" s="19"/>
    </row>
    <row r="2094">
      <c r="A2094" s="19" t="str">
        <f>IFERROR(__xludf.DUMMYFUNCTION("""COMPUTED_VALUE"""),"Sam Holt")</f>
        <v>Sam Holt</v>
      </c>
      <c r="B2094" s="19" t="str">
        <f>IFERROR(__xludf.DUMMYFUNCTION("""COMPUTED_VALUE"""),"QLD")</f>
        <v>QLD</v>
      </c>
      <c r="C2094" s="5" t="str">
        <f>IFERROR(__xludf.DUMMYFUNCTION("""COMPUTED_VALUE"""),"manunda")</f>
        <v>manunda</v>
      </c>
      <c r="D2094" s="5" t="str">
        <f>IFERROR(__xludf.DUMMYFUNCTION("""COMPUTED_VALUE"""),"13 Foley Street Manunda QLD 4870")</f>
        <v>13 Foley Street Manunda QLD 4870</v>
      </c>
      <c r="E2094" s="25">
        <f>IFERROR(__xludf.DUMMYFUNCTION("""COMPUTED_VALUE"""),45910.0)</f>
        <v>45910</v>
      </c>
      <c r="F2094" s="5">
        <f>IFERROR(__xludf.DUMMYFUNCTION("""COMPUTED_VALUE"""),8.0)</f>
        <v>8</v>
      </c>
      <c r="G2094" s="19" t="str">
        <f>IFERROR(__xludf.DUMMYFUNCTION("""COMPUTED_VALUE"""),"Instant Forms")</f>
        <v>Instant Forms</v>
      </c>
      <c r="H2094" s="19" t="str">
        <f>IFERROR(__xludf.DUMMYFUNCTION("""COMPUTED_VALUE"""),"Dave Stewart")</f>
        <v>Dave Stewart</v>
      </c>
      <c r="I2094" s="62"/>
      <c r="J2094" s="19"/>
    </row>
    <row r="2095">
      <c r="A2095" s="19" t="str">
        <f>IFERROR(__xludf.DUMMYFUNCTION("""COMPUTED_VALUE"""),"Sam Holt")</f>
        <v>Sam Holt</v>
      </c>
      <c r="B2095" s="19" t="str">
        <f>IFERROR(__xludf.DUMMYFUNCTION("""COMPUTED_VALUE"""),"QLD")</f>
        <v>QLD</v>
      </c>
      <c r="C2095" s="5" t="str">
        <f>IFERROR(__xludf.DUMMYFUNCTION("""COMPUTED_VALUE"""),"Bungalow")</f>
        <v>Bungalow</v>
      </c>
      <c r="D2095" s="5" t="str">
        <f>IFERROR(__xludf.DUMMYFUNCTION("""COMPUTED_VALUE"""),"8-10 Flame Close Bayview Heights QLD 4868")</f>
        <v>8-10 Flame Close Bayview Heights QLD 4868</v>
      </c>
      <c r="E2095" s="25">
        <f>IFERROR(__xludf.DUMMYFUNCTION("""COMPUTED_VALUE"""),45916.0)</f>
        <v>45916</v>
      </c>
      <c r="F2095" s="5">
        <f>IFERROR(__xludf.DUMMYFUNCTION("""COMPUTED_VALUE"""),8.0)</f>
        <v>8</v>
      </c>
      <c r="G2095" s="19" t="str">
        <f>IFERROR(__xludf.DUMMYFUNCTION("""COMPUTED_VALUE"""),"Instant Forms")</f>
        <v>Instant Forms</v>
      </c>
      <c r="H2095" s="19" t="str">
        <f>IFERROR(__xludf.DUMMYFUNCTION("""COMPUTED_VALUE"""),"Steve Della Bella")</f>
        <v>Steve Della Bella</v>
      </c>
      <c r="I2095" s="62"/>
      <c r="J2095" s="19"/>
    </row>
    <row r="2096">
      <c r="A2096" s="19" t="str">
        <f>IFERROR(__xludf.DUMMYFUNCTION("""COMPUTED_VALUE"""),"Sam Holt")</f>
        <v>Sam Holt</v>
      </c>
      <c r="B2096" s="19" t="str">
        <f>IFERROR(__xludf.DUMMYFUNCTION("""COMPUTED_VALUE"""),"QLD")</f>
        <v>QLD</v>
      </c>
      <c r="C2096" s="5" t="str">
        <f>IFERROR(__xludf.DUMMYFUNCTION("""COMPUTED_VALUE"""),"Nerada")</f>
        <v>Nerada</v>
      </c>
      <c r="D2096" s="5" t="str">
        <f>IFERROR(__xludf.DUMMYFUNCTION("""COMPUTED_VALUE"""),"199 Nerada Road Nerada QLD 4860")</f>
        <v>199 Nerada Road Nerada QLD 4860</v>
      </c>
      <c r="E2096" s="25">
        <f>IFERROR(__xludf.DUMMYFUNCTION("""COMPUTED_VALUE"""),45920.0)</f>
        <v>45920</v>
      </c>
      <c r="F2096" s="5">
        <f>IFERROR(__xludf.DUMMYFUNCTION("""COMPUTED_VALUE"""),6.0)</f>
        <v>6</v>
      </c>
      <c r="G2096" s="19" t="str">
        <f>IFERROR(__xludf.DUMMYFUNCTION("""COMPUTED_VALUE"""),"Instant Forms")</f>
        <v>Instant Forms</v>
      </c>
      <c r="H2096" s="19" t="str">
        <f>IFERROR(__xludf.DUMMYFUNCTION("""COMPUTED_VALUE"""),"Janice Meloni")</f>
        <v>Janice Meloni</v>
      </c>
      <c r="I2096" s="62"/>
      <c r="J2096" s="19"/>
    </row>
    <row r="2097">
      <c r="A2097" s="19" t="str">
        <f>IFERROR(__xludf.DUMMYFUNCTION("""COMPUTED_VALUE"""),"Sam Holt")</f>
        <v>Sam Holt</v>
      </c>
      <c r="B2097" s="19" t="str">
        <f>IFERROR(__xludf.DUMMYFUNCTION("""COMPUTED_VALUE"""),"QLD")</f>
        <v>QLD</v>
      </c>
      <c r="C2097" s="5" t="str">
        <f>IFERROR(__xludf.DUMMYFUNCTION("""COMPUTED_VALUE"""),"Smithfield")</f>
        <v>Smithfield</v>
      </c>
      <c r="D2097" s="5" t="str">
        <f>IFERROR(__xludf.DUMMYFUNCTION("""COMPUTED_VALUE"""),"58 Landsborough Drive, Smithfield, QLD, 4878, Australia")</f>
        <v>58 Landsborough Drive, Smithfield, QLD, 4878, Australia</v>
      </c>
      <c r="E2097" s="5" t="str">
        <f>IFERROR(__xludf.DUMMYFUNCTION("""COMPUTED_VALUE"""),"22/09/2025")</f>
        <v>22/09/2025</v>
      </c>
      <c r="F2097" s="5" t="str">
        <f>IFERROR(__xludf.DUMMYFUNCTION("""COMPUTED_VALUE"""),"Featured")</f>
        <v>Featured</v>
      </c>
      <c r="G2097" s="19"/>
      <c r="H2097" s="19"/>
      <c r="I2097" s="62"/>
      <c r="J2097" s="19"/>
    </row>
    <row r="2098">
      <c r="A2098" s="19" t="str">
        <f>IFERROR(__xludf.DUMMYFUNCTION("""COMPUTED_VALUE"""),"Sam Holt")</f>
        <v>Sam Holt</v>
      </c>
      <c r="B2098" s="19" t="str">
        <f>IFERROR(__xludf.DUMMYFUNCTION("""COMPUTED_VALUE"""),"QLD")</f>
        <v>QLD</v>
      </c>
      <c r="C2098" s="5" t="str">
        <f>IFERROR(__xludf.DUMMYFUNCTION("""COMPUTED_VALUE"""),"Smithfield Qld")</f>
        <v>Smithfield Qld</v>
      </c>
      <c r="D2098" s="5" t="str">
        <f>IFERROR(__xludf.DUMMYFUNCTION("""COMPUTED_VALUE"""),"58 Landsborough Drive Smithfield")</f>
        <v>58 Landsborough Drive Smithfield</v>
      </c>
      <c r="E2098" s="25">
        <f>IFERROR(__xludf.DUMMYFUNCTION("""COMPUTED_VALUE"""),45921.0)</f>
        <v>45921</v>
      </c>
      <c r="F2098" s="5" t="str">
        <f>IFERROR(__xludf.DUMMYFUNCTION("""COMPUTED_VALUE"""),"Featured")</f>
        <v>Featured</v>
      </c>
      <c r="G2098" s="19" t="str">
        <f>IFERROR(__xludf.DUMMYFUNCTION("""COMPUTED_VALUE"""),"Commission Comparison")</f>
        <v>Commission Comparison</v>
      </c>
      <c r="H2098" s="19"/>
      <c r="I2098" s="62"/>
      <c r="J2098" s="19"/>
    </row>
    <row r="2099">
      <c r="A2099" s="19" t="str">
        <f>IFERROR(__xludf.DUMMYFUNCTION("""COMPUTED_VALUE"""),"Sam Holt")</f>
        <v>Sam Holt</v>
      </c>
      <c r="B2099" s="19" t="str">
        <f>IFERROR(__xludf.DUMMYFUNCTION("""COMPUTED_VALUE"""),"QLD")</f>
        <v>QLD</v>
      </c>
      <c r="C2099" s="5" t="str">
        <f>IFERROR(__xludf.DUMMYFUNCTION("""COMPUTED_VALUE"""),"Trinity beach")</f>
        <v>Trinity beach</v>
      </c>
      <c r="D2099" s="5" t="str">
        <f>IFERROR(__xludf.DUMMYFUNCTION("""COMPUTED_VALUE"""),"1/98-100 Moore Street Trinity Beach QLD 4879")</f>
        <v>1/98-100 Moore Street Trinity Beach QLD 4879</v>
      </c>
      <c r="E2099" s="25">
        <f>IFERROR(__xludf.DUMMYFUNCTION("""COMPUTED_VALUE"""),45924.0)</f>
        <v>45924</v>
      </c>
      <c r="F2099" s="5">
        <f>IFERROR(__xludf.DUMMYFUNCTION("""COMPUTED_VALUE"""),8.0)</f>
        <v>8</v>
      </c>
      <c r="G2099" s="19" t="str">
        <f>IFERROR(__xludf.DUMMYFUNCTION("""COMPUTED_VALUE"""),"Instant Forms")</f>
        <v>Instant Forms</v>
      </c>
      <c r="H2099" s="19" t="str">
        <f>IFERROR(__xludf.DUMMYFUNCTION("""COMPUTED_VALUE"""),"Deidre Angela Malady")</f>
        <v>Deidre Angela Malady</v>
      </c>
      <c r="I2099" s="62"/>
      <c r="J2099" s="19"/>
    </row>
    <row r="2100">
      <c r="A2100" s="19" t="str">
        <f>IFERROR(__xludf.DUMMYFUNCTION("""COMPUTED_VALUE"""),"Sam Holt")</f>
        <v>Sam Holt</v>
      </c>
      <c r="B2100" s="19" t="str">
        <f>IFERROR(__xludf.DUMMYFUNCTION("""COMPUTED_VALUE"""),"QLD")</f>
        <v>QLD</v>
      </c>
      <c r="C2100" s="5" t="str">
        <f>IFERROR(__xludf.DUMMYFUNCTION("""COMPUTED_VALUE"""),"edge hill")</f>
        <v>edge hill</v>
      </c>
      <c r="D2100" s="5" t="str">
        <f>IFERROR(__xludf.DUMMYFUNCTION("""COMPUTED_VALUE"""),"1/43 Mazlin Street Edge Hill QLD 4870")</f>
        <v>1/43 Mazlin Street Edge Hill QLD 4870</v>
      </c>
      <c r="E2100" s="25">
        <f>IFERROR(__xludf.DUMMYFUNCTION("""COMPUTED_VALUE"""),45924.0)</f>
        <v>45924</v>
      </c>
      <c r="F2100" s="5">
        <f>IFERROR(__xludf.DUMMYFUNCTION("""COMPUTED_VALUE"""),8.0)</f>
        <v>8</v>
      </c>
      <c r="G2100" s="19" t="str">
        <f>IFERROR(__xludf.DUMMYFUNCTION("""COMPUTED_VALUE"""),"Instant Forms")</f>
        <v>Instant Forms</v>
      </c>
      <c r="H2100" s="19" t="str">
        <f>IFERROR(__xludf.DUMMYFUNCTION("""COMPUTED_VALUE"""),"Scott Fisher")</f>
        <v>Scott Fisher</v>
      </c>
      <c r="I2100" s="62"/>
      <c r="J2100" s="19"/>
    </row>
    <row r="2101">
      <c r="A2101" s="19" t="str">
        <f>IFERROR(__xludf.DUMMYFUNCTION("""COMPUTED_VALUE"""),"Sam Holt")</f>
        <v>Sam Holt</v>
      </c>
      <c r="B2101" s="19" t="str">
        <f>IFERROR(__xludf.DUMMYFUNCTION("""COMPUTED_VALUE"""),"QLD")</f>
        <v>QLD</v>
      </c>
      <c r="C2101" s="5" t="str">
        <f>IFERROR(__xludf.DUMMYFUNCTION("""COMPUTED_VALUE"""),"Bayview Heights")</f>
        <v>Bayview Heights</v>
      </c>
      <c r="D2101" s="5" t="str">
        <f>IFERROR(__xludf.DUMMYFUNCTION("""COMPUTED_VALUE"""),"22 Vista St.")</f>
        <v>22 Vista St.</v>
      </c>
      <c r="E2101" s="25">
        <f>IFERROR(__xludf.DUMMYFUNCTION("""COMPUTED_VALUE"""),45928.0)</f>
        <v>45928</v>
      </c>
      <c r="F2101" s="5" t="str">
        <f>IFERROR(__xludf.DUMMYFUNCTION("""COMPUTED_VALUE"""),"Featured")</f>
        <v>Featured</v>
      </c>
      <c r="G2101" s="19" t="str">
        <f>IFERROR(__xludf.DUMMYFUNCTION("""COMPUTED_VALUE"""),"Commission Comparison")</f>
        <v>Commission Comparison</v>
      </c>
      <c r="H2101" s="19"/>
      <c r="I2101" s="62"/>
      <c r="J2101" s="19"/>
    </row>
    <row r="2102">
      <c r="A2102" s="19" t="str">
        <f>IFERROR(__xludf.DUMMYFUNCTION("""COMPUTED_VALUE"""),"Sam Holt")</f>
        <v>Sam Holt</v>
      </c>
      <c r="B2102" s="19" t="str">
        <f>IFERROR(__xludf.DUMMYFUNCTION("""COMPUTED_VALUE"""),"QLD")</f>
        <v>QLD</v>
      </c>
      <c r="C2102" s="5" t="str">
        <f>IFERROR(__xludf.DUMMYFUNCTION("""COMPUTED_VALUE"""),"kuranda")</f>
        <v>kuranda</v>
      </c>
      <c r="D2102" s="5" t="str">
        <f>IFERROR(__xludf.DUMMYFUNCTION("""COMPUTED_VALUE"""),"3 Coconut Grove Kuranda QLD 4881")</f>
        <v>3 Coconut Grove Kuranda QLD 4881</v>
      </c>
      <c r="E2102" s="25">
        <f>IFERROR(__xludf.DUMMYFUNCTION("""COMPUTED_VALUE"""),45935.0)</f>
        <v>45935</v>
      </c>
      <c r="F2102" s="5">
        <f>IFERROR(__xludf.DUMMYFUNCTION("""COMPUTED_VALUE"""),8.0)</f>
        <v>8</v>
      </c>
      <c r="G2102" s="19" t="str">
        <f>IFERROR(__xludf.DUMMYFUNCTION("""COMPUTED_VALUE"""),"Instant Forms")</f>
        <v>Instant Forms</v>
      </c>
      <c r="H2102" s="19" t="str">
        <f>IFERROR(__xludf.DUMMYFUNCTION("""COMPUTED_VALUE"""),"Margaret Genever")</f>
        <v>Margaret Genever</v>
      </c>
      <c r="I2102" s="62"/>
      <c r="J2102" s="19"/>
    </row>
    <row r="2103">
      <c r="A2103" s="19" t="str">
        <f>IFERROR(__xludf.DUMMYFUNCTION("""COMPUTED_VALUE"""),"Sam Holt")</f>
        <v>Sam Holt</v>
      </c>
      <c r="B2103" s="19" t="str">
        <f>IFERROR(__xludf.DUMMYFUNCTION("""COMPUTED_VALUE"""),"QLD")</f>
        <v>QLD</v>
      </c>
      <c r="C2103" s="5" t="str">
        <f>IFERROR(__xludf.DUMMYFUNCTION("""COMPUTED_VALUE"""),"Mooroobool")</f>
        <v>Mooroobool</v>
      </c>
      <c r="D2103" s="5" t="str">
        <f>IFERROR(__xludf.DUMMYFUNCTION("""COMPUTED_VALUE"""),"16 Olfersia Court Mooroobool QLD 4870")</f>
        <v>16 Olfersia Court Mooroobool QLD 4870</v>
      </c>
      <c r="E2103" s="25">
        <f>IFERROR(__xludf.DUMMYFUNCTION("""COMPUTED_VALUE"""),45936.0)</f>
        <v>45936</v>
      </c>
      <c r="F2103" s="5">
        <f>IFERROR(__xludf.DUMMYFUNCTION("""COMPUTED_VALUE"""),8.0)</f>
        <v>8</v>
      </c>
      <c r="G2103" s="19" t="str">
        <f>IFERROR(__xludf.DUMMYFUNCTION("""COMPUTED_VALUE"""),"Instant Forms")</f>
        <v>Instant Forms</v>
      </c>
      <c r="H2103" s="19" t="str">
        <f>IFERROR(__xludf.DUMMYFUNCTION("""COMPUTED_VALUE"""),"Linda Scanlan")</f>
        <v>Linda Scanlan</v>
      </c>
      <c r="I2103" s="62"/>
      <c r="J2103" s="19"/>
    </row>
    <row r="2104">
      <c r="A2104" s="19" t="str">
        <f>IFERROR(__xludf.DUMMYFUNCTION("""COMPUTED_VALUE"""),"Sam Holt")</f>
        <v>Sam Holt</v>
      </c>
      <c r="B2104" s="19" t="str">
        <f>IFERROR(__xludf.DUMMYFUNCTION("""COMPUTED_VALUE"""),"QLD")</f>
        <v>QLD</v>
      </c>
      <c r="C2104" s="5" t="str">
        <f>IFERROR(__xludf.DUMMYFUNCTION("""COMPUTED_VALUE"""),"cairns")</f>
        <v>cairns</v>
      </c>
      <c r="D2104" s="5"/>
      <c r="E2104" s="25">
        <f>IFERROR(__xludf.DUMMYFUNCTION("""COMPUTED_VALUE"""),45937.0)</f>
        <v>45937</v>
      </c>
      <c r="F2104" s="5">
        <f>IFERROR(__xludf.DUMMYFUNCTION("""COMPUTED_VALUE"""),5.0)</f>
        <v>5</v>
      </c>
      <c r="G2104" s="19" t="str">
        <f>IFERROR(__xludf.DUMMYFUNCTION("""COMPUTED_VALUE"""),"Instant Forms")</f>
        <v>Instant Forms</v>
      </c>
      <c r="H2104" s="19" t="str">
        <f>IFERROR(__xludf.DUMMYFUNCTION("""COMPUTED_VALUE"""),"Darren Campbell")</f>
        <v>Darren Campbell</v>
      </c>
      <c r="I2104" s="62"/>
      <c r="J2104" s="19"/>
    </row>
    <row r="2105">
      <c r="A2105" s="19" t="str">
        <f>IFERROR(__xludf.DUMMYFUNCTION("""COMPUTED_VALUE"""),"Sam Holt")</f>
        <v>Sam Holt</v>
      </c>
      <c r="B2105" s="19" t="str">
        <f>IFERROR(__xludf.DUMMYFUNCTION("""COMPUTED_VALUE"""),"QLD")</f>
        <v>QLD</v>
      </c>
      <c r="C2105" s="5" t="str">
        <f>IFERROR(__xludf.DUMMYFUNCTION("""COMPUTED_VALUE"""),"Whitfield")</f>
        <v>Whitfield</v>
      </c>
      <c r="D2105" s="5" t="str">
        <f>IFERROR(__xludf.DUMMYFUNCTION("""COMPUTED_VALUE"""),"24 Kevin Street Whitfield QLD 4870")</f>
        <v>24 Kevin Street Whitfield QLD 4870</v>
      </c>
      <c r="E2105" s="25">
        <f>IFERROR(__xludf.DUMMYFUNCTION("""COMPUTED_VALUE"""),45939.0)</f>
        <v>45939</v>
      </c>
      <c r="F2105" s="5">
        <f>IFERROR(__xludf.DUMMYFUNCTION("""COMPUTED_VALUE"""),8.0)</f>
        <v>8</v>
      </c>
      <c r="G2105" s="19" t="str">
        <f>IFERROR(__xludf.DUMMYFUNCTION("""COMPUTED_VALUE"""),"Instant Forms")</f>
        <v>Instant Forms</v>
      </c>
      <c r="H2105" s="19"/>
      <c r="I2105" s="62"/>
      <c r="J2105" s="19"/>
    </row>
    <row r="2106">
      <c r="A2106" s="19" t="str">
        <f>IFERROR(__xludf.DUMMYFUNCTION("""COMPUTED_VALUE"""),"Sam Holt")</f>
        <v>Sam Holt</v>
      </c>
      <c r="B2106" s="19" t="str">
        <f>IFERROR(__xludf.DUMMYFUNCTION("""COMPUTED_VALUE"""),"QLD")</f>
        <v>QLD</v>
      </c>
      <c r="C2106" s="5" t="str">
        <f>IFERROR(__xludf.DUMMYFUNCTION("""COMPUTED_VALUE"""),"Mount Sheridan")</f>
        <v>Mount Sheridan</v>
      </c>
      <c r="D2106" s="5" t="str">
        <f>IFERROR(__xludf.DUMMYFUNCTION("""COMPUTED_VALUE"""),"57 Monsoon Terrace Mount Sheridan QLD 4868")</f>
        <v>57 Monsoon Terrace Mount Sheridan QLD 4868</v>
      </c>
      <c r="E2106" s="25">
        <f>IFERROR(__xludf.DUMMYFUNCTION("""COMPUTED_VALUE"""),45939.0)</f>
        <v>45939</v>
      </c>
      <c r="F2106" s="5">
        <f>IFERROR(__xludf.DUMMYFUNCTION("""COMPUTED_VALUE"""),6.0)</f>
        <v>6</v>
      </c>
      <c r="G2106" s="19" t="str">
        <f>IFERROR(__xludf.DUMMYFUNCTION("""COMPUTED_VALUE"""),"Instant Forms")</f>
        <v>Instant Forms</v>
      </c>
      <c r="H2106" s="19"/>
      <c r="I2106" s="62"/>
      <c r="J2106" s="19"/>
    </row>
    <row r="2107">
      <c r="A2107" s="19" t="str">
        <f>IFERROR(__xludf.DUMMYFUNCTION("""COMPUTED_VALUE"""),"Sam Holt")</f>
        <v>Sam Holt</v>
      </c>
      <c r="B2107" s="19" t="str">
        <f>IFERROR(__xludf.DUMMYFUNCTION("""COMPUTED_VALUE"""),"QLD")</f>
        <v>QLD</v>
      </c>
      <c r="C2107" s="5" t="str">
        <f>IFERROR(__xludf.DUMMYFUNCTION("""COMPUTED_VALUE"""),"Redlynch")</f>
        <v>Redlynch</v>
      </c>
      <c r="D2107" s="5" t="str">
        <f>IFERROR(__xludf.DUMMYFUNCTION("""COMPUTED_VALUE"""),"20 Alstonia Cl")</f>
        <v>20 Alstonia Cl</v>
      </c>
      <c r="E2107" s="25">
        <f>IFERROR(__xludf.DUMMYFUNCTION("""COMPUTED_VALUE"""),45946.0)</f>
        <v>45946</v>
      </c>
      <c r="F2107" s="5" t="str">
        <f>IFERROR(__xludf.DUMMYFUNCTION("""COMPUTED_VALUE"""),"Featured")</f>
        <v>Featured</v>
      </c>
      <c r="G2107" s="19" t="str">
        <f>IFERROR(__xludf.DUMMYFUNCTION("""COMPUTED_VALUE"""),"Commission Comparison")</f>
        <v>Commission Comparison</v>
      </c>
      <c r="H2107" s="19"/>
      <c r="I2107" s="62"/>
      <c r="J2107" s="19"/>
    </row>
    <row r="2108">
      <c r="A2108" s="19" t="str">
        <f>IFERROR(__xludf.DUMMYFUNCTION("""COMPUTED_VALUE"""),"Sam Holt")</f>
        <v>Sam Holt</v>
      </c>
      <c r="B2108" s="19" t="str">
        <f>IFERROR(__xludf.DUMMYFUNCTION("""COMPUTED_VALUE"""),"QLD")</f>
        <v>QLD</v>
      </c>
      <c r="C2108" s="5" t="str">
        <f>IFERROR(__xludf.DUMMYFUNCTION("""COMPUTED_VALUE"""),"Smithfield")</f>
        <v>Smithfield</v>
      </c>
      <c r="D2108" s="5" t="str">
        <f>IFERROR(__xludf.DUMMYFUNCTION("""COMPUTED_VALUE"""),"18 mangosteen close Smithfield")</f>
        <v>18 mangosteen close Smithfield</v>
      </c>
      <c r="E2108" s="25">
        <f>IFERROR(__xludf.DUMMYFUNCTION("""COMPUTED_VALUE"""),45950.0)</f>
        <v>45950</v>
      </c>
      <c r="F2108" s="5" t="str">
        <f>IFERROR(__xludf.DUMMYFUNCTION("""COMPUTED_VALUE"""),"Featured")</f>
        <v>Featured</v>
      </c>
      <c r="G2108" s="19" t="str">
        <f>IFERROR(__xludf.DUMMYFUNCTION("""COMPUTED_VALUE"""),"Commission Comparison")</f>
        <v>Commission Comparison</v>
      </c>
      <c r="H2108" s="19"/>
      <c r="I2108" s="62"/>
      <c r="J2108" s="19"/>
    </row>
    <row r="2109">
      <c r="A2109" s="19" t="str">
        <f>IFERROR(__xludf.DUMMYFUNCTION("""COMPUTED_VALUE"""),"Sam Holt")</f>
        <v>Sam Holt</v>
      </c>
      <c r="B2109" s="19" t="str">
        <f>IFERROR(__xludf.DUMMYFUNCTION("""COMPUTED_VALUE"""),"QLD")</f>
        <v>QLD</v>
      </c>
      <c r="C2109" s="5" t="str">
        <f>IFERROR(__xludf.DUMMYFUNCTION("""COMPUTED_VALUE"""),"Manunda")</f>
        <v>Manunda</v>
      </c>
      <c r="D2109" s="5" t="str">
        <f>IFERROR(__xludf.DUMMYFUNCTION("""COMPUTED_VALUE"""),"6 Egan Street Manunda QLD 4870")</f>
        <v>6 Egan Street Manunda QLD 4870</v>
      </c>
      <c r="E2109" s="25">
        <f>IFERROR(__xludf.DUMMYFUNCTION("""COMPUTED_VALUE"""),45951.0)</f>
        <v>45951</v>
      </c>
      <c r="F2109" s="5">
        <f>IFERROR(__xludf.DUMMYFUNCTION("""COMPUTED_VALUE"""),8.0)</f>
        <v>8</v>
      </c>
      <c r="G2109" s="19" t="str">
        <f>IFERROR(__xludf.DUMMYFUNCTION("""COMPUTED_VALUE"""),"Instant Forms")</f>
        <v>Instant Forms</v>
      </c>
      <c r="H2109" s="19"/>
      <c r="I2109" s="62"/>
      <c r="J2109" s="19"/>
    </row>
    <row r="2110">
      <c r="A2110" s="19" t="str">
        <f>IFERROR(__xludf.DUMMYFUNCTION("""COMPUTED_VALUE"""),"Sam Holt")</f>
        <v>Sam Holt</v>
      </c>
      <c r="B2110" s="19" t="str">
        <f>IFERROR(__xludf.DUMMYFUNCTION("""COMPUTED_VALUE"""),"QLD")</f>
        <v>QLD</v>
      </c>
      <c r="C2110" s="5" t="str">
        <f>IFERROR(__xludf.DUMMYFUNCTION("""COMPUTED_VALUE"""),"Caravonica")</f>
        <v>Caravonica</v>
      </c>
      <c r="D2110" s="5" t="str">
        <f>IFERROR(__xludf.DUMMYFUNCTION("""COMPUTED_VALUE"""),"19/2-6 Lake Placid Road Caravonica QLD 4878")</f>
        <v>19/2-6 Lake Placid Road Caravonica QLD 4878</v>
      </c>
      <c r="E2110" s="25">
        <f>IFERROR(__xludf.DUMMYFUNCTION("""COMPUTED_VALUE"""),45951.0)</f>
        <v>45951</v>
      </c>
      <c r="F2110" s="5">
        <f>IFERROR(__xludf.DUMMYFUNCTION("""COMPUTED_VALUE"""),8.0)</f>
        <v>8</v>
      </c>
      <c r="G2110" s="19" t="str">
        <f>IFERROR(__xludf.DUMMYFUNCTION("""COMPUTED_VALUE"""),"Instant Forms")</f>
        <v>Instant Forms</v>
      </c>
      <c r="H2110" s="19"/>
      <c r="I2110" s="62"/>
      <c r="J2110" s="19"/>
    </row>
    <row r="2111">
      <c r="A2111" s="19" t="str">
        <f>IFERROR(__xludf.DUMMYFUNCTION("""COMPUTED_VALUE"""),"Sam Holt")</f>
        <v>Sam Holt</v>
      </c>
      <c r="B2111" s="19" t="str">
        <f>IFERROR(__xludf.DUMMYFUNCTION("""COMPUTED_VALUE"""),"QLD")</f>
        <v>QLD</v>
      </c>
      <c r="C2111" s="5" t="str">
        <f>IFERROR(__xludf.DUMMYFUNCTION("""COMPUTED_VALUE"""),"Edmonton")</f>
        <v>Edmonton</v>
      </c>
      <c r="D2111" s="5" t="str">
        <f>IFERROR(__xludf.DUMMYFUNCTION("""COMPUTED_VALUE"""),"14 Wiseman Road East Edmonton QLD 4869")</f>
        <v>14 Wiseman Road East Edmonton QLD 4869</v>
      </c>
      <c r="E2111" s="25">
        <f>IFERROR(__xludf.DUMMYFUNCTION("""COMPUTED_VALUE"""),45951.0)</f>
        <v>45951</v>
      </c>
      <c r="F2111" s="5">
        <f>IFERROR(__xludf.DUMMYFUNCTION("""COMPUTED_VALUE"""),8.0)</f>
        <v>8</v>
      </c>
      <c r="G2111" s="19" t="str">
        <f>IFERROR(__xludf.DUMMYFUNCTION("""COMPUTED_VALUE"""),"Instant Forms")</f>
        <v>Instant Forms</v>
      </c>
      <c r="H2111" s="19"/>
      <c r="I2111" s="62"/>
      <c r="J2111" s="19"/>
    </row>
    <row r="2112">
      <c r="A2112" s="19" t="str">
        <f>IFERROR(__xludf.DUMMYFUNCTION("""COMPUTED_VALUE"""),"Sam Holt")</f>
        <v>Sam Holt</v>
      </c>
      <c r="B2112" s="19" t="str">
        <f>IFERROR(__xludf.DUMMYFUNCTION("""COMPUTED_VALUE"""),"QLD")</f>
        <v>QLD</v>
      </c>
      <c r="C2112" s="5" t="str">
        <f>IFERROR(__xludf.DUMMYFUNCTION("""COMPUTED_VALUE"""),"Redlynch")</f>
        <v>Redlynch</v>
      </c>
      <c r="D2112" s="5" t="str">
        <f>IFERROR(__xludf.DUMMYFUNCTION("""COMPUTED_VALUE"""),"58 Xavier Herbert Drive Redlynch, Redlynch, 4870")</f>
        <v>58 Xavier Herbert Drive Redlynch, Redlynch, 4870</v>
      </c>
      <c r="E2112" s="25" t="str">
        <f>IFERROR(__xludf.DUMMYFUNCTION("""COMPUTED_VALUE"""),"23/10/2025")</f>
        <v>23/10/2025</v>
      </c>
      <c r="F2112" s="5" t="str">
        <f>IFERROR(__xludf.DUMMYFUNCTION("""COMPUTED_VALUE"""),"Featured")</f>
        <v>Featured</v>
      </c>
      <c r="G2112" s="19" t="str">
        <f>IFERROR(__xludf.DUMMYFUNCTION("""COMPUTED_VALUE"""),"Meta Commission Report")</f>
        <v>Meta Commission Report</v>
      </c>
      <c r="H2112" s="19" t="str">
        <f>IFERROR(__xludf.DUMMYFUNCTION("""COMPUTED_VALUE"""),"Mary Smith")</f>
        <v>Mary Smith</v>
      </c>
      <c r="I2112" s="62"/>
      <c r="J2112" s="19"/>
    </row>
    <row r="2113">
      <c r="A2113" s="19" t="str">
        <f>IFERROR(__xludf.DUMMYFUNCTION("""COMPUTED_VALUE"""),"Sam Holt")</f>
        <v>Sam Holt</v>
      </c>
      <c r="B2113" s="19" t="str">
        <f>IFERROR(__xludf.DUMMYFUNCTION("""COMPUTED_VALUE"""),"QLD")</f>
        <v>QLD</v>
      </c>
      <c r="C2113" s="5" t="str">
        <f>IFERROR(__xludf.DUMMYFUNCTION("""COMPUTED_VALUE"""),"Earlville")</f>
        <v>Earlville</v>
      </c>
      <c r="D2113" s="5" t="str">
        <f>IFERROR(__xludf.DUMMYFUNCTION("""COMPUTED_VALUE"""),"8 Kingfisher Close")</f>
        <v>8 Kingfisher Close</v>
      </c>
      <c r="E2113" s="25">
        <f>IFERROR(__xludf.DUMMYFUNCTION("""COMPUTED_VALUE"""),45953.0)</f>
        <v>45953</v>
      </c>
      <c r="F2113" s="5" t="str">
        <f>IFERROR(__xludf.DUMMYFUNCTION("""COMPUTED_VALUE"""),"Featured")</f>
        <v>Featured</v>
      </c>
      <c r="G2113" s="19" t="str">
        <f>IFERROR(__xludf.DUMMYFUNCTION("""COMPUTED_VALUE"""),"Commission Comparison")</f>
        <v>Commission Comparison</v>
      </c>
      <c r="H2113" s="19"/>
      <c r="I2113" s="62"/>
      <c r="J2113" s="19"/>
    </row>
    <row r="2114">
      <c r="A2114" s="19" t="str">
        <f>IFERROR(__xludf.DUMMYFUNCTION("""COMPUTED_VALUE"""),"Sam Holt")</f>
        <v>Sam Holt</v>
      </c>
      <c r="B2114" s="19" t="str">
        <f>IFERROR(__xludf.DUMMYFUNCTION("""COMPUTED_VALUE"""),"QLD")</f>
        <v>QLD</v>
      </c>
      <c r="C2114" s="5" t="str">
        <f>IFERROR(__xludf.DUMMYFUNCTION("""COMPUTED_VALUE"""),"Kuranda")</f>
        <v>Kuranda</v>
      </c>
      <c r="D2114" s="5" t="str">
        <f>IFERROR(__xludf.DUMMYFUNCTION("""COMPUTED_VALUE"""),"1 Fairyland Road Kuranda QLD 4881")</f>
        <v>1 Fairyland Road Kuranda QLD 4881</v>
      </c>
      <c r="E2114" s="25">
        <f>IFERROR(__xludf.DUMMYFUNCTION("""COMPUTED_VALUE"""),45955.0)</f>
        <v>45955</v>
      </c>
      <c r="F2114" s="5">
        <f>IFERROR(__xludf.DUMMYFUNCTION("""COMPUTED_VALUE"""),8.0)</f>
        <v>8</v>
      </c>
      <c r="G2114" s="19" t="str">
        <f>IFERROR(__xludf.DUMMYFUNCTION("""COMPUTED_VALUE"""),"Instant Forms")</f>
        <v>Instant Forms</v>
      </c>
      <c r="H2114" s="19"/>
      <c r="I2114" s="62"/>
      <c r="J2114" s="19"/>
    </row>
    <row r="2115">
      <c r="A2115" s="19" t="str">
        <f>IFERROR(__xludf.DUMMYFUNCTION("""COMPUTED_VALUE"""),"Sam Holt")</f>
        <v>Sam Holt</v>
      </c>
      <c r="B2115" s="19" t="str">
        <f>IFERROR(__xludf.DUMMYFUNCTION("""COMPUTED_VALUE"""),"QLD")</f>
        <v>QLD</v>
      </c>
      <c r="C2115" s="5" t="str">
        <f>IFERROR(__xludf.DUMMYFUNCTION("""COMPUTED_VALUE"""),"Trinity Beach")</f>
        <v>Trinity Beach</v>
      </c>
      <c r="D2115" s="5" t="str">
        <f>IFERROR(__xludf.DUMMYFUNCTION("""COMPUTED_VALUE"""),"121 Roberts Drive Trinity Beach QLD 4879 &amp; 12 Mayflower Street Geebung QLD 4034")</f>
        <v>121 Roberts Drive Trinity Beach QLD 4879 &amp; 12 Mayflower Street Geebung QLD 4034</v>
      </c>
      <c r="E2115" s="25">
        <f>IFERROR(__xludf.DUMMYFUNCTION("""COMPUTED_VALUE"""),45955.0)</f>
        <v>45955</v>
      </c>
      <c r="F2115" s="5">
        <f>IFERROR(__xludf.DUMMYFUNCTION("""COMPUTED_VALUE"""),9.0)</f>
        <v>9</v>
      </c>
      <c r="G2115" s="19" t="str">
        <f>IFERROR(__xludf.DUMMYFUNCTION("""COMPUTED_VALUE"""),"Instant Forms")</f>
        <v>Instant Forms</v>
      </c>
      <c r="H2115" s="19"/>
      <c r="I2115" s="62"/>
      <c r="J2115" s="19"/>
    </row>
    <row r="2116">
      <c r="A2116" s="19" t="str">
        <f>IFERROR(__xludf.DUMMYFUNCTION("""COMPUTED_VALUE"""),"Sam Holt")</f>
        <v>Sam Holt</v>
      </c>
      <c r="B2116" s="19" t="str">
        <f>IFERROR(__xludf.DUMMYFUNCTION("""COMPUTED_VALUE"""),"QLD")</f>
        <v>QLD</v>
      </c>
      <c r="C2116" s="5" t="str">
        <f>IFERROR(__xludf.DUMMYFUNCTION("""COMPUTED_VALUE"""),"Mooroobool")</f>
        <v>Mooroobool</v>
      </c>
      <c r="D2116" s="5" t="str">
        <f>IFERROR(__xludf.DUMMYFUNCTION("""COMPUTED_VALUE"""),"3frances street mooroobool")</f>
        <v>3frances street mooroobool</v>
      </c>
      <c r="E2116" s="25">
        <f>IFERROR(__xludf.DUMMYFUNCTION("""COMPUTED_VALUE"""),45955.0)</f>
        <v>45955</v>
      </c>
      <c r="F2116" s="5" t="str">
        <f>IFERROR(__xludf.DUMMYFUNCTION("""COMPUTED_VALUE"""),"Featured")</f>
        <v>Featured</v>
      </c>
      <c r="G2116" s="19" t="str">
        <f>IFERROR(__xludf.DUMMYFUNCTION("""COMPUTED_VALUE"""),"Commission Comparison")</f>
        <v>Commission Comparison</v>
      </c>
      <c r="H2116" s="19"/>
      <c r="I2116" s="62"/>
      <c r="J2116" s="19"/>
    </row>
    <row r="2117">
      <c r="A2117" s="19" t="str">
        <f>IFERROR(__xludf.DUMMYFUNCTION("""COMPUTED_VALUE"""),"Sam Holt")</f>
        <v>Sam Holt</v>
      </c>
      <c r="B2117" s="19" t="str">
        <f>IFERROR(__xludf.DUMMYFUNCTION("""COMPUTED_VALUE"""),"QLD")</f>
        <v>QLD</v>
      </c>
      <c r="C2117" s="5" t="str">
        <f>IFERROR(__xludf.DUMMYFUNCTION("""COMPUTED_VALUE"""),"Kuranda")</f>
        <v>Kuranda</v>
      </c>
      <c r="D2117" s="5" t="str">
        <f>IFERROR(__xludf.DUMMYFUNCTION("""COMPUTED_VALUE"""),"1 Fairyland Road Kuranda QLD 4881")</f>
        <v>1 Fairyland Road Kuranda QLD 4881</v>
      </c>
      <c r="E2117" s="25">
        <f>IFERROR(__xludf.DUMMYFUNCTION("""COMPUTED_VALUE"""),45955.0)</f>
        <v>45955</v>
      </c>
      <c r="F2117" s="5">
        <f>IFERROR(__xludf.DUMMYFUNCTION("""COMPUTED_VALUE"""),9.0)</f>
        <v>9</v>
      </c>
      <c r="G2117" s="19" t="str">
        <f>IFERROR(__xludf.DUMMYFUNCTION("""COMPUTED_VALUE"""),"Instant Forms")</f>
        <v>Instant Forms</v>
      </c>
      <c r="H2117" s="19"/>
      <c r="I2117" s="62"/>
      <c r="J2117" s="19"/>
    </row>
    <row r="2118">
      <c r="A2118" s="19" t="str">
        <f>IFERROR(__xludf.DUMMYFUNCTION("""COMPUTED_VALUE"""),"Sam Holt")</f>
        <v>Sam Holt</v>
      </c>
      <c r="B2118" s="19" t="str">
        <f>IFERROR(__xludf.DUMMYFUNCTION("""COMPUTED_VALUE"""),"QLD")</f>
        <v>QLD</v>
      </c>
      <c r="C2118" s="5">
        <f>IFERROR(__xludf.DUMMYFUNCTION("""COMPUTED_VALUE"""),4869.0)</f>
        <v>4869</v>
      </c>
      <c r="D2118" s="5" t="str">
        <f>IFERROR(__xludf.DUMMYFUNCTION("""COMPUTED_VALUE"""),"14 Charnley Avenue Bentley Park QLD 4869")</f>
        <v>14 Charnley Avenue Bentley Park QLD 4869</v>
      </c>
      <c r="E2118" s="25">
        <f>IFERROR(__xludf.DUMMYFUNCTION("""COMPUTED_VALUE"""),45956.0)</f>
        <v>45956</v>
      </c>
      <c r="F2118" s="5">
        <f>IFERROR(__xludf.DUMMYFUNCTION("""COMPUTED_VALUE"""),9.0)</f>
        <v>9</v>
      </c>
      <c r="G2118" s="19" t="str">
        <f>IFERROR(__xludf.DUMMYFUNCTION("""COMPUTED_VALUE"""),"Instant Forms")</f>
        <v>Instant Forms</v>
      </c>
      <c r="H2118" s="19"/>
      <c r="I2118" s="62"/>
      <c r="J2118" s="19"/>
    </row>
    <row r="2119">
      <c r="A2119" s="19" t="str">
        <f>IFERROR(__xludf.DUMMYFUNCTION("""COMPUTED_VALUE"""),"Sam Holt")</f>
        <v>Sam Holt</v>
      </c>
      <c r="B2119" s="19" t="str">
        <f>IFERROR(__xludf.DUMMYFUNCTION("""COMPUTED_VALUE"""),"QLD")</f>
        <v>QLD</v>
      </c>
      <c r="C2119" s="5" t="str">
        <f>IFERROR(__xludf.DUMMYFUNCTION("""COMPUTED_VALUE"""),"Bentley Park")</f>
        <v>Bentley Park</v>
      </c>
      <c r="D2119" s="5" t="str">
        <f>IFERROR(__xludf.DUMMYFUNCTION("""COMPUTED_VALUE"""),"10 Lorraine Close Bentley Park QLD 4869")</f>
        <v>10 Lorraine Close Bentley Park QLD 4869</v>
      </c>
      <c r="E2119" s="25">
        <f>IFERROR(__xludf.DUMMYFUNCTION("""COMPUTED_VALUE"""),45957.0)</f>
        <v>45957</v>
      </c>
      <c r="F2119" s="5">
        <f>IFERROR(__xludf.DUMMYFUNCTION("""COMPUTED_VALUE"""),8.0)</f>
        <v>8</v>
      </c>
      <c r="G2119" s="19" t="str">
        <f>IFERROR(__xludf.DUMMYFUNCTION("""COMPUTED_VALUE"""),"Instant Forms")</f>
        <v>Instant Forms</v>
      </c>
      <c r="H2119" s="19"/>
      <c r="I2119" s="62"/>
      <c r="J2119" s="19"/>
    </row>
    <row r="2120">
      <c r="A2120" s="19" t="str">
        <f>IFERROR(__xludf.DUMMYFUNCTION("""COMPUTED_VALUE"""),"Sam Holt")</f>
        <v>Sam Holt</v>
      </c>
      <c r="B2120" s="19" t="str">
        <f>IFERROR(__xludf.DUMMYFUNCTION("""COMPUTED_VALUE"""),"QLD")</f>
        <v>QLD</v>
      </c>
      <c r="C2120" s="5" t="str">
        <f>IFERROR(__xludf.DUMMYFUNCTION("""COMPUTED_VALUE"""),"White Rock")</f>
        <v>White Rock</v>
      </c>
      <c r="D2120" s="5" t="str">
        <f>IFERROR(__xludf.DUMMYFUNCTION("""COMPUTED_VALUE"""),"po box 1572, White Rock, 4868")</f>
        <v>po box 1572, White Rock, 4868</v>
      </c>
      <c r="E2120" s="25" t="str">
        <f>IFERROR(__xludf.DUMMYFUNCTION("""COMPUTED_VALUE"""),"29/10/2025")</f>
        <v>29/10/2025</v>
      </c>
      <c r="F2120" s="5" t="str">
        <f>IFERROR(__xludf.DUMMYFUNCTION("""COMPUTED_VALUE"""),"Featured")</f>
        <v>Featured</v>
      </c>
      <c r="G2120" s="19" t="str">
        <f>IFERROR(__xludf.DUMMYFUNCTION("""COMPUTED_VALUE"""),"Meta Commission Report")</f>
        <v>Meta Commission Report</v>
      </c>
      <c r="H2120" s="19" t="str">
        <f>IFERROR(__xludf.DUMMYFUNCTION("""COMPUTED_VALUE"""),"Debbie Hewitt")</f>
        <v>Debbie Hewitt</v>
      </c>
      <c r="I2120" s="62"/>
      <c r="J2120" s="19"/>
    </row>
    <row r="2121">
      <c r="A2121" s="19" t="str">
        <f>IFERROR(__xludf.DUMMYFUNCTION("""COMPUTED_VALUE"""),"Sam Holt")</f>
        <v>Sam Holt</v>
      </c>
      <c r="B2121" s="19" t="str">
        <f>IFERROR(__xludf.DUMMYFUNCTION("""COMPUTED_VALUE"""),"QLD")</f>
        <v>QLD</v>
      </c>
      <c r="C2121" s="5" t="str">
        <f>IFERROR(__xludf.DUMMYFUNCTION("""COMPUTED_VALUE"""),"Gordonvale")</f>
        <v>Gordonvale</v>
      </c>
      <c r="D2121" s="5" t="str">
        <f>IFERROR(__xludf.DUMMYFUNCTION("""COMPUTED_VALUE"""),"42/9-15 McLean Street Cairns North QLD 4870")</f>
        <v>42/9-15 McLean Street Cairns North QLD 4870</v>
      </c>
      <c r="E2121" s="25">
        <f>IFERROR(__xludf.DUMMYFUNCTION("""COMPUTED_VALUE"""),45960.0)</f>
        <v>45960</v>
      </c>
      <c r="F2121" s="5" t="str">
        <f>IFERROR(__xludf.DUMMYFUNCTION("""COMPUTED_VALUE"""),"Featured")</f>
        <v>Featured</v>
      </c>
      <c r="G2121" s="19" t="str">
        <f>IFERROR(__xludf.DUMMYFUNCTION("""COMPUTED_VALUE"""),"Commission Comparison")</f>
        <v>Commission Comparison</v>
      </c>
      <c r="H2121" s="19"/>
      <c r="I2121" s="62"/>
      <c r="J2121" s="19"/>
    </row>
    <row r="2122">
      <c r="A2122" s="19" t="str">
        <f>IFERROR(__xludf.DUMMYFUNCTION("""COMPUTED_VALUE"""),"Sam Holt")</f>
        <v>Sam Holt</v>
      </c>
      <c r="B2122" s="19" t="str">
        <f>IFERROR(__xludf.DUMMYFUNCTION("""COMPUTED_VALUE"""),"QLD")</f>
        <v>QLD</v>
      </c>
      <c r="C2122" s="5" t="str">
        <f>IFERROR(__xludf.DUMMYFUNCTION("""COMPUTED_VALUE"""),"Manunda")</f>
        <v>Manunda</v>
      </c>
      <c r="D2122" s="5" t="str">
        <f>IFERROR(__xludf.DUMMYFUNCTION("""COMPUTED_VALUE"""),"1 / 66 Little Street, Manunda, QLD, 4870, Australia")</f>
        <v>1 / 66 Little Street, Manunda, QLD, 4870, Australia</v>
      </c>
      <c r="E2122" s="25">
        <f>IFERROR(__xludf.DUMMYFUNCTION("""COMPUTED_VALUE"""),45960.0)</f>
        <v>45960</v>
      </c>
      <c r="F2122" s="5" t="str">
        <f>IFERROR(__xludf.DUMMYFUNCTION("""COMPUTED_VALUE"""),"Featured")</f>
        <v>Featured</v>
      </c>
      <c r="G2122" s="19" t="str">
        <f>IFERROR(__xludf.DUMMYFUNCTION("""COMPUTED_VALUE"""),"Commission Comparison")</f>
        <v>Commission Comparison</v>
      </c>
      <c r="H2122" s="19"/>
      <c r="I2122" s="62"/>
      <c r="J2122" s="19"/>
    </row>
    <row r="2123">
      <c r="A2123" s="19" t="str">
        <f>IFERROR(__xludf.DUMMYFUNCTION("""COMPUTED_VALUE"""),"Sam Holt")</f>
        <v>Sam Holt</v>
      </c>
      <c r="B2123" s="19" t="str">
        <f>IFERROR(__xludf.DUMMYFUNCTION("""COMPUTED_VALUE"""),"QLD")</f>
        <v>QLD</v>
      </c>
      <c r="C2123" s="5" t="str">
        <f>IFERROR(__xludf.DUMMYFUNCTION("""COMPUTED_VALUE"""),"Goldsbough")</f>
        <v>Goldsbough</v>
      </c>
      <c r="D2123" s="5" t="str">
        <f>IFERROR(__xludf.DUMMYFUNCTION("""COMPUTED_VALUE"""),"21/ 23 Windlass st")</f>
        <v>21/ 23 Windlass st</v>
      </c>
      <c r="E2123" s="25">
        <f>IFERROR(__xludf.DUMMYFUNCTION("""COMPUTED_VALUE"""),45962.0)</f>
        <v>45962</v>
      </c>
      <c r="F2123" s="5" t="str">
        <f>IFERROR(__xludf.DUMMYFUNCTION("""COMPUTED_VALUE"""),"Featured")</f>
        <v>Featured</v>
      </c>
      <c r="G2123" s="19" t="str">
        <f>IFERROR(__xludf.DUMMYFUNCTION("""COMPUTED_VALUE"""),"Commission Comparison")</f>
        <v>Commission Comparison</v>
      </c>
      <c r="H2123" s="19"/>
      <c r="I2123" s="62"/>
      <c r="J2123" s="19"/>
    </row>
    <row r="2124">
      <c r="A2124" s="19" t="str">
        <f>IFERROR(__xludf.DUMMYFUNCTION("""COMPUTED_VALUE"""),"Sam Holt")</f>
        <v>Sam Holt</v>
      </c>
      <c r="B2124" s="19" t="str">
        <f>IFERROR(__xludf.DUMMYFUNCTION("""COMPUTED_VALUE"""),"QLD")</f>
        <v>QLD</v>
      </c>
      <c r="C2124" s="5" t="str">
        <f>IFERROR(__xludf.DUMMYFUNCTION("""COMPUTED_VALUE"""),"Mount Sheridan")</f>
        <v>Mount Sheridan</v>
      </c>
      <c r="D2124" s="5" t="str">
        <f>IFERROR(__xludf.DUMMYFUNCTION("""COMPUTED_VALUE"""),"29 Laurel Avenue, Mount Sheridan, 4868")</f>
        <v>29 Laurel Avenue, Mount Sheridan, 4868</v>
      </c>
      <c r="E2124" s="27">
        <f>IFERROR(__xludf.DUMMYFUNCTION("""COMPUTED_VALUE"""),45668.0)</f>
        <v>45668</v>
      </c>
      <c r="F2124" s="5" t="str">
        <f>IFERROR(__xludf.DUMMYFUNCTION("""COMPUTED_VALUE"""),"Featured")</f>
        <v>Featured</v>
      </c>
      <c r="G2124" s="19" t="str">
        <f>IFERROR(__xludf.DUMMYFUNCTION("""COMPUTED_VALUE"""),"Meta Commission Report")</f>
        <v>Meta Commission Report</v>
      </c>
      <c r="H2124" s="19" t="str">
        <f>IFERROR(__xludf.DUMMYFUNCTION("""COMPUTED_VALUE"""),"Janice Staines")</f>
        <v>Janice Staines</v>
      </c>
      <c r="I2124" s="62"/>
      <c r="J2124" s="19"/>
    </row>
    <row r="2125">
      <c r="A2125" s="19" t="str">
        <f>IFERROR(__xludf.DUMMYFUNCTION("""COMPUTED_VALUE"""),"Sam Holt")</f>
        <v>Sam Holt</v>
      </c>
      <c r="B2125" s="19" t="str">
        <f>IFERROR(__xludf.DUMMYFUNCTION("""COMPUTED_VALUE"""),"QLD")</f>
        <v>QLD</v>
      </c>
      <c r="C2125" s="5" t="str">
        <f>IFERROR(__xludf.DUMMYFUNCTION("""COMPUTED_VALUE"""),"Goldsbough valley")</f>
        <v>Goldsbough valley</v>
      </c>
      <c r="D2125" s="5" t="str">
        <f>IFERROR(__xludf.DUMMYFUNCTION("""COMPUTED_VALUE"""),"21-23 Windlass Street Goldsborough QLD 4865")</f>
        <v>21-23 Windlass Street Goldsborough QLD 4865</v>
      </c>
      <c r="E2125" s="25">
        <f>IFERROR(__xludf.DUMMYFUNCTION("""COMPUTED_VALUE"""),45964.0)</f>
        <v>45964</v>
      </c>
      <c r="F2125" s="5">
        <f>IFERROR(__xludf.DUMMYFUNCTION("""COMPUTED_VALUE"""),8.0)</f>
        <v>8</v>
      </c>
      <c r="G2125" s="19" t="str">
        <f>IFERROR(__xludf.DUMMYFUNCTION("""COMPUTED_VALUE"""),"Instant Forms")</f>
        <v>Instant Forms</v>
      </c>
      <c r="H2125" s="19"/>
      <c r="I2125" s="62"/>
      <c r="J2125" s="19"/>
    </row>
    <row r="2126">
      <c r="A2126" s="19" t="str">
        <f>IFERROR(__xludf.DUMMYFUNCTION("""COMPUTED_VALUE"""),"Sam Holt")</f>
        <v>Sam Holt</v>
      </c>
      <c r="B2126" s="19" t="str">
        <f>IFERROR(__xludf.DUMMYFUNCTION("""COMPUTED_VALUE"""),"QLD")</f>
        <v>QLD</v>
      </c>
      <c r="C2126" s="5" t="str">
        <f>IFERROR(__xludf.DUMMYFUNCTION("""COMPUTED_VALUE"""),"Trinity Beach")</f>
        <v>Trinity Beach</v>
      </c>
      <c r="D2126" s="5" t="str">
        <f>IFERROR(__xludf.DUMMYFUNCTION("""COMPUTED_VALUE"""),"48 / 7 Tari Place, Trinity Beach, QLD, 4879, Australia")</f>
        <v>48 / 7 Tari Place, Trinity Beach, QLD, 4879, Australia</v>
      </c>
      <c r="E2126" s="25">
        <f>IFERROR(__xludf.DUMMYFUNCTION("""COMPUTED_VALUE"""),45965.0)</f>
        <v>45965</v>
      </c>
      <c r="F2126" s="5" t="str">
        <f>IFERROR(__xludf.DUMMYFUNCTION("""COMPUTED_VALUE"""),"Featured")</f>
        <v>Featured</v>
      </c>
      <c r="G2126" s="19" t="str">
        <f>IFERROR(__xludf.DUMMYFUNCTION("""COMPUTED_VALUE"""),"Commission Comparison")</f>
        <v>Commission Comparison</v>
      </c>
      <c r="H2126" s="19" t="str">
        <f>IFERROR(__xludf.DUMMYFUNCTION("""COMPUTED_VALUE"""),"Jeff Bidner")</f>
        <v>Jeff Bidner</v>
      </c>
      <c r="I2126" s="62">
        <f>IFERROR(__xludf.DUMMYFUNCTION("""COMPUTED_VALUE"""),6.1439575441E10)</f>
        <v>61439575441</v>
      </c>
      <c r="J2126" s="19" t="str">
        <f>IFERROR(__xludf.DUMMYFUNCTION("""COMPUTED_VALUE"""),"jeff6956@gmail.com")</f>
        <v>jeff6956@gmail.com</v>
      </c>
    </row>
    <row r="2127">
      <c r="A2127" s="19" t="str">
        <f>IFERROR(__xludf.DUMMYFUNCTION("""COMPUTED_VALUE"""),"Sam Holt")</f>
        <v>Sam Holt</v>
      </c>
      <c r="B2127" s="19" t="str">
        <f>IFERROR(__xludf.DUMMYFUNCTION("""COMPUTED_VALUE"""),"QLD")</f>
        <v>QLD</v>
      </c>
      <c r="C2127" s="5" t="str">
        <f>IFERROR(__xludf.DUMMYFUNCTION("""COMPUTED_VALUE"""),"Kanimbla")</f>
        <v>Kanimbla</v>
      </c>
      <c r="D2127" s="5" t="str">
        <f>IFERROR(__xludf.DUMMYFUNCTION("""COMPUTED_VALUE"""),"2 Robson Street Kanimbla QLD 4870")</f>
        <v>2 Robson Street Kanimbla QLD 4870</v>
      </c>
      <c r="E2127" s="25">
        <f>IFERROR(__xludf.DUMMYFUNCTION("""COMPUTED_VALUE"""),45968.0)</f>
        <v>45968</v>
      </c>
      <c r="F2127" s="5" t="str">
        <f>IFERROR(__xludf.DUMMYFUNCTION("""COMPUTED_VALUE"""),"Featured")</f>
        <v>Featured</v>
      </c>
      <c r="G2127" s="19" t="str">
        <f>IFERROR(__xludf.DUMMYFUNCTION("""COMPUTED_VALUE"""),"Commission Comparison")</f>
        <v>Commission Comparison</v>
      </c>
      <c r="H2127" s="19" t="str">
        <f>IFERROR(__xludf.DUMMYFUNCTION("""COMPUTED_VALUE"""),"Kim Freckleton")</f>
        <v>Kim Freckleton</v>
      </c>
      <c r="I2127" s="62">
        <f>IFERROR(__xludf.DUMMYFUNCTION("""COMPUTED_VALUE"""),6.1498267846E10)</f>
        <v>61498267846</v>
      </c>
      <c r="J2127" s="19" t="str">
        <f>IFERROR(__xludf.DUMMYFUNCTION("""COMPUTED_VALUE"""),"geoffreyfreckleton40@gmail.com")</f>
        <v>geoffreyfreckleton40@gmail.com</v>
      </c>
    </row>
    <row r="2128">
      <c r="A2128" s="19" t="str">
        <f>IFERROR(__xludf.DUMMYFUNCTION("""COMPUTED_VALUE"""),"Sam Holt")</f>
        <v>Sam Holt</v>
      </c>
      <c r="B2128" s="19" t="str">
        <f>IFERROR(__xludf.DUMMYFUNCTION("""COMPUTED_VALUE"""),"QLD")</f>
        <v>QLD</v>
      </c>
      <c r="C2128" s="5" t="str">
        <f>IFERROR(__xludf.DUMMYFUNCTION("""COMPUTED_VALUE"""),"Bentley Park")</f>
        <v>Bentley Park</v>
      </c>
      <c r="D2128" s="5" t="str">
        <f>IFERROR(__xludf.DUMMYFUNCTION("""COMPUTED_VALUE"""),"14 Charnley Avenue, Bentley Park, QLD, 4869, Australia")</f>
        <v>14 Charnley Avenue, Bentley Park, QLD, 4869, Australia</v>
      </c>
      <c r="E2128" s="27">
        <f>IFERROR(__xludf.DUMMYFUNCTION("""COMPUTED_VALUE"""),45880.0)</f>
        <v>45880</v>
      </c>
      <c r="F2128" s="5" t="str">
        <f>IFERROR(__xludf.DUMMYFUNCTION("""COMPUTED_VALUE"""),"Featured")</f>
        <v>Featured</v>
      </c>
      <c r="G2128" s="19" t="str">
        <f>IFERROR(__xludf.DUMMYFUNCTION("""COMPUTED_VALUE"""),"Commission Comparison")</f>
        <v>Commission Comparison</v>
      </c>
      <c r="H2128" s="19" t="str">
        <f>IFERROR(__xludf.DUMMYFUNCTION("""COMPUTED_VALUE"""),"Susan Morton")</f>
        <v>Susan Morton</v>
      </c>
      <c r="I2128" s="62">
        <f>IFERROR(__xludf.DUMMYFUNCTION("""COMPUTED_VALUE"""),6.1493296149E10)</f>
        <v>61493296149</v>
      </c>
      <c r="J2128" s="19" t="str">
        <f>IFERROR(__xludf.DUMMYFUNCTION("""COMPUTED_VALUE"""),"susanatno62@gmail.com")</f>
        <v>susanatno62@gmail.com</v>
      </c>
    </row>
    <row r="2129">
      <c r="A2129" s="19" t="str">
        <f>IFERROR(__xludf.DUMMYFUNCTION("""COMPUTED_VALUE"""),"Sam Holt")</f>
        <v>Sam Holt</v>
      </c>
      <c r="B2129" s="19" t="str">
        <f>IFERROR(__xludf.DUMMYFUNCTION("""COMPUTED_VALUE"""),"QLD")</f>
        <v>QLD</v>
      </c>
      <c r="C2129" s="5" t="str">
        <f>IFERROR(__xludf.DUMMYFUNCTION("""COMPUTED_VALUE"""),"Edmonton")</f>
        <v>Edmonton</v>
      </c>
      <c r="D2129" s="5" t="str">
        <f>IFERROR(__xludf.DUMMYFUNCTION("""COMPUTED_VALUE"""),"12 Hyacinth Close EDMONTON QLD 4869")</f>
        <v>12 Hyacinth Close EDMONTON QLD 4869</v>
      </c>
      <c r="E2129" s="25">
        <f>IFERROR(__xludf.DUMMYFUNCTION("""COMPUTED_VALUE"""),45969.0)</f>
        <v>45969</v>
      </c>
      <c r="F2129" s="5">
        <f>IFERROR(__xludf.DUMMYFUNCTION("""COMPUTED_VALUE"""),8.0)</f>
        <v>8</v>
      </c>
      <c r="G2129" s="19" t="str">
        <f>IFERROR(__xludf.DUMMYFUNCTION("""COMPUTED_VALUE"""),"Instant Forms")</f>
        <v>Instant Forms</v>
      </c>
      <c r="H2129" s="19" t="str">
        <f>IFERROR(__xludf.DUMMYFUNCTION("""COMPUTED_VALUE"""),"Kathy Mills")</f>
        <v>Kathy Mills</v>
      </c>
      <c r="I2129" s="62">
        <f>IFERROR(__xludf.DUMMYFUNCTION("""COMPUTED_VALUE"""),6.1417745695E10)</f>
        <v>61417745695</v>
      </c>
      <c r="J2129" s="19" t="str">
        <f>IFERROR(__xludf.DUMMYFUNCTION("""COMPUTED_VALUE"""),"mills2008@bigpond.com")</f>
        <v>mills2008@bigpond.com</v>
      </c>
    </row>
    <row r="2130">
      <c r="A2130" s="19" t="str">
        <f>IFERROR(__xludf.DUMMYFUNCTION("""COMPUTED_VALUE"""),"Sam Holt")</f>
        <v>Sam Holt</v>
      </c>
      <c r="B2130" s="19" t="str">
        <f>IFERROR(__xludf.DUMMYFUNCTION("""COMPUTED_VALUE"""),"QLD")</f>
        <v>QLD</v>
      </c>
      <c r="C2130" s="5" t="str">
        <f>IFERROR(__xludf.DUMMYFUNCTION("""COMPUTED_VALUE"""),"Redlynch")</f>
        <v>Redlynch</v>
      </c>
      <c r="D2130" s="5" t="str">
        <f>IFERROR(__xludf.DUMMYFUNCTION("""COMPUTED_VALUE"""),"63 Gamburra Drive Redlynch QLD 4870")</f>
        <v>63 Gamburra Drive Redlynch QLD 4870</v>
      </c>
      <c r="E2130" s="25">
        <f>IFERROR(__xludf.DUMMYFUNCTION("""COMPUTED_VALUE"""),45973.0)</f>
        <v>45973</v>
      </c>
      <c r="F2130" s="5">
        <f>IFERROR(__xludf.DUMMYFUNCTION("""COMPUTED_VALUE"""),9.0)</f>
        <v>9</v>
      </c>
      <c r="G2130" s="19" t="str">
        <f>IFERROR(__xludf.DUMMYFUNCTION("""COMPUTED_VALUE"""),"Instant Forms")</f>
        <v>Instant Forms</v>
      </c>
      <c r="H2130" s="19" t="str">
        <f>IFERROR(__xludf.DUMMYFUNCTION("""COMPUTED_VALUE"""),"Billy Mensforth")</f>
        <v>Billy Mensforth</v>
      </c>
      <c r="I2130" s="62">
        <f>IFERROR(__xludf.DUMMYFUNCTION("""COMPUTED_VALUE"""),6.140957755E10)</f>
        <v>61409577550</v>
      </c>
      <c r="J2130" s="19" t="str">
        <f>IFERROR(__xludf.DUMMYFUNCTION("""COMPUTED_VALUE"""),"billymensforth@bigpond.com")</f>
        <v>billymensforth@bigpond.com</v>
      </c>
    </row>
    <row r="2131">
      <c r="A2131" s="19" t="str">
        <f>IFERROR(__xludf.DUMMYFUNCTION("""COMPUTED_VALUE"""),"Sam Holt")</f>
        <v>Sam Holt</v>
      </c>
      <c r="B2131" s="19" t="str">
        <f>IFERROR(__xludf.DUMMYFUNCTION("""COMPUTED_VALUE"""),"QLD")</f>
        <v>QLD</v>
      </c>
      <c r="C2131" s="5" t="str">
        <f>IFERROR(__xludf.DUMMYFUNCTION("""COMPUTED_VALUE"""),"Whitfield")</f>
        <v>Whitfield</v>
      </c>
      <c r="D2131" s="5" t="str">
        <f>IFERROR(__xludf.DUMMYFUNCTION("""COMPUTED_VALUE"""),"24 Simon Street FRESHWATER QLD 4870")</f>
        <v>24 Simon Street FRESHWATER QLD 4870</v>
      </c>
      <c r="E2131" s="25">
        <f>IFERROR(__xludf.DUMMYFUNCTION("""COMPUTED_VALUE"""),45977.0)</f>
        <v>45977</v>
      </c>
      <c r="F2131" s="5">
        <f>IFERROR(__xludf.DUMMYFUNCTION("""COMPUTED_VALUE"""),8.0)</f>
        <v>8</v>
      </c>
      <c r="G2131" s="19" t="str">
        <f>IFERROR(__xludf.DUMMYFUNCTION("""COMPUTED_VALUE"""),"Instant Forms")</f>
        <v>Instant Forms</v>
      </c>
      <c r="H2131" s="19" t="str">
        <f>IFERROR(__xludf.DUMMYFUNCTION("""COMPUTED_VALUE"""),"Ron Livingston")</f>
        <v>Ron Livingston</v>
      </c>
      <c r="I2131" s="62">
        <f>IFERROR(__xludf.DUMMYFUNCTION("""COMPUTED_VALUE"""),6.1417771075E10)</f>
        <v>61417771075</v>
      </c>
      <c r="J2131" s="19" t="str">
        <f>IFERROR(__xludf.DUMMYFUNCTION("""COMPUTED_VALUE"""),"ron@ipresumeptyltd.com")</f>
        <v>ron@ipresumeptyltd.com</v>
      </c>
    </row>
    <row r="2132">
      <c r="A2132" s="19" t="str">
        <f>IFERROR(__xludf.DUMMYFUNCTION("""COMPUTED_VALUE"""),"Sam Holt")</f>
        <v>Sam Holt</v>
      </c>
      <c r="B2132" s="19" t="str">
        <f>IFERROR(__xludf.DUMMYFUNCTION("""COMPUTED_VALUE"""),"QLD")</f>
        <v>QLD</v>
      </c>
      <c r="C2132" s="5" t="str">
        <f>IFERROR(__xludf.DUMMYFUNCTION("""COMPUTED_VALUE"""),"Freshwater")</f>
        <v>Freshwater</v>
      </c>
      <c r="D2132" s="5" t="str">
        <f>IFERROR(__xludf.DUMMYFUNCTION("""COMPUTED_VALUE"""),"6/40-42 Old Smithfield Road Freshwater QLD 4870")</f>
        <v>6/40-42 Old Smithfield Road Freshwater QLD 4870</v>
      </c>
      <c r="E2132" s="25">
        <f>IFERROR(__xludf.DUMMYFUNCTION("""COMPUTED_VALUE"""),45978.0)</f>
        <v>45978</v>
      </c>
      <c r="F2132" s="5">
        <f>IFERROR(__xludf.DUMMYFUNCTION("""COMPUTED_VALUE"""),8.0)</f>
        <v>8</v>
      </c>
      <c r="G2132" s="19" t="str">
        <f>IFERROR(__xludf.DUMMYFUNCTION("""COMPUTED_VALUE"""),"Instant Forms")</f>
        <v>Instant Forms</v>
      </c>
      <c r="H2132" s="19" t="str">
        <f>IFERROR(__xludf.DUMMYFUNCTION("""COMPUTED_VALUE"""),"Sue McGirr")</f>
        <v>Sue McGirr</v>
      </c>
      <c r="I2132" s="62">
        <f>IFERROR(__xludf.DUMMYFUNCTION("""COMPUTED_VALUE"""),6.1432810922E10)</f>
        <v>61432810922</v>
      </c>
      <c r="J2132" s="19" t="str">
        <f>IFERROR(__xludf.DUMMYFUNCTION("""COMPUTED_VALUE"""),"susankeane2011@hotmail.com")</f>
        <v>susankeane2011@hotmail.com</v>
      </c>
    </row>
    <row r="2133">
      <c r="A2133" s="19" t="str">
        <f>IFERROR(__xludf.DUMMYFUNCTION("""COMPUTED_VALUE"""),"Sam Holt")</f>
        <v>Sam Holt</v>
      </c>
      <c r="B2133" s="19" t="str">
        <f>IFERROR(__xludf.DUMMYFUNCTION("""COMPUTED_VALUE"""),"QLD")</f>
        <v>QLD</v>
      </c>
      <c r="C2133" s="5" t="str">
        <f>IFERROR(__xludf.DUMMYFUNCTION("""COMPUTED_VALUE"""),"Mooroobool")</f>
        <v>Mooroobool</v>
      </c>
      <c r="D2133" s="5" t="str">
        <f>IFERROR(__xludf.DUMMYFUNCTION("""COMPUTED_VALUE"""),"4/46 Beatrice Street")</f>
        <v>4/46 Beatrice Street</v>
      </c>
      <c r="E2133" s="25">
        <f>IFERROR(__xludf.DUMMYFUNCTION("""COMPUTED_VALUE"""),45978.0)</f>
        <v>45978</v>
      </c>
      <c r="F2133" s="5" t="str">
        <f>IFERROR(__xludf.DUMMYFUNCTION("""COMPUTED_VALUE"""),"Featured")</f>
        <v>Featured</v>
      </c>
      <c r="G2133" s="19" t="str">
        <f>IFERROR(__xludf.DUMMYFUNCTION("""COMPUTED_VALUE"""),"Commission Comparison")</f>
        <v>Commission Comparison</v>
      </c>
      <c r="H2133" s="19" t="str">
        <f>IFERROR(__xludf.DUMMYFUNCTION("""COMPUTED_VALUE"""),"Jan Cahalan")</f>
        <v>Jan Cahalan</v>
      </c>
      <c r="I2133" s="62">
        <f>IFERROR(__xludf.DUMMYFUNCTION("""COMPUTED_VALUE"""),6.1438764965E10)</f>
        <v>61438764965</v>
      </c>
      <c r="J2133" s="19" t="str">
        <f>IFERROR(__xludf.DUMMYFUNCTION("""COMPUTED_VALUE"""),"jancaha@mail.com")</f>
        <v>jancaha@mail.com</v>
      </c>
    </row>
    <row r="2134">
      <c r="A2134" s="19" t="str">
        <f>IFERROR(__xludf.DUMMYFUNCTION("""COMPUTED_VALUE"""),"Sam Holt")</f>
        <v>Sam Holt</v>
      </c>
      <c r="B2134" s="19" t="str">
        <f>IFERROR(__xludf.DUMMYFUNCTION("""COMPUTED_VALUE"""),"QLD")</f>
        <v>QLD</v>
      </c>
      <c r="C2134" s="5" t="str">
        <f>IFERROR(__xludf.DUMMYFUNCTION("""COMPUTED_VALUE"""),"Edmonton")</f>
        <v>Edmonton</v>
      </c>
      <c r="D2134" s="5" t="str">
        <f>IFERROR(__xludf.DUMMYFUNCTION("""COMPUTED_VALUE"""),"14 Wiseman Road, Edmonton.")</f>
        <v>14 Wiseman Road, Edmonton.</v>
      </c>
      <c r="E2134" s="5" t="str">
        <f>IFERROR(__xludf.DUMMYFUNCTION("""COMPUTED_VALUE"""),"18/11/2025")</f>
        <v>18/11/2025</v>
      </c>
      <c r="F2134" s="5" t="str">
        <f>IFERROR(__xludf.DUMMYFUNCTION("""COMPUTED_VALUE"""),"Featured")</f>
        <v>Featured</v>
      </c>
      <c r="G2134" s="19" t="str">
        <f>IFERROR(__xludf.DUMMYFUNCTION("""COMPUTED_VALUE"""),"Commission Comparison")</f>
        <v>Commission Comparison</v>
      </c>
      <c r="H2134" s="19" t="str">
        <f>IFERROR(__xludf.DUMMYFUNCTION("""COMPUTED_VALUE"""),"Jeffery Hartley")</f>
        <v>Jeffery Hartley</v>
      </c>
      <c r="I2134" s="62">
        <f>IFERROR(__xludf.DUMMYFUNCTION("""COMPUTED_VALUE"""),6.1411526939E10)</f>
        <v>61411526939</v>
      </c>
      <c r="J2134" s="19" t="str">
        <f>IFERROR(__xludf.DUMMYFUNCTION("""COMPUTED_VALUE"""),"jeffery_hartley@yahoo.com.au")</f>
        <v>jeffery_hartley@yahoo.com.au</v>
      </c>
    </row>
    <row r="2135">
      <c r="A2135" s="19" t="str">
        <f>IFERROR(__xludf.DUMMYFUNCTION("""COMPUTED_VALUE"""),"Sam Holt")</f>
        <v>Sam Holt</v>
      </c>
      <c r="B2135" s="19" t="str">
        <f>IFERROR(__xludf.DUMMYFUNCTION("""COMPUTED_VALUE"""),"QLD")</f>
        <v>QLD</v>
      </c>
      <c r="C2135" s="5" t="str">
        <f>IFERROR(__xludf.DUMMYFUNCTION("""COMPUTED_VALUE"""),"Redlynch")</f>
        <v>Redlynch</v>
      </c>
      <c r="D2135" s="5" t="str">
        <f>IFERROR(__xludf.DUMMYFUNCTION("""COMPUTED_VALUE"""),"2-4 Abington Close Redlynch QLD 4870, Redlynch, 4870")</f>
        <v>2-4 Abington Close Redlynch QLD 4870, Redlynch, 4870</v>
      </c>
      <c r="E2135" s="5" t="str">
        <f>IFERROR(__xludf.DUMMYFUNCTION("""COMPUTED_VALUE"""),"23/11/2025")</f>
        <v>23/11/2025</v>
      </c>
      <c r="F2135" s="5" t="str">
        <f>IFERROR(__xludf.DUMMYFUNCTION("""COMPUTED_VALUE"""),"Featured")</f>
        <v>Featured</v>
      </c>
      <c r="G2135" s="19" t="str">
        <f>IFERROR(__xludf.DUMMYFUNCTION("""COMPUTED_VALUE"""),"Meta Commission Report")</f>
        <v>Meta Commission Report</v>
      </c>
      <c r="H2135" s="19" t="str">
        <f>IFERROR(__xludf.DUMMYFUNCTION("""COMPUTED_VALUE"""),"John Pons")</f>
        <v>John Pons</v>
      </c>
      <c r="I2135" s="62">
        <f>IFERROR(__xludf.DUMMYFUNCTION("""COMPUTED_VALUE"""),6.1488335147E10)</f>
        <v>61488335147</v>
      </c>
      <c r="J2135" s="19" t="str">
        <f>IFERROR(__xludf.DUMMYFUNCTION("""COMPUTED_VALUE"""),"jjpons5050@gmail.com")</f>
        <v>jjpons5050@gmail.com</v>
      </c>
    </row>
    <row r="2136">
      <c r="A2136" s="19" t="str">
        <f>IFERROR(__xludf.DUMMYFUNCTION("""COMPUTED_VALUE"""),"Sam Holt")</f>
        <v>Sam Holt</v>
      </c>
      <c r="B2136" s="19" t="str">
        <f>IFERROR(__xludf.DUMMYFUNCTION("""COMPUTED_VALUE"""),"QLD")</f>
        <v>QLD</v>
      </c>
      <c r="C2136" s="5" t="str">
        <f>IFERROR(__xludf.DUMMYFUNCTION("""COMPUTED_VALUE"""),"Manunda")</f>
        <v>Manunda</v>
      </c>
      <c r="D2136" s="5" t="str">
        <f>IFERROR(__xludf.DUMMYFUNCTION("""COMPUTED_VALUE"""),"28 English Street Manunda QLD 4870")</f>
        <v>28 English Street Manunda QLD 4870</v>
      </c>
      <c r="E2136" s="5" t="str">
        <f>IFERROR(__xludf.DUMMYFUNCTION("""COMPUTED_VALUE"""),"23/11/2025")</f>
        <v>23/11/2025</v>
      </c>
      <c r="F2136" s="5">
        <f>IFERROR(__xludf.DUMMYFUNCTION("""COMPUTED_VALUE"""),8.0)</f>
        <v>8</v>
      </c>
      <c r="G2136" s="19" t="str">
        <f>IFERROR(__xludf.DUMMYFUNCTION("""COMPUTED_VALUE"""),"Instant Forms")</f>
        <v>Instant Forms</v>
      </c>
      <c r="H2136" s="19" t="str">
        <f>IFERROR(__xludf.DUMMYFUNCTION("""COMPUTED_VALUE"""),"Les Thompson")</f>
        <v>Les Thompson</v>
      </c>
      <c r="I2136" s="62">
        <f>IFERROR(__xludf.DUMMYFUNCTION("""COMPUTED_VALUE"""),6.1439765637E10)</f>
        <v>61439765637</v>
      </c>
      <c r="J2136" s="19" t="str">
        <f>IFERROR(__xludf.DUMMYFUNCTION("""COMPUTED_VALUE"""),"lesthompson955@hotmail.com")</f>
        <v>lesthompson955@hotmail.com</v>
      </c>
    </row>
    <row r="2137">
      <c r="A2137" s="19" t="str">
        <f>IFERROR(__xludf.DUMMYFUNCTION("""COMPUTED_VALUE"""),"Sam Holt")</f>
        <v>Sam Holt</v>
      </c>
      <c r="B2137" s="19" t="str">
        <f>IFERROR(__xludf.DUMMYFUNCTION("""COMPUTED_VALUE"""),"QLD")</f>
        <v>QLD</v>
      </c>
      <c r="C2137" s="5" t="str">
        <f>IFERROR(__xludf.DUMMYFUNCTION("""COMPUTED_VALUE"""),"Fishery Falls")</f>
        <v>Fishery Falls</v>
      </c>
      <c r="D2137" s="5" t="str">
        <f>IFERROR(__xludf.DUMMYFUNCTION("""COMPUTED_VALUE"""),"18-20 McMahon Drive Fishery Falls QLD 4871")</f>
        <v>18-20 McMahon Drive Fishery Falls QLD 4871</v>
      </c>
      <c r="E2137" s="5" t="str">
        <f>IFERROR(__xludf.DUMMYFUNCTION("""COMPUTED_VALUE"""),"27/11/2025")</f>
        <v>27/11/2025</v>
      </c>
      <c r="F2137" s="64">
        <f>IFERROR(__xludf.DUMMYFUNCTION("""COMPUTED_VALUE"""),0.2)</f>
        <v>0.2</v>
      </c>
      <c r="G2137" s="19" t="str">
        <f>IFERROR(__xludf.DUMMYFUNCTION("""COMPUTED_VALUE"""),"Instant Forms")</f>
        <v>Instant Forms</v>
      </c>
      <c r="H2137" s="19" t="str">
        <f>IFERROR(__xludf.DUMMYFUNCTION("""COMPUTED_VALUE"""),"Jenny Hill (Likely too far for you, but thought I'd send anyway)")</f>
        <v>Jenny Hill (Likely too far for you, but thought I'd send anyway)</v>
      </c>
      <c r="I2137" s="62">
        <f>IFERROR(__xludf.DUMMYFUNCTION("""COMPUTED_VALUE"""),6.1431231123E10)</f>
        <v>61431231123</v>
      </c>
      <c r="J2137" s="19" t="str">
        <f>IFERROR(__xludf.DUMMYFUNCTION("""COMPUTED_VALUE"""),"jennyhill2012@yahoo.com.au")</f>
        <v>jennyhill2012@yahoo.com.au</v>
      </c>
    </row>
    <row r="2138">
      <c r="A2138" s="19" t="str">
        <f>IFERROR(__xludf.DUMMYFUNCTION("""COMPUTED_VALUE"""),"Sam Holt")</f>
        <v>Sam Holt</v>
      </c>
      <c r="B2138" s="19" t="str">
        <f>IFERROR(__xludf.DUMMYFUNCTION("""COMPUTED_VALUE"""),"QLD")</f>
        <v>QLD</v>
      </c>
      <c r="C2138" s="5">
        <f>IFERROR(__xludf.DUMMYFUNCTION("""COMPUTED_VALUE"""),4870.0)</f>
        <v>4870</v>
      </c>
      <c r="D2138" s="5"/>
      <c r="E2138" s="5" t="str">
        <f>IFERROR(__xludf.DUMMYFUNCTION("""COMPUTED_VALUE"""),"29/11/2025")</f>
        <v>29/11/2025</v>
      </c>
      <c r="F2138" s="64">
        <f>IFERROR(__xludf.DUMMYFUNCTION("""COMPUTED_VALUE"""),0.0)</f>
        <v>0</v>
      </c>
      <c r="G2138" s="19" t="str">
        <f>IFERROR(__xludf.DUMMYFUNCTION("""COMPUTED_VALUE"""),"Instant Forms")</f>
        <v>Instant Forms</v>
      </c>
      <c r="H2138" s="19" t="str">
        <f>IFERROR(__xludf.DUMMYFUNCTION("""COMPUTED_VALUE"""),"Elizabeth Dawset")</f>
        <v>Elizabeth Dawset</v>
      </c>
      <c r="I2138" s="62">
        <f>IFERROR(__xludf.DUMMYFUNCTION("""COMPUTED_VALUE"""),6.1488666654E10)</f>
        <v>61488666654</v>
      </c>
      <c r="J2138" s="19" t="str">
        <f>IFERROR(__xludf.DUMMYFUNCTION("""COMPUTED_VALUE"""),"speedofdark159@gmail.com")</f>
        <v>speedofdark159@gmail.com</v>
      </c>
    </row>
    <row r="2139">
      <c r="A2139" s="19" t="str">
        <f>IFERROR(__xludf.DUMMYFUNCTION("""COMPUTED_VALUE"""),"Sam Holt")</f>
        <v>Sam Holt</v>
      </c>
      <c r="B2139" s="19" t="str">
        <f>IFERROR(__xludf.DUMMYFUNCTION("""COMPUTED_VALUE"""),"QLD")</f>
        <v>QLD</v>
      </c>
      <c r="C2139" s="5" t="str">
        <f>IFERROR(__xludf.DUMMYFUNCTION("""COMPUTED_VALUE"""),"Redlynch")</f>
        <v>Redlynch</v>
      </c>
      <c r="D2139" s="5" t="str">
        <f>IFERROR(__xludf.DUMMYFUNCTION("""COMPUTED_VALUE"""),"6 Terminalia St Redlynch, 4870")</f>
        <v>6 Terminalia St Redlynch, 4870</v>
      </c>
      <c r="E2139" s="27">
        <f>IFERROR(__xludf.DUMMYFUNCTION("""COMPUTED_VALUE"""),45700.0)</f>
        <v>45700</v>
      </c>
      <c r="F2139" s="64">
        <f>IFERROR(__xludf.DUMMYFUNCTION("""COMPUTED_VALUE"""),0.2)</f>
        <v>0.2</v>
      </c>
      <c r="G2139" s="19" t="str">
        <f>IFERROR(__xludf.DUMMYFUNCTION("""COMPUTED_VALUE"""),"Meta Commission Report")</f>
        <v>Meta Commission Report</v>
      </c>
      <c r="H2139" s="19" t="str">
        <f>IFERROR(__xludf.DUMMYFUNCTION("""COMPUTED_VALUE"""),"Luke Walker")</f>
        <v>Luke Walker</v>
      </c>
      <c r="I2139" s="62">
        <f>IFERROR(__xludf.DUMMYFUNCTION("""COMPUTED_VALUE"""),6.1419903105E10)</f>
        <v>61419903105</v>
      </c>
      <c r="J2139" s="19" t="str">
        <f>IFERROR(__xludf.DUMMYFUNCTION("""COMPUTED_VALUE"""),"luke@skywalkertours.com")</f>
        <v>luke@skywalkertours.com</v>
      </c>
    </row>
    <row r="2140">
      <c r="A2140" s="19" t="str">
        <f>IFERROR(__xludf.DUMMYFUNCTION("""COMPUTED_VALUE"""),"Sam Holt")</f>
        <v>Sam Holt</v>
      </c>
      <c r="B2140" s="19" t="str">
        <f>IFERROR(__xludf.DUMMYFUNCTION("""COMPUTED_VALUE"""),"QLD")</f>
        <v>QLD</v>
      </c>
      <c r="C2140" s="5" t="str">
        <f>IFERROR(__xludf.DUMMYFUNCTION("""COMPUTED_VALUE"""),"Redlynch")</f>
        <v>Redlynch</v>
      </c>
      <c r="D2140" s="5" t="str">
        <f>IFERROR(__xludf.DUMMYFUNCTION("""COMPUTED_VALUE"""),"2-4 Rocks Road Redlynch, 4870")</f>
        <v>2-4 Rocks Road Redlynch, 4870</v>
      </c>
      <c r="E2140" s="27">
        <f>IFERROR(__xludf.DUMMYFUNCTION("""COMPUTED_VALUE"""),45700.0)</f>
        <v>45700</v>
      </c>
      <c r="F2140" s="64">
        <f>IFERROR(__xludf.DUMMYFUNCTION("""COMPUTED_VALUE"""),0.2)</f>
        <v>0.2</v>
      </c>
      <c r="G2140" s="19" t="str">
        <f>IFERROR(__xludf.DUMMYFUNCTION("""COMPUTED_VALUE"""),"Meta Commission Report")</f>
        <v>Meta Commission Report</v>
      </c>
      <c r="H2140" s="19" t="str">
        <f>IFERROR(__xludf.DUMMYFUNCTION("""COMPUTED_VALUE"""),"Bruce Saunders")</f>
        <v>Bruce Saunders</v>
      </c>
      <c r="I2140" s="62">
        <f>IFERROR(__xludf.DUMMYFUNCTION("""COMPUTED_VALUE"""),6.1407162946E10)</f>
        <v>61407162946</v>
      </c>
      <c r="J2140" s="19" t="str">
        <f>IFERROR(__xludf.DUMMYFUNCTION("""COMPUTED_VALUE"""),"brucesaunderspools@gmail.com")</f>
        <v>brucesaunderspools@gmail.com</v>
      </c>
    </row>
    <row r="2141">
      <c r="A2141" s="19" t="str">
        <f>IFERROR(__xludf.DUMMYFUNCTION("""COMPUTED_VALUE"""),"Sam Holt")</f>
        <v>Sam Holt</v>
      </c>
      <c r="B2141" s="19" t="str">
        <f>IFERROR(__xludf.DUMMYFUNCTION("""COMPUTED_VALUE"""),"QLD")</f>
        <v>QLD</v>
      </c>
      <c r="C2141" s="5" t="str">
        <f>IFERROR(__xludf.DUMMYFUNCTION("""COMPUTED_VALUE"""),"replace(replace(replace(trim(6 Egan Street Manunda QLD 4870); /,/g; "" ""); /\s+/g; "" ""); /.\b(?:avenue|ave|boulevard|blvd|bvd|circuit|cct|close|cl|court|ct|crescent|cres|drive|dr|esplanade|esp|grove|gr|highway|hwy|lane|ln|laneway|lnwy|parade|pde|place|"&amp;"pl|promenade|prom|road|rd|row|ro|street|st|terrace|tce|way|wy)\b\s+(.+?)\s+(NSW|QLD|VIC|WA|SA|TAS|ACT|NT)\s+\d{4}\b.$/i; ""$1"")")</f>
        <v>replace(replace(replace(trim(6 Egan Street Manunda QLD 4870);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141" s="5" t="str">
        <f>IFERROR(__xludf.DUMMYFUNCTION("""COMPUTED_VALUE"""),"6 Egan Street Manunda QLD 4870")</f>
        <v>6 Egan Street Manunda QLD 4870</v>
      </c>
      <c r="E2141" s="27">
        <f>IFERROR(__xludf.DUMMYFUNCTION("""COMPUTED_VALUE"""),45759.0)</f>
        <v>45759</v>
      </c>
      <c r="F2141" s="64">
        <f>IFERROR(__xludf.DUMMYFUNCTION("""COMPUTED_VALUE"""),0.2)</f>
        <v>0.2</v>
      </c>
      <c r="G2141" s="19" t="str">
        <f>IFERROR(__xludf.DUMMYFUNCTION("""COMPUTED_VALUE"""),"Instant Forms")</f>
        <v>Instant Forms</v>
      </c>
      <c r="H2141" s="19" t="str">
        <f>IFERROR(__xludf.DUMMYFUNCTION("""COMPUTED_VALUE"""),"Lynette Lyons")</f>
        <v>Lynette Lyons</v>
      </c>
      <c r="I2141" s="62">
        <f>IFERROR(__xludf.DUMMYFUNCTION("""COMPUTED_VALUE"""),6.1404039809E10)</f>
        <v>61404039809</v>
      </c>
      <c r="J2141" s="19" t="str">
        <f>IFERROR(__xludf.DUMMYFUNCTION("""COMPUTED_VALUE"""),"lynelyons54@gmail.com")</f>
        <v>lynelyons54@gmail.com</v>
      </c>
    </row>
    <row r="2142">
      <c r="A2142" s="19" t="str">
        <f>IFERROR(__xludf.DUMMYFUNCTION("""COMPUTED_VALUE"""),"Sam Holt")</f>
        <v>Sam Holt</v>
      </c>
      <c r="B2142" s="19" t="str">
        <f>IFERROR(__xludf.DUMMYFUNCTION("""COMPUTED_VALUE"""),"QLD")</f>
        <v>QLD</v>
      </c>
      <c r="C2142" s="5" t="str">
        <f>IFERROR(__xludf.DUMMYFUNCTION("""COMPUTED_VALUE"""),"Redlynch")</f>
        <v>Redlynch</v>
      </c>
      <c r="D2142" s="5" t="str">
        <f>IFERROR(__xludf.DUMMYFUNCTION("""COMPUTED_VALUE"""),"13 Bromell Close, 4870")</f>
        <v>13 Bromell Close, 4870</v>
      </c>
      <c r="E2142" s="27">
        <f>IFERROR(__xludf.DUMMYFUNCTION("""COMPUTED_VALUE"""),45820.0)</f>
        <v>45820</v>
      </c>
      <c r="F2142" s="64">
        <f>IFERROR(__xludf.DUMMYFUNCTION("""COMPUTED_VALUE"""),0.2)</f>
        <v>0.2</v>
      </c>
      <c r="G2142" s="19" t="str">
        <f>IFERROR(__xludf.DUMMYFUNCTION("""COMPUTED_VALUE"""),"Meta Commission Report")</f>
        <v>Meta Commission Report</v>
      </c>
      <c r="H2142" s="19" t="str">
        <f>IFERROR(__xludf.DUMMYFUNCTION("""COMPUTED_VALUE"""),"Louise Renton")</f>
        <v>Louise Renton</v>
      </c>
      <c r="I2142" s="62">
        <f>IFERROR(__xludf.DUMMYFUNCTION("""COMPUTED_VALUE"""),6.1448244886E10)</f>
        <v>61448244886</v>
      </c>
      <c r="J2142" s="19" t="str">
        <f>IFERROR(__xludf.DUMMYFUNCTION("""COMPUTED_VALUE"""),"louii44.lr@hotmail.com")</f>
        <v>louii44.lr@hotmail.com</v>
      </c>
    </row>
    <row r="2143">
      <c r="A2143" s="19" t="str">
        <f>IFERROR(__xludf.DUMMYFUNCTION("""COMPUTED_VALUE"""),"")</f>
        <v/>
      </c>
      <c r="B2143" s="19" t="str">
        <f>IFERROR(__xludf.DUMMYFUNCTION("""COMPUTED_VALUE"""),"")</f>
        <v/>
      </c>
      <c r="C2143" s="5" t="str">
        <f>IFERROR(__xludf.DUMMYFUNCTION("""COMPUTED_VALUE"""),"")</f>
        <v/>
      </c>
      <c r="D2143" s="5" t="str">
        <f>IFERROR(__xludf.DUMMYFUNCTION("""COMPUTED_VALUE"""),"")</f>
        <v/>
      </c>
      <c r="E2143" s="5" t="str">
        <f>IFERROR(__xludf.DUMMYFUNCTION("""COMPUTED_VALUE"""),"")</f>
        <v/>
      </c>
      <c r="F2143" s="5" t="str">
        <f>IFERROR(__xludf.DUMMYFUNCTION("""COMPUTED_VALUE"""),"")</f>
        <v/>
      </c>
      <c r="G2143" s="19" t="str">
        <f>IFERROR(__xludf.DUMMYFUNCTION("""COMPUTED_VALUE"""),"")</f>
        <v/>
      </c>
      <c r="H2143" s="19" t="str">
        <f>IFERROR(__xludf.DUMMYFUNCTION("""COMPUTED_VALUE"""),"")</f>
        <v/>
      </c>
      <c r="I2143" s="62" t="str">
        <f>IFERROR(__xludf.DUMMYFUNCTION("""COMPUTED_VALUE"""),"")</f>
        <v/>
      </c>
      <c r="J2143" s="19" t="str">
        <f>IFERROR(__xludf.DUMMYFUNCTION("""COMPUTED_VALUE"""),"")</f>
        <v/>
      </c>
    </row>
    <row r="2144">
      <c r="A2144" s="19" t="str">
        <f>IFERROR(__xludf.DUMMYFUNCTION("""COMPUTED_VALUE"""),"")</f>
        <v/>
      </c>
      <c r="B2144" s="19" t="str">
        <f>IFERROR(__xludf.DUMMYFUNCTION("""COMPUTED_VALUE"""),"")</f>
        <v/>
      </c>
      <c r="C2144" s="5" t="str">
        <f>IFERROR(__xludf.DUMMYFUNCTION("""COMPUTED_VALUE"""),"")</f>
        <v/>
      </c>
      <c r="D2144" s="5" t="str">
        <f>IFERROR(__xludf.DUMMYFUNCTION("""COMPUTED_VALUE"""),"")</f>
        <v/>
      </c>
      <c r="E2144" s="5" t="str">
        <f>IFERROR(__xludf.DUMMYFUNCTION("""COMPUTED_VALUE"""),"")</f>
        <v/>
      </c>
      <c r="F2144" s="5" t="str">
        <f>IFERROR(__xludf.DUMMYFUNCTION("""COMPUTED_VALUE"""),"")</f>
        <v/>
      </c>
      <c r="G2144" s="19" t="str">
        <f>IFERROR(__xludf.DUMMYFUNCTION("""COMPUTED_VALUE"""),"")</f>
        <v/>
      </c>
      <c r="H2144" s="19" t="str">
        <f>IFERROR(__xludf.DUMMYFUNCTION("""COMPUTED_VALUE"""),"")</f>
        <v/>
      </c>
      <c r="I2144" s="62" t="str">
        <f>IFERROR(__xludf.DUMMYFUNCTION("""COMPUTED_VALUE"""),"")</f>
        <v/>
      </c>
      <c r="J2144" s="19" t="str">
        <f>IFERROR(__xludf.DUMMYFUNCTION("""COMPUTED_VALUE"""),"")</f>
        <v/>
      </c>
    </row>
    <row r="2145">
      <c r="A2145" s="19" t="str">
        <f>IFERROR(__xludf.DUMMYFUNCTION("""COMPUTED_VALUE"""),"Sam Kolatchew")</f>
        <v>Sam Kolatchew</v>
      </c>
      <c r="B2145" s="19" t="str">
        <f>IFERROR(__xludf.DUMMYFUNCTION("""COMPUTED_VALUE"""),"NSW")</f>
        <v>NSW</v>
      </c>
      <c r="C2145" s="5" t="str">
        <f>IFERROR(__xludf.DUMMYFUNCTION("""COMPUTED_VALUE"""),"New Lambton")</f>
        <v>New Lambton</v>
      </c>
      <c r="D2145" s="5" t="str">
        <f>IFERROR(__xludf.DUMMYFUNCTION("""COMPUTED_VALUE"""),"6/81 Womboin Road Lambton NSW 2299")</f>
        <v>6/81 Womboin Road Lambton NSW 2299</v>
      </c>
      <c r="E2145" s="25">
        <f>IFERROR(__xludf.DUMMYFUNCTION("""COMPUTED_VALUE"""),45945.0)</f>
        <v>45945</v>
      </c>
      <c r="F2145" s="5">
        <f>IFERROR(__xludf.DUMMYFUNCTION("""COMPUTED_VALUE"""),6.0)</f>
        <v>6</v>
      </c>
      <c r="G2145" s="19" t="str">
        <f>IFERROR(__xludf.DUMMYFUNCTION("""COMPUTED_VALUE"""),"Instant Forms")</f>
        <v>Instant Forms</v>
      </c>
      <c r="H2145" s="19" t="str">
        <f>IFERROR(__xludf.DUMMYFUNCTION("""COMPUTED_VALUE"""),"Melissa Fry")</f>
        <v>Melissa Fry</v>
      </c>
      <c r="I2145" s="62"/>
      <c r="J2145" s="19"/>
    </row>
    <row r="2146">
      <c r="A2146" s="19" t="str">
        <f>IFERROR(__xludf.DUMMYFUNCTION("""COMPUTED_VALUE"""),"Sam Kolatchew")</f>
        <v>Sam Kolatchew</v>
      </c>
      <c r="B2146" s="19" t="str">
        <f>IFERROR(__xludf.DUMMYFUNCTION("""COMPUTED_VALUE"""),"NSW")</f>
        <v>NSW</v>
      </c>
      <c r="C2146" s="5" t="str">
        <f>IFERROR(__xludf.DUMMYFUNCTION("""COMPUTED_VALUE"""),"warabrook")</f>
        <v>warabrook</v>
      </c>
      <c r="D2146" s="5" t="str">
        <f>IFERROR(__xludf.DUMMYFUNCTION("""COMPUTED_VALUE"""),"8 Eurabbie ave Warabrook")</f>
        <v>8 Eurabbie ave Warabrook</v>
      </c>
      <c r="E2146" s="25">
        <f>IFERROR(__xludf.DUMMYFUNCTION("""COMPUTED_VALUE"""),45945.0)</f>
        <v>45945</v>
      </c>
      <c r="F2146" s="5" t="str">
        <f>IFERROR(__xludf.DUMMYFUNCTION("""COMPUTED_VALUE"""),"Featured")</f>
        <v>Featured</v>
      </c>
      <c r="G2146" s="19" t="str">
        <f>IFERROR(__xludf.DUMMYFUNCTION("""COMPUTED_VALUE"""),"Commission Comparison")</f>
        <v>Commission Comparison</v>
      </c>
      <c r="H2146" s="19"/>
      <c r="I2146" s="62"/>
      <c r="J2146" s="19"/>
    </row>
    <row r="2147">
      <c r="A2147" s="19" t="str">
        <f>IFERROR(__xludf.DUMMYFUNCTION("""COMPUTED_VALUE"""),"Sam Kolatchew")</f>
        <v>Sam Kolatchew</v>
      </c>
      <c r="B2147" s="19" t="str">
        <f>IFERROR(__xludf.DUMMYFUNCTION("""COMPUTED_VALUE"""),"NSW")</f>
        <v>NSW</v>
      </c>
      <c r="C2147" s="5" t="str">
        <f>IFERROR(__xludf.DUMMYFUNCTION("""COMPUTED_VALUE"""),"Nords Wharf")</f>
        <v>Nords Wharf</v>
      </c>
      <c r="D2147" s="5" t="str">
        <f>IFERROR(__xludf.DUMMYFUNCTION("""COMPUTED_VALUE"""),"33 Central Avenue Nords Wharf NSW 2281")</f>
        <v>33 Central Avenue Nords Wharf NSW 2281</v>
      </c>
      <c r="E2147" s="25">
        <f>IFERROR(__xludf.DUMMYFUNCTION("""COMPUTED_VALUE"""),45945.0)</f>
        <v>45945</v>
      </c>
      <c r="F2147" s="5">
        <f>IFERROR(__xludf.DUMMYFUNCTION("""COMPUTED_VALUE"""),8.0)</f>
        <v>8</v>
      </c>
      <c r="G2147" s="19" t="str">
        <f>IFERROR(__xludf.DUMMYFUNCTION("""COMPUTED_VALUE"""),"Instant Forms")</f>
        <v>Instant Forms</v>
      </c>
      <c r="H2147" s="19"/>
      <c r="I2147" s="62"/>
      <c r="J2147" s="19"/>
    </row>
    <row r="2148">
      <c r="A2148" s="19" t="str">
        <f>IFERROR(__xludf.DUMMYFUNCTION("""COMPUTED_VALUE"""),"Sam Kolatchew")</f>
        <v>Sam Kolatchew</v>
      </c>
      <c r="B2148" s="19" t="str">
        <f>IFERROR(__xludf.DUMMYFUNCTION("""COMPUTED_VALUE"""),"NSW")</f>
        <v>NSW</v>
      </c>
      <c r="C2148" s="5" t="str">
        <f>IFERROR(__xludf.DUMMYFUNCTION("""COMPUTED_VALUE"""),"Arcadia Vale")</f>
        <v>Arcadia Vale</v>
      </c>
      <c r="D2148" s="5" t="str">
        <f>IFERROR(__xludf.DUMMYFUNCTION("""COMPUTED_VALUE"""),"24 Fern Street Arcadia Vale NSW 2283")</f>
        <v>24 Fern Street Arcadia Vale NSW 2283</v>
      </c>
      <c r="E2148" s="25">
        <f>IFERROR(__xludf.DUMMYFUNCTION("""COMPUTED_VALUE"""),45946.0)</f>
        <v>45946</v>
      </c>
      <c r="F2148" s="5">
        <f>IFERROR(__xludf.DUMMYFUNCTION("""COMPUTED_VALUE"""),8.0)</f>
        <v>8</v>
      </c>
      <c r="G2148" s="19" t="str">
        <f>IFERROR(__xludf.DUMMYFUNCTION("""COMPUTED_VALUE"""),"Instant Forms")</f>
        <v>Instant Forms</v>
      </c>
      <c r="H2148" s="19"/>
      <c r="I2148" s="62"/>
      <c r="J2148" s="19"/>
    </row>
    <row r="2149">
      <c r="A2149" s="19" t="str">
        <f>IFERROR(__xludf.DUMMYFUNCTION("""COMPUTED_VALUE"""),"Sam Kolatchew")</f>
        <v>Sam Kolatchew</v>
      </c>
      <c r="B2149" s="19" t="str">
        <f>IFERROR(__xludf.DUMMYFUNCTION("""COMPUTED_VALUE"""),"NSW")</f>
        <v>NSW</v>
      </c>
      <c r="C2149" s="5" t="str">
        <f>IFERROR(__xludf.DUMMYFUNCTION("""COMPUTED_VALUE"""),"Cardiff")</f>
        <v>Cardiff</v>
      </c>
      <c r="D2149" s="5" t="str">
        <f>IFERROR(__xludf.DUMMYFUNCTION("""COMPUTED_VALUE"""),"7/14 Newcastle Street Cardiff NSW 2285")</f>
        <v>7/14 Newcastle Street Cardiff NSW 2285</v>
      </c>
      <c r="E2149" s="25">
        <f>IFERROR(__xludf.DUMMYFUNCTION("""COMPUTED_VALUE"""),45946.0)</f>
        <v>45946</v>
      </c>
      <c r="F2149" s="5">
        <f>IFERROR(__xludf.DUMMYFUNCTION("""COMPUTED_VALUE"""),8.0)</f>
        <v>8</v>
      </c>
      <c r="G2149" s="19" t="str">
        <f>IFERROR(__xludf.DUMMYFUNCTION("""COMPUTED_VALUE"""),"Instant Forms")</f>
        <v>Instant Forms</v>
      </c>
      <c r="H2149" s="19"/>
      <c r="I2149" s="62"/>
      <c r="J2149" s="19"/>
    </row>
    <row r="2150">
      <c r="A2150" s="19" t="str">
        <f>IFERROR(__xludf.DUMMYFUNCTION("""COMPUTED_VALUE"""),"Sam Kolatchew")</f>
        <v>Sam Kolatchew</v>
      </c>
      <c r="B2150" s="19" t="str">
        <f>IFERROR(__xludf.DUMMYFUNCTION("""COMPUTED_VALUE"""),"NSW")</f>
        <v>NSW</v>
      </c>
      <c r="C2150" s="5" t="str">
        <f>IFERROR(__xludf.DUMMYFUNCTION("""COMPUTED_VALUE"""),"Charlestown")</f>
        <v>Charlestown</v>
      </c>
      <c r="D2150" s="5" t="str">
        <f>IFERROR(__xludf.DUMMYFUNCTION("""COMPUTED_VALUE"""),"14 Kulai Street Charlestown NSW 2290")</f>
        <v>14 Kulai Street Charlestown NSW 2290</v>
      </c>
      <c r="E2150" s="25">
        <f>IFERROR(__xludf.DUMMYFUNCTION("""COMPUTED_VALUE"""),45949.0)</f>
        <v>45949</v>
      </c>
      <c r="F2150" s="5">
        <f>IFERROR(__xludf.DUMMYFUNCTION("""COMPUTED_VALUE"""),8.0)</f>
        <v>8</v>
      </c>
      <c r="G2150" s="19" t="str">
        <f>IFERROR(__xludf.DUMMYFUNCTION("""COMPUTED_VALUE"""),"Instant Forms")</f>
        <v>Instant Forms</v>
      </c>
      <c r="H2150" s="19"/>
      <c r="I2150" s="62"/>
      <c r="J2150" s="19"/>
    </row>
    <row r="2151">
      <c r="A2151" s="19" t="str">
        <f>IFERROR(__xludf.DUMMYFUNCTION("""COMPUTED_VALUE"""),"Sam Kolatchew")</f>
        <v>Sam Kolatchew</v>
      </c>
      <c r="B2151" s="19" t="str">
        <f>IFERROR(__xludf.DUMMYFUNCTION("""COMPUTED_VALUE"""),"NSW")</f>
        <v>NSW</v>
      </c>
      <c r="C2151" s="5" t="str">
        <f>IFERROR(__xludf.DUMMYFUNCTION("""COMPUTED_VALUE"""),"Hamilton south")</f>
        <v>Hamilton south</v>
      </c>
      <c r="D2151" s="5" t="str">
        <f>IFERROR(__xludf.DUMMYFUNCTION("""COMPUTED_VALUE"""),"157, Kemp St, Hamilton South N.S.W 2303")</f>
        <v>157, Kemp St, Hamilton South N.S.W 2303</v>
      </c>
      <c r="E2151" s="25">
        <f>IFERROR(__xludf.DUMMYFUNCTION("""COMPUTED_VALUE"""),45950.0)</f>
        <v>45950</v>
      </c>
      <c r="F2151" s="5" t="str">
        <f>IFERROR(__xludf.DUMMYFUNCTION("""COMPUTED_VALUE"""),"Featured")</f>
        <v>Featured</v>
      </c>
      <c r="G2151" s="19" t="str">
        <f>IFERROR(__xludf.DUMMYFUNCTION("""COMPUTED_VALUE"""),"Commission Comparison")</f>
        <v>Commission Comparison</v>
      </c>
      <c r="H2151" s="19"/>
      <c r="I2151" s="62"/>
      <c r="J2151" s="19"/>
    </row>
    <row r="2152">
      <c r="A2152" s="19" t="str">
        <f>IFERROR(__xludf.DUMMYFUNCTION("""COMPUTED_VALUE"""),"Sam Kolatchew")</f>
        <v>Sam Kolatchew</v>
      </c>
      <c r="B2152" s="19" t="str">
        <f>IFERROR(__xludf.DUMMYFUNCTION("""COMPUTED_VALUE"""),"NSW")</f>
        <v>NSW</v>
      </c>
      <c r="C2152" s="5" t="str">
        <f>IFERROR(__xludf.DUMMYFUNCTION("""COMPUTED_VALUE"""),"Cooks hill")</f>
        <v>Cooks hill</v>
      </c>
      <c r="D2152" s="5" t="str">
        <f>IFERROR(__xludf.DUMMYFUNCTION("""COMPUTED_VALUE"""),"16 Bingle Street The Hill NSW 2300")</f>
        <v>16 Bingle Street The Hill NSW 2300</v>
      </c>
      <c r="E2152" s="25">
        <f>IFERROR(__xludf.DUMMYFUNCTION("""COMPUTED_VALUE"""),45953.0)</f>
        <v>45953</v>
      </c>
      <c r="F2152" s="5">
        <f>IFERROR(__xludf.DUMMYFUNCTION("""COMPUTED_VALUE"""),8.0)</f>
        <v>8</v>
      </c>
      <c r="G2152" s="19" t="str">
        <f>IFERROR(__xludf.DUMMYFUNCTION("""COMPUTED_VALUE"""),"Instant Forms")</f>
        <v>Instant Forms</v>
      </c>
      <c r="H2152" s="19"/>
      <c r="I2152" s="62"/>
      <c r="J2152" s="19"/>
    </row>
    <row r="2153">
      <c r="A2153" s="19" t="str">
        <f>IFERROR(__xludf.DUMMYFUNCTION("""COMPUTED_VALUE"""),"Sam Kolatchew")</f>
        <v>Sam Kolatchew</v>
      </c>
      <c r="B2153" s="19" t="str">
        <f>IFERROR(__xludf.DUMMYFUNCTION("""COMPUTED_VALUE"""),"NSW")</f>
        <v>NSW</v>
      </c>
      <c r="C2153" s="5" t="str">
        <f>IFERROR(__xludf.DUMMYFUNCTION("""COMPUTED_VALUE"""),"Woodrising")</f>
        <v>Woodrising</v>
      </c>
      <c r="D2153" s="5" t="str">
        <f>IFERROR(__xludf.DUMMYFUNCTION("""COMPUTED_VALUE"""),"10 Leeward Close Woodrising NSW 2284")</f>
        <v>10 Leeward Close Woodrising NSW 2284</v>
      </c>
      <c r="E2153" s="25">
        <f>IFERROR(__xludf.DUMMYFUNCTION("""COMPUTED_VALUE"""),45954.0)</f>
        <v>45954</v>
      </c>
      <c r="F2153" s="5">
        <f>IFERROR(__xludf.DUMMYFUNCTION("""COMPUTED_VALUE"""),6.0)</f>
        <v>6</v>
      </c>
      <c r="G2153" s="19" t="str">
        <f>IFERROR(__xludf.DUMMYFUNCTION("""COMPUTED_VALUE"""),"Instant Forms")</f>
        <v>Instant Forms</v>
      </c>
      <c r="H2153" s="19"/>
      <c r="I2153" s="62"/>
      <c r="J2153" s="19"/>
    </row>
    <row r="2154">
      <c r="A2154" s="19" t="str">
        <f>IFERROR(__xludf.DUMMYFUNCTION("""COMPUTED_VALUE"""),"Sam Kolatchew")</f>
        <v>Sam Kolatchew</v>
      </c>
      <c r="B2154" s="19" t="str">
        <f>IFERROR(__xludf.DUMMYFUNCTION("""COMPUTED_VALUE"""),"NSW")</f>
        <v>NSW</v>
      </c>
      <c r="C2154" s="5" t="str">
        <f>IFERROR(__xludf.DUMMYFUNCTION("""COMPUTED_VALUE"""),"Buttaba")</f>
        <v>Buttaba</v>
      </c>
      <c r="D2154" s="5" t="str">
        <f>IFERROR(__xludf.DUMMYFUNCTION("""COMPUTED_VALUE"""),"94 Clydebank Road Buttaba NSW 2283")</f>
        <v>94 Clydebank Road Buttaba NSW 2283</v>
      </c>
      <c r="E2154" s="25">
        <f>IFERROR(__xludf.DUMMYFUNCTION("""COMPUTED_VALUE"""),45955.0)</f>
        <v>45955</v>
      </c>
      <c r="F2154" s="5">
        <f>IFERROR(__xludf.DUMMYFUNCTION("""COMPUTED_VALUE"""),8.0)</f>
        <v>8</v>
      </c>
      <c r="G2154" s="19" t="str">
        <f>IFERROR(__xludf.DUMMYFUNCTION("""COMPUTED_VALUE"""),"Instant Forms")</f>
        <v>Instant Forms</v>
      </c>
      <c r="H2154" s="19"/>
      <c r="I2154" s="62"/>
      <c r="J2154" s="19"/>
    </row>
    <row r="2155">
      <c r="A2155" s="19" t="str">
        <f>IFERROR(__xludf.DUMMYFUNCTION("""COMPUTED_VALUE"""),"Sam Kolatchew")</f>
        <v>Sam Kolatchew</v>
      </c>
      <c r="B2155" s="19" t="str">
        <f>IFERROR(__xludf.DUMMYFUNCTION("""COMPUTED_VALUE"""),"NSW")</f>
        <v>NSW</v>
      </c>
      <c r="C2155" s="5" t="str">
        <f>IFERROR(__xludf.DUMMYFUNCTION("""COMPUTED_VALUE"""),"Cardiff South")</f>
        <v>Cardiff South</v>
      </c>
      <c r="D2155" s="5" t="str">
        <f>IFERROR(__xludf.DUMMYFUNCTION("""COMPUTED_VALUE"""),"10 Albert St")</f>
        <v>10 Albert St</v>
      </c>
      <c r="E2155" s="25">
        <f>IFERROR(__xludf.DUMMYFUNCTION("""COMPUTED_VALUE"""),45955.0)</f>
        <v>45955</v>
      </c>
      <c r="F2155" s="5" t="str">
        <f>IFERROR(__xludf.DUMMYFUNCTION("""COMPUTED_VALUE"""),"Featured")</f>
        <v>Featured</v>
      </c>
      <c r="G2155" s="19" t="str">
        <f>IFERROR(__xludf.DUMMYFUNCTION("""COMPUTED_VALUE"""),"Commission Comparison")</f>
        <v>Commission Comparison</v>
      </c>
      <c r="H2155" s="19"/>
      <c r="I2155" s="62"/>
      <c r="J2155" s="19"/>
    </row>
    <row r="2156">
      <c r="A2156" s="19" t="str">
        <f>IFERROR(__xludf.DUMMYFUNCTION("""COMPUTED_VALUE"""),"Sam Kolatchew")</f>
        <v>Sam Kolatchew</v>
      </c>
      <c r="B2156" s="19" t="str">
        <f>IFERROR(__xludf.DUMMYFUNCTION("""COMPUTED_VALUE"""),"NSW")</f>
        <v>NSW</v>
      </c>
      <c r="C2156" s="5" t="str">
        <f>IFERROR(__xludf.DUMMYFUNCTION("""COMPUTED_VALUE"""),"Mount Hutton 2290")</f>
        <v>Mount Hutton 2290</v>
      </c>
      <c r="D2156" s="5" t="str">
        <f>IFERROR(__xludf.DUMMYFUNCTION("""COMPUTED_VALUE"""),"10 Melody Lane Mount Hutton NSW 2290")</f>
        <v>10 Melody Lane Mount Hutton NSW 2290</v>
      </c>
      <c r="E2156" s="25">
        <f>IFERROR(__xludf.DUMMYFUNCTION("""COMPUTED_VALUE"""),45956.0)</f>
        <v>45956</v>
      </c>
      <c r="F2156" s="5">
        <f>IFERROR(__xludf.DUMMYFUNCTION("""COMPUTED_VALUE"""),8.0)</f>
        <v>8</v>
      </c>
      <c r="G2156" s="19" t="str">
        <f>IFERROR(__xludf.DUMMYFUNCTION("""COMPUTED_VALUE"""),"Instant Forms")</f>
        <v>Instant Forms</v>
      </c>
      <c r="H2156" s="19"/>
      <c r="I2156" s="62"/>
      <c r="J2156" s="19"/>
    </row>
    <row r="2157">
      <c r="A2157" s="19" t="str">
        <f>IFERROR(__xludf.DUMMYFUNCTION("""COMPUTED_VALUE"""),"Sam Kolatchew")</f>
        <v>Sam Kolatchew</v>
      </c>
      <c r="B2157" s="19" t="str">
        <f>IFERROR(__xludf.DUMMYFUNCTION("""COMPUTED_VALUE"""),"NSW")</f>
        <v>NSW</v>
      </c>
      <c r="C2157" s="5" t="str">
        <f>IFERROR(__xludf.DUMMYFUNCTION("""COMPUTED_VALUE"""),"Edgeworth")</f>
        <v>Edgeworth</v>
      </c>
      <c r="D2157" s="5" t="str">
        <f>IFERROR(__xludf.DUMMYFUNCTION("""COMPUTED_VALUE"""),"1/49 minmi rd Edgeworth")</f>
        <v>1/49 minmi rd Edgeworth</v>
      </c>
      <c r="E2157" s="25">
        <f>IFERROR(__xludf.DUMMYFUNCTION("""COMPUTED_VALUE"""),45956.0)</f>
        <v>45956</v>
      </c>
      <c r="F2157" s="5" t="str">
        <f>IFERROR(__xludf.DUMMYFUNCTION("""COMPUTED_VALUE"""),"Featured")</f>
        <v>Featured</v>
      </c>
      <c r="G2157" s="19" t="str">
        <f>IFERROR(__xludf.DUMMYFUNCTION("""COMPUTED_VALUE"""),"Commission Comparison")</f>
        <v>Commission Comparison</v>
      </c>
      <c r="H2157" s="19"/>
      <c r="I2157" s="62"/>
      <c r="J2157" s="19"/>
    </row>
    <row r="2158">
      <c r="A2158" s="19" t="str">
        <f>IFERROR(__xludf.DUMMYFUNCTION("""COMPUTED_VALUE"""),"Sam Kolatchew")</f>
        <v>Sam Kolatchew</v>
      </c>
      <c r="B2158" s="19" t="str">
        <f>IFERROR(__xludf.DUMMYFUNCTION("""COMPUTED_VALUE"""),"NSW")</f>
        <v>NSW</v>
      </c>
      <c r="C2158" s="5" t="str">
        <f>IFERROR(__xludf.DUMMYFUNCTION("""COMPUTED_VALUE"""),"Teralba")</f>
        <v>Teralba</v>
      </c>
      <c r="D2158" s="5" t="str">
        <f>IFERROR(__xludf.DUMMYFUNCTION("""COMPUTED_VALUE"""),"68 pitt st Teralba Nsw")</f>
        <v>68 pitt st Teralba Nsw</v>
      </c>
      <c r="E2158" s="25">
        <f>IFERROR(__xludf.DUMMYFUNCTION("""COMPUTED_VALUE"""),45958.0)</f>
        <v>45958</v>
      </c>
      <c r="F2158" s="5" t="str">
        <f>IFERROR(__xludf.DUMMYFUNCTION("""COMPUTED_VALUE"""),"Featured")</f>
        <v>Featured</v>
      </c>
      <c r="G2158" s="19" t="str">
        <f>IFERROR(__xludf.DUMMYFUNCTION("""COMPUTED_VALUE"""),"Commission Comparison")</f>
        <v>Commission Comparison</v>
      </c>
      <c r="H2158" s="19"/>
      <c r="I2158" s="62"/>
      <c r="J2158" s="19"/>
    </row>
    <row r="2159">
      <c r="A2159" s="19" t="str">
        <f>IFERROR(__xludf.DUMMYFUNCTION("""COMPUTED_VALUE"""),"Sam Kolatchew")</f>
        <v>Sam Kolatchew</v>
      </c>
      <c r="B2159" s="19" t="str">
        <f>IFERROR(__xludf.DUMMYFUNCTION("""COMPUTED_VALUE"""),"NSW")</f>
        <v>NSW</v>
      </c>
      <c r="C2159" s="5" t="str">
        <f>IFERROR(__xludf.DUMMYFUNCTION("""COMPUTED_VALUE"""),"Warners Bay")</f>
        <v>Warners Bay</v>
      </c>
      <c r="D2159" s="5" t="str">
        <f>IFERROR(__xludf.DUMMYFUNCTION("""COMPUTED_VALUE"""),"3 Bucklee Crescent Warners Bay NSW 2282")</f>
        <v>3 Bucklee Crescent Warners Bay NSW 2282</v>
      </c>
      <c r="E2159" s="25">
        <f>IFERROR(__xludf.DUMMYFUNCTION("""COMPUTED_VALUE"""),45959.0)</f>
        <v>45959</v>
      </c>
      <c r="F2159" s="5">
        <f>IFERROR(__xludf.DUMMYFUNCTION("""COMPUTED_VALUE"""),8.0)</f>
        <v>8</v>
      </c>
      <c r="G2159" s="19" t="str">
        <f>IFERROR(__xludf.DUMMYFUNCTION("""COMPUTED_VALUE"""),"Instant Forms")</f>
        <v>Instant Forms</v>
      </c>
      <c r="H2159" s="19"/>
      <c r="I2159" s="62"/>
      <c r="J2159" s="19"/>
    </row>
    <row r="2160">
      <c r="A2160" s="19" t="str">
        <f>IFERROR(__xludf.DUMMYFUNCTION("""COMPUTED_VALUE"""),"Sam Kolatchew")</f>
        <v>Sam Kolatchew</v>
      </c>
      <c r="B2160" s="19" t="str">
        <f>IFERROR(__xludf.DUMMYFUNCTION("""COMPUTED_VALUE"""),"NSW")</f>
        <v>NSW</v>
      </c>
      <c r="C2160" s="5" t="str">
        <f>IFERROR(__xludf.DUMMYFUNCTION("""COMPUTED_VALUE"""),"Edgeworth")</f>
        <v>Edgeworth</v>
      </c>
      <c r="D2160" s="5" t="str">
        <f>IFERROR(__xludf.DUMMYFUNCTION("""COMPUTED_VALUE"""),"9 crystal street Edgeworth NSW")</f>
        <v>9 crystal street Edgeworth NSW</v>
      </c>
      <c r="E2160" s="25">
        <f>IFERROR(__xludf.DUMMYFUNCTION("""COMPUTED_VALUE"""),45962.0)</f>
        <v>45962</v>
      </c>
      <c r="F2160" s="5" t="str">
        <f>IFERROR(__xludf.DUMMYFUNCTION("""COMPUTED_VALUE"""),"Featured")</f>
        <v>Featured</v>
      </c>
      <c r="G2160" s="19" t="str">
        <f>IFERROR(__xludf.DUMMYFUNCTION("""COMPUTED_VALUE"""),"Commission Comparison")</f>
        <v>Commission Comparison</v>
      </c>
      <c r="H2160" s="19"/>
      <c r="I2160" s="62"/>
      <c r="J2160" s="19"/>
    </row>
    <row r="2161">
      <c r="A2161" s="19" t="str">
        <f>IFERROR(__xludf.DUMMYFUNCTION("""COMPUTED_VALUE"""),"Sam Kolatchew")</f>
        <v>Sam Kolatchew</v>
      </c>
      <c r="B2161" s="19" t="str">
        <f>IFERROR(__xludf.DUMMYFUNCTION("""COMPUTED_VALUE"""),"NSW")</f>
        <v>NSW</v>
      </c>
      <c r="C2161" s="5" t="str">
        <f>IFERROR(__xludf.DUMMYFUNCTION("""COMPUTED_VALUE"""),"Morisset Park")</f>
        <v>Morisset Park</v>
      </c>
      <c r="D2161" s="5" t="str">
        <f>IFERROR(__xludf.DUMMYFUNCTION("""COMPUTED_VALUE"""),"44 Crooks Road Mandalong NSW 2264")</f>
        <v>44 Crooks Road Mandalong NSW 2264</v>
      </c>
      <c r="E2161" s="25">
        <f>IFERROR(__xludf.DUMMYFUNCTION("""COMPUTED_VALUE"""),45964.0)</f>
        <v>45964</v>
      </c>
      <c r="F2161" s="5">
        <f>IFERROR(__xludf.DUMMYFUNCTION("""COMPUTED_VALUE"""),5.0)</f>
        <v>5</v>
      </c>
      <c r="G2161" s="19" t="str">
        <f>IFERROR(__xludf.DUMMYFUNCTION("""COMPUTED_VALUE"""),"Instant Forms")</f>
        <v>Instant Forms</v>
      </c>
      <c r="H2161" s="19"/>
      <c r="I2161" s="62"/>
      <c r="J2161" s="19"/>
    </row>
    <row r="2162">
      <c r="A2162" s="19" t="str">
        <f>IFERROR(__xludf.DUMMYFUNCTION("""COMPUTED_VALUE"""),"Sam Kolatchew")</f>
        <v>Sam Kolatchew</v>
      </c>
      <c r="B2162" s="19" t="str">
        <f>IFERROR(__xludf.DUMMYFUNCTION("""COMPUTED_VALUE"""),"NSW")</f>
        <v>NSW</v>
      </c>
      <c r="C2162" s="5" t="str">
        <f>IFERROR(__xludf.DUMMYFUNCTION("""COMPUTED_VALUE"""),"Arcadia Vale")</f>
        <v>Arcadia Vale</v>
      </c>
      <c r="D2162" s="5" t="str">
        <f>IFERROR(__xludf.DUMMYFUNCTION("""COMPUTED_VALUE"""),"52 fern st")</f>
        <v>52 fern st</v>
      </c>
      <c r="E2162" s="25">
        <f>IFERROR(__xludf.DUMMYFUNCTION("""COMPUTED_VALUE"""),45966.0)</f>
        <v>45966</v>
      </c>
      <c r="F2162" s="5" t="str">
        <f>IFERROR(__xludf.DUMMYFUNCTION("""COMPUTED_VALUE"""),"Featured")</f>
        <v>Featured</v>
      </c>
      <c r="G2162" s="19" t="str">
        <f>IFERROR(__xludf.DUMMYFUNCTION("""COMPUTED_VALUE"""),"Commission Comparison")</f>
        <v>Commission Comparison</v>
      </c>
      <c r="H2162" s="19" t="str">
        <f>IFERROR(__xludf.DUMMYFUNCTION("""COMPUTED_VALUE"""),"John Wastell")</f>
        <v>John Wastell</v>
      </c>
      <c r="I2162" s="62">
        <f>IFERROR(__xludf.DUMMYFUNCTION("""COMPUTED_VALUE"""),6.1411296753E10)</f>
        <v>61411296753</v>
      </c>
      <c r="J2162" s="19" t="str">
        <f>IFERROR(__xludf.DUMMYFUNCTION("""COMPUTED_VALUE"""),"john.wastell@hotmail.com")</f>
        <v>john.wastell@hotmail.com</v>
      </c>
    </row>
    <row r="2163">
      <c r="A2163" s="19" t="str">
        <f>IFERROR(__xludf.DUMMYFUNCTION("""COMPUTED_VALUE"""),"Sam Kolatchew")</f>
        <v>Sam Kolatchew</v>
      </c>
      <c r="B2163" s="19" t="str">
        <f>IFERROR(__xludf.DUMMYFUNCTION("""COMPUTED_VALUE"""),"NSW")</f>
        <v>NSW</v>
      </c>
      <c r="C2163" s="5" t="str">
        <f>IFERROR(__xludf.DUMMYFUNCTION("""COMPUTED_VALUE"""),"Bonnells Bay")</f>
        <v>Bonnells Bay</v>
      </c>
      <c r="D2163" s="5" t="str">
        <f>IFERROR(__xludf.DUMMYFUNCTION("""COMPUTED_VALUE"""),"449 Fishery Point Road Bonnells Bay NSW 2264")</f>
        <v>449 Fishery Point Road Bonnells Bay NSW 2264</v>
      </c>
      <c r="E2163" s="25">
        <f>IFERROR(__xludf.DUMMYFUNCTION("""COMPUTED_VALUE"""),45966.0)</f>
        <v>45966</v>
      </c>
      <c r="F2163" s="5">
        <f>IFERROR(__xludf.DUMMYFUNCTION("""COMPUTED_VALUE"""),8.0)</f>
        <v>8</v>
      </c>
      <c r="G2163" s="19" t="str">
        <f>IFERROR(__xludf.DUMMYFUNCTION("""COMPUTED_VALUE"""),"Instant Forms")</f>
        <v>Instant Forms</v>
      </c>
      <c r="H2163" s="19" t="str">
        <f>IFERROR(__xludf.DUMMYFUNCTION("""COMPUTED_VALUE"""),"Athol Mclean")</f>
        <v>Athol Mclean</v>
      </c>
      <c r="I2163" s="62">
        <f>IFERROR(__xludf.DUMMYFUNCTION("""COMPUTED_VALUE"""),6.1417735233E10)</f>
        <v>61417735233</v>
      </c>
      <c r="J2163" s="19" t="str">
        <f>IFERROR(__xludf.DUMMYFUNCTION("""COMPUTED_VALUE"""),"athol.mclean@icloud.com")</f>
        <v>athol.mclean@icloud.com</v>
      </c>
    </row>
    <row r="2164">
      <c r="A2164" s="19" t="str">
        <f>IFERROR(__xludf.DUMMYFUNCTION("""COMPUTED_VALUE"""),"Sam Kolatchew")</f>
        <v>Sam Kolatchew</v>
      </c>
      <c r="B2164" s="19" t="str">
        <f>IFERROR(__xludf.DUMMYFUNCTION("""COMPUTED_VALUE"""),"NSW")</f>
        <v>NSW</v>
      </c>
      <c r="C2164" s="5" t="str">
        <f>IFERROR(__xludf.DUMMYFUNCTION("""COMPUTED_VALUE"""),"Kahibah")</f>
        <v>Kahibah</v>
      </c>
      <c r="D2164" s="5" t="str">
        <f>IFERROR(__xludf.DUMMYFUNCTION("""COMPUTED_VALUE"""),"1 Burwood Street Kahibah NSW 2290")</f>
        <v>1 Burwood Street Kahibah NSW 2290</v>
      </c>
      <c r="E2164" s="25">
        <f>IFERROR(__xludf.DUMMYFUNCTION("""COMPUTED_VALUE"""),45967.0)</f>
        <v>45967</v>
      </c>
      <c r="F2164" s="5">
        <f>IFERROR(__xludf.DUMMYFUNCTION("""COMPUTED_VALUE"""),8.0)</f>
        <v>8</v>
      </c>
      <c r="G2164" s="19" t="str">
        <f>IFERROR(__xludf.DUMMYFUNCTION("""COMPUTED_VALUE"""),"Instant Forms")</f>
        <v>Instant Forms</v>
      </c>
      <c r="H2164" s="19" t="str">
        <f>IFERROR(__xludf.DUMMYFUNCTION("""COMPUTED_VALUE"""),"Emma Crane")</f>
        <v>Emma Crane</v>
      </c>
      <c r="I2164" s="62">
        <f>IFERROR(__xludf.DUMMYFUNCTION("""COMPUTED_VALUE"""),6.1404990445E10)</f>
        <v>61404990445</v>
      </c>
      <c r="J2164" s="19" t="str">
        <f>IFERROR(__xludf.DUMMYFUNCTION("""COMPUTED_VALUE"""),"emma.nutrimetics10@gmail.com")</f>
        <v>emma.nutrimetics10@gmail.com</v>
      </c>
    </row>
    <row r="2165">
      <c r="A2165" s="19" t="str">
        <f>IFERROR(__xludf.DUMMYFUNCTION("""COMPUTED_VALUE"""),"Sam Kolatchew")</f>
        <v>Sam Kolatchew</v>
      </c>
      <c r="B2165" s="19" t="str">
        <f>IFERROR(__xludf.DUMMYFUNCTION("""COMPUTED_VALUE"""),"NSW")</f>
        <v>NSW</v>
      </c>
      <c r="C2165" s="5">
        <f>IFERROR(__xludf.DUMMYFUNCTION("""COMPUTED_VALUE"""),2290.0)</f>
        <v>2290</v>
      </c>
      <c r="D2165" s="5"/>
      <c r="E2165" s="25">
        <f>IFERROR(__xludf.DUMMYFUNCTION("""COMPUTED_VALUE"""),45968.0)</f>
        <v>45968</v>
      </c>
      <c r="F2165" s="5">
        <f>IFERROR(__xludf.DUMMYFUNCTION("""COMPUTED_VALUE"""),5.0)</f>
        <v>5</v>
      </c>
      <c r="G2165" s="19" t="str">
        <f>IFERROR(__xludf.DUMMYFUNCTION("""COMPUTED_VALUE"""),"Instant Forms")</f>
        <v>Instant Forms</v>
      </c>
      <c r="H2165" s="19" t="str">
        <f>IFERROR(__xludf.DUMMYFUNCTION("""COMPUTED_VALUE"""),"Cheree Jackson")</f>
        <v>Cheree Jackson</v>
      </c>
      <c r="I2165" s="62">
        <f>IFERROR(__xludf.DUMMYFUNCTION("""COMPUTED_VALUE"""),6.142298375E10)</f>
        <v>61422983750</v>
      </c>
      <c r="J2165" s="19" t="str">
        <f>IFERROR(__xludf.DUMMYFUNCTION("""COMPUTED_VALUE"""),"Cheree.jackson@me.com")</f>
        <v>Cheree.jackson@me.com</v>
      </c>
    </row>
    <row r="2166">
      <c r="A2166" s="19" t="str">
        <f>IFERROR(__xludf.DUMMYFUNCTION("""COMPUTED_VALUE"""),"Sam Kolatchew")</f>
        <v>Sam Kolatchew</v>
      </c>
      <c r="B2166" s="19" t="str">
        <f>IFERROR(__xludf.DUMMYFUNCTION("""COMPUTED_VALUE"""),"NSW")</f>
        <v>NSW</v>
      </c>
      <c r="C2166" s="5" t="str">
        <f>IFERROR(__xludf.DUMMYFUNCTION("""COMPUTED_VALUE"""),"Highfields")</f>
        <v>Highfields</v>
      </c>
      <c r="D2166" s="5" t="str">
        <f>IFERROR(__xludf.DUMMYFUNCTION("""COMPUTED_VALUE"""),"7 Kahibah Road Highfields NSW 2289")</f>
        <v>7 Kahibah Road Highfields NSW 2289</v>
      </c>
      <c r="E2166" s="25">
        <f>IFERROR(__xludf.DUMMYFUNCTION("""COMPUTED_VALUE"""),45969.0)</f>
        <v>45969</v>
      </c>
      <c r="F2166" s="5">
        <f>IFERROR(__xludf.DUMMYFUNCTION("""COMPUTED_VALUE"""),8.0)</f>
        <v>8</v>
      </c>
      <c r="G2166" s="19" t="str">
        <f>IFERROR(__xludf.DUMMYFUNCTION("""COMPUTED_VALUE"""),"Instant Forms")</f>
        <v>Instant Forms</v>
      </c>
      <c r="H2166" s="19" t="str">
        <f>IFERROR(__xludf.DUMMYFUNCTION("""COMPUTED_VALUE"""),"Natalie May")</f>
        <v>Natalie May</v>
      </c>
      <c r="I2166" s="62">
        <f>IFERROR(__xludf.DUMMYFUNCTION("""COMPUTED_VALUE"""),6.1457778078E10)</f>
        <v>61457778078</v>
      </c>
      <c r="J2166" s="19" t="str">
        <f>IFERROR(__xludf.DUMMYFUNCTION("""COMPUTED_VALUE"""),"n.haddock@hotmail.com")</f>
        <v>n.haddock@hotmail.com</v>
      </c>
    </row>
    <row r="2167">
      <c r="A2167" s="19" t="str">
        <f>IFERROR(__xludf.DUMMYFUNCTION("""COMPUTED_VALUE"""),"Sam Kolatchew")</f>
        <v>Sam Kolatchew</v>
      </c>
      <c r="B2167" s="19" t="str">
        <f>IFERROR(__xludf.DUMMYFUNCTION("""COMPUTED_VALUE"""),"NSW")</f>
        <v>NSW</v>
      </c>
      <c r="C2167" s="5" t="str">
        <f>IFERROR(__xludf.DUMMYFUNCTION("""COMPUTED_VALUE"""),"Wallsend")</f>
        <v>Wallsend</v>
      </c>
      <c r="D2167" s="5"/>
      <c r="E2167" s="25">
        <f>IFERROR(__xludf.DUMMYFUNCTION("""COMPUTED_VALUE"""),45970.0)</f>
        <v>45970</v>
      </c>
      <c r="F2167" s="5">
        <f>IFERROR(__xludf.DUMMYFUNCTION("""COMPUTED_VALUE"""),5.0)</f>
        <v>5</v>
      </c>
      <c r="G2167" s="19" t="str">
        <f>IFERROR(__xludf.DUMMYFUNCTION("""COMPUTED_VALUE"""),"Instant Forms")</f>
        <v>Instant Forms</v>
      </c>
      <c r="H2167" s="19" t="str">
        <f>IFERROR(__xludf.DUMMYFUNCTION("""COMPUTED_VALUE"""),"Steve O'Nobody")</f>
        <v>Steve O'Nobody</v>
      </c>
      <c r="I2167" s="62">
        <f>IFERROR(__xludf.DUMMYFUNCTION("""COMPUTED_VALUE"""),6.1456734518E10)</f>
        <v>61456734518</v>
      </c>
      <c r="J2167" s="19" t="str">
        <f>IFERROR(__xludf.DUMMYFUNCTION("""COMPUTED_VALUE"""),"steve.northey.2018@gmail.com")</f>
        <v>steve.northey.2018@gmail.com</v>
      </c>
    </row>
    <row r="2168">
      <c r="A2168" s="19" t="str">
        <f>IFERROR(__xludf.DUMMYFUNCTION("""COMPUTED_VALUE"""),"Sam Kolatchew")</f>
        <v>Sam Kolatchew</v>
      </c>
      <c r="B2168" s="19" t="str">
        <f>IFERROR(__xludf.DUMMYFUNCTION("""COMPUTED_VALUE"""),"NSW")</f>
        <v>NSW</v>
      </c>
      <c r="C2168" s="5" t="str">
        <f>IFERROR(__xludf.DUMMYFUNCTION("""COMPUTED_VALUE"""),"Redhead")</f>
        <v>Redhead</v>
      </c>
      <c r="D2168" s="5" t="str">
        <f>IFERROR(__xludf.DUMMYFUNCTION("""COMPUTED_VALUE"""),"107/81 Kalaroo redhead")</f>
        <v>107/81 Kalaroo redhead</v>
      </c>
      <c r="E2168" s="25">
        <f>IFERROR(__xludf.DUMMYFUNCTION("""COMPUTED_VALUE"""),45971.0)</f>
        <v>45971</v>
      </c>
      <c r="F2168" s="5" t="str">
        <f>IFERROR(__xludf.DUMMYFUNCTION("""COMPUTED_VALUE"""),"Featured")</f>
        <v>Featured</v>
      </c>
      <c r="G2168" s="19" t="str">
        <f>IFERROR(__xludf.DUMMYFUNCTION("""COMPUTED_VALUE"""),"Commission Comparison")</f>
        <v>Commission Comparison</v>
      </c>
      <c r="H2168" s="19" t="str">
        <f>IFERROR(__xludf.DUMMYFUNCTION("""COMPUTED_VALUE"""),"Keni Sattler")</f>
        <v>Keni Sattler</v>
      </c>
      <c r="I2168" s="62">
        <f>IFERROR(__xludf.DUMMYFUNCTION("""COMPUTED_VALUE"""),6.1402624423E10)</f>
        <v>61402624423</v>
      </c>
      <c r="J2168" s="19" t="str">
        <f>IFERROR(__xludf.DUMMYFUNCTION("""COMPUTED_VALUE"""),"Kenisattler54@gmail.com")</f>
        <v>Kenisattler54@gmail.com</v>
      </c>
    </row>
    <row r="2169">
      <c r="A2169" s="19" t="str">
        <f>IFERROR(__xludf.DUMMYFUNCTION("""COMPUTED_VALUE"""),"Sam Kolatchew")</f>
        <v>Sam Kolatchew</v>
      </c>
      <c r="B2169" s="19" t="str">
        <f>IFERROR(__xludf.DUMMYFUNCTION("""COMPUTED_VALUE"""),"NSW")</f>
        <v>NSW</v>
      </c>
      <c r="C2169" s="5" t="str">
        <f>IFERROR(__xludf.DUMMYFUNCTION("""COMPUTED_VALUE"""),"Adamstown heights")</f>
        <v>Adamstown heights</v>
      </c>
      <c r="D2169" s="5" t="str">
        <f>IFERROR(__xludf.DUMMYFUNCTION("""COMPUTED_VALUE"""),"107 Carolyn Street Adamstown Heights NSW 2289")</f>
        <v>107 Carolyn Street Adamstown Heights NSW 2289</v>
      </c>
      <c r="E2169" s="25">
        <f>IFERROR(__xludf.DUMMYFUNCTION("""COMPUTED_VALUE"""),45974.0)</f>
        <v>45974</v>
      </c>
      <c r="F2169" s="5">
        <f>IFERROR(__xludf.DUMMYFUNCTION("""COMPUTED_VALUE"""),8.0)</f>
        <v>8</v>
      </c>
      <c r="G2169" s="19" t="str">
        <f>IFERROR(__xludf.DUMMYFUNCTION("""COMPUTED_VALUE"""),"Instant Forms")</f>
        <v>Instant Forms</v>
      </c>
      <c r="H2169" s="19" t="str">
        <f>IFERROR(__xludf.DUMMYFUNCTION("""COMPUTED_VALUE"""),"Rachael Morris")</f>
        <v>Rachael Morris</v>
      </c>
      <c r="I2169" s="62">
        <f>IFERROR(__xludf.DUMMYFUNCTION("""COMPUTED_VALUE"""),6.1431634535E10)</f>
        <v>61431634535</v>
      </c>
      <c r="J2169" s="19" t="str">
        <f>IFERROR(__xludf.DUMMYFUNCTION("""COMPUTED_VALUE"""),"rachaelmorris@gmail.com")</f>
        <v>rachaelmorris@gmail.com</v>
      </c>
    </row>
    <row r="2170">
      <c r="A2170" s="19" t="str">
        <f>IFERROR(__xludf.DUMMYFUNCTION("""COMPUTED_VALUE"""),"Sam Kolatchew")</f>
        <v>Sam Kolatchew</v>
      </c>
      <c r="B2170" s="19" t="str">
        <f>IFERROR(__xludf.DUMMYFUNCTION("""COMPUTED_VALUE"""),"NSW")</f>
        <v>NSW</v>
      </c>
      <c r="C2170" s="5" t="str">
        <f>IFERROR(__xludf.DUMMYFUNCTION("""COMPUTED_VALUE"""),"Kahy")</f>
        <v>Kahy</v>
      </c>
      <c r="D2170" s="5" t="str">
        <f>IFERROR(__xludf.DUMMYFUNCTION("""COMPUTED_VALUE"""),"1 Tibbin Street Kahibah NSW 2290")</f>
        <v>1 Tibbin Street Kahibah NSW 2290</v>
      </c>
      <c r="E2170" s="25">
        <f>IFERROR(__xludf.DUMMYFUNCTION("""COMPUTED_VALUE"""),45974.0)</f>
        <v>45974</v>
      </c>
      <c r="F2170" s="5">
        <f>IFERROR(__xludf.DUMMYFUNCTION("""COMPUTED_VALUE"""),6.0)</f>
        <v>6</v>
      </c>
      <c r="G2170" s="19" t="str">
        <f>IFERROR(__xludf.DUMMYFUNCTION("""COMPUTED_VALUE"""),"Instant Forms")</f>
        <v>Instant Forms</v>
      </c>
      <c r="H2170" s="19" t="str">
        <f>IFERROR(__xludf.DUMMYFUNCTION("""COMPUTED_VALUE"""),"Dottie (Dorota Naszka)")</f>
        <v>Dottie (Dorota Naszka)</v>
      </c>
      <c r="I2170" s="62">
        <f>IFERROR(__xludf.DUMMYFUNCTION("""COMPUTED_VALUE"""),6.141256251E10)</f>
        <v>61412562510</v>
      </c>
      <c r="J2170" s="19" t="str">
        <f>IFERROR(__xludf.DUMMYFUNCTION("""COMPUTED_VALUE"""),"Dottien1@gmail.com")</f>
        <v>Dottien1@gmail.com</v>
      </c>
    </row>
    <row r="2171">
      <c r="A2171" s="19" t="str">
        <f>IFERROR(__xludf.DUMMYFUNCTION("""COMPUTED_VALUE"""),"Sam Kolatchew")</f>
        <v>Sam Kolatchew</v>
      </c>
      <c r="B2171" s="19" t="str">
        <f>IFERROR(__xludf.DUMMYFUNCTION("""COMPUTED_VALUE"""),"NSW")</f>
        <v>NSW</v>
      </c>
      <c r="C2171" s="5" t="str">
        <f>IFERROR(__xludf.DUMMYFUNCTION("""COMPUTED_VALUE"""),"Stockton")</f>
        <v>Stockton</v>
      </c>
      <c r="D2171" s="5" t="str">
        <f>IFERROR(__xludf.DUMMYFUNCTION("""COMPUTED_VALUE"""),"96 Fullerton Street, Stockton, NSW, 2295, Australia")</f>
        <v>96 Fullerton Street, Stockton, NSW, 2295, Australia</v>
      </c>
      <c r="E2171" s="25">
        <f>IFERROR(__xludf.DUMMYFUNCTION("""COMPUTED_VALUE"""),45975.0)</f>
        <v>45975</v>
      </c>
      <c r="F2171" s="5" t="str">
        <f>IFERROR(__xludf.DUMMYFUNCTION("""COMPUTED_VALUE"""),"Featured")</f>
        <v>Featured</v>
      </c>
      <c r="G2171" s="19" t="str">
        <f>IFERROR(__xludf.DUMMYFUNCTION("""COMPUTED_VALUE"""),"Commission Comparison")</f>
        <v>Commission Comparison</v>
      </c>
      <c r="H2171" s="19" t="str">
        <f>IFERROR(__xludf.DUMMYFUNCTION("""COMPUTED_VALUE"""),"David  Manns")</f>
        <v>David  Manns</v>
      </c>
      <c r="I2171" s="62">
        <f>IFERROR(__xludf.DUMMYFUNCTION("""COMPUTED_VALUE"""),6.10417020607E11)</f>
        <v>610417020607</v>
      </c>
      <c r="J2171" s="19" t="str">
        <f>IFERROR(__xludf.DUMMYFUNCTION("""COMPUTED_VALUE"""),"dma85559@bigpond.net.au")</f>
        <v>dma85559@bigpond.net.au</v>
      </c>
    </row>
    <row r="2172">
      <c r="A2172" s="19" t="str">
        <f>IFERROR(__xludf.DUMMYFUNCTION("""COMPUTED_VALUE"""),"Sam Kolatchew")</f>
        <v>Sam Kolatchew</v>
      </c>
      <c r="B2172" s="19" t="str">
        <f>IFERROR(__xludf.DUMMYFUNCTION("""COMPUTED_VALUE"""),"NSW")</f>
        <v>NSW</v>
      </c>
      <c r="C2172" s="5" t="str">
        <f>IFERROR(__xludf.DUMMYFUNCTION("""COMPUTED_VALUE"""),"Arcadia Vale")</f>
        <v>Arcadia Vale</v>
      </c>
      <c r="D2172" s="5" t="str">
        <f>IFERROR(__xludf.DUMMYFUNCTION("""COMPUTED_VALUE"""),"91 Arcadia Street, Arcadia Vale, NSW, 2283, Australia")</f>
        <v>91 Arcadia Street, Arcadia Vale, NSW, 2283, Australia</v>
      </c>
      <c r="E2172" s="25">
        <f>IFERROR(__xludf.DUMMYFUNCTION("""COMPUTED_VALUE"""),45975.0)</f>
        <v>45975</v>
      </c>
      <c r="F2172" s="5" t="str">
        <f>IFERROR(__xludf.DUMMYFUNCTION("""COMPUTED_VALUE"""),"Featured")</f>
        <v>Featured</v>
      </c>
      <c r="G2172" s="19" t="str">
        <f>IFERROR(__xludf.DUMMYFUNCTION("""COMPUTED_VALUE"""),"Commission Comparison")</f>
        <v>Commission Comparison</v>
      </c>
      <c r="H2172" s="19" t="str">
        <f>IFERROR(__xludf.DUMMYFUNCTION("""COMPUTED_VALUE"""),"Rayleen Ransome")</f>
        <v>Rayleen Ransome</v>
      </c>
      <c r="I2172" s="62">
        <f>IFERROR(__xludf.DUMMYFUNCTION("""COMPUTED_VALUE"""),6.1466187662E10)</f>
        <v>61466187662</v>
      </c>
      <c r="J2172" s="19" t="str">
        <f>IFERROR(__xludf.DUMMYFUNCTION("""COMPUTED_VALUE"""),"lindale270165@gmail.com")</f>
        <v>lindale270165@gmail.com</v>
      </c>
    </row>
    <row r="2173">
      <c r="A2173" s="19" t="str">
        <f>IFERROR(__xludf.DUMMYFUNCTION("""COMPUTED_VALUE"""),"Sam Kolatchew")</f>
        <v>Sam Kolatchew</v>
      </c>
      <c r="B2173" s="19" t="str">
        <f>IFERROR(__xludf.DUMMYFUNCTION("""COMPUTED_VALUE"""),"NSW")</f>
        <v>NSW</v>
      </c>
      <c r="C2173" s="5" t="str">
        <f>IFERROR(__xludf.DUMMYFUNCTION("""COMPUTED_VALUE"""),"Belmont")</f>
        <v>Belmont</v>
      </c>
      <c r="D2173" s="5" t="str">
        <f>IFERROR(__xludf.DUMMYFUNCTION("""COMPUTED_VALUE"""),"22 The Maindeck, Belmont, NSW, 2280, Australia")</f>
        <v>22 The Maindeck, Belmont, NSW, 2280, Australia</v>
      </c>
      <c r="E2173" s="25">
        <f>IFERROR(__xludf.DUMMYFUNCTION("""COMPUTED_VALUE"""),45977.0)</f>
        <v>45977</v>
      </c>
      <c r="F2173" s="5" t="str">
        <f>IFERROR(__xludf.DUMMYFUNCTION("""COMPUTED_VALUE"""),"Featured")</f>
        <v>Featured</v>
      </c>
      <c r="G2173" s="19" t="str">
        <f>IFERROR(__xludf.DUMMYFUNCTION("""COMPUTED_VALUE"""),"Commission Comparison")</f>
        <v>Commission Comparison</v>
      </c>
      <c r="H2173" s="19" t="str">
        <f>IFERROR(__xludf.DUMMYFUNCTION("""COMPUTED_VALUE"""),"Geoff Langford")</f>
        <v>Geoff Langford</v>
      </c>
      <c r="I2173" s="62">
        <f>IFERROR(__xludf.DUMMYFUNCTION("""COMPUTED_VALUE"""),4.1229929E8)</f>
        <v>412299290</v>
      </c>
      <c r="J2173" s="19" t="str">
        <f>IFERROR(__xludf.DUMMYFUNCTION("""COMPUTED_VALUE"""),"geoffery.langford@gmail.com")</f>
        <v>geoffery.langford@gmail.com</v>
      </c>
    </row>
    <row r="2174">
      <c r="A2174" s="19" t="str">
        <f>IFERROR(__xludf.DUMMYFUNCTION("""COMPUTED_VALUE"""),"Sam Kolatchew")</f>
        <v>Sam Kolatchew</v>
      </c>
      <c r="B2174" s="19" t="str">
        <f>IFERROR(__xludf.DUMMYFUNCTION("""COMPUTED_VALUE"""),"NSW")</f>
        <v>NSW</v>
      </c>
      <c r="C2174" s="5" t="str">
        <f>IFERROR(__xludf.DUMMYFUNCTION("""COMPUTED_VALUE"""),"Arcadia Vale")</f>
        <v>Arcadia Vale</v>
      </c>
      <c r="D2174" s="5" t="str">
        <f>IFERROR(__xludf.DUMMYFUNCTION("""COMPUTED_VALUE"""),"91 Arcadia Street Arcadia Vale NSW 2283")</f>
        <v>91 Arcadia Street Arcadia Vale NSW 2283</v>
      </c>
      <c r="E2174" s="25">
        <f>IFERROR(__xludf.DUMMYFUNCTION("""COMPUTED_VALUE"""),45977.0)</f>
        <v>45977</v>
      </c>
      <c r="F2174" s="5">
        <f>IFERROR(__xludf.DUMMYFUNCTION("""COMPUTED_VALUE"""),8.0)</f>
        <v>8</v>
      </c>
      <c r="G2174" s="19" t="str">
        <f>IFERROR(__xludf.DUMMYFUNCTION("""COMPUTED_VALUE"""),"Instant Forms")</f>
        <v>Instant Forms</v>
      </c>
      <c r="H2174" s="19" t="str">
        <f>IFERROR(__xludf.DUMMYFUNCTION("""COMPUTED_VALUE"""),"Rayleen A Ransome")</f>
        <v>Rayleen A Ransome</v>
      </c>
      <c r="I2174" s="62">
        <f>IFERROR(__xludf.DUMMYFUNCTION("""COMPUTED_VALUE"""),6.1466187662E10)</f>
        <v>61466187662</v>
      </c>
      <c r="J2174" s="19" t="str">
        <f>IFERROR(__xludf.DUMMYFUNCTION("""COMPUTED_VALUE"""),"lindale270165@gmail.com")</f>
        <v>lindale270165@gmail.com</v>
      </c>
    </row>
    <row r="2175">
      <c r="A2175" s="19" t="str">
        <f>IFERROR(__xludf.DUMMYFUNCTION("""COMPUTED_VALUE"""),"Sam Kolatchew")</f>
        <v>Sam Kolatchew</v>
      </c>
      <c r="B2175" s="19" t="str">
        <f>IFERROR(__xludf.DUMMYFUNCTION("""COMPUTED_VALUE"""),"NSW")</f>
        <v>NSW</v>
      </c>
      <c r="C2175" s="5" t="str">
        <f>IFERROR(__xludf.DUMMYFUNCTION("""COMPUTED_VALUE"""),"Cooranbong")</f>
        <v>Cooranbong</v>
      </c>
      <c r="D2175" s="5"/>
      <c r="E2175" s="25">
        <f>IFERROR(__xludf.DUMMYFUNCTION("""COMPUTED_VALUE"""),45977.0)</f>
        <v>45977</v>
      </c>
      <c r="F2175" s="5">
        <f>IFERROR(__xludf.DUMMYFUNCTION("""COMPUTED_VALUE"""),5.0)</f>
        <v>5</v>
      </c>
      <c r="G2175" s="19" t="str">
        <f>IFERROR(__xludf.DUMMYFUNCTION("""COMPUTED_VALUE"""),"Instant Forms")</f>
        <v>Instant Forms</v>
      </c>
      <c r="H2175" s="19" t="str">
        <f>IFERROR(__xludf.DUMMYFUNCTION("""COMPUTED_VALUE"""),"Li Lee")</f>
        <v>Li Lee</v>
      </c>
      <c r="I2175" s="62">
        <f>IFERROR(__xludf.DUMMYFUNCTION("""COMPUTED_VALUE"""),6.1481417449E10)</f>
        <v>61481417449</v>
      </c>
      <c r="J2175" s="19" t="str">
        <f>IFERROR(__xludf.DUMMYFUNCTION("""COMPUTED_VALUE"""),"Leslee276@hotmail.com")</f>
        <v>Leslee276@hotmail.com</v>
      </c>
    </row>
    <row r="2176">
      <c r="A2176" s="19" t="str">
        <f>IFERROR(__xludf.DUMMYFUNCTION("""COMPUTED_VALUE"""),"Sam Kolatchew")</f>
        <v>Sam Kolatchew</v>
      </c>
      <c r="B2176" s="19" t="str">
        <f>IFERROR(__xludf.DUMMYFUNCTION("""COMPUTED_VALUE"""),"NSW")</f>
        <v>NSW</v>
      </c>
      <c r="C2176" s="5" t="str">
        <f>IFERROR(__xludf.DUMMYFUNCTION("""COMPUTED_VALUE"""),"Belmont")</f>
        <v>Belmont</v>
      </c>
      <c r="D2176" s="5" t="str">
        <f>IFERROR(__xludf.DUMMYFUNCTION("""COMPUTED_VALUE"""),"22 The Maindeck Belmont NSW 2280")</f>
        <v>22 The Maindeck Belmont NSW 2280</v>
      </c>
      <c r="E2176" s="25">
        <f>IFERROR(__xludf.DUMMYFUNCTION("""COMPUTED_VALUE"""),45977.0)</f>
        <v>45977</v>
      </c>
      <c r="F2176" s="5">
        <f>IFERROR(__xludf.DUMMYFUNCTION("""COMPUTED_VALUE"""),8.0)</f>
        <v>8</v>
      </c>
      <c r="G2176" s="19" t="str">
        <f>IFERROR(__xludf.DUMMYFUNCTION("""COMPUTED_VALUE"""),"Instant Forms")</f>
        <v>Instant Forms</v>
      </c>
      <c r="H2176" s="19" t="str">
        <f>IFERROR(__xludf.DUMMYFUNCTION("""COMPUTED_VALUE"""),"Geoffery Langford")</f>
        <v>Geoffery Langford</v>
      </c>
      <c r="I2176" s="62">
        <f>IFERROR(__xludf.DUMMYFUNCTION("""COMPUTED_VALUE"""),6.141229929E10)</f>
        <v>61412299290</v>
      </c>
      <c r="J2176" s="19" t="str">
        <f>IFERROR(__xludf.DUMMYFUNCTION("""COMPUTED_VALUE"""),"geoffery.langford@gmail.com")</f>
        <v>geoffery.langford@gmail.com</v>
      </c>
    </row>
    <row r="2177">
      <c r="A2177" s="19" t="str">
        <f>IFERROR(__xludf.DUMMYFUNCTION("""COMPUTED_VALUE"""),"Sam Kolatchew")</f>
        <v>Sam Kolatchew</v>
      </c>
      <c r="B2177" s="19" t="str">
        <f>IFERROR(__xludf.DUMMYFUNCTION("""COMPUTED_VALUE"""),"NSW")</f>
        <v>NSW</v>
      </c>
      <c r="C2177" s="5" t="str">
        <f>IFERROR(__xludf.DUMMYFUNCTION("""COMPUTED_VALUE"""),"Mark Point")</f>
        <v>Mark Point</v>
      </c>
      <c r="D2177" s="5" t="str">
        <f>IFERROR(__xludf.DUMMYFUNCTION("""COMPUTED_VALUE"""),"121 Marks Point Road Marks Point NSW 2280")</f>
        <v>121 Marks Point Road Marks Point NSW 2280</v>
      </c>
      <c r="E2177" s="5" t="str">
        <f>IFERROR(__xludf.DUMMYFUNCTION("""COMPUTED_VALUE"""),"21/11/2025")</f>
        <v>21/11/2025</v>
      </c>
      <c r="F2177" s="5">
        <f>IFERROR(__xludf.DUMMYFUNCTION("""COMPUTED_VALUE"""),8.0)</f>
        <v>8</v>
      </c>
      <c r="G2177" s="19" t="str">
        <f>IFERROR(__xludf.DUMMYFUNCTION("""COMPUTED_VALUE"""),"Instant Forms")</f>
        <v>Instant Forms</v>
      </c>
      <c r="H2177" s="19" t="str">
        <f>IFERROR(__xludf.DUMMYFUNCTION("""COMPUTED_VALUE"""),"Oskar Sepp")</f>
        <v>Oskar Sepp</v>
      </c>
      <c r="I2177" s="62">
        <f>IFERROR(__xludf.DUMMYFUNCTION("""COMPUTED_VALUE"""),6.1455443203E10)</f>
        <v>61455443203</v>
      </c>
      <c r="J2177" s="19" t="str">
        <f>IFERROR(__xludf.DUMMYFUNCTION("""COMPUTED_VALUE"""),"orsepp@gmail.com")</f>
        <v>orsepp@gmail.com</v>
      </c>
    </row>
    <row r="2178">
      <c r="A2178" s="19" t="str">
        <f>IFERROR(__xludf.DUMMYFUNCTION("""COMPUTED_VALUE"""),"Sam Kolatchew")</f>
        <v>Sam Kolatchew</v>
      </c>
      <c r="B2178" s="19" t="str">
        <f>IFERROR(__xludf.DUMMYFUNCTION("""COMPUTED_VALUE"""),"NSW")</f>
        <v>NSW</v>
      </c>
      <c r="C2178" s="5" t="str">
        <f>IFERROR(__xludf.DUMMYFUNCTION("""COMPUTED_VALUE"""),"Marks point")</f>
        <v>Marks point</v>
      </c>
      <c r="D2178" s="5" t="str">
        <f>IFERROR(__xludf.DUMMYFUNCTION("""COMPUTED_VALUE"""),"132 Marks Point Road Marks Point NSW 2280")</f>
        <v>132 Marks Point Road Marks Point NSW 2280</v>
      </c>
      <c r="E2178" s="5" t="str">
        <f>IFERROR(__xludf.DUMMYFUNCTION("""COMPUTED_VALUE"""),"21/11/2025")</f>
        <v>21/11/2025</v>
      </c>
      <c r="F2178" s="5" t="str">
        <f>IFERROR(__xludf.DUMMYFUNCTION("""COMPUTED_VALUE"""),"Featured")</f>
        <v>Featured</v>
      </c>
      <c r="G2178" s="19" t="str">
        <f>IFERROR(__xludf.DUMMYFUNCTION("""COMPUTED_VALUE"""),"Commission Comparison")</f>
        <v>Commission Comparison</v>
      </c>
      <c r="H2178" s="19" t="str">
        <f>IFERROR(__xludf.DUMMYFUNCTION("""COMPUTED_VALUE"""),"Linda Pont")</f>
        <v>Linda Pont</v>
      </c>
      <c r="I2178" s="62">
        <f>IFERROR(__xludf.DUMMYFUNCTION("""COMPUTED_VALUE"""),6.1433668474E10)</f>
        <v>61433668474</v>
      </c>
      <c r="J2178" s="19" t="str">
        <f>IFERROR(__xludf.DUMMYFUNCTION("""COMPUTED_VALUE"""),"Geigeron12@icloud.com")</f>
        <v>Geigeron12@icloud.com</v>
      </c>
    </row>
    <row r="2179">
      <c r="A2179" s="19" t="str">
        <f>IFERROR(__xludf.DUMMYFUNCTION("""COMPUTED_VALUE"""),"Sam Kolatchew")</f>
        <v>Sam Kolatchew</v>
      </c>
      <c r="B2179" s="19" t="str">
        <f>IFERROR(__xludf.DUMMYFUNCTION("""COMPUTED_VALUE"""),"NSW")</f>
        <v>NSW</v>
      </c>
      <c r="C2179" s="5" t="str">
        <f>IFERROR(__xludf.DUMMYFUNCTION("""COMPUTED_VALUE"""),"Belmont North")</f>
        <v>Belmont North</v>
      </c>
      <c r="D2179" s="5" t="str">
        <f>IFERROR(__xludf.DUMMYFUNCTION("""COMPUTED_VALUE"""),"12 Tarcoola Close, Belmont North, 2280")</f>
        <v>12 Tarcoola Close, Belmont North, 2280</v>
      </c>
      <c r="E2179" s="5" t="str">
        <f>IFERROR(__xludf.DUMMYFUNCTION("""COMPUTED_VALUE"""),"22/11/2025")</f>
        <v>22/11/2025</v>
      </c>
      <c r="F2179" s="5" t="str">
        <f>IFERROR(__xludf.DUMMYFUNCTION("""COMPUTED_VALUE"""),"Featured")</f>
        <v>Featured</v>
      </c>
      <c r="G2179" s="19" t="str">
        <f>IFERROR(__xludf.DUMMYFUNCTION("""COMPUTED_VALUE"""),"Meta Commission Report")</f>
        <v>Meta Commission Report</v>
      </c>
      <c r="H2179" s="19" t="str">
        <f>IFERROR(__xludf.DUMMYFUNCTION("""COMPUTED_VALUE"""),"Sandy Urbanowicz")</f>
        <v>Sandy Urbanowicz</v>
      </c>
      <c r="I2179" s="62">
        <f>IFERROR(__xludf.DUMMYFUNCTION("""COMPUTED_VALUE"""),6.1403015159E10)</f>
        <v>61403015159</v>
      </c>
      <c r="J2179" s="19" t="str">
        <f>IFERROR(__xludf.DUMMYFUNCTION("""COMPUTED_VALUE"""),"al.urbanowicz@bigpond.com")</f>
        <v>al.urbanowicz@bigpond.com</v>
      </c>
    </row>
    <row r="2180">
      <c r="A2180" s="19" t="str">
        <f>IFERROR(__xludf.DUMMYFUNCTION("""COMPUTED_VALUE"""),"Sam Kolatchew")</f>
        <v>Sam Kolatchew</v>
      </c>
      <c r="B2180" s="19" t="str">
        <f>IFERROR(__xludf.DUMMYFUNCTION("""COMPUTED_VALUE"""),"NSW")</f>
        <v>NSW</v>
      </c>
      <c r="C2180" s="5" t="str">
        <f>IFERROR(__xludf.DUMMYFUNCTION("""COMPUTED_VALUE"""),"Toronto")</f>
        <v>Toronto</v>
      </c>
      <c r="D2180" s="5" t="str">
        <f>IFERROR(__xludf.DUMMYFUNCTION("""COMPUTED_VALUE"""),"33 Bambara Street Toronto NSW 2283")</f>
        <v>33 Bambara Street Toronto NSW 2283</v>
      </c>
      <c r="E2180" s="5" t="str">
        <f>IFERROR(__xludf.DUMMYFUNCTION("""COMPUTED_VALUE"""),"26/11/2025")</f>
        <v>26/11/2025</v>
      </c>
      <c r="F2180" s="5">
        <f>IFERROR(__xludf.DUMMYFUNCTION("""COMPUTED_VALUE"""),10.0)</f>
        <v>10</v>
      </c>
      <c r="G2180" s="19" t="str">
        <f>IFERROR(__xludf.DUMMYFUNCTION("""COMPUTED_VALUE"""),"Instant Forms")</f>
        <v>Instant Forms</v>
      </c>
      <c r="H2180" s="19" t="str">
        <f>IFERROR(__xludf.DUMMYFUNCTION("""COMPUTED_VALUE"""),"Melissa Winter")</f>
        <v>Melissa Winter</v>
      </c>
      <c r="I2180" s="62">
        <f>IFERROR(__xludf.DUMMYFUNCTION("""COMPUTED_VALUE"""),6.1416191169E10)</f>
        <v>61416191169</v>
      </c>
      <c r="J2180" s="19" t="str">
        <f>IFERROR(__xludf.DUMMYFUNCTION("""COMPUTED_VALUE"""),"Melissa_winter@live.com.au")</f>
        <v>Melissa_winter@live.com.au</v>
      </c>
    </row>
    <row r="2181">
      <c r="A2181" s="19" t="str">
        <f>IFERROR(__xludf.DUMMYFUNCTION("""COMPUTED_VALUE"""),"Sam Kolatchew")</f>
        <v>Sam Kolatchew</v>
      </c>
      <c r="B2181" s="19" t="str">
        <f>IFERROR(__xludf.DUMMYFUNCTION("""COMPUTED_VALUE"""),"NSW")</f>
        <v>NSW</v>
      </c>
      <c r="C2181" s="5" t="str">
        <f>IFERROR(__xludf.DUMMYFUNCTION("""COMPUTED_VALUE"""),"Valentine")</f>
        <v>Valentine</v>
      </c>
      <c r="D2181" s="5" t="str">
        <f>IFERROR(__xludf.DUMMYFUNCTION("""COMPUTED_VALUE"""),"10 Lloyd Ct")</f>
        <v>10 Lloyd Ct</v>
      </c>
      <c r="E2181" s="27">
        <f>IFERROR(__xludf.DUMMYFUNCTION("""COMPUTED_VALUE"""),45669.0)</f>
        <v>45669</v>
      </c>
      <c r="F2181" s="64">
        <f>IFERROR(__xludf.DUMMYFUNCTION("""COMPUTED_VALUE"""),0.2)</f>
        <v>0.2</v>
      </c>
      <c r="G2181" s="19" t="str">
        <f>IFERROR(__xludf.DUMMYFUNCTION("""COMPUTED_VALUE"""),"Commission Comparison")</f>
        <v>Commission Comparison</v>
      </c>
      <c r="H2181" s="19" t="str">
        <f>IFERROR(__xludf.DUMMYFUNCTION("""COMPUTED_VALUE"""),"Michelle Forrester")</f>
        <v>Michelle Forrester</v>
      </c>
      <c r="I2181" s="62">
        <f>IFERROR(__xludf.DUMMYFUNCTION("""COMPUTED_VALUE"""),6.1439474877E10)</f>
        <v>61439474877</v>
      </c>
      <c r="J2181" s="19" t="str">
        <f>IFERROR(__xludf.DUMMYFUNCTION("""COMPUTED_VALUE"""),"michelleforrester76@gmail.com")</f>
        <v>michelleforrester76@gmail.com</v>
      </c>
    </row>
    <row r="2182">
      <c r="A2182" s="19" t="str">
        <f>IFERROR(__xludf.DUMMYFUNCTION("""COMPUTED_VALUE"""),"Sam Kolatchew")</f>
        <v>Sam Kolatchew</v>
      </c>
      <c r="B2182" s="19" t="str">
        <f>IFERROR(__xludf.DUMMYFUNCTION("""COMPUTED_VALUE"""),"NSW")</f>
        <v>NSW</v>
      </c>
      <c r="C2182" s="5" t="str">
        <f>IFERROR(__xludf.DUMMYFUNCTION("""COMPUTED_VALUE"""),"Belmont North")</f>
        <v>Belmont North</v>
      </c>
      <c r="D2182" s="5" t="str">
        <f>IFERROR(__xludf.DUMMYFUNCTION("""COMPUTED_VALUE"""),"14 Harrison St, 2290")</f>
        <v>14 Harrison St, 2290</v>
      </c>
      <c r="E2182" s="27">
        <f>IFERROR(__xludf.DUMMYFUNCTION("""COMPUTED_VALUE"""),45669.0)</f>
        <v>45669</v>
      </c>
      <c r="F2182" s="64">
        <f>IFERROR(__xludf.DUMMYFUNCTION("""COMPUTED_VALUE"""),0.2)</f>
        <v>0.2</v>
      </c>
      <c r="G2182" s="19" t="str">
        <f>IFERROR(__xludf.DUMMYFUNCTION("""COMPUTED_VALUE"""),"Meta Commission Report")</f>
        <v>Meta Commission Report</v>
      </c>
      <c r="H2182" s="19" t="str">
        <f>IFERROR(__xludf.DUMMYFUNCTION("""COMPUTED_VALUE"""),"Michelle Davies")</f>
        <v>Michelle Davies</v>
      </c>
      <c r="I2182" s="62">
        <f>IFERROR(__xludf.DUMMYFUNCTION("""COMPUTED_VALUE"""),6.1425394922E10)</f>
        <v>61425394922</v>
      </c>
      <c r="J2182" s="19" t="str">
        <f>IFERROR(__xludf.DUMMYFUNCTION("""COMPUTED_VALUE"""),"michelle.gisells64@gmail.com")</f>
        <v>michelle.gisells64@gmail.com</v>
      </c>
    </row>
    <row r="2183">
      <c r="A2183" s="19" t="str">
        <f>IFERROR(__xludf.DUMMYFUNCTION("""COMPUTED_VALUE"""),"")</f>
        <v/>
      </c>
      <c r="B2183" s="19" t="str">
        <f>IFERROR(__xludf.DUMMYFUNCTION("""COMPUTED_VALUE"""),"")</f>
        <v/>
      </c>
      <c r="C2183" s="5" t="str">
        <f>IFERROR(__xludf.DUMMYFUNCTION("""COMPUTED_VALUE"""),"")</f>
        <v/>
      </c>
      <c r="D2183" s="5" t="str">
        <f>IFERROR(__xludf.DUMMYFUNCTION("""COMPUTED_VALUE"""),"")</f>
        <v/>
      </c>
      <c r="E2183" s="5" t="str">
        <f>IFERROR(__xludf.DUMMYFUNCTION("""COMPUTED_VALUE"""),"")</f>
        <v/>
      </c>
      <c r="F2183" s="5" t="str">
        <f>IFERROR(__xludf.DUMMYFUNCTION("""COMPUTED_VALUE"""),"")</f>
        <v/>
      </c>
      <c r="G2183" s="19" t="str">
        <f>IFERROR(__xludf.DUMMYFUNCTION("""COMPUTED_VALUE"""),"")</f>
        <v/>
      </c>
      <c r="H2183" s="19" t="str">
        <f>IFERROR(__xludf.DUMMYFUNCTION("""COMPUTED_VALUE"""),"")</f>
        <v/>
      </c>
      <c r="I2183" s="62" t="str">
        <f>IFERROR(__xludf.DUMMYFUNCTION("""COMPUTED_VALUE"""),"")</f>
        <v/>
      </c>
      <c r="J2183" s="19" t="str">
        <f>IFERROR(__xludf.DUMMYFUNCTION("""COMPUTED_VALUE"""),"")</f>
        <v/>
      </c>
    </row>
    <row r="2184">
      <c r="A2184" s="19" t="str">
        <f>IFERROR(__xludf.DUMMYFUNCTION("""COMPUTED_VALUE"""),"")</f>
        <v/>
      </c>
      <c r="B2184" s="19" t="str">
        <f>IFERROR(__xludf.DUMMYFUNCTION("""COMPUTED_VALUE"""),"")</f>
        <v/>
      </c>
      <c r="C2184" s="5" t="str">
        <f>IFERROR(__xludf.DUMMYFUNCTION("""COMPUTED_VALUE"""),"")</f>
        <v/>
      </c>
      <c r="D2184" s="5" t="str">
        <f>IFERROR(__xludf.DUMMYFUNCTION("""COMPUTED_VALUE"""),"")</f>
        <v/>
      </c>
      <c r="E2184" s="5" t="str">
        <f>IFERROR(__xludf.DUMMYFUNCTION("""COMPUTED_VALUE"""),"")</f>
        <v/>
      </c>
      <c r="F2184" s="5" t="str">
        <f>IFERROR(__xludf.DUMMYFUNCTION("""COMPUTED_VALUE"""),"")</f>
        <v/>
      </c>
      <c r="G2184" s="19" t="str">
        <f>IFERROR(__xludf.DUMMYFUNCTION("""COMPUTED_VALUE"""),"")</f>
        <v/>
      </c>
      <c r="H2184" s="19" t="str">
        <f>IFERROR(__xludf.DUMMYFUNCTION("""COMPUTED_VALUE"""),"")</f>
        <v/>
      </c>
      <c r="I2184" s="62" t="str">
        <f>IFERROR(__xludf.DUMMYFUNCTION("""COMPUTED_VALUE"""),"")</f>
        <v/>
      </c>
      <c r="J2184" s="19" t="str">
        <f>IFERROR(__xludf.DUMMYFUNCTION("""COMPUTED_VALUE"""),"")</f>
        <v/>
      </c>
    </row>
    <row r="2185">
      <c r="A2185" s="19" t="str">
        <f>IFERROR(__xludf.DUMMYFUNCTION("""COMPUTED_VALUE"""),"Sam Scott And Joshua Quinn")</f>
        <v>Sam Scott And Joshua Quinn</v>
      </c>
      <c r="B2185" s="19" t="str">
        <f>IFERROR(__xludf.DUMMYFUNCTION("""COMPUTED_VALUE"""),"QLD")</f>
        <v>QLD</v>
      </c>
      <c r="C2185" s="5" t="str">
        <f>IFERROR(__xludf.DUMMYFUNCTION("""COMPUTED_VALUE"""),"Aspley")</f>
        <v>Aspley</v>
      </c>
      <c r="D2185" s="5"/>
      <c r="E2185" s="25">
        <f>IFERROR(__xludf.DUMMYFUNCTION("""COMPUTED_VALUE"""),45938.0)</f>
        <v>45938</v>
      </c>
      <c r="F2185" s="5">
        <f>IFERROR(__xludf.DUMMYFUNCTION("""COMPUTED_VALUE"""),5.0)</f>
        <v>5</v>
      </c>
      <c r="G2185" s="19" t="str">
        <f>IFERROR(__xludf.DUMMYFUNCTION("""COMPUTED_VALUE"""),"Instant Forms")</f>
        <v>Instant Forms</v>
      </c>
      <c r="H2185" s="19"/>
      <c r="I2185" s="62"/>
      <c r="J2185" s="19"/>
    </row>
    <row r="2186">
      <c r="A2186" s="19" t="str">
        <f>IFERROR(__xludf.DUMMYFUNCTION("""COMPUTED_VALUE"""),"Sam Scott And Joshua Quinn")</f>
        <v>Sam Scott And Joshua Quinn</v>
      </c>
      <c r="B2186" s="19" t="str">
        <f>IFERROR(__xludf.DUMMYFUNCTION("""COMPUTED_VALUE"""),"QLD")</f>
        <v>QLD</v>
      </c>
      <c r="C2186" s="5" t="str">
        <f>IFERROR(__xludf.DUMMYFUNCTION("""COMPUTED_VALUE"""),"Everton Park")</f>
        <v>Everton Park</v>
      </c>
      <c r="D2186" s="5" t="str">
        <f>IFERROR(__xludf.DUMMYFUNCTION("""COMPUTED_VALUE"""),"25 Holloway Drive Everton Park QLD 4053")</f>
        <v>25 Holloway Drive Everton Park QLD 4053</v>
      </c>
      <c r="E2186" s="25">
        <f>IFERROR(__xludf.DUMMYFUNCTION("""COMPUTED_VALUE"""),45941.0)</f>
        <v>45941</v>
      </c>
      <c r="F2186" s="5">
        <f>IFERROR(__xludf.DUMMYFUNCTION("""COMPUTED_VALUE"""),8.0)</f>
        <v>8</v>
      </c>
      <c r="G2186" s="19" t="str">
        <f>IFERROR(__xludf.DUMMYFUNCTION("""COMPUTED_VALUE"""),"Instant Forms")</f>
        <v>Instant Forms</v>
      </c>
      <c r="H2186" s="19"/>
      <c r="I2186" s="62"/>
      <c r="J2186" s="19"/>
    </row>
    <row r="2187">
      <c r="A2187" s="19" t="str">
        <f>IFERROR(__xludf.DUMMYFUNCTION("""COMPUTED_VALUE"""),"Sam Scott And Joshua Quinn")</f>
        <v>Sam Scott And Joshua Quinn</v>
      </c>
      <c r="B2187" s="19" t="str">
        <f>IFERROR(__xludf.DUMMYFUNCTION("""COMPUTED_VALUE"""),"QLD")</f>
        <v>QLD</v>
      </c>
      <c r="C2187" s="5" t="str">
        <f>IFERROR(__xludf.DUMMYFUNCTION("""COMPUTED_VALUE"""),"Albany Creek")</f>
        <v>Albany Creek</v>
      </c>
      <c r="D2187" s="5" t="str">
        <f>IFERROR(__xludf.DUMMYFUNCTION("""COMPUTED_VALUE"""),"71 Strathford Avenue Albany Creek QLD 4035")</f>
        <v>71 Strathford Avenue Albany Creek QLD 4035</v>
      </c>
      <c r="E2187" s="25">
        <f>IFERROR(__xludf.DUMMYFUNCTION("""COMPUTED_VALUE"""),45941.0)</f>
        <v>45941</v>
      </c>
      <c r="F2187" s="5">
        <f>IFERROR(__xludf.DUMMYFUNCTION("""COMPUTED_VALUE"""),8.0)</f>
        <v>8</v>
      </c>
      <c r="G2187" s="19" t="str">
        <f>IFERROR(__xludf.DUMMYFUNCTION("""COMPUTED_VALUE"""),"Instant Forms")</f>
        <v>Instant Forms</v>
      </c>
      <c r="H2187" s="19"/>
      <c r="I2187" s="62"/>
      <c r="J2187" s="19"/>
    </row>
    <row r="2188">
      <c r="A2188" s="19" t="str">
        <f>IFERROR(__xludf.DUMMYFUNCTION("""COMPUTED_VALUE"""),"Sam Scott And Joshua Quinn")</f>
        <v>Sam Scott And Joshua Quinn</v>
      </c>
      <c r="B2188" s="19" t="str">
        <f>IFERROR(__xludf.DUMMYFUNCTION("""COMPUTED_VALUE"""),"QLD")</f>
        <v>QLD</v>
      </c>
      <c r="C2188" s="5" t="str">
        <f>IFERROR(__xludf.DUMMYFUNCTION("""COMPUTED_VALUE"""),"Draper")</f>
        <v>Draper</v>
      </c>
      <c r="D2188" s="5" t="str">
        <f>IFERROR(__xludf.DUMMYFUNCTION("""COMPUTED_VALUE"""),"34 Willem Drive, Draper, QLD, 4520, Australia")</f>
        <v>34 Willem Drive, Draper, QLD, 4520, Australia</v>
      </c>
      <c r="E2188" s="25">
        <f>IFERROR(__xludf.DUMMYFUNCTION("""COMPUTED_VALUE"""),45945.0)</f>
        <v>45945</v>
      </c>
      <c r="F2188" s="5" t="str">
        <f>IFERROR(__xludf.DUMMYFUNCTION("""COMPUTED_VALUE"""),"Featured")</f>
        <v>Featured</v>
      </c>
      <c r="G2188" s="19" t="str">
        <f>IFERROR(__xludf.DUMMYFUNCTION("""COMPUTED_VALUE"""),"Commission Comparison")</f>
        <v>Commission Comparison</v>
      </c>
      <c r="H2188" s="19"/>
      <c r="I2188" s="62"/>
      <c r="J2188" s="19"/>
    </row>
    <row r="2189">
      <c r="A2189" s="19" t="str">
        <f>IFERROR(__xludf.DUMMYFUNCTION("""COMPUTED_VALUE"""),"Sam Scott And Joshua Quinn")</f>
        <v>Sam Scott And Joshua Quinn</v>
      </c>
      <c r="B2189" s="19" t="str">
        <f>IFERROR(__xludf.DUMMYFUNCTION("""COMPUTED_VALUE"""),"QLD")</f>
        <v>QLD</v>
      </c>
      <c r="C2189" s="5" t="str">
        <f>IFERROR(__xludf.DUMMYFUNCTION("""COMPUTED_VALUE"""),"Everton Park")</f>
        <v>Everton Park</v>
      </c>
      <c r="D2189" s="5"/>
      <c r="E2189" s="25">
        <f>IFERROR(__xludf.DUMMYFUNCTION("""COMPUTED_VALUE"""),45952.0)</f>
        <v>45952</v>
      </c>
      <c r="F2189" s="5">
        <f>IFERROR(__xludf.DUMMYFUNCTION("""COMPUTED_VALUE"""),5.0)</f>
        <v>5</v>
      </c>
      <c r="G2189" s="19" t="str">
        <f>IFERROR(__xludf.DUMMYFUNCTION("""COMPUTED_VALUE"""),"Instant Forms")</f>
        <v>Instant Forms</v>
      </c>
      <c r="H2189" s="19"/>
      <c r="I2189" s="62"/>
      <c r="J2189" s="19"/>
    </row>
    <row r="2190">
      <c r="A2190" s="19" t="str">
        <f>IFERROR(__xludf.DUMMYFUNCTION("""COMPUTED_VALUE"""),"Sam Scott And Joshua Quinn")</f>
        <v>Sam Scott And Joshua Quinn</v>
      </c>
      <c r="B2190" s="19" t="str">
        <f>IFERROR(__xludf.DUMMYFUNCTION("""COMPUTED_VALUE"""),"QLD")</f>
        <v>QLD</v>
      </c>
      <c r="C2190" s="5" t="str">
        <f>IFERROR(__xludf.DUMMYFUNCTION("""COMPUTED_VALUE"""),"Ferny Hills")</f>
        <v>Ferny Hills</v>
      </c>
      <c r="D2190" s="5" t="str">
        <f>IFERROR(__xludf.DUMMYFUNCTION("""COMPUTED_VALUE"""),"28 Bunora Avenue Ferny Hills, Ferny Hills, 4055")</f>
        <v>28 Bunora Avenue Ferny Hills, Ferny Hills, 4055</v>
      </c>
      <c r="E2190" s="25" t="str">
        <f>IFERROR(__xludf.DUMMYFUNCTION("""COMPUTED_VALUE"""),"25/10/2025")</f>
        <v>25/10/2025</v>
      </c>
      <c r="F2190" s="5" t="str">
        <f>IFERROR(__xludf.DUMMYFUNCTION("""COMPUTED_VALUE"""),"Featured")</f>
        <v>Featured</v>
      </c>
      <c r="G2190" s="19" t="str">
        <f>IFERROR(__xludf.DUMMYFUNCTION("""COMPUTED_VALUE"""),"Meta Commission Report")</f>
        <v>Meta Commission Report</v>
      </c>
      <c r="H2190" s="19" t="str">
        <f>IFERROR(__xludf.DUMMYFUNCTION("""COMPUTED_VALUE"""),"Susan Meehan")</f>
        <v>Susan Meehan</v>
      </c>
      <c r="I2190" s="62"/>
      <c r="J2190" s="19"/>
    </row>
    <row r="2191">
      <c r="A2191" s="19" t="str">
        <f>IFERROR(__xludf.DUMMYFUNCTION("""COMPUTED_VALUE"""),"Sam Scott And Joshua Quinn")</f>
        <v>Sam Scott And Joshua Quinn</v>
      </c>
      <c r="B2191" s="19" t="str">
        <f>IFERROR(__xludf.DUMMYFUNCTION("""COMPUTED_VALUE"""),"QLD")</f>
        <v>QLD</v>
      </c>
      <c r="C2191" s="5" t="str">
        <f>IFERROR(__xludf.DUMMYFUNCTION("""COMPUTED_VALUE"""),"Arana Hills")</f>
        <v>Arana Hills</v>
      </c>
      <c r="D2191" s="5" t="str">
        <f>IFERROR(__xludf.DUMMYFUNCTION("""COMPUTED_VALUE"""),"35 Mitchell St")</f>
        <v>35 Mitchell St</v>
      </c>
      <c r="E2191" s="25">
        <f>IFERROR(__xludf.DUMMYFUNCTION("""COMPUTED_VALUE"""),45962.0)</f>
        <v>45962</v>
      </c>
      <c r="F2191" s="5" t="str">
        <f>IFERROR(__xludf.DUMMYFUNCTION("""COMPUTED_VALUE"""),"Featured")</f>
        <v>Featured</v>
      </c>
      <c r="G2191" s="19" t="str">
        <f>IFERROR(__xludf.DUMMYFUNCTION("""COMPUTED_VALUE"""),"Commission Comparison")</f>
        <v>Commission Comparison</v>
      </c>
      <c r="H2191" s="19"/>
      <c r="I2191" s="62"/>
      <c r="J2191" s="19"/>
    </row>
    <row r="2192">
      <c r="A2192" s="19" t="str">
        <f>IFERROR(__xludf.DUMMYFUNCTION("""COMPUTED_VALUE"""),"Sam Scott And Joshua Quinn")</f>
        <v>Sam Scott And Joshua Quinn</v>
      </c>
      <c r="B2192" s="19" t="str">
        <f>IFERROR(__xludf.DUMMYFUNCTION("""COMPUTED_VALUE"""),"QLD")</f>
        <v>QLD</v>
      </c>
      <c r="C2192" s="5" t="str">
        <f>IFERROR(__xludf.DUMMYFUNCTION("""COMPUTED_VALUE"""),"Mcdowall")</f>
        <v>Mcdowall</v>
      </c>
      <c r="D2192" s="5" t="str">
        <f>IFERROR(__xludf.DUMMYFUNCTION("""COMPUTED_VALUE"""),"6 Andress Street McDowall QLD 4053")</f>
        <v>6 Andress Street McDowall QLD 4053</v>
      </c>
      <c r="E2192" s="25">
        <f>IFERROR(__xludf.DUMMYFUNCTION("""COMPUTED_VALUE"""),45964.0)</f>
        <v>45964</v>
      </c>
      <c r="F2192" s="5">
        <f>IFERROR(__xludf.DUMMYFUNCTION("""COMPUTED_VALUE"""),8.0)</f>
        <v>8</v>
      </c>
      <c r="G2192" s="19" t="str">
        <f>IFERROR(__xludf.DUMMYFUNCTION("""COMPUTED_VALUE"""),"Instant Forms")</f>
        <v>Instant Forms</v>
      </c>
      <c r="H2192" s="19"/>
      <c r="I2192" s="62"/>
      <c r="J2192" s="19"/>
    </row>
    <row r="2193">
      <c r="A2193" s="19" t="str">
        <f>IFERROR(__xludf.DUMMYFUNCTION("""COMPUTED_VALUE"""),"Sam Scott And Joshua Quinn")</f>
        <v>Sam Scott And Joshua Quinn</v>
      </c>
      <c r="B2193" s="19" t="str">
        <f>IFERROR(__xludf.DUMMYFUNCTION("""COMPUTED_VALUE"""),"QLD")</f>
        <v>QLD</v>
      </c>
      <c r="C2193" s="5" t="str">
        <f>IFERROR(__xludf.DUMMYFUNCTION("""COMPUTED_VALUE"""),"Chermside West")</f>
        <v>Chermside West</v>
      </c>
      <c r="D2193" s="5" t="str">
        <f>IFERROR(__xludf.DUMMYFUNCTION("""COMPUTED_VALUE"""),"2 Tyrone Street Chermside West QLD 4032")</f>
        <v>2 Tyrone Street Chermside West QLD 4032</v>
      </c>
      <c r="E2193" s="25">
        <f>IFERROR(__xludf.DUMMYFUNCTION("""COMPUTED_VALUE"""),45964.0)</f>
        <v>45964</v>
      </c>
      <c r="F2193" s="5">
        <f>IFERROR(__xludf.DUMMYFUNCTION("""COMPUTED_VALUE"""),8.0)</f>
        <v>8</v>
      </c>
      <c r="G2193" s="19" t="str">
        <f>IFERROR(__xludf.DUMMYFUNCTION("""COMPUTED_VALUE"""),"Instant Forms")</f>
        <v>Instant Forms</v>
      </c>
      <c r="H2193" s="19"/>
      <c r="I2193" s="62"/>
      <c r="J2193" s="19"/>
    </row>
    <row r="2194">
      <c r="A2194" s="19" t="str">
        <f>IFERROR(__xludf.DUMMYFUNCTION("""COMPUTED_VALUE"""),"Sam Scott And Joshua Quinn")</f>
        <v>Sam Scott And Joshua Quinn</v>
      </c>
      <c r="B2194" s="19" t="str">
        <f>IFERROR(__xludf.DUMMYFUNCTION("""COMPUTED_VALUE"""),"QLD")</f>
        <v>QLD</v>
      </c>
      <c r="C2194" s="5" t="str">
        <f>IFERROR(__xludf.DUMMYFUNCTION("""COMPUTED_VALUE"""),"The gap")</f>
        <v>The gap</v>
      </c>
      <c r="D2194" s="5" t="str">
        <f>IFERROR(__xludf.DUMMYFUNCTION("""COMPUTED_VALUE"""),"33 Montrose place")</f>
        <v>33 Montrose place</v>
      </c>
      <c r="E2194" s="25">
        <f>IFERROR(__xludf.DUMMYFUNCTION("""COMPUTED_VALUE"""),45964.0)</f>
        <v>45964</v>
      </c>
      <c r="F2194" s="5" t="str">
        <f>IFERROR(__xludf.DUMMYFUNCTION("""COMPUTED_VALUE"""),"Featured")</f>
        <v>Featured</v>
      </c>
      <c r="G2194" s="19" t="str">
        <f>IFERROR(__xludf.DUMMYFUNCTION("""COMPUTED_VALUE"""),"Commission Comparison")</f>
        <v>Commission Comparison</v>
      </c>
      <c r="H2194" s="19"/>
      <c r="I2194" s="62"/>
      <c r="J2194" s="19"/>
    </row>
    <row r="2195">
      <c r="A2195" s="19" t="str">
        <f>IFERROR(__xludf.DUMMYFUNCTION("""COMPUTED_VALUE"""),"Sam Scott And Joshua Quinn")</f>
        <v>Sam Scott And Joshua Quinn</v>
      </c>
      <c r="B2195" s="19" t="str">
        <f>IFERROR(__xludf.DUMMYFUNCTION("""COMPUTED_VALUE"""),"QLD")</f>
        <v>QLD</v>
      </c>
      <c r="C2195" s="5" t="str">
        <f>IFERROR(__xludf.DUMMYFUNCTION("""COMPUTED_VALUE"""),"Gaythorne")</f>
        <v>Gaythorne</v>
      </c>
      <c r="D2195" s="5" t="str">
        <f>IFERROR(__xludf.DUMMYFUNCTION("""COMPUTED_VALUE"""),"U 14 34 Lade St")</f>
        <v>U 14 34 Lade St</v>
      </c>
      <c r="E2195" s="25">
        <f>IFERROR(__xludf.DUMMYFUNCTION("""COMPUTED_VALUE"""),45968.0)</f>
        <v>45968</v>
      </c>
      <c r="F2195" s="5" t="str">
        <f>IFERROR(__xludf.DUMMYFUNCTION("""COMPUTED_VALUE"""),"Featured")</f>
        <v>Featured</v>
      </c>
      <c r="G2195" s="19" t="str">
        <f>IFERROR(__xludf.DUMMYFUNCTION("""COMPUTED_VALUE"""),"Commission Comparison")</f>
        <v>Commission Comparison</v>
      </c>
      <c r="H2195" s="19" t="str">
        <f>IFERROR(__xludf.DUMMYFUNCTION("""COMPUTED_VALUE"""),"Nera Komaric")</f>
        <v>Nera Komaric</v>
      </c>
      <c r="I2195" s="62">
        <f>IFERROR(__xludf.DUMMYFUNCTION("""COMPUTED_VALUE"""),6.1414195422E10)</f>
        <v>61414195422</v>
      </c>
      <c r="J2195" s="19" t="str">
        <f>IFERROR(__xludf.DUMMYFUNCTION("""COMPUTED_VALUE"""),"nera.komaric@gmail.comn")</f>
        <v>nera.komaric@gmail.comn</v>
      </c>
    </row>
    <row r="2196">
      <c r="A2196" s="19" t="str">
        <f>IFERROR(__xludf.DUMMYFUNCTION("""COMPUTED_VALUE"""),"Sam Scott And Joshua Quinn")</f>
        <v>Sam Scott And Joshua Quinn</v>
      </c>
      <c r="B2196" s="19" t="str">
        <f>IFERROR(__xludf.DUMMYFUNCTION("""COMPUTED_VALUE"""),"QLD")</f>
        <v>QLD</v>
      </c>
      <c r="C2196" s="5" t="str">
        <f>IFERROR(__xludf.DUMMYFUNCTION("""COMPUTED_VALUE"""),"Gaythorne")</f>
        <v>Gaythorne</v>
      </c>
      <c r="D2196" s="5" t="str">
        <f>IFERROR(__xludf.DUMMYFUNCTION("""COMPUTED_VALUE"""),"U 14 34 Lade St, Gaythorne, 4051")</f>
        <v>U 14 34 Lade St, Gaythorne, 4051</v>
      </c>
      <c r="E2196" s="27">
        <f>IFERROR(__xludf.DUMMYFUNCTION("""COMPUTED_VALUE"""),45849.0)</f>
        <v>45849</v>
      </c>
      <c r="F2196" s="5" t="str">
        <f>IFERROR(__xludf.DUMMYFUNCTION("""COMPUTED_VALUE"""),"Featured")</f>
        <v>Featured</v>
      </c>
      <c r="G2196" s="19" t="str">
        <f>IFERROR(__xludf.DUMMYFUNCTION("""COMPUTED_VALUE"""),"Meta Commission Report")</f>
        <v>Meta Commission Report</v>
      </c>
      <c r="H2196" s="19" t="str">
        <f>IFERROR(__xludf.DUMMYFUNCTION("""COMPUTED_VALUE"""),"Nera Komaric")</f>
        <v>Nera Komaric</v>
      </c>
      <c r="I2196" s="62">
        <f>IFERROR(__xludf.DUMMYFUNCTION("""COMPUTED_VALUE"""),6.1414195422E10)</f>
        <v>61414195422</v>
      </c>
      <c r="J2196" s="19" t="str">
        <f>IFERROR(__xludf.DUMMYFUNCTION("""COMPUTED_VALUE"""),"nera.komaric@gmail.com")</f>
        <v>nera.komaric@gmail.com</v>
      </c>
    </row>
    <row r="2197">
      <c r="A2197" s="19" t="str">
        <f>IFERROR(__xludf.DUMMYFUNCTION("""COMPUTED_VALUE"""),"Sam Scott And Joshua Quinn")</f>
        <v>Sam Scott And Joshua Quinn</v>
      </c>
      <c r="B2197" s="19" t="str">
        <f>IFERROR(__xludf.DUMMYFUNCTION("""COMPUTED_VALUE"""),"QLD")</f>
        <v>QLD</v>
      </c>
      <c r="C2197" s="5" t="str">
        <f>IFERROR(__xludf.DUMMYFUNCTION("""COMPUTED_VALUE"""),"Ferny Hills")</f>
        <v>Ferny Hills</v>
      </c>
      <c r="D2197" s="5" t="str">
        <f>IFERROR(__xludf.DUMMYFUNCTION("""COMPUTED_VALUE"""),"4 Samantha Court, Ferny Hills QLD 4055, Ferny hills, 4055")</f>
        <v>4 Samantha Court, Ferny Hills QLD 4055, Ferny hills, 4055</v>
      </c>
      <c r="E2197" s="25">
        <f>IFERROR(__xludf.DUMMYFUNCTION("""COMPUTED_VALUE"""),46002.0)</f>
        <v>46002</v>
      </c>
      <c r="F2197" s="5" t="str">
        <f>IFERROR(__xludf.DUMMYFUNCTION("""COMPUTED_VALUE"""),"Featured")</f>
        <v>Featured</v>
      </c>
      <c r="G2197" s="19" t="str">
        <f>IFERROR(__xludf.DUMMYFUNCTION("""COMPUTED_VALUE"""),"Meta Commission Report")</f>
        <v>Meta Commission Report</v>
      </c>
      <c r="H2197" s="19" t="str">
        <f>IFERROR(__xludf.DUMMYFUNCTION("""COMPUTED_VALUE"""),"Craig Winwood-Smith")</f>
        <v>Craig Winwood-Smith</v>
      </c>
      <c r="I2197" s="62">
        <f>IFERROR(__xludf.DUMMYFUNCTION("""COMPUTED_VALUE"""),6.1430118538E10)</f>
        <v>61430118538</v>
      </c>
      <c r="J2197" s="19" t="str">
        <f>IFERROR(__xludf.DUMMYFUNCTION("""COMPUTED_VALUE"""),"craigwinwoodsmith@yahoo.com.au")</f>
        <v>craigwinwoodsmith@yahoo.com.au</v>
      </c>
    </row>
    <row r="2198">
      <c r="A2198" s="19" t="str">
        <f>IFERROR(__xludf.DUMMYFUNCTION("""COMPUTED_VALUE"""),"Sam Scott And Joshua Quinn")</f>
        <v>Sam Scott And Joshua Quinn</v>
      </c>
      <c r="B2198" s="19" t="str">
        <f>IFERROR(__xludf.DUMMYFUNCTION("""COMPUTED_VALUE"""),"QLD")</f>
        <v>QLD</v>
      </c>
      <c r="C2198" s="5" t="str">
        <f>IFERROR(__xludf.DUMMYFUNCTION("""COMPUTED_VALUE"""),"Everton hills")</f>
        <v>Everton hills</v>
      </c>
      <c r="D2198" s="5" t="str">
        <f>IFERROR(__xludf.DUMMYFUNCTION("""COMPUTED_VALUE"""),"4 Mirbelia Street Everton Hills QLD 4053")</f>
        <v>4 Mirbelia Street Everton Hills QLD 4053</v>
      </c>
      <c r="E2198" s="25">
        <f>IFERROR(__xludf.DUMMYFUNCTION("""COMPUTED_VALUE"""),45974.0)</f>
        <v>45974</v>
      </c>
      <c r="F2198" s="5">
        <f>IFERROR(__xludf.DUMMYFUNCTION("""COMPUTED_VALUE"""),8.0)</f>
        <v>8</v>
      </c>
      <c r="G2198" s="19" t="str">
        <f>IFERROR(__xludf.DUMMYFUNCTION("""COMPUTED_VALUE"""),"Instant Forms")</f>
        <v>Instant Forms</v>
      </c>
      <c r="H2198" s="19" t="str">
        <f>IFERROR(__xludf.DUMMYFUNCTION("""COMPUTED_VALUE"""),"Gen moller")</f>
        <v>Gen moller</v>
      </c>
      <c r="I2198" s="62">
        <f>IFERROR(__xludf.DUMMYFUNCTION("""COMPUTED_VALUE"""),6.1416299592E10)</f>
        <v>61416299592</v>
      </c>
      <c r="J2198" s="19" t="str">
        <f>IFERROR(__xludf.DUMMYFUNCTION("""COMPUTED_VALUE"""),"Genevieve.moller@svha.org.au")</f>
        <v>Genevieve.moller@svha.org.au</v>
      </c>
    </row>
    <row r="2199">
      <c r="A2199" s="19" t="str">
        <f>IFERROR(__xludf.DUMMYFUNCTION("""COMPUTED_VALUE"""),"Sam Scott And Joshua Quinn")</f>
        <v>Sam Scott And Joshua Quinn</v>
      </c>
      <c r="B2199" s="19" t="str">
        <f>IFERROR(__xludf.DUMMYFUNCTION("""COMPUTED_VALUE"""),"QLD")</f>
        <v>QLD</v>
      </c>
      <c r="C2199" s="5" t="str">
        <f>IFERROR(__xludf.DUMMYFUNCTION("""COMPUTED_VALUE"""),"Bridgeman Downs")</f>
        <v>Bridgeman Downs</v>
      </c>
      <c r="D2199" s="5" t="str">
        <f>IFERROR(__xludf.DUMMYFUNCTION("""COMPUTED_VALUE"""),"26 Trecarne Street Bridgeman Downs QLD 4035")</f>
        <v>26 Trecarne Street Bridgeman Downs QLD 4035</v>
      </c>
      <c r="E2199" s="25">
        <f>IFERROR(__xludf.DUMMYFUNCTION("""COMPUTED_VALUE"""),45974.0)</f>
        <v>45974</v>
      </c>
      <c r="F2199" s="5">
        <f>IFERROR(__xludf.DUMMYFUNCTION("""COMPUTED_VALUE"""),8.0)</f>
        <v>8</v>
      </c>
      <c r="G2199" s="19" t="str">
        <f>IFERROR(__xludf.DUMMYFUNCTION("""COMPUTED_VALUE"""),"Instant Forms")</f>
        <v>Instant Forms</v>
      </c>
      <c r="H2199" s="19" t="str">
        <f>IFERROR(__xludf.DUMMYFUNCTION("""COMPUTED_VALUE"""),"Ellen Lancaster")</f>
        <v>Ellen Lancaster</v>
      </c>
      <c r="I2199" s="62">
        <f>IFERROR(__xludf.DUMMYFUNCTION("""COMPUTED_VALUE"""),6.1422011806E10)</f>
        <v>61422011806</v>
      </c>
      <c r="J2199" s="19" t="str">
        <f>IFERROR(__xludf.DUMMYFUNCTION("""COMPUTED_VALUE"""),"ellen.lancaster@bigpond.com")</f>
        <v>ellen.lancaster@bigpond.com</v>
      </c>
    </row>
    <row r="2200">
      <c r="A2200" s="19" t="str">
        <f>IFERROR(__xludf.DUMMYFUNCTION("""COMPUTED_VALUE"""),"Sam Scott And Joshua Quinn")</f>
        <v>Sam Scott And Joshua Quinn</v>
      </c>
      <c r="B2200" s="19" t="str">
        <f>IFERROR(__xludf.DUMMYFUNCTION("""COMPUTED_VALUE"""),"QLD")</f>
        <v>QLD</v>
      </c>
      <c r="C2200" s="5" t="str">
        <f>IFERROR(__xludf.DUMMYFUNCTION("""COMPUTED_VALUE"""),"The Gap")</f>
        <v>The Gap</v>
      </c>
      <c r="D2200" s="5" t="str">
        <f>IFERROR(__xludf.DUMMYFUNCTION("""COMPUTED_VALUE"""),"15 Davander Close The Gap QLD 4061")</f>
        <v>15 Davander Close The Gap QLD 4061</v>
      </c>
      <c r="E2200" s="25">
        <f>IFERROR(__xludf.DUMMYFUNCTION("""COMPUTED_VALUE"""),45974.0)</f>
        <v>45974</v>
      </c>
      <c r="F2200" s="5">
        <f>IFERROR(__xludf.DUMMYFUNCTION("""COMPUTED_VALUE"""),8.0)</f>
        <v>8</v>
      </c>
      <c r="G2200" s="19" t="str">
        <f>IFERROR(__xludf.DUMMYFUNCTION("""COMPUTED_VALUE"""),"Instant Forms")</f>
        <v>Instant Forms</v>
      </c>
      <c r="H2200" s="19" t="str">
        <f>IFERROR(__xludf.DUMMYFUNCTION("""COMPUTED_VALUE"""),"Anne-marie knaggs")</f>
        <v>Anne-marie knaggs</v>
      </c>
      <c r="I2200" s="62">
        <f>IFERROR(__xludf.DUMMYFUNCTION("""COMPUTED_VALUE"""),6.1407140824E10)</f>
        <v>61407140824</v>
      </c>
      <c r="J2200" s="19" t="str">
        <f>IFERROR(__xludf.DUMMYFUNCTION("""COMPUTED_VALUE"""),"Amtknaggs@bigpond.com")</f>
        <v>Amtknaggs@bigpond.com</v>
      </c>
    </row>
    <row r="2201">
      <c r="A2201" s="19" t="str">
        <f>IFERROR(__xludf.DUMMYFUNCTION("""COMPUTED_VALUE"""),"Sam Scott And Joshua Quinn")</f>
        <v>Sam Scott And Joshua Quinn</v>
      </c>
      <c r="B2201" s="19" t="str">
        <f>IFERROR(__xludf.DUMMYFUNCTION("""COMPUTED_VALUE"""),"QLD")</f>
        <v>QLD</v>
      </c>
      <c r="C2201" s="5" t="str">
        <f>IFERROR(__xludf.DUMMYFUNCTION("""COMPUTED_VALUE"""),"Alderley")</f>
        <v>Alderley</v>
      </c>
      <c r="D2201" s="5" t="str">
        <f>IFERROR(__xludf.DUMMYFUNCTION("""COMPUTED_VALUE"""),"55 Royal Parade Alderley QLD 4051")</f>
        <v>55 Royal Parade Alderley QLD 4051</v>
      </c>
      <c r="E2201" s="25">
        <f>IFERROR(__xludf.DUMMYFUNCTION("""COMPUTED_VALUE"""),45974.0)</f>
        <v>45974</v>
      </c>
      <c r="F2201" s="5">
        <f>IFERROR(__xludf.DUMMYFUNCTION("""COMPUTED_VALUE"""),8.0)</f>
        <v>8</v>
      </c>
      <c r="G2201" s="19" t="str">
        <f>IFERROR(__xludf.DUMMYFUNCTION("""COMPUTED_VALUE"""),"Instant Forms")</f>
        <v>Instant Forms</v>
      </c>
      <c r="H2201" s="19" t="str">
        <f>IFERROR(__xludf.DUMMYFUNCTION("""COMPUTED_VALUE"""),"Josie Parry")</f>
        <v>Josie Parry</v>
      </c>
      <c r="I2201" s="62">
        <f>IFERROR(__xludf.DUMMYFUNCTION("""COMPUTED_VALUE"""),6.1417729227E10)</f>
        <v>61417729227</v>
      </c>
      <c r="J2201" s="19" t="str">
        <f>IFERROR(__xludf.DUMMYFUNCTION("""COMPUTED_VALUE"""),"j.parry@uq.edu.au")</f>
        <v>j.parry@uq.edu.au</v>
      </c>
    </row>
    <row r="2202">
      <c r="A2202" s="19" t="str">
        <f>IFERROR(__xludf.DUMMYFUNCTION("""COMPUTED_VALUE"""),"Sam Scott And Joshua Quinn")</f>
        <v>Sam Scott And Joshua Quinn</v>
      </c>
      <c r="B2202" s="19" t="str">
        <f>IFERROR(__xludf.DUMMYFUNCTION("""COMPUTED_VALUE"""),"QLD")</f>
        <v>QLD</v>
      </c>
      <c r="C2202" s="5" t="str">
        <f>IFERROR(__xludf.DUMMYFUNCTION("""COMPUTED_VALUE"""),"alderkey")</f>
        <v>alderkey</v>
      </c>
      <c r="D2202" s="5" t="str">
        <f>IFERROR(__xludf.DUMMYFUNCTION("""COMPUTED_VALUE"""),"112 Mornington Street Alderley QLD 4051")</f>
        <v>112 Mornington Street Alderley QLD 4051</v>
      </c>
      <c r="E2202" s="25">
        <f>IFERROR(__xludf.DUMMYFUNCTION("""COMPUTED_VALUE"""),45975.0)</f>
        <v>45975</v>
      </c>
      <c r="F2202" s="5">
        <f>IFERROR(__xludf.DUMMYFUNCTION("""COMPUTED_VALUE"""),8.0)</f>
        <v>8</v>
      </c>
      <c r="G2202" s="19" t="str">
        <f>IFERROR(__xludf.DUMMYFUNCTION("""COMPUTED_VALUE"""),"Instant Forms")</f>
        <v>Instant Forms</v>
      </c>
      <c r="H2202" s="19" t="str">
        <f>IFERROR(__xludf.DUMMYFUNCTION("""COMPUTED_VALUE"""),"Phillip Knight")</f>
        <v>Phillip Knight</v>
      </c>
      <c r="I2202" s="62">
        <f>IFERROR(__xludf.DUMMYFUNCTION("""COMPUTED_VALUE"""),6.1407720391E10)</f>
        <v>61407720391</v>
      </c>
      <c r="J2202" s="19" t="str">
        <f>IFERROR(__xludf.DUMMYFUNCTION("""COMPUTED_VALUE"""),"phil.knight112@yahoo.com")</f>
        <v>phil.knight112@yahoo.com</v>
      </c>
    </row>
    <row r="2203">
      <c r="A2203" s="19" t="str">
        <f>IFERROR(__xludf.DUMMYFUNCTION("""COMPUTED_VALUE"""),"Sam Scott And Joshua Quinn")</f>
        <v>Sam Scott And Joshua Quinn</v>
      </c>
      <c r="B2203" s="19" t="str">
        <f>IFERROR(__xludf.DUMMYFUNCTION("""COMPUTED_VALUE"""),"QLD")</f>
        <v>QLD</v>
      </c>
      <c r="C2203" s="5" t="str">
        <f>IFERROR(__xludf.DUMMYFUNCTION("""COMPUTED_VALUE"""),"Ferny Hills")</f>
        <v>Ferny Hills</v>
      </c>
      <c r="D2203" s="5" t="str">
        <f>IFERROR(__xludf.DUMMYFUNCTION("""COMPUTED_VALUE"""),"7 Naalong Grove Ferny Hills QLD 4055")</f>
        <v>7 Naalong Grove Ferny Hills QLD 4055</v>
      </c>
      <c r="E2203" s="5" t="str">
        <f>IFERROR(__xludf.DUMMYFUNCTION("""COMPUTED_VALUE"""),"20/11/2025")</f>
        <v>20/11/2025</v>
      </c>
      <c r="F2203" s="5">
        <f>IFERROR(__xludf.DUMMYFUNCTION("""COMPUTED_VALUE"""),8.0)</f>
        <v>8</v>
      </c>
      <c r="G2203" s="19" t="str">
        <f>IFERROR(__xludf.DUMMYFUNCTION("""COMPUTED_VALUE"""),"Instant Forms")</f>
        <v>Instant Forms</v>
      </c>
      <c r="H2203" s="19" t="str">
        <f>IFERROR(__xludf.DUMMYFUNCTION("""COMPUTED_VALUE"""),"Christiaan Jonker")</f>
        <v>Christiaan Jonker</v>
      </c>
      <c r="I2203" s="62">
        <f>IFERROR(__xludf.DUMMYFUNCTION("""COMPUTED_VALUE"""),6.1406873935E10)</f>
        <v>61406873935</v>
      </c>
      <c r="J2203" s="19" t="str">
        <f>IFERROR(__xludf.DUMMYFUNCTION("""COMPUTED_VALUE"""),"Chrisj@actechnologies.co.za")</f>
        <v>Chrisj@actechnologies.co.za</v>
      </c>
    </row>
    <row r="2204">
      <c r="A2204" s="19" t="str">
        <f>IFERROR(__xludf.DUMMYFUNCTION("""COMPUTED_VALUE"""),"Sam Scott And Joshua Quinn")</f>
        <v>Sam Scott And Joshua Quinn</v>
      </c>
      <c r="B2204" s="19" t="str">
        <f>IFERROR(__xludf.DUMMYFUNCTION("""COMPUTED_VALUE"""),"QLD")</f>
        <v>QLD</v>
      </c>
      <c r="C2204" s="5" t="str">
        <f>IFERROR(__xludf.DUMMYFUNCTION("""COMPUTED_VALUE"""),"Alderley")</f>
        <v>Alderley</v>
      </c>
      <c r="D2204" s="5" t="str">
        <f>IFERROR(__xludf.DUMMYFUNCTION("""COMPUTED_VALUE"""),"101 Welbeck Street Alderley QLD 4051")</f>
        <v>101 Welbeck Street Alderley QLD 4051</v>
      </c>
      <c r="E2204" s="5" t="str">
        <f>IFERROR(__xludf.DUMMYFUNCTION("""COMPUTED_VALUE"""),"23/11/2025")</f>
        <v>23/11/2025</v>
      </c>
      <c r="F2204" s="5">
        <f>IFERROR(__xludf.DUMMYFUNCTION("""COMPUTED_VALUE"""),8.0)</f>
        <v>8</v>
      </c>
      <c r="G2204" s="19" t="str">
        <f>IFERROR(__xludf.DUMMYFUNCTION("""COMPUTED_VALUE"""),"Instant Forms")</f>
        <v>Instant Forms</v>
      </c>
      <c r="H2204" s="19" t="str">
        <f>IFERROR(__xludf.DUMMYFUNCTION("""COMPUTED_VALUE"""),"Trish Speechly")</f>
        <v>Trish Speechly</v>
      </c>
      <c r="I2204" s="62">
        <f>IFERROR(__xludf.DUMMYFUNCTION("""COMPUTED_VALUE"""),6.1433262495E10)</f>
        <v>61433262495</v>
      </c>
      <c r="J2204" s="19" t="str">
        <f>IFERROR(__xludf.DUMMYFUNCTION("""COMPUTED_VALUE"""),"msp8900@bigpond.net.au")</f>
        <v>msp8900@bigpond.net.au</v>
      </c>
    </row>
    <row r="2205">
      <c r="A2205" s="19" t="str">
        <f>IFERROR(__xludf.DUMMYFUNCTION("""COMPUTED_VALUE"""),"Sam Scott And Joshua Quinn")</f>
        <v>Sam Scott And Joshua Quinn</v>
      </c>
      <c r="B2205" s="19" t="str">
        <f>IFERROR(__xludf.DUMMYFUNCTION("""COMPUTED_VALUE"""),"QLD")</f>
        <v>QLD</v>
      </c>
      <c r="C2205" s="5" t="str">
        <f>IFERROR(__xludf.DUMMYFUNCTION("""COMPUTED_VALUE"""),"Arana Hills")</f>
        <v>Arana Hills</v>
      </c>
      <c r="D2205" s="5" t="str">
        <f>IFERROR(__xludf.DUMMYFUNCTION("""COMPUTED_VALUE"""),"5 Crampton Court, Arana Hills, Arana Hills, 4054")</f>
        <v>5 Crampton Court, Arana Hills, Arana Hills, 4054</v>
      </c>
      <c r="E2205" s="27">
        <f>IFERROR(__xludf.DUMMYFUNCTION("""COMPUTED_VALUE"""),45728.0)</f>
        <v>45728</v>
      </c>
      <c r="F2205" s="64">
        <f>IFERROR(__xludf.DUMMYFUNCTION("""COMPUTED_VALUE"""),0.2)</f>
        <v>0.2</v>
      </c>
      <c r="G2205" s="19" t="str">
        <f>IFERROR(__xludf.DUMMYFUNCTION("""COMPUTED_VALUE"""),"Meta Commission Report")</f>
        <v>Meta Commission Report</v>
      </c>
      <c r="H2205" s="19" t="str">
        <f>IFERROR(__xludf.DUMMYFUNCTION("""COMPUTED_VALUE"""),"Chris Knox")</f>
        <v>Chris Knox</v>
      </c>
      <c r="I2205" s="62">
        <f>IFERROR(__xludf.DUMMYFUNCTION("""COMPUTED_VALUE"""),6.140140235E10)</f>
        <v>61401402350</v>
      </c>
      <c r="J2205" s="19" t="str">
        <f>IFERROR(__xludf.DUMMYFUNCTION("""COMPUTED_VALUE"""),"chrisknox@outlook.com.au")</f>
        <v>chrisknox@outlook.com.au</v>
      </c>
    </row>
    <row r="2206">
      <c r="A2206" s="19" t="str">
        <f>IFERROR(__xludf.DUMMYFUNCTION("""COMPUTED_VALUE"""),"Sam Scott And Joshua Quinn")</f>
        <v>Sam Scott And Joshua Quinn</v>
      </c>
      <c r="B2206" s="19" t="str">
        <f>IFERROR(__xludf.DUMMYFUNCTION("""COMPUTED_VALUE"""),"QLD")</f>
        <v>QLD</v>
      </c>
      <c r="C2206" s="5" t="str">
        <f>IFERROR(__xludf.DUMMYFUNCTION("""COMPUTED_VALUE"""),"Eatons Hill")</f>
        <v>Eatons Hill</v>
      </c>
      <c r="D2206" s="5" t="str">
        <f>IFERROR(__xludf.DUMMYFUNCTION("""COMPUTED_VALUE"""),"125 Saraband Drive")</f>
        <v>125 Saraband Drive</v>
      </c>
      <c r="E2206" s="27">
        <f>IFERROR(__xludf.DUMMYFUNCTION("""COMPUTED_VALUE"""),45820.0)</f>
        <v>45820</v>
      </c>
      <c r="F2206" s="64">
        <f>IFERROR(__xludf.DUMMYFUNCTION("""COMPUTED_VALUE"""),0.2)</f>
        <v>0.2</v>
      </c>
      <c r="G2206" s="19" t="str">
        <f>IFERROR(__xludf.DUMMYFUNCTION("""COMPUTED_VALUE"""),"Commission Comparison")</f>
        <v>Commission Comparison</v>
      </c>
      <c r="H2206" s="19" t="str">
        <f>IFERROR(__xludf.DUMMYFUNCTION("""COMPUTED_VALUE"""),"guru89")</f>
        <v>guru89</v>
      </c>
      <c r="I2206" s="62">
        <f>IFERROR(__xludf.DUMMYFUNCTION("""COMPUTED_VALUE"""),6.1403657466E10)</f>
        <v>61403657466</v>
      </c>
      <c r="J2206" s="19" t="str">
        <f>IFERROR(__xludf.DUMMYFUNCTION("""COMPUTED_VALUE"""),"butad80s@gmail.com")</f>
        <v>butad80s@gmail.com</v>
      </c>
    </row>
    <row r="2207">
      <c r="A2207" s="19" t="str">
        <f>IFERROR(__xludf.DUMMYFUNCTION("""COMPUTED_VALUE"""),"Sam Scott And Joshua Quinn")</f>
        <v>Sam Scott And Joshua Quinn</v>
      </c>
      <c r="B2207" s="19" t="str">
        <f>IFERROR(__xludf.DUMMYFUNCTION("""COMPUTED_VALUE"""),"QLD")</f>
        <v>QLD</v>
      </c>
      <c r="C2207" s="5" t="str">
        <f>IFERROR(__xludf.DUMMYFUNCTION("""COMPUTED_VALUE"""),"McDowall")</f>
        <v>McDowall</v>
      </c>
      <c r="D2207" s="5" t="str">
        <f>IFERROR(__xludf.DUMMYFUNCTION("""COMPUTED_VALUE"""),"6 Andress Street McDowall QLD 4053")</f>
        <v>6 Andress Street McDowall QLD 4053</v>
      </c>
      <c r="E2207" s="27">
        <f>IFERROR(__xludf.DUMMYFUNCTION("""COMPUTED_VALUE"""),45820.0)</f>
        <v>45820</v>
      </c>
      <c r="F2207" s="64">
        <f>IFERROR(__xludf.DUMMYFUNCTION("""COMPUTED_VALUE"""),0.2)</f>
        <v>0.2</v>
      </c>
      <c r="G2207" s="19" t="str">
        <f>IFERROR(__xludf.DUMMYFUNCTION("""COMPUTED_VALUE"""),"Instant Forms")</f>
        <v>Instant Forms</v>
      </c>
      <c r="H2207" s="19" t="str">
        <f>IFERROR(__xludf.DUMMYFUNCTION("""COMPUTED_VALUE"""),"Lorraine Swanston")</f>
        <v>Lorraine Swanston</v>
      </c>
      <c r="I2207" s="62">
        <f>IFERROR(__xludf.DUMMYFUNCTION("""COMPUTED_VALUE"""),6.1408721178E10)</f>
        <v>61408721178</v>
      </c>
      <c r="J2207" s="19" t="str">
        <f>IFERROR(__xludf.DUMMYFUNCTION("""COMPUTED_VALUE"""),"rainelady@gmail.com")</f>
        <v>rainelady@gmail.com</v>
      </c>
    </row>
    <row r="2208">
      <c r="A2208" s="19" t="str">
        <f>IFERROR(__xludf.DUMMYFUNCTION("""COMPUTED_VALUE"""),"Sam Scott And Joshua Quinn")</f>
        <v>Sam Scott And Joshua Quinn</v>
      </c>
      <c r="B2208" s="19" t="str">
        <f>IFERROR(__xludf.DUMMYFUNCTION("""COMPUTED_VALUE"""),"QLD")</f>
        <v>QLD</v>
      </c>
      <c r="C2208" s="5" t="str">
        <f>IFERROR(__xludf.DUMMYFUNCTION("""COMPUTED_VALUE"""),"Albany Creek")</f>
        <v>Albany Creek</v>
      </c>
      <c r="D2208" s="5" t="str">
        <f>IFERROR(__xludf.DUMMYFUNCTION("""COMPUTED_VALUE"""),"9 saint andrews crt. Albany Creek 4035")</f>
        <v>9 saint andrews crt. Albany Creek 4035</v>
      </c>
      <c r="E2208" s="27">
        <f>IFERROR(__xludf.DUMMYFUNCTION("""COMPUTED_VALUE"""),45820.0)</f>
        <v>45820</v>
      </c>
      <c r="F2208" s="64">
        <f>IFERROR(__xludf.DUMMYFUNCTION("""COMPUTED_VALUE"""),0.2)</f>
        <v>0.2</v>
      </c>
      <c r="G2208" s="19" t="str">
        <f>IFERROR(__xludf.DUMMYFUNCTION("""COMPUTED_VALUE"""),"Commission Comparison")</f>
        <v>Commission Comparison</v>
      </c>
      <c r="H2208" s="19" t="str">
        <f>IFERROR(__xludf.DUMMYFUNCTION("""COMPUTED_VALUE"""),"John Whittaker")</f>
        <v>John Whittaker</v>
      </c>
      <c r="I2208" s="62">
        <f>IFERROR(__xludf.DUMMYFUNCTION("""COMPUTED_VALUE"""),6.1427444429E10)</f>
        <v>61427444429</v>
      </c>
      <c r="J2208" s="19" t="str">
        <f>IFERROR(__xludf.DUMMYFUNCTION("""COMPUTED_VALUE"""),"Awesome458@bigpond.com")</f>
        <v>Awesome458@bigpond.com</v>
      </c>
    </row>
    <row r="2209">
      <c r="A2209" s="19" t="str">
        <f>IFERROR(__xludf.DUMMYFUNCTION("""COMPUTED_VALUE"""),"")</f>
        <v/>
      </c>
      <c r="B2209" s="19" t="str">
        <f>IFERROR(__xludf.DUMMYFUNCTION("""COMPUTED_VALUE"""),"")</f>
        <v/>
      </c>
      <c r="C2209" s="5" t="str">
        <f>IFERROR(__xludf.DUMMYFUNCTION("""COMPUTED_VALUE"""),"")</f>
        <v/>
      </c>
      <c r="D2209" s="5" t="str">
        <f>IFERROR(__xludf.DUMMYFUNCTION("""COMPUTED_VALUE"""),"")</f>
        <v/>
      </c>
      <c r="E2209" s="5" t="str">
        <f>IFERROR(__xludf.DUMMYFUNCTION("""COMPUTED_VALUE"""),"")</f>
        <v/>
      </c>
      <c r="F2209" s="5" t="str">
        <f>IFERROR(__xludf.DUMMYFUNCTION("""COMPUTED_VALUE"""),"")</f>
        <v/>
      </c>
      <c r="G2209" s="19" t="str">
        <f>IFERROR(__xludf.DUMMYFUNCTION("""COMPUTED_VALUE"""),"")</f>
        <v/>
      </c>
      <c r="H2209" s="19" t="str">
        <f>IFERROR(__xludf.DUMMYFUNCTION("""COMPUTED_VALUE"""),"")</f>
        <v/>
      </c>
      <c r="I2209" s="62" t="str">
        <f>IFERROR(__xludf.DUMMYFUNCTION("""COMPUTED_VALUE"""),"")</f>
        <v/>
      </c>
      <c r="J2209" s="19" t="str">
        <f>IFERROR(__xludf.DUMMYFUNCTION("""COMPUTED_VALUE"""),"")</f>
        <v/>
      </c>
    </row>
    <row r="2210">
      <c r="A2210" s="19" t="str">
        <f>IFERROR(__xludf.DUMMYFUNCTION("""COMPUTED_VALUE"""),"")</f>
        <v/>
      </c>
      <c r="B2210" s="19" t="str">
        <f>IFERROR(__xludf.DUMMYFUNCTION("""COMPUTED_VALUE"""),"")</f>
        <v/>
      </c>
      <c r="C2210" s="5" t="str">
        <f>IFERROR(__xludf.DUMMYFUNCTION("""COMPUTED_VALUE"""),"")</f>
        <v/>
      </c>
      <c r="D2210" s="5" t="str">
        <f>IFERROR(__xludf.DUMMYFUNCTION("""COMPUTED_VALUE"""),"")</f>
        <v/>
      </c>
      <c r="E2210" s="5" t="str">
        <f>IFERROR(__xludf.DUMMYFUNCTION("""COMPUTED_VALUE"""),"")</f>
        <v/>
      </c>
      <c r="F2210" s="5" t="str">
        <f>IFERROR(__xludf.DUMMYFUNCTION("""COMPUTED_VALUE"""),"")</f>
        <v/>
      </c>
      <c r="G2210" s="19" t="str">
        <f>IFERROR(__xludf.DUMMYFUNCTION("""COMPUTED_VALUE"""),"")</f>
        <v/>
      </c>
      <c r="H2210" s="19" t="str">
        <f>IFERROR(__xludf.DUMMYFUNCTION("""COMPUTED_VALUE"""),"")</f>
        <v/>
      </c>
      <c r="I2210" s="62" t="str">
        <f>IFERROR(__xludf.DUMMYFUNCTION("""COMPUTED_VALUE"""),"")</f>
        <v/>
      </c>
      <c r="J2210" s="19" t="str">
        <f>IFERROR(__xludf.DUMMYFUNCTION("""COMPUTED_VALUE"""),"")</f>
        <v/>
      </c>
    </row>
    <row r="2211">
      <c r="A2211" s="19" t="str">
        <f>IFERROR(__xludf.DUMMYFUNCTION("""COMPUTED_VALUE"""),"Sam Sidiqi")</f>
        <v>Sam Sidiqi</v>
      </c>
      <c r="B2211" s="19" t="str">
        <f>IFERROR(__xludf.DUMMYFUNCTION("""COMPUTED_VALUE"""),"VIC")</f>
        <v>VIC</v>
      </c>
      <c r="C2211" s="5" t="str">
        <f>IFERROR(__xludf.DUMMYFUNCTION("""COMPUTED_VALUE"""),"Ringwood")</f>
        <v>Ringwood</v>
      </c>
      <c r="D2211" s="5" t="str">
        <f>IFERROR(__xludf.DUMMYFUNCTION("""COMPUTED_VALUE"""),"3 / 24 City Road, Ringwood, Victoria, 3134, Australia")</f>
        <v>3 / 24 City Road, Ringwood, Victoria, 3134, Australia</v>
      </c>
      <c r="E2211" s="25">
        <f>IFERROR(__xludf.DUMMYFUNCTION("""COMPUTED_VALUE"""),45902.0)</f>
        <v>45902</v>
      </c>
      <c r="F2211" s="5" t="str">
        <f>IFERROR(__xludf.DUMMYFUNCTION("""COMPUTED_VALUE"""),"Featured")</f>
        <v>Featured</v>
      </c>
      <c r="G2211" s="19" t="str">
        <f>IFERROR(__xludf.DUMMYFUNCTION("""COMPUTED_VALUE"""),"Commission Comparison")</f>
        <v>Commission Comparison</v>
      </c>
      <c r="H2211" s="19"/>
      <c r="I2211" s="62"/>
      <c r="J2211" s="19"/>
    </row>
    <row r="2212">
      <c r="A2212" s="19" t="str">
        <f>IFERROR(__xludf.DUMMYFUNCTION("""COMPUTED_VALUE"""),"Sam Sidiqi")</f>
        <v>Sam Sidiqi</v>
      </c>
      <c r="B2212" s="19" t="str">
        <f>IFERROR(__xludf.DUMMYFUNCTION("""COMPUTED_VALUE"""),"VIC")</f>
        <v>VIC</v>
      </c>
      <c r="C2212" s="5">
        <f>IFERROR(__xludf.DUMMYFUNCTION("""COMPUTED_VALUE"""),3977.0)</f>
        <v>3977</v>
      </c>
      <c r="D2212" s="5"/>
      <c r="E2212" s="25">
        <f>IFERROR(__xludf.DUMMYFUNCTION("""COMPUTED_VALUE"""),45904.0)</f>
        <v>45904</v>
      </c>
      <c r="F2212" s="5" t="str">
        <f>IFERROR(__xludf.DUMMYFUNCTION("""COMPUTED_VALUE"""),"Free")</f>
        <v>Free</v>
      </c>
      <c r="G2212" s="19" t="str">
        <f>IFERROR(__xludf.DUMMYFUNCTION("""COMPUTED_VALUE"""),"Instant Forms")</f>
        <v>Instant Forms</v>
      </c>
      <c r="H2212" s="19"/>
      <c r="I2212" s="62"/>
      <c r="J2212" s="19"/>
    </row>
    <row r="2213">
      <c r="A2213" s="19" t="str">
        <f>IFERROR(__xludf.DUMMYFUNCTION("""COMPUTED_VALUE"""),"Sam Sidiqi")</f>
        <v>Sam Sidiqi</v>
      </c>
      <c r="B2213" s="19" t="str">
        <f>IFERROR(__xludf.DUMMYFUNCTION("""COMPUTED_VALUE"""),"VIC")</f>
        <v>VIC</v>
      </c>
      <c r="C2213" s="5" t="str">
        <f>IFERROR(__xludf.DUMMYFUNCTION("""COMPUTED_VALUE"""),"Sandhurst")</f>
        <v>Sandhurst</v>
      </c>
      <c r="D2213" s="5" t="str">
        <f>IFERROR(__xludf.DUMMYFUNCTION("""COMPUTED_VALUE"""),"3 Bluewater Drive Sandhurst VIC 3977")</f>
        <v>3 Bluewater Drive Sandhurst VIC 3977</v>
      </c>
      <c r="E2213" s="25">
        <f>IFERROR(__xludf.DUMMYFUNCTION("""COMPUTED_VALUE"""),45904.0)</f>
        <v>45904</v>
      </c>
      <c r="F2213" s="5" t="str">
        <f>IFERROR(__xludf.DUMMYFUNCTION("""COMPUTED_VALUE"""),"Featured")</f>
        <v>Featured</v>
      </c>
      <c r="G2213" s="19" t="str">
        <f>IFERROR(__xludf.DUMMYFUNCTION("""COMPUTED_VALUE"""),"Instant Forms")</f>
        <v>Instant Forms</v>
      </c>
      <c r="H2213" s="19"/>
      <c r="I2213" s="62"/>
      <c r="J2213" s="19"/>
    </row>
    <row r="2214">
      <c r="A2214" s="19" t="str">
        <f>IFERROR(__xludf.DUMMYFUNCTION("""COMPUTED_VALUE"""),"Sam Sidiqi")</f>
        <v>Sam Sidiqi</v>
      </c>
      <c r="B2214" s="19" t="str">
        <f>IFERROR(__xludf.DUMMYFUNCTION("""COMPUTED_VALUE"""),"VIC")</f>
        <v>VIC</v>
      </c>
      <c r="C2214" s="5" t="str">
        <f>IFERROR(__xludf.DUMMYFUNCTION("""COMPUTED_VALUE"""),"Cheltenham")</f>
        <v>Cheltenham</v>
      </c>
      <c r="D2214" s="5" t="str">
        <f>IFERROR(__xludf.DUMMYFUNCTION("""COMPUTED_VALUE"""),"10 Tiffany Avenue Cheltenham VIC 3192")</f>
        <v>10 Tiffany Avenue Cheltenham VIC 3192</v>
      </c>
      <c r="E2214" s="25">
        <f>IFERROR(__xludf.DUMMYFUNCTION("""COMPUTED_VALUE"""),45904.0)</f>
        <v>45904</v>
      </c>
      <c r="F2214" s="5" t="str">
        <f>IFERROR(__xludf.DUMMYFUNCTION("""COMPUTED_VALUE"""),"Featured")</f>
        <v>Featured</v>
      </c>
      <c r="G2214" s="19" t="str">
        <f>IFERROR(__xludf.DUMMYFUNCTION("""COMPUTED_VALUE"""),"Instant Forms")</f>
        <v>Instant Forms</v>
      </c>
      <c r="H2214" s="19"/>
      <c r="I2214" s="62"/>
      <c r="J2214" s="19"/>
    </row>
    <row r="2215">
      <c r="A2215" s="19" t="str">
        <f>IFERROR(__xludf.DUMMYFUNCTION("""COMPUTED_VALUE"""),"Sam Sidiqi")</f>
        <v>Sam Sidiqi</v>
      </c>
      <c r="B2215" s="19" t="str">
        <f>IFERROR(__xludf.DUMMYFUNCTION("""COMPUTED_VALUE"""),"VIC")</f>
        <v>VIC</v>
      </c>
      <c r="C2215" s="5" t="str">
        <f>IFERROR(__xludf.DUMMYFUNCTION("""COMPUTED_VALUE"""),"Patterson Lakes")</f>
        <v>Patterson Lakes</v>
      </c>
      <c r="D2215" s="5" t="str">
        <f>IFERROR(__xludf.DUMMYFUNCTION("""COMPUTED_VALUE"""),"28 Lord Rodney Drive Patterson Lakes VIC 3197")</f>
        <v>28 Lord Rodney Drive Patterson Lakes VIC 3197</v>
      </c>
      <c r="E2215" s="25">
        <f>IFERROR(__xludf.DUMMYFUNCTION("""COMPUTED_VALUE"""),45905.0)</f>
        <v>45905</v>
      </c>
      <c r="F2215" s="5" t="str">
        <f>IFERROR(__xludf.DUMMYFUNCTION("""COMPUTED_VALUE"""),"Featured")</f>
        <v>Featured</v>
      </c>
      <c r="G2215" s="19" t="str">
        <f>IFERROR(__xludf.DUMMYFUNCTION("""COMPUTED_VALUE"""),"Instant Forms")</f>
        <v>Instant Forms</v>
      </c>
      <c r="H2215" s="19"/>
      <c r="I2215" s="62"/>
      <c r="J2215" s="19"/>
    </row>
    <row r="2216">
      <c r="A2216" s="19" t="str">
        <f>IFERROR(__xludf.DUMMYFUNCTION("""COMPUTED_VALUE"""),"Sam Sidiqi")</f>
        <v>Sam Sidiqi</v>
      </c>
      <c r="B2216" s="19" t="str">
        <f>IFERROR(__xludf.DUMMYFUNCTION("""COMPUTED_VALUE"""),"VIC")</f>
        <v>VIC</v>
      </c>
      <c r="C2216" s="5" t="str">
        <f>IFERROR(__xludf.DUMMYFUNCTION("""COMPUTED_VALUE"""),"Sanhurst")</f>
        <v>Sanhurst</v>
      </c>
      <c r="D2216" s="5"/>
      <c r="E2216" s="25">
        <f>IFERROR(__xludf.DUMMYFUNCTION("""COMPUTED_VALUE"""),45907.0)</f>
        <v>45907</v>
      </c>
      <c r="F2216" s="5" t="str">
        <f>IFERROR(__xludf.DUMMYFUNCTION("""COMPUTED_VALUE"""),"Free")</f>
        <v>Free</v>
      </c>
      <c r="G2216" s="19" t="str">
        <f>IFERROR(__xludf.DUMMYFUNCTION("""COMPUTED_VALUE"""),"Instant Forms")</f>
        <v>Instant Forms</v>
      </c>
      <c r="H2216" s="19"/>
      <c r="I2216" s="62"/>
      <c r="J2216" s="19"/>
    </row>
    <row r="2217">
      <c r="A2217" s="19" t="str">
        <f>IFERROR(__xludf.DUMMYFUNCTION("""COMPUTED_VALUE"""),"Sam Sidiqi")</f>
        <v>Sam Sidiqi</v>
      </c>
      <c r="B2217" s="19" t="str">
        <f>IFERROR(__xludf.DUMMYFUNCTION("""COMPUTED_VALUE"""),"VIC")</f>
        <v>VIC</v>
      </c>
      <c r="C2217" s="5" t="str">
        <f>IFERROR(__xludf.DUMMYFUNCTION("""COMPUTED_VALUE"""),"Cranbourne")</f>
        <v>Cranbourne</v>
      </c>
      <c r="D2217" s="5"/>
      <c r="E2217" s="25">
        <f>IFERROR(__xludf.DUMMYFUNCTION("""COMPUTED_VALUE"""),45907.0)</f>
        <v>45907</v>
      </c>
      <c r="F2217" s="5" t="str">
        <f>IFERROR(__xludf.DUMMYFUNCTION("""COMPUTED_VALUE"""),"Featured")</f>
        <v>Featured</v>
      </c>
      <c r="G2217" s="19" t="str">
        <f>IFERROR(__xludf.DUMMYFUNCTION("""COMPUTED_VALUE"""),"Instant Forms")</f>
        <v>Instant Forms</v>
      </c>
      <c r="H2217" s="19"/>
      <c r="I2217" s="62"/>
      <c r="J2217" s="19"/>
    </row>
    <row r="2218">
      <c r="A2218" s="19" t="str">
        <f>IFERROR(__xludf.DUMMYFUNCTION("""COMPUTED_VALUE"""),"Sam Sidiqi")</f>
        <v>Sam Sidiqi</v>
      </c>
      <c r="B2218" s="19" t="str">
        <f>IFERROR(__xludf.DUMMYFUNCTION("""COMPUTED_VALUE"""),"VIC")</f>
        <v>VIC</v>
      </c>
      <c r="C2218" s="5" t="str">
        <f>IFERROR(__xludf.DUMMYFUNCTION("""COMPUTED_VALUE"""),"Sandringham")</f>
        <v>Sandringham</v>
      </c>
      <c r="D2218" s="5" t="str">
        <f>IFERROR(__xludf.DUMMYFUNCTION("""COMPUTED_VALUE"""),"3/34 Sandringham Road Sandringham VIC 3191")</f>
        <v>3/34 Sandringham Road Sandringham VIC 3191</v>
      </c>
      <c r="E2218" s="25">
        <f>IFERROR(__xludf.DUMMYFUNCTION("""COMPUTED_VALUE"""),45907.0)</f>
        <v>45907</v>
      </c>
      <c r="F2218" s="5" t="str">
        <f>IFERROR(__xludf.DUMMYFUNCTION("""COMPUTED_VALUE"""),"Featured")</f>
        <v>Featured</v>
      </c>
      <c r="G2218" s="19" t="str">
        <f>IFERROR(__xludf.DUMMYFUNCTION("""COMPUTED_VALUE"""),"Instant Forms")</f>
        <v>Instant Forms</v>
      </c>
      <c r="H2218" s="19"/>
      <c r="I2218" s="62"/>
      <c r="J2218" s="19"/>
    </row>
    <row r="2219">
      <c r="A2219" s="19" t="str">
        <f>IFERROR(__xludf.DUMMYFUNCTION("""COMPUTED_VALUE"""),"Sam Sidiqi")</f>
        <v>Sam Sidiqi</v>
      </c>
      <c r="B2219" s="19" t="str">
        <f>IFERROR(__xludf.DUMMYFUNCTION("""COMPUTED_VALUE"""),"VIC")</f>
        <v>VIC</v>
      </c>
      <c r="C2219" s="5" t="str">
        <f>IFERROR(__xludf.DUMMYFUNCTION("""COMPUTED_VALUE"""),"HAMPTON PARK")</f>
        <v>HAMPTON PARK</v>
      </c>
      <c r="D2219" s="5" t="str">
        <f>IFERROR(__xludf.DUMMYFUNCTION("""COMPUTED_VALUE"""),"26 Alma Road HAMPTON PARK VIC 3976")</f>
        <v>26 Alma Road HAMPTON PARK VIC 3976</v>
      </c>
      <c r="E2219" s="25">
        <f>IFERROR(__xludf.DUMMYFUNCTION("""COMPUTED_VALUE"""),45915.0)</f>
        <v>45915</v>
      </c>
      <c r="F2219" s="5">
        <f>IFERROR(__xludf.DUMMYFUNCTION("""COMPUTED_VALUE"""),9.0)</f>
        <v>9</v>
      </c>
      <c r="G2219" s="19" t="str">
        <f>IFERROR(__xludf.DUMMYFUNCTION("""COMPUTED_VALUE"""),"Instant Forms")</f>
        <v>Instant Forms</v>
      </c>
      <c r="H2219" s="19" t="str">
        <f>IFERROR(__xludf.DUMMYFUNCTION("""COMPUTED_VALUE"""),"Lucie Patton")</f>
        <v>Lucie Patton</v>
      </c>
      <c r="I2219" s="62"/>
      <c r="J2219" s="19"/>
    </row>
    <row r="2220">
      <c r="A2220" s="19" t="str">
        <f>IFERROR(__xludf.DUMMYFUNCTION("""COMPUTED_VALUE"""),"Sam Sidiqi")</f>
        <v>Sam Sidiqi</v>
      </c>
      <c r="B2220" s="19" t="str">
        <f>IFERROR(__xludf.DUMMYFUNCTION("""COMPUTED_VALUE"""),"VIC")</f>
        <v>VIC</v>
      </c>
      <c r="C2220" s="5" t="str">
        <f>IFERROR(__xludf.DUMMYFUNCTION("""COMPUTED_VALUE"""),"Narre Warren")</f>
        <v>Narre Warren</v>
      </c>
      <c r="D2220" s="5" t="str">
        <f>IFERROR(__xludf.DUMMYFUNCTION("""COMPUTED_VALUE"""),"3 Terry Close Narre Warren VIC 3805")</f>
        <v>3 Terry Close Narre Warren VIC 3805</v>
      </c>
      <c r="E2220" s="25">
        <f>IFERROR(__xludf.DUMMYFUNCTION("""COMPUTED_VALUE"""),45916.0)</f>
        <v>45916</v>
      </c>
      <c r="F2220" s="5">
        <f>IFERROR(__xludf.DUMMYFUNCTION("""COMPUTED_VALUE"""),8.0)</f>
        <v>8</v>
      </c>
      <c r="G2220" s="19" t="str">
        <f>IFERROR(__xludf.DUMMYFUNCTION("""COMPUTED_VALUE"""),"Instant Forms")</f>
        <v>Instant Forms</v>
      </c>
      <c r="H2220" s="19" t="str">
        <f>IFERROR(__xludf.DUMMYFUNCTION("""COMPUTED_VALUE"""),"Debra Anderson")</f>
        <v>Debra Anderson</v>
      </c>
      <c r="I2220" s="62"/>
      <c r="J2220" s="19"/>
    </row>
    <row r="2221">
      <c r="A2221" s="19" t="str">
        <f>IFERROR(__xludf.DUMMYFUNCTION("""COMPUTED_VALUE"""),"Sam Sidiqi")</f>
        <v>Sam Sidiqi</v>
      </c>
      <c r="B2221" s="19" t="str">
        <f>IFERROR(__xludf.DUMMYFUNCTION("""COMPUTED_VALUE"""),"VIC")</f>
        <v>VIC</v>
      </c>
      <c r="C2221" s="5" t="str">
        <f>IFERROR(__xludf.DUMMYFUNCTION("""COMPUTED_VALUE"""),"Cranbourne West")</f>
        <v>Cranbourne West</v>
      </c>
      <c r="D2221" s="5" t="str">
        <f>IFERROR(__xludf.DUMMYFUNCTION("""COMPUTED_VALUE"""),"3 Jacinta Drive Cranbourne West VIC 3977")</f>
        <v>3 Jacinta Drive Cranbourne West VIC 3977</v>
      </c>
      <c r="E2221" s="25">
        <f>IFERROR(__xludf.DUMMYFUNCTION("""COMPUTED_VALUE"""),45921.0)</f>
        <v>45921</v>
      </c>
      <c r="F2221" s="5">
        <f>IFERROR(__xludf.DUMMYFUNCTION("""COMPUTED_VALUE"""),8.0)</f>
        <v>8</v>
      </c>
      <c r="G2221" s="19" t="str">
        <f>IFERROR(__xludf.DUMMYFUNCTION("""COMPUTED_VALUE"""),"Instant Forms")</f>
        <v>Instant Forms</v>
      </c>
      <c r="H2221" s="19" t="str">
        <f>IFERROR(__xludf.DUMMYFUNCTION("""COMPUTED_VALUE"""),"Fatima Dosen")</f>
        <v>Fatima Dosen</v>
      </c>
      <c r="I2221" s="62"/>
      <c r="J2221" s="19"/>
    </row>
    <row r="2222">
      <c r="A2222" s="19" t="str">
        <f>IFERROR(__xludf.DUMMYFUNCTION("""COMPUTED_VALUE"""),"Sam Sidiqi")</f>
        <v>Sam Sidiqi</v>
      </c>
      <c r="B2222" s="19" t="str">
        <f>IFERROR(__xludf.DUMMYFUNCTION("""COMPUTED_VALUE"""),"VIC")</f>
        <v>VIC</v>
      </c>
      <c r="C2222" s="5" t="str">
        <f>IFERROR(__xludf.DUMMYFUNCTION("""COMPUTED_VALUE"""),"Cranbourne North")</f>
        <v>Cranbourne North</v>
      </c>
      <c r="D2222" s="5" t="str">
        <f>IFERROR(__xludf.DUMMYFUNCTION("""COMPUTED_VALUE"""),"15 Frances Crescent Cranbourne North VIC 3977")</f>
        <v>15 Frances Crescent Cranbourne North VIC 3977</v>
      </c>
      <c r="E2222" s="25">
        <f>IFERROR(__xludf.DUMMYFUNCTION("""COMPUTED_VALUE"""),45921.0)</f>
        <v>45921</v>
      </c>
      <c r="F2222" s="5">
        <f>IFERROR(__xludf.DUMMYFUNCTION("""COMPUTED_VALUE"""),8.0)</f>
        <v>8</v>
      </c>
      <c r="G2222" s="19" t="str">
        <f>IFERROR(__xludf.DUMMYFUNCTION("""COMPUTED_VALUE"""),"Instant Forms")</f>
        <v>Instant Forms</v>
      </c>
      <c r="H2222" s="19" t="str">
        <f>IFERROR(__xludf.DUMMYFUNCTION("""COMPUTED_VALUE"""),"Anna-liese Garth")</f>
        <v>Anna-liese Garth</v>
      </c>
      <c r="I2222" s="62"/>
      <c r="J2222" s="19"/>
    </row>
    <row r="2223">
      <c r="A2223" s="19" t="str">
        <f>IFERROR(__xludf.DUMMYFUNCTION("""COMPUTED_VALUE"""),"Sam Sidiqi")</f>
        <v>Sam Sidiqi</v>
      </c>
      <c r="B2223" s="19" t="str">
        <f>IFERROR(__xludf.DUMMYFUNCTION("""COMPUTED_VALUE"""),"VIC")</f>
        <v>VIC</v>
      </c>
      <c r="C2223" s="5" t="str">
        <f>IFERROR(__xludf.DUMMYFUNCTION("""COMPUTED_VALUE"""),"Cranbourne")</f>
        <v>Cranbourne</v>
      </c>
      <c r="D2223" s="5" t="str">
        <f>IFERROR(__xludf.DUMMYFUNCTION("""COMPUTED_VALUE"""),"67 Camms Road Cranbourne VIC 3977")</f>
        <v>67 Camms Road Cranbourne VIC 3977</v>
      </c>
      <c r="E2223" s="25">
        <f>IFERROR(__xludf.DUMMYFUNCTION("""COMPUTED_VALUE"""),45938.0)</f>
        <v>45938</v>
      </c>
      <c r="F2223" s="5">
        <f>IFERROR(__xludf.DUMMYFUNCTION("""COMPUTED_VALUE"""),8.0)</f>
        <v>8</v>
      </c>
      <c r="G2223" s="19" t="str">
        <f>IFERROR(__xludf.DUMMYFUNCTION("""COMPUTED_VALUE"""),"Instant Forms")</f>
        <v>Instant Forms</v>
      </c>
      <c r="H2223" s="19"/>
      <c r="I2223" s="62"/>
      <c r="J2223" s="19"/>
    </row>
    <row r="2224">
      <c r="A2224" s="19" t="str">
        <f>IFERROR(__xludf.DUMMYFUNCTION("""COMPUTED_VALUE"""),"Sam Sidiqi")</f>
        <v>Sam Sidiqi</v>
      </c>
      <c r="B2224" s="19" t="str">
        <f>IFERROR(__xludf.DUMMYFUNCTION("""COMPUTED_VALUE"""),"VIC")</f>
        <v>VIC</v>
      </c>
      <c r="C2224" s="5" t="str">
        <f>IFERROR(__xludf.DUMMYFUNCTION("""COMPUTED_VALUE"""),"Cranbourne")</f>
        <v>Cranbourne</v>
      </c>
      <c r="D2224" s="5" t="str">
        <f>IFERROR(__xludf.DUMMYFUNCTION("""COMPUTED_VALUE"""),"19 Hilda Way Cranbourne VIC 3977")</f>
        <v>19 Hilda Way Cranbourne VIC 3977</v>
      </c>
      <c r="E2224" s="25">
        <f>IFERROR(__xludf.DUMMYFUNCTION("""COMPUTED_VALUE"""),45943.0)</f>
        <v>45943</v>
      </c>
      <c r="F2224" s="5">
        <f>IFERROR(__xludf.DUMMYFUNCTION("""COMPUTED_VALUE"""),8.0)</f>
        <v>8</v>
      </c>
      <c r="G2224" s="19" t="str">
        <f>IFERROR(__xludf.DUMMYFUNCTION("""COMPUTED_VALUE"""),"Instant Forms")</f>
        <v>Instant Forms</v>
      </c>
      <c r="H2224" s="19"/>
      <c r="I2224" s="62"/>
      <c r="J2224" s="19"/>
    </row>
    <row r="2225">
      <c r="A2225" s="19" t="str">
        <f>IFERROR(__xludf.DUMMYFUNCTION("""COMPUTED_VALUE"""),"Sam Sidiqi")</f>
        <v>Sam Sidiqi</v>
      </c>
      <c r="B2225" s="19" t="str">
        <f>IFERROR(__xludf.DUMMYFUNCTION("""COMPUTED_VALUE"""),"VIC")</f>
        <v>VIC</v>
      </c>
      <c r="C2225" s="5" t="str">
        <f>IFERROR(__xludf.DUMMYFUNCTION("""COMPUTED_VALUE"""),"Clyde North")</f>
        <v>Clyde North</v>
      </c>
      <c r="D2225" s="5"/>
      <c r="E2225" s="25">
        <f>IFERROR(__xludf.DUMMYFUNCTION("""COMPUTED_VALUE"""),45945.0)</f>
        <v>45945</v>
      </c>
      <c r="F2225" s="5">
        <f>IFERROR(__xludf.DUMMYFUNCTION("""COMPUTED_VALUE"""),5.0)</f>
        <v>5</v>
      </c>
      <c r="G2225" s="19" t="str">
        <f>IFERROR(__xludf.DUMMYFUNCTION("""COMPUTED_VALUE"""),"Instant Forms")</f>
        <v>Instant Forms</v>
      </c>
      <c r="H2225" s="19"/>
      <c r="I2225" s="62"/>
      <c r="J2225" s="19"/>
    </row>
    <row r="2226">
      <c r="A2226" s="19" t="str">
        <f>IFERROR(__xludf.DUMMYFUNCTION("""COMPUTED_VALUE"""),"Sam Sidiqi")</f>
        <v>Sam Sidiqi</v>
      </c>
      <c r="B2226" s="19" t="str">
        <f>IFERROR(__xludf.DUMMYFUNCTION("""COMPUTED_VALUE"""),"VIC")</f>
        <v>VIC</v>
      </c>
      <c r="C2226" s="5" t="str">
        <f>IFERROR(__xludf.DUMMYFUNCTION("""COMPUTED_VALUE"""),"Sandhurst")</f>
        <v>Sandhurst</v>
      </c>
      <c r="D2226" s="5" t="str">
        <f>IFERROR(__xludf.DUMMYFUNCTION("""COMPUTED_VALUE"""),"21 Daintree Drive Sandhurst VIC 3977")</f>
        <v>21 Daintree Drive Sandhurst VIC 3977</v>
      </c>
      <c r="E2226" s="25">
        <f>IFERROR(__xludf.DUMMYFUNCTION("""COMPUTED_VALUE"""),45946.0)</f>
        <v>45946</v>
      </c>
      <c r="F2226" s="5">
        <f>IFERROR(__xludf.DUMMYFUNCTION("""COMPUTED_VALUE"""),8.0)</f>
        <v>8</v>
      </c>
      <c r="G2226" s="19" t="str">
        <f>IFERROR(__xludf.DUMMYFUNCTION("""COMPUTED_VALUE"""),"Instant Forms")</f>
        <v>Instant Forms</v>
      </c>
      <c r="H2226" s="19"/>
      <c r="I2226" s="62"/>
      <c r="J2226" s="19"/>
    </row>
    <row r="2227">
      <c r="A2227" s="19" t="str">
        <f>IFERROR(__xludf.DUMMYFUNCTION("""COMPUTED_VALUE"""),"Sam Sidiqi")</f>
        <v>Sam Sidiqi</v>
      </c>
      <c r="B2227" s="19" t="str">
        <f>IFERROR(__xludf.DUMMYFUNCTION("""COMPUTED_VALUE"""),"VIC")</f>
        <v>VIC</v>
      </c>
      <c r="C2227" s="5" t="str">
        <f>IFERROR(__xludf.DUMMYFUNCTION("""COMPUTED_VALUE"""),"Cranbourne")</f>
        <v>Cranbourne</v>
      </c>
      <c r="D2227" s="5" t="str">
        <f>IFERROR(__xludf.DUMMYFUNCTION("""COMPUTED_VALUE"""),"6 Powerscout Retreat Cranbourne VIC 3977")</f>
        <v>6 Powerscout Retreat Cranbourne VIC 3977</v>
      </c>
      <c r="E2227" s="25">
        <f>IFERROR(__xludf.DUMMYFUNCTION("""COMPUTED_VALUE"""),45950.0)</f>
        <v>45950</v>
      </c>
      <c r="F2227" s="5">
        <f>IFERROR(__xludf.DUMMYFUNCTION("""COMPUTED_VALUE"""),8.0)</f>
        <v>8</v>
      </c>
      <c r="G2227" s="19" t="str">
        <f>IFERROR(__xludf.DUMMYFUNCTION("""COMPUTED_VALUE"""),"Instant Forms")</f>
        <v>Instant Forms</v>
      </c>
      <c r="H2227" s="19"/>
      <c r="I2227" s="62"/>
      <c r="J2227" s="19"/>
    </row>
    <row r="2228">
      <c r="A2228" s="19" t="str">
        <f>IFERROR(__xludf.DUMMYFUNCTION("""COMPUTED_VALUE"""),"Sam Sidiqi")</f>
        <v>Sam Sidiqi</v>
      </c>
      <c r="B2228" s="19" t="str">
        <f>IFERROR(__xludf.DUMMYFUNCTION("""COMPUTED_VALUE"""),"VIC")</f>
        <v>VIC</v>
      </c>
      <c r="C2228" s="5">
        <f>IFERROR(__xludf.DUMMYFUNCTION("""COMPUTED_VALUE"""),3977.0)</f>
        <v>3977</v>
      </c>
      <c r="D2228" s="5"/>
      <c r="E2228" s="25">
        <f>IFERROR(__xludf.DUMMYFUNCTION("""COMPUTED_VALUE"""),45950.0)</f>
        <v>45950</v>
      </c>
      <c r="F2228" s="5">
        <f>IFERROR(__xludf.DUMMYFUNCTION("""COMPUTED_VALUE"""),5.0)</f>
        <v>5</v>
      </c>
      <c r="G2228" s="19" t="str">
        <f>IFERROR(__xludf.DUMMYFUNCTION("""COMPUTED_VALUE"""),"Instant Forms")</f>
        <v>Instant Forms</v>
      </c>
      <c r="H2228" s="19"/>
      <c r="I2228" s="62"/>
      <c r="J2228" s="19"/>
    </row>
    <row r="2229">
      <c r="A2229" s="19" t="str">
        <f>IFERROR(__xludf.DUMMYFUNCTION("""COMPUTED_VALUE"""),"Sam Sidiqi")</f>
        <v>Sam Sidiqi</v>
      </c>
      <c r="B2229" s="19" t="str">
        <f>IFERROR(__xludf.DUMMYFUNCTION("""COMPUTED_VALUE"""),"VIC")</f>
        <v>VIC</v>
      </c>
      <c r="C2229" s="5" t="str">
        <f>IFERROR(__xludf.DUMMYFUNCTION("""COMPUTED_VALUE"""),"Cranbourne West")</f>
        <v>Cranbourne West</v>
      </c>
      <c r="D2229" s="5" t="str">
        <f>IFERROR(__xludf.DUMMYFUNCTION("""COMPUTED_VALUE"""),"14 Bronhill Court Cranbourne West VIC 3977")</f>
        <v>14 Bronhill Court Cranbourne West VIC 3977</v>
      </c>
      <c r="E2229" s="25">
        <f>IFERROR(__xludf.DUMMYFUNCTION("""COMPUTED_VALUE"""),45952.0)</f>
        <v>45952</v>
      </c>
      <c r="F2229" s="5">
        <f>IFERROR(__xludf.DUMMYFUNCTION("""COMPUTED_VALUE"""),8.0)</f>
        <v>8</v>
      </c>
      <c r="G2229" s="19" t="str">
        <f>IFERROR(__xludf.DUMMYFUNCTION("""COMPUTED_VALUE"""),"Instant Forms")</f>
        <v>Instant Forms</v>
      </c>
      <c r="H2229" s="19"/>
      <c r="I2229" s="62"/>
      <c r="J2229" s="19"/>
    </row>
    <row r="2230">
      <c r="A2230" s="19" t="str">
        <f>IFERROR(__xludf.DUMMYFUNCTION("""COMPUTED_VALUE"""),"Sam Sidiqi")</f>
        <v>Sam Sidiqi</v>
      </c>
      <c r="B2230" s="19" t="str">
        <f>IFERROR(__xludf.DUMMYFUNCTION("""COMPUTED_VALUE"""),"VIC")</f>
        <v>VIC</v>
      </c>
      <c r="C2230" s="5" t="str">
        <f>IFERROR(__xludf.DUMMYFUNCTION("""COMPUTED_VALUE"""),"Skye")</f>
        <v>Skye</v>
      </c>
      <c r="D2230" s="5" t="str">
        <f>IFERROR(__xludf.DUMMYFUNCTION("""COMPUTED_VALUE"""),"10 Chardonnay Drive Skye VIC 3977")</f>
        <v>10 Chardonnay Drive Skye VIC 3977</v>
      </c>
      <c r="E2230" s="25">
        <f>IFERROR(__xludf.DUMMYFUNCTION("""COMPUTED_VALUE"""),45968.0)</f>
        <v>45968</v>
      </c>
      <c r="F2230" s="5">
        <f>IFERROR(__xludf.DUMMYFUNCTION("""COMPUTED_VALUE"""),9.0)</f>
        <v>9</v>
      </c>
      <c r="G2230" s="19" t="str">
        <f>IFERROR(__xludf.DUMMYFUNCTION("""COMPUTED_VALUE"""),"Instant Forms")</f>
        <v>Instant Forms</v>
      </c>
      <c r="H2230" s="19" t="str">
        <f>IFERROR(__xludf.DUMMYFUNCTION("""COMPUTED_VALUE"""),"Lyn Dawn")</f>
        <v>Lyn Dawn</v>
      </c>
      <c r="I2230" s="62">
        <f>IFERROR(__xludf.DUMMYFUNCTION("""COMPUTED_VALUE"""),6.1405590684E10)</f>
        <v>61405590684</v>
      </c>
      <c r="J2230" s="19" t="str">
        <f>IFERROR(__xludf.DUMMYFUNCTION("""COMPUTED_VALUE"""),"lyn_dawn@hotmail.com")</f>
        <v>lyn_dawn@hotmail.com</v>
      </c>
    </row>
    <row r="2231">
      <c r="A2231" s="19" t="str">
        <f>IFERROR(__xludf.DUMMYFUNCTION("""COMPUTED_VALUE"""),"Sam Sidiqi")</f>
        <v>Sam Sidiqi</v>
      </c>
      <c r="B2231" s="19" t="str">
        <f>IFERROR(__xludf.DUMMYFUNCTION("""COMPUTED_VALUE"""),"VIC")</f>
        <v>VIC</v>
      </c>
      <c r="C2231" s="5" t="str">
        <f>IFERROR(__xludf.DUMMYFUNCTION("""COMPUTED_VALUE"""),"Cranbourne")</f>
        <v>Cranbourne</v>
      </c>
      <c r="D2231" s="5" t="str">
        <f>IFERROR(__xludf.DUMMYFUNCTION("""COMPUTED_VALUE"""),"Cranbourne, 3977")</f>
        <v>Cranbourne, 3977</v>
      </c>
      <c r="E2231" s="27">
        <f>IFERROR(__xludf.DUMMYFUNCTION("""COMPUTED_VALUE"""),45849.0)</f>
        <v>45849</v>
      </c>
      <c r="F2231" s="64">
        <f>IFERROR(__xludf.DUMMYFUNCTION("""COMPUTED_VALUE"""),0.1)</f>
        <v>0.1</v>
      </c>
      <c r="G2231" s="19" t="str">
        <f>IFERROR(__xludf.DUMMYFUNCTION("""COMPUTED_VALUE"""),"Meta Commission Report")</f>
        <v>Meta Commission Report</v>
      </c>
      <c r="H2231" s="19" t="str">
        <f>IFERROR(__xludf.DUMMYFUNCTION("""COMPUTED_VALUE"""),"Kayla Thompson")</f>
        <v>Kayla Thompson</v>
      </c>
      <c r="I2231" s="62">
        <f>IFERROR(__xludf.DUMMYFUNCTION("""COMPUTED_VALUE"""),6.1466367617E10)</f>
        <v>61466367617</v>
      </c>
      <c r="J2231" s="19" t="str">
        <f>IFERROR(__xludf.DUMMYFUNCTION("""COMPUTED_VALUE"""),"jesseandkaylathompson@gmail.com")</f>
        <v>jesseandkaylathompson@gmail.com</v>
      </c>
    </row>
    <row r="2232">
      <c r="A2232" s="19" t="str">
        <f>IFERROR(__xludf.DUMMYFUNCTION("""COMPUTED_VALUE"""),"Sam Sidiqi")</f>
        <v>Sam Sidiqi</v>
      </c>
      <c r="B2232" s="19" t="str">
        <f>IFERROR(__xludf.DUMMYFUNCTION("""COMPUTED_VALUE"""),"VIC")</f>
        <v>VIC</v>
      </c>
      <c r="C2232" s="5" t="str">
        <f>IFERROR(__xludf.DUMMYFUNCTION("""COMPUTED_VALUE"""),"Cranbourne")</f>
        <v>Cranbourne</v>
      </c>
      <c r="D2232" s="5" t="str">
        <f>IFERROR(__xludf.DUMMYFUNCTION("""COMPUTED_VALUE"""),"25 Craig Road Junction Village VIC 3977")</f>
        <v>25 Craig Road Junction Village VIC 3977</v>
      </c>
      <c r="E2232" s="25">
        <f>IFERROR(__xludf.DUMMYFUNCTION("""COMPUTED_VALUE"""),45970.0)</f>
        <v>45970</v>
      </c>
      <c r="F2232" s="5">
        <f>IFERROR(__xludf.DUMMYFUNCTION("""COMPUTED_VALUE"""),8.0)</f>
        <v>8</v>
      </c>
      <c r="G2232" s="19" t="str">
        <f>IFERROR(__xludf.DUMMYFUNCTION("""COMPUTED_VALUE"""),"Instant Forms")</f>
        <v>Instant Forms</v>
      </c>
      <c r="H2232" s="19" t="str">
        <f>IFERROR(__xludf.DUMMYFUNCTION("""COMPUTED_VALUE"""),"Bevie Kirkwood")</f>
        <v>Bevie Kirkwood</v>
      </c>
      <c r="I2232" s="62">
        <f>IFERROR(__xludf.DUMMYFUNCTION("""COMPUTED_VALUE"""),6.1431587367E10)</f>
        <v>61431587367</v>
      </c>
      <c r="J2232" s="19" t="str">
        <f>IFERROR(__xludf.DUMMYFUNCTION("""COMPUTED_VALUE"""),"bevie.kirk@outlook.com")</f>
        <v>bevie.kirk@outlook.com</v>
      </c>
    </row>
    <row r="2233">
      <c r="A2233" s="19" t="str">
        <f>IFERROR(__xludf.DUMMYFUNCTION("""COMPUTED_VALUE"""),"Sam Sidiqi")</f>
        <v>Sam Sidiqi</v>
      </c>
      <c r="B2233" s="19" t="str">
        <f>IFERROR(__xludf.DUMMYFUNCTION("""COMPUTED_VALUE"""),"VIC")</f>
        <v>VIC</v>
      </c>
      <c r="C2233" s="5" t="str">
        <f>IFERROR(__xludf.DUMMYFUNCTION("""COMPUTED_VALUE"""),"Bentleigh East")</f>
        <v>Bentleigh East</v>
      </c>
      <c r="D2233" s="5" t="str">
        <f>IFERROR(__xludf.DUMMYFUNCTION("""COMPUTED_VALUE"""),"24 Glover Street Bentleigh East VIC 3165")</f>
        <v>24 Glover Street Bentleigh East VIC 3165</v>
      </c>
      <c r="E2233" s="25">
        <f>IFERROR(__xludf.DUMMYFUNCTION("""COMPUTED_VALUE"""),45972.0)</f>
        <v>45972</v>
      </c>
      <c r="F2233" s="5">
        <f>IFERROR(__xludf.DUMMYFUNCTION("""COMPUTED_VALUE"""),6.0)</f>
        <v>6</v>
      </c>
      <c r="G2233" s="19" t="str">
        <f>IFERROR(__xludf.DUMMYFUNCTION("""COMPUTED_VALUE"""),"Instant Forms")</f>
        <v>Instant Forms</v>
      </c>
      <c r="H2233" s="19" t="str">
        <f>IFERROR(__xludf.DUMMYFUNCTION("""COMPUTED_VALUE"""),"Andrew Oshlack")</f>
        <v>Andrew Oshlack</v>
      </c>
      <c r="I2233" s="62">
        <f>IFERROR(__xludf.DUMMYFUNCTION("""COMPUTED_VALUE"""),6.1401872273E10)</f>
        <v>61401872273</v>
      </c>
      <c r="J2233" s="19" t="str">
        <f>IFERROR(__xludf.DUMMYFUNCTION("""COMPUTED_VALUE"""),"andrewoshlack@gmail.com")</f>
        <v>andrewoshlack@gmail.com</v>
      </c>
    </row>
    <row r="2234">
      <c r="A2234" s="19" t="str">
        <f>IFERROR(__xludf.DUMMYFUNCTION("""COMPUTED_VALUE"""),"Sam Sidiqi")</f>
        <v>Sam Sidiqi</v>
      </c>
      <c r="B2234" s="19" t="str">
        <f>IFERROR(__xludf.DUMMYFUNCTION("""COMPUTED_VALUE"""),"VIC")</f>
        <v>VIC</v>
      </c>
      <c r="C2234" s="5" t="str">
        <f>IFERROR(__xludf.DUMMYFUNCTION("""COMPUTED_VALUE"""),"Cranbourne")</f>
        <v>Cranbourne</v>
      </c>
      <c r="D2234" s="5" t="str">
        <f>IFERROR(__xludf.DUMMYFUNCTION("""COMPUTED_VALUE"""),"11 Clarendon Street Cranbourne, cranbourne, 3977")</f>
        <v>11 Clarendon Street Cranbourne, cranbourne, 3977</v>
      </c>
      <c r="E2234" s="25" t="str">
        <f>IFERROR(__xludf.DUMMYFUNCTION("""COMPUTED_VALUE"""),"15/11/2025")</f>
        <v>15/11/2025</v>
      </c>
      <c r="F2234" s="5" t="str">
        <f>IFERROR(__xludf.DUMMYFUNCTION("""COMPUTED_VALUE"""),"Featured")</f>
        <v>Featured</v>
      </c>
      <c r="G2234" s="19" t="str">
        <f>IFERROR(__xludf.DUMMYFUNCTION("""COMPUTED_VALUE"""),"Meta Commission Report")</f>
        <v>Meta Commission Report</v>
      </c>
      <c r="H2234" s="19" t="str">
        <f>IFERROR(__xludf.DUMMYFUNCTION("""COMPUTED_VALUE"""),"Jodi Hill")</f>
        <v>Jodi Hill</v>
      </c>
      <c r="I2234" s="62">
        <f>IFERROR(__xludf.DUMMYFUNCTION("""COMPUTED_VALUE"""),6.1418553587E10)</f>
        <v>61418553587</v>
      </c>
      <c r="J2234" s="19" t="str">
        <f>IFERROR(__xludf.DUMMYFUNCTION("""COMPUTED_VALUE"""),"jodihill1@hotmail.com")</f>
        <v>jodihill1@hotmail.com</v>
      </c>
    </row>
    <row r="2235">
      <c r="A2235" s="19" t="str">
        <f>IFERROR(__xludf.DUMMYFUNCTION("""COMPUTED_VALUE"""),"Sam Sidiqi")</f>
        <v>Sam Sidiqi</v>
      </c>
      <c r="B2235" s="19" t="str">
        <f>IFERROR(__xludf.DUMMYFUNCTION("""COMPUTED_VALUE"""),"VIC")</f>
        <v>VIC</v>
      </c>
      <c r="C2235" s="5" t="str">
        <f>IFERROR(__xludf.DUMMYFUNCTION("""COMPUTED_VALUE"""),"Cranbourne")</f>
        <v>Cranbourne</v>
      </c>
      <c r="D2235" s="5"/>
      <c r="E2235" s="25">
        <f>IFERROR(__xludf.DUMMYFUNCTION("""COMPUTED_VALUE"""),45978.0)</f>
        <v>45978</v>
      </c>
      <c r="F2235" s="5">
        <f>IFERROR(__xludf.DUMMYFUNCTION("""COMPUTED_VALUE"""),5.0)</f>
        <v>5</v>
      </c>
      <c r="G2235" s="19" t="str">
        <f>IFERROR(__xludf.DUMMYFUNCTION("""COMPUTED_VALUE"""),"Instant Forms")</f>
        <v>Instant Forms</v>
      </c>
      <c r="H2235" s="19" t="str">
        <f>IFERROR(__xludf.DUMMYFUNCTION("""COMPUTED_VALUE"""),"Ernest Gavey")</f>
        <v>Ernest Gavey</v>
      </c>
      <c r="I2235" s="62">
        <f>IFERROR(__xludf.DUMMYFUNCTION("""COMPUTED_VALUE"""),6.1418711204E10)</f>
        <v>61418711204</v>
      </c>
      <c r="J2235" s="19" t="str">
        <f>IFERROR(__xludf.DUMMYFUNCTION("""COMPUTED_VALUE"""),"ernest@solazone.com.au")</f>
        <v>ernest@solazone.com.au</v>
      </c>
    </row>
    <row r="2236">
      <c r="A2236" s="19" t="str">
        <f>IFERROR(__xludf.DUMMYFUNCTION("""COMPUTED_VALUE"""),"Sam Sidiqi")</f>
        <v>Sam Sidiqi</v>
      </c>
      <c r="B2236" s="19" t="str">
        <f>IFERROR(__xludf.DUMMYFUNCTION("""COMPUTED_VALUE"""),"VIC")</f>
        <v>VIC</v>
      </c>
      <c r="C2236" s="5" t="str">
        <f>IFERROR(__xludf.DUMMYFUNCTION("""COMPUTED_VALUE"""),"Cranbourne west")</f>
        <v>Cranbourne west</v>
      </c>
      <c r="D2236" s="5" t="str">
        <f>IFERROR(__xludf.DUMMYFUNCTION("""COMPUTED_VALUE"""),"10 Karwarren Way Cranbourne West VIC 3977")</f>
        <v>10 Karwarren Way Cranbourne West VIC 3977</v>
      </c>
      <c r="E2236" s="5" t="str">
        <f>IFERROR(__xludf.DUMMYFUNCTION("""COMPUTED_VALUE"""),"22/11/2025")</f>
        <v>22/11/2025</v>
      </c>
      <c r="F2236" s="5">
        <f>IFERROR(__xludf.DUMMYFUNCTION("""COMPUTED_VALUE"""),8.0)</f>
        <v>8</v>
      </c>
      <c r="G2236" s="19" t="str">
        <f>IFERROR(__xludf.DUMMYFUNCTION("""COMPUTED_VALUE"""),"Instant Forms")</f>
        <v>Instant Forms</v>
      </c>
      <c r="H2236" s="19" t="str">
        <f>IFERROR(__xludf.DUMMYFUNCTION("""COMPUTED_VALUE"""),"Julie Domingue")</f>
        <v>Julie Domingue</v>
      </c>
      <c r="I2236" s="62">
        <f>IFERROR(__xludf.DUMMYFUNCTION("""COMPUTED_VALUE"""),6.140277041E10)</f>
        <v>61402770410</v>
      </c>
      <c r="J2236" s="19" t="str">
        <f>IFERROR(__xludf.DUMMYFUNCTION("""COMPUTED_VALUE"""),"julie_anne40@hotmail.com")</f>
        <v>julie_anne40@hotmail.com</v>
      </c>
    </row>
    <row r="2237">
      <c r="A2237" s="19" t="str">
        <f>IFERROR(__xludf.DUMMYFUNCTION("""COMPUTED_VALUE"""),"Sam Sidiqi")</f>
        <v>Sam Sidiqi</v>
      </c>
      <c r="B2237" s="19" t="str">
        <f>IFERROR(__xludf.DUMMYFUNCTION("""COMPUTED_VALUE"""),"VIC")</f>
        <v>VIC</v>
      </c>
      <c r="C2237" s="5" t="str">
        <f>IFERROR(__xludf.DUMMYFUNCTION("""COMPUTED_VALUE"""),"Clyde North")</f>
        <v>Clyde North</v>
      </c>
      <c r="D2237" s="5" t="str">
        <f>IFERROR(__xludf.DUMMYFUNCTION("""COMPUTED_VALUE"""),"46 glenrose blvd Clyde North, Clyde North, 3978")</f>
        <v>46 glenrose blvd Clyde North, Clyde North, 3978</v>
      </c>
      <c r="E2237" s="5" t="str">
        <f>IFERROR(__xludf.DUMMYFUNCTION("""COMPUTED_VALUE"""),"22/11/2025")</f>
        <v>22/11/2025</v>
      </c>
      <c r="F2237" s="5" t="str">
        <f>IFERROR(__xludf.DUMMYFUNCTION("""COMPUTED_VALUE"""),"Featured")</f>
        <v>Featured</v>
      </c>
      <c r="G2237" s="19" t="str">
        <f>IFERROR(__xludf.DUMMYFUNCTION("""COMPUTED_VALUE"""),"Meta Commission Report")</f>
        <v>Meta Commission Report</v>
      </c>
      <c r="H2237" s="19" t="str">
        <f>IFERROR(__xludf.DUMMYFUNCTION("""COMPUTED_VALUE"""),"George Kazinoti")</f>
        <v>George Kazinoti</v>
      </c>
      <c r="I2237" s="62">
        <f>IFERROR(__xludf.DUMMYFUNCTION("""COMPUTED_VALUE"""),6.1404427583E10)</f>
        <v>61404427583</v>
      </c>
      <c r="J2237" s="19" t="str">
        <f>IFERROR(__xludf.DUMMYFUNCTION("""COMPUTED_VALUE"""),"g.kazinoti6@gmail.com")</f>
        <v>g.kazinoti6@gmail.com</v>
      </c>
    </row>
    <row r="2238">
      <c r="A2238" s="19" t="str">
        <f>IFERROR(__xludf.DUMMYFUNCTION("""COMPUTED_VALUE"""),"Sam Sidiqi")</f>
        <v>Sam Sidiqi</v>
      </c>
      <c r="B2238" s="19" t="str">
        <f>IFERROR(__xludf.DUMMYFUNCTION("""COMPUTED_VALUE"""),"VIC")</f>
        <v>VIC</v>
      </c>
      <c r="C2238" s="5" t="str">
        <f>IFERROR(__xludf.DUMMYFUNCTION("""COMPUTED_VALUE"""),"Narre Warren South")</f>
        <v>Narre Warren South</v>
      </c>
      <c r="D2238" s="5" t="str">
        <f>IFERROR(__xludf.DUMMYFUNCTION("""COMPUTED_VALUE"""),"1/138 Greaves Road Narre Warren South VIC 3805")</f>
        <v>1/138 Greaves Road Narre Warren South VIC 3805</v>
      </c>
      <c r="E2238" s="5" t="str">
        <f>IFERROR(__xludf.DUMMYFUNCTION("""COMPUTED_VALUE"""),"23/11/2025")</f>
        <v>23/11/2025</v>
      </c>
      <c r="F2238" s="5">
        <f>IFERROR(__xludf.DUMMYFUNCTION("""COMPUTED_VALUE"""),6.0)</f>
        <v>6</v>
      </c>
      <c r="G2238" s="19" t="str">
        <f>IFERROR(__xludf.DUMMYFUNCTION("""COMPUTED_VALUE"""),"Instant Forms")</f>
        <v>Instant Forms</v>
      </c>
      <c r="H2238" s="19" t="str">
        <f>IFERROR(__xludf.DUMMYFUNCTION("""COMPUTED_VALUE"""),"Heather Lockhart")</f>
        <v>Heather Lockhart</v>
      </c>
      <c r="I2238" s="62">
        <f>IFERROR(__xludf.DUMMYFUNCTION("""COMPUTED_VALUE"""),6.143833745E10)</f>
        <v>61438337450</v>
      </c>
      <c r="J2238" s="19" t="str">
        <f>IFERROR(__xludf.DUMMYFUNCTION("""COMPUTED_VALUE"""),"halockhart48@gmail.com")</f>
        <v>halockhart48@gmail.com</v>
      </c>
    </row>
    <row r="2239">
      <c r="A2239" s="19" t="str">
        <f>IFERROR(__xludf.DUMMYFUNCTION("""COMPUTED_VALUE"""),"Sam Sidiqi")</f>
        <v>Sam Sidiqi</v>
      </c>
      <c r="B2239" s="19" t="str">
        <f>IFERROR(__xludf.DUMMYFUNCTION("""COMPUTED_VALUE"""),"VIC")</f>
        <v>VIC</v>
      </c>
      <c r="C2239" s="5" t="str">
        <f>IFERROR(__xludf.DUMMYFUNCTION("""COMPUTED_VALUE"""),"Cranbourne")</f>
        <v>Cranbourne</v>
      </c>
      <c r="D2239" s="5" t="str">
        <f>IFERROR(__xludf.DUMMYFUNCTION("""COMPUTED_VALUE"""),"13 Hovell Court Cranbourne VIC 3977")</f>
        <v>13 Hovell Court Cranbourne VIC 3977</v>
      </c>
      <c r="E2239" s="5" t="str">
        <f>IFERROR(__xludf.DUMMYFUNCTION("""COMPUTED_VALUE"""),"25/11/2025")</f>
        <v>25/11/2025</v>
      </c>
      <c r="F2239" s="5">
        <f>IFERROR(__xludf.DUMMYFUNCTION("""COMPUTED_VALUE"""),8.0)</f>
        <v>8</v>
      </c>
      <c r="G2239" s="19" t="str">
        <f>IFERROR(__xludf.DUMMYFUNCTION("""COMPUTED_VALUE"""),"Instant Forms")</f>
        <v>Instant Forms</v>
      </c>
      <c r="H2239" s="19" t="str">
        <f>IFERROR(__xludf.DUMMYFUNCTION("""COMPUTED_VALUE"""),"Garry Cahill")</f>
        <v>Garry Cahill</v>
      </c>
      <c r="I2239" s="62">
        <f>IFERROR(__xludf.DUMMYFUNCTION("""COMPUTED_VALUE"""),6.1408141734E10)</f>
        <v>61408141734</v>
      </c>
      <c r="J2239" s="19" t="str">
        <f>IFERROR(__xludf.DUMMYFUNCTION("""COMPUTED_VALUE"""),"garrylyn@bigpond.net.au")</f>
        <v>garrylyn@bigpond.net.au</v>
      </c>
    </row>
    <row r="2240">
      <c r="A2240" s="19" t="str">
        <f>IFERROR(__xludf.DUMMYFUNCTION("""COMPUTED_VALUE"""),"Sam Sidiqi")</f>
        <v>Sam Sidiqi</v>
      </c>
      <c r="B2240" s="19" t="str">
        <f>IFERROR(__xludf.DUMMYFUNCTION("""COMPUTED_VALUE"""),"VIC")</f>
        <v>VIC</v>
      </c>
      <c r="C2240" s="5" t="str">
        <f>IFERROR(__xludf.DUMMYFUNCTION("""COMPUTED_VALUE"""),"Cranbourne East")</f>
        <v>Cranbourne East</v>
      </c>
      <c r="D2240" s="5" t="str">
        <f>IFERROR(__xludf.DUMMYFUNCTION("""COMPUTED_VALUE"""),"19 Corvette Avenue Cranbourne East Victoria, Cranbourne East, 3977")</f>
        <v>19 Corvette Avenue Cranbourne East Victoria, Cranbourne East, 3977</v>
      </c>
      <c r="E2240" s="5" t="str">
        <f>IFERROR(__xludf.DUMMYFUNCTION("""COMPUTED_VALUE"""),"26/11/2025")</f>
        <v>26/11/2025</v>
      </c>
      <c r="F2240" s="5" t="str">
        <f>IFERROR(__xludf.DUMMYFUNCTION("""COMPUTED_VALUE"""),"Featured")</f>
        <v>Featured</v>
      </c>
      <c r="G2240" s="19" t="str">
        <f>IFERROR(__xludf.DUMMYFUNCTION("""COMPUTED_VALUE"""),"Meta Commission Report")</f>
        <v>Meta Commission Report</v>
      </c>
      <c r="H2240" s="19" t="str">
        <f>IFERROR(__xludf.DUMMYFUNCTION("""COMPUTED_VALUE"""),"Jose Bravo")</f>
        <v>Jose Bravo</v>
      </c>
      <c r="I2240" s="62">
        <f>IFERROR(__xludf.DUMMYFUNCTION("""COMPUTED_VALUE"""),6.1475269791E10)</f>
        <v>61475269791</v>
      </c>
      <c r="J2240" s="19" t="str">
        <f>IFERROR(__xludf.DUMMYFUNCTION("""COMPUTED_VALUE"""),"jose.bravo@jbsecurity.com.au")</f>
        <v>jose.bravo@jbsecurity.com.au</v>
      </c>
    </row>
    <row r="2241">
      <c r="A2241" s="19" t="str">
        <f>IFERROR(__xludf.DUMMYFUNCTION("""COMPUTED_VALUE"""),"Sam Sidiqi")</f>
        <v>Sam Sidiqi</v>
      </c>
      <c r="B2241" s="19" t="str">
        <f>IFERROR(__xludf.DUMMYFUNCTION("""COMPUTED_VALUE"""),"VIC")</f>
        <v>VIC</v>
      </c>
      <c r="C2241" s="5" t="str">
        <f>IFERROR(__xludf.DUMMYFUNCTION("""COMPUTED_VALUE"""),"Cranbourne West")</f>
        <v>Cranbourne West</v>
      </c>
      <c r="D2241" s="5" t="str">
        <f>IFERROR(__xludf.DUMMYFUNCTION("""COMPUTED_VALUE"""),"30 everlasting Blvd., Cranbourne West 3977")</f>
        <v>30 everlasting Blvd., Cranbourne West 3977</v>
      </c>
      <c r="E2241" s="27">
        <f>IFERROR(__xludf.DUMMYFUNCTION("""COMPUTED_VALUE"""),45669.0)</f>
        <v>45669</v>
      </c>
      <c r="F2241" s="64">
        <f>IFERROR(__xludf.DUMMYFUNCTION("""COMPUTED_VALUE"""),0.2)</f>
        <v>0.2</v>
      </c>
      <c r="G2241" s="19" t="str">
        <f>IFERROR(__xludf.DUMMYFUNCTION("""COMPUTED_VALUE"""),"Commission Comparison")</f>
        <v>Commission Comparison</v>
      </c>
      <c r="H2241" s="19" t="str">
        <f>IFERROR(__xludf.DUMMYFUNCTION("""COMPUTED_VALUE"""),"Eunice Mosimane")</f>
        <v>Eunice Mosimane</v>
      </c>
      <c r="I2241" s="62">
        <f>IFERROR(__xludf.DUMMYFUNCTION("""COMPUTED_VALUE"""),6.1403890826E10)</f>
        <v>61403890826</v>
      </c>
      <c r="J2241" s="19" t="str">
        <f>IFERROR(__xludf.DUMMYFUNCTION("""COMPUTED_VALUE"""),"emosimane9@gmail.com")</f>
        <v>emosimane9@gmail.com</v>
      </c>
    </row>
    <row r="2242">
      <c r="A2242" s="19" t="str">
        <f>IFERROR(__xludf.DUMMYFUNCTION("""COMPUTED_VALUE"""),"Sam Sidiqi")</f>
        <v>Sam Sidiqi</v>
      </c>
      <c r="B2242" s="19" t="str">
        <f>IFERROR(__xludf.DUMMYFUNCTION("""COMPUTED_VALUE"""),"VIC")</f>
        <v>VIC</v>
      </c>
      <c r="C2242" s="5" t="str">
        <f>IFERROR(__xludf.DUMMYFUNCTION("""COMPUTED_VALUE"""),"Botanic Ridge")</f>
        <v>Botanic Ridge</v>
      </c>
      <c r="D2242" s="5" t="str">
        <f>IFERROR(__xludf.DUMMYFUNCTION("""COMPUTED_VALUE"""),"22 Colonnade St")</f>
        <v>22 Colonnade St</v>
      </c>
      <c r="E2242" s="27">
        <f>IFERROR(__xludf.DUMMYFUNCTION("""COMPUTED_VALUE"""),45700.0)</f>
        <v>45700</v>
      </c>
      <c r="F2242" s="64">
        <f>IFERROR(__xludf.DUMMYFUNCTION("""COMPUTED_VALUE"""),0.2)</f>
        <v>0.2</v>
      </c>
      <c r="G2242" s="19" t="str">
        <f>IFERROR(__xludf.DUMMYFUNCTION("""COMPUTED_VALUE"""),"Commission Comparison")</f>
        <v>Commission Comparison</v>
      </c>
      <c r="H2242" s="19" t="str">
        <f>IFERROR(__xludf.DUMMYFUNCTION("""COMPUTED_VALUE"""),"Michael Andrew Stone")</f>
        <v>Michael Andrew Stone</v>
      </c>
      <c r="I2242" s="62">
        <f>IFERROR(__xludf.DUMMYFUNCTION("""COMPUTED_VALUE"""),6.1426652201E10)</f>
        <v>61426652201</v>
      </c>
      <c r="J2242" s="19" t="str">
        <f>IFERROR(__xludf.DUMMYFUNCTION("""COMPUTED_VALUE"""),"stone.michael@bigpond.com")</f>
        <v>stone.michael@bigpond.com</v>
      </c>
    </row>
    <row r="2243">
      <c r="A2243" s="19" t="str">
        <f>IFERROR(__xludf.DUMMYFUNCTION("""COMPUTED_VALUE"""),"Sam Sidiqi")</f>
        <v>Sam Sidiqi</v>
      </c>
      <c r="B2243" s="19" t="str">
        <f>IFERROR(__xludf.DUMMYFUNCTION("""COMPUTED_VALUE"""),"VIC")</f>
        <v>VIC</v>
      </c>
      <c r="C2243" s="5" t="str">
        <f>IFERROR(__xludf.DUMMYFUNCTION("""COMPUTED_VALUE"""),"Cranbourne East")</f>
        <v>Cranbourne East</v>
      </c>
      <c r="D2243" s="5" t="str">
        <f>IFERROR(__xludf.DUMMYFUNCTION("""COMPUTED_VALUE"""),"22 Jagger Cct, 3977")</f>
        <v>22 Jagger Cct, 3977</v>
      </c>
      <c r="E2243" s="27">
        <f>IFERROR(__xludf.DUMMYFUNCTION("""COMPUTED_VALUE"""),45820.0)</f>
        <v>45820</v>
      </c>
      <c r="F2243" s="64">
        <f>IFERROR(__xludf.DUMMYFUNCTION("""COMPUTED_VALUE"""),0.2)</f>
        <v>0.2</v>
      </c>
      <c r="G2243" s="19" t="str">
        <f>IFERROR(__xludf.DUMMYFUNCTION("""COMPUTED_VALUE"""),"Meta Commission Report")</f>
        <v>Meta Commission Report</v>
      </c>
      <c r="H2243" s="19" t="str">
        <f>IFERROR(__xludf.DUMMYFUNCTION("""COMPUTED_VALUE"""),"Marina Krak")</f>
        <v>Marina Krak</v>
      </c>
      <c r="I2243" s="62">
        <f>IFERROR(__xludf.DUMMYFUNCTION("""COMPUTED_VALUE"""),6.1411457476E10)</f>
        <v>61411457476</v>
      </c>
      <c r="J2243" s="19" t="str">
        <f>IFERROR(__xludf.DUMMYFUNCTION("""COMPUTED_VALUE"""),"marinakrak@yahoo.com.au")</f>
        <v>marinakrak@yahoo.com.au</v>
      </c>
    </row>
    <row r="2244">
      <c r="A2244" s="19" t="str">
        <f>IFERROR(__xludf.DUMMYFUNCTION("""COMPUTED_VALUE"""),"Sam Sidiqi")</f>
        <v>Sam Sidiqi</v>
      </c>
      <c r="B2244" s="19" t="str">
        <f>IFERROR(__xludf.DUMMYFUNCTION("""COMPUTED_VALUE"""),"VIC")</f>
        <v>VIC</v>
      </c>
      <c r="C2244" s="5" t="str">
        <f>IFERROR(__xludf.DUMMYFUNCTION("""COMPUTED_VALUE"""),"Cranbourne East")</f>
        <v>Cranbourne East</v>
      </c>
      <c r="D2244" s="5" t="str">
        <f>IFERROR(__xludf.DUMMYFUNCTION("""COMPUTED_VALUE"""),"22 Jagger Circuit, Cranbourne East, VIC, 3977, Australia")</f>
        <v>22 Jagger Circuit, Cranbourne East, VIC, 3977, Australia</v>
      </c>
      <c r="E2244" s="27">
        <f>IFERROR(__xludf.DUMMYFUNCTION("""COMPUTED_VALUE"""),45820.0)</f>
        <v>45820</v>
      </c>
      <c r="F2244" s="64">
        <f>IFERROR(__xludf.DUMMYFUNCTION("""COMPUTED_VALUE"""),0.2)</f>
        <v>0.2</v>
      </c>
      <c r="G2244" s="19" t="str">
        <f>IFERROR(__xludf.DUMMYFUNCTION("""COMPUTED_VALUE"""),"Commission Comparison")</f>
        <v>Commission Comparison</v>
      </c>
      <c r="H2244" s="19" t="str">
        <f>IFERROR(__xludf.DUMMYFUNCTION("""COMPUTED_VALUE"""),"Marina Krak")</f>
        <v>Marina Krak</v>
      </c>
      <c r="I2244" s="62">
        <f>IFERROR(__xludf.DUMMYFUNCTION("""COMPUTED_VALUE"""),6.10411457476E11)</f>
        <v>610411457476</v>
      </c>
      <c r="J2244" s="19" t="str">
        <f>IFERROR(__xludf.DUMMYFUNCTION("""COMPUTED_VALUE"""),"marinakrak@yahoo.com.au")</f>
        <v>marinakrak@yahoo.com.au</v>
      </c>
    </row>
    <row r="2245">
      <c r="A2245" s="19" t="str">
        <f>IFERROR(__xludf.DUMMYFUNCTION("""COMPUTED_VALUE"""),"")</f>
        <v/>
      </c>
      <c r="B2245" s="19" t="str">
        <f>IFERROR(__xludf.DUMMYFUNCTION("""COMPUTED_VALUE"""),"")</f>
        <v/>
      </c>
      <c r="C2245" s="5" t="str">
        <f>IFERROR(__xludf.DUMMYFUNCTION("""COMPUTED_VALUE"""),"")</f>
        <v/>
      </c>
      <c r="D2245" s="5" t="str">
        <f>IFERROR(__xludf.DUMMYFUNCTION("""COMPUTED_VALUE"""),"")</f>
        <v/>
      </c>
      <c r="E2245" s="5" t="str">
        <f>IFERROR(__xludf.DUMMYFUNCTION("""COMPUTED_VALUE"""),"")</f>
        <v/>
      </c>
      <c r="F2245" s="5" t="str">
        <f>IFERROR(__xludf.DUMMYFUNCTION("""COMPUTED_VALUE"""),"")</f>
        <v/>
      </c>
      <c r="G2245" s="19" t="str">
        <f>IFERROR(__xludf.DUMMYFUNCTION("""COMPUTED_VALUE"""),"")</f>
        <v/>
      </c>
      <c r="H2245" s="19" t="str">
        <f>IFERROR(__xludf.DUMMYFUNCTION("""COMPUTED_VALUE"""),"")</f>
        <v/>
      </c>
      <c r="I2245" s="62" t="str">
        <f>IFERROR(__xludf.DUMMYFUNCTION("""COMPUTED_VALUE"""),"")</f>
        <v/>
      </c>
      <c r="J2245" s="19" t="str">
        <f>IFERROR(__xludf.DUMMYFUNCTION("""COMPUTED_VALUE"""),"")</f>
        <v/>
      </c>
    </row>
    <row r="2246">
      <c r="A2246" s="19" t="str">
        <f>IFERROR(__xludf.DUMMYFUNCTION("""COMPUTED_VALUE"""),"")</f>
        <v/>
      </c>
      <c r="B2246" s="19" t="str">
        <f>IFERROR(__xludf.DUMMYFUNCTION("""COMPUTED_VALUE"""),"")</f>
        <v/>
      </c>
      <c r="C2246" s="5" t="str">
        <f>IFERROR(__xludf.DUMMYFUNCTION("""COMPUTED_VALUE"""),"")</f>
        <v/>
      </c>
      <c r="D2246" s="5" t="str">
        <f>IFERROR(__xludf.DUMMYFUNCTION("""COMPUTED_VALUE"""),"")</f>
        <v/>
      </c>
      <c r="E2246" s="5" t="str">
        <f>IFERROR(__xludf.DUMMYFUNCTION("""COMPUTED_VALUE"""),"")</f>
        <v/>
      </c>
      <c r="F2246" s="5" t="str">
        <f>IFERROR(__xludf.DUMMYFUNCTION("""COMPUTED_VALUE"""),"")</f>
        <v/>
      </c>
      <c r="G2246" s="19" t="str">
        <f>IFERROR(__xludf.DUMMYFUNCTION("""COMPUTED_VALUE"""),"")</f>
        <v/>
      </c>
      <c r="H2246" s="19" t="str">
        <f>IFERROR(__xludf.DUMMYFUNCTION("""COMPUTED_VALUE"""),"")</f>
        <v/>
      </c>
      <c r="I2246" s="62" t="str">
        <f>IFERROR(__xludf.DUMMYFUNCTION("""COMPUTED_VALUE"""),"")</f>
        <v/>
      </c>
      <c r="J2246" s="19" t="str">
        <f>IFERROR(__xludf.DUMMYFUNCTION("""COMPUTED_VALUE"""),"")</f>
        <v/>
      </c>
    </row>
    <row r="2247">
      <c r="A2247" s="19" t="str">
        <f>IFERROR(__xludf.DUMMYFUNCTION("""COMPUTED_VALUE"""),"SAM THOMPSON")</f>
        <v>SAM THOMPSON</v>
      </c>
      <c r="B2247" s="19" t="str">
        <f>IFERROR(__xludf.DUMMYFUNCTION("""COMPUTED_VALUE"""),"QLD")</f>
        <v>QLD</v>
      </c>
      <c r="C2247" s="5" t="str">
        <f>IFERROR(__xludf.DUMMYFUNCTION("""COMPUTED_VALUE"""),"Wurtulla")</f>
        <v>Wurtulla</v>
      </c>
      <c r="D2247" s="5" t="str">
        <f>IFERROR(__xludf.DUMMYFUNCTION("""COMPUTED_VALUE"""),"23 Spinnaker Boulevard Wurtulla QLD 4575")</f>
        <v>23 Spinnaker Boulevard Wurtulla QLD 4575</v>
      </c>
      <c r="E2247" s="63">
        <f>IFERROR(__xludf.DUMMYFUNCTION("""COMPUTED_VALUE"""),45665.0)</f>
        <v>45665</v>
      </c>
      <c r="F2247" s="5" t="str">
        <f>IFERROR(__xludf.DUMMYFUNCTION("""COMPUTED_VALUE"""),"Featured")</f>
        <v>Featured</v>
      </c>
      <c r="G2247" s="19" t="str">
        <f>IFERROR(__xludf.DUMMYFUNCTION("""COMPUTED_VALUE"""),"Instant Forms")</f>
        <v>Instant Forms</v>
      </c>
      <c r="H2247" s="19"/>
      <c r="I2247" s="62"/>
      <c r="J2247" s="19"/>
    </row>
    <row r="2248">
      <c r="A2248" s="19" t="str">
        <f>IFERROR(__xludf.DUMMYFUNCTION("""COMPUTED_VALUE"""),"SAM THOMPSON")</f>
        <v>SAM THOMPSON</v>
      </c>
      <c r="B2248" s="19" t="str">
        <f>IFERROR(__xludf.DUMMYFUNCTION("""COMPUTED_VALUE"""),"QLD")</f>
        <v>QLD</v>
      </c>
      <c r="C2248" s="5">
        <f>IFERROR(__xludf.DUMMYFUNCTION("""COMPUTED_VALUE"""),4551.0)</f>
        <v>4551</v>
      </c>
      <c r="D2248" s="5"/>
      <c r="E2248" s="25">
        <f>IFERROR(__xludf.DUMMYFUNCTION("""COMPUTED_VALUE"""),45876.0)</f>
        <v>45876</v>
      </c>
      <c r="F2248" s="5" t="str">
        <f>IFERROR(__xludf.DUMMYFUNCTION("""COMPUTED_VALUE"""),"Featured")</f>
        <v>Featured</v>
      </c>
      <c r="G2248" s="19" t="str">
        <f>IFERROR(__xludf.DUMMYFUNCTION("""COMPUTED_VALUE"""),"Instant Forms")</f>
        <v>Instant Forms</v>
      </c>
      <c r="H2248" s="19"/>
      <c r="I2248" s="62"/>
      <c r="J2248" s="19"/>
    </row>
    <row r="2249">
      <c r="A2249" s="19" t="str">
        <f>IFERROR(__xludf.DUMMYFUNCTION("""COMPUTED_VALUE"""),"SAM THOMPSON")</f>
        <v>SAM THOMPSON</v>
      </c>
      <c r="B2249" s="19" t="str">
        <f>IFERROR(__xludf.DUMMYFUNCTION("""COMPUTED_VALUE"""),"QLD")</f>
        <v>QLD</v>
      </c>
      <c r="C2249" s="5" t="str">
        <f>IFERROR(__xludf.DUMMYFUNCTION("""COMPUTED_VALUE"""),"Little Mountain")</f>
        <v>Little Mountain</v>
      </c>
      <c r="D2249" s="5" t="str">
        <f>IFERROR(__xludf.DUMMYFUNCTION("""COMPUTED_VALUE"""),"2 Viola Close Little Mountain QLD 4551")</f>
        <v>2 Viola Close Little Mountain QLD 4551</v>
      </c>
      <c r="E2249" s="25">
        <f>IFERROR(__xludf.DUMMYFUNCTION("""COMPUTED_VALUE"""),45882.0)</f>
        <v>45882</v>
      </c>
      <c r="F2249" s="5" t="str">
        <f>IFERROR(__xludf.DUMMYFUNCTION("""COMPUTED_VALUE"""),"Featured")</f>
        <v>Featured</v>
      </c>
      <c r="G2249" s="19" t="str">
        <f>IFERROR(__xludf.DUMMYFUNCTION("""COMPUTED_VALUE"""),"Instant Forms")</f>
        <v>Instant Forms</v>
      </c>
      <c r="H2249" s="19"/>
      <c r="I2249" s="62"/>
      <c r="J2249" s="19"/>
    </row>
    <row r="2250">
      <c r="A2250" s="19" t="str">
        <f>IFERROR(__xludf.DUMMYFUNCTION("""COMPUTED_VALUE"""),"SAM THOMPSON")</f>
        <v>SAM THOMPSON</v>
      </c>
      <c r="B2250" s="19" t="str">
        <f>IFERROR(__xludf.DUMMYFUNCTION("""COMPUTED_VALUE"""),"QLD")</f>
        <v>QLD</v>
      </c>
      <c r="C2250" s="5" t="str">
        <f>IFERROR(__xludf.DUMMYFUNCTION("""COMPUTED_VALUE"""),"Pelican waters")</f>
        <v>Pelican waters</v>
      </c>
      <c r="D2250" s="5"/>
      <c r="E2250" s="25">
        <f>IFERROR(__xludf.DUMMYFUNCTION("""COMPUTED_VALUE"""),45889.0)</f>
        <v>45889</v>
      </c>
      <c r="F2250" s="5" t="str">
        <f>IFERROR(__xludf.DUMMYFUNCTION("""COMPUTED_VALUE"""),"Featured")</f>
        <v>Featured</v>
      </c>
      <c r="G2250" s="19" t="str">
        <f>IFERROR(__xludf.DUMMYFUNCTION("""COMPUTED_VALUE"""),"Instant Forms")</f>
        <v>Instant Forms</v>
      </c>
      <c r="H2250" s="19"/>
      <c r="I2250" s="62"/>
      <c r="J2250" s="19"/>
    </row>
    <row r="2251">
      <c r="A2251" s="19" t="str">
        <f>IFERROR(__xludf.DUMMYFUNCTION("""COMPUTED_VALUE"""),"SAM THOMPSON")</f>
        <v>SAM THOMPSON</v>
      </c>
      <c r="B2251" s="19" t="str">
        <f>IFERROR(__xludf.DUMMYFUNCTION("""COMPUTED_VALUE"""),"QLD")</f>
        <v>QLD</v>
      </c>
      <c r="C2251" s="5" t="str">
        <f>IFERROR(__xludf.DUMMYFUNCTION("""COMPUTED_VALUE"""),"Pelican waters")</f>
        <v>Pelican waters</v>
      </c>
      <c r="D2251" s="5" t="str">
        <f>IFERROR(__xludf.DUMMYFUNCTION("""COMPUTED_VALUE"""),"10 Carnell Street Pelican Waters QLD 4551")</f>
        <v>10 Carnell Street Pelican Waters QLD 4551</v>
      </c>
      <c r="E2251" s="25">
        <f>IFERROR(__xludf.DUMMYFUNCTION("""COMPUTED_VALUE"""),45891.0)</f>
        <v>45891</v>
      </c>
      <c r="F2251" s="5" t="str">
        <f>IFERROR(__xludf.DUMMYFUNCTION("""COMPUTED_VALUE"""),"Featured")</f>
        <v>Featured</v>
      </c>
      <c r="G2251" s="19" t="str">
        <f>IFERROR(__xludf.DUMMYFUNCTION("""COMPUTED_VALUE"""),"Instant Forms")</f>
        <v>Instant Forms</v>
      </c>
      <c r="H2251" s="19"/>
      <c r="I2251" s="62"/>
      <c r="J2251" s="19"/>
    </row>
    <row r="2252">
      <c r="A2252" s="19" t="str">
        <f>IFERROR(__xludf.DUMMYFUNCTION("""COMPUTED_VALUE"""),"SAM THOMPSON")</f>
        <v>SAM THOMPSON</v>
      </c>
      <c r="B2252" s="19" t="str">
        <f>IFERROR(__xludf.DUMMYFUNCTION("""COMPUTED_VALUE"""),"QLD")</f>
        <v>QLD</v>
      </c>
      <c r="C2252" s="5" t="str">
        <f>IFERROR(__xludf.DUMMYFUNCTION("""COMPUTED_VALUE"""),"Pelican waters")</f>
        <v>Pelican waters</v>
      </c>
      <c r="D2252" s="5" t="str">
        <f>IFERROR(__xludf.DUMMYFUNCTION("""COMPUTED_VALUE"""),"19 Undanbi Place Pelican Waters QLD 4551")</f>
        <v>19 Undanbi Place Pelican Waters QLD 4551</v>
      </c>
      <c r="E2252" s="25">
        <f>IFERROR(__xludf.DUMMYFUNCTION("""COMPUTED_VALUE"""),45903.0)</f>
        <v>45903</v>
      </c>
      <c r="F2252" s="5" t="str">
        <f>IFERROR(__xludf.DUMMYFUNCTION("""COMPUTED_VALUE"""),"Featured")</f>
        <v>Featured</v>
      </c>
      <c r="G2252" s="19" t="str">
        <f>IFERROR(__xludf.DUMMYFUNCTION("""COMPUTED_VALUE"""),"Instant Forms")</f>
        <v>Instant Forms</v>
      </c>
      <c r="H2252" s="19"/>
      <c r="I2252" s="62"/>
      <c r="J2252" s="19"/>
    </row>
    <row r="2253">
      <c r="A2253" s="19" t="str">
        <f>IFERROR(__xludf.DUMMYFUNCTION("""COMPUTED_VALUE"""),"SAM THOMPSON")</f>
        <v>SAM THOMPSON</v>
      </c>
      <c r="B2253" s="19" t="str">
        <f>IFERROR(__xludf.DUMMYFUNCTION("""COMPUTED_VALUE"""),"QLD")</f>
        <v>QLD</v>
      </c>
      <c r="C2253" s="5" t="str">
        <f>IFERROR(__xludf.DUMMYFUNCTION("""COMPUTED_VALUE"""),"Baringa")</f>
        <v>Baringa</v>
      </c>
      <c r="D2253" s="5" t="str">
        <f>IFERROR(__xludf.DUMMYFUNCTION("""COMPUTED_VALUE"""),"15 Berry Terrace Baringa QLD 4551")</f>
        <v>15 Berry Terrace Baringa QLD 4551</v>
      </c>
      <c r="E2253" s="25">
        <f>IFERROR(__xludf.DUMMYFUNCTION("""COMPUTED_VALUE"""),45907.0)</f>
        <v>45907</v>
      </c>
      <c r="F2253" s="5" t="str">
        <f>IFERROR(__xludf.DUMMYFUNCTION("""COMPUTED_VALUE"""),"Featured")</f>
        <v>Featured</v>
      </c>
      <c r="G2253" s="19" t="str">
        <f>IFERROR(__xludf.DUMMYFUNCTION("""COMPUTED_VALUE"""),"Instant Forms")</f>
        <v>Instant Forms</v>
      </c>
      <c r="H2253" s="19"/>
      <c r="I2253" s="62"/>
      <c r="J2253" s="19"/>
    </row>
    <row r="2254">
      <c r="A2254" s="19" t="str">
        <f>IFERROR(__xludf.DUMMYFUNCTION("""COMPUTED_VALUE"""),"SAM THOMPSON")</f>
        <v>SAM THOMPSON</v>
      </c>
      <c r="B2254" s="19" t="str">
        <f>IFERROR(__xludf.DUMMYFUNCTION("""COMPUTED_VALUE"""),"QLD")</f>
        <v>QLD</v>
      </c>
      <c r="C2254" s="5" t="str">
        <f>IFERROR(__xludf.DUMMYFUNCTION("""COMPUTED_VALUE"""),"Pelican Waters")</f>
        <v>Pelican Waters</v>
      </c>
      <c r="D2254" s="5" t="str">
        <f>IFERROR(__xludf.DUMMYFUNCTION("""COMPUTED_VALUE"""),"5 Toorbul Street Pelican Waters QLD 4551")</f>
        <v>5 Toorbul Street Pelican Waters QLD 4551</v>
      </c>
      <c r="E2254" s="25">
        <f>IFERROR(__xludf.DUMMYFUNCTION("""COMPUTED_VALUE"""),45908.0)</f>
        <v>45908</v>
      </c>
      <c r="F2254" s="5" t="str">
        <f>IFERROR(__xludf.DUMMYFUNCTION("""COMPUTED_VALUE"""),"Featured")</f>
        <v>Featured</v>
      </c>
      <c r="G2254" s="19" t="str">
        <f>IFERROR(__xludf.DUMMYFUNCTION("""COMPUTED_VALUE"""),"Instant Forms")</f>
        <v>Instant Forms</v>
      </c>
      <c r="H2254" s="19"/>
      <c r="I2254" s="62"/>
      <c r="J2254" s="19"/>
    </row>
    <row r="2255">
      <c r="A2255" s="19" t="str">
        <f>IFERROR(__xludf.DUMMYFUNCTION("""COMPUTED_VALUE"""),"Sam Thompson")</f>
        <v>Sam Thompson</v>
      </c>
      <c r="B2255" s="19" t="str">
        <f>IFERROR(__xludf.DUMMYFUNCTION("""COMPUTED_VALUE"""),"NSW")</f>
        <v>NSW</v>
      </c>
      <c r="C2255" s="5" t="str">
        <f>IFERROR(__xludf.DUMMYFUNCTION("""COMPUTED_VALUE"""),"Bayview")</f>
        <v>Bayview</v>
      </c>
      <c r="D2255" s="5" t="str">
        <f>IFERROR(__xludf.DUMMYFUNCTION("""COMPUTED_VALUE"""),"7 Barkala Road Bayview NSW 2104")</f>
        <v>7 Barkala Road Bayview NSW 2104</v>
      </c>
      <c r="E2255" s="25">
        <f>IFERROR(__xludf.DUMMYFUNCTION("""COMPUTED_VALUE"""),45908.0)</f>
        <v>45908</v>
      </c>
      <c r="F2255" s="5" t="str">
        <f>IFERROR(__xludf.DUMMYFUNCTION("""COMPUTED_VALUE"""),"Featured")</f>
        <v>Featured</v>
      </c>
      <c r="G2255" s="19" t="str">
        <f>IFERROR(__xludf.DUMMYFUNCTION("""COMPUTED_VALUE"""),"Instant Forms")</f>
        <v>Instant Forms</v>
      </c>
      <c r="H2255" s="19"/>
      <c r="I2255" s="62"/>
      <c r="J2255" s="19"/>
    </row>
    <row r="2256">
      <c r="A2256" s="19" t="str">
        <f>IFERROR(__xludf.DUMMYFUNCTION("""COMPUTED_VALUE"""),"SAM THOMPSON")</f>
        <v>SAM THOMPSON</v>
      </c>
      <c r="B2256" s="19" t="str">
        <f>IFERROR(__xludf.DUMMYFUNCTION("""COMPUTED_VALUE"""),"QLD")</f>
        <v>QLD</v>
      </c>
      <c r="C2256" s="5" t="str">
        <f>IFERROR(__xludf.DUMMYFUNCTION("""COMPUTED_VALUE"""),"Baringa")</f>
        <v>Baringa</v>
      </c>
      <c r="D2256" s="5" t="str">
        <f>IFERROR(__xludf.DUMMYFUNCTION("""COMPUTED_VALUE"""),"45 Eden Drive Baringa QLD 4551")</f>
        <v>45 Eden Drive Baringa QLD 4551</v>
      </c>
      <c r="E2256" s="25">
        <f>IFERROR(__xludf.DUMMYFUNCTION("""COMPUTED_VALUE"""),45911.0)</f>
        <v>45911</v>
      </c>
      <c r="F2256" s="5">
        <f>IFERROR(__xludf.DUMMYFUNCTION("""COMPUTED_VALUE"""),6.0)</f>
        <v>6</v>
      </c>
      <c r="G2256" s="19" t="str">
        <f>IFERROR(__xludf.DUMMYFUNCTION("""COMPUTED_VALUE"""),"Instant Forms")</f>
        <v>Instant Forms</v>
      </c>
      <c r="H2256" s="19" t="str">
        <f>IFERROR(__xludf.DUMMYFUNCTION("""COMPUTED_VALUE"""),"Lane Greene")</f>
        <v>Lane Greene</v>
      </c>
      <c r="I2256" s="62"/>
      <c r="J2256" s="19"/>
    </row>
    <row r="2257">
      <c r="A2257" s="19" t="str">
        <f>IFERROR(__xludf.DUMMYFUNCTION("""COMPUTED_VALUE"""),"Sam Thompson")</f>
        <v>Sam Thompson</v>
      </c>
      <c r="B2257" s="19" t="str">
        <f>IFERROR(__xludf.DUMMYFUNCTION("""COMPUTED_VALUE"""),"NSW")</f>
        <v>NSW</v>
      </c>
      <c r="C2257" s="5" t="str">
        <f>IFERROR(__xludf.DUMMYFUNCTION("""COMPUTED_VALUE"""),"replace(replace(replace(trim(5 Alexandra Crescent Bayview NSW 2104);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replace(replace(replace(trim(5 Alexandra Crescent Bayview NSW 2104);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257" s="5" t="str">
        <f>IFERROR(__xludf.DUMMYFUNCTION("""COMPUTED_VALUE"""),"5 Alexandra Crescent Bayview NSW 2104")</f>
        <v>5 Alexandra Crescent Bayview NSW 2104</v>
      </c>
      <c r="E2257" s="27">
        <f>IFERROR(__xludf.DUMMYFUNCTION("""COMPUTED_VALUE"""),45759.0)</f>
        <v>45759</v>
      </c>
      <c r="F2257" s="64">
        <f>IFERROR(__xludf.DUMMYFUNCTION("""COMPUTED_VALUE"""),0.2)</f>
        <v>0.2</v>
      </c>
      <c r="G2257" s="19" t="str">
        <f>IFERROR(__xludf.DUMMYFUNCTION("""COMPUTED_VALUE"""),"Instant Forms")</f>
        <v>Instant Forms</v>
      </c>
      <c r="H2257" s="19" t="str">
        <f>IFERROR(__xludf.DUMMYFUNCTION("""COMPUTED_VALUE"""),"Mark Bradbury")</f>
        <v>Mark Bradbury</v>
      </c>
      <c r="I2257" s="62">
        <f>IFERROR(__xludf.DUMMYFUNCTION("""COMPUTED_VALUE"""),6.1417438761E10)</f>
        <v>61417438761</v>
      </c>
      <c r="J2257" s="19" t="str">
        <f>IFERROR(__xludf.DUMMYFUNCTION("""COMPUTED_VALUE"""),"mbrad6546@gmail.com")</f>
        <v>mbrad6546@gmail.com</v>
      </c>
    </row>
    <row r="2258">
      <c r="A2258" s="19" t="str">
        <f>IFERROR(__xludf.DUMMYFUNCTION("""COMPUTED_VALUE"""),"")</f>
        <v/>
      </c>
      <c r="B2258" s="19" t="str">
        <f>IFERROR(__xludf.DUMMYFUNCTION("""COMPUTED_VALUE"""),"")</f>
        <v/>
      </c>
      <c r="C2258" s="5" t="str">
        <f>IFERROR(__xludf.DUMMYFUNCTION("""COMPUTED_VALUE"""),"")</f>
        <v/>
      </c>
      <c r="D2258" s="5" t="str">
        <f>IFERROR(__xludf.DUMMYFUNCTION("""COMPUTED_VALUE"""),"")</f>
        <v/>
      </c>
      <c r="E2258" s="5" t="str">
        <f>IFERROR(__xludf.DUMMYFUNCTION("""COMPUTED_VALUE"""),"")</f>
        <v/>
      </c>
      <c r="F2258" s="5" t="str">
        <f>IFERROR(__xludf.DUMMYFUNCTION("""COMPUTED_VALUE"""),"")</f>
        <v/>
      </c>
      <c r="G2258" s="19" t="str">
        <f>IFERROR(__xludf.DUMMYFUNCTION("""COMPUTED_VALUE"""),"")</f>
        <v/>
      </c>
      <c r="H2258" s="19" t="str">
        <f>IFERROR(__xludf.DUMMYFUNCTION("""COMPUTED_VALUE"""),"")</f>
        <v/>
      </c>
      <c r="I2258" s="62" t="str">
        <f>IFERROR(__xludf.DUMMYFUNCTION("""COMPUTED_VALUE"""),"")</f>
        <v/>
      </c>
      <c r="J2258" s="19" t="str">
        <f>IFERROR(__xludf.DUMMYFUNCTION("""COMPUTED_VALUE"""),"")</f>
        <v/>
      </c>
    </row>
    <row r="2259">
      <c r="A2259" s="19" t="str">
        <f>IFERROR(__xludf.DUMMYFUNCTION("""COMPUTED_VALUE"""),"")</f>
        <v/>
      </c>
      <c r="B2259" s="19" t="str">
        <f>IFERROR(__xludf.DUMMYFUNCTION("""COMPUTED_VALUE"""),"")</f>
        <v/>
      </c>
      <c r="C2259" s="5" t="str">
        <f>IFERROR(__xludf.DUMMYFUNCTION("""COMPUTED_VALUE"""),"")</f>
        <v/>
      </c>
      <c r="D2259" s="5" t="str">
        <f>IFERROR(__xludf.DUMMYFUNCTION("""COMPUTED_VALUE"""),"")</f>
        <v/>
      </c>
      <c r="E2259" s="5" t="str">
        <f>IFERROR(__xludf.DUMMYFUNCTION("""COMPUTED_VALUE"""),"")</f>
        <v/>
      </c>
      <c r="F2259" s="5" t="str">
        <f>IFERROR(__xludf.DUMMYFUNCTION("""COMPUTED_VALUE"""),"")</f>
        <v/>
      </c>
      <c r="G2259" s="19" t="str">
        <f>IFERROR(__xludf.DUMMYFUNCTION("""COMPUTED_VALUE"""),"")</f>
        <v/>
      </c>
      <c r="H2259" s="19" t="str">
        <f>IFERROR(__xludf.DUMMYFUNCTION("""COMPUTED_VALUE"""),"")</f>
        <v/>
      </c>
      <c r="I2259" s="62" t="str">
        <f>IFERROR(__xludf.DUMMYFUNCTION("""COMPUTED_VALUE"""),"")</f>
        <v/>
      </c>
      <c r="J2259" s="19" t="str">
        <f>IFERROR(__xludf.DUMMYFUNCTION("""COMPUTED_VALUE"""),"")</f>
        <v/>
      </c>
    </row>
    <row r="2260">
      <c r="A2260" s="19" t="str">
        <f>IFERROR(__xludf.DUMMYFUNCTION("""COMPUTED_VALUE"""),"SAM THOMPSON")</f>
        <v>SAM THOMPSON</v>
      </c>
      <c r="B2260" s="19" t="str">
        <f>IFERROR(__xludf.DUMMYFUNCTION("""COMPUTED_VALUE"""),"QLD")</f>
        <v>QLD</v>
      </c>
      <c r="C2260" s="5" t="str">
        <f>IFERROR(__xludf.DUMMYFUNCTION("""COMPUTED_VALUE"""),"Wurtulla")</f>
        <v>Wurtulla</v>
      </c>
      <c r="D2260" s="5" t="str">
        <f>IFERROR(__xludf.DUMMYFUNCTION("""COMPUTED_VALUE"""),"23 Spinnaker Boulevard Wurtulla QLD 4575")</f>
        <v>23 Spinnaker Boulevard Wurtulla QLD 4575</v>
      </c>
      <c r="E2260" s="63">
        <f>IFERROR(__xludf.DUMMYFUNCTION("""COMPUTED_VALUE"""),45665.0)</f>
        <v>45665</v>
      </c>
      <c r="F2260" s="5" t="str">
        <f>IFERROR(__xludf.DUMMYFUNCTION("""COMPUTED_VALUE"""),"Featured")</f>
        <v>Featured</v>
      </c>
      <c r="G2260" s="19" t="str">
        <f>IFERROR(__xludf.DUMMYFUNCTION("""COMPUTED_VALUE"""),"Instant Forms")</f>
        <v>Instant Forms</v>
      </c>
      <c r="H2260" s="19"/>
      <c r="I2260" s="62"/>
      <c r="J2260" s="19"/>
    </row>
    <row r="2261">
      <c r="A2261" s="19" t="str">
        <f>IFERROR(__xludf.DUMMYFUNCTION("""COMPUTED_VALUE"""),"SAM THOMPSON")</f>
        <v>SAM THOMPSON</v>
      </c>
      <c r="B2261" s="19" t="str">
        <f>IFERROR(__xludf.DUMMYFUNCTION("""COMPUTED_VALUE"""),"QLD")</f>
        <v>QLD</v>
      </c>
      <c r="C2261" s="5">
        <f>IFERROR(__xludf.DUMMYFUNCTION("""COMPUTED_VALUE"""),4551.0)</f>
        <v>4551</v>
      </c>
      <c r="D2261" s="5"/>
      <c r="E2261" s="25">
        <f>IFERROR(__xludf.DUMMYFUNCTION("""COMPUTED_VALUE"""),45876.0)</f>
        <v>45876</v>
      </c>
      <c r="F2261" s="5" t="str">
        <f>IFERROR(__xludf.DUMMYFUNCTION("""COMPUTED_VALUE"""),"Featured")</f>
        <v>Featured</v>
      </c>
      <c r="G2261" s="19" t="str">
        <f>IFERROR(__xludf.DUMMYFUNCTION("""COMPUTED_VALUE"""),"Instant Forms")</f>
        <v>Instant Forms</v>
      </c>
      <c r="H2261" s="19"/>
      <c r="I2261" s="62"/>
      <c r="J2261" s="19"/>
    </row>
    <row r="2262">
      <c r="A2262" s="19" t="str">
        <f>IFERROR(__xludf.DUMMYFUNCTION("""COMPUTED_VALUE"""),"SAM THOMPSON")</f>
        <v>SAM THOMPSON</v>
      </c>
      <c r="B2262" s="19" t="str">
        <f>IFERROR(__xludf.DUMMYFUNCTION("""COMPUTED_VALUE"""),"QLD")</f>
        <v>QLD</v>
      </c>
      <c r="C2262" s="5" t="str">
        <f>IFERROR(__xludf.DUMMYFUNCTION("""COMPUTED_VALUE"""),"Little Mountain")</f>
        <v>Little Mountain</v>
      </c>
      <c r="D2262" s="5" t="str">
        <f>IFERROR(__xludf.DUMMYFUNCTION("""COMPUTED_VALUE"""),"2 Viola Close Little Mountain QLD 4551")</f>
        <v>2 Viola Close Little Mountain QLD 4551</v>
      </c>
      <c r="E2262" s="25">
        <f>IFERROR(__xludf.DUMMYFUNCTION("""COMPUTED_VALUE"""),45882.0)</f>
        <v>45882</v>
      </c>
      <c r="F2262" s="5" t="str">
        <f>IFERROR(__xludf.DUMMYFUNCTION("""COMPUTED_VALUE"""),"Featured")</f>
        <v>Featured</v>
      </c>
      <c r="G2262" s="19" t="str">
        <f>IFERROR(__xludf.DUMMYFUNCTION("""COMPUTED_VALUE"""),"Instant Forms")</f>
        <v>Instant Forms</v>
      </c>
      <c r="H2262" s="19"/>
      <c r="I2262" s="62"/>
      <c r="J2262" s="19"/>
    </row>
    <row r="2263">
      <c r="A2263" s="19" t="str">
        <f>IFERROR(__xludf.DUMMYFUNCTION("""COMPUTED_VALUE"""),"SAM THOMPSON")</f>
        <v>SAM THOMPSON</v>
      </c>
      <c r="B2263" s="19" t="str">
        <f>IFERROR(__xludf.DUMMYFUNCTION("""COMPUTED_VALUE"""),"QLD")</f>
        <v>QLD</v>
      </c>
      <c r="C2263" s="5" t="str">
        <f>IFERROR(__xludf.DUMMYFUNCTION("""COMPUTED_VALUE"""),"Pelican waters")</f>
        <v>Pelican waters</v>
      </c>
      <c r="D2263" s="5"/>
      <c r="E2263" s="25">
        <f>IFERROR(__xludf.DUMMYFUNCTION("""COMPUTED_VALUE"""),45889.0)</f>
        <v>45889</v>
      </c>
      <c r="F2263" s="5" t="str">
        <f>IFERROR(__xludf.DUMMYFUNCTION("""COMPUTED_VALUE"""),"Featured")</f>
        <v>Featured</v>
      </c>
      <c r="G2263" s="19" t="str">
        <f>IFERROR(__xludf.DUMMYFUNCTION("""COMPUTED_VALUE"""),"Instant Forms")</f>
        <v>Instant Forms</v>
      </c>
      <c r="H2263" s="19"/>
      <c r="I2263" s="62"/>
      <c r="J2263" s="19"/>
    </row>
    <row r="2264">
      <c r="A2264" s="19" t="str">
        <f>IFERROR(__xludf.DUMMYFUNCTION("""COMPUTED_VALUE"""),"SAM THOMPSON")</f>
        <v>SAM THOMPSON</v>
      </c>
      <c r="B2264" s="19" t="str">
        <f>IFERROR(__xludf.DUMMYFUNCTION("""COMPUTED_VALUE"""),"QLD")</f>
        <v>QLD</v>
      </c>
      <c r="C2264" s="5" t="str">
        <f>IFERROR(__xludf.DUMMYFUNCTION("""COMPUTED_VALUE"""),"Pelican waters")</f>
        <v>Pelican waters</v>
      </c>
      <c r="D2264" s="5" t="str">
        <f>IFERROR(__xludf.DUMMYFUNCTION("""COMPUTED_VALUE"""),"10 Carnell Street Pelican Waters QLD 4551")</f>
        <v>10 Carnell Street Pelican Waters QLD 4551</v>
      </c>
      <c r="E2264" s="25">
        <f>IFERROR(__xludf.DUMMYFUNCTION("""COMPUTED_VALUE"""),45891.0)</f>
        <v>45891</v>
      </c>
      <c r="F2264" s="5" t="str">
        <f>IFERROR(__xludf.DUMMYFUNCTION("""COMPUTED_VALUE"""),"Featured")</f>
        <v>Featured</v>
      </c>
      <c r="G2264" s="19" t="str">
        <f>IFERROR(__xludf.DUMMYFUNCTION("""COMPUTED_VALUE"""),"Instant Forms")</f>
        <v>Instant Forms</v>
      </c>
      <c r="H2264" s="19"/>
      <c r="I2264" s="62"/>
      <c r="J2264" s="19"/>
    </row>
    <row r="2265">
      <c r="A2265" s="19" t="str">
        <f>IFERROR(__xludf.DUMMYFUNCTION("""COMPUTED_VALUE"""),"SAM THOMPSON")</f>
        <v>SAM THOMPSON</v>
      </c>
      <c r="B2265" s="19" t="str">
        <f>IFERROR(__xludf.DUMMYFUNCTION("""COMPUTED_VALUE"""),"QLD")</f>
        <v>QLD</v>
      </c>
      <c r="C2265" s="5" t="str">
        <f>IFERROR(__xludf.DUMMYFUNCTION("""COMPUTED_VALUE"""),"Pelican waters")</f>
        <v>Pelican waters</v>
      </c>
      <c r="D2265" s="5" t="str">
        <f>IFERROR(__xludf.DUMMYFUNCTION("""COMPUTED_VALUE"""),"19 Undanbi Place Pelican Waters QLD 4551")</f>
        <v>19 Undanbi Place Pelican Waters QLD 4551</v>
      </c>
      <c r="E2265" s="25">
        <f>IFERROR(__xludf.DUMMYFUNCTION("""COMPUTED_VALUE"""),45903.0)</f>
        <v>45903</v>
      </c>
      <c r="F2265" s="5" t="str">
        <f>IFERROR(__xludf.DUMMYFUNCTION("""COMPUTED_VALUE"""),"Featured")</f>
        <v>Featured</v>
      </c>
      <c r="G2265" s="19" t="str">
        <f>IFERROR(__xludf.DUMMYFUNCTION("""COMPUTED_VALUE"""),"Instant Forms")</f>
        <v>Instant Forms</v>
      </c>
      <c r="H2265" s="19"/>
      <c r="I2265" s="62"/>
      <c r="J2265" s="19"/>
    </row>
    <row r="2266">
      <c r="A2266" s="19" t="str">
        <f>IFERROR(__xludf.DUMMYFUNCTION("""COMPUTED_VALUE"""),"SAM THOMPSON")</f>
        <v>SAM THOMPSON</v>
      </c>
      <c r="B2266" s="19" t="str">
        <f>IFERROR(__xludf.DUMMYFUNCTION("""COMPUTED_VALUE"""),"QLD")</f>
        <v>QLD</v>
      </c>
      <c r="C2266" s="5" t="str">
        <f>IFERROR(__xludf.DUMMYFUNCTION("""COMPUTED_VALUE"""),"Baringa")</f>
        <v>Baringa</v>
      </c>
      <c r="D2266" s="5" t="str">
        <f>IFERROR(__xludf.DUMMYFUNCTION("""COMPUTED_VALUE"""),"15 Berry Terrace Baringa QLD 4551")</f>
        <v>15 Berry Terrace Baringa QLD 4551</v>
      </c>
      <c r="E2266" s="25">
        <f>IFERROR(__xludf.DUMMYFUNCTION("""COMPUTED_VALUE"""),45907.0)</f>
        <v>45907</v>
      </c>
      <c r="F2266" s="5" t="str">
        <f>IFERROR(__xludf.DUMMYFUNCTION("""COMPUTED_VALUE"""),"Featured")</f>
        <v>Featured</v>
      </c>
      <c r="G2266" s="19" t="str">
        <f>IFERROR(__xludf.DUMMYFUNCTION("""COMPUTED_VALUE"""),"Instant Forms")</f>
        <v>Instant Forms</v>
      </c>
      <c r="H2266" s="19"/>
      <c r="I2266" s="62"/>
      <c r="J2266" s="19"/>
    </row>
    <row r="2267">
      <c r="A2267" s="19" t="str">
        <f>IFERROR(__xludf.DUMMYFUNCTION("""COMPUTED_VALUE"""),"SAM THOMPSON")</f>
        <v>SAM THOMPSON</v>
      </c>
      <c r="B2267" s="19" t="str">
        <f>IFERROR(__xludf.DUMMYFUNCTION("""COMPUTED_VALUE"""),"QLD")</f>
        <v>QLD</v>
      </c>
      <c r="C2267" s="5" t="str">
        <f>IFERROR(__xludf.DUMMYFUNCTION("""COMPUTED_VALUE"""),"Pelican Waters")</f>
        <v>Pelican Waters</v>
      </c>
      <c r="D2267" s="5" t="str">
        <f>IFERROR(__xludf.DUMMYFUNCTION("""COMPUTED_VALUE"""),"5 Toorbul Street Pelican Waters QLD 4551")</f>
        <v>5 Toorbul Street Pelican Waters QLD 4551</v>
      </c>
      <c r="E2267" s="25">
        <f>IFERROR(__xludf.DUMMYFUNCTION("""COMPUTED_VALUE"""),45908.0)</f>
        <v>45908</v>
      </c>
      <c r="F2267" s="5" t="str">
        <f>IFERROR(__xludf.DUMMYFUNCTION("""COMPUTED_VALUE"""),"Featured")</f>
        <v>Featured</v>
      </c>
      <c r="G2267" s="19" t="str">
        <f>IFERROR(__xludf.DUMMYFUNCTION("""COMPUTED_VALUE"""),"Instant Forms")</f>
        <v>Instant Forms</v>
      </c>
      <c r="H2267" s="19"/>
      <c r="I2267" s="62"/>
      <c r="J2267" s="19"/>
    </row>
    <row r="2268">
      <c r="A2268" s="19" t="str">
        <f>IFERROR(__xludf.DUMMYFUNCTION("""COMPUTED_VALUE"""),"Sam Thompson")</f>
        <v>Sam Thompson</v>
      </c>
      <c r="B2268" s="19" t="str">
        <f>IFERROR(__xludf.DUMMYFUNCTION("""COMPUTED_VALUE"""),"NSW")</f>
        <v>NSW</v>
      </c>
      <c r="C2268" s="5" t="str">
        <f>IFERROR(__xludf.DUMMYFUNCTION("""COMPUTED_VALUE"""),"Bayview")</f>
        <v>Bayview</v>
      </c>
      <c r="D2268" s="5" t="str">
        <f>IFERROR(__xludf.DUMMYFUNCTION("""COMPUTED_VALUE"""),"7 Barkala Road Bayview NSW 2104")</f>
        <v>7 Barkala Road Bayview NSW 2104</v>
      </c>
      <c r="E2268" s="25">
        <f>IFERROR(__xludf.DUMMYFUNCTION("""COMPUTED_VALUE"""),45908.0)</f>
        <v>45908</v>
      </c>
      <c r="F2268" s="5" t="str">
        <f>IFERROR(__xludf.DUMMYFUNCTION("""COMPUTED_VALUE"""),"Featured")</f>
        <v>Featured</v>
      </c>
      <c r="G2268" s="19" t="str">
        <f>IFERROR(__xludf.DUMMYFUNCTION("""COMPUTED_VALUE"""),"Instant Forms")</f>
        <v>Instant Forms</v>
      </c>
      <c r="H2268" s="19"/>
      <c r="I2268" s="62"/>
      <c r="J2268" s="19"/>
    </row>
    <row r="2269">
      <c r="A2269" s="19" t="str">
        <f>IFERROR(__xludf.DUMMYFUNCTION("""COMPUTED_VALUE"""),"SAM THOMPSON")</f>
        <v>SAM THOMPSON</v>
      </c>
      <c r="B2269" s="19" t="str">
        <f>IFERROR(__xludf.DUMMYFUNCTION("""COMPUTED_VALUE"""),"QLD")</f>
        <v>QLD</v>
      </c>
      <c r="C2269" s="5" t="str">
        <f>IFERROR(__xludf.DUMMYFUNCTION("""COMPUTED_VALUE"""),"Baringa")</f>
        <v>Baringa</v>
      </c>
      <c r="D2269" s="5" t="str">
        <f>IFERROR(__xludf.DUMMYFUNCTION("""COMPUTED_VALUE"""),"45 Eden Drive Baringa QLD 4551")</f>
        <v>45 Eden Drive Baringa QLD 4551</v>
      </c>
      <c r="E2269" s="25">
        <f>IFERROR(__xludf.DUMMYFUNCTION("""COMPUTED_VALUE"""),45911.0)</f>
        <v>45911</v>
      </c>
      <c r="F2269" s="5">
        <f>IFERROR(__xludf.DUMMYFUNCTION("""COMPUTED_VALUE"""),6.0)</f>
        <v>6</v>
      </c>
      <c r="G2269" s="19" t="str">
        <f>IFERROR(__xludf.DUMMYFUNCTION("""COMPUTED_VALUE"""),"Instant Forms")</f>
        <v>Instant Forms</v>
      </c>
      <c r="H2269" s="19" t="str">
        <f>IFERROR(__xludf.DUMMYFUNCTION("""COMPUTED_VALUE"""),"Lane Greene")</f>
        <v>Lane Greene</v>
      </c>
      <c r="I2269" s="62"/>
      <c r="J2269" s="19"/>
    </row>
    <row r="2270">
      <c r="A2270" s="19" t="str">
        <f>IFERROR(__xludf.DUMMYFUNCTION("""COMPUTED_VALUE"""),"Sam Thompson")</f>
        <v>Sam Thompson</v>
      </c>
      <c r="B2270" s="19" t="str">
        <f>IFERROR(__xludf.DUMMYFUNCTION("""COMPUTED_VALUE"""),"NSW")</f>
        <v>NSW</v>
      </c>
      <c r="C2270" s="5" t="str">
        <f>IFERROR(__xludf.DUMMYFUNCTION("""COMPUTED_VALUE"""),"replace(replace(replace(trim(5 Alexandra Crescent Bayview NSW 2104);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replace(replace(replace(trim(5 Alexandra Crescent Bayview NSW 2104);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270" s="5" t="str">
        <f>IFERROR(__xludf.DUMMYFUNCTION("""COMPUTED_VALUE"""),"5 Alexandra Crescent Bayview NSW 2104")</f>
        <v>5 Alexandra Crescent Bayview NSW 2104</v>
      </c>
      <c r="E2270" s="27">
        <f>IFERROR(__xludf.DUMMYFUNCTION("""COMPUTED_VALUE"""),45759.0)</f>
        <v>45759</v>
      </c>
      <c r="F2270" s="64">
        <f>IFERROR(__xludf.DUMMYFUNCTION("""COMPUTED_VALUE"""),0.2)</f>
        <v>0.2</v>
      </c>
      <c r="G2270" s="19" t="str">
        <f>IFERROR(__xludf.DUMMYFUNCTION("""COMPUTED_VALUE"""),"Instant Forms")</f>
        <v>Instant Forms</v>
      </c>
      <c r="H2270" s="19" t="str">
        <f>IFERROR(__xludf.DUMMYFUNCTION("""COMPUTED_VALUE"""),"Mark Bradbury")</f>
        <v>Mark Bradbury</v>
      </c>
      <c r="I2270" s="62">
        <f>IFERROR(__xludf.DUMMYFUNCTION("""COMPUTED_VALUE"""),6.1417438761E10)</f>
        <v>61417438761</v>
      </c>
      <c r="J2270" s="19" t="str">
        <f>IFERROR(__xludf.DUMMYFUNCTION("""COMPUTED_VALUE"""),"mbrad6546@gmail.com")</f>
        <v>mbrad6546@gmail.com</v>
      </c>
    </row>
    <row r="2271">
      <c r="A2271" s="19" t="str">
        <f>IFERROR(__xludf.DUMMYFUNCTION("""COMPUTED_VALUE"""),"")</f>
        <v/>
      </c>
      <c r="B2271" s="19" t="str">
        <f>IFERROR(__xludf.DUMMYFUNCTION("""COMPUTED_VALUE"""),"")</f>
        <v/>
      </c>
      <c r="C2271" s="5" t="str">
        <f>IFERROR(__xludf.DUMMYFUNCTION("""COMPUTED_VALUE"""),"")</f>
        <v/>
      </c>
      <c r="D2271" s="5" t="str">
        <f>IFERROR(__xludf.DUMMYFUNCTION("""COMPUTED_VALUE"""),"")</f>
        <v/>
      </c>
      <c r="E2271" s="5" t="str">
        <f>IFERROR(__xludf.DUMMYFUNCTION("""COMPUTED_VALUE"""),"")</f>
        <v/>
      </c>
      <c r="F2271" s="5" t="str">
        <f>IFERROR(__xludf.DUMMYFUNCTION("""COMPUTED_VALUE"""),"")</f>
        <v/>
      </c>
      <c r="G2271" s="19" t="str">
        <f>IFERROR(__xludf.DUMMYFUNCTION("""COMPUTED_VALUE"""),"")</f>
        <v/>
      </c>
      <c r="H2271" s="19" t="str">
        <f>IFERROR(__xludf.DUMMYFUNCTION("""COMPUTED_VALUE"""),"")</f>
        <v/>
      </c>
      <c r="I2271" s="62" t="str">
        <f>IFERROR(__xludf.DUMMYFUNCTION("""COMPUTED_VALUE"""),"")</f>
        <v/>
      </c>
      <c r="J2271" s="19" t="str">
        <f>IFERROR(__xludf.DUMMYFUNCTION("""COMPUTED_VALUE"""),"")</f>
        <v/>
      </c>
    </row>
    <row r="2272">
      <c r="A2272" s="19" t="str">
        <f>IFERROR(__xludf.DUMMYFUNCTION("""COMPUTED_VALUE"""),"")</f>
        <v/>
      </c>
      <c r="B2272" s="19" t="str">
        <f>IFERROR(__xludf.DUMMYFUNCTION("""COMPUTED_VALUE"""),"")</f>
        <v/>
      </c>
      <c r="C2272" s="5" t="str">
        <f>IFERROR(__xludf.DUMMYFUNCTION("""COMPUTED_VALUE"""),"")</f>
        <v/>
      </c>
      <c r="D2272" s="5" t="str">
        <f>IFERROR(__xludf.DUMMYFUNCTION("""COMPUTED_VALUE"""),"")</f>
        <v/>
      </c>
      <c r="E2272" s="5" t="str">
        <f>IFERROR(__xludf.DUMMYFUNCTION("""COMPUTED_VALUE"""),"")</f>
        <v/>
      </c>
      <c r="F2272" s="5" t="str">
        <f>IFERROR(__xludf.DUMMYFUNCTION("""COMPUTED_VALUE"""),"")</f>
        <v/>
      </c>
      <c r="G2272" s="19" t="str">
        <f>IFERROR(__xludf.DUMMYFUNCTION("""COMPUTED_VALUE"""),"")</f>
        <v/>
      </c>
      <c r="H2272" s="19" t="str">
        <f>IFERROR(__xludf.DUMMYFUNCTION("""COMPUTED_VALUE"""),"")</f>
        <v/>
      </c>
      <c r="I2272" s="62" t="str">
        <f>IFERROR(__xludf.DUMMYFUNCTION("""COMPUTED_VALUE"""),"")</f>
        <v/>
      </c>
      <c r="J2272" s="19" t="str">
        <f>IFERROR(__xludf.DUMMYFUNCTION("""COMPUTED_VALUE"""),"")</f>
        <v/>
      </c>
    </row>
    <row r="2273">
      <c r="A2273" s="19" t="str">
        <f>IFERROR(__xludf.DUMMYFUNCTION("""COMPUTED_VALUE"""),"Saqib Khanzawar")</f>
        <v>Saqib Khanzawar</v>
      </c>
      <c r="B2273" s="19" t="str">
        <f>IFERROR(__xludf.DUMMYFUNCTION("""COMPUTED_VALUE"""),"VIC")</f>
        <v>VIC</v>
      </c>
      <c r="C2273" s="5" t="str">
        <f>IFERROR(__xludf.DUMMYFUNCTION("""COMPUTED_VALUE"""),"Narre Warren")</f>
        <v>Narre Warren</v>
      </c>
      <c r="D2273" s="5" t="str">
        <f>IFERROR(__xludf.DUMMYFUNCTION("""COMPUTED_VALUE"""),"38 Blackwood Drive")</f>
        <v>38 Blackwood Drive</v>
      </c>
      <c r="E2273" s="63"/>
      <c r="F2273" s="5" t="str">
        <f>IFERROR(__xludf.DUMMYFUNCTION("""COMPUTED_VALUE"""),"Featured")</f>
        <v>Featured</v>
      </c>
      <c r="G2273" s="19" t="str">
        <f>IFERROR(__xludf.DUMMYFUNCTION("""COMPUTED_VALUE"""),"Commission Comparison")</f>
        <v>Commission Comparison</v>
      </c>
      <c r="H2273" s="19"/>
      <c r="I2273" s="62"/>
      <c r="J2273" s="19"/>
    </row>
    <row r="2274">
      <c r="A2274" s="19" t="str">
        <f>IFERROR(__xludf.DUMMYFUNCTION("""COMPUTED_VALUE"""),"")</f>
        <v/>
      </c>
      <c r="B2274" s="19" t="str">
        <f>IFERROR(__xludf.DUMMYFUNCTION("""COMPUTED_VALUE"""),"")</f>
        <v/>
      </c>
      <c r="C2274" s="5" t="str">
        <f>IFERROR(__xludf.DUMMYFUNCTION("""COMPUTED_VALUE"""),"")</f>
        <v/>
      </c>
      <c r="D2274" s="5" t="str">
        <f>IFERROR(__xludf.DUMMYFUNCTION("""COMPUTED_VALUE"""),"")</f>
        <v/>
      </c>
      <c r="E2274" s="5" t="str">
        <f>IFERROR(__xludf.DUMMYFUNCTION("""COMPUTED_VALUE"""),"")</f>
        <v/>
      </c>
      <c r="F2274" s="5" t="str">
        <f>IFERROR(__xludf.DUMMYFUNCTION("""COMPUTED_VALUE"""),"")</f>
        <v/>
      </c>
      <c r="G2274" s="19" t="str">
        <f>IFERROR(__xludf.DUMMYFUNCTION("""COMPUTED_VALUE"""),"")</f>
        <v/>
      </c>
      <c r="H2274" s="19" t="str">
        <f>IFERROR(__xludf.DUMMYFUNCTION("""COMPUTED_VALUE"""),"")</f>
        <v/>
      </c>
      <c r="I2274" s="62" t="str">
        <f>IFERROR(__xludf.DUMMYFUNCTION("""COMPUTED_VALUE"""),"")</f>
        <v/>
      </c>
      <c r="J2274" s="19" t="str">
        <f>IFERROR(__xludf.DUMMYFUNCTION("""COMPUTED_VALUE"""),"")</f>
        <v/>
      </c>
    </row>
    <row r="2275">
      <c r="A2275" s="19" t="str">
        <f>IFERROR(__xludf.DUMMYFUNCTION("""COMPUTED_VALUE"""),"")</f>
        <v/>
      </c>
      <c r="B2275" s="19" t="str">
        <f>IFERROR(__xludf.DUMMYFUNCTION("""COMPUTED_VALUE"""),"")</f>
        <v/>
      </c>
      <c r="C2275" s="5" t="str">
        <f>IFERROR(__xludf.DUMMYFUNCTION("""COMPUTED_VALUE"""),"")</f>
        <v/>
      </c>
      <c r="D2275" s="5" t="str">
        <f>IFERROR(__xludf.DUMMYFUNCTION("""COMPUTED_VALUE"""),"")</f>
        <v/>
      </c>
      <c r="E2275" s="5" t="str">
        <f>IFERROR(__xludf.DUMMYFUNCTION("""COMPUTED_VALUE"""),"")</f>
        <v/>
      </c>
      <c r="F2275" s="5" t="str">
        <f>IFERROR(__xludf.DUMMYFUNCTION("""COMPUTED_VALUE"""),"")</f>
        <v/>
      </c>
      <c r="G2275" s="19" t="str">
        <f>IFERROR(__xludf.DUMMYFUNCTION("""COMPUTED_VALUE"""),"")</f>
        <v/>
      </c>
      <c r="H2275" s="19" t="str">
        <f>IFERROR(__xludf.DUMMYFUNCTION("""COMPUTED_VALUE"""),"")</f>
        <v/>
      </c>
      <c r="I2275" s="62" t="str">
        <f>IFERROR(__xludf.DUMMYFUNCTION("""COMPUTED_VALUE"""),"")</f>
        <v/>
      </c>
      <c r="J2275" s="19" t="str">
        <f>IFERROR(__xludf.DUMMYFUNCTION("""COMPUTED_VALUE"""),"")</f>
        <v/>
      </c>
    </row>
    <row r="2276">
      <c r="A2276" s="19" t="str">
        <f>IFERROR(__xludf.DUMMYFUNCTION("""COMPUTED_VALUE"""),"Sasa Peci")</f>
        <v>Sasa Peci</v>
      </c>
      <c r="B2276" s="19" t="str">
        <f>IFERROR(__xludf.DUMMYFUNCTION("""COMPUTED_VALUE"""),"QLD")</f>
        <v>QLD</v>
      </c>
      <c r="C2276" s="5">
        <f>IFERROR(__xludf.DUMMYFUNCTION("""COMPUTED_VALUE"""),4207.0)</f>
        <v>4207</v>
      </c>
      <c r="D2276" s="5"/>
      <c r="E2276" s="63">
        <f>IFERROR(__xludf.DUMMYFUNCTION("""COMPUTED_VALUE"""),45724.0)</f>
        <v>45724</v>
      </c>
      <c r="F2276" s="5" t="str">
        <f>IFERROR(__xludf.DUMMYFUNCTION("""COMPUTED_VALUE"""),"Featured")</f>
        <v>Featured</v>
      </c>
      <c r="G2276" s="19" t="str">
        <f>IFERROR(__xludf.DUMMYFUNCTION("""COMPUTED_VALUE"""),"Instant Forms")</f>
        <v>Instant Forms</v>
      </c>
      <c r="H2276" s="19"/>
      <c r="I2276" s="62"/>
      <c r="J2276" s="19"/>
    </row>
    <row r="2277">
      <c r="A2277" s="19" t="str">
        <f>IFERROR(__xludf.DUMMYFUNCTION("""COMPUTED_VALUE"""),"Sasa Peci")</f>
        <v>Sasa Peci</v>
      </c>
      <c r="B2277" s="19" t="str">
        <f>IFERROR(__xludf.DUMMYFUNCTION("""COMPUTED_VALUE"""),"QLD")</f>
        <v>QLD</v>
      </c>
      <c r="C2277" s="5" t="str">
        <f>IFERROR(__xludf.DUMMYFUNCTION("""COMPUTED_VALUE"""),"Yarrabilba")</f>
        <v>Yarrabilba</v>
      </c>
      <c r="D2277" s="5"/>
      <c r="E2277" s="25">
        <f>IFERROR(__xludf.DUMMYFUNCTION("""COMPUTED_VALUE"""),45889.0)</f>
        <v>45889</v>
      </c>
      <c r="F2277" s="5" t="str">
        <f>IFERROR(__xludf.DUMMYFUNCTION("""COMPUTED_VALUE"""),"Free")</f>
        <v>Free</v>
      </c>
      <c r="G2277" s="19" t="str">
        <f>IFERROR(__xludf.DUMMYFUNCTION("""COMPUTED_VALUE"""),"Instant Forms")</f>
        <v>Instant Forms</v>
      </c>
      <c r="H2277" s="19"/>
      <c r="I2277" s="62"/>
      <c r="J2277" s="19"/>
    </row>
    <row r="2278">
      <c r="A2278" s="19" t="str">
        <f>IFERROR(__xludf.DUMMYFUNCTION("""COMPUTED_VALUE"""),"Sasa Peci")</f>
        <v>Sasa Peci</v>
      </c>
      <c r="B2278" s="19" t="str">
        <f>IFERROR(__xludf.DUMMYFUNCTION("""COMPUTED_VALUE"""),"QLD")</f>
        <v>QLD</v>
      </c>
      <c r="C2278" s="5" t="str">
        <f>IFERROR(__xludf.DUMMYFUNCTION("""COMPUTED_VALUE"""),"BETHANIA")</f>
        <v>BETHANIA</v>
      </c>
      <c r="D2278" s="5" t="str">
        <f>IFERROR(__xludf.DUMMYFUNCTION("""COMPUTED_VALUE"""),"46 Glastonbury Drive BETHANIA QLD 4205")</f>
        <v>46 Glastonbury Drive BETHANIA QLD 4205</v>
      </c>
      <c r="E2278" s="25">
        <f>IFERROR(__xludf.DUMMYFUNCTION("""COMPUTED_VALUE"""),45890.0)</f>
        <v>45890</v>
      </c>
      <c r="F2278" s="5" t="str">
        <f>IFERROR(__xludf.DUMMYFUNCTION("""COMPUTED_VALUE"""),"Featured")</f>
        <v>Featured</v>
      </c>
      <c r="G2278" s="19" t="str">
        <f>IFERROR(__xludf.DUMMYFUNCTION("""COMPUTED_VALUE"""),"Instant Forms")</f>
        <v>Instant Forms</v>
      </c>
      <c r="H2278" s="19"/>
      <c r="I2278" s="62"/>
      <c r="J2278" s="19"/>
    </row>
    <row r="2279">
      <c r="A2279" s="19" t="str">
        <f>IFERROR(__xludf.DUMMYFUNCTION("""COMPUTED_VALUE"""),"Sasa Peci")</f>
        <v>Sasa Peci</v>
      </c>
      <c r="B2279" s="19" t="str">
        <f>IFERROR(__xludf.DUMMYFUNCTION("""COMPUTED_VALUE"""),"QLD")</f>
        <v>QLD</v>
      </c>
      <c r="C2279" s="5" t="str">
        <f>IFERROR(__xludf.DUMMYFUNCTION("""COMPUTED_VALUE"""),"Waterford")</f>
        <v>Waterford</v>
      </c>
      <c r="D2279" s="5" t="str">
        <f>IFERROR(__xludf.DUMMYFUNCTION("""COMPUTED_VALUE"""),"6 Eurimbula Close Waterford QLD 4133")</f>
        <v>6 Eurimbula Close Waterford QLD 4133</v>
      </c>
      <c r="E2279" s="25">
        <f>IFERROR(__xludf.DUMMYFUNCTION("""COMPUTED_VALUE"""),45907.0)</f>
        <v>45907</v>
      </c>
      <c r="F2279" s="5" t="str">
        <f>IFERROR(__xludf.DUMMYFUNCTION("""COMPUTED_VALUE"""),"Featured")</f>
        <v>Featured</v>
      </c>
      <c r="G2279" s="19" t="str">
        <f>IFERROR(__xludf.DUMMYFUNCTION("""COMPUTED_VALUE"""),"Instant Forms")</f>
        <v>Instant Forms</v>
      </c>
      <c r="H2279" s="19"/>
      <c r="I2279" s="62"/>
      <c r="J2279" s="19"/>
    </row>
    <row r="2280">
      <c r="A2280" s="19" t="str">
        <f>IFERROR(__xludf.DUMMYFUNCTION("""COMPUTED_VALUE"""),"Sasa Peci")</f>
        <v>Sasa Peci</v>
      </c>
      <c r="B2280" s="19" t="str">
        <f>IFERROR(__xludf.DUMMYFUNCTION("""COMPUTED_VALUE"""),"QLD")</f>
        <v>QLD</v>
      </c>
      <c r="C2280" s="5" t="str">
        <f>IFERROR(__xludf.DUMMYFUNCTION("""COMPUTED_VALUE"""),"Yarrabilba")</f>
        <v>Yarrabilba</v>
      </c>
      <c r="D2280" s="5" t="str">
        <f>IFERROR(__xludf.DUMMYFUNCTION("""COMPUTED_VALUE"""),"65 Horseshoe Circuit, Yarrabilba, QLD, 4207, Australia")</f>
        <v>65 Horseshoe Circuit, Yarrabilba, QLD, 4207, Australia</v>
      </c>
      <c r="E2280" s="5" t="str">
        <f>IFERROR(__xludf.DUMMYFUNCTION("""COMPUTED_VALUE"""),"25/09/2025")</f>
        <v>25/09/2025</v>
      </c>
      <c r="F2280" s="5" t="str">
        <f>IFERROR(__xludf.DUMMYFUNCTION("""COMPUTED_VALUE"""),"Featured")</f>
        <v>Featured</v>
      </c>
      <c r="G2280" s="19"/>
      <c r="H2280" s="19"/>
      <c r="I2280" s="62"/>
      <c r="J2280" s="19"/>
    </row>
    <row r="2281">
      <c r="A2281" s="19" t="str">
        <f>IFERROR(__xludf.DUMMYFUNCTION("""COMPUTED_VALUE"""),"Sasa Peci")</f>
        <v>Sasa Peci</v>
      </c>
      <c r="B2281" s="19" t="str">
        <f>IFERROR(__xludf.DUMMYFUNCTION("""COMPUTED_VALUE"""),"QLD")</f>
        <v>QLD</v>
      </c>
      <c r="C2281" s="5" t="str">
        <f>IFERROR(__xludf.DUMMYFUNCTION("""COMPUTED_VALUE"""),"waterford")</f>
        <v>waterford</v>
      </c>
      <c r="D2281" s="5" t="str">
        <f>IFERROR(__xludf.DUMMYFUNCTION("""COMPUTED_VALUE"""),"6 Eurimbula Close")</f>
        <v>6 Eurimbula Close</v>
      </c>
      <c r="E2281" s="25">
        <f>IFERROR(__xludf.DUMMYFUNCTION("""COMPUTED_VALUE"""),45951.0)</f>
        <v>45951</v>
      </c>
      <c r="F2281" s="5" t="str">
        <f>IFERROR(__xludf.DUMMYFUNCTION("""COMPUTED_VALUE"""),"Featured")</f>
        <v>Featured</v>
      </c>
      <c r="G2281" s="19" t="str">
        <f>IFERROR(__xludf.DUMMYFUNCTION("""COMPUTED_VALUE"""),"Commission Comparison")</f>
        <v>Commission Comparison</v>
      </c>
      <c r="H2281" s="19"/>
      <c r="I2281" s="62"/>
      <c r="J2281" s="19"/>
    </row>
    <row r="2282">
      <c r="A2282" s="19" t="str">
        <f>IFERROR(__xludf.DUMMYFUNCTION("""COMPUTED_VALUE"""),"Sasa Peci")</f>
        <v>Sasa Peci</v>
      </c>
      <c r="B2282" s="19" t="str">
        <f>IFERROR(__xludf.DUMMYFUNCTION("""COMPUTED_VALUE"""),"QLD")</f>
        <v>QLD</v>
      </c>
      <c r="C2282" s="5" t="str">
        <f>IFERROR(__xludf.DUMMYFUNCTION("""COMPUTED_VALUE"""),"Yarrabilba")</f>
        <v>Yarrabilba</v>
      </c>
      <c r="D2282" s="5" t="str">
        <f>IFERROR(__xludf.DUMMYFUNCTION("""COMPUTED_VALUE"""),"25 Pinehill St, Yarrabilba, 4207")</f>
        <v>25 Pinehill St, Yarrabilba, 4207</v>
      </c>
      <c r="E2282" s="25" t="str">
        <f>IFERROR(__xludf.DUMMYFUNCTION("""COMPUTED_VALUE"""),"23/10/2025")</f>
        <v>23/10/2025</v>
      </c>
      <c r="F2282" s="5" t="str">
        <f>IFERROR(__xludf.DUMMYFUNCTION("""COMPUTED_VALUE"""),"Featured")</f>
        <v>Featured</v>
      </c>
      <c r="G2282" s="19" t="str">
        <f>IFERROR(__xludf.DUMMYFUNCTION("""COMPUTED_VALUE"""),"Meta Commission Report")</f>
        <v>Meta Commission Report</v>
      </c>
      <c r="H2282" s="19" t="str">
        <f>IFERROR(__xludf.DUMMYFUNCTION("""COMPUTED_VALUE"""),"Helen Early")</f>
        <v>Helen Early</v>
      </c>
      <c r="I2282" s="62"/>
      <c r="J2282" s="19"/>
    </row>
    <row r="2283">
      <c r="A2283" s="19" t="str">
        <f>IFERROR(__xludf.DUMMYFUNCTION("""COMPUTED_VALUE"""),"Sasa Peci")</f>
        <v>Sasa Peci</v>
      </c>
      <c r="B2283" s="19" t="str">
        <f>IFERROR(__xludf.DUMMYFUNCTION("""COMPUTED_VALUE"""),"QLD")</f>
        <v>QLD</v>
      </c>
      <c r="C2283" s="5" t="str">
        <f>IFERROR(__xludf.DUMMYFUNCTION("""COMPUTED_VALUE"""),"Beenleigh")</f>
        <v>Beenleigh</v>
      </c>
      <c r="D2283" s="5" t="str">
        <f>IFERROR(__xludf.DUMMYFUNCTION("""COMPUTED_VALUE"""),"8/56 Tansey Street Beenleigh QLD 4207")</f>
        <v>8/56 Tansey Street Beenleigh QLD 4207</v>
      </c>
      <c r="E2283" s="25">
        <f>IFERROR(__xludf.DUMMYFUNCTION("""COMPUTED_VALUE"""),45958.0)</f>
        <v>45958</v>
      </c>
      <c r="F2283" s="5">
        <f>IFERROR(__xludf.DUMMYFUNCTION("""COMPUTED_VALUE"""),6.0)</f>
        <v>6</v>
      </c>
      <c r="G2283" s="19" t="str">
        <f>IFERROR(__xludf.DUMMYFUNCTION("""COMPUTED_VALUE"""),"Instant Forms")</f>
        <v>Instant Forms</v>
      </c>
      <c r="H2283" s="19"/>
      <c r="I2283" s="62"/>
      <c r="J2283" s="19"/>
    </row>
    <row r="2284">
      <c r="A2284" s="19" t="str">
        <f>IFERROR(__xludf.DUMMYFUNCTION("""COMPUTED_VALUE"""),"Sasa Peci")</f>
        <v>Sasa Peci</v>
      </c>
      <c r="B2284" s="19" t="str">
        <f>IFERROR(__xludf.DUMMYFUNCTION("""COMPUTED_VALUE"""),"QLD")</f>
        <v>QLD</v>
      </c>
      <c r="C2284" s="5" t="str">
        <f>IFERROR(__xludf.DUMMYFUNCTION("""COMPUTED_VALUE"""),"Bethania")</f>
        <v>Bethania</v>
      </c>
      <c r="D2284" s="5" t="str">
        <f>IFERROR(__xludf.DUMMYFUNCTION("""COMPUTED_VALUE"""),"19 Carlton Close Bethania QLD 4205")</f>
        <v>19 Carlton Close Bethania QLD 4205</v>
      </c>
      <c r="E2284" s="25">
        <f>IFERROR(__xludf.DUMMYFUNCTION("""COMPUTED_VALUE"""),45966.0)</f>
        <v>45966</v>
      </c>
      <c r="F2284" s="5">
        <f>IFERROR(__xludf.DUMMYFUNCTION("""COMPUTED_VALUE"""),6.0)</f>
        <v>6</v>
      </c>
      <c r="G2284" s="19" t="str">
        <f>IFERROR(__xludf.DUMMYFUNCTION("""COMPUTED_VALUE"""),"Instant Forms")</f>
        <v>Instant Forms</v>
      </c>
      <c r="H2284" s="19" t="str">
        <f>IFERROR(__xludf.DUMMYFUNCTION("""COMPUTED_VALUE"""),"Kerry Phipps")</f>
        <v>Kerry Phipps</v>
      </c>
      <c r="I2284" s="62">
        <f>IFERROR(__xludf.DUMMYFUNCTION("""COMPUTED_VALUE"""),6.1425126151E10)</f>
        <v>61425126151</v>
      </c>
      <c r="J2284" s="19" t="str">
        <f>IFERROR(__xludf.DUMMYFUNCTION("""COMPUTED_VALUE"""),"Kimlebphipps@gmail.com")</f>
        <v>Kimlebphipps@gmail.com</v>
      </c>
    </row>
    <row r="2285">
      <c r="A2285" s="19" t="str">
        <f>IFERROR(__xludf.DUMMYFUNCTION("""COMPUTED_VALUE"""),"Sasa Peci")</f>
        <v>Sasa Peci</v>
      </c>
      <c r="B2285" s="19" t="str">
        <f>IFERROR(__xludf.DUMMYFUNCTION("""COMPUTED_VALUE"""),"QLD")</f>
        <v>QLD</v>
      </c>
      <c r="C2285" s="5" t="str">
        <f>IFERROR(__xludf.DUMMYFUNCTION("""COMPUTED_VALUE"""),"Windaroo")</f>
        <v>Windaroo</v>
      </c>
      <c r="D2285" s="5" t="str">
        <f>IFERROR(__xludf.DUMMYFUNCTION("""COMPUTED_VALUE"""),"42 riverside terrace windaroo 4207, Windaroo, 4207")</f>
        <v>42 riverside terrace windaroo 4207, Windaroo, 4207</v>
      </c>
      <c r="E2285" s="27">
        <f>IFERROR(__xludf.DUMMYFUNCTION("""COMPUTED_VALUE"""),45819.0)</f>
        <v>45819</v>
      </c>
      <c r="F2285" s="5" t="str">
        <f>IFERROR(__xludf.DUMMYFUNCTION("""COMPUTED_VALUE"""),"Featured")</f>
        <v>Featured</v>
      </c>
      <c r="G2285" s="19" t="str">
        <f>IFERROR(__xludf.DUMMYFUNCTION("""COMPUTED_VALUE"""),"Meta Commission Report")</f>
        <v>Meta Commission Report</v>
      </c>
      <c r="H2285" s="19" t="str">
        <f>IFERROR(__xludf.DUMMYFUNCTION("""COMPUTED_VALUE"""),"Birgitte Jensen")</f>
        <v>Birgitte Jensen</v>
      </c>
      <c r="I2285" s="62">
        <f>IFERROR(__xludf.DUMMYFUNCTION("""COMPUTED_VALUE"""),6.1433939609E10)</f>
        <v>61433939609</v>
      </c>
      <c r="J2285" s="19" t="str">
        <f>IFERROR(__xludf.DUMMYFUNCTION("""COMPUTED_VALUE"""),"birgittenjensen@gmail.com")</f>
        <v>birgittenjensen@gmail.com</v>
      </c>
    </row>
    <row r="2286">
      <c r="A2286" s="19" t="str">
        <f>IFERROR(__xludf.DUMMYFUNCTION("""COMPUTED_VALUE"""),"Sasa Peci")</f>
        <v>Sasa Peci</v>
      </c>
      <c r="B2286" s="19" t="str">
        <f>IFERROR(__xludf.DUMMYFUNCTION("""COMPUTED_VALUE"""),"QLD")</f>
        <v>QLD</v>
      </c>
      <c r="C2286" s="5" t="str">
        <f>IFERROR(__xludf.DUMMYFUNCTION("""COMPUTED_VALUE"""),"Yarrabilba")</f>
        <v>Yarrabilba</v>
      </c>
      <c r="D2286" s="5" t="str">
        <f>IFERROR(__xludf.DUMMYFUNCTION("""COMPUTED_VALUE"""),"133 meadow road jimboomba, Yarrabilba, 4280")</f>
        <v>133 meadow road jimboomba, Yarrabilba, 4280</v>
      </c>
      <c r="E2286" s="5" t="str">
        <f>IFERROR(__xludf.DUMMYFUNCTION("""COMPUTED_VALUE"""),"19/11/2025")</f>
        <v>19/11/2025</v>
      </c>
      <c r="F2286" s="5" t="str">
        <f>IFERROR(__xludf.DUMMYFUNCTION("""COMPUTED_VALUE"""),"Featured")</f>
        <v>Featured</v>
      </c>
      <c r="G2286" s="19" t="str">
        <f>IFERROR(__xludf.DUMMYFUNCTION("""COMPUTED_VALUE"""),"Meta Commission Report")</f>
        <v>Meta Commission Report</v>
      </c>
      <c r="H2286" s="19" t="str">
        <f>IFERROR(__xludf.DUMMYFUNCTION("""COMPUTED_VALUE"""),"Michael Kerri Keeffe")</f>
        <v>Michael Kerri Keeffe</v>
      </c>
      <c r="I2286" s="62">
        <f>IFERROR(__xludf.DUMMYFUNCTION("""COMPUTED_VALUE"""),6.1435171849E10)</f>
        <v>61435171849</v>
      </c>
      <c r="J2286" s="19" t="str">
        <f>IFERROR(__xludf.DUMMYFUNCTION("""COMPUTED_VALUE"""),"michaelkeeffe52@outlook.com")</f>
        <v>michaelkeeffe52@outlook.com</v>
      </c>
    </row>
    <row r="2287">
      <c r="A2287" s="19" t="str">
        <f>IFERROR(__xludf.DUMMYFUNCTION("""COMPUTED_VALUE"""),"")</f>
        <v/>
      </c>
      <c r="B2287" s="19" t="str">
        <f>IFERROR(__xludf.DUMMYFUNCTION("""COMPUTED_VALUE"""),"")</f>
        <v/>
      </c>
      <c r="C2287" s="5" t="str">
        <f>IFERROR(__xludf.DUMMYFUNCTION("""COMPUTED_VALUE"""),"")</f>
        <v/>
      </c>
      <c r="D2287" s="5" t="str">
        <f>IFERROR(__xludf.DUMMYFUNCTION("""COMPUTED_VALUE"""),"")</f>
        <v/>
      </c>
      <c r="E2287" s="5" t="str">
        <f>IFERROR(__xludf.DUMMYFUNCTION("""COMPUTED_VALUE"""),"")</f>
        <v/>
      </c>
      <c r="F2287" s="5" t="str">
        <f>IFERROR(__xludf.DUMMYFUNCTION("""COMPUTED_VALUE"""),"")</f>
        <v/>
      </c>
      <c r="G2287" s="19" t="str">
        <f>IFERROR(__xludf.DUMMYFUNCTION("""COMPUTED_VALUE"""),"")</f>
        <v/>
      </c>
      <c r="H2287" s="19" t="str">
        <f>IFERROR(__xludf.DUMMYFUNCTION("""COMPUTED_VALUE"""),"")</f>
        <v/>
      </c>
      <c r="I2287" s="62" t="str">
        <f>IFERROR(__xludf.DUMMYFUNCTION("""COMPUTED_VALUE"""),"")</f>
        <v/>
      </c>
      <c r="J2287" s="19" t="str">
        <f>IFERROR(__xludf.DUMMYFUNCTION("""COMPUTED_VALUE"""),"")</f>
        <v/>
      </c>
    </row>
    <row r="2288">
      <c r="A2288" s="19" t="str">
        <f>IFERROR(__xludf.DUMMYFUNCTION("""COMPUTED_VALUE"""),"")</f>
        <v/>
      </c>
      <c r="B2288" s="19" t="str">
        <f>IFERROR(__xludf.DUMMYFUNCTION("""COMPUTED_VALUE"""),"")</f>
        <v/>
      </c>
      <c r="C2288" s="5" t="str">
        <f>IFERROR(__xludf.DUMMYFUNCTION("""COMPUTED_VALUE"""),"")</f>
        <v/>
      </c>
      <c r="D2288" s="5" t="str">
        <f>IFERROR(__xludf.DUMMYFUNCTION("""COMPUTED_VALUE"""),"")</f>
        <v/>
      </c>
      <c r="E2288" s="5" t="str">
        <f>IFERROR(__xludf.DUMMYFUNCTION("""COMPUTED_VALUE"""),"")</f>
        <v/>
      </c>
      <c r="F2288" s="5" t="str">
        <f>IFERROR(__xludf.DUMMYFUNCTION("""COMPUTED_VALUE"""),"")</f>
        <v/>
      </c>
      <c r="G2288" s="19" t="str">
        <f>IFERROR(__xludf.DUMMYFUNCTION("""COMPUTED_VALUE"""),"")</f>
        <v/>
      </c>
      <c r="H2288" s="19" t="str">
        <f>IFERROR(__xludf.DUMMYFUNCTION("""COMPUTED_VALUE"""),"")</f>
        <v/>
      </c>
      <c r="I2288" s="62" t="str">
        <f>IFERROR(__xludf.DUMMYFUNCTION("""COMPUTED_VALUE"""),"")</f>
        <v/>
      </c>
      <c r="J2288" s="19" t="str">
        <f>IFERROR(__xludf.DUMMYFUNCTION("""COMPUTED_VALUE"""),"")</f>
        <v/>
      </c>
    </row>
    <row r="2289">
      <c r="A2289" s="19" t="str">
        <f>IFERROR(__xludf.DUMMYFUNCTION("""COMPUTED_VALUE"""),"Sean Mawberino")</f>
        <v>Sean Mawberino</v>
      </c>
      <c r="B2289" s="19" t="str">
        <f>IFERROR(__xludf.DUMMYFUNCTION("""COMPUTED_VALUE"""),"QLD")</f>
        <v>QLD</v>
      </c>
      <c r="C2289" s="5" t="str">
        <f>IFERROR(__xludf.DUMMYFUNCTION("""COMPUTED_VALUE"""),"Mount Louisa")</f>
        <v>Mount Louisa</v>
      </c>
      <c r="D2289" s="5" t="str">
        <f>IFERROR(__xludf.DUMMYFUNCTION("""COMPUTED_VALUE"""),"2 Franklin Drive, Mount Louisa, QLD, 4814, Australia")</f>
        <v>2 Franklin Drive, Mount Louisa, QLD, 4814, Australia</v>
      </c>
      <c r="E2289" s="63" t="str">
        <f>IFERROR(__xludf.DUMMYFUNCTION("""COMPUTED_VALUE"""),"23/07/2025")</f>
        <v>23/07/2025</v>
      </c>
      <c r="F2289" s="5" t="str">
        <f>IFERROR(__xludf.DUMMYFUNCTION("""COMPUTED_VALUE"""),"Featured")</f>
        <v>Featured</v>
      </c>
      <c r="G2289" s="19"/>
      <c r="H2289" s="19"/>
      <c r="I2289" s="62"/>
      <c r="J2289" s="19"/>
    </row>
    <row r="2290">
      <c r="A2290" s="19" t="str">
        <f>IFERROR(__xludf.DUMMYFUNCTION("""COMPUTED_VALUE"""),"Sean Mawberino")</f>
        <v>Sean Mawberino</v>
      </c>
      <c r="B2290" s="19" t="str">
        <f>IFERROR(__xludf.DUMMYFUNCTION("""COMPUTED_VALUE"""),"QLD")</f>
        <v>QLD</v>
      </c>
      <c r="C2290" s="5">
        <f>IFERROR(__xludf.DUMMYFUNCTION("""COMPUTED_VALUE"""),4812.0)</f>
        <v>4812</v>
      </c>
      <c r="D2290" s="5"/>
      <c r="E2290" s="25">
        <f>IFERROR(__xludf.DUMMYFUNCTION("""COMPUTED_VALUE"""),45876.0)</f>
        <v>45876</v>
      </c>
      <c r="F2290" s="5" t="str">
        <f>IFERROR(__xludf.DUMMYFUNCTION("""COMPUTED_VALUE"""),"Featured")</f>
        <v>Featured</v>
      </c>
      <c r="G2290" s="19" t="str">
        <f>IFERROR(__xludf.DUMMYFUNCTION("""COMPUTED_VALUE"""),"Instant Forms")</f>
        <v>Instant Forms</v>
      </c>
      <c r="H2290" s="19"/>
      <c r="I2290" s="62"/>
      <c r="J2290" s="19"/>
    </row>
    <row r="2291">
      <c r="A2291" s="19" t="str">
        <f>IFERROR(__xludf.DUMMYFUNCTION("""COMPUTED_VALUE"""),"Sean Mawberino")</f>
        <v>Sean Mawberino</v>
      </c>
      <c r="B2291" s="19" t="str">
        <f>IFERROR(__xludf.DUMMYFUNCTION("""COMPUTED_VALUE"""),"QLD")</f>
        <v>QLD</v>
      </c>
      <c r="C2291" s="5">
        <f>IFERROR(__xludf.DUMMYFUNCTION("""COMPUTED_VALUE"""),4811.0)</f>
        <v>4811</v>
      </c>
      <c r="D2291" s="5"/>
      <c r="E2291" s="25">
        <f>IFERROR(__xludf.DUMMYFUNCTION("""COMPUTED_VALUE"""),45876.0)</f>
        <v>45876</v>
      </c>
      <c r="F2291" s="5" t="str">
        <f>IFERROR(__xludf.DUMMYFUNCTION("""COMPUTED_VALUE"""),"Featured")</f>
        <v>Featured</v>
      </c>
      <c r="G2291" s="19" t="str">
        <f>IFERROR(__xludf.DUMMYFUNCTION("""COMPUTED_VALUE"""),"Instant Forms")</f>
        <v>Instant Forms</v>
      </c>
      <c r="H2291" s="19"/>
      <c r="I2291" s="62"/>
      <c r="J2291" s="19"/>
    </row>
    <row r="2292">
      <c r="A2292" s="19" t="str">
        <f>IFERROR(__xludf.DUMMYFUNCTION("""COMPUTED_VALUE"""),"Sean Mawberino")</f>
        <v>Sean Mawberino</v>
      </c>
      <c r="B2292" s="19" t="str">
        <f>IFERROR(__xludf.DUMMYFUNCTION("""COMPUTED_VALUE"""),"QLD")</f>
        <v>QLD</v>
      </c>
      <c r="C2292" s="5" t="str">
        <f>IFERROR(__xludf.DUMMYFUNCTION("""COMPUTED_VALUE"""),"Rasmussen")</f>
        <v>Rasmussen</v>
      </c>
      <c r="D2292" s="5"/>
      <c r="E2292" s="25">
        <f>IFERROR(__xludf.DUMMYFUNCTION("""COMPUTED_VALUE"""),45876.0)</f>
        <v>45876</v>
      </c>
      <c r="F2292" s="5" t="str">
        <f>IFERROR(__xludf.DUMMYFUNCTION("""COMPUTED_VALUE"""),"Free")</f>
        <v>Free</v>
      </c>
      <c r="G2292" s="19" t="str">
        <f>IFERROR(__xludf.DUMMYFUNCTION("""COMPUTED_VALUE"""),"Instant Forms")</f>
        <v>Instant Forms</v>
      </c>
      <c r="H2292" s="19"/>
      <c r="I2292" s="62"/>
      <c r="J2292" s="19"/>
    </row>
    <row r="2293">
      <c r="A2293" s="19" t="str">
        <f>IFERROR(__xludf.DUMMYFUNCTION("""COMPUTED_VALUE"""),"Sean Mawberino")</f>
        <v>Sean Mawberino</v>
      </c>
      <c r="B2293" s="19" t="str">
        <f>IFERROR(__xludf.DUMMYFUNCTION("""COMPUTED_VALUE"""),"QLD")</f>
        <v>QLD</v>
      </c>
      <c r="C2293" s="5">
        <f>IFERROR(__xludf.DUMMYFUNCTION("""COMPUTED_VALUE"""),4818.0)</f>
        <v>4818</v>
      </c>
      <c r="D2293" s="5"/>
      <c r="E2293" s="25">
        <f>IFERROR(__xludf.DUMMYFUNCTION("""COMPUTED_VALUE"""),45880.0)</f>
        <v>45880</v>
      </c>
      <c r="F2293" s="5" t="str">
        <f>IFERROR(__xludf.DUMMYFUNCTION("""COMPUTED_VALUE"""),"Featured")</f>
        <v>Featured</v>
      </c>
      <c r="G2293" s="19" t="str">
        <f>IFERROR(__xludf.DUMMYFUNCTION("""COMPUTED_VALUE"""),"Instant Forms")</f>
        <v>Instant Forms</v>
      </c>
      <c r="H2293" s="19"/>
      <c r="I2293" s="62"/>
      <c r="J2293" s="19"/>
    </row>
    <row r="2294">
      <c r="A2294" s="19" t="str">
        <f>IFERROR(__xludf.DUMMYFUNCTION("""COMPUTED_VALUE"""),"Sean Mawberino")</f>
        <v>Sean Mawberino</v>
      </c>
      <c r="B2294" s="19" t="str">
        <f>IFERROR(__xludf.DUMMYFUNCTION("""COMPUTED_VALUE"""),"QLD")</f>
        <v>QLD</v>
      </c>
      <c r="C2294" s="5" t="str">
        <f>IFERROR(__xludf.DUMMYFUNCTION("""COMPUTED_VALUE"""),"Pimlico")</f>
        <v>Pimlico</v>
      </c>
      <c r="D2294" s="5"/>
      <c r="E2294" s="25">
        <f>IFERROR(__xludf.DUMMYFUNCTION("""COMPUTED_VALUE"""),45889.0)</f>
        <v>45889</v>
      </c>
      <c r="F2294" s="5" t="str">
        <f>IFERROR(__xludf.DUMMYFUNCTION("""COMPUTED_VALUE"""),"Free")</f>
        <v>Free</v>
      </c>
      <c r="G2294" s="19" t="str">
        <f>IFERROR(__xludf.DUMMYFUNCTION("""COMPUTED_VALUE"""),"Instant Forms")</f>
        <v>Instant Forms</v>
      </c>
      <c r="H2294" s="19"/>
      <c r="I2294" s="62"/>
      <c r="J2294" s="19"/>
    </row>
    <row r="2295">
      <c r="A2295" s="19" t="str">
        <f>IFERROR(__xludf.DUMMYFUNCTION("""COMPUTED_VALUE"""),"Sean Mawberino")</f>
        <v>Sean Mawberino</v>
      </c>
      <c r="B2295" s="19" t="str">
        <f>IFERROR(__xludf.DUMMYFUNCTION("""COMPUTED_VALUE"""),"QLD")</f>
        <v>QLD</v>
      </c>
      <c r="C2295" s="5" t="str">
        <f>IFERROR(__xludf.DUMMYFUNCTION("""COMPUTED_VALUE"""),"Kelso")</f>
        <v>Kelso</v>
      </c>
      <c r="D2295" s="5" t="str">
        <f>IFERROR(__xludf.DUMMYFUNCTION("""COMPUTED_VALUE"""),"12 Cameron Court Kelso QLD 4815")</f>
        <v>12 Cameron Court Kelso QLD 4815</v>
      </c>
      <c r="E2295" s="25">
        <f>IFERROR(__xludf.DUMMYFUNCTION("""COMPUTED_VALUE"""),45889.0)</f>
        <v>45889</v>
      </c>
      <c r="F2295" s="5" t="str">
        <f>IFERROR(__xludf.DUMMYFUNCTION("""COMPUTED_VALUE"""),"Featured")</f>
        <v>Featured</v>
      </c>
      <c r="G2295" s="19" t="str">
        <f>IFERROR(__xludf.DUMMYFUNCTION("""COMPUTED_VALUE"""),"Instant Forms")</f>
        <v>Instant Forms</v>
      </c>
      <c r="H2295" s="19"/>
      <c r="I2295" s="62"/>
      <c r="J2295" s="19"/>
    </row>
    <row r="2296">
      <c r="A2296" s="19" t="str">
        <f>IFERROR(__xludf.DUMMYFUNCTION("""COMPUTED_VALUE"""),"Sean Mawberino")</f>
        <v>Sean Mawberino</v>
      </c>
      <c r="B2296" s="19" t="str">
        <f>IFERROR(__xludf.DUMMYFUNCTION("""COMPUTED_VALUE"""),"QLD")</f>
        <v>QLD</v>
      </c>
      <c r="C2296" s="5" t="str">
        <f>IFERROR(__xludf.DUMMYFUNCTION("""COMPUTED_VALUE"""),"Mount Louisa")</f>
        <v>Mount Louisa</v>
      </c>
      <c r="D2296" s="5" t="str">
        <f>IFERROR(__xludf.DUMMYFUNCTION("""COMPUTED_VALUE"""),"39 Hasty Street Mount Louisa QLD 4814")</f>
        <v>39 Hasty Street Mount Louisa QLD 4814</v>
      </c>
      <c r="E2296" s="25">
        <f>IFERROR(__xludf.DUMMYFUNCTION("""COMPUTED_VALUE"""),45890.0)</f>
        <v>45890</v>
      </c>
      <c r="F2296" s="5" t="str">
        <f>IFERROR(__xludf.DUMMYFUNCTION("""COMPUTED_VALUE"""),"Featured")</f>
        <v>Featured</v>
      </c>
      <c r="G2296" s="19" t="str">
        <f>IFERROR(__xludf.DUMMYFUNCTION("""COMPUTED_VALUE"""),"Instant Forms")</f>
        <v>Instant Forms</v>
      </c>
      <c r="H2296" s="19"/>
      <c r="I2296" s="62"/>
      <c r="J2296" s="19"/>
    </row>
    <row r="2297">
      <c r="A2297" s="19" t="str">
        <f>IFERROR(__xludf.DUMMYFUNCTION("""COMPUTED_VALUE"""),"Sean Mawberino")</f>
        <v>Sean Mawberino</v>
      </c>
      <c r="B2297" s="19" t="str">
        <f>IFERROR(__xludf.DUMMYFUNCTION("""COMPUTED_VALUE"""),"QLD")</f>
        <v>QLD</v>
      </c>
      <c r="C2297" s="5" t="str">
        <f>IFERROR(__xludf.DUMMYFUNCTION("""COMPUTED_VALUE"""),"Mundingburra")</f>
        <v>Mundingburra</v>
      </c>
      <c r="D2297" s="5" t="str">
        <f>IFERROR(__xludf.DUMMYFUNCTION("""COMPUTED_VALUE"""),"3 Tertius Street Mundingburra QLD 4812")</f>
        <v>3 Tertius Street Mundingburra QLD 4812</v>
      </c>
      <c r="E2297" s="25">
        <f>IFERROR(__xludf.DUMMYFUNCTION("""COMPUTED_VALUE"""),45891.0)</f>
        <v>45891</v>
      </c>
      <c r="F2297" s="5" t="str">
        <f>IFERROR(__xludf.DUMMYFUNCTION("""COMPUTED_VALUE"""),"Featured")</f>
        <v>Featured</v>
      </c>
      <c r="G2297" s="19" t="str">
        <f>IFERROR(__xludf.DUMMYFUNCTION("""COMPUTED_VALUE"""),"Instant Forms")</f>
        <v>Instant Forms</v>
      </c>
      <c r="H2297" s="19"/>
      <c r="I2297" s="62"/>
      <c r="J2297" s="19"/>
    </row>
    <row r="2298">
      <c r="A2298" s="19" t="str">
        <f>IFERROR(__xludf.DUMMYFUNCTION("""COMPUTED_VALUE"""),"Sean Mawberino")</f>
        <v>Sean Mawberino</v>
      </c>
      <c r="B2298" s="19" t="str">
        <f>IFERROR(__xludf.DUMMYFUNCTION("""COMPUTED_VALUE"""),"QLD")</f>
        <v>QLD</v>
      </c>
      <c r="C2298" s="5" t="str">
        <f>IFERROR(__xludf.DUMMYFUNCTION("""COMPUTED_VALUE"""),"Douglas")</f>
        <v>Douglas</v>
      </c>
      <c r="D2298" s="5"/>
      <c r="E2298" s="25">
        <f>IFERROR(__xludf.DUMMYFUNCTION("""COMPUTED_VALUE"""),45893.0)</f>
        <v>45893</v>
      </c>
      <c r="F2298" s="5" t="str">
        <f>IFERROR(__xludf.DUMMYFUNCTION("""COMPUTED_VALUE"""),"Featured")</f>
        <v>Featured</v>
      </c>
      <c r="G2298" s="19" t="str">
        <f>IFERROR(__xludf.DUMMYFUNCTION("""COMPUTED_VALUE"""),"Instant Forms")</f>
        <v>Instant Forms</v>
      </c>
      <c r="H2298" s="19"/>
      <c r="I2298" s="62"/>
      <c r="J2298" s="19"/>
    </row>
    <row r="2299">
      <c r="A2299" s="19" t="str">
        <f>IFERROR(__xludf.DUMMYFUNCTION("""COMPUTED_VALUE"""),"Sean Mawberino")</f>
        <v>Sean Mawberino</v>
      </c>
      <c r="B2299" s="19" t="str">
        <f>IFERROR(__xludf.DUMMYFUNCTION("""COMPUTED_VALUE"""),"QLD")</f>
        <v>QLD</v>
      </c>
      <c r="C2299" s="5" t="str">
        <f>IFERROR(__xludf.DUMMYFUNCTION("""COMPUTED_VALUE"""),"North Ward")</f>
        <v>North Ward</v>
      </c>
      <c r="D2299" s="5" t="str">
        <f>IFERROR(__xludf.DUMMYFUNCTION("""COMPUTED_VALUE"""),"337 Stanley Street North Ward QLD 4810")</f>
        <v>337 Stanley Street North Ward QLD 4810</v>
      </c>
      <c r="E2299" s="25">
        <f>IFERROR(__xludf.DUMMYFUNCTION("""COMPUTED_VALUE"""),45893.0)</f>
        <v>45893</v>
      </c>
      <c r="F2299" s="5" t="str">
        <f>IFERROR(__xludf.DUMMYFUNCTION("""COMPUTED_VALUE"""),"Featured")</f>
        <v>Featured</v>
      </c>
      <c r="G2299" s="19" t="str">
        <f>IFERROR(__xludf.DUMMYFUNCTION("""COMPUTED_VALUE"""),"Instant Forms")</f>
        <v>Instant Forms</v>
      </c>
      <c r="H2299" s="19"/>
      <c r="I2299" s="62"/>
      <c r="J2299" s="19"/>
    </row>
    <row r="2300">
      <c r="A2300" s="19" t="str">
        <f>IFERROR(__xludf.DUMMYFUNCTION("""COMPUTED_VALUE"""),"Sean Mawberino")</f>
        <v>Sean Mawberino</v>
      </c>
      <c r="B2300" s="19" t="str">
        <f>IFERROR(__xludf.DUMMYFUNCTION("""COMPUTED_VALUE"""),"QLD")</f>
        <v>QLD</v>
      </c>
      <c r="C2300" s="5" t="str">
        <f>IFERROR(__xludf.DUMMYFUNCTION("""COMPUTED_VALUE"""),"Wulguru")</f>
        <v>Wulguru</v>
      </c>
      <c r="D2300" s="5" t="str">
        <f>IFERROR(__xludf.DUMMYFUNCTION("""COMPUTED_VALUE"""),"7 Newton Street Wulguru QLD 4811")</f>
        <v>7 Newton Street Wulguru QLD 4811</v>
      </c>
      <c r="E2300" s="25">
        <f>IFERROR(__xludf.DUMMYFUNCTION("""COMPUTED_VALUE"""),45895.0)</f>
        <v>45895</v>
      </c>
      <c r="F2300" s="5" t="str">
        <f>IFERROR(__xludf.DUMMYFUNCTION("""COMPUTED_VALUE"""),"Featured")</f>
        <v>Featured</v>
      </c>
      <c r="G2300" s="19" t="str">
        <f>IFERROR(__xludf.DUMMYFUNCTION("""COMPUTED_VALUE"""),"Instant Forms")</f>
        <v>Instant Forms</v>
      </c>
      <c r="H2300" s="19"/>
      <c r="I2300" s="62"/>
      <c r="J2300" s="19"/>
    </row>
    <row r="2301">
      <c r="A2301" s="19" t="str">
        <f>IFERROR(__xludf.DUMMYFUNCTION("""COMPUTED_VALUE"""),"Sean Mawberino")</f>
        <v>Sean Mawberino</v>
      </c>
      <c r="B2301" s="19" t="str">
        <f>IFERROR(__xludf.DUMMYFUNCTION("""COMPUTED_VALUE"""),"QLD")</f>
        <v>QLD</v>
      </c>
      <c r="C2301" s="5" t="str">
        <f>IFERROR(__xludf.DUMMYFUNCTION("""COMPUTED_VALUE"""),"Cranbrook")</f>
        <v>Cranbrook</v>
      </c>
      <c r="D2301" s="5" t="str">
        <f>IFERROR(__xludf.DUMMYFUNCTION("""COMPUTED_VALUE"""),"4 Brampton Avenue Cranbrook QLD 4814")</f>
        <v>4 Brampton Avenue Cranbrook QLD 4814</v>
      </c>
      <c r="E2301" s="25">
        <f>IFERROR(__xludf.DUMMYFUNCTION("""COMPUTED_VALUE"""),45896.0)</f>
        <v>45896</v>
      </c>
      <c r="F2301" s="5" t="str">
        <f>IFERROR(__xludf.DUMMYFUNCTION("""COMPUTED_VALUE"""),"Featured")</f>
        <v>Featured</v>
      </c>
      <c r="G2301" s="19" t="str">
        <f>IFERROR(__xludf.DUMMYFUNCTION("""COMPUTED_VALUE"""),"Instant Forms")</f>
        <v>Instant Forms</v>
      </c>
      <c r="H2301" s="19"/>
      <c r="I2301" s="62"/>
      <c r="J2301" s="19"/>
    </row>
    <row r="2302">
      <c r="A2302" s="19" t="str">
        <f>IFERROR(__xludf.DUMMYFUNCTION("""COMPUTED_VALUE"""),"Sean Mawberino")</f>
        <v>Sean Mawberino</v>
      </c>
      <c r="B2302" s="19" t="str">
        <f>IFERROR(__xludf.DUMMYFUNCTION("""COMPUTED_VALUE"""),"QLD")</f>
        <v>QLD</v>
      </c>
      <c r="C2302" s="5" t="str">
        <f>IFERROR(__xludf.DUMMYFUNCTION("""COMPUTED_VALUE"""),"Cranbrook")</f>
        <v>Cranbrook</v>
      </c>
      <c r="D2302" s="5" t="str">
        <f>IFERROR(__xludf.DUMMYFUNCTION("""COMPUTED_VALUE"""),"8 Wandella Crescent Cranbrook QLD 4814")</f>
        <v>8 Wandella Crescent Cranbrook QLD 4814</v>
      </c>
      <c r="E2302" s="25">
        <f>IFERROR(__xludf.DUMMYFUNCTION("""COMPUTED_VALUE"""),45896.0)</f>
        <v>45896</v>
      </c>
      <c r="F2302" s="5" t="str">
        <f>IFERROR(__xludf.DUMMYFUNCTION("""COMPUTED_VALUE"""),"Featured")</f>
        <v>Featured</v>
      </c>
      <c r="G2302" s="19" t="str">
        <f>IFERROR(__xludf.DUMMYFUNCTION("""COMPUTED_VALUE"""),"Instant Forms")</f>
        <v>Instant Forms</v>
      </c>
      <c r="H2302" s="19"/>
      <c r="I2302" s="62"/>
      <c r="J2302" s="19"/>
    </row>
    <row r="2303">
      <c r="A2303" s="19" t="str">
        <f>IFERROR(__xludf.DUMMYFUNCTION("""COMPUTED_VALUE"""),"Sean Mawberino")</f>
        <v>Sean Mawberino</v>
      </c>
      <c r="B2303" s="19" t="str">
        <f>IFERROR(__xludf.DUMMYFUNCTION("""COMPUTED_VALUE"""),"QLD")</f>
        <v>QLD</v>
      </c>
      <c r="C2303" s="5" t="str">
        <f>IFERROR(__xludf.DUMMYFUNCTION("""COMPUTED_VALUE"""),"Oonoonba")</f>
        <v>Oonoonba</v>
      </c>
      <c r="D2303" s="5" t="str">
        <f>IFERROR(__xludf.DUMMYFUNCTION("""COMPUTED_VALUE"""),"24 Keenan Street Oonoonba QLD 4811")</f>
        <v>24 Keenan Street Oonoonba QLD 4811</v>
      </c>
      <c r="E2303" s="25">
        <f>IFERROR(__xludf.DUMMYFUNCTION("""COMPUTED_VALUE"""),45897.0)</f>
        <v>45897</v>
      </c>
      <c r="F2303" s="5" t="str">
        <f>IFERROR(__xludf.DUMMYFUNCTION("""COMPUTED_VALUE"""),"Featured")</f>
        <v>Featured</v>
      </c>
      <c r="G2303" s="19" t="str">
        <f>IFERROR(__xludf.DUMMYFUNCTION("""COMPUTED_VALUE"""),"Instant Forms")</f>
        <v>Instant Forms</v>
      </c>
      <c r="H2303" s="19"/>
      <c r="I2303" s="62"/>
      <c r="J2303" s="19"/>
    </row>
    <row r="2304">
      <c r="A2304" s="19" t="str">
        <f>IFERROR(__xludf.DUMMYFUNCTION("""COMPUTED_VALUE"""),"Sean Mawberino")</f>
        <v>Sean Mawberino</v>
      </c>
      <c r="B2304" s="19" t="str">
        <f>IFERROR(__xludf.DUMMYFUNCTION("""COMPUTED_VALUE"""),"QLD")</f>
        <v>QLD</v>
      </c>
      <c r="C2304" s="5" t="str">
        <f>IFERROR(__xludf.DUMMYFUNCTION("""COMPUTED_VALUE"""),"bluewater")</f>
        <v>bluewater</v>
      </c>
      <c r="D2304" s="5"/>
      <c r="E2304" s="25">
        <f>IFERROR(__xludf.DUMMYFUNCTION("""COMPUTED_VALUE"""),45897.0)</f>
        <v>45897</v>
      </c>
      <c r="F2304" s="5" t="str">
        <f>IFERROR(__xludf.DUMMYFUNCTION("""COMPUTED_VALUE"""),"Featured")</f>
        <v>Featured</v>
      </c>
      <c r="G2304" s="19" t="str">
        <f>IFERROR(__xludf.DUMMYFUNCTION("""COMPUTED_VALUE"""),"Instant Forms")</f>
        <v>Instant Forms</v>
      </c>
      <c r="H2304" s="19"/>
      <c r="I2304" s="62"/>
      <c r="J2304" s="19"/>
    </row>
    <row r="2305">
      <c r="A2305" s="19" t="str">
        <f>IFERROR(__xludf.DUMMYFUNCTION("""COMPUTED_VALUE"""),"Sean Mawberino")</f>
        <v>Sean Mawberino</v>
      </c>
      <c r="B2305" s="19" t="str">
        <f>IFERROR(__xludf.DUMMYFUNCTION("""COMPUTED_VALUE"""),"QLD")</f>
        <v>QLD</v>
      </c>
      <c r="C2305" s="5" t="str">
        <f>IFERROR(__xludf.DUMMYFUNCTION("""COMPUTED_VALUE"""),"Kirwan")</f>
        <v>Kirwan</v>
      </c>
      <c r="D2305" s="5" t="str">
        <f>IFERROR(__xludf.DUMMYFUNCTION("""COMPUTED_VALUE"""),"30 Golf Links Drive Kirwan QLD 4817")</f>
        <v>30 Golf Links Drive Kirwan QLD 4817</v>
      </c>
      <c r="E2305" s="25">
        <f>IFERROR(__xludf.DUMMYFUNCTION("""COMPUTED_VALUE"""),45898.0)</f>
        <v>45898</v>
      </c>
      <c r="F2305" s="5" t="str">
        <f>IFERROR(__xludf.DUMMYFUNCTION("""COMPUTED_VALUE"""),"Featured")</f>
        <v>Featured</v>
      </c>
      <c r="G2305" s="19" t="str">
        <f>IFERROR(__xludf.DUMMYFUNCTION("""COMPUTED_VALUE"""),"Instant Forms")</f>
        <v>Instant Forms</v>
      </c>
      <c r="H2305" s="19"/>
      <c r="I2305" s="62"/>
      <c r="J2305" s="19"/>
    </row>
    <row r="2306">
      <c r="A2306" s="19" t="str">
        <f>IFERROR(__xludf.DUMMYFUNCTION("""COMPUTED_VALUE"""),"Sean Mawberino")</f>
        <v>Sean Mawberino</v>
      </c>
      <c r="B2306" s="19" t="str">
        <f>IFERROR(__xludf.DUMMYFUNCTION("""COMPUTED_VALUE"""),"QLD")</f>
        <v>QLD</v>
      </c>
      <c r="C2306" s="5">
        <f>IFERROR(__xludf.DUMMYFUNCTION("""COMPUTED_VALUE"""),4817.0)</f>
        <v>4817</v>
      </c>
      <c r="D2306" s="5"/>
      <c r="E2306" s="25">
        <f>IFERROR(__xludf.DUMMYFUNCTION("""COMPUTED_VALUE"""),45899.0)</f>
        <v>45899</v>
      </c>
      <c r="F2306" s="5" t="str">
        <f>IFERROR(__xludf.DUMMYFUNCTION("""COMPUTED_VALUE"""),"Free")</f>
        <v>Free</v>
      </c>
      <c r="G2306" s="19" t="str">
        <f>IFERROR(__xludf.DUMMYFUNCTION("""COMPUTED_VALUE"""),"Instant Forms")</f>
        <v>Instant Forms</v>
      </c>
      <c r="H2306" s="19"/>
      <c r="I2306" s="62"/>
      <c r="J2306" s="19"/>
    </row>
    <row r="2307">
      <c r="A2307" s="19" t="str">
        <f>IFERROR(__xludf.DUMMYFUNCTION("""COMPUTED_VALUE"""),"Sean Mawberino")</f>
        <v>Sean Mawberino</v>
      </c>
      <c r="B2307" s="19" t="str">
        <f>IFERROR(__xludf.DUMMYFUNCTION("""COMPUTED_VALUE"""),"QLD")</f>
        <v>QLD</v>
      </c>
      <c r="C2307" s="5" t="str">
        <f>IFERROR(__xludf.DUMMYFUNCTION("""COMPUTED_VALUE"""),"Bushland Beach")</f>
        <v>Bushland Beach</v>
      </c>
      <c r="D2307" s="5" t="str">
        <f>IFERROR(__xludf.DUMMYFUNCTION("""COMPUTED_VALUE"""),"23 Dugong Court Bushland Beach QLD 4818")</f>
        <v>23 Dugong Court Bushland Beach QLD 4818</v>
      </c>
      <c r="E2307" s="25">
        <f>IFERROR(__xludf.DUMMYFUNCTION("""COMPUTED_VALUE"""),45900.0)</f>
        <v>45900</v>
      </c>
      <c r="F2307" s="5" t="str">
        <f>IFERROR(__xludf.DUMMYFUNCTION("""COMPUTED_VALUE"""),"Featured")</f>
        <v>Featured</v>
      </c>
      <c r="G2307" s="19" t="str">
        <f>IFERROR(__xludf.DUMMYFUNCTION("""COMPUTED_VALUE"""),"Instant Forms")</f>
        <v>Instant Forms</v>
      </c>
      <c r="H2307" s="19"/>
      <c r="I2307" s="62"/>
      <c r="J2307" s="19"/>
    </row>
    <row r="2308">
      <c r="A2308" s="19" t="str">
        <f>IFERROR(__xludf.DUMMYFUNCTION("""COMPUTED_VALUE"""),"Sean Mawberino")</f>
        <v>Sean Mawberino</v>
      </c>
      <c r="B2308" s="19" t="str">
        <f>IFERROR(__xludf.DUMMYFUNCTION("""COMPUTED_VALUE"""),"QLD")</f>
        <v>QLD</v>
      </c>
      <c r="C2308" s="5" t="str">
        <f>IFERROR(__xludf.DUMMYFUNCTION("""COMPUTED_VALUE"""),"Telina")</f>
        <v>Telina</v>
      </c>
      <c r="D2308" s="5" t="str">
        <f>IFERROR(__xludf.DUMMYFUNCTION("""COMPUTED_VALUE"""),"109 Dixon Drive Telina QLD 4680")</f>
        <v>109 Dixon Drive Telina QLD 4680</v>
      </c>
      <c r="E2308" s="25">
        <f>IFERROR(__xludf.DUMMYFUNCTION("""COMPUTED_VALUE"""),45904.0)</f>
        <v>45904</v>
      </c>
      <c r="F2308" s="5" t="str">
        <f>IFERROR(__xludf.DUMMYFUNCTION("""COMPUTED_VALUE"""),"Featured")</f>
        <v>Featured</v>
      </c>
      <c r="G2308" s="19" t="str">
        <f>IFERROR(__xludf.DUMMYFUNCTION("""COMPUTED_VALUE"""),"Instant Forms")</f>
        <v>Instant Forms</v>
      </c>
      <c r="H2308" s="19"/>
      <c r="I2308" s="62"/>
      <c r="J2308" s="19"/>
    </row>
    <row r="2309">
      <c r="A2309" s="19" t="str">
        <f>IFERROR(__xludf.DUMMYFUNCTION("""COMPUTED_VALUE"""),"Sean Mawberino")</f>
        <v>Sean Mawberino</v>
      </c>
      <c r="B2309" s="19" t="str">
        <f>IFERROR(__xludf.DUMMYFUNCTION("""COMPUTED_VALUE"""),"QLD")</f>
        <v>QLD</v>
      </c>
      <c r="C2309" s="5" t="str">
        <f>IFERROR(__xludf.DUMMYFUNCTION("""COMPUTED_VALUE"""),"Alice river")</f>
        <v>Alice river</v>
      </c>
      <c r="D2309" s="5" t="str">
        <f>IFERROR(__xludf.DUMMYFUNCTION("""COMPUTED_VALUE"""),"6 Romsey Court Alice River QLD 4817")</f>
        <v>6 Romsey Court Alice River QLD 4817</v>
      </c>
      <c r="E2309" s="25">
        <f>IFERROR(__xludf.DUMMYFUNCTION("""COMPUTED_VALUE"""),45910.0)</f>
        <v>45910</v>
      </c>
      <c r="F2309" s="5">
        <f>IFERROR(__xludf.DUMMYFUNCTION("""COMPUTED_VALUE"""),8.0)</f>
        <v>8</v>
      </c>
      <c r="G2309" s="19" t="str">
        <f>IFERROR(__xludf.DUMMYFUNCTION("""COMPUTED_VALUE"""),"Instant Forms")</f>
        <v>Instant Forms</v>
      </c>
      <c r="H2309" s="19" t="str">
        <f>IFERROR(__xludf.DUMMYFUNCTION("""COMPUTED_VALUE"""),"Ross Christensen")</f>
        <v>Ross Christensen</v>
      </c>
      <c r="I2309" s="62"/>
      <c r="J2309" s="19"/>
    </row>
    <row r="2310">
      <c r="A2310" s="19" t="str">
        <f>IFERROR(__xludf.DUMMYFUNCTION("""COMPUTED_VALUE"""),"Sean Mawberino")</f>
        <v>Sean Mawberino</v>
      </c>
      <c r="B2310" s="19" t="str">
        <f>IFERROR(__xludf.DUMMYFUNCTION("""COMPUTED_VALUE"""),"QLD")</f>
        <v>QLD</v>
      </c>
      <c r="C2310" s="5" t="str">
        <f>IFERROR(__xludf.DUMMYFUNCTION("""COMPUTED_VALUE"""),"Kirwan")</f>
        <v>Kirwan</v>
      </c>
      <c r="D2310" s="5" t="str">
        <f>IFERROR(__xludf.DUMMYFUNCTION("""COMPUTED_VALUE"""),"7 Woodhen Court Bohle Plains QLD 4817")</f>
        <v>7 Woodhen Court Bohle Plains QLD 4817</v>
      </c>
      <c r="E2310" s="25">
        <f>IFERROR(__xludf.DUMMYFUNCTION("""COMPUTED_VALUE"""),45910.0)</f>
        <v>45910</v>
      </c>
      <c r="F2310" s="5">
        <f>IFERROR(__xludf.DUMMYFUNCTION("""COMPUTED_VALUE"""),8.0)</f>
        <v>8</v>
      </c>
      <c r="G2310" s="19" t="str">
        <f>IFERROR(__xludf.DUMMYFUNCTION("""COMPUTED_VALUE"""),"Instant Forms")</f>
        <v>Instant Forms</v>
      </c>
      <c r="H2310" s="19" t="str">
        <f>IFERROR(__xludf.DUMMYFUNCTION("""COMPUTED_VALUE"""),"Craig Meiklejohn")</f>
        <v>Craig Meiklejohn</v>
      </c>
      <c r="I2310" s="62"/>
      <c r="J2310" s="19"/>
    </row>
    <row r="2311">
      <c r="A2311" s="19" t="str">
        <f>IFERROR(__xludf.DUMMYFUNCTION("""COMPUTED_VALUE"""),"Sean Mawberino")</f>
        <v>Sean Mawberino</v>
      </c>
      <c r="B2311" s="19" t="str">
        <f>IFERROR(__xludf.DUMMYFUNCTION("""COMPUTED_VALUE"""),"QLD")</f>
        <v>QLD</v>
      </c>
      <c r="C2311" s="5" t="str">
        <f>IFERROR(__xludf.DUMMYFUNCTION("""COMPUTED_VALUE"""),"Bowen (Probably too far for you, but you're the closest agent I have. Feel free to pass on if you want)")</f>
        <v>Bowen (Probably too far for you, but you're the closest agent I have. Feel free to pass on if you want)</v>
      </c>
      <c r="D2311" s="5" t="str">
        <f>IFERROR(__xludf.DUMMYFUNCTION("""COMPUTED_VALUE"""),"13 Bluewater Parade Bowen QLD 4805")</f>
        <v>13 Bluewater Parade Bowen QLD 4805</v>
      </c>
      <c r="E2311" s="25">
        <f>IFERROR(__xludf.DUMMYFUNCTION("""COMPUTED_VALUE"""),45916.0)</f>
        <v>45916</v>
      </c>
      <c r="F2311" s="5">
        <f>IFERROR(__xludf.DUMMYFUNCTION("""COMPUTED_VALUE"""),8.0)</f>
        <v>8</v>
      </c>
      <c r="G2311" s="19" t="str">
        <f>IFERROR(__xludf.DUMMYFUNCTION("""COMPUTED_VALUE"""),"Instant Forms")</f>
        <v>Instant Forms</v>
      </c>
      <c r="H2311" s="19" t="str">
        <f>IFERROR(__xludf.DUMMYFUNCTION("""COMPUTED_VALUE"""),"Greg Kotvojs")</f>
        <v>Greg Kotvojs</v>
      </c>
      <c r="I2311" s="62"/>
      <c r="J2311" s="19"/>
    </row>
    <row r="2312">
      <c r="A2312" s="19" t="str">
        <f>IFERROR(__xludf.DUMMYFUNCTION("""COMPUTED_VALUE"""),"Sean Mawberino")</f>
        <v>Sean Mawberino</v>
      </c>
      <c r="B2312" s="19" t="str">
        <f>IFERROR(__xludf.DUMMYFUNCTION("""COMPUTED_VALUE"""),"QLD")</f>
        <v>QLD</v>
      </c>
      <c r="C2312" s="5" t="str">
        <f>IFERROR(__xludf.DUMMYFUNCTION("""COMPUTED_VALUE"""),"Gulliver")</f>
        <v>Gulliver</v>
      </c>
      <c r="D2312" s="5" t="str">
        <f>IFERROR(__xludf.DUMMYFUNCTION("""COMPUTED_VALUE"""),"25 McHardie Street Gulliver QLD 4812")</f>
        <v>25 McHardie Street Gulliver QLD 4812</v>
      </c>
      <c r="E2312" s="25">
        <f>IFERROR(__xludf.DUMMYFUNCTION("""COMPUTED_VALUE"""),45917.0)</f>
        <v>45917</v>
      </c>
      <c r="F2312" s="5">
        <f>IFERROR(__xludf.DUMMYFUNCTION("""COMPUTED_VALUE"""),8.0)</f>
        <v>8</v>
      </c>
      <c r="G2312" s="19" t="str">
        <f>IFERROR(__xludf.DUMMYFUNCTION("""COMPUTED_VALUE"""),"Instant Forms")</f>
        <v>Instant Forms</v>
      </c>
      <c r="H2312" s="19" t="str">
        <f>IFERROR(__xludf.DUMMYFUNCTION("""COMPUTED_VALUE"""),"Lionel Linn")</f>
        <v>Lionel Linn</v>
      </c>
      <c r="I2312" s="62"/>
      <c r="J2312" s="19"/>
    </row>
    <row r="2313">
      <c r="A2313" s="19" t="str">
        <f>IFERROR(__xludf.DUMMYFUNCTION("""COMPUTED_VALUE"""),"Sean Mawberino")</f>
        <v>Sean Mawberino</v>
      </c>
      <c r="B2313" s="19" t="str">
        <f>IFERROR(__xludf.DUMMYFUNCTION("""COMPUTED_VALUE"""),"QLD")</f>
        <v>QLD</v>
      </c>
      <c r="C2313" s="5" t="str">
        <f>IFERROR(__xludf.DUMMYFUNCTION("""COMPUTED_VALUE"""),"Annandale")</f>
        <v>Annandale</v>
      </c>
      <c r="D2313" s="5" t="str">
        <f>IFERROR(__xludf.DUMMYFUNCTION("""COMPUTED_VALUE"""),"30 Masuda St")</f>
        <v>30 Masuda St</v>
      </c>
      <c r="E2313" s="25">
        <f>IFERROR(__xludf.DUMMYFUNCTION("""COMPUTED_VALUE"""),45920.0)</f>
        <v>45920</v>
      </c>
      <c r="F2313" s="5" t="str">
        <f>IFERROR(__xludf.DUMMYFUNCTION("""COMPUTED_VALUE"""),"Featured")</f>
        <v>Featured</v>
      </c>
      <c r="G2313" s="19" t="str">
        <f>IFERROR(__xludf.DUMMYFUNCTION("""COMPUTED_VALUE"""),"Commission Comparison")</f>
        <v>Commission Comparison</v>
      </c>
      <c r="H2313" s="19"/>
      <c r="I2313" s="62"/>
      <c r="J2313" s="19"/>
    </row>
    <row r="2314">
      <c r="A2314" s="19" t="str">
        <f>IFERROR(__xludf.DUMMYFUNCTION("""COMPUTED_VALUE"""),"Sean Mawberino")</f>
        <v>Sean Mawberino</v>
      </c>
      <c r="B2314" s="19" t="str">
        <f>IFERROR(__xludf.DUMMYFUNCTION("""COMPUTED_VALUE"""),"QLD")</f>
        <v>QLD</v>
      </c>
      <c r="C2314" s="5" t="str">
        <f>IFERROR(__xludf.DUMMYFUNCTION("""COMPUTED_VALUE"""),"kelso 4815")</f>
        <v>kelso 4815</v>
      </c>
      <c r="D2314" s="5" t="str">
        <f>IFERROR(__xludf.DUMMYFUNCTION("""COMPUTED_VALUE"""),"62 hammondway")</f>
        <v>62 hammondway</v>
      </c>
      <c r="E2314" s="25">
        <f>IFERROR(__xludf.DUMMYFUNCTION("""COMPUTED_VALUE"""),45922.0)</f>
        <v>45922</v>
      </c>
      <c r="F2314" s="5" t="str">
        <f>IFERROR(__xludf.DUMMYFUNCTION("""COMPUTED_VALUE"""),"Featured")</f>
        <v>Featured</v>
      </c>
      <c r="G2314" s="19" t="str">
        <f>IFERROR(__xludf.DUMMYFUNCTION("""COMPUTED_VALUE"""),"Commission Comparison")</f>
        <v>Commission Comparison</v>
      </c>
      <c r="H2314" s="19"/>
      <c r="I2314" s="62"/>
      <c r="J2314" s="19"/>
    </row>
    <row r="2315">
      <c r="A2315" s="19" t="str">
        <f>IFERROR(__xludf.DUMMYFUNCTION("""COMPUTED_VALUE"""),"Sean Mawberino")</f>
        <v>Sean Mawberino</v>
      </c>
      <c r="B2315" s="19" t="str">
        <f>IFERROR(__xludf.DUMMYFUNCTION("""COMPUTED_VALUE"""),"QLD")</f>
        <v>QLD</v>
      </c>
      <c r="C2315" s="5" t="str">
        <f>IFERROR(__xludf.DUMMYFUNCTION("""COMPUTED_VALUE"""),"annandale Qld")</f>
        <v>annandale Qld</v>
      </c>
      <c r="D2315" s="5" t="str">
        <f>IFERROR(__xludf.DUMMYFUNCTION("""COMPUTED_VALUE"""),"12 Sinclair Street Annandale QLD 4814")</f>
        <v>12 Sinclair Street Annandale QLD 4814</v>
      </c>
      <c r="E2315" s="25">
        <f>IFERROR(__xludf.DUMMYFUNCTION("""COMPUTED_VALUE"""),45923.0)</f>
        <v>45923</v>
      </c>
      <c r="F2315" s="5">
        <f>IFERROR(__xludf.DUMMYFUNCTION("""COMPUTED_VALUE"""),8.0)</f>
        <v>8</v>
      </c>
      <c r="G2315" s="19" t="str">
        <f>IFERROR(__xludf.DUMMYFUNCTION("""COMPUTED_VALUE"""),"Instant Forms")</f>
        <v>Instant Forms</v>
      </c>
      <c r="H2315" s="19" t="str">
        <f>IFERROR(__xludf.DUMMYFUNCTION("""COMPUTED_VALUE"""),"Jennifer Skeggs")</f>
        <v>Jennifer Skeggs</v>
      </c>
      <c r="I2315" s="62"/>
      <c r="J2315" s="19"/>
    </row>
    <row r="2316">
      <c r="A2316" s="19" t="str">
        <f>IFERROR(__xludf.DUMMYFUNCTION("""COMPUTED_VALUE"""),"Sean Mawberino")</f>
        <v>Sean Mawberino</v>
      </c>
      <c r="B2316" s="19" t="str">
        <f>IFERROR(__xludf.DUMMYFUNCTION("""COMPUTED_VALUE"""),"QLD")</f>
        <v>QLD</v>
      </c>
      <c r="C2316" s="5" t="str">
        <f>IFERROR(__xludf.DUMMYFUNCTION("""COMPUTED_VALUE"""),"logan")</f>
        <v>logan</v>
      </c>
      <c r="D2316" s="5" t="str">
        <f>IFERROR(__xludf.DUMMYFUNCTION("""COMPUTED_VALUE"""),"6 Genesta Court Bushland Beach QLD 4818")</f>
        <v>6 Genesta Court Bushland Beach QLD 4818</v>
      </c>
      <c r="E2316" s="25">
        <f>IFERROR(__xludf.DUMMYFUNCTION("""COMPUTED_VALUE"""),45924.0)</f>
        <v>45924</v>
      </c>
      <c r="F2316" s="5">
        <f>IFERROR(__xludf.DUMMYFUNCTION("""COMPUTED_VALUE"""),6.0)</f>
        <v>6</v>
      </c>
      <c r="G2316" s="19" t="str">
        <f>IFERROR(__xludf.DUMMYFUNCTION("""COMPUTED_VALUE"""),"Instant Forms")</f>
        <v>Instant Forms</v>
      </c>
      <c r="H2316" s="19" t="str">
        <f>IFERROR(__xludf.DUMMYFUNCTION("""COMPUTED_VALUE"""),"Kelly Parker (Input suburb as Logan, but appears she owns property in Townsville)")</f>
        <v>Kelly Parker (Input suburb as Logan, but appears she owns property in Townsville)</v>
      </c>
      <c r="I2316" s="62"/>
      <c r="J2316" s="19"/>
    </row>
    <row r="2317">
      <c r="A2317" s="19" t="str">
        <f>IFERROR(__xludf.DUMMYFUNCTION("""COMPUTED_VALUE"""),"Sean Mawberino")</f>
        <v>Sean Mawberino</v>
      </c>
      <c r="B2317" s="19" t="str">
        <f>IFERROR(__xludf.DUMMYFUNCTION("""COMPUTED_VALUE"""),"QLD")</f>
        <v>QLD</v>
      </c>
      <c r="C2317" s="5" t="str">
        <f>IFERROR(__xludf.DUMMYFUNCTION("""COMPUTED_VALUE"""),"Annandale")</f>
        <v>Annandale</v>
      </c>
      <c r="D2317" s="5" t="str">
        <f>IFERROR(__xludf.DUMMYFUNCTION("""COMPUTED_VALUE"""),"12 Sinclair Street Annandale QLD 4814")</f>
        <v>12 Sinclair Street Annandale QLD 4814</v>
      </c>
      <c r="E2317" s="25">
        <f>IFERROR(__xludf.DUMMYFUNCTION("""COMPUTED_VALUE"""),45924.0)</f>
        <v>45924</v>
      </c>
      <c r="F2317" s="5">
        <f>IFERROR(__xludf.DUMMYFUNCTION("""COMPUTED_VALUE"""),8.0)</f>
        <v>8</v>
      </c>
      <c r="G2317" s="19" t="str">
        <f>IFERROR(__xludf.DUMMYFUNCTION("""COMPUTED_VALUE"""),"Instant Forms")</f>
        <v>Instant Forms</v>
      </c>
      <c r="H2317" s="19" t="str">
        <f>IFERROR(__xludf.DUMMYFUNCTION("""COMPUTED_VALUE"""),"jennifer Skeggs")</f>
        <v>jennifer Skeggs</v>
      </c>
      <c r="I2317" s="62"/>
      <c r="J2317" s="19"/>
    </row>
    <row r="2318">
      <c r="A2318" s="19" t="str">
        <f>IFERROR(__xludf.DUMMYFUNCTION("""COMPUTED_VALUE"""),"Sean Mawberino")</f>
        <v>Sean Mawberino</v>
      </c>
      <c r="B2318" s="19" t="str">
        <f>IFERROR(__xludf.DUMMYFUNCTION("""COMPUTED_VALUE"""),"QLD")</f>
        <v>QLD</v>
      </c>
      <c r="C2318" s="5" t="str">
        <f>IFERROR(__xludf.DUMMYFUNCTION("""COMPUTED_VALUE"""),"Douglas")</f>
        <v>Douglas</v>
      </c>
      <c r="D2318" s="5" t="str">
        <f>IFERROR(__xludf.DUMMYFUNCTION("""COMPUTED_VALUE"""),"26 Hazelwood Crescent Annandale QLD 4814 &amp; 32 Horizon Drive Douglas QLD 4814")</f>
        <v>26 Hazelwood Crescent Annandale QLD 4814 &amp; 32 Horizon Drive Douglas QLD 4814</v>
      </c>
      <c r="E2318" s="25">
        <f>IFERROR(__xludf.DUMMYFUNCTION("""COMPUTED_VALUE"""),45926.0)</f>
        <v>45926</v>
      </c>
      <c r="F2318" s="5">
        <f>IFERROR(__xludf.DUMMYFUNCTION("""COMPUTED_VALUE"""),8.0)</f>
        <v>8</v>
      </c>
      <c r="G2318" s="19" t="str">
        <f>IFERROR(__xludf.DUMMYFUNCTION("""COMPUTED_VALUE"""),"Instant Forms")</f>
        <v>Instant Forms</v>
      </c>
      <c r="H2318" s="19" t="str">
        <f>IFERROR(__xludf.DUMMYFUNCTION("""COMPUTED_VALUE"""),"Michelle Sinclair")</f>
        <v>Michelle Sinclair</v>
      </c>
      <c r="I2318" s="62"/>
      <c r="J2318" s="19"/>
    </row>
    <row r="2319">
      <c r="A2319" s="19" t="str">
        <f>IFERROR(__xludf.DUMMYFUNCTION("""COMPUTED_VALUE"""),"Sean Mawberino")</f>
        <v>Sean Mawberino</v>
      </c>
      <c r="B2319" s="19" t="str">
        <f>IFERROR(__xludf.DUMMYFUNCTION("""COMPUTED_VALUE"""),"QLD")</f>
        <v>QLD</v>
      </c>
      <c r="C2319" s="5" t="str">
        <f>IFERROR(__xludf.DUMMYFUNCTION("""COMPUTED_VALUE"""),"Rosslea")</f>
        <v>Rosslea</v>
      </c>
      <c r="D2319" s="5" t="str">
        <f>IFERROR(__xludf.DUMMYFUNCTION("""COMPUTED_VALUE"""),"1 Champion Drive Rosslea QLD 4812")</f>
        <v>1 Champion Drive Rosslea QLD 4812</v>
      </c>
      <c r="E2319" s="25">
        <f>IFERROR(__xludf.DUMMYFUNCTION("""COMPUTED_VALUE"""),45928.0)</f>
        <v>45928</v>
      </c>
      <c r="F2319" s="5">
        <f>IFERROR(__xludf.DUMMYFUNCTION("""COMPUTED_VALUE"""),8.0)</f>
        <v>8</v>
      </c>
      <c r="G2319" s="19" t="str">
        <f>IFERROR(__xludf.DUMMYFUNCTION("""COMPUTED_VALUE"""),"Instant Forms")</f>
        <v>Instant Forms</v>
      </c>
      <c r="H2319" s="19" t="str">
        <f>IFERROR(__xludf.DUMMYFUNCTION("""COMPUTED_VALUE"""),"Paul Stewart")</f>
        <v>Paul Stewart</v>
      </c>
      <c r="I2319" s="62"/>
      <c r="J2319" s="19"/>
    </row>
    <row r="2320">
      <c r="A2320" s="19" t="str">
        <f>IFERROR(__xludf.DUMMYFUNCTION("""COMPUTED_VALUE"""),"Sean Mawberino")</f>
        <v>Sean Mawberino</v>
      </c>
      <c r="B2320" s="19" t="str">
        <f>IFERROR(__xludf.DUMMYFUNCTION("""COMPUTED_VALUE"""),"QLD")</f>
        <v>QLD</v>
      </c>
      <c r="C2320" s="5" t="str">
        <f>IFERROR(__xludf.DUMMYFUNCTION("""COMPUTED_VALUE"""),"Castle Hill")</f>
        <v>Castle Hill</v>
      </c>
      <c r="D2320" s="5" t="str">
        <f>IFERROR(__xludf.DUMMYFUNCTION("""COMPUTED_VALUE"""),"10 Toorak Place CASTLE HILL QLD 4810")</f>
        <v>10 Toorak Place CASTLE HILL QLD 4810</v>
      </c>
      <c r="E2320" s="25">
        <f>IFERROR(__xludf.DUMMYFUNCTION("""COMPUTED_VALUE"""),45929.0)</f>
        <v>45929</v>
      </c>
      <c r="F2320" s="5">
        <f>IFERROR(__xludf.DUMMYFUNCTION("""COMPUTED_VALUE"""),8.0)</f>
        <v>8</v>
      </c>
      <c r="G2320" s="19" t="str">
        <f>IFERROR(__xludf.DUMMYFUNCTION("""COMPUTED_VALUE"""),"Instant Forms")</f>
        <v>Instant Forms</v>
      </c>
      <c r="H2320" s="19" t="str">
        <f>IFERROR(__xludf.DUMMYFUNCTION("""COMPUTED_VALUE"""),"Kylee Petersen")</f>
        <v>Kylee Petersen</v>
      </c>
      <c r="I2320" s="62"/>
      <c r="J2320" s="19"/>
    </row>
    <row r="2321">
      <c r="A2321" s="19" t="str">
        <f>IFERROR(__xludf.DUMMYFUNCTION("""COMPUTED_VALUE"""),"Sean Mawberino")</f>
        <v>Sean Mawberino</v>
      </c>
      <c r="B2321" s="19" t="str">
        <f>IFERROR(__xludf.DUMMYFUNCTION("""COMPUTED_VALUE"""),"QLD")</f>
        <v>QLD</v>
      </c>
      <c r="C2321" s="5" t="str">
        <f>IFERROR(__xludf.DUMMYFUNCTION("""COMPUTED_VALUE"""),"Currajong")</f>
        <v>Currajong</v>
      </c>
      <c r="D2321" s="5" t="str">
        <f>IFERROR(__xludf.DUMMYFUNCTION("""COMPUTED_VALUE"""),"43 Punari Street Currajong QLD 4812")</f>
        <v>43 Punari Street Currajong QLD 4812</v>
      </c>
      <c r="E2321" s="25">
        <f>IFERROR(__xludf.DUMMYFUNCTION("""COMPUTED_VALUE"""),45929.0)</f>
        <v>45929</v>
      </c>
      <c r="F2321" s="5">
        <f>IFERROR(__xludf.DUMMYFUNCTION("""COMPUTED_VALUE"""),8.0)</f>
        <v>8</v>
      </c>
      <c r="G2321" s="19" t="str">
        <f>IFERROR(__xludf.DUMMYFUNCTION("""COMPUTED_VALUE"""),"Instant Forms")</f>
        <v>Instant Forms</v>
      </c>
      <c r="H2321" s="19" t="str">
        <f>IFERROR(__xludf.DUMMYFUNCTION("""COMPUTED_VALUE"""),"Erwin van Mierlo")</f>
        <v>Erwin van Mierlo</v>
      </c>
      <c r="I2321" s="62"/>
      <c r="J2321" s="19"/>
    </row>
    <row r="2322">
      <c r="A2322" s="19" t="str">
        <f>IFERROR(__xludf.DUMMYFUNCTION("""COMPUTED_VALUE"""),"Sean Mawberino")</f>
        <v>Sean Mawberino</v>
      </c>
      <c r="B2322" s="19" t="str">
        <f>IFERROR(__xludf.DUMMYFUNCTION("""COMPUTED_VALUE"""),"QLD")</f>
        <v>QLD</v>
      </c>
      <c r="C2322" s="5" t="str">
        <f>IFERROR(__xludf.DUMMYFUNCTION("""COMPUTED_VALUE"""),"Oak Valley")</f>
        <v>Oak Valley</v>
      </c>
      <c r="D2322" s="5" t="str">
        <f>IFERROR(__xludf.DUMMYFUNCTION("""COMPUTED_VALUE"""),"31 Chisholm Trail Oak Valley QLD 4811")</f>
        <v>31 Chisholm Trail Oak Valley QLD 4811</v>
      </c>
      <c r="E2322" s="25">
        <f>IFERROR(__xludf.DUMMYFUNCTION("""COMPUTED_VALUE"""),45934.0)</f>
        <v>45934</v>
      </c>
      <c r="F2322" s="5">
        <f>IFERROR(__xludf.DUMMYFUNCTION("""COMPUTED_VALUE"""),8.0)</f>
        <v>8</v>
      </c>
      <c r="G2322" s="19" t="str">
        <f>IFERROR(__xludf.DUMMYFUNCTION("""COMPUTED_VALUE"""),"Instant Forms")</f>
        <v>Instant Forms</v>
      </c>
      <c r="H2322" s="19" t="str">
        <f>IFERROR(__xludf.DUMMYFUNCTION("""COMPUTED_VALUE"""),"Adele Smith")</f>
        <v>Adele Smith</v>
      </c>
      <c r="I2322" s="62"/>
      <c r="J2322" s="19"/>
    </row>
    <row r="2323">
      <c r="A2323" s="19" t="str">
        <f>IFERROR(__xludf.DUMMYFUNCTION("""COMPUTED_VALUE"""),"Sean Mawberino")</f>
        <v>Sean Mawberino</v>
      </c>
      <c r="B2323" s="19" t="str">
        <f>IFERROR(__xludf.DUMMYFUNCTION("""COMPUTED_VALUE"""),"QLD")</f>
        <v>QLD</v>
      </c>
      <c r="C2323" s="5" t="str">
        <f>IFERROR(__xludf.DUMMYFUNCTION("""COMPUTED_VALUE"""),"West End")</f>
        <v>West End</v>
      </c>
      <c r="D2323" s="5" t="str">
        <f>IFERROR(__xludf.DUMMYFUNCTION("""COMPUTED_VALUE"""),"8 Garrick Street West End QLD 4810")</f>
        <v>8 Garrick Street West End QLD 4810</v>
      </c>
      <c r="E2323" s="25">
        <f>IFERROR(__xludf.DUMMYFUNCTION("""COMPUTED_VALUE"""),45934.0)</f>
        <v>45934</v>
      </c>
      <c r="F2323" s="5">
        <f>IFERROR(__xludf.DUMMYFUNCTION("""COMPUTED_VALUE"""),8.0)</f>
        <v>8</v>
      </c>
      <c r="G2323" s="19" t="str">
        <f>IFERROR(__xludf.DUMMYFUNCTION("""COMPUTED_VALUE"""),"Instant Forms")</f>
        <v>Instant Forms</v>
      </c>
      <c r="H2323" s="19" t="str">
        <f>IFERROR(__xludf.DUMMYFUNCTION("""COMPUTED_VALUE"""),"Lothar Christiani")</f>
        <v>Lothar Christiani</v>
      </c>
      <c r="I2323" s="62"/>
      <c r="J2323" s="19"/>
    </row>
    <row r="2324">
      <c r="A2324" s="19" t="str">
        <f>IFERROR(__xludf.DUMMYFUNCTION("""COMPUTED_VALUE"""),"Sean Mawberino")</f>
        <v>Sean Mawberino</v>
      </c>
      <c r="B2324" s="19" t="str">
        <f>IFERROR(__xludf.DUMMYFUNCTION("""COMPUTED_VALUE"""),"QLD")</f>
        <v>QLD</v>
      </c>
      <c r="C2324" s="5" t="str">
        <f>IFERROR(__xludf.DUMMYFUNCTION("""COMPUTED_VALUE"""),"Cluden")</f>
        <v>Cluden</v>
      </c>
      <c r="D2324" s="5" t="str">
        <f>IFERROR(__xludf.DUMMYFUNCTION("""COMPUTED_VALUE"""),"7 Carney Street Cluden QLD 4811")</f>
        <v>7 Carney Street Cluden QLD 4811</v>
      </c>
      <c r="E2324" s="25">
        <f>IFERROR(__xludf.DUMMYFUNCTION("""COMPUTED_VALUE"""),45935.0)</f>
        <v>45935</v>
      </c>
      <c r="F2324" s="5">
        <f>IFERROR(__xludf.DUMMYFUNCTION("""COMPUTED_VALUE"""),8.0)</f>
        <v>8</v>
      </c>
      <c r="G2324" s="19" t="str">
        <f>IFERROR(__xludf.DUMMYFUNCTION("""COMPUTED_VALUE"""),"Instant Forms")</f>
        <v>Instant Forms</v>
      </c>
      <c r="H2324" s="19" t="str">
        <f>IFERROR(__xludf.DUMMYFUNCTION("""COMPUTED_VALUE"""),"Bill Keppels")</f>
        <v>Bill Keppels</v>
      </c>
      <c r="I2324" s="62"/>
      <c r="J2324" s="19"/>
    </row>
    <row r="2325">
      <c r="A2325" s="19" t="str">
        <f>IFERROR(__xludf.DUMMYFUNCTION("""COMPUTED_VALUE"""),"Sean Mawberino")</f>
        <v>Sean Mawberino</v>
      </c>
      <c r="B2325" s="19" t="str">
        <f>IFERROR(__xludf.DUMMYFUNCTION("""COMPUTED_VALUE"""),"QLD")</f>
        <v>QLD</v>
      </c>
      <c r="C2325" s="5" t="str">
        <f>IFERROR(__xludf.DUMMYFUNCTION("""COMPUTED_VALUE"""),"Douglas")</f>
        <v>Douglas</v>
      </c>
      <c r="D2325" s="5" t="str">
        <f>IFERROR(__xludf.DUMMYFUNCTION("""COMPUTED_VALUE"""),"25 Warbler Crescent, Douglas, QLD, 4814, Australia")</f>
        <v>25 Warbler Crescent, Douglas, QLD, 4814, Australia</v>
      </c>
      <c r="E2325" s="25">
        <f>IFERROR(__xludf.DUMMYFUNCTION("""COMPUTED_VALUE"""),45943.0)</f>
        <v>45943</v>
      </c>
      <c r="F2325" s="5" t="str">
        <f>IFERROR(__xludf.DUMMYFUNCTION("""COMPUTED_VALUE"""),"Featured")</f>
        <v>Featured</v>
      </c>
      <c r="G2325" s="19" t="str">
        <f>IFERROR(__xludf.DUMMYFUNCTION("""COMPUTED_VALUE"""),"Commission Comparison")</f>
        <v>Commission Comparison</v>
      </c>
      <c r="H2325" s="19"/>
      <c r="I2325" s="62"/>
      <c r="J2325" s="19"/>
    </row>
    <row r="2326">
      <c r="A2326" s="19" t="str">
        <f>IFERROR(__xludf.DUMMYFUNCTION("""COMPUTED_VALUE"""),"Sean Mawberino")</f>
        <v>Sean Mawberino</v>
      </c>
      <c r="B2326" s="19" t="str">
        <f>IFERROR(__xludf.DUMMYFUNCTION("""COMPUTED_VALUE"""),"QLD")</f>
        <v>QLD</v>
      </c>
      <c r="C2326" s="5" t="str">
        <f>IFERROR(__xludf.DUMMYFUNCTION("""COMPUTED_VALUE"""),"Garbutt")</f>
        <v>Garbutt</v>
      </c>
      <c r="D2326" s="5" t="str">
        <f>IFERROR(__xludf.DUMMYFUNCTION("""COMPUTED_VALUE"""),"45 Havenside Drive Garbutt QLD 4814")</f>
        <v>45 Havenside Drive Garbutt QLD 4814</v>
      </c>
      <c r="E2326" s="25">
        <f>IFERROR(__xludf.DUMMYFUNCTION("""COMPUTED_VALUE"""),45945.0)</f>
        <v>45945</v>
      </c>
      <c r="F2326" s="5">
        <f>IFERROR(__xludf.DUMMYFUNCTION("""COMPUTED_VALUE"""),6.0)</f>
        <v>6</v>
      </c>
      <c r="G2326" s="19" t="str">
        <f>IFERROR(__xludf.DUMMYFUNCTION("""COMPUTED_VALUE"""),"Instant Forms")</f>
        <v>Instant Forms</v>
      </c>
      <c r="H2326" s="19"/>
      <c r="I2326" s="62"/>
      <c r="J2326" s="19"/>
    </row>
    <row r="2327">
      <c r="A2327" s="19" t="str">
        <f>IFERROR(__xludf.DUMMYFUNCTION("""COMPUTED_VALUE"""),"Sean Mawberino")</f>
        <v>Sean Mawberino</v>
      </c>
      <c r="B2327" s="19" t="str">
        <f>IFERROR(__xludf.DUMMYFUNCTION("""COMPUTED_VALUE"""),"QLD")</f>
        <v>QLD</v>
      </c>
      <c r="C2327" s="5" t="str">
        <f>IFERROR(__xludf.DUMMYFUNCTION("""COMPUTED_VALUE"""),"Kirwan")</f>
        <v>Kirwan</v>
      </c>
      <c r="D2327" s="5" t="str">
        <f>IFERROR(__xludf.DUMMYFUNCTION("""COMPUTED_VALUE"""),"30 Golf Links Drive Kirwan QLD 4817")</f>
        <v>30 Golf Links Drive Kirwan QLD 4817</v>
      </c>
      <c r="E2327" s="25">
        <f>IFERROR(__xludf.DUMMYFUNCTION("""COMPUTED_VALUE"""),45949.0)</f>
        <v>45949</v>
      </c>
      <c r="F2327" s="5">
        <f>IFERROR(__xludf.DUMMYFUNCTION("""COMPUTED_VALUE"""),8.0)</f>
        <v>8</v>
      </c>
      <c r="G2327" s="19" t="str">
        <f>IFERROR(__xludf.DUMMYFUNCTION("""COMPUTED_VALUE"""),"Instant Forms")</f>
        <v>Instant Forms</v>
      </c>
      <c r="H2327" s="19"/>
      <c r="I2327" s="62"/>
      <c r="J2327" s="19"/>
    </row>
    <row r="2328">
      <c r="A2328" s="19" t="str">
        <f>IFERROR(__xludf.DUMMYFUNCTION("""COMPUTED_VALUE"""),"Sean Mawberino")</f>
        <v>Sean Mawberino</v>
      </c>
      <c r="B2328" s="19" t="str">
        <f>IFERROR(__xludf.DUMMYFUNCTION("""COMPUTED_VALUE"""),"QLD")</f>
        <v>QLD</v>
      </c>
      <c r="C2328" s="5" t="str">
        <f>IFERROR(__xludf.DUMMYFUNCTION("""COMPUTED_VALUE"""),"West End")</f>
        <v>West End</v>
      </c>
      <c r="D2328" s="5" t="str">
        <f>IFERROR(__xludf.DUMMYFUNCTION("""COMPUTED_VALUE"""),"161 Francis Street West End QLD 4810")</f>
        <v>161 Francis Street West End QLD 4810</v>
      </c>
      <c r="E2328" s="25">
        <f>IFERROR(__xludf.DUMMYFUNCTION("""COMPUTED_VALUE"""),45951.0)</f>
        <v>45951</v>
      </c>
      <c r="F2328" s="5">
        <f>IFERROR(__xludf.DUMMYFUNCTION("""COMPUTED_VALUE"""),8.0)</f>
        <v>8</v>
      </c>
      <c r="G2328" s="19" t="str">
        <f>IFERROR(__xludf.DUMMYFUNCTION("""COMPUTED_VALUE"""),"Instant Forms")</f>
        <v>Instant Forms</v>
      </c>
      <c r="H2328" s="19"/>
      <c r="I2328" s="62"/>
      <c r="J2328" s="19"/>
    </row>
    <row r="2329">
      <c r="A2329" s="19" t="str">
        <f>IFERROR(__xludf.DUMMYFUNCTION("""COMPUTED_VALUE"""),"Sean Mawberino")</f>
        <v>Sean Mawberino</v>
      </c>
      <c r="B2329" s="19" t="str">
        <f>IFERROR(__xludf.DUMMYFUNCTION("""COMPUTED_VALUE"""),"QLD")</f>
        <v>QLD</v>
      </c>
      <c r="C2329" s="5" t="str">
        <f>IFERROR(__xludf.DUMMYFUNCTION("""COMPUTED_VALUE"""),"Thuringowa Central")</f>
        <v>Thuringowa Central</v>
      </c>
      <c r="D2329" s="5" t="str">
        <f>IFERROR(__xludf.DUMMYFUNCTION("""COMPUTED_VALUE"""),"4 Sweers Court Thuringowa Central QLD 4817")</f>
        <v>4 Sweers Court Thuringowa Central QLD 4817</v>
      </c>
      <c r="E2329" s="25">
        <f>IFERROR(__xludf.DUMMYFUNCTION("""COMPUTED_VALUE"""),45952.0)</f>
        <v>45952</v>
      </c>
      <c r="F2329" s="5">
        <f>IFERROR(__xludf.DUMMYFUNCTION("""COMPUTED_VALUE"""),8.0)</f>
        <v>8</v>
      </c>
      <c r="G2329" s="19" t="str">
        <f>IFERROR(__xludf.DUMMYFUNCTION("""COMPUTED_VALUE"""),"Instant Forms")</f>
        <v>Instant Forms</v>
      </c>
      <c r="H2329" s="19"/>
      <c r="I2329" s="62"/>
      <c r="J2329" s="19"/>
    </row>
    <row r="2330">
      <c r="A2330" s="19" t="str">
        <f>IFERROR(__xludf.DUMMYFUNCTION("""COMPUTED_VALUE"""),"Sean Mawberino")</f>
        <v>Sean Mawberino</v>
      </c>
      <c r="B2330" s="19" t="str">
        <f>IFERROR(__xludf.DUMMYFUNCTION("""COMPUTED_VALUE"""),"QLD")</f>
        <v>QLD</v>
      </c>
      <c r="C2330" s="5" t="str">
        <f>IFERROR(__xludf.DUMMYFUNCTION("""COMPUTED_VALUE"""),"Nome")</f>
        <v>Nome</v>
      </c>
      <c r="D2330" s="5" t="str">
        <f>IFERROR(__xludf.DUMMYFUNCTION("""COMPUTED_VALUE"""),"11 Lyons Crescent Nome QLD 4816")</f>
        <v>11 Lyons Crescent Nome QLD 4816</v>
      </c>
      <c r="E2330" s="25">
        <f>IFERROR(__xludf.DUMMYFUNCTION("""COMPUTED_VALUE"""),45955.0)</f>
        <v>45955</v>
      </c>
      <c r="F2330" s="5">
        <f>IFERROR(__xludf.DUMMYFUNCTION("""COMPUTED_VALUE"""),8.0)</f>
        <v>8</v>
      </c>
      <c r="G2330" s="19" t="str">
        <f>IFERROR(__xludf.DUMMYFUNCTION("""COMPUTED_VALUE"""),"Instant Forms")</f>
        <v>Instant Forms</v>
      </c>
      <c r="H2330" s="19"/>
      <c r="I2330" s="62"/>
      <c r="J2330" s="19"/>
    </row>
    <row r="2331">
      <c r="A2331" s="19" t="str">
        <f>IFERROR(__xludf.DUMMYFUNCTION("""COMPUTED_VALUE"""),"Sean Mawberino")</f>
        <v>Sean Mawberino</v>
      </c>
      <c r="B2331" s="19" t="str">
        <f>IFERROR(__xludf.DUMMYFUNCTION("""COMPUTED_VALUE"""),"QLD")</f>
        <v>QLD</v>
      </c>
      <c r="C2331" s="5" t="str">
        <f>IFERROR(__xludf.DUMMYFUNCTION("""COMPUTED_VALUE"""),"West End")</f>
        <v>West End</v>
      </c>
      <c r="D2331" s="5" t="str">
        <f>IFERROR(__xludf.DUMMYFUNCTION("""COMPUTED_VALUE"""),"2/5A hugh Street Wedst End")</f>
        <v>2/5A hugh Street Wedst End</v>
      </c>
      <c r="E2331" s="25">
        <f>IFERROR(__xludf.DUMMYFUNCTION("""COMPUTED_VALUE"""),45955.0)</f>
        <v>45955</v>
      </c>
      <c r="F2331" s="5" t="str">
        <f>IFERROR(__xludf.DUMMYFUNCTION("""COMPUTED_VALUE"""),"Featured")</f>
        <v>Featured</v>
      </c>
      <c r="G2331" s="19" t="str">
        <f>IFERROR(__xludf.DUMMYFUNCTION("""COMPUTED_VALUE"""),"Commission Comparison")</f>
        <v>Commission Comparison</v>
      </c>
      <c r="H2331" s="19"/>
      <c r="I2331" s="62"/>
      <c r="J2331" s="19"/>
    </row>
    <row r="2332">
      <c r="A2332" s="19" t="str">
        <f>IFERROR(__xludf.DUMMYFUNCTION("""COMPUTED_VALUE"""),"Sean Mawberino")</f>
        <v>Sean Mawberino</v>
      </c>
      <c r="B2332" s="19" t="str">
        <f>IFERROR(__xludf.DUMMYFUNCTION("""COMPUTED_VALUE"""),"QLD")</f>
        <v>QLD</v>
      </c>
      <c r="C2332" s="5" t="str">
        <f>IFERROR(__xludf.DUMMYFUNCTION("""COMPUTED_VALUE"""),"South Townsville")</f>
        <v>South Townsville</v>
      </c>
      <c r="D2332" s="5" t="str">
        <f>IFERROR(__xludf.DUMMYFUNCTION("""COMPUTED_VALUE"""),"1/50 Plume Street South Townsville QLD 4810")</f>
        <v>1/50 Plume Street South Townsville QLD 4810</v>
      </c>
      <c r="E2332" s="25">
        <f>IFERROR(__xludf.DUMMYFUNCTION("""COMPUTED_VALUE"""),45955.0)</f>
        <v>45955</v>
      </c>
      <c r="F2332" s="5">
        <f>IFERROR(__xludf.DUMMYFUNCTION("""COMPUTED_VALUE"""),8.0)</f>
        <v>8</v>
      </c>
      <c r="G2332" s="19" t="str">
        <f>IFERROR(__xludf.DUMMYFUNCTION("""COMPUTED_VALUE"""),"Instant Forms")</f>
        <v>Instant Forms</v>
      </c>
      <c r="H2332" s="19"/>
      <c r="I2332" s="62"/>
      <c r="J2332" s="19"/>
    </row>
    <row r="2333">
      <c r="A2333" s="19" t="str">
        <f>IFERROR(__xludf.DUMMYFUNCTION("""COMPUTED_VALUE"""),"Sean Mawberino")</f>
        <v>Sean Mawberino</v>
      </c>
      <c r="B2333" s="19" t="str">
        <f>IFERROR(__xludf.DUMMYFUNCTION("""COMPUTED_VALUE"""),"QLD")</f>
        <v>QLD</v>
      </c>
      <c r="C2333" s="5" t="str">
        <f>IFERROR(__xludf.DUMMYFUNCTION("""COMPUTED_VALUE"""),"Cranbrook")</f>
        <v>Cranbrook</v>
      </c>
      <c r="D2333" s="5" t="str">
        <f>IFERROR(__xludf.DUMMYFUNCTION("""COMPUTED_VALUE"""),"4 Blanes Street Cranbrook QLD 4814")</f>
        <v>4 Blanes Street Cranbrook QLD 4814</v>
      </c>
      <c r="E2333" s="25">
        <f>IFERROR(__xludf.DUMMYFUNCTION("""COMPUTED_VALUE"""),45957.0)</f>
        <v>45957</v>
      </c>
      <c r="F2333" s="5">
        <f>IFERROR(__xludf.DUMMYFUNCTION("""COMPUTED_VALUE"""),9.0)</f>
        <v>9</v>
      </c>
      <c r="G2333" s="19" t="str">
        <f>IFERROR(__xludf.DUMMYFUNCTION("""COMPUTED_VALUE"""),"Instant Forms")</f>
        <v>Instant Forms</v>
      </c>
      <c r="H2333" s="19"/>
      <c r="I2333" s="62"/>
      <c r="J2333" s="19"/>
    </row>
    <row r="2334">
      <c r="A2334" s="19" t="str">
        <f>IFERROR(__xludf.DUMMYFUNCTION("""COMPUTED_VALUE"""),"Sean Mawberino")</f>
        <v>Sean Mawberino</v>
      </c>
      <c r="B2334" s="19" t="str">
        <f>IFERROR(__xludf.DUMMYFUNCTION("""COMPUTED_VALUE"""),"QLD")</f>
        <v>QLD</v>
      </c>
      <c r="C2334" s="5" t="str">
        <f>IFERROR(__xludf.DUMMYFUNCTION("""COMPUTED_VALUE"""),"Alice River")</f>
        <v>Alice River</v>
      </c>
      <c r="D2334" s="5" t="str">
        <f>IFERROR(__xludf.DUMMYFUNCTION("""COMPUTED_VALUE"""),"101 Ring Rd")</f>
        <v>101 Ring Rd</v>
      </c>
      <c r="E2334" s="25">
        <f>IFERROR(__xludf.DUMMYFUNCTION("""COMPUTED_VALUE"""),45962.0)</f>
        <v>45962</v>
      </c>
      <c r="F2334" s="5" t="str">
        <f>IFERROR(__xludf.DUMMYFUNCTION("""COMPUTED_VALUE"""),"Featured")</f>
        <v>Featured</v>
      </c>
      <c r="G2334" s="19" t="str">
        <f>IFERROR(__xludf.DUMMYFUNCTION("""COMPUTED_VALUE"""),"Commission Comparison")</f>
        <v>Commission Comparison</v>
      </c>
      <c r="H2334" s="19"/>
      <c r="I2334" s="62"/>
      <c r="J2334" s="19"/>
    </row>
    <row r="2335">
      <c r="A2335" s="19" t="str">
        <f>IFERROR(__xludf.DUMMYFUNCTION("""COMPUTED_VALUE"""),"Sean Mawberino")</f>
        <v>Sean Mawberino</v>
      </c>
      <c r="B2335" s="19" t="str">
        <f>IFERROR(__xludf.DUMMYFUNCTION("""COMPUTED_VALUE"""),"QLD")</f>
        <v>QLD</v>
      </c>
      <c r="C2335" s="5" t="str">
        <f>IFERROR(__xludf.DUMMYFUNCTION("""COMPUTED_VALUE"""),"Kirwan")</f>
        <v>Kirwan</v>
      </c>
      <c r="D2335" s="5" t="str">
        <f>IFERROR(__xludf.DUMMYFUNCTION("""COMPUTED_VALUE"""),"25 McBride Street, Kirwan, QLD, 4817, Australia, Kirwan, 4817")</f>
        <v>25 McBride Street, Kirwan, QLD, 4817, Australia, Kirwan, 4817</v>
      </c>
      <c r="E2335" s="27">
        <f>IFERROR(__xludf.DUMMYFUNCTION("""COMPUTED_VALUE"""),45668.0)</f>
        <v>45668</v>
      </c>
      <c r="F2335" s="5" t="str">
        <f>IFERROR(__xludf.DUMMYFUNCTION("""COMPUTED_VALUE"""),"Featured")</f>
        <v>Featured</v>
      </c>
      <c r="G2335" s="19" t="str">
        <f>IFERROR(__xludf.DUMMYFUNCTION("""COMPUTED_VALUE"""),"Meta Commission Report")</f>
        <v>Meta Commission Report</v>
      </c>
      <c r="H2335" s="19" t="str">
        <f>IFERROR(__xludf.DUMMYFUNCTION("""COMPUTED_VALUE"""),"Charlie Hanna")</f>
        <v>Charlie Hanna</v>
      </c>
      <c r="I2335" s="62"/>
      <c r="J2335" s="19"/>
    </row>
    <row r="2336">
      <c r="A2336" s="19" t="str">
        <f>IFERROR(__xludf.DUMMYFUNCTION("""COMPUTED_VALUE"""),"Sean Mawberino")</f>
        <v>Sean Mawberino</v>
      </c>
      <c r="B2336" s="19" t="str">
        <f>IFERROR(__xludf.DUMMYFUNCTION("""COMPUTED_VALUE"""),"QLD")</f>
        <v>QLD</v>
      </c>
      <c r="C2336" s="5" t="str">
        <f>IFERROR(__xludf.DUMMYFUNCTION("""COMPUTED_VALUE"""),"Bushland Beach")</f>
        <v>Bushland Beach</v>
      </c>
      <c r="D2336" s="5" t="str">
        <f>IFERROR(__xludf.DUMMYFUNCTION("""COMPUTED_VALUE"""),"27 Seabrook Circuit Bushland Beach QLD 4818")</f>
        <v>27 Seabrook Circuit Bushland Beach QLD 4818</v>
      </c>
      <c r="E2336" s="25">
        <f>IFERROR(__xludf.DUMMYFUNCTION("""COMPUTED_VALUE"""),45964.0)</f>
        <v>45964</v>
      </c>
      <c r="F2336" s="5">
        <f>IFERROR(__xludf.DUMMYFUNCTION("""COMPUTED_VALUE"""),8.0)</f>
        <v>8</v>
      </c>
      <c r="G2336" s="19" t="str">
        <f>IFERROR(__xludf.DUMMYFUNCTION("""COMPUTED_VALUE"""),"Instant Forms")</f>
        <v>Instant Forms</v>
      </c>
      <c r="H2336" s="19"/>
      <c r="I2336" s="62"/>
      <c r="J2336" s="19"/>
    </row>
    <row r="2337">
      <c r="A2337" s="19" t="str">
        <f>IFERROR(__xludf.DUMMYFUNCTION("""COMPUTED_VALUE"""),"Sean Mawberino")</f>
        <v>Sean Mawberino</v>
      </c>
      <c r="B2337" s="19" t="str">
        <f>IFERROR(__xludf.DUMMYFUNCTION("""COMPUTED_VALUE"""),"QLD")</f>
        <v>QLD</v>
      </c>
      <c r="C2337" s="5" t="str">
        <f>IFERROR(__xludf.DUMMYFUNCTION("""COMPUTED_VALUE"""),"Wulguru")</f>
        <v>Wulguru</v>
      </c>
      <c r="D2337" s="5" t="str">
        <f>IFERROR(__xludf.DUMMYFUNCTION("""COMPUTED_VALUE"""),"29/157 159 Stuart Drive")</f>
        <v>29/157 159 Stuart Drive</v>
      </c>
      <c r="E2337" s="25">
        <f>IFERROR(__xludf.DUMMYFUNCTION("""COMPUTED_VALUE"""),45964.0)</f>
        <v>45964</v>
      </c>
      <c r="F2337" s="5" t="str">
        <f>IFERROR(__xludf.DUMMYFUNCTION("""COMPUTED_VALUE"""),"Featured")</f>
        <v>Featured</v>
      </c>
      <c r="G2337" s="19" t="str">
        <f>IFERROR(__xludf.DUMMYFUNCTION("""COMPUTED_VALUE"""),"Commission Comparison")</f>
        <v>Commission Comparison</v>
      </c>
      <c r="H2337" s="19"/>
      <c r="I2337" s="62"/>
      <c r="J2337" s="19"/>
    </row>
    <row r="2338">
      <c r="A2338" s="19" t="str">
        <f>IFERROR(__xludf.DUMMYFUNCTION("""COMPUTED_VALUE"""),"Sean Mawberino")</f>
        <v>Sean Mawberino</v>
      </c>
      <c r="B2338" s="19" t="str">
        <f>IFERROR(__xludf.DUMMYFUNCTION("""COMPUTED_VALUE"""),"QLD")</f>
        <v>QLD</v>
      </c>
      <c r="C2338" s="5" t="str">
        <f>IFERROR(__xludf.DUMMYFUNCTION("""COMPUTED_VALUE"""),"Mount Low")</f>
        <v>Mount Low</v>
      </c>
      <c r="D2338" s="5"/>
      <c r="E2338" s="25">
        <f>IFERROR(__xludf.DUMMYFUNCTION("""COMPUTED_VALUE"""),45965.0)</f>
        <v>45965</v>
      </c>
      <c r="F2338" s="5" t="str">
        <f>IFERROR(__xludf.DUMMYFUNCTION("""COMPUTED_VALUE"""),"Fee Waived")</f>
        <v>Fee Waived</v>
      </c>
      <c r="G2338" s="19" t="str">
        <f>IFERROR(__xludf.DUMMYFUNCTION("""COMPUTED_VALUE"""),"Commission Comparison")</f>
        <v>Commission Comparison</v>
      </c>
      <c r="H2338" s="19" t="str">
        <f>IFERROR(__xludf.DUMMYFUNCTION("""COMPUTED_VALUE"""),"Jo Crix")</f>
        <v>Jo Crix</v>
      </c>
      <c r="I2338" s="62">
        <f>IFERROR(__xludf.DUMMYFUNCTION("""COMPUTED_VALUE"""),6.1429777073E10)</f>
        <v>61429777073</v>
      </c>
      <c r="J2338" s="19" t="str">
        <f>IFERROR(__xludf.DUMMYFUNCTION("""COMPUTED_VALUE"""),"faiz_iii@hotmail.com")</f>
        <v>faiz_iii@hotmail.com</v>
      </c>
    </row>
    <row r="2339">
      <c r="A2339" s="19" t="str">
        <f>IFERROR(__xludf.DUMMYFUNCTION("""COMPUTED_VALUE"""),"Sean Mawberino")</f>
        <v>Sean Mawberino</v>
      </c>
      <c r="B2339" s="19" t="str">
        <f>IFERROR(__xludf.DUMMYFUNCTION("""COMPUTED_VALUE"""),"QLD")</f>
        <v>QLD</v>
      </c>
      <c r="C2339" s="5" t="str">
        <f>IFERROR(__xludf.DUMMYFUNCTION("""COMPUTED_VALUE"""),"Mundingburra")</f>
        <v>Mundingburra</v>
      </c>
      <c r="D2339" s="5" t="str">
        <f>IFERROR(__xludf.DUMMYFUNCTION("""COMPUTED_VALUE"""),"31 camp st")</f>
        <v>31 camp st</v>
      </c>
      <c r="E2339" s="25">
        <f>IFERROR(__xludf.DUMMYFUNCTION("""COMPUTED_VALUE"""),45968.0)</f>
        <v>45968</v>
      </c>
      <c r="F2339" s="5" t="str">
        <f>IFERROR(__xludf.DUMMYFUNCTION("""COMPUTED_VALUE"""),"Featured")</f>
        <v>Featured</v>
      </c>
      <c r="G2339" s="19" t="str">
        <f>IFERROR(__xludf.DUMMYFUNCTION("""COMPUTED_VALUE"""),"Commission Comparison")</f>
        <v>Commission Comparison</v>
      </c>
      <c r="H2339" s="19" t="str">
        <f>IFERROR(__xludf.DUMMYFUNCTION("""COMPUTED_VALUE"""),"Derek Webber")</f>
        <v>Derek Webber</v>
      </c>
      <c r="I2339" s="62">
        <f>IFERROR(__xludf.DUMMYFUNCTION("""COMPUTED_VALUE"""),6.1487827392E10)</f>
        <v>61487827392</v>
      </c>
      <c r="J2339" s="19" t="str">
        <f>IFERROR(__xludf.DUMMYFUNCTION("""COMPUTED_VALUE"""),"derekwebber267@gmail.com")</f>
        <v>derekwebber267@gmail.com</v>
      </c>
    </row>
    <row r="2340">
      <c r="A2340" s="19" t="str">
        <f>IFERROR(__xludf.DUMMYFUNCTION("""COMPUTED_VALUE"""),"Sean Mawberino")</f>
        <v>Sean Mawberino</v>
      </c>
      <c r="B2340" s="19" t="str">
        <f>IFERROR(__xludf.DUMMYFUNCTION("""COMPUTED_VALUE"""),"QLD")</f>
        <v>QLD</v>
      </c>
      <c r="C2340" s="5" t="str">
        <f>IFERROR(__xludf.DUMMYFUNCTION("""COMPUTED_VALUE"""),"Mundingburra")</f>
        <v>Mundingburra</v>
      </c>
      <c r="D2340" s="5" t="str">
        <f>IFERROR(__xludf.DUMMYFUNCTION("""COMPUTED_VALUE"""),"145 Ross River Road, Mundingburra, QLD, 4812, Australia")</f>
        <v>145 Ross River Road, Mundingburra, QLD, 4812, Australia</v>
      </c>
      <c r="E2340" s="27">
        <f>IFERROR(__xludf.DUMMYFUNCTION("""COMPUTED_VALUE"""),45880.0)</f>
        <v>45880</v>
      </c>
      <c r="F2340" s="5" t="str">
        <f>IFERROR(__xludf.DUMMYFUNCTION("""COMPUTED_VALUE"""),"Featured")</f>
        <v>Featured</v>
      </c>
      <c r="G2340" s="19" t="str">
        <f>IFERROR(__xludf.DUMMYFUNCTION("""COMPUTED_VALUE"""),"Commission Comparison")</f>
        <v>Commission Comparison</v>
      </c>
      <c r="H2340" s="19" t="str">
        <f>IFERROR(__xludf.DUMMYFUNCTION("""COMPUTED_VALUE"""),"Angelo Coco")</f>
        <v>Angelo Coco</v>
      </c>
      <c r="I2340" s="62">
        <f>IFERROR(__xludf.DUMMYFUNCTION("""COMPUTED_VALUE"""),6.1419659284E10)</f>
        <v>61419659284</v>
      </c>
      <c r="J2340" s="19" t="str">
        <f>IFERROR(__xludf.DUMMYFUNCTION("""COMPUTED_VALUE"""),"angelo.coco@bigpond.com")</f>
        <v>angelo.coco@bigpond.com</v>
      </c>
    </row>
    <row r="2341">
      <c r="A2341" s="19" t="str">
        <f>IFERROR(__xludf.DUMMYFUNCTION("""COMPUTED_VALUE"""),"Sean Mawberino")</f>
        <v>Sean Mawberino</v>
      </c>
      <c r="B2341" s="19" t="str">
        <f>IFERROR(__xludf.DUMMYFUNCTION("""COMPUTED_VALUE"""),"QLD")</f>
        <v>QLD</v>
      </c>
      <c r="C2341" s="5" t="str">
        <f>IFERROR(__xludf.DUMMYFUNCTION("""COMPUTED_VALUE"""),"Mundingburra")</f>
        <v>Mundingburra</v>
      </c>
      <c r="D2341" s="5" t="str">
        <f>IFERROR(__xludf.DUMMYFUNCTION("""COMPUTED_VALUE"""),"143 Ross River Road, Mundingburra, QLD, 4812, Australia")</f>
        <v>143 Ross River Road, Mundingburra, QLD, 4812, Australia</v>
      </c>
      <c r="E2341" s="27">
        <f>IFERROR(__xludf.DUMMYFUNCTION("""COMPUTED_VALUE"""),45880.0)</f>
        <v>45880</v>
      </c>
      <c r="F2341" s="5" t="str">
        <f>IFERROR(__xludf.DUMMYFUNCTION("""COMPUTED_VALUE"""),"Featured")</f>
        <v>Featured</v>
      </c>
      <c r="G2341" s="19" t="str">
        <f>IFERROR(__xludf.DUMMYFUNCTION("""COMPUTED_VALUE"""),"Commission Comparison")</f>
        <v>Commission Comparison</v>
      </c>
      <c r="H2341" s="19" t="str">
        <f>IFERROR(__xludf.DUMMYFUNCTION("""COMPUTED_VALUE"""),"Angelo Coco")</f>
        <v>Angelo Coco</v>
      </c>
      <c r="I2341" s="62">
        <f>IFERROR(__xludf.DUMMYFUNCTION("""COMPUTED_VALUE"""),6.1419659284E10)</f>
        <v>61419659284</v>
      </c>
      <c r="J2341" s="19" t="str">
        <f>IFERROR(__xludf.DUMMYFUNCTION("""COMPUTED_VALUE"""),"angelo.coco@bigpond.com")</f>
        <v>angelo.coco@bigpond.com</v>
      </c>
    </row>
    <row r="2342">
      <c r="A2342" s="19" t="str">
        <f>IFERROR(__xludf.DUMMYFUNCTION("""COMPUTED_VALUE"""),"Sean Mawberino")</f>
        <v>Sean Mawberino</v>
      </c>
      <c r="B2342" s="19" t="str">
        <f>IFERROR(__xludf.DUMMYFUNCTION("""COMPUTED_VALUE"""),"QLD")</f>
        <v>QLD</v>
      </c>
      <c r="C2342" s="5" t="str">
        <f>IFERROR(__xludf.DUMMYFUNCTION("""COMPUTED_VALUE"""),"Mundingburra")</f>
        <v>Mundingburra</v>
      </c>
      <c r="D2342" s="5" t="str">
        <f>IFERROR(__xludf.DUMMYFUNCTION("""COMPUTED_VALUE"""),"143 Ross River Road, Mundingburra, QLD, 4812, Australia")</f>
        <v>143 Ross River Road, Mundingburra, QLD, 4812, Australia</v>
      </c>
      <c r="E2342" s="27">
        <f>IFERROR(__xludf.DUMMYFUNCTION("""COMPUTED_VALUE"""),45880.0)</f>
        <v>45880</v>
      </c>
      <c r="F2342" s="5" t="str">
        <f>IFERROR(__xludf.DUMMYFUNCTION("""COMPUTED_VALUE"""),"Featured")</f>
        <v>Featured</v>
      </c>
      <c r="G2342" s="19" t="str">
        <f>IFERROR(__xludf.DUMMYFUNCTION("""COMPUTED_VALUE"""),"Commission Comparison")</f>
        <v>Commission Comparison</v>
      </c>
      <c r="H2342" s="19" t="str">
        <f>IFERROR(__xludf.DUMMYFUNCTION("""COMPUTED_VALUE"""),"angelo Coco")</f>
        <v>angelo Coco</v>
      </c>
      <c r="I2342" s="62">
        <f>IFERROR(__xludf.DUMMYFUNCTION("""COMPUTED_VALUE"""),6.1419659284E10)</f>
        <v>61419659284</v>
      </c>
      <c r="J2342" s="19" t="str">
        <f>IFERROR(__xludf.DUMMYFUNCTION("""COMPUTED_VALUE"""),"angelo.coco@bigpond.com")</f>
        <v>angelo.coco@bigpond.com</v>
      </c>
    </row>
    <row r="2343">
      <c r="A2343" s="19" t="str">
        <f>IFERROR(__xludf.DUMMYFUNCTION("""COMPUTED_VALUE"""),"Sean Mawberino")</f>
        <v>Sean Mawberino</v>
      </c>
      <c r="B2343" s="19" t="str">
        <f>IFERROR(__xludf.DUMMYFUNCTION("""COMPUTED_VALUE"""),"QLD")</f>
        <v>QLD</v>
      </c>
      <c r="C2343" s="5" t="str">
        <f>IFERROR(__xludf.DUMMYFUNCTION("""COMPUTED_VALUE"""),"Mysterton")</f>
        <v>Mysterton</v>
      </c>
      <c r="D2343" s="5" t="str">
        <f>IFERROR(__xludf.DUMMYFUNCTION("""COMPUTED_VALUE"""),"1/22 Mears Street Mysterton QLD 4812")</f>
        <v>1/22 Mears Street Mysterton QLD 4812</v>
      </c>
      <c r="E2343" s="25">
        <f>IFERROR(__xludf.DUMMYFUNCTION("""COMPUTED_VALUE"""),45969.0)</f>
        <v>45969</v>
      </c>
      <c r="F2343" s="5">
        <f>IFERROR(__xludf.DUMMYFUNCTION("""COMPUTED_VALUE"""),8.0)</f>
        <v>8</v>
      </c>
      <c r="G2343" s="19" t="str">
        <f>IFERROR(__xludf.DUMMYFUNCTION("""COMPUTED_VALUE"""),"Instant Forms")</f>
        <v>Instant Forms</v>
      </c>
      <c r="H2343" s="19" t="str">
        <f>IFERROR(__xludf.DUMMYFUNCTION("""COMPUTED_VALUE"""),"Angelo Coco")</f>
        <v>Angelo Coco</v>
      </c>
      <c r="I2343" s="62">
        <f>IFERROR(__xludf.DUMMYFUNCTION("""COMPUTED_VALUE"""),6.1419659284E10)</f>
        <v>61419659284</v>
      </c>
      <c r="J2343" s="19" t="str">
        <f>IFERROR(__xludf.DUMMYFUNCTION("""COMPUTED_VALUE"""),"angelo.coco@bigpond.com.au")</f>
        <v>angelo.coco@bigpond.com.au</v>
      </c>
    </row>
    <row r="2344">
      <c r="A2344" s="19" t="str">
        <f>IFERROR(__xludf.DUMMYFUNCTION("""COMPUTED_VALUE"""),"Sean Mawberino")</f>
        <v>Sean Mawberino</v>
      </c>
      <c r="B2344" s="19" t="str">
        <f>IFERROR(__xludf.DUMMYFUNCTION("""COMPUTED_VALUE"""),"QLD")</f>
        <v>QLD</v>
      </c>
      <c r="C2344" s="5" t="str">
        <f>IFERROR(__xludf.DUMMYFUNCTION("""COMPUTED_VALUE"""),"Oak Valley")</f>
        <v>Oak Valley</v>
      </c>
      <c r="D2344" s="5" t="str">
        <f>IFERROR(__xludf.DUMMYFUNCTION("""COMPUTED_VALUE"""),"272 Valley Drive Oak Valley QLD 4811")</f>
        <v>272 Valley Drive Oak Valley QLD 4811</v>
      </c>
      <c r="E2344" s="25">
        <f>IFERROR(__xludf.DUMMYFUNCTION("""COMPUTED_VALUE"""),45971.0)</f>
        <v>45971</v>
      </c>
      <c r="F2344" s="5">
        <f>IFERROR(__xludf.DUMMYFUNCTION("""COMPUTED_VALUE"""),8.0)</f>
        <v>8</v>
      </c>
      <c r="G2344" s="19" t="str">
        <f>IFERROR(__xludf.DUMMYFUNCTION("""COMPUTED_VALUE"""),"Instant Forms")</f>
        <v>Instant Forms</v>
      </c>
      <c r="H2344" s="19" t="str">
        <f>IFERROR(__xludf.DUMMYFUNCTION("""COMPUTED_VALUE"""),"Anthony Timms")</f>
        <v>Anthony Timms</v>
      </c>
      <c r="I2344" s="62">
        <f>IFERROR(__xludf.DUMMYFUNCTION("""COMPUTED_VALUE"""),6.1435233301E10)</f>
        <v>61435233301</v>
      </c>
      <c r="J2344" s="19" t="str">
        <f>IFERROR(__xludf.DUMMYFUNCTION("""COMPUTED_VALUE"""),"mtnant1966@hotmail.com")</f>
        <v>mtnant1966@hotmail.com</v>
      </c>
    </row>
    <row r="2345">
      <c r="A2345" s="19" t="str">
        <f>IFERROR(__xludf.DUMMYFUNCTION("""COMPUTED_VALUE"""),"Sean Mawberino")</f>
        <v>Sean Mawberino</v>
      </c>
      <c r="B2345" s="19" t="str">
        <f>IFERROR(__xludf.DUMMYFUNCTION("""COMPUTED_VALUE"""),"QLD")</f>
        <v>QLD</v>
      </c>
      <c r="C2345" s="5" t="str">
        <f>IFERROR(__xludf.DUMMYFUNCTION("""COMPUTED_VALUE"""),"Castle Hill")</f>
        <v>Castle Hill</v>
      </c>
      <c r="D2345" s="5" t="str">
        <f>IFERROR(__xludf.DUMMYFUNCTION("""COMPUTED_VALUE"""),"18 Toorak Place Castle Hill QLD 4810")</f>
        <v>18 Toorak Place Castle Hill QLD 4810</v>
      </c>
      <c r="E2345" s="25">
        <f>IFERROR(__xludf.DUMMYFUNCTION("""COMPUTED_VALUE"""),45973.0)</f>
        <v>45973</v>
      </c>
      <c r="F2345" s="5">
        <f>IFERROR(__xludf.DUMMYFUNCTION("""COMPUTED_VALUE"""),9.0)</f>
        <v>9</v>
      </c>
      <c r="G2345" s="19" t="str">
        <f>IFERROR(__xludf.DUMMYFUNCTION("""COMPUTED_VALUE"""),"Instant Forms")</f>
        <v>Instant Forms</v>
      </c>
      <c r="H2345" s="19" t="str">
        <f>IFERROR(__xludf.DUMMYFUNCTION("""COMPUTED_VALUE"""),"Kari Arbouin")</f>
        <v>Kari Arbouin</v>
      </c>
      <c r="I2345" s="62">
        <f>IFERROR(__xludf.DUMMYFUNCTION("""COMPUTED_VALUE"""),6.1404831231E10)</f>
        <v>61404831231</v>
      </c>
      <c r="J2345" s="19" t="str">
        <f>IFERROR(__xludf.DUMMYFUNCTION("""COMPUTED_VALUE"""),"Arbouinkari@gmail.com")</f>
        <v>Arbouinkari@gmail.com</v>
      </c>
    </row>
    <row r="2346">
      <c r="A2346" s="19" t="str">
        <f>IFERROR(__xludf.DUMMYFUNCTION("""COMPUTED_VALUE"""),"Sean Mawberino")</f>
        <v>Sean Mawberino</v>
      </c>
      <c r="B2346" s="19" t="str">
        <f>IFERROR(__xludf.DUMMYFUNCTION("""COMPUTED_VALUE"""),"QLD")</f>
        <v>QLD</v>
      </c>
      <c r="C2346" s="5" t="str">
        <f>IFERROR(__xludf.DUMMYFUNCTION("""COMPUTED_VALUE"""),"Annandale qld")</f>
        <v>Annandale qld</v>
      </c>
      <c r="D2346" s="5" t="str">
        <f>IFERROR(__xludf.DUMMYFUNCTION("""COMPUTED_VALUE"""),"18 Weddel Drive Annandale QLD 4814")</f>
        <v>18 Weddel Drive Annandale QLD 4814</v>
      </c>
      <c r="E2346" s="25">
        <f>IFERROR(__xludf.DUMMYFUNCTION("""COMPUTED_VALUE"""),45977.0)</f>
        <v>45977</v>
      </c>
      <c r="F2346" s="5">
        <f>IFERROR(__xludf.DUMMYFUNCTION("""COMPUTED_VALUE"""),8.0)</f>
        <v>8</v>
      </c>
      <c r="G2346" s="19" t="str">
        <f>IFERROR(__xludf.DUMMYFUNCTION("""COMPUTED_VALUE"""),"Instant Forms")</f>
        <v>Instant Forms</v>
      </c>
      <c r="H2346" s="19" t="str">
        <f>IFERROR(__xludf.DUMMYFUNCTION("""COMPUTED_VALUE"""),"Kristy Boardman")</f>
        <v>Kristy Boardman</v>
      </c>
      <c r="I2346" s="62">
        <f>IFERROR(__xludf.DUMMYFUNCTION("""COMPUTED_VALUE"""),6.1437200203E10)</f>
        <v>61437200203</v>
      </c>
      <c r="J2346" s="19" t="str">
        <f>IFERROR(__xludf.DUMMYFUNCTION("""COMPUTED_VALUE"""),"Pminxy@me.com")</f>
        <v>Pminxy@me.com</v>
      </c>
    </row>
    <row r="2347">
      <c r="A2347" s="19" t="str">
        <f>IFERROR(__xludf.DUMMYFUNCTION("""COMPUTED_VALUE"""),"Sean Mawberino")</f>
        <v>Sean Mawberino</v>
      </c>
      <c r="B2347" s="19" t="str">
        <f>IFERROR(__xludf.DUMMYFUNCTION("""COMPUTED_VALUE"""),"QLD")</f>
        <v>QLD</v>
      </c>
      <c r="C2347" s="5" t="str">
        <f>IFERROR(__xludf.DUMMYFUNCTION("""COMPUTED_VALUE"""),"Annadale")</f>
        <v>Annadale</v>
      </c>
      <c r="D2347" s="5" t="str">
        <f>IFERROR(__xludf.DUMMYFUNCTION("""COMPUTED_VALUE"""),"65 Casuarina Dr, Annadale, 4814")</f>
        <v>65 Casuarina Dr, Annadale, 4814</v>
      </c>
      <c r="E2347" s="5" t="str">
        <f>IFERROR(__xludf.DUMMYFUNCTION("""COMPUTED_VALUE"""),"22/11/2025")</f>
        <v>22/11/2025</v>
      </c>
      <c r="F2347" s="5" t="str">
        <f>IFERROR(__xludf.DUMMYFUNCTION("""COMPUTED_VALUE"""),"Featured")</f>
        <v>Featured</v>
      </c>
      <c r="G2347" s="19" t="str">
        <f>IFERROR(__xludf.DUMMYFUNCTION("""COMPUTED_VALUE"""),"Meta Commission Report")</f>
        <v>Meta Commission Report</v>
      </c>
      <c r="H2347" s="19" t="str">
        <f>IFERROR(__xludf.DUMMYFUNCTION("""COMPUTED_VALUE"""),"Kym Egan")</f>
        <v>Kym Egan</v>
      </c>
      <c r="I2347" s="62">
        <f>IFERROR(__xludf.DUMMYFUNCTION("""COMPUTED_VALUE"""),6.1449943373E10)</f>
        <v>61449943373</v>
      </c>
      <c r="J2347" s="19" t="str">
        <f>IFERROR(__xludf.DUMMYFUNCTION("""COMPUTED_VALUE"""),"garykym@live.com.au")</f>
        <v>garykym@live.com.au</v>
      </c>
    </row>
    <row r="2348">
      <c r="A2348" s="19" t="str">
        <f>IFERROR(__xludf.DUMMYFUNCTION("""COMPUTED_VALUE"""),"Sean Mawberino")</f>
        <v>Sean Mawberino</v>
      </c>
      <c r="B2348" s="19" t="str">
        <f>IFERROR(__xludf.DUMMYFUNCTION("""COMPUTED_VALUE"""),"QLD")</f>
        <v>QLD</v>
      </c>
      <c r="C2348" s="5" t="str">
        <f>IFERROR(__xludf.DUMMYFUNCTION("""COMPUTED_VALUE"""),"West End")</f>
        <v>West End</v>
      </c>
      <c r="D2348" s="5" t="str">
        <f>IFERROR(__xludf.DUMMYFUNCTION("""COMPUTED_VALUE"""),"169 francis st, west end,4810, West End, 4810")</f>
        <v>169 francis st, west end,4810, West End, 4810</v>
      </c>
      <c r="E2348" s="5" t="str">
        <f>IFERROR(__xludf.DUMMYFUNCTION("""COMPUTED_VALUE"""),"25/11/2025")</f>
        <v>25/11/2025</v>
      </c>
      <c r="F2348" s="5" t="str">
        <f>IFERROR(__xludf.DUMMYFUNCTION("""COMPUTED_VALUE"""),"Featured")</f>
        <v>Featured</v>
      </c>
      <c r="G2348" s="19" t="str">
        <f>IFERROR(__xludf.DUMMYFUNCTION("""COMPUTED_VALUE"""),"Meta Commission Report")</f>
        <v>Meta Commission Report</v>
      </c>
      <c r="H2348" s="19" t="str">
        <f>IFERROR(__xludf.DUMMYFUNCTION("""COMPUTED_VALUE"""),"Russell Kirkman")</f>
        <v>Russell Kirkman</v>
      </c>
      <c r="I2348" s="62">
        <f>IFERROR(__xludf.DUMMYFUNCTION("""COMPUTED_VALUE"""),6.1405045979E10)</f>
        <v>61405045979</v>
      </c>
      <c r="J2348" s="19" t="str">
        <f>IFERROR(__xludf.DUMMYFUNCTION("""COMPUTED_VALUE"""),"rkgremlins@gmail.com")</f>
        <v>rkgremlins@gmail.com</v>
      </c>
    </row>
    <row r="2349">
      <c r="A2349" s="19" t="str">
        <f>IFERROR(__xludf.DUMMYFUNCTION("""COMPUTED_VALUE"""),"Sean Mawberino")</f>
        <v>Sean Mawberino</v>
      </c>
      <c r="B2349" s="19" t="str">
        <f>IFERROR(__xludf.DUMMYFUNCTION("""COMPUTED_VALUE"""),"QLD")</f>
        <v>QLD</v>
      </c>
      <c r="C2349" s="5" t="str">
        <f>IFERROR(__xludf.DUMMYFUNCTION("""COMPUTED_VALUE"""),"Pimlico")</f>
        <v>Pimlico</v>
      </c>
      <c r="D2349" s="5" t="str">
        <f>IFERROR(__xludf.DUMMYFUNCTION("""COMPUTED_VALUE"""),"7 Latchford Street Pimlico QLD 4812")</f>
        <v>7 Latchford Street Pimlico QLD 4812</v>
      </c>
      <c r="E2349" s="5" t="str">
        <f>IFERROR(__xludf.DUMMYFUNCTION("""COMPUTED_VALUE"""),"25/11/2025")</f>
        <v>25/11/2025</v>
      </c>
      <c r="F2349" s="5">
        <f>IFERROR(__xludf.DUMMYFUNCTION("""COMPUTED_VALUE"""),8.0)</f>
        <v>8</v>
      </c>
      <c r="G2349" s="19" t="str">
        <f>IFERROR(__xludf.DUMMYFUNCTION("""COMPUTED_VALUE"""),"Instant Forms")</f>
        <v>Instant Forms</v>
      </c>
      <c r="H2349" s="19" t="str">
        <f>IFERROR(__xludf.DUMMYFUNCTION("""COMPUTED_VALUE"""),"Michael Blacklock")</f>
        <v>Michael Blacklock</v>
      </c>
      <c r="I2349" s="62">
        <f>IFERROR(__xludf.DUMMYFUNCTION("""COMPUTED_VALUE"""),6.1499995303E10)</f>
        <v>61499995303</v>
      </c>
      <c r="J2349" s="19" t="str">
        <f>IFERROR(__xludf.DUMMYFUNCTION("""COMPUTED_VALUE"""),"mickblacklock73@gmail.com")</f>
        <v>mickblacklock73@gmail.com</v>
      </c>
    </row>
    <row r="2350">
      <c r="A2350" s="19" t="str">
        <f>IFERROR(__xludf.DUMMYFUNCTION("""COMPUTED_VALUE"""),"Sean Mawberino")</f>
        <v>Sean Mawberino</v>
      </c>
      <c r="B2350" s="19" t="str">
        <f>IFERROR(__xludf.DUMMYFUNCTION("""COMPUTED_VALUE"""),"QLD")</f>
        <v>QLD</v>
      </c>
      <c r="C2350" s="5" t="str">
        <f>IFERROR(__xludf.DUMMYFUNCTION("""COMPUTED_VALUE"""),"West End")</f>
        <v>West End</v>
      </c>
      <c r="D2350" s="5" t="str">
        <f>IFERROR(__xludf.DUMMYFUNCTION("""COMPUTED_VALUE"""),"169 Francis Street West End QLD 4810")</f>
        <v>169 Francis Street West End QLD 4810</v>
      </c>
      <c r="E2350" s="5" t="str">
        <f>IFERROR(__xludf.DUMMYFUNCTION("""COMPUTED_VALUE"""),"27/11/2025")</f>
        <v>27/11/2025</v>
      </c>
      <c r="F2350" s="64">
        <f>IFERROR(__xludf.DUMMYFUNCTION("""COMPUTED_VALUE"""),0.2)</f>
        <v>0.2</v>
      </c>
      <c r="G2350" s="19" t="str">
        <f>IFERROR(__xludf.DUMMYFUNCTION("""COMPUTED_VALUE"""),"Instant Forms")</f>
        <v>Instant Forms</v>
      </c>
      <c r="H2350" s="19" t="str">
        <f>IFERROR(__xludf.DUMMYFUNCTION("""COMPUTED_VALUE"""),"Russell Kirkman")</f>
        <v>Russell Kirkman</v>
      </c>
      <c r="I2350" s="62">
        <f>IFERROR(__xludf.DUMMYFUNCTION("""COMPUTED_VALUE"""),6.1405045979E10)</f>
        <v>61405045979</v>
      </c>
      <c r="J2350" s="19" t="str">
        <f>IFERROR(__xludf.DUMMYFUNCTION("""COMPUTED_VALUE"""),"rkgremlins@gmail.com")</f>
        <v>rkgremlins@gmail.com</v>
      </c>
    </row>
    <row r="2351">
      <c r="A2351" s="19" t="str">
        <f>IFERROR(__xludf.DUMMYFUNCTION("""COMPUTED_VALUE"""),"Sean Mawberino")</f>
        <v>Sean Mawberino</v>
      </c>
      <c r="B2351" s="19" t="str">
        <f>IFERROR(__xludf.DUMMYFUNCTION("""COMPUTED_VALUE"""),"QLD")</f>
        <v>QLD</v>
      </c>
      <c r="C2351" s="5" t="str">
        <f>IFERROR(__xludf.DUMMYFUNCTION("""COMPUTED_VALUE"""),"Kirwan")</f>
        <v>Kirwan</v>
      </c>
      <c r="D2351" s="5" t="str">
        <f>IFERROR(__xludf.DUMMYFUNCTION("""COMPUTED_VALUE"""),"25 McBride st, 4817")</f>
        <v>25 McBride st, 4817</v>
      </c>
      <c r="E2351" s="5" t="str">
        <f>IFERROR(__xludf.DUMMYFUNCTION("""COMPUTED_VALUE"""),"28/11/2025")</f>
        <v>28/11/2025</v>
      </c>
      <c r="F2351" s="64">
        <f>IFERROR(__xludf.DUMMYFUNCTION("""COMPUTED_VALUE"""),0.2)</f>
        <v>0.2</v>
      </c>
      <c r="G2351" s="19" t="str">
        <f>IFERROR(__xludf.DUMMYFUNCTION("""COMPUTED_VALUE"""),"Meta Commission Report")</f>
        <v>Meta Commission Report</v>
      </c>
      <c r="H2351" s="19" t="str">
        <f>IFERROR(__xludf.DUMMYFUNCTION("""COMPUTED_VALUE"""),"Charlie Hanna")</f>
        <v>Charlie Hanna</v>
      </c>
      <c r="I2351" s="62">
        <f>IFERROR(__xludf.DUMMYFUNCTION("""COMPUTED_VALUE"""),6.1448985502E10)</f>
        <v>61448985502</v>
      </c>
      <c r="J2351" s="19" t="str">
        <f>IFERROR(__xludf.DUMMYFUNCTION("""COMPUTED_VALUE"""),"char1919@live.com.au")</f>
        <v>char1919@live.com.au</v>
      </c>
    </row>
    <row r="2352">
      <c r="A2352" s="19" t="str">
        <f>IFERROR(__xludf.DUMMYFUNCTION("""COMPUTED_VALUE"""),"Sean Mawberino")</f>
        <v>Sean Mawberino</v>
      </c>
      <c r="B2352" s="19" t="str">
        <f>IFERROR(__xludf.DUMMYFUNCTION("""COMPUTED_VALUE"""),"QLD")</f>
        <v>QLD</v>
      </c>
      <c r="C2352" s="5" t="str">
        <f>IFERROR(__xludf.DUMMYFUNCTION("""COMPUTED_VALUE"""),"Nelly Bay")</f>
        <v>Nelly Bay</v>
      </c>
      <c r="D2352" s="5" t="str">
        <f>IFERROR(__xludf.DUMMYFUNCTION("""COMPUTED_VALUE"""),"33 Yates Street Nelly Bay QLD 4819")</f>
        <v>33 Yates Street Nelly Bay QLD 4819</v>
      </c>
      <c r="E2352" s="5" t="str">
        <f>IFERROR(__xludf.DUMMYFUNCTION("""COMPUTED_VALUE"""),"29/11/2025")</f>
        <v>29/11/2025</v>
      </c>
      <c r="F2352" s="64">
        <f>IFERROR(__xludf.DUMMYFUNCTION("""COMPUTED_VALUE"""),0.2)</f>
        <v>0.2</v>
      </c>
      <c r="G2352" s="19" t="str">
        <f>IFERROR(__xludf.DUMMYFUNCTION("""COMPUTED_VALUE"""),"Instant Forms")</f>
        <v>Instant Forms</v>
      </c>
      <c r="H2352" s="19" t="str">
        <f>IFERROR(__xludf.DUMMYFUNCTION("""COMPUTED_VALUE"""),"Geoffrey Mclean")</f>
        <v>Geoffrey Mclean</v>
      </c>
      <c r="I2352" s="62">
        <f>IFERROR(__xludf.DUMMYFUNCTION("""COMPUTED_VALUE"""),6.1417878186E10)</f>
        <v>61417878186</v>
      </c>
      <c r="J2352" s="19" t="str">
        <f>IFERROR(__xludf.DUMMYFUNCTION("""COMPUTED_VALUE"""),"geoff.mclean60@gmail.com")</f>
        <v>geoff.mclean60@gmail.com</v>
      </c>
    </row>
    <row r="2353">
      <c r="A2353" s="19" t="str">
        <f>IFERROR(__xludf.DUMMYFUNCTION("""COMPUTED_VALUE"""),"Sean Mawberino")</f>
        <v>Sean Mawberino</v>
      </c>
      <c r="B2353" s="19" t="str">
        <f>IFERROR(__xludf.DUMMYFUNCTION("""COMPUTED_VALUE"""),"QLD")</f>
        <v>QLD</v>
      </c>
      <c r="C2353" s="5" t="str">
        <f>IFERROR(__xludf.DUMMYFUNCTION("""COMPUTED_VALUE"""),"Toolakea")</f>
        <v>Toolakea</v>
      </c>
      <c r="D2353" s="5" t="str">
        <f>IFERROR(__xludf.DUMMYFUNCTION("""COMPUTED_VALUE"""),"132 The Esplanade Toolakea QLD 4818")</f>
        <v>132 The Esplanade Toolakea QLD 4818</v>
      </c>
      <c r="E2353" s="5" t="str">
        <f>IFERROR(__xludf.DUMMYFUNCTION("""COMPUTED_VALUE"""),"29/11/2025")</f>
        <v>29/11/2025</v>
      </c>
      <c r="F2353" s="64">
        <f>IFERROR(__xludf.DUMMYFUNCTION("""COMPUTED_VALUE"""),0.2)</f>
        <v>0.2</v>
      </c>
      <c r="G2353" s="19" t="str">
        <f>IFERROR(__xludf.DUMMYFUNCTION("""COMPUTED_VALUE"""),"Instant Forms")</f>
        <v>Instant Forms</v>
      </c>
      <c r="H2353" s="19" t="str">
        <f>IFERROR(__xludf.DUMMYFUNCTION("""COMPUTED_VALUE"""),"Christopher Allan")</f>
        <v>Christopher Allan</v>
      </c>
      <c r="I2353" s="62">
        <f>IFERROR(__xludf.DUMMYFUNCTION("""COMPUTED_VALUE"""),6.1417722217E10)</f>
        <v>61417722217</v>
      </c>
      <c r="J2353" s="19" t="str">
        <f>IFERROR(__xludf.DUMMYFUNCTION("""COMPUTED_VALUE"""),"alien5000@yahoo.com")</f>
        <v>alien5000@yahoo.com</v>
      </c>
    </row>
    <row r="2354">
      <c r="A2354" s="19" t="str">
        <f>IFERROR(__xludf.DUMMYFUNCTION("""COMPUTED_VALUE"""),"Sean Mawberino")</f>
        <v>Sean Mawberino</v>
      </c>
      <c r="B2354" s="19" t="str">
        <f>IFERROR(__xludf.DUMMYFUNCTION("""COMPUTED_VALUE"""),"QLD")</f>
        <v>QLD</v>
      </c>
      <c r="C2354" s="5" t="str">
        <f>IFERROR(__xludf.DUMMYFUNCTION("""COMPUTED_VALUE"""),"Kirwan")</f>
        <v>Kirwan</v>
      </c>
      <c r="D2354" s="5" t="str">
        <f>IFERROR(__xludf.DUMMYFUNCTION("""COMPUTED_VALUE"""),"30 Golf Links Dr, 4817")</f>
        <v>30 Golf Links Dr, 4817</v>
      </c>
      <c r="E2354" s="27">
        <f>IFERROR(__xludf.DUMMYFUNCTION("""COMPUTED_VALUE"""),45728.0)</f>
        <v>45728</v>
      </c>
      <c r="F2354" s="64">
        <f>IFERROR(__xludf.DUMMYFUNCTION("""COMPUTED_VALUE"""),0.2)</f>
        <v>0.2</v>
      </c>
      <c r="G2354" s="19" t="str">
        <f>IFERROR(__xludf.DUMMYFUNCTION("""COMPUTED_VALUE"""),"Meta Commission Report")</f>
        <v>Meta Commission Report</v>
      </c>
      <c r="H2354" s="19" t="str">
        <f>IFERROR(__xludf.DUMMYFUNCTION("""COMPUTED_VALUE"""),"Leonie McInnes")</f>
        <v>Leonie McInnes</v>
      </c>
      <c r="I2354" s="62">
        <f>IFERROR(__xludf.DUMMYFUNCTION("""COMPUTED_VALUE"""),6.1416255127E10)</f>
        <v>61416255127</v>
      </c>
      <c r="J2354" s="19" t="str">
        <f>IFERROR(__xludf.DUMMYFUNCTION("""COMPUTED_VALUE"""),"leonie.mcinnes@outlook.com")</f>
        <v>leonie.mcinnes@outlook.com</v>
      </c>
    </row>
    <row r="2355">
      <c r="A2355" s="19" t="str">
        <f>IFERROR(__xludf.DUMMYFUNCTION("""COMPUTED_VALUE"""),"Sean Mawberino")</f>
        <v>Sean Mawberino</v>
      </c>
      <c r="B2355" s="19" t="str">
        <f>IFERROR(__xludf.DUMMYFUNCTION("""COMPUTED_VALUE"""),"QLD")</f>
        <v>QLD</v>
      </c>
      <c r="C2355" s="5" t="str">
        <f>IFERROR(__xludf.DUMMYFUNCTION("""COMPUTED_VALUE"""),"Pimlico")</f>
        <v>Pimlico</v>
      </c>
      <c r="D2355" s="5" t="str">
        <f>IFERROR(__xludf.DUMMYFUNCTION("""COMPUTED_VALUE"""),"10 French Street Pimlico QLD 4812")</f>
        <v>10 French Street Pimlico QLD 4812</v>
      </c>
      <c r="E2355" s="27">
        <f>IFERROR(__xludf.DUMMYFUNCTION("""COMPUTED_VALUE"""),45820.0)</f>
        <v>45820</v>
      </c>
      <c r="F2355" s="64">
        <f>IFERROR(__xludf.DUMMYFUNCTION("""COMPUTED_VALUE"""),0.2)</f>
        <v>0.2</v>
      </c>
      <c r="G2355" s="19" t="str">
        <f>IFERROR(__xludf.DUMMYFUNCTION("""COMPUTED_VALUE"""),"Instant Forms")</f>
        <v>Instant Forms</v>
      </c>
      <c r="H2355" s="19" t="str">
        <f>IFERROR(__xludf.DUMMYFUNCTION("""COMPUTED_VALUE"""),"Craig Hodges")</f>
        <v>Craig Hodges</v>
      </c>
      <c r="I2355" s="62">
        <f>IFERROR(__xludf.DUMMYFUNCTION("""COMPUTED_VALUE"""),6.1411017111E10)</f>
        <v>61411017111</v>
      </c>
      <c r="J2355" s="19" t="str">
        <f>IFERROR(__xludf.DUMMYFUNCTION("""COMPUTED_VALUE"""),"hodgescraig@hotmail.com")</f>
        <v>hodgescraig@hotmail.com</v>
      </c>
    </row>
    <row r="2356">
      <c r="A2356" s="19" t="str">
        <f>IFERROR(__xludf.DUMMYFUNCTION("""COMPUTED_VALUE"""),"")</f>
        <v/>
      </c>
      <c r="B2356" s="19" t="str">
        <f>IFERROR(__xludf.DUMMYFUNCTION("""COMPUTED_VALUE"""),"")</f>
        <v/>
      </c>
      <c r="C2356" s="5" t="str">
        <f>IFERROR(__xludf.DUMMYFUNCTION("""COMPUTED_VALUE"""),"")</f>
        <v/>
      </c>
      <c r="D2356" s="5" t="str">
        <f>IFERROR(__xludf.DUMMYFUNCTION("""COMPUTED_VALUE"""),"")</f>
        <v/>
      </c>
      <c r="E2356" s="5" t="str">
        <f>IFERROR(__xludf.DUMMYFUNCTION("""COMPUTED_VALUE"""),"")</f>
        <v/>
      </c>
      <c r="F2356" s="5" t="str">
        <f>IFERROR(__xludf.DUMMYFUNCTION("""COMPUTED_VALUE"""),"")</f>
        <v/>
      </c>
      <c r="G2356" s="19" t="str">
        <f>IFERROR(__xludf.DUMMYFUNCTION("""COMPUTED_VALUE"""),"")</f>
        <v/>
      </c>
      <c r="H2356" s="19" t="str">
        <f>IFERROR(__xludf.DUMMYFUNCTION("""COMPUTED_VALUE"""),"")</f>
        <v/>
      </c>
      <c r="I2356" s="62" t="str">
        <f>IFERROR(__xludf.DUMMYFUNCTION("""COMPUTED_VALUE"""),"")</f>
        <v/>
      </c>
      <c r="J2356" s="19" t="str">
        <f>IFERROR(__xludf.DUMMYFUNCTION("""COMPUTED_VALUE"""),"")</f>
        <v/>
      </c>
    </row>
    <row r="2357">
      <c r="A2357" s="19" t="str">
        <f>IFERROR(__xludf.DUMMYFUNCTION("""COMPUTED_VALUE"""),"")</f>
        <v/>
      </c>
      <c r="B2357" s="19" t="str">
        <f>IFERROR(__xludf.DUMMYFUNCTION("""COMPUTED_VALUE"""),"")</f>
        <v/>
      </c>
      <c r="C2357" s="5" t="str">
        <f>IFERROR(__xludf.DUMMYFUNCTION("""COMPUTED_VALUE"""),"")</f>
        <v/>
      </c>
      <c r="D2357" s="5" t="str">
        <f>IFERROR(__xludf.DUMMYFUNCTION("""COMPUTED_VALUE"""),"")</f>
        <v/>
      </c>
      <c r="E2357" s="5" t="str">
        <f>IFERROR(__xludf.DUMMYFUNCTION("""COMPUTED_VALUE"""),"")</f>
        <v/>
      </c>
      <c r="F2357" s="5" t="str">
        <f>IFERROR(__xludf.DUMMYFUNCTION("""COMPUTED_VALUE"""),"")</f>
        <v/>
      </c>
      <c r="G2357" s="19" t="str">
        <f>IFERROR(__xludf.DUMMYFUNCTION("""COMPUTED_VALUE"""),"")</f>
        <v/>
      </c>
      <c r="H2357" s="19" t="str">
        <f>IFERROR(__xludf.DUMMYFUNCTION("""COMPUTED_VALUE"""),"")</f>
        <v/>
      </c>
      <c r="I2357" s="62" t="str">
        <f>IFERROR(__xludf.DUMMYFUNCTION("""COMPUTED_VALUE"""),"")</f>
        <v/>
      </c>
      <c r="J2357" s="19" t="str">
        <f>IFERROR(__xludf.DUMMYFUNCTION("""COMPUTED_VALUE"""),"")</f>
        <v/>
      </c>
    </row>
    <row r="2358">
      <c r="A2358" s="19" t="str">
        <f>IFERROR(__xludf.DUMMYFUNCTION("""COMPUTED_VALUE"""),"Simran Marwaha")</f>
        <v>Simran Marwaha</v>
      </c>
      <c r="B2358" s="19" t="str">
        <f>IFERROR(__xludf.DUMMYFUNCTION("""COMPUTED_VALUE"""),"WA")</f>
        <v>WA</v>
      </c>
      <c r="C2358" s="5" t="str">
        <f>IFERROR(__xludf.DUMMYFUNCTION("""COMPUTED_VALUE"""),"Armadale")</f>
        <v>Armadale</v>
      </c>
      <c r="D2358" s="5" t="str">
        <f>IFERROR(__xludf.DUMMYFUNCTION("""COMPUTED_VALUE"""),"7 Locksley Avenue, Armadale, WA, 6112, Australia")</f>
        <v>7 Locksley Avenue, Armadale, WA, 6112, Australia</v>
      </c>
      <c r="E2358" s="27">
        <f>IFERROR(__xludf.DUMMYFUNCTION("""COMPUTED_VALUE"""),45753.0)</f>
        <v>45753</v>
      </c>
      <c r="F2358" s="5" t="str">
        <f>IFERROR(__xludf.DUMMYFUNCTION("""COMPUTED_VALUE"""),"Featured")</f>
        <v>Featured</v>
      </c>
      <c r="G2358" s="19"/>
      <c r="H2358" s="19"/>
      <c r="I2358" s="62"/>
      <c r="J2358" s="19"/>
    </row>
    <row r="2359">
      <c r="A2359" s="19" t="str">
        <f>IFERROR(__xludf.DUMMYFUNCTION("""COMPUTED_VALUE"""),"")</f>
        <v/>
      </c>
      <c r="B2359" s="19" t="str">
        <f>IFERROR(__xludf.DUMMYFUNCTION("""COMPUTED_VALUE"""),"")</f>
        <v/>
      </c>
      <c r="C2359" s="5" t="str">
        <f>IFERROR(__xludf.DUMMYFUNCTION("""COMPUTED_VALUE"""),"")</f>
        <v/>
      </c>
      <c r="D2359" s="5" t="str">
        <f>IFERROR(__xludf.DUMMYFUNCTION("""COMPUTED_VALUE"""),"")</f>
        <v/>
      </c>
      <c r="E2359" s="5" t="str">
        <f>IFERROR(__xludf.DUMMYFUNCTION("""COMPUTED_VALUE"""),"")</f>
        <v/>
      </c>
      <c r="F2359" s="5" t="str">
        <f>IFERROR(__xludf.DUMMYFUNCTION("""COMPUTED_VALUE"""),"")</f>
        <v/>
      </c>
      <c r="G2359" s="19" t="str">
        <f>IFERROR(__xludf.DUMMYFUNCTION("""COMPUTED_VALUE"""),"")</f>
        <v/>
      </c>
      <c r="H2359" s="19" t="str">
        <f>IFERROR(__xludf.DUMMYFUNCTION("""COMPUTED_VALUE"""),"")</f>
        <v/>
      </c>
      <c r="I2359" s="62" t="str">
        <f>IFERROR(__xludf.DUMMYFUNCTION("""COMPUTED_VALUE"""),"")</f>
        <v/>
      </c>
      <c r="J2359" s="19" t="str">
        <f>IFERROR(__xludf.DUMMYFUNCTION("""COMPUTED_VALUE"""),"")</f>
        <v/>
      </c>
    </row>
    <row r="2360">
      <c r="A2360" s="19" t="str">
        <f>IFERROR(__xludf.DUMMYFUNCTION("""COMPUTED_VALUE"""),"")</f>
        <v/>
      </c>
      <c r="B2360" s="19" t="str">
        <f>IFERROR(__xludf.DUMMYFUNCTION("""COMPUTED_VALUE"""),"")</f>
        <v/>
      </c>
      <c r="C2360" s="5" t="str">
        <f>IFERROR(__xludf.DUMMYFUNCTION("""COMPUTED_VALUE"""),"")</f>
        <v/>
      </c>
      <c r="D2360" s="5" t="str">
        <f>IFERROR(__xludf.DUMMYFUNCTION("""COMPUTED_VALUE"""),"")</f>
        <v/>
      </c>
      <c r="E2360" s="5" t="str">
        <f>IFERROR(__xludf.DUMMYFUNCTION("""COMPUTED_VALUE"""),"")</f>
        <v/>
      </c>
      <c r="F2360" s="5" t="str">
        <f>IFERROR(__xludf.DUMMYFUNCTION("""COMPUTED_VALUE"""),"")</f>
        <v/>
      </c>
      <c r="G2360" s="19" t="str">
        <f>IFERROR(__xludf.DUMMYFUNCTION("""COMPUTED_VALUE"""),"")</f>
        <v/>
      </c>
      <c r="H2360" s="19" t="str">
        <f>IFERROR(__xludf.DUMMYFUNCTION("""COMPUTED_VALUE"""),"")</f>
        <v/>
      </c>
      <c r="I2360" s="62" t="str">
        <f>IFERROR(__xludf.DUMMYFUNCTION("""COMPUTED_VALUE"""),"")</f>
        <v/>
      </c>
      <c r="J2360" s="19" t="str">
        <f>IFERROR(__xludf.DUMMYFUNCTION("""COMPUTED_VALUE"""),"")</f>
        <v/>
      </c>
    </row>
    <row r="2361">
      <c r="A2361" s="19" t="str">
        <f>IFERROR(__xludf.DUMMYFUNCTION("""COMPUTED_VALUE"""),"Stacey Cartwright ")</f>
        <v>Stacey Cartwright </v>
      </c>
      <c r="B2361" s="19" t="str">
        <f>IFERROR(__xludf.DUMMYFUNCTION("""COMPUTED_VALUE"""),"QLD")</f>
        <v>QLD</v>
      </c>
      <c r="C2361" s="5" t="str">
        <f>IFERROR(__xludf.DUMMYFUNCTION("""COMPUTED_VALUE"""),"Caloundra West")</f>
        <v>Caloundra West</v>
      </c>
      <c r="D2361" s="5" t="str">
        <f>IFERROR(__xludf.DUMMYFUNCTION("""COMPUTED_VALUE"""),"19/37 Lomond Crescent Caloundra West QLD 4551")</f>
        <v>19/37 Lomond Crescent Caloundra West QLD 4551</v>
      </c>
      <c r="E2361" s="25">
        <f>IFERROR(__xludf.DUMMYFUNCTION("""COMPUTED_VALUE"""),45961.0)</f>
        <v>45961</v>
      </c>
      <c r="F2361" s="5">
        <f>IFERROR(__xludf.DUMMYFUNCTION("""COMPUTED_VALUE"""),8.0)</f>
        <v>8</v>
      </c>
      <c r="G2361" s="19" t="str">
        <f>IFERROR(__xludf.DUMMYFUNCTION("""COMPUTED_VALUE"""),"Instant Forms")</f>
        <v>Instant Forms</v>
      </c>
      <c r="H2361" s="19" t="str">
        <f>IFERROR(__xludf.DUMMYFUNCTION("""COMPUTED_VALUE"""),"Bill Man")</f>
        <v>Bill Man</v>
      </c>
      <c r="I2361" s="62">
        <f>IFERROR(__xludf.DUMMYFUNCTION("""COMPUTED_VALUE"""),6.1418775747E10)</f>
        <v>61418775747</v>
      </c>
      <c r="J2361" s="19" t="str">
        <f>IFERROR(__xludf.DUMMYFUNCTION("""COMPUTED_VALUE"""),"baillman@bigpond.com")</f>
        <v>baillman@bigpond.com</v>
      </c>
    </row>
    <row r="2362">
      <c r="A2362" s="19" t="str">
        <f>IFERROR(__xludf.DUMMYFUNCTION("""COMPUTED_VALUE"""),"Stacey Cartwright ")</f>
        <v>Stacey Cartwright </v>
      </c>
      <c r="B2362" s="19" t="str">
        <f>IFERROR(__xludf.DUMMYFUNCTION("""COMPUTED_VALUE"""),"QLD")</f>
        <v>QLD</v>
      </c>
      <c r="C2362" s="5" t="str">
        <f>IFERROR(__xludf.DUMMYFUNCTION("""COMPUTED_VALUE"""),"Baringa")</f>
        <v>Baringa</v>
      </c>
      <c r="D2362" s="5" t="str">
        <f>IFERROR(__xludf.DUMMYFUNCTION("""COMPUTED_VALUE"""),"10 Mayfair Crescent Baringa QLD 4551")</f>
        <v>10 Mayfair Crescent Baringa QLD 4551</v>
      </c>
      <c r="E2362" s="5" t="str">
        <f>IFERROR(__xludf.DUMMYFUNCTION("""COMPUTED_VALUE"""),"21/11/2025")</f>
        <v>21/11/2025</v>
      </c>
      <c r="F2362" s="5">
        <f>IFERROR(__xludf.DUMMYFUNCTION("""COMPUTED_VALUE"""),8.0)</f>
        <v>8</v>
      </c>
      <c r="G2362" s="19" t="str">
        <f>IFERROR(__xludf.DUMMYFUNCTION("""COMPUTED_VALUE"""),"Instant Forms")</f>
        <v>Instant Forms</v>
      </c>
      <c r="H2362" s="19" t="str">
        <f>IFERROR(__xludf.DUMMYFUNCTION("""COMPUTED_VALUE"""),"Brendan Jonkers")</f>
        <v>Brendan Jonkers</v>
      </c>
      <c r="I2362" s="62">
        <f>IFERROR(__xludf.DUMMYFUNCTION("""COMPUTED_VALUE"""),6.1407150153E10)</f>
        <v>61407150153</v>
      </c>
      <c r="J2362" s="19" t="str">
        <f>IFERROR(__xludf.DUMMYFUNCTION("""COMPUTED_VALUE"""),"bjonkers71+stocksinvest@gmail.com")</f>
        <v>bjonkers71+stocksinvest@gmail.com</v>
      </c>
    </row>
    <row r="2363">
      <c r="A2363" s="19" t="str">
        <f>IFERROR(__xludf.DUMMYFUNCTION("""COMPUTED_VALUE"""),"")</f>
        <v/>
      </c>
      <c r="B2363" s="19" t="str">
        <f>IFERROR(__xludf.DUMMYFUNCTION("""COMPUTED_VALUE"""),"")</f>
        <v/>
      </c>
      <c r="C2363" s="5" t="str">
        <f>IFERROR(__xludf.DUMMYFUNCTION("""COMPUTED_VALUE"""),"")</f>
        <v/>
      </c>
      <c r="D2363" s="5" t="str">
        <f>IFERROR(__xludf.DUMMYFUNCTION("""COMPUTED_VALUE"""),"")</f>
        <v/>
      </c>
      <c r="E2363" s="5" t="str">
        <f>IFERROR(__xludf.DUMMYFUNCTION("""COMPUTED_VALUE"""),"")</f>
        <v/>
      </c>
      <c r="F2363" s="5" t="str">
        <f>IFERROR(__xludf.DUMMYFUNCTION("""COMPUTED_VALUE"""),"")</f>
        <v/>
      </c>
      <c r="G2363" s="19" t="str">
        <f>IFERROR(__xludf.DUMMYFUNCTION("""COMPUTED_VALUE"""),"")</f>
        <v/>
      </c>
      <c r="H2363" s="19" t="str">
        <f>IFERROR(__xludf.DUMMYFUNCTION("""COMPUTED_VALUE"""),"")</f>
        <v/>
      </c>
      <c r="I2363" s="62" t="str">
        <f>IFERROR(__xludf.DUMMYFUNCTION("""COMPUTED_VALUE"""),"")</f>
        <v/>
      </c>
      <c r="J2363" s="19" t="str">
        <f>IFERROR(__xludf.DUMMYFUNCTION("""COMPUTED_VALUE"""),"")</f>
        <v/>
      </c>
    </row>
    <row r="2364">
      <c r="A2364" s="19" t="str">
        <f>IFERROR(__xludf.DUMMYFUNCTION("""COMPUTED_VALUE"""),"")</f>
        <v/>
      </c>
      <c r="B2364" s="19" t="str">
        <f>IFERROR(__xludf.DUMMYFUNCTION("""COMPUTED_VALUE"""),"")</f>
        <v/>
      </c>
      <c r="C2364" s="5" t="str">
        <f>IFERROR(__xludf.DUMMYFUNCTION("""COMPUTED_VALUE"""),"")</f>
        <v/>
      </c>
      <c r="D2364" s="5" t="str">
        <f>IFERROR(__xludf.DUMMYFUNCTION("""COMPUTED_VALUE"""),"")</f>
        <v/>
      </c>
      <c r="E2364" s="5" t="str">
        <f>IFERROR(__xludf.DUMMYFUNCTION("""COMPUTED_VALUE"""),"")</f>
        <v/>
      </c>
      <c r="F2364" s="5" t="str">
        <f>IFERROR(__xludf.DUMMYFUNCTION("""COMPUTED_VALUE"""),"")</f>
        <v/>
      </c>
      <c r="G2364" s="19" t="str">
        <f>IFERROR(__xludf.DUMMYFUNCTION("""COMPUTED_VALUE"""),"")</f>
        <v/>
      </c>
      <c r="H2364" s="19" t="str">
        <f>IFERROR(__xludf.DUMMYFUNCTION("""COMPUTED_VALUE"""),"")</f>
        <v/>
      </c>
      <c r="I2364" s="62" t="str">
        <f>IFERROR(__xludf.DUMMYFUNCTION("""COMPUTED_VALUE"""),"")</f>
        <v/>
      </c>
      <c r="J2364" s="19" t="str">
        <f>IFERROR(__xludf.DUMMYFUNCTION("""COMPUTED_VALUE"""),"")</f>
        <v/>
      </c>
    </row>
    <row r="2365">
      <c r="A2365" s="19" t="str">
        <f>IFERROR(__xludf.DUMMYFUNCTION("""COMPUTED_VALUE"""),"Stacey Ritson")</f>
        <v>Stacey Ritson</v>
      </c>
      <c r="B2365" s="19" t="str">
        <f>IFERROR(__xludf.DUMMYFUNCTION("""COMPUTED_VALUE"""),"QLD")</f>
        <v>QLD</v>
      </c>
      <c r="C2365" s="5" t="str">
        <f>IFERROR(__xludf.DUMMYFUNCTION("""COMPUTED_VALUE"""),"Wellington Point")</f>
        <v>Wellington Point</v>
      </c>
      <c r="D2365" s="5" t="str">
        <f>IFERROR(__xludf.DUMMYFUNCTION("""COMPUTED_VALUE"""),"8 Liner Street, Wellington Point, QLD, 4160, Australia")</f>
        <v>8 Liner Street, Wellington Point, QLD, 4160, Australia</v>
      </c>
      <c r="E2365" s="25" t="str">
        <f>IFERROR(__xludf.DUMMYFUNCTION("""COMPUTED_VALUE"""),"22/10/2025")</f>
        <v>22/10/2025</v>
      </c>
      <c r="F2365" s="5" t="str">
        <f>IFERROR(__xludf.DUMMYFUNCTION("""COMPUTED_VALUE"""),"Featured")</f>
        <v>Featured</v>
      </c>
      <c r="G2365" s="19"/>
      <c r="H2365" s="19"/>
      <c r="I2365" s="62"/>
      <c r="J2365" s="19"/>
    </row>
    <row r="2366">
      <c r="A2366" s="19" t="str">
        <f>IFERROR(__xludf.DUMMYFUNCTION("""COMPUTED_VALUE"""),"Stacey Ritson")</f>
        <v>Stacey Ritson</v>
      </c>
      <c r="B2366" s="19" t="str">
        <f>IFERROR(__xludf.DUMMYFUNCTION("""COMPUTED_VALUE"""),"QLD")</f>
        <v>QLD</v>
      </c>
      <c r="C2366" s="5" t="str">
        <f>IFERROR(__xludf.DUMMYFUNCTION("""COMPUTED_VALUE"""),"Wellington Point")</f>
        <v>Wellington Point</v>
      </c>
      <c r="D2366" s="5" t="str">
        <f>IFERROR(__xludf.DUMMYFUNCTION("""COMPUTED_VALUE"""),"40 Spurs Drive Wellington Point QLD 4160")</f>
        <v>40 Spurs Drive Wellington Point QLD 4160</v>
      </c>
      <c r="E2366" s="25">
        <f>IFERROR(__xludf.DUMMYFUNCTION("""COMPUTED_VALUE"""),45954.0)</f>
        <v>45954</v>
      </c>
      <c r="F2366" s="5">
        <f>IFERROR(__xludf.DUMMYFUNCTION("""COMPUTED_VALUE"""),8.0)</f>
        <v>8</v>
      </c>
      <c r="G2366" s="19" t="str">
        <f>IFERROR(__xludf.DUMMYFUNCTION("""COMPUTED_VALUE"""),"Instant Forms")</f>
        <v>Instant Forms</v>
      </c>
      <c r="H2366" s="19"/>
      <c r="I2366" s="62"/>
      <c r="J2366" s="19"/>
    </row>
    <row r="2367">
      <c r="A2367" s="19" t="str">
        <f>IFERROR(__xludf.DUMMYFUNCTION("""COMPUTED_VALUE"""),"Stacey Ritson")</f>
        <v>Stacey Ritson</v>
      </c>
      <c r="B2367" s="19" t="str">
        <f>IFERROR(__xludf.DUMMYFUNCTION("""COMPUTED_VALUE"""),"QLD")</f>
        <v>QLD</v>
      </c>
      <c r="C2367" s="5" t="str">
        <f>IFERROR(__xludf.DUMMYFUNCTION("""COMPUTED_VALUE"""),"Wellington Point")</f>
        <v>Wellington Point</v>
      </c>
      <c r="D2367" s="5" t="str">
        <f>IFERROR(__xludf.DUMMYFUNCTION("""COMPUTED_VALUE"""),"4 Sylvania St, Wellington Point, 4160")</f>
        <v>4 Sylvania St, Wellington Point, 4160</v>
      </c>
      <c r="E2367" s="27">
        <f>IFERROR(__xludf.DUMMYFUNCTION("""COMPUTED_VALUE"""),45668.0)</f>
        <v>45668</v>
      </c>
      <c r="F2367" s="5" t="str">
        <f>IFERROR(__xludf.DUMMYFUNCTION("""COMPUTED_VALUE"""),"Featured")</f>
        <v>Featured</v>
      </c>
      <c r="G2367" s="19" t="str">
        <f>IFERROR(__xludf.DUMMYFUNCTION("""COMPUTED_VALUE"""),"Meta Commission Report")</f>
        <v>Meta Commission Report</v>
      </c>
      <c r="H2367" s="19" t="str">
        <f>IFERROR(__xludf.DUMMYFUNCTION("""COMPUTED_VALUE"""),"Francesca Latter")</f>
        <v>Francesca Latter</v>
      </c>
      <c r="I2367" s="62"/>
      <c r="J2367" s="19"/>
    </row>
    <row r="2368">
      <c r="A2368" s="19" t="str">
        <f>IFERROR(__xludf.DUMMYFUNCTION("""COMPUTED_VALUE"""),"Stacey Ritson")</f>
        <v>Stacey Ritson</v>
      </c>
      <c r="B2368" s="19" t="str">
        <f>IFERROR(__xludf.DUMMYFUNCTION("""COMPUTED_VALUE"""),"QLD")</f>
        <v>QLD</v>
      </c>
      <c r="C2368" s="5" t="str">
        <f>IFERROR(__xludf.DUMMYFUNCTION("""COMPUTED_VALUE"""),"Wynnum")</f>
        <v>Wynnum</v>
      </c>
      <c r="D2368" s="5" t="str">
        <f>IFERROR(__xludf.DUMMYFUNCTION("""COMPUTED_VALUE"""),"31 Sandy Camp Road, Wynnum, QLD, 4178, Australia")</f>
        <v>31 Sandy Camp Road, Wynnum, QLD, 4178, Australia</v>
      </c>
      <c r="E2368" s="25">
        <f>IFERROR(__xludf.DUMMYFUNCTION("""COMPUTED_VALUE"""),45966.0)</f>
        <v>45966</v>
      </c>
      <c r="F2368" s="5" t="str">
        <f>IFERROR(__xludf.DUMMYFUNCTION("""COMPUTED_VALUE"""),"Featured")</f>
        <v>Featured</v>
      </c>
      <c r="G2368" s="19" t="str">
        <f>IFERROR(__xludf.DUMMYFUNCTION("""COMPUTED_VALUE"""),"Commission Comparison")</f>
        <v>Commission Comparison</v>
      </c>
      <c r="H2368" s="19" t="str">
        <f>IFERROR(__xludf.DUMMYFUNCTION("""COMPUTED_VALUE"""),"Deb Tearle")</f>
        <v>Deb Tearle</v>
      </c>
      <c r="I2368" s="62">
        <f>IFERROR(__xludf.DUMMYFUNCTION("""COMPUTED_VALUE"""),6.1040762918E11)</f>
        <v>610407629180</v>
      </c>
      <c r="J2368" s="19" t="str">
        <f>IFERROR(__xludf.DUMMYFUNCTION("""COMPUTED_VALUE"""),"DougandDebTearle@gmail.com")</f>
        <v>DougandDebTearle@gmail.com</v>
      </c>
    </row>
    <row r="2369">
      <c r="A2369" s="19" t="str">
        <f>IFERROR(__xludf.DUMMYFUNCTION("""COMPUTED_VALUE"""),"Stacey Ritson")</f>
        <v>Stacey Ritson</v>
      </c>
      <c r="B2369" s="19" t="str">
        <f>IFERROR(__xludf.DUMMYFUNCTION("""COMPUTED_VALUE"""),"NSW")</f>
        <v>NSW</v>
      </c>
      <c r="C2369" s="5" t="str">
        <f>IFERROR(__xludf.DUMMYFUNCTION("""COMPUTED_VALUE"""),"Birkdale")</f>
        <v>Birkdale</v>
      </c>
      <c r="D2369" s="5" t="str">
        <f>IFERROR(__xludf.DUMMYFUNCTION("""COMPUTED_VALUE"""),"2 Johnnys Lane Birkdale QLD 4159")</f>
        <v>2 Johnnys Lane Birkdale QLD 4159</v>
      </c>
      <c r="E2369" s="25">
        <f>IFERROR(__xludf.DUMMYFUNCTION("""COMPUTED_VALUE"""),45966.0)</f>
        <v>45966</v>
      </c>
      <c r="F2369" s="5">
        <f>IFERROR(__xludf.DUMMYFUNCTION("""COMPUTED_VALUE"""),8.0)</f>
        <v>8</v>
      </c>
      <c r="G2369" s="19" t="str">
        <f>IFERROR(__xludf.DUMMYFUNCTION("""COMPUTED_VALUE"""),"Instant Forms")</f>
        <v>Instant Forms</v>
      </c>
      <c r="H2369" s="19" t="str">
        <f>IFERROR(__xludf.DUMMYFUNCTION("""COMPUTED_VALUE"""),"David Goulter")</f>
        <v>David Goulter</v>
      </c>
      <c r="I2369" s="62">
        <f>IFERROR(__xludf.DUMMYFUNCTION("""COMPUTED_VALUE"""),6.1477047833E10)</f>
        <v>61477047833</v>
      </c>
      <c r="J2369" s="19" t="str">
        <f>IFERROR(__xludf.DUMMYFUNCTION("""COMPUTED_VALUE"""),"david.goulter@bigpond.com")</f>
        <v>david.goulter@bigpond.com</v>
      </c>
    </row>
    <row r="2370">
      <c r="A2370" s="19" t="str">
        <f>IFERROR(__xludf.DUMMYFUNCTION("""COMPUTED_VALUE"""),"Stacey Ritson")</f>
        <v>Stacey Ritson</v>
      </c>
      <c r="B2370" s="19" t="str">
        <f>IFERROR(__xludf.DUMMYFUNCTION("""COMPUTED_VALUE"""),"SA")</f>
        <v>SA</v>
      </c>
      <c r="C2370" s="5" t="str">
        <f>IFERROR(__xludf.DUMMYFUNCTION("""COMPUTED_VALUE"""),"Wellington point")</f>
        <v>Wellington point</v>
      </c>
      <c r="D2370" s="5" t="str">
        <f>IFERROR(__xludf.DUMMYFUNCTION("""COMPUTED_VALUE"""),"55 Plumer Street Wellington Point QLD 4160")</f>
        <v>55 Plumer Street Wellington Point QLD 4160</v>
      </c>
      <c r="E2370" s="25">
        <f>IFERROR(__xludf.DUMMYFUNCTION("""COMPUTED_VALUE"""),45966.0)</f>
        <v>45966</v>
      </c>
      <c r="F2370" s="5">
        <f>IFERROR(__xludf.DUMMYFUNCTION("""COMPUTED_VALUE"""),8.0)</f>
        <v>8</v>
      </c>
      <c r="G2370" s="19" t="str">
        <f>IFERROR(__xludf.DUMMYFUNCTION("""COMPUTED_VALUE"""),"Instant Forms")</f>
        <v>Instant Forms</v>
      </c>
      <c r="H2370" s="19" t="str">
        <f>IFERROR(__xludf.DUMMYFUNCTION("""COMPUTED_VALUE"""),"Corrin Matthews")</f>
        <v>Corrin Matthews</v>
      </c>
      <c r="I2370" s="62">
        <f>IFERROR(__xludf.DUMMYFUNCTION("""COMPUTED_VALUE"""),6.1416098121E10)</f>
        <v>61416098121</v>
      </c>
      <c r="J2370" s="19" t="str">
        <f>IFERROR(__xludf.DUMMYFUNCTION("""COMPUTED_VALUE"""),"showbriz@gmail.com")</f>
        <v>showbriz@gmail.com</v>
      </c>
    </row>
    <row r="2371">
      <c r="A2371" s="19" t="str">
        <f>IFERROR(__xludf.DUMMYFUNCTION("""COMPUTED_VALUE"""),"Stacey Ritson")</f>
        <v>Stacey Ritson</v>
      </c>
      <c r="B2371" s="19" t="str">
        <f>IFERROR(__xludf.DUMMYFUNCTION("""COMPUTED_VALUE"""),"QLD")</f>
        <v>QLD</v>
      </c>
      <c r="C2371" s="5" t="str">
        <f>IFERROR(__xludf.DUMMYFUNCTION("""COMPUTED_VALUE"""),"Wellington Point")</f>
        <v>Wellington Point</v>
      </c>
      <c r="D2371" s="5" t="str">
        <f>IFERROR(__xludf.DUMMYFUNCTION("""COMPUTED_VALUE"""),"90 Allan Day Drive, Wellington Point, QLD, 4160, Australia")</f>
        <v>90 Allan Day Drive, Wellington Point, QLD, 4160, Australia</v>
      </c>
      <c r="E2371" s="25">
        <f>IFERROR(__xludf.DUMMYFUNCTION("""COMPUTED_VALUE"""),45971.0)</f>
        <v>45971</v>
      </c>
      <c r="F2371" s="64">
        <f>IFERROR(__xludf.DUMMYFUNCTION("""COMPUTED_VALUE"""),0.15)</f>
        <v>0.15</v>
      </c>
      <c r="G2371" s="19" t="str">
        <f>IFERROR(__xludf.DUMMYFUNCTION("""COMPUTED_VALUE"""),"Commission Comparison")</f>
        <v>Commission Comparison</v>
      </c>
      <c r="H2371" s="19" t="str">
        <f>IFERROR(__xludf.DUMMYFUNCTION("""COMPUTED_VALUE"""),"Theresa Logan")</f>
        <v>Theresa Logan</v>
      </c>
      <c r="I2371" s="62">
        <f>IFERROR(__xludf.DUMMYFUNCTION("""COMPUTED_VALUE"""),6.1409801829E10)</f>
        <v>61409801829</v>
      </c>
      <c r="J2371" s="19" t="str">
        <f>IFERROR(__xludf.DUMMYFUNCTION("""COMPUTED_VALUE"""),"theresa.logan@bigpond.com.au")</f>
        <v>theresa.logan@bigpond.com.au</v>
      </c>
    </row>
    <row r="2372">
      <c r="A2372" s="19" t="str">
        <f>IFERROR(__xludf.DUMMYFUNCTION("""COMPUTED_VALUE"""),"Stacey Ritson")</f>
        <v>Stacey Ritson</v>
      </c>
      <c r="B2372" s="19" t="str">
        <f>IFERROR(__xludf.DUMMYFUNCTION("""COMPUTED_VALUE"""),"QLD")</f>
        <v>QLD</v>
      </c>
      <c r="C2372" s="5" t="str">
        <f>IFERROR(__xludf.DUMMYFUNCTION("""COMPUTED_VALUE"""),"Wynnum west")</f>
        <v>Wynnum west</v>
      </c>
      <c r="D2372" s="5" t="str">
        <f>IFERROR(__xludf.DUMMYFUNCTION("""COMPUTED_VALUE"""),"82/37 daysure place wynnum west")</f>
        <v>82/37 daysure place wynnum west</v>
      </c>
      <c r="E2372" s="25">
        <f>IFERROR(__xludf.DUMMYFUNCTION("""COMPUTED_VALUE"""),45971.0)</f>
        <v>45971</v>
      </c>
      <c r="F2372" s="64">
        <f>IFERROR(__xludf.DUMMYFUNCTION("""COMPUTED_VALUE"""),0.15)</f>
        <v>0.15</v>
      </c>
      <c r="G2372" s="19" t="str">
        <f>IFERROR(__xludf.DUMMYFUNCTION("""COMPUTED_VALUE"""),"Commission Comparison")</f>
        <v>Commission Comparison</v>
      </c>
      <c r="H2372" s="19" t="str">
        <f>IFERROR(__xludf.DUMMYFUNCTION("""COMPUTED_VALUE"""),"Peter Fitzgerald")</f>
        <v>Peter Fitzgerald</v>
      </c>
      <c r="I2372" s="62">
        <f>IFERROR(__xludf.DUMMYFUNCTION("""COMPUTED_VALUE"""),6.1457734906E10)</f>
        <v>61457734906</v>
      </c>
      <c r="J2372" s="19" t="str">
        <f>IFERROR(__xludf.DUMMYFUNCTION("""COMPUTED_VALUE"""),"p.fitzgerakd@gmx.com")</f>
        <v>p.fitzgerakd@gmx.com</v>
      </c>
    </row>
    <row r="2373">
      <c r="A2373" s="19" t="str">
        <f>IFERROR(__xludf.DUMMYFUNCTION("""COMPUTED_VALUE"""),"Stacey Ritson")</f>
        <v>Stacey Ritson</v>
      </c>
      <c r="B2373" s="19" t="str">
        <f>IFERROR(__xludf.DUMMYFUNCTION("""COMPUTED_VALUE"""),"QLD")</f>
        <v>QLD</v>
      </c>
      <c r="C2373" s="5" t="str">
        <f>IFERROR(__xludf.DUMMYFUNCTION("""COMPUTED_VALUE"""),"Birkdale")</f>
        <v>Birkdale</v>
      </c>
      <c r="D2373" s="5" t="str">
        <f>IFERROR(__xludf.DUMMYFUNCTION("""COMPUTED_VALUE"""),"4/64 Valantine Road Birkdale QLD 4159")</f>
        <v>4/64 Valantine Road Birkdale QLD 4159</v>
      </c>
      <c r="E2373" s="25">
        <f>IFERROR(__xludf.DUMMYFUNCTION("""COMPUTED_VALUE"""),45971.0)</f>
        <v>45971</v>
      </c>
      <c r="F2373" s="5">
        <f>IFERROR(__xludf.DUMMYFUNCTION("""COMPUTED_VALUE"""),8.0)</f>
        <v>8</v>
      </c>
      <c r="G2373" s="19" t="str">
        <f>IFERROR(__xludf.DUMMYFUNCTION("""COMPUTED_VALUE"""),"Instant Forms")</f>
        <v>Instant Forms</v>
      </c>
      <c r="H2373" s="19" t="str">
        <f>IFERROR(__xludf.DUMMYFUNCTION("""COMPUTED_VALUE"""),"David Baker")</f>
        <v>David Baker</v>
      </c>
      <c r="I2373" s="62">
        <f>IFERROR(__xludf.DUMMYFUNCTION("""COMPUTED_VALUE"""),6.1457069665E10)</f>
        <v>61457069665</v>
      </c>
      <c r="J2373" s="19" t="str">
        <f>IFERROR(__xludf.DUMMYFUNCTION("""COMPUTED_VALUE"""),"dacey1925@gmail.com")</f>
        <v>dacey1925@gmail.com</v>
      </c>
    </row>
    <row r="2374">
      <c r="A2374" s="19" t="str">
        <f>IFERROR(__xludf.DUMMYFUNCTION("""COMPUTED_VALUE"""),"Stacey Ritson")</f>
        <v>Stacey Ritson</v>
      </c>
      <c r="B2374" s="19" t="str">
        <f>IFERROR(__xludf.DUMMYFUNCTION("""COMPUTED_VALUE"""),"QLD")</f>
        <v>QLD</v>
      </c>
      <c r="C2374" s="5" t="str">
        <f>IFERROR(__xludf.DUMMYFUNCTION("""COMPUTED_VALUE"""),"Wellington Point")</f>
        <v>Wellington Point</v>
      </c>
      <c r="D2374" s="5" t="str">
        <f>IFERROR(__xludf.DUMMYFUNCTION("""COMPUTED_VALUE"""),"10 Rosella st Wellington Point, Wellington Point, 4160")</f>
        <v>10 Rosella st Wellington Point, Wellington Point, 4160</v>
      </c>
      <c r="E2374" s="5" t="str">
        <f>IFERROR(__xludf.DUMMYFUNCTION("""COMPUTED_VALUE"""),"22/11/2025")</f>
        <v>22/11/2025</v>
      </c>
      <c r="F2374" s="5" t="str">
        <f>IFERROR(__xludf.DUMMYFUNCTION("""COMPUTED_VALUE"""),"Featured")</f>
        <v>Featured</v>
      </c>
      <c r="G2374" s="19" t="str">
        <f>IFERROR(__xludf.DUMMYFUNCTION("""COMPUTED_VALUE"""),"Meta Commission Report")</f>
        <v>Meta Commission Report</v>
      </c>
      <c r="H2374" s="19" t="str">
        <f>IFERROR(__xludf.DUMMYFUNCTION("""COMPUTED_VALUE"""),"Corey Brown")</f>
        <v>Corey Brown</v>
      </c>
      <c r="I2374" s="62">
        <f>IFERROR(__xludf.DUMMYFUNCTION("""COMPUTED_VALUE"""),6.1430500703E10)</f>
        <v>61430500703</v>
      </c>
      <c r="J2374" s="19" t="str">
        <f>IFERROR(__xludf.DUMMYFUNCTION("""COMPUTED_VALUE"""),"Coreybrown_@outlook.com")</f>
        <v>Coreybrown_@outlook.com</v>
      </c>
    </row>
    <row r="2375">
      <c r="A2375" s="19" t="str">
        <f>IFERROR(__xludf.DUMMYFUNCTION("""COMPUTED_VALUE"""),"Stacey Ritson")</f>
        <v>Stacey Ritson</v>
      </c>
      <c r="B2375" s="19" t="str">
        <f>IFERROR(__xludf.DUMMYFUNCTION("""COMPUTED_VALUE"""),"QLD")</f>
        <v>QLD</v>
      </c>
      <c r="C2375" s="5" t="str">
        <f>IFERROR(__xludf.DUMMYFUNCTION("""COMPUTED_VALUE"""),"Wellington Point")</f>
        <v>Wellington Point</v>
      </c>
      <c r="D2375" s="5" t="str">
        <f>IFERROR(__xludf.DUMMYFUNCTION("""COMPUTED_VALUE"""),"14 Wallace Street Wellington Point QLD 4160")</f>
        <v>14 Wallace Street Wellington Point QLD 4160</v>
      </c>
      <c r="E2375" s="5" t="str">
        <f>IFERROR(__xludf.DUMMYFUNCTION("""COMPUTED_VALUE"""),"22/11/2025")</f>
        <v>22/11/2025</v>
      </c>
      <c r="F2375" s="5">
        <f>IFERROR(__xludf.DUMMYFUNCTION("""COMPUTED_VALUE"""),8.0)</f>
        <v>8</v>
      </c>
      <c r="G2375" s="19" t="str">
        <f>IFERROR(__xludf.DUMMYFUNCTION("""COMPUTED_VALUE"""),"Instant Forms")</f>
        <v>Instant Forms</v>
      </c>
      <c r="H2375" s="19" t="str">
        <f>IFERROR(__xludf.DUMMYFUNCTION("""COMPUTED_VALUE"""),"David Pettigrew")</f>
        <v>David Pettigrew</v>
      </c>
      <c r="I2375" s="62">
        <f>IFERROR(__xludf.DUMMYFUNCTION("""COMPUTED_VALUE"""),6.1432893178E10)</f>
        <v>61432893178</v>
      </c>
      <c r="J2375" s="19" t="str">
        <f>IFERROR(__xludf.DUMMYFUNCTION("""COMPUTED_VALUE"""),"david.pettigrew@optusnet.com.au")</f>
        <v>david.pettigrew@optusnet.com.au</v>
      </c>
    </row>
    <row r="2376">
      <c r="A2376" s="19" t="str">
        <f>IFERROR(__xludf.DUMMYFUNCTION("""COMPUTED_VALUE"""),"Stacey Ritson")</f>
        <v>Stacey Ritson</v>
      </c>
      <c r="B2376" s="19" t="str">
        <f>IFERROR(__xludf.DUMMYFUNCTION("""COMPUTED_VALUE"""),"QLD")</f>
        <v>QLD</v>
      </c>
      <c r="C2376" s="5" t="str">
        <f>IFERROR(__xludf.DUMMYFUNCTION("""COMPUTED_VALUE"""),"Wellington Point")</f>
        <v>Wellington Point</v>
      </c>
      <c r="D2376" s="5" t="str">
        <f>IFERROR(__xludf.DUMMYFUNCTION("""COMPUTED_VALUE"""),"14 Wallace St, Wellington Point , QLD, 4160, Australia, Wellington Point, Queensland")</f>
        <v>14 Wallace St, Wellington Point , QLD, 4160, Australia, Wellington Point, Queensland</v>
      </c>
      <c r="E2376" s="5" t="str">
        <f>IFERROR(__xludf.DUMMYFUNCTION("""COMPUTED_VALUE"""),"27/11/2025")</f>
        <v>27/11/2025</v>
      </c>
      <c r="F2376" s="5" t="str">
        <f>IFERROR(__xludf.DUMMYFUNCTION("""COMPUTED_VALUE"""),"Featured")</f>
        <v>Featured</v>
      </c>
      <c r="G2376" s="19" t="str">
        <f>IFERROR(__xludf.DUMMYFUNCTION("""COMPUTED_VALUE"""),"Meta Commission Report")</f>
        <v>Meta Commission Report</v>
      </c>
      <c r="H2376" s="19" t="str">
        <f>IFERROR(__xludf.DUMMYFUNCTION("""COMPUTED_VALUE"""),"David Pettigrew")</f>
        <v>David Pettigrew</v>
      </c>
      <c r="I2376" s="62">
        <f>IFERROR(__xludf.DUMMYFUNCTION("""COMPUTED_VALUE"""),6.1432893178E10)</f>
        <v>61432893178</v>
      </c>
      <c r="J2376" s="19" t="str">
        <f>IFERROR(__xludf.DUMMYFUNCTION("""COMPUTED_VALUE"""),"david.pettigrew@optusnet.com.au")</f>
        <v>david.pettigrew@optusnet.com.au</v>
      </c>
    </row>
    <row r="2377">
      <c r="A2377" s="19" t="str">
        <f>IFERROR(__xludf.DUMMYFUNCTION("""COMPUTED_VALUE"""),"Stacey Ritson")</f>
        <v>Stacey Ritson</v>
      </c>
      <c r="B2377" s="19" t="str">
        <f>IFERROR(__xludf.DUMMYFUNCTION("""COMPUTED_VALUE"""),"QLD")</f>
        <v>QLD</v>
      </c>
      <c r="C2377" s="5" t="str">
        <f>IFERROR(__xludf.DUMMYFUNCTION("""COMPUTED_VALUE"""),"Thorneside")</f>
        <v>Thorneside</v>
      </c>
      <c r="D2377" s="5" t="str">
        <f>IFERROR(__xludf.DUMMYFUNCTION("""COMPUTED_VALUE"""),"11 beatty rd, 4158")</f>
        <v>11 beatty rd, 4158</v>
      </c>
      <c r="E2377" s="5" t="str">
        <f>IFERROR(__xludf.DUMMYFUNCTION("""COMPUTED_VALUE"""),"27/11/2025")</f>
        <v>27/11/2025</v>
      </c>
      <c r="F2377" s="64">
        <f>IFERROR(__xludf.DUMMYFUNCTION("""COMPUTED_VALUE"""),0.2)</f>
        <v>0.2</v>
      </c>
      <c r="G2377" s="19" t="str">
        <f>IFERROR(__xludf.DUMMYFUNCTION("""COMPUTED_VALUE"""),"Meta Commission Report")</f>
        <v>Meta Commission Report</v>
      </c>
      <c r="H2377" s="19" t="str">
        <f>IFERROR(__xludf.DUMMYFUNCTION("""COMPUTED_VALUE"""),"Michael Russell")</f>
        <v>Michael Russell</v>
      </c>
      <c r="I2377" s="62">
        <f>IFERROR(__xludf.DUMMYFUNCTION("""COMPUTED_VALUE"""),6.1414444818E10)</f>
        <v>61414444818</v>
      </c>
      <c r="J2377" s="19" t="str">
        <f>IFERROR(__xludf.DUMMYFUNCTION("""COMPUTED_VALUE"""),"Cobberprojects@gmail.com")</f>
        <v>Cobberprojects@gmail.com</v>
      </c>
    </row>
    <row r="2378">
      <c r="A2378" s="19" t="str">
        <f>IFERROR(__xludf.DUMMYFUNCTION("""COMPUTED_VALUE"""),"")</f>
        <v/>
      </c>
      <c r="B2378" s="19" t="str">
        <f>IFERROR(__xludf.DUMMYFUNCTION("""COMPUTED_VALUE"""),"")</f>
        <v/>
      </c>
      <c r="C2378" s="5" t="str">
        <f>IFERROR(__xludf.DUMMYFUNCTION("""COMPUTED_VALUE"""),"")</f>
        <v/>
      </c>
      <c r="D2378" s="5" t="str">
        <f>IFERROR(__xludf.DUMMYFUNCTION("""COMPUTED_VALUE"""),"")</f>
        <v/>
      </c>
      <c r="E2378" s="5" t="str">
        <f>IFERROR(__xludf.DUMMYFUNCTION("""COMPUTED_VALUE"""),"")</f>
        <v/>
      </c>
      <c r="F2378" s="5" t="str">
        <f>IFERROR(__xludf.DUMMYFUNCTION("""COMPUTED_VALUE"""),"")</f>
        <v/>
      </c>
      <c r="G2378" s="19" t="str">
        <f>IFERROR(__xludf.DUMMYFUNCTION("""COMPUTED_VALUE"""),"")</f>
        <v/>
      </c>
      <c r="H2378" s="19" t="str">
        <f>IFERROR(__xludf.DUMMYFUNCTION("""COMPUTED_VALUE"""),"")</f>
        <v/>
      </c>
      <c r="I2378" s="62" t="str">
        <f>IFERROR(__xludf.DUMMYFUNCTION("""COMPUTED_VALUE"""),"")</f>
        <v/>
      </c>
      <c r="J2378" s="19" t="str">
        <f>IFERROR(__xludf.DUMMYFUNCTION("""COMPUTED_VALUE"""),"")</f>
        <v/>
      </c>
    </row>
    <row r="2379">
      <c r="A2379" s="19" t="str">
        <f>IFERROR(__xludf.DUMMYFUNCTION("""COMPUTED_VALUE"""),"")</f>
        <v/>
      </c>
      <c r="B2379" s="19" t="str">
        <f>IFERROR(__xludf.DUMMYFUNCTION("""COMPUTED_VALUE"""),"")</f>
        <v/>
      </c>
      <c r="C2379" s="5" t="str">
        <f>IFERROR(__xludf.DUMMYFUNCTION("""COMPUTED_VALUE"""),"")</f>
        <v/>
      </c>
      <c r="D2379" s="5" t="str">
        <f>IFERROR(__xludf.DUMMYFUNCTION("""COMPUTED_VALUE"""),"")</f>
        <v/>
      </c>
      <c r="E2379" s="5" t="str">
        <f>IFERROR(__xludf.DUMMYFUNCTION("""COMPUTED_VALUE"""),"")</f>
        <v/>
      </c>
      <c r="F2379" s="5" t="str">
        <f>IFERROR(__xludf.DUMMYFUNCTION("""COMPUTED_VALUE"""),"")</f>
        <v/>
      </c>
      <c r="G2379" s="19" t="str">
        <f>IFERROR(__xludf.DUMMYFUNCTION("""COMPUTED_VALUE"""),"")</f>
        <v/>
      </c>
      <c r="H2379" s="19" t="str">
        <f>IFERROR(__xludf.DUMMYFUNCTION("""COMPUTED_VALUE"""),"")</f>
        <v/>
      </c>
      <c r="I2379" s="62" t="str">
        <f>IFERROR(__xludf.DUMMYFUNCTION("""COMPUTED_VALUE"""),"")</f>
        <v/>
      </c>
      <c r="J2379" s="19" t="str">
        <f>IFERROR(__xludf.DUMMYFUNCTION("""COMPUTED_VALUE"""),"")</f>
        <v/>
      </c>
    </row>
    <row r="2380">
      <c r="A2380" s="19" t="str">
        <f>IFERROR(__xludf.DUMMYFUNCTION("""COMPUTED_VALUE"""),"Stu Hamill")</f>
        <v>Stu Hamill</v>
      </c>
      <c r="B2380" s="19" t="str">
        <f>IFERROR(__xludf.DUMMYFUNCTION("""COMPUTED_VALUE"""),"ACT")</f>
        <v>ACT</v>
      </c>
      <c r="C2380" s="5" t="str">
        <f>IFERROR(__xludf.DUMMYFUNCTION("""COMPUTED_VALUE"""),"Phillip")</f>
        <v>Phillip</v>
      </c>
      <c r="D2380" s="5" t="str">
        <f>IFERROR(__xludf.DUMMYFUNCTION("""COMPUTED_VALUE"""),"66 Byron Court Phillip ACT 2606")</f>
        <v>66 Byron Court Phillip ACT 2606</v>
      </c>
      <c r="E2380" s="5" t="str">
        <f>IFERROR(__xludf.DUMMYFUNCTION("""COMPUTED_VALUE"""),"22/11/2025")</f>
        <v>22/11/2025</v>
      </c>
      <c r="F2380" s="5">
        <f>IFERROR(__xludf.DUMMYFUNCTION("""COMPUTED_VALUE"""),6.0)</f>
        <v>6</v>
      </c>
      <c r="G2380" s="19" t="str">
        <f>IFERROR(__xludf.DUMMYFUNCTION("""COMPUTED_VALUE"""),"Instant Forms")</f>
        <v>Instant Forms</v>
      </c>
      <c r="H2380" s="19" t="str">
        <f>IFERROR(__xludf.DUMMYFUNCTION("""COMPUTED_VALUE"""),"Sam Edwards")</f>
        <v>Sam Edwards</v>
      </c>
      <c r="I2380" s="62">
        <f>IFERROR(__xludf.DUMMYFUNCTION("""COMPUTED_VALUE"""),6.1413010494E10)</f>
        <v>61413010494</v>
      </c>
      <c r="J2380" s="19" t="str">
        <f>IFERROR(__xludf.DUMMYFUNCTION("""COMPUTED_VALUE"""),"Ladyofthewildthings@gmail.com")</f>
        <v>Ladyofthewildthings@gmail.com</v>
      </c>
    </row>
    <row r="2381">
      <c r="A2381" s="19" t="str">
        <f>IFERROR(__xludf.DUMMYFUNCTION("""COMPUTED_VALUE"""),"Stu Hamill")</f>
        <v>Stu Hamill</v>
      </c>
      <c r="B2381" s="19" t="str">
        <f>IFERROR(__xludf.DUMMYFUNCTION("""COMPUTED_VALUE"""),"ACT")</f>
        <v>ACT</v>
      </c>
      <c r="C2381" s="5" t="str">
        <f>IFERROR(__xludf.DUMMYFUNCTION("""COMPUTED_VALUE"""),"Campbell")</f>
        <v>Campbell</v>
      </c>
      <c r="D2381" s="5" t="str">
        <f>IFERROR(__xludf.DUMMYFUNCTION("""COMPUTED_VALUE"""),"G07/2 Anzac Park, Campbell, Australian Capital Territory")</f>
        <v>G07/2 Anzac Park, Campbell, Australian Capital Territory</v>
      </c>
      <c r="E2381" s="5" t="str">
        <f>IFERROR(__xludf.DUMMYFUNCTION("""COMPUTED_VALUE"""),"22/11/2025")</f>
        <v>22/11/2025</v>
      </c>
      <c r="F2381" s="5" t="str">
        <f>IFERROR(__xludf.DUMMYFUNCTION("""COMPUTED_VALUE"""),"Featured")</f>
        <v>Featured</v>
      </c>
      <c r="G2381" s="19" t="str">
        <f>IFERROR(__xludf.DUMMYFUNCTION("""COMPUTED_VALUE"""),"Meta Commission Report")</f>
        <v>Meta Commission Report</v>
      </c>
      <c r="H2381" s="19" t="str">
        <f>IFERROR(__xludf.DUMMYFUNCTION("""COMPUTED_VALUE"""),"Roberta Bettio")</f>
        <v>Roberta Bettio</v>
      </c>
      <c r="I2381" s="62">
        <f>IFERROR(__xludf.DUMMYFUNCTION("""COMPUTED_VALUE"""),6.10412261442E11)</f>
        <v>610412261442</v>
      </c>
      <c r="J2381" s="19" t="str">
        <f>IFERROR(__xludf.DUMMYFUNCTION("""COMPUTED_VALUE"""),"roberta.bettio@outlook.com")</f>
        <v>roberta.bettio@outlook.com</v>
      </c>
    </row>
    <row r="2382">
      <c r="A2382" s="19" t="str">
        <f>IFERROR(__xludf.DUMMYFUNCTION("""COMPUTED_VALUE"""),"Stu Hamill")</f>
        <v>Stu Hamill</v>
      </c>
      <c r="B2382" s="19" t="str">
        <f>IFERROR(__xludf.DUMMYFUNCTION("""COMPUTED_VALUE"""),"ACT")</f>
        <v>ACT</v>
      </c>
      <c r="C2382" s="5" t="str">
        <f>IFERROR(__xludf.DUMMYFUNCTION("""COMPUTED_VALUE"""),"Holt")</f>
        <v>Holt</v>
      </c>
      <c r="D2382" s="5" t="str">
        <f>IFERROR(__xludf.DUMMYFUNCTION("""COMPUTED_VALUE"""),"337 Southern Cross Drive Holt ACT 2615")</f>
        <v>337 Southern Cross Drive Holt ACT 2615</v>
      </c>
      <c r="E2382" s="5" t="str">
        <f>IFERROR(__xludf.DUMMYFUNCTION("""COMPUTED_VALUE"""),"25/11/2025")</f>
        <v>25/11/2025</v>
      </c>
      <c r="F2382" s="5">
        <f>IFERROR(__xludf.DUMMYFUNCTION("""COMPUTED_VALUE"""),8.0)</f>
        <v>8</v>
      </c>
      <c r="G2382" s="19" t="str">
        <f>IFERROR(__xludf.DUMMYFUNCTION("""COMPUTED_VALUE"""),"Instant Forms")</f>
        <v>Instant Forms</v>
      </c>
      <c r="H2382" s="19" t="str">
        <f>IFERROR(__xludf.DUMMYFUNCTION("""COMPUTED_VALUE"""),"Sandra James")</f>
        <v>Sandra James</v>
      </c>
      <c r="I2382" s="62">
        <f>IFERROR(__xludf.DUMMYFUNCTION("""COMPUTED_VALUE"""),6.14206623E10)</f>
        <v>61420662300</v>
      </c>
      <c r="J2382" s="19" t="str">
        <f>IFERROR(__xludf.DUMMYFUNCTION("""COMPUTED_VALUE"""),"magicmoments28@hotmail.com")</f>
        <v>magicmoments28@hotmail.com</v>
      </c>
    </row>
    <row r="2383">
      <c r="A2383" s="19" t="str">
        <f>IFERROR(__xludf.DUMMYFUNCTION("""COMPUTED_VALUE"""),"Stu Hamill")</f>
        <v>Stu Hamill</v>
      </c>
      <c r="B2383" s="19" t="str">
        <f>IFERROR(__xludf.DUMMYFUNCTION("""COMPUTED_VALUE"""),"Unknown")</f>
        <v>Unknown</v>
      </c>
      <c r="C2383" s="5" t="str">
        <f>IFERROR(__xludf.DUMMYFUNCTION("""COMPUTED_VALUE"""),"Rivett")</f>
        <v>Rivett</v>
      </c>
      <c r="D2383" s="5" t="str">
        <f>IFERROR(__xludf.DUMMYFUNCTION("""COMPUTED_VALUE"""),"6 Gungurra Cres")</f>
        <v>6 Gungurra Cres</v>
      </c>
      <c r="E2383" s="27">
        <f>IFERROR(__xludf.DUMMYFUNCTION("""COMPUTED_VALUE"""),45759.0)</f>
        <v>45759</v>
      </c>
      <c r="F2383" s="64">
        <f>IFERROR(__xludf.DUMMYFUNCTION("""COMPUTED_VALUE"""),0.2)</f>
        <v>0.2</v>
      </c>
      <c r="G2383" s="19" t="str">
        <f>IFERROR(__xludf.DUMMYFUNCTION("""COMPUTED_VALUE"""),"Commission Comparison")</f>
        <v>Commission Comparison</v>
      </c>
      <c r="H2383" s="19" t="str">
        <f>IFERROR(__xludf.DUMMYFUNCTION("""COMPUTED_VALUE"""),"Eric Roger Laderach")</f>
        <v>Eric Roger Laderach</v>
      </c>
      <c r="I2383" s="62">
        <f>IFERROR(__xludf.DUMMYFUNCTION("""COMPUTED_VALUE"""),6.1406378368E10)</f>
        <v>61406378368</v>
      </c>
      <c r="J2383" s="19" t="str">
        <f>IFERROR(__xludf.DUMMYFUNCTION("""COMPUTED_VALUE"""),"ericladerach@gmail.com")</f>
        <v>ericladerach@gmail.com</v>
      </c>
    </row>
    <row r="2384">
      <c r="A2384" s="19" t="str">
        <f>IFERROR(__xludf.DUMMYFUNCTION("""COMPUTED_VALUE"""),"Stu Hamill")</f>
        <v>Stu Hamill</v>
      </c>
      <c r="B2384" s="19" t="str">
        <f>IFERROR(__xludf.DUMMYFUNCTION("""COMPUTED_VALUE"""),"ACT")</f>
        <v>ACT</v>
      </c>
      <c r="C2384" s="5" t="str">
        <f>IFERROR(__xludf.DUMMYFUNCTION("""COMPUTED_VALUE"""),"replace(replace(replace(trim(22 Ballarat Street Fisher ACT 2611); /,/g; "" ""); /\s+/g; "" ""); /.\b(?:avenue|ave|boulevard|blvd|bvd|circuit|cct|close|cl|court|ct|crescent|cres|drive|dr|esplanade|esp|grove|gr|highway|hwy|lane|ln|laneway|lnwy|parade|pde|pl"&amp;"ace|pl|promenade|prom|road|rd|row|ro|street|st|terrace|tce|way|wy)\b\s+(.+?)\s+(NSW|QLD|VIC|WA|SA|TAS|ACT|NT)\s+\d{4}\b.$/i; ""$1"")")</f>
        <v>replace(replace(replace(trim(22 Ballarat Street Fisher ACT 2611);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384" s="5" t="str">
        <f>IFERROR(__xludf.DUMMYFUNCTION("""COMPUTED_VALUE"""),"22 Ballarat Street Fisher ACT 2611")</f>
        <v>22 Ballarat Street Fisher ACT 2611</v>
      </c>
      <c r="E2384" s="27">
        <f>IFERROR(__xludf.DUMMYFUNCTION("""COMPUTED_VALUE"""),45789.0)</f>
        <v>45789</v>
      </c>
      <c r="F2384" s="64">
        <f>IFERROR(__xludf.DUMMYFUNCTION("""COMPUTED_VALUE"""),0.2)</f>
        <v>0.2</v>
      </c>
      <c r="G2384" s="19" t="str">
        <f>IFERROR(__xludf.DUMMYFUNCTION("""COMPUTED_VALUE"""),"Instant Forms")</f>
        <v>Instant Forms</v>
      </c>
      <c r="H2384" s="19" t="str">
        <f>IFERROR(__xludf.DUMMYFUNCTION("""COMPUTED_VALUE"""),"Jennifer Pickard")</f>
        <v>Jennifer Pickard</v>
      </c>
      <c r="I2384" s="62">
        <f>IFERROR(__xludf.DUMMYFUNCTION("""COMPUTED_VALUE"""),6.1439665541E10)</f>
        <v>61439665541</v>
      </c>
      <c r="J2384" s="19" t="str">
        <f>IFERROR(__xludf.DUMMYFUNCTION("""COMPUTED_VALUE"""),"jennifer.pickard5@gmail.com")</f>
        <v>jennifer.pickard5@gmail.com</v>
      </c>
    </row>
    <row r="2385">
      <c r="A2385" s="19" t="str">
        <f>IFERROR(__xludf.DUMMYFUNCTION("""COMPUTED_VALUE"""),"")</f>
        <v/>
      </c>
      <c r="B2385" s="19" t="str">
        <f>IFERROR(__xludf.DUMMYFUNCTION("""COMPUTED_VALUE"""),"")</f>
        <v/>
      </c>
      <c r="C2385" s="5" t="str">
        <f>IFERROR(__xludf.DUMMYFUNCTION("""COMPUTED_VALUE"""),"")</f>
        <v/>
      </c>
      <c r="D2385" s="5" t="str">
        <f>IFERROR(__xludf.DUMMYFUNCTION("""COMPUTED_VALUE"""),"")</f>
        <v/>
      </c>
      <c r="E2385" s="5" t="str">
        <f>IFERROR(__xludf.DUMMYFUNCTION("""COMPUTED_VALUE"""),"")</f>
        <v/>
      </c>
      <c r="F2385" s="5" t="str">
        <f>IFERROR(__xludf.DUMMYFUNCTION("""COMPUTED_VALUE"""),"")</f>
        <v/>
      </c>
      <c r="G2385" s="19" t="str">
        <f>IFERROR(__xludf.DUMMYFUNCTION("""COMPUTED_VALUE"""),"")</f>
        <v/>
      </c>
      <c r="H2385" s="19" t="str">
        <f>IFERROR(__xludf.DUMMYFUNCTION("""COMPUTED_VALUE"""),"")</f>
        <v/>
      </c>
      <c r="I2385" s="62" t="str">
        <f>IFERROR(__xludf.DUMMYFUNCTION("""COMPUTED_VALUE"""),"")</f>
        <v/>
      </c>
      <c r="J2385" s="19" t="str">
        <f>IFERROR(__xludf.DUMMYFUNCTION("""COMPUTED_VALUE"""),"")</f>
        <v/>
      </c>
    </row>
    <row r="2386">
      <c r="A2386" s="19" t="str">
        <f>IFERROR(__xludf.DUMMYFUNCTION("""COMPUTED_VALUE"""),"")</f>
        <v/>
      </c>
      <c r="B2386" s="19" t="str">
        <f>IFERROR(__xludf.DUMMYFUNCTION("""COMPUTED_VALUE"""),"")</f>
        <v/>
      </c>
      <c r="C2386" s="5" t="str">
        <f>IFERROR(__xludf.DUMMYFUNCTION("""COMPUTED_VALUE"""),"")</f>
        <v/>
      </c>
      <c r="D2386" s="5" t="str">
        <f>IFERROR(__xludf.DUMMYFUNCTION("""COMPUTED_VALUE"""),"")</f>
        <v/>
      </c>
      <c r="E2386" s="5" t="str">
        <f>IFERROR(__xludf.DUMMYFUNCTION("""COMPUTED_VALUE"""),"")</f>
        <v/>
      </c>
      <c r="F2386" s="5" t="str">
        <f>IFERROR(__xludf.DUMMYFUNCTION("""COMPUTED_VALUE"""),"")</f>
        <v/>
      </c>
      <c r="G2386" s="19" t="str">
        <f>IFERROR(__xludf.DUMMYFUNCTION("""COMPUTED_VALUE"""),"")</f>
        <v/>
      </c>
      <c r="H2386" s="19" t="str">
        <f>IFERROR(__xludf.DUMMYFUNCTION("""COMPUTED_VALUE"""),"")</f>
        <v/>
      </c>
      <c r="I2386" s="62" t="str">
        <f>IFERROR(__xludf.DUMMYFUNCTION("""COMPUTED_VALUE"""),"")</f>
        <v/>
      </c>
      <c r="J2386" s="19" t="str">
        <f>IFERROR(__xludf.DUMMYFUNCTION("""COMPUTED_VALUE"""),"")</f>
        <v/>
      </c>
    </row>
    <row r="2387">
      <c r="A2387" s="19" t="str">
        <f>IFERROR(__xludf.DUMMYFUNCTION("""COMPUTED_VALUE"""),"Suzana White")</f>
        <v>Suzana White</v>
      </c>
      <c r="B2387" s="19" t="str">
        <f>IFERROR(__xludf.DUMMYFUNCTION("""COMPUTED_VALUE"""),"WA")</f>
        <v>WA</v>
      </c>
      <c r="C2387" s="5" t="str">
        <f>IFERROR(__xludf.DUMMYFUNCTION("""COMPUTED_VALUE"""),"Carramar")</f>
        <v>Carramar</v>
      </c>
      <c r="D2387" s="5" t="str">
        <f>IFERROR(__xludf.DUMMYFUNCTION("""COMPUTED_VALUE"""),"33 Bushland retreat")</f>
        <v>33 Bushland retreat</v>
      </c>
      <c r="E2387" s="25">
        <f>IFERROR(__xludf.DUMMYFUNCTION("""COMPUTED_VALUE"""),45881.0)</f>
        <v>45881</v>
      </c>
      <c r="F2387" s="5" t="str">
        <f>IFERROR(__xludf.DUMMYFUNCTION("""COMPUTED_VALUE"""),"Featured")</f>
        <v>Featured</v>
      </c>
      <c r="G2387" s="19" t="str">
        <f>IFERROR(__xludf.DUMMYFUNCTION("""COMPUTED_VALUE"""),"Instant Forms")</f>
        <v>Instant Forms</v>
      </c>
      <c r="H2387" s="19"/>
      <c r="I2387" s="62"/>
      <c r="J2387" s="19"/>
    </row>
    <row r="2388">
      <c r="A2388" s="19" t="str">
        <f>IFERROR(__xludf.DUMMYFUNCTION("""COMPUTED_VALUE"""),"Suzana White")</f>
        <v>Suzana White</v>
      </c>
      <c r="B2388" s="19" t="str">
        <f>IFERROR(__xludf.DUMMYFUNCTION("""COMPUTED_VALUE"""),"WA")</f>
        <v>WA</v>
      </c>
      <c r="C2388" s="5" t="str">
        <f>IFERROR(__xludf.DUMMYFUNCTION("""COMPUTED_VALUE"""),"Yanchep")</f>
        <v>Yanchep</v>
      </c>
      <c r="D2388" s="5" t="str">
        <f>IFERROR(__xludf.DUMMYFUNCTION("""COMPUTED_VALUE"""),"25 Flax Road Yanchep WA 6035")</f>
        <v>25 Flax Road Yanchep WA 6035</v>
      </c>
      <c r="E2388" s="25">
        <f>IFERROR(__xludf.DUMMYFUNCTION("""COMPUTED_VALUE"""),45890.0)</f>
        <v>45890</v>
      </c>
      <c r="F2388" s="5" t="str">
        <f>IFERROR(__xludf.DUMMYFUNCTION("""COMPUTED_VALUE"""),"Featured")</f>
        <v>Featured</v>
      </c>
      <c r="G2388" s="19" t="str">
        <f>IFERROR(__xludf.DUMMYFUNCTION("""COMPUTED_VALUE"""),"Instant Forms")</f>
        <v>Instant Forms</v>
      </c>
      <c r="H2388" s="19"/>
      <c r="I2388" s="62"/>
      <c r="J2388" s="19"/>
    </row>
    <row r="2389">
      <c r="A2389" s="19" t="str">
        <f>IFERROR(__xludf.DUMMYFUNCTION("""COMPUTED_VALUE"""),"Suzana White")</f>
        <v>Suzana White</v>
      </c>
      <c r="B2389" s="19" t="str">
        <f>IFERROR(__xludf.DUMMYFUNCTION("""COMPUTED_VALUE"""),"WA")</f>
        <v>WA</v>
      </c>
      <c r="C2389" s="5" t="str">
        <f>IFERROR(__xludf.DUMMYFUNCTION("""COMPUTED_VALUE"""),"Mindarie")</f>
        <v>Mindarie</v>
      </c>
      <c r="D2389" s="5" t="str">
        <f>IFERROR(__xludf.DUMMYFUNCTION("""COMPUTED_VALUE"""),"Mindarie Wa 6030, Australia, Mindarie, 6030")</f>
        <v>Mindarie Wa 6030, Australia, Mindarie, 6030</v>
      </c>
      <c r="E2389" s="25" t="str">
        <f>IFERROR(__xludf.DUMMYFUNCTION("""COMPUTED_VALUE"""),"22/10/2025")</f>
        <v>22/10/2025</v>
      </c>
      <c r="F2389" s="5" t="str">
        <f>IFERROR(__xludf.DUMMYFUNCTION("""COMPUTED_VALUE"""),"Featured")</f>
        <v>Featured</v>
      </c>
      <c r="G2389" s="19" t="str">
        <f>IFERROR(__xludf.DUMMYFUNCTION("""COMPUTED_VALUE"""),"Meta Commission Report")</f>
        <v>Meta Commission Report</v>
      </c>
      <c r="H2389" s="19" t="str">
        <f>IFERROR(__xludf.DUMMYFUNCTION("""COMPUTED_VALUE"""),"Peter Craig")</f>
        <v>Peter Craig</v>
      </c>
      <c r="I2389" s="62"/>
      <c r="J2389" s="19"/>
    </row>
    <row r="2390">
      <c r="A2390" s="19" t="str">
        <f>IFERROR(__xludf.DUMMYFUNCTION("""COMPUTED_VALUE"""),"")</f>
        <v/>
      </c>
      <c r="B2390" s="19" t="str">
        <f>IFERROR(__xludf.DUMMYFUNCTION("""COMPUTED_VALUE"""),"")</f>
        <v/>
      </c>
      <c r="C2390" s="5" t="str">
        <f>IFERROR(__xludf.DUMMYFUNCTION("""COMPUTED_VALUE"""),"")</f>
        <v/>
      </c>
      <c r="D2390" s="5" t="str">
        <f>IFERROR(__xludf.DUMMYFUNCTION("""COMPUTED_VALUE"""),"")</f>
        <v/>
      </c>
      <c r="E2390" s="5" t="str">
        <f>IFERROR(__xludf.DUMMYFUNCTION("""COMPUTED_VALUE"""),"")</f>
        <v/>
      </c>
      <c r="F2390" s="5" t="str">
        <f>IFERROR(__xludf.DUMMYFUNCTION("""COMPUTED_VALUE"""),"")</f>
        <v/>
      </c>
      <c r="G2390" s="19" t="str">
        <f>IFERROR(__xludf.DUMMYFUNCTION("""COMPUTED_VALUE"""),"")</f>
        <v/>
      </c>
      <c r="H2390" s="19" t="str">
        <f>IFERROR(__xludf.DUMMYFUNCTION("""COMPUTED_VALUE"""),"")</f>
        <v/>
      </c>
      <c r="I2390" s="62" t="str">
        <f>IFERROR(__xludf.DUMMYFUNCTION("""COMPUTED_VALUE"""),"")</f>
        <v/>
      </c>
      <c r="J2390" s="19" t="str">
        <f>IFERROR(__xludf.DUMMYFUNCTION("""COMPUTED_VALUE"""),"")</f>
        <v/>
      </c>
    </row>
    <row r="2391">
      <c r="A2391" s="19" t="str">
        <f>IFERROR(__xludf.DUMMYFUNCTION("""COMPUTED_VALUE"""),"")</f>
        <v/>
      </c>
      <c r="B2391" s="19" t="str">
        <f>IFERROR(__xludf.DUMMYFUNCTION("""COMPUTED_VALUE"""),"")</f>
        <v/>
      </c>
      <c r="C2391" s="5" t="str">
        <f>IFERROR(__xludf.DUMMYFUNCTION("""COMPUTED_VALUE"""),"")</f>
        <v/>
      </c>
      <c r="D2391" s="5" t="str">
        <f>IFERROR(__xludf.DUMMYFUNCTION("""COMPUTED_VALUE"""),"")</f>
        <v/>
      </c>
      <c r="E2391" s="5" t="str">
        <f>IFERROR(__xludf.DUMMYFUNCTION("""COMPUTED_VALUE"""),"")</f>
        <v/>
      </c>
      <c r="F2391" s="5" t="str">
        <f>IFERROR(__xludf.DUMMYFUNCTION("""COMPUTED_VALUE"""),"")</f>
        <v/>
      </c>
      <c r="G2391" s="19" t="str">
        <f>IFERROR(__xludf.DUMMYFUNCTION("""COMPUTED_VALUE"""),"")</f>
        <v/>
      </c>
      <c r="H2391" s="19" t="str">
        <f>IFERROR(__xludf.DUMMYFUNCTION("""COMPUTED_VALUE"""),"")</f>
        <v/>
      </c>
      <c r="I2391" s="62" t="str">
        <f>IFERROR(__xludf.DUMMYFUNCTION("""COMPUTED_VALUE"""),"")</f>
        <v/>
      </c>
      <c r="J2391" s="19" t="str">
        <f>IFERROR(__xludf.DUMMYFUNCTION("""COMPUTED_VALUE"""),"")</f>
        <v/>
      </c>
    </row>
    <row r="2392">
      <c r="A2392" s="19" t="str">
        <f>IFERROR(__xludf.DUMMYFUNCTION("""COMPUTED_VALUE"""),"Tee Sohail")</f>
        <v>Tee Sohail</v>
      </c>
      <c r="B2392" s="19" t="str">
        <f>IFERROR(__xludf.DUMMYFUNCTION("""COMPUTED_VALUE"""),"VIC")</f>
        <v>VIC</v>
      </c>
      <c r="C2392" s="5">
        <f>IFERROR(__xludf.DUMMYFUNCTION("""COMPUTED_VALUE"""),3804.0)</f>
        <v>3804</v>
      </c>
      <c r="D2392" s="5"/>
      <c r="E2392" s="63" t="str">
        <f>IFERROR(__xludf.DUMMYFUNCTION("""COMPUTED_VALUE"""),"28/07/2025")</f>
        <v>28/07/2025</v>
      </c>
      <c r="F2392" s="5" t="str">
        <f>IFERROR(__xludf.DUMMYFUNCTION("""COMPUTED_VALUE"""),"Featured")</f>
        <v>Featured</v>
      </c>
      <c r="G2392" s="19" t="str">
        <f>IFERROR(__xludf.DUMMYFUNCTION("""COMPUTED_VALUE"""),"Instant Forms")</f>
        <v>Instant Forms</v>
      </c>
      <c r="H2392" s="19"/>
      <c r="I2392" s="62"/>
      <c r="J2392" s="19"/>
    </row>
    <row r="2393">
      <c r="A2393" s="19" t="str">
        <f>IFERROR(__xludf.DUMMYFUNCTION("""COMPUTED_VALUE"""),"Tee Sohail")</f>
        <v>Tee Sohail</v>
      </c>
      <c r="B2393" s="19" t="str">
        <f>IFERROR(__xludf.DUMMYFUNCTION("""COMPUTED_VALUE"""),"VIC")</f>
        <v>VIC</v>
      </c>
      <c r="C2393" s="5">
        <f>IFERROR(__xludf.DUMMYFUNCTION("""COMPUTED_VALUE"""),3806.0)</f>
        <v>3806</v>
      </c>
      <c r="D2393" s="5"/>
      <c r="E2393" s="63">
        <f>IFERROR(__xludf.DUMMYFUNCTION("""COMPUTED_VALUE"""),45665.0)</f>
        <v>45665</v>
      </c>
      <c r="F2393" s="5" t="str">
        <f>IFERROR(__xludf.DUMMYFUNCTION("""COMPUTED_VALUE"""),"Featured")</f>
        <v>Featured</v>
      </c>
      <c r="G2393" s="19" t="str">
        <f>IFERROR(__xludf.DUMMYFUNCTION("""COMPUTED_VALUE"""),"Instant Forms")</f>
        <v>Instant Forms</v>
      </c>
      <c r="H2393" s="19"/>
      <c r="I2393" s="62"/>
      <c r="J2393" s="19"/>
    </row>
    <row r="2394">
      <c r="A2394" s="19" t="str">
        <f>IFERROR(__xludf.DUMMYFUNCTION("""COMPUTED_VALUE"""),"Tee Sohail")</f>
        <v>Tee Sohail</v>
      </c>
      <c r="B2394" s="19" t="str">
        <f>IFERROR(__xludf.DUMMYFUNCTION("""COMPUTED_VALUE"""),"VIC")</f>
        <v>VIC</v>
      </c>
      <c r="C2394" s="5">
        <f>IFERROR(__xludf.DUMMYFUNCTION("""COMPUTED_VALUE"""),3805.0)</f>
        <v>3805</v>
      </c>
      <c r="D2394" s="5"/>
      <c r="E2394" s="25">
        <f>IFERROR(__xludf.DUMMYFUNCTION("""COMPUTED_VALUE"""),45881.0)</f>
        <v>45881</v>
      </c>
      <c r="F2394" s="5" t="str">
        <f>IFERROR(__xludf.DUMMYFUNCTION("""COMPUTED_VALUE"""),"Free")</f>
        <v>Free</v>
      </c>
      <c r="G2394" s="19" t="str">
        <f>IFERROR(__xludf.DUMMYFUNCTION("""COMPUTED_VALUE"""),"Instant Forms")</f>
        <v>Instant Forms</v>
      </c>
      <c r="H2394" s="19"/>
      <c r="I2394" s="62"/>
      <c r="J2394" s="19"/>
    </row>
    <row r="2395">
      <c r="A2395" s="19" t="str">
        <f>IFERROR(__xludf.DUMMYFUNCTION("""COMPUTED_VALUE"""),"Tee Sohail")</f>
        <v>Tee Sohail</v>
      </c>
      <c r="B2395" s="19" t="str">
        <f>IFERROR(__xludf.DUMMYFUNCTION("""COMPUTED_VALUE"""),"VIC")</f>
        <v>VIC</v>
      </c>
      <c r="C2395" s="5" t="str">
        <f>IFERROR(__xludf.DUMMYFUNCTION("""COMPUTED_VALUE"""),"Berwick")</f>
        <v>Berwick</v>
      </c>
      <c r="D2395" s="5"/>
      <c r="E2395" s="25">
        <f>IFERROR(__xludf.DUMMYFUNCTION("""COMPUTED_VALUE"""),45881.0)</f>
        <v>45881</v>
      </c>
      <c r="F2395" s="5" t="str">
        <f>IFERROR(__xludf.DUMMYFUNCTION("""COMPUTED_VALUE"""),"Free")</f>
        <v>Free</v>
      </c>
      <c r="G2395" s="19" t="str">
        <f>IFERROR(__xludf.DUMMYFUNCTION("""COMPUTED_VALUE"""),"Instant Forms")</f>
        <v>Instant Forms</v>
      </c>
      <c r="H2395" s="19"/>
      <c r="I2395" s="62"/>
      <c r="J2395" s="19"/>
    </row>
    <row r="2396">
      <c r="A2396" s="19" t="str">
        <f>IFERROR(__xludf.DUMMYFUNCTION("""COMPUTED_VALUE"""),"Tee Sohail")</f>
        <v>Tee Sohail</v>
      </c>
      <c r="B2396" s="19" t="str">
        <f>IFERROR(__xludf.DUMMYFUNCTION("""COMPUTED_VALUE"""),"VIC")</f>
        <v>VIC</v>
      </c>
      <c r="C2396" s="5" t="str">
        <f>IFERROR(__xludf.DUMMYFUNCTION("""COMPUTED_VALUE"""),"Narre Warren South")</f>
        <v>Narre Warren South</v>
      </c>
      <c r="D2396" s="5"/>
      <c r="E2396" s="25">
        <f>IFERROR(__xludf.DUMMYFUNCTION("""COMPUTED_VALUE"""),45887.0)</f>
        <v>45887</v>
      </c>
      <c r="F2396" s="5" t="str">
        <f>IFERROR(__xludf.DUMMYFUNCTION("""COMPUTED_VALUE"""),"Featured")</f>
        <v>Featured</v>
      </c>
      <c r="G2396" s="19" t="str">
        <f>IFERROR(__xludf.DUMMYFUNCTION("""COMPUTED_VALUE"""),"Instant Forms")</f>
        <v>Instant Forms</v>
      </c>
      <c r="H2396" s="19"/>
      <c r="I2396" s="62"/>
      <c r="J2396" s="19"/>
    </row>
    <row r="2397">
      <c r="A2397" s="19" t="str">
        <f>IFERROR(__xludf.DUMMYFUNCTION("""COMPUTED_VALUE"""),"Tee Sohail")</f>
        <v>Tee Sohail</v>
      </c>
      <c r="B2397" s="19" t="str">
        <f>IFERROR(__xludf.DUMMYFUNCTION("""COMPUTED_VALUE"""),"VIC")</f>
        <v>VIC</v>
      </c>
      <c r="C2397" s="5">
        <f>IFERROR(__xludf.DUMMYFUNCTION("""COMPUTED_VALUE"""),3977.0)</f>
        <v>3977</v>
      </c>
      <c r="D2397" s="5"/>
      <c r="E2397" s="25">
        <f>IFERROR(__xludf.DUMMYFUNCTION("""COMPUTED_VALUE"""),45887.0)</f>
        <v>45887</v>
      </c>
      <c r="F2397" s="5" t="str">
        <f>IFERROR(__xludf.DUMMYFUNCTION("""COMPUTED_VALUE"""),"Featured")</f>
        <v>Featured</v>
      </c>
      <c r="G2397" s="19" t="str">
        <f>IFERROR(__xludf.DUMMYFUNCTION("""COMPUTED_VALUE"""),"Instant Forms")</f>
        <v>Instant Forms</v>
      </c>
      <c r="H2397" s="19"/>
      <c r="I2397" s="62"/>
      <c r="J2397" s="19"/>
    </row>
    <row r="2398">
      <c r="A2398" s="19" t="str">
        <f>IFERROR(__xludf.DUMMYFUNCTION("""COMPUTED_VALUE"""),"Tee Sohail")</f>
        <v>Tee Sohail</v>
      </c>
      <c r="B2398" s="19" t="str">
        <f>IFERROR(__xludf.DUMMYFUNCTION("""COMPUTED_VALUE"""),"VIC")</f>
        <v>VIC</v>
      </c>
      <c r="C2398" s="5" t="str">
        <f>IFERROR(__xludf.DUMMYFUNCTION("""COMPUTED_VALUE"""),"Beaconsfield")</f>
        <v>Beaconsfield</v>
      </c>
      <c r="D2398" s="5" t="str">
        <f>IFERROR(__xludf.DUMMYFUNCTION("""COMPUTED_VALUE"""),"3 Florence Terrace Beaconsfield VIC 3807")</f>
        <v>3 Florence Terrace Beaconsfield VIC 3807</v>
      </c>
      <c r="E2398" s="25">
        <f>IFERROR(__xludf.DUMMYFUNCTION("""COMPUTED_VALUE"""),45905.0)</f>
        <v>45905</v>
      </c>
      <c r="F2398" s="5" t="str">
        <f>IFERROR(__xludf.DUMMYFUNCTION("""COMPUTED_VALUE"""),"Featured")</f>
        <v>Featured</v>
      </c>
      <c r="G2398" s="19" t="str">
        <f>IFERROR(__xludf.DUMMYFUNCTION("""COMPUTED_VALUE"""),"Instant Forms")</f>
        <v>Instant Forms</v>
      </c>
      <c r="H2398" s="19"/>
      <c r="I2398" s="62"/>
      <c r="J2398" s="19"/>
    </row>
    <row r="2399">
      <c r="A2399" s="19" t="str">
        <f>IFERROR(__xludf.DUMMYFUNCTION("""COMPUTED_VALUE"""),"Tee Sohail")</f>
        <v>Tee Sohail</v>
      </c>
      <c r="B2399" s="19" t="str">
        <f>IFERROR(__xludf.DUMMYFUNCTION("""COMPUTED_VALUE"""),"VIC")</f>
        <v>VIC</v>
      </c>
      <c r="C2399" s="5" t="str">
        <f>IFERROR(__xludf.DUMMYFUNCTION("""COMPUTED_VALUE"""),"Clyde North")</f>
        <v>Clyde North</v>
      </c>
      <c r="D2399" s="5"/>
      <c r="E2399" s="25">
        <f>IFERROR(__xludf.DUMMYFUNCTION("""COMPUTED_VALUE"""),45907.0)</f>
        <v>45907</v>
      </c>
      <c r="F2399" s="5" t="str">
        <f>IFERROR(__xludf.DUMMYFUNCTION("""COMPUTED_VALUE"""),"Featured")</f>
        <v>Featured</v>
      </c>
      <c r="G2399" s="19" t="str">
        <f>IFERROR(__xludf.DUMMYFUNCTION("""COMPUTED_VALUE"""),"Instant Forms")</f>
        <v>Instant Forms</v>
      </c>
      <c r="H2399" s="19"/>
      <c r="I2399" s="62"/>
      <c r="J2399" s="19"/>
    </row>
    <row r="2400">
      <c r="A2400" s="19" t="str">
        <f>IFERROR(__xludf.DUMMYFUNCTION("""COMPUTED_VALUE"""),"Tee Sohail")</f>
        <v>Tee Sohail</v>
      </c>
      <c r="B2400" s="19" t="str">
        <f>IFERROR(__xludf.DUMMYFUNCTION("""COMPUTED_VALUE"""),"VIC")</f>
        <v>VIC</v>
      </c>
      <c r="C2400" s="5" t="str">
        <f>IFERROR(__xludf.DUMMYFUNCTION("""COMPUTED_VALUE"""),"Berwick")</f>
        <v>Berwick</v>
      </c>
      <c r="D2400" s="5" t="str">
        <f>IFERROR(__xludf.DUMMYFUNCTION("""COMPUTED_VALUE"""),"48 Willslie Crescent Berwick VIC 3806")</f>
        <v>48 Willslie Crescent Berwick VIC 3806</v>
      </c>
      <c r="E2400" s="25">
        <f>IFERROR(__xludf.DUMMYFUNCTION("""COMPUTED_VALUE"""),45908.0)</f>
        <v>45908</v>
      </c>
      <c r="F2400" s="5" t="str">
        <f>IFERROR(__xludf.DUMMYFUNCTION("""COMPUTED_VALUE"""),"Featured")</f>
        <v>Featured</v>
      </c>
      <c r="G2400" s="19" t="str">
        <f>IFERROR(__xludf.DUMMYFUNCTION("""COMPUTED_VALUE"""),"Instant Forms")</f>
        <v>Instant Forms</v>
      </c>
      <c r="H2400" s="19"/>
      <c r="I2400" s="62"/>
      <c r="J2400" s="19"/>
    </row>
    <row r="2401">
      <c r="A2401" s="19" t="str">
        <f>IFERROR(__xludf.DUMMYFUNCTION("""COMPUTED_VALUE"""),"Tee Sohail")</f>
        <v>Tee Sohail</v>
      </c>
      <c r="B2401" s="19" t="str">
        <f>IFERROR(__xludf.DUMMYFUNCTION("""COMPUTED_VALUE"""),"VIC")</f>
        <v>VIC</v>
      </c>
      <c r="C2401" s="5" t="str">
        <f>IFERROR(__xludf.DUMMYFUNCTION("""COMPUTED_VALUE"""),"Beaconsfield")</f>
        <v>Beaconsfield</v>
      </c>
      <c r="D2401" s="5" t="str">
        <f>IFERROR(__xludf.DUMMYFUNCTION("""COMPUTED_VALUE"""),"3 Florence Terrace Beaconsfield VIC 3807")</f>
        <v>3 Florence Terrace Beaconsfield VIC 3807</v>
      </c>
      <c r="E2401" s="25">
        <f>IFERROR(__xludf.DUMMYFUNCTION("""COMPUTED_VALUE"""),45909.0)</f>
        <v>45909</v>
      </c>
      <c r="F2401" s="5">
        <f>IFERROR(__xludf.DUMMYFUNCTION("""COMPUTED_VALUE"""),8.0)</f>
        <v>8</v>
      </c>
      <c r="G2401" s="19" t="str">
        <f>IFERROR(__xludf.DUMMYFUNCTION("""COMPUTED_VALUE"""),"Instant Forms")</f>
        <v>Instant Forms</v>
      </c>
      <c r="H2401" s="19" t="str">
        <f>IFERROR(__xludf.DUMMYFUNCTION("""COMPUTED_VALUE"""),"Keith Colomb")</f>
        <v>Keith Colomb</v>
      </c>
      <c r="I2401" s="62"/>
      <c r="J2401" s="19"/>
    </row>
    <row r="2402">
      <c r="A2402" s="19" t="str">
        <f>IFERROR(__xludf.DUMMYFUNCTION("""COMPUTED_VALUE"""),"Tee Sohail")</f>
        <v>Tee Sohail</v>
      </c>
      <c r="B2402" s="19" t="str">
        <f>IFERROR(__xludf.DUMMYFUNCTION("""COMPUTED_VALUE"""),"VIC")</f>
        <v>VIC</v>
      </c>
      <c r="C2402" s="5" t="str">
        <f>IFERROR(__xludf.DUMMYFUNCTION("""COMPUTED_VALUE"""),"Pakenham")</f>
        <v>Pakenham</v>
      </c>
      <c r="D2402" s="5"/>
      <c r="E2402" s="25">
        <f>IFERROR(__xludf.DUMMYFUNCTION("""COMPUTED_VALUE"""),45916.0)</f>
        <v>45916</v>
      </c>
      <c r="F2402" s="5">
        <f>IFERROR(__xludf.DUMMYFUNCTION("""COMPUTED_VALUE"""),6.0)</f>
        <v>6</v>
      </c>
      <c r="G2402" s="19" t="str">
        <f>IFERROR(__xludf.DUMMYFUNCTION("""COMPUTED_VALUE"""),"Instant Forms")</f>
        <v>Instant Forms</v>
      </c>
      <c r="H2402" s="19" t="str">
        <f>IFERROR(__xludf.DUMMYFUNCTION("""COMPUTED_VALUE"""),"Fron Spanu")</f>
        <v>Fron Spanu</v>
      </c>
      <c r="I2402" s="62"/>
      <c r="J2402" s="19"/>
    </row>
    <row r="2403">
      <c r="A2403" s="19" t="str">
        <f>IFERROR(__xludf.DUMMYFUNCTION("""COMPUTED_VALUE"""),"Tee Sohail")</f>
        <v>Tee Sohail</v>
      </c>
      <c r="B2403" s="19" t="str">
        <f>IFERROR(__xludf.DUMMYFUNCTION("""COMPUTED_VALUE"""),"VIC")</f>
        <v>VIC</v>
      </c>
      <c r="C2403" s="5" t="str">
        <f>IFERROR(__xludf.DUMMYFUNCTION("""COMPUTED_VALUE"""),"Narre Warren North")</f>
        <v>Narre Warren North</v>
      </c>
      <c r="D2403" s="5" t="str">
        <f>IFERROR(__xludf.DUMMYFUNCTION("""COMPUTED_VALUE"""),"30 Montbrae Circuit Narre Warren North VIC 3804")</f>
        <v>30 Montbrae Circuit Narre Warren North VIC 3804</v>
      </c>
      <c r="E2403" s="25">
        <f>IFERROR(__xludf.DUMMYFUNCTION("""COMPUTED_VALUE"""),45917.0)</f>
        <v>45917</v>
      </c>
      <c r="F2403" s="5">
        <f>IFERROR(__xludf.DUMMYFUNCTION("""COMPUTED_VALUE"""),8.0)</f>
        <v>8</v>
      </c>
      <c r="G2403" s="19" t="str">
        <f>IFERROR(__xludf.DUMMYFUNCTION("""COMPUTED_VALUE"""),"Instant Forms")</f>
        <v>Instant Forms</v>
      </c>
      <c r="H2403" s="19" t="str">
        <f>IFERROR(__xludf.DUMMYFUNCTION("""COMPUTED_VALUE"""),"Paul Dewick")</f>
        <v>Paul Dewick</v>
      </c>
      <c r="I2403" s="62"/>
      <c r="J2403" s="19"/>
    </row>
    <row r="2404">
      <c r="A2404" s="19" t="str">
        <f>IFERROR(__xludf.DUMMYFUNCTION("""COMPUTED_VALUE"""),"Tee Sohail")</f>
        <v>Tee Sohail</v>
      </c>
      <c r="B2404" s="19" t="str">
        <f>IFERROR(__xludf.DUMMYFUNCTION("""COMPUTED_VALUE"""),"VIC")</f>
        <v>VIC</v>
      </c>
      <c r="C2404" s="5" t="str">
        <f>IFERROR(__xludf.DUMMYFUNCTION("""COMPUTED_VALUE"""),"narre warren north")</f>
        <v>narre warren north</v>
      </c>
      <c r="D2404" s="5" t="str">
        <f>IFERROR(__xludf.DUMMYFUNCTION("""COMPUTED_VALUE"""),"5 Grosvenor Place Narre Warren North VIC 3804")</f>
        <v>5 Grosvenor Place Narre Warren North VIC 3804</v>
      </c>
      <c r="E2404" s="25">
        <f>IFERROR(__xludf.DUMMYFUNCTION("""COMPUTED_VALUE"""),45922.0)</f>
        <v>45922</v>
      </c>
      <c r="F2404" s="5">
        <f>IFERROR(__xludf.DUMMYFUNCTION("""COMPUTED_VALUE"""),6.0)</f>
        <v>6</v>
      </c>
      <c r="G2404" s="19" t="str">
        <f>IFERROR(__xludf.DUMMYFUNCTION("""COMPUTED_VALUE"""),"Instant Forms")</f>
        <v>Instant Forms</v>
      </c>
      <c r="H2404" s="19" t="str">
        <f>IFERROR(__xludf.DUMMYFUNCTION("""COMPUTED_VALUE"""),"Sharon Vanderzee")</f>
        <v>Sharon Vanderzee</v>
      </c>
      <c r="I2404" s="62"/>
      <c r="J2404" s="19"/>
    </row>
    <row r="2405">
      <c r="A2405" s="19" t="str">
        <f>IFERROR(__xludf.DUMMYFUNCTION("""COMPUTED_VALUE"""),"Tee Sohail")</f>
        <v>Tee Sohail</v>
      </c>
      <c r="B2405" s="19" t="str">
        <f>IFERROR(__xludf.DUMMYFUNCTION("""COMPUTED_VALUE"""),"VIC")</f>
        <v>VIC</v>
      </c>
      <c r="C2405" s="5" t="str">
        <f>IFERROR(__xludf.DUMMYFUNCTION("""COMPUTED_VALUE"""),"berwick")</f>
        <v>berwick</v>
      </c>
      <c r="D2405" s="5" t="str">
        <f>IFERROR(__xludf.DUMMYFUNCTION("""COMPUTED_VALUE"""),"15 Fairholme Boulevard Berwick VIC 3806")</f>
        <v>15 Fairholme Boulevard Berwick VIC 3806</v>
      </c>
      <c r="E2405" s="25">
        <f>IFERROR(__xludf.DUMMYFUNCTION("""COMPUTED_VALUE"""),45923.0)</f>
        <v>45923</v>
      </c>
      <c r="F2405" s="5">
        <f>IFERROR(__xludf.DUMMYFUNCTION("""COMPUTED_VALUE"""),8.0)</f>
        <v>8</v>
      </c>
      <c r="G2405" s="19" t="str">
        <f>IFERROR(__xludf.DUMMYFUNCTION("""COMPUTED_VALUE"""),"Instant Forms")</f>
        <v>Instant Forms</v>
      </c>
      <c r="H2405" s="19" t="str">
        <f>IFERROR(__xludf.DUMMYFUNCTION("""COMPUTED_VALUE"""),"Susan Francis-Plunkett")</f>
        <v>Susan Francis-Plunkett</v>
      </c>
      <c r="I2405" s="62"/>
      <c r="J2405" s="19"/>
    </row>
    <row r="2406">
      <c r="A2406" s="19" t="str">
        <f>IFERROR(__xludf.DUMMYFUNCTION("""COMPUTED_VALUE"""),"Tee Sohail")</f>
        <v>Tee Sohail</v>
      </c>
      <c r="B2406" s="19" t="str">
        <f>IFERROR(__xludf.DUMMYFUNCTION("""COMPUTED_VALUE"""),"VIC")</f>
        <v>VIC</v>
      </c>
      <c r="C2406" s="5" t="str">
        <f>IFERROR(__xludf.DUMMYFUNCTION("""COMPUTED_VALUE"""),"Lysterfield")</f>
        <v>Lysterfield</v>
      </c>
      <c r="D2406" s="5" t="str">
        <f>IFERROR(__xludf.DUMMYFUNCTION("""COMPUTED_VALUE"""),"20 Sommersby Court Lysterfield VIC 3156")</f>
        <v>20 Sommersby Court Lysterfield VIC 3156</v>
      </c>
      <c r="E2406" s="25">
        <f>IFERROR(__xludf.DUMMYFUNCTION("""COMPUTED_VALUE"""),45923.0)</f>
        <v>45923</v>
      </c>
      <c r="F2406" s="5">
        <f>IFERROR(__xludf.DUMMYFUNCTION("""COMPUTED_VALUE"""),6.0)</f>
        <v>6</v>
      </c>
      <c r="G2406" s="19" t="str">
        <f>IFERROR(__xludf.DUMMYFUNCTION("""COMPUTED_VALUE"""),"Instant Forms")</f>
        <v>Instant Forms</v>
      </c>
      <c r="H2406" s="19" t="str">
        <f>IFERROR(__xludf.DUMMYFUNCTION("""COMPUTED_VALUE"""),"Sharon Williams")</f>
        <v>Sharon Williams</v>
      </c>
      <c r="I2406" s="62"/>
      <c r="J2406" s="19"/>
    </row>
    <row r="2407">
      <c r="A2407" s="19" t="str">
        <f>IFERROR(__xludf.DUMMYFUNCTION("""COMPUTED_VALUE"""),"Tee Sohail")</f>
        <v>Tee Sohail</v>
      </c>
      <c r="B2407" s="19" t="str">
        <f>IFERROR(__xludf.DUMMYFUNCTION("""COMPUTED_VALUE"""),"VIC")</f>
        <v>VIC</v>
      </c>
      <c r="C2407" s="5" t="str">
        <f>IFERROR(__xludf.DUMMYFUNCTION("""COMPUTED_VALUE"""),"Ferntree Gully")</f>
        <v>Ferntree Gully</v>
      </c>
      <c r="D2407" s="5" t="str">
        <f>IFERROR(__xludf.DUMMYFUNCTION("""COMPUTED_VALUE"""),"17 Outlook Court Ferntree Gully VIC 3156")</f>
        <v>17 Outlook Court Ferntree Gully VIC 3156</v>
      </c>
      <c r="E2407" s="25">
        <f>IFERROR(__xludf.DUMMYFUNCTION("""COMPUTED_VALUE"""),45925.0)</f>
        <v>45925</v>
      </c>
      <c r="F2407" s="5">
        <f>IFERROR(__xludf.DUMMYFUNCTION("""COMPUTED_VALUE"""),6.0)</f>
        <v>6</v>
      </c>
      <c r="G2407" s="19" t="str">
        <f>IFERROR(__xludf.DUMMYFUNCTION("""COMPUTED_VALUE"""),"Instant Forms")</f>
        <v>Instant Forms</v>
      </c>
      <c r="H2407" s="19" t="str">
        <f>IFERROR(__xludf.DUMMYFUNCTION("""COMPUTED_VALUE"""),"Karen Mackie")</f>
        <v>Karen Mackie</v>
      </c>
      <c r="I2407" s="62"/>
      <c r="J2407" s="19"/>
    </row>
    <row r="2408">
      <c r="A2408" s="19" t="str">
        <f>IFERROR(__xludf.DUMMYFUNCTION("""COMPUTED_VALUE"""),"Tee Sohail")</f>
        <v>Tee Sohail</v>
      </c>
      <c r="B2408" s="19" t="str">
        <f>IFERROR(__xludf.DUMMYFUNCTION("""COMPUTED_VALUE"""),"VIC")</f>
        <v>VIC</v>
      </c>
      <c r="C2408" s="5" t="str">
        <f>IFERROR(__xludf.DUMMYFUNCTION("""COMPUTED_VALUE"""),"Berwick")</f>
        <v>Berwick</v>
      </c>
      <c r="D2408" s="5" t="str">
        <f>IFERROR(__xludf.DUMMYFUNCTION("""COMPUTED_VALUE"""),"8 Jacob Court Berwick VIC 3806")</f>
        <v>8 Jacob Court Berwick VIC 3806</v>
      </c>
      <c r="E2408" s="25">
        <f>IFERROR(__xludf.DUMMYFUNCTION("""COMPUTED_VALUE"""),45926.0)</f>
        <v>45926</v>
      </c>
      <c r="F2408" s="5">
        <f>IFERROR(__xludf.DUMMYFUNCTION("""COMPUTED_VALUE"""),8.0)</f>
        <v>8</v>
      </c>
      <c r="G2408" s="19" t="str">
        <f>IFERROR(__xludf.DUMMYFUNCTION("""COMPUTED_VALUE"""),"Instant Forms")</f>
        <v>Instant Forms</v>
      </c>
      <c r="H2408" s="19" t="str">
        <f>IFERROR(__xludf.DUMMYFUNCTION("""COMPUTED_VALUE"""),"Mandy Haynes-Meyer")</f>
        <v>Mandy Haynes-Meyer</v>
      </c>
      <c r="I2408" s="62"/>
      <c r="J2408" s="19"/>
    </row>
    <row r="2409">
      <c r="A2409" s="19" t="str">
        <f>IFERROR(__xludf.DUMMYFUNCTION("""COMPUTED_VALUE"""),"Tee Sohail")</f>
        <v>Tee Sohail</v>
      </c>
      <c r="B2409" s="19" t="str">
        <f>IFERROR(__xludf.DUMMYFUNCTION("""COMPUTED_VALUE"""),"VIC")</f>
        <v>VIC</v>
      </c>
      <c r="C2409" s="5" t="str">
        <f>IFERROR(__xludf.DUMMYFUNCTION("""COMPUTED_VALUE"""),"Upper Beaconsfield")</f>
        <v>Upper Beaconsfield</v>
      </c>
      <c r="D2409" s="5"/>
      <c r="E2409" s="25">
        <f>IFERROR(__xludf.DUMMYFUNCTION("""COMPUTED_VALUE"""),45929.0)</f>
        <v>45929</v>
      </c>
      <c r="F2409" s="5">
        <f>IFERROR(__xludf.DUMMYFUNCTION("""COMPUTED_VALUE"""),6.0)</f>
        <v>6</v>
      </c>
      <c r="G2409" s="19" t="str">
        <f>IFERROR(__xludf.DUMMYFUNCTION("""COMPUTED_VALUE"""),"Instant Forms")</f>
        <v>Instant Forms</v>
      </c>
      <c r="H2409" s="19" t="str">
        <f>IFERROR(__xludf.DUMMYFUNCTION("""COMPUTED_VALUE"""),"Peter Sheppard")</f>
        <v>Peter Sheppard</v>
      </c>
      <c r="I2409" s="62"/>
      <c r="J2409" s="19"/>
    </row>
    <row r="2410">
      <c r="A2410" s="19" t="str">
        <f>IFERROR(__xludf.DUMMYFUNCTION("""COMPUTED_VALUE"""),"Tee Sohail")</f>
        <v>Tee Sohail</v>
      </c>
      <c r="B2410" s="19" t="str">
        <f>IFERROR(__xludf.DUMMYFUNCTION("""COMPUTED_VALUE"""),"VIC")</f>
        <v>VIC</v>
      </c>
      <c r="C2410" s="5" t="str">
        <f>IFERROR(__xludf.DUMMYFUNCTION("""COMPUTED_VALUE"""),"Rowville")</f>
        <v>Rowville</v>
      </c>
      <c r="D2410" s="5" t="str">
        <f>IFERROR(__xludf.DUMMYFUNCTION("""COMPUTED_VALUE"""),"1082 Wellington Road Rowville VIC 3178")</f>
        <v>1082 Wellington Road Rowville VIC 3178</v>
      </c>
      <c r="E2410" s="25">
        <f>IFERROR(__xludf.DUMMYFUNCTION("""COMPUTED_VALUE"""),45937.0)</f>
        <v>45937</v>
      </c>
      <c r="F2410" s="5">
        <f>IFERROR(__xludf.DUMMYFUNCTION("""COMPUTED_VALUE"""),8.0)</f>
        <v>8</v>
      </c>
      <c r="G2410" s="19" t="str">
        <f>IFERROR(__xludf.DUMMYFUNCTION("""COMPUTED_VALUE"""),"Instant Forms")</f>
        <v>Instant Forms</v>
      </c>
      <c r="H2410" s="19" t="str">
        <f>IFERROR(__xludf.DUMMYFUNCTION("""COMPUTED_VALUE"""),"Ray Klingler")</f>
        <v>Ray Klingler</v>
      </c>
      <c r="I2410" s="62"/>
      <c r="J2410" s="19"/>
    </row>
    <row r="2411">
      <c r="A2411" s="19" t="str">
        <f>IFERROR(__xludf.DUMMYFUNCTION("""COMPUTED_VALUE"""),"Tee Sohail")</f>
        <v>Tee Sohail</v>
      </c>
      <c r="B2411" s="19" t="str">
        <f>IFERROR(__xludf.DUMMYFUNCTION("""COMPUTED_VALUE"""),"VIC")</f>
        <v>VIC</v>
      </c>
      <c r="C2411" s="5" t="str">
        <f>IFERROR(__xludf.DUMMYFUNCTION("""COMPUTED_VALUE"""),"Berwick")</f>
        <v>Berwick</v>
      </c>
      <c r="D2411" s="5" t="str">
        <f>IFERROR(__xludf.DUMMYFUNCTION("""COMPUTED_VALUE"""),"21 Michael Court, Berwick, VIC, 3806, Australia")</f>
        <v>21 Michael Court, Berwick, VIC, 3806, Australia</v>
      </c>
      <c r="E2411" s="25">
        <f>IFERROR(__xludf.DUMMYFUNCTION("""COMPUTED_VALUE"""),45940.0)</f>
        <v>45940</v>
      </c>
      <c r="F2411" s="5" t="str">
        <f>IFERROR(__xludf.DUMMYFUNCTION("""COMPUTED_VALUE"""),"Featured")</f>
        <v>Featured</v>
      </c>
      <c r="G2411" s="19"/>
      <c r="H2411" s="19"/>
      <c r="I2411" s="62"/>
      <c r="J2411" s="19"/>
    </row>
    <row r="2412">
      <c r="A2412" s="19" t="str">
        <f>IFERROR(__xludf.DUMMYFUNCTION("""COMPUTED_VALUE"""),"Tee Sohail")</f>
        <v>Tee Sohail</v>
      </c>
      <c r="B2412" s="19" t="str">
        <f>IFERROR(__xludf.DUMMYFUNCTION("""COMPUTED_VALUE"""),"VIC")</f>
        <v>VIC</v>
      </c>
      <c r="C2412" s="5" t="str">
        <f>IFERROR(__xludf.DUMMYFUNCTION("""COMPUTED_VALUE"""),"narre warren")</f>
        <v>narre warren</v>
      </c>
      <c r="D2412" s="5" t="str">
        <f>IFERROR(__xludf.DUMMYFUNCTION("""COMPUTED_VALUE"""),"10 Wallaroo Avenue Narre Warren VIC 3805")</f>
        <v>10 Wallaroo Avenue Narre Warren VIC 3805</v>
      </c>
      <c r="E2412" s="25">
        <f>IFERROR(__xludf.DUMMYFUNCTION("""COMPUTED_VALUE"""),45945.0)</f>
        <v>45945</v>
      </c>
      <c r="F2412" s="5">
        <f>IFERROR(__xludf.DUMMYFUNCTION("""COMPUTED_VALUE"""),6.0)</f>
        <v>6</v>
      </c>
      <c r="G2412" s="19" t="str">
        <f>IFERROR(__xludf.DUMMYFUNCTION("""COMPUTED_VALUE"""),"Instant Forms")</f>
        <v>Instant Forms</v>
      </c>
      <c r="H2412" s="19" t="str">
        <f>IFERROR(__xludf.DUMMYFUNCTION("""COMPUTED_VALUE"""),"Jaclyn Hancox")</f>
        <v>Jaclyn Hancox</v>
      </c>
      <c r="I2412" s="62"/>
      <c r="J2412" s="19"/>
    </row>
    <row r="2413">
      <c r="A2413" s="19" t="str">
        <f>IFERROR(__xludf.DUMMYFUNCTION("""COMPUTED_VALUE"""),"Tee Sohail")</f>
        <v>Tee Sohail</v>
      </c>
      <c r="B2413" s="19" t="str">
        <f>IFERROR(__xludf.DUMMYFUNCTION("""COMPUTED_VALUE"""),"VIC")</f>
        <v>VIC</v>
      </c>
      <c r="C2413" s="5" t="str">
        <f>IFERROR(__xludf.DUMMYFUNCTION("""COMPUTED_VALUE"""),"Upper Ferntree Gully")</f>
        <v>Upper Ferntree Gully</v>
      </c>
      <c r="D2413" s="5" t="str">
        <f>IFERROR(__xludf.DUMMYFUNCTION("""COMPUTED_VALUE"""),"59 Ferndale Road Upper Ferntree Gully VIC 3156")</f>
        <v>59 Ferndale Road Upper Ferntree Gully VIC 3156</v>
      </c>
      <c r="E2413" s="25">
        <f>IFERROR(__xludf.DUMMYFUNCTION("""COMPUTED_VALUE"""),45945.0)</f>
        <v>45945</v>
      </c>
      <c r="F2413" s="5">
        <f>IFERROR(__xludf.DUMMYFUNCTION("""COMPUTED_VALUE"""),8.0)</f>
        <v>8</v>
      </c>
      <c r="G2413" s="19" t="str">
        <f>IFERROR(__xludf.DUMMYFUNCTION("""COMPUTED_VALUE"""),"Instant Forms")</f>
        <v>Instant Forms</v>
      </c>
      <c r="H2413" s="19"/>
      <c r="I2413" s="62"/>
      <c r="J2413" s="19"/>
    </row>
    <row r="2414">
      <c r="A2414" s="19" t="str">
        <f>IFERROR(__xludf.DUMMYFUNCTION("""COMPUTED_VALUE"""),"Tee Sohail")</f>
        <v>Tee Sohail</v>
      </c>
      <c r="B2414" s="19" t="str">
        <f>IFERROR(__xludf.DUMMYFUNCTION("""COMPUTED_VALUE"""),"VIC")</f>
        <v>VIC</v>
      </c>
      <c r="C2414" s="5" t="str">
        <f>IFERROR(__xludf.DUMMYFUNCTION("""COMPUTED_VALUE"""),"Narre Warren")</f>
        <v>Narre Warren</v>
      </c>
      <c r="D2414" s="5" t="str">
        <f>IFERROR(__xludf.DUMMYFUNCTION("""COMPUTED_VALUE"""),"3 Terry Close Narre Warren VIC 3805")</f>
        <v>3 Terry Close Narre Warren VIC 3805</v>
      </c>
      <c r="E2414" s="25">
        <f>IFERROR(__xludf.DUMMYFUNCTION("""COMPUTED_VALUE"""),45947.0)</f>
        <v>45947</v>
      </c>
      <c r="F2414" s="5">
        <f>IFERROR(__xludf.DUMMYFUNCTION("""COMPUTED_VALUE"""),8.0)</f>
        <v>8</v>
      </c>
      <c r="G2414" s="19" t="str">
        <f>IFERROR(__xludf.DUMMYFUNCTION("""COMPUTED_VALUE"""),"Instant Forms")</f>
        <v>Instant Forms</v>
      </c>
      <c r="H2414" s="19"/>
      <c r="I2414" s="62"/>
      <c r="J2414" s="19"/>
    </row>
    <row r="2415">
      <c r="A2415" s="19" t="str">
        <f>IFERROR(__xludf.DUMMYFUNCTION("""COMPUTED_VALUE"""),"Tee Sohail")</f>
        <v>Tee Sohail</v>
      </c>
      <c r="B2415" s="19" t="str">
        <f>IFERROR(__xludf.DUMMYFUNCTION("""COMPUTED_VALUE"""),"VIC")</f>
        <v>VIC</v>
      </c>
      <c r="C2415" s="5" t="str">
        <f>IFERROR(__xludf.DUMMYFUNCTION("""COMPUTED_VALUE"""),"Officer")</f>
        <v>Officer</v>
      </c>
      <c r="D2415" s="5" t="str">
        <f>IFERROR(__xludf.DUMMYFUNCTION("""COMPUTED_VALUE"""),"23 Grassland Crescent, Officer, VIC, 3809, Australia")</f>
        <v>23 Grassland Crescent, Officer, VIC, 3809, Australia</v>
      </c>
      <c r="E2415" s="25">
        <f>IFERROR(__xludf.DUMMYFUNCTION("""COMPUTED_VALUE"""),45950.0)</f>
        <v>45950</v>
      </c>
      <c r="F2415" s="5" t="str">
        <f>IFERROR(__xludf.DUMMYFUNCTION("""COMPUTED_VALUE"""),"Featured")</f>
        <v>Featured</v>
      </c>
      <c r="G2415" s="19" t="str">
        <f>IFERROR(__xludf.DUMMYFUNCTION("""COMPUTED_VALUE"""),"Commission Comparison")</f>
        <v>Commission Comparison</v>
      </c>
      <c r="H2415" s="19"/>
      <c r="I2415" s="62"/>
      <c r="J2415" s="19"/>
    </row>
    <row r="2416">
      <c r="A2416" s="19" t="str">
        <f>IFERROR(__xludf.DUMMYFUNCTION("""COMPUTED_VALUE"""),"Tee Sohail")</f>
        <v>Tee Sohail</v>
      </c>
      <c r="B2416" s="19" t="str">
        <f>IFERROR(__xludf.DUMMYFUNCTION("""COMPUTED_VALUE"""),"VIC")</f>
        <v>VIC</v>
      </c>
      <c r="C2416" s="5" t="str">
        <f>IFERROR(__xludf.DUMMYFUNCTION("""COMPUTED_VALUE"""),"Nar Nar Goon North")</f>
        <v>Nar Nar Goon North</v>
      </c>
      <c r="D2416" s="5" t="str">
        <f>IFERROR(__xludf.DUMMYFUNCTION("""COMPUTED_VALUE"""),"64 Warren Road, Nar Nar Goon North, VIC, 3812, Australia")</f>
        <v>64 Warren Road, Nar Nar Goon North, VIC, 3812, Australia</v>
      </c>
      <c r="E2416" s="25">
        <f>IFERROR(__xludf.DUMMYFUNCTION("""COMPUTED_VALUE"""),45965.0)</f>
        <v>45965</v>
      </c>
      <c r="F2416" s="5" t="str">
        <f>IFERROR(__xludf.DUMMYFUNCTION("""COMPUTED_VALUE"""),"Featured")</f>
        <v>Featured</v>
      </c>
      <c r="G2416" s="19" t="str">
        <f>IFERROR(__xludf.DUMMYFUNCTION("""COMPUTED_VALUE"""),"Commission Comparison")</f>
        <v>Commission Comparison</v>
      </c>
      <c r="H2416" s="19" t="str">
        <f>IFERROR(__xludf.DUMMYFUNCTION("""COMPUTED_VALUE"""),"brett andreasen")</f>
        <v>brett andreasen</v>
      </c>
      <c r="I2416" s="62">
        <f>IFERROR(__xludf.DUMMYFUNCTION("""COMPUTED_VALUE"""),6.1410594285E10)</f>
        <v>61410594285</v>
      </c>
      <c r="J2416" s="19" t="str">
        <f>IFERROR(__xludf.DUMMYFUNCTION("""COMPUTED_VALUE"""),"setnt@iprimus.com.au")</f>
        <v>setnt@iprimus.com.au</v>
      </c>
    </row>
    <row r="2417">
      <c r="A2417" s="19" t="str">
        <f>IFERROR(__xludf.DUMMYFUNCTION("""COMPUTED_VALUE"""),"Tee Sohail")</f>
        <v>Tee Sohail</v>
      </c>
      <c r="B2417" s="19" t="str">
        <f>IFERROR(__xludf.DUMMYFUNCTION("""COMPUTED_VALUE"""),"VIC")</f>
        <v>VIC</v>
      </c>
      <c r="C2417" s="5" t="str">
        <f>IFERROR(__xludf.DUMMYFUNCTION("""COMPUTED_VALUE"""),"Berwick 3806")</f>
        <v>Berwick 3806</v>
      </c>
      <c r="D2417" s="5" t="str">
        <f>IFERROR(__xludf.DUMMYFUNCTION("""COMPUTED_VALUE"""),"11/48 Langmore Lane Berwick VIC 3806")</f>
        <v>11/48 Langmore Lane Berwick VIC 3806</v>
      </c>
      <c r="E2417" s="25">
        <f>IFERROR(__xludf.DUMMYFUNCTION("""COMPUTED_VALUE"""),45969.0)</f>
        <v>45969</v>
      </c>
      <c r="F2417" s="5">
        <f>IFERROR(__xludf.DUMMYFUNCTION("""COMPUTED_VALUE"""),8.0)</f>
        <v>8</v>
      </c>
      <c r="G2417" s="19" t="str">
        <f>IFERROR(__xludf.DUMMYFUNCTION("""COMPUTED_VALUE"""),"Instant Forms")</f>
        <v>Instant Forms</v>
      </c>
      <c r="H2417" s="19" t="str">
        <f>IFERROR(__xludf.DUMMYFUNCTION("""COMPUTED_VALUE"""),"Ettore Rimbaldo")</f>
        <v>Ettore Rimbaldo</v>
      </c>
      <c r="I2417" s="62">
        <f>IFERROR(__xludf.DUMMYFUNCTION("""COMPUTED_VALUE"""),6.1417328021E10)</f>
        <v>61417328021</v>
      </c>
      <c r="J2417" s="19" t="str">
        <f>IFERROR(__xludf.DUMMYFUNCTION("""COMPUTED_VALUE"""),"tony@actlaser.com.au")</f>
        <v>tony@actlaser.com.au</v>
      </c>
    </row>
    <row r="2418">
      <c r="A2418" s="19" t="str">
        <f>IFERROR(__xludf.DUMMYFUNCTION("""COMPUTED_VALUE"""),"Tee Sohail")</f>
        <v>Tee Sohail</v>
      </c>
      <c r="B2418" s="19" t="str">
        <f>IFERROR(__xludf.DUMMYFUNCTION("""COMPUTED_VALUE"""),"VIC")</f>
        <v>VIC</v>
      </c>
      <c r="C2418" s="5" t="str">
        <f>IFERROR(__xludf.DUMMYFUNCTION("""COMPUTED_VALUE"""),"Berwick")</f>
        <v>Berwick</v>
      </c>
      <c r="D2418" s="5" t="str">
        <f>IFERROR(__xludf.DUMMYFUNCTION("""COMPUTED_VALUE"""),"6 Milparinka Way Berwick VIC 3806")</f>
        <v>6 Milparinka Way Berwick VIC 3806</v>
      </c>
      <c r="E2418" s="25">
        <f>IFERROR(__xludf.DUMMYFUNCTION("""COMPUTED_VALUE"""),45970.0)</f>
        <v>45970</v>
      </c>
      <c r="F2418" s="5">
        <f>IFERROR(__xludf.DUMMYFUNCTION("""COMPUTED_VALUE"""),8.0)</f>
        <v>8</v>
      </c>
      <c r="G2418" s="19" t="str">
        <f>IFERROR(__xludf.DUMMYFUNCTION("""COMPUTED_VALUE"""),"Instant Forms")</f>
        <v>Instant Forms</v>
      </c>
      <c r="H2418" s="19" t="str">
        <f>IFERROR(__xludf.DUMMYFUNCTION("""COMPUTED_VALUE"""),"Barrie Hondow")</f>
        <v>Barrie Hondow</v>
      </c>
      <c r="I2418" s="62">
        <f>IFERROR(__xludf.DUMMYFUNCTION("""COMPUTED_VALUE"""),6.1416039998E10)</f>
        <v>61416039998</v>
      </c>
      <c r="J2418" s="19" t="str">
        <f>IFERROR(__xludf.DUMMYFUNCTION("""COMPUTED_VALUE"""),"bhondow21@gmail.com")</f>
        <v>bhondow21@gmail.com</v>
      </c>
    </row>
    <row r="2419">
      <c r="A2419" s="19" t="str">
        <f>IFERROR(__xludf.DUMMYFUNCTION("""COMPUTED_VALUE"""),"Tee Sohail")</f>
        <v>Tee Sohail</v>
      </c>
      <c r="B2419" s="19" t="str">
        <f>IFERROR(__xludf.DUMMYFUNCTION("""COMPUTED_VALUE"""),"VIC")</f>
        <v>VIC</v>
      </c>
      <c r="C2419" s="5" t="str">
        <f>IFERROR(__xludf.DUMMYFUNCTION("""COMPUTED_VALUE"""),"Hallam")</f>
        <v>Hallam</v>
      </c>
      <c r="D2419" s="5" t="str">
        <f>IFERROR(__xludf.DUMMYFUNCTION("""COMPUTED_VALUE"""),"11 Anbar Mews")</f>
        <v>11 Anbar Mews</v>
      </c>
      <c r="E2419" s="5" t="str">
        <f>IFERROR(__xludf.DUMMYFUNCTION("""COMPUTED_VALUE"""),"18/11/2025")</f>
        <v>18/11/2025</v>
      </c>
      <c r="F2419" s="5" t="str">
        <f>IFERROR(__xludf.DUMMYFUNCTION("""COMPUTED_VALUE"""),"Featured")</f>
        <v>Featured</v>
      </c>
      <c r="G2419" s="19" t="str">
        <f>IFERROR(__xludf.DUMMYFUNCTION("""COMPUTED_VALUE"""),"Commission Comparison")</f>
        <v>Commission Comparison</v>
      </c>
      <c r="H2419" s="19" t="str">
        <f>IFERROR(__xludf.DUMMYFUNCTION("""COMPUTED_VALUE"""),"Sandra Marie Sosa")</f>
        <v>Sandra Marie Sosa</v>
      </c>
      <c r="I2419" s="62">
        <f>IFERROR(__xludf.DUMMYFUNCTION("""COMPUTED_VALUE"""),6.1435883045E10)</f>
        <v>61435883045</v>
      </c>
      <c r="J2419" s="19" t="str">
        <f>IFERROR(__xludf.DUMMYFUNCTION("""COMPUTED_VALUE"""),"sandramsosa89@gmail.com")</f>
        <v>sandramsosa89@gmail.com</v>
      </c>
    </row>
    <row r="2420">
      <c r="A2420" s="19" t="str">
        <f>IFERROR(__xludf.DUMMYFUNCTION("""COMPUTED_VALUE"""),"Tee Sohail")</f>
        <v>Tee Sohail</v>
      </c>
      <c r="B2420" s="19" t="str">
        <f>IFERROR(__xludf.DUMMYFUNCTION("""COMPUTED_VALUE"""),"VIC")</f>
        <v>VIC</v>
      </c>
      <c r="C2420" s="5" t="str">
        <f>IFERROR(__xludf.DUMMYFUNCTION("""COMPUTED_VALUE"""),"Berwick")</f>
        <v>Berwick</v>
      </c>
      <c r="D2420" s="5" t="str">
        <f>IFERROR(__xludf.DUMMYFUNCTION("""COMPUTED_VALUE"""),"45 Brisbane Street, Berwick, Berwick, 3806")</f>
        <v>45 Brisbane Street, Berwick, Berwick, 3806</v>
      </c>
      <c r="E2420" s="5" t="str">
        <f>IFERROR(__xludf.DUMMYFUNCTION("""COMPUTED_VALUE"""),"22/11/2025")</f>
        <v>22/11/2025</v>
      </c>
      <c r="F2420" s="5" t="str">
        <f>IFERROR(__xludf.DUMMYFUNCTION("""COMPUTED_VALUE"""),"Featured")</f>
        <v>Featured</v>
      </c>
      <c r="G2420" s="19" t="str">
        <f>IFERROR(__xludf.DUMMYFUNCTION("""COMPUTED_VALUE"""),"Meta Commission Report")</f>
        <v>Meta Commission Report</v>
      </c>
      <c r="H2420" s="19" t="str">
        <f>IFERROR(__xludf.DUMMYFUNCTION("""COMPUTED_VALUE"""),"Shannon Dyer")</f>
        <v>Shannon Dyer</v>
      </c>
      <c r="I2420" s="62">
        <f>IFERROR(__xludf.DUMMYFUNCTION("""COMPUTED_VALUE"""),6.1418145047E10)</f>
        <v>61418145047</v>
      </c>
      <c r="J2420" s="19" t="str">
        <f>IFERROR(__xludf.DUMMYFUNCTION("""COMPUTED_VALUE"""),"shannondyer@hotmail.com")</f>
        <v>shannondyer@hotmail.com</v>
      </c>
    </row>
    <row r="2421">
      <c r="A2421" s="19" t="str">
        <f>IFERROR(__xludf.DUMMYFUNCTION("""COMPUTED_VALUE"""),"Tee Sohail")</f>
        <v>Tee Sohail</v>
      </c>
      <c r="B2421" s="19" t="str">
        <f>IFERROR(__xludf.DUMMYFUNCTION("""COMPUTED_VALUE"""),"VIC")</f>
        <v>VIC</v>
      </c>
      <c r="C2421" s="5" t="str">
        <f>IFERROR(__xludf.DUMMYFUNCTION("""COMPUTED_VALUE"""),"Narre Warren")</f>
        <v>Narre Warren</v>
      </c>
      <c r="D2421" s="5" t="str">
        <f>IFERROR(__xludf.DUMMYFUNCTION("""COMPUTED_VALUE"""),"6 Formosa Court, Narre Warren, VIC, 3805, Australia, Narre Warren, Victoria")</f>
        <v>6 Formosa Court, Narre Warren, VIC, 3805, Australia, Narre Warren, Victoria</v>
      </c>
      <c r="E2421" s="5" t="str">
        <f>IFERROR(__xludf.DUMMYFUNCTION("""COMPUTED_VALUE"""),"26/11/2025")</f>
        <v>26/11/2025</v>
      </c>
      <c r="F2421" s="5" t="str">
        <f>IFERROR(__xludf.DUMMYFUNCTION("""COMPUTED_VALUE"""),"Featured")</f>
        <v>Featured</v>
      </c>
      <c r="G2421" s="19" t="str">
        <f>IFERROR(__xludf.DUMMYFUNCTION("""COMPUTED_VALUE"""),"Meta Commission Report")</f>
        <v>Meta Commission Report</v>
      </c>
      <c r="H2421" s="19" t="str">
        <f>IFERROR(__xludf.DUMMYFUNCTION("""COMPUTED_VALUE"""),"Chris Hallett")</f>
        <v>Chris Hallett</v>
      </c>
      <c r="I2421" s="62">
        <f>IFERROR(__xludf.DUMMYFUNCTION("""COMPUTED_VALUE"""),6.1477443999E10)</f>
        <v>61477443999</v>
      </c>
      <c r="J2421" s="19" t="str">
        <f>IFERROR(__xludf.DUMMYFUNCTION("""COMPUTED_VALUE"""),"hlockhar@bigpond.net.au")</f>
        <v>hlockhar@bigpond.net.au</v>
      </c>
    </row>
    <row r="2422">
      <c r="A2422" s="19" t="str">
        <f>IFERROR(__xludf.DUMMYFUNCTION("""COMPUTED_VALUE"""),"Tee Sohail")</f>
        <v>Tee Sohail</v>
      </c>
      <c r="B2422" s="19" t="str">
        <f>IFERROR(__xludf.DUMMYFUNCTION("""COMPUTED_VALUE"""),"VIC")</f>
        <v>VIC</v>
      </c>
      <c r="C2422" s="5" t="str">
        <f>IFERROR(__xludf.DUMMYFUNCTION("""COMPUTED_VALUE"""),"Narre")</f>
        <v>Narre</v>
      </c>
      <c r="D2422" s="5" t="str">
        <f>IFERROR(__xludf.DUMMYFUNCTION("""COMPUTED_VALUE"""),"1/138 Greaves Road Narre Warren South VIC 3805")</f>
        <v>1/138 Greaves Road Narre Warren South VIC 3805</v>
      </c>
      <c r="E2422" s="5" t="str">
        <f>IFERROR(__xludf.DUMMYFUNCTION("""COMPUTED_VALUE"""),"29/11/2025")</f>
        <v>29/11/2025</v>
      </c>
      <c r="F2422" s="64">
        <f>IFERROR(__xludf.DUMMYFUNCTION("""COMPUTED_VALUE"""),0.2)</f>
        <v>0.2</v>
      </c>
      <c r="G2422" s="19" t="str">
        <f>IFERROR(__xludf.DUMMYFUNCTION("""COMPUTED_VALUE"""),"Instant Forms")</f>
        <v>Instant Forms</v>
      </c>
      <c r="H2422" s="19" t="str">
        <f>IFERROR(__xludf.DUMMYFUNCTION("""COMPUTED_VALUE"""),"Heather Lockhart")</f>
        <v>Heather Lockhart</v>
      </c>
      <c r="I2422" s="62">
        <f>IFERROR(__xludf.DUMMYFUNCTION("""COMPUTED_VALUE"""),6.143833745E10)</f>
        <v>61438337450</v>
      </c>
      <c r="J2422" s="19" t="str">
        <f>IFERROR(__xludf.DUMMYFUNCTION("""COMPUTED_VALUE"""),"halockhart48@gmail.com")</f>
        <v>halockhart48@gmail.com</v>
      </c>
    </row>
    <row r="2423">
      <c r="A2423" s="19" t="str">
        <f>IFERROR(__xludf.DUMMYFUNCTION("""COMPUTED_VALUE"""),"")</f>
        <v/>
      </c>
      <c r="B2423" s="19" t="str">
        <f>IFERROR(__xludf.DUMMYFUNCTION("""COMPUTED_VALUE"""),"")</f>
        <v/>
      </c>
      <c r="C2423" s="5" t="str">
        <f>IFERROR(__xludf.DUMMYFUNCTION("""COMPUTED_VALUE"""),"")</f>
        <v/>
      </c>
      <c r="D2423" s="5" t="str">
        <f>IFERROR(__xludf.DUMMYFUNCTION("""COMPUTED_VALUE"""),"")</f>
        <v/>
      </c>
      <c r="E2423" s="5" t="str">
        <f>IFERROR(__xludf.DUMMYFUNCTION("""COMPUTED_VALUE"""),"")</f>
        <v/>
      </c>
      <c r="F2423" s="5" t="str">
        <f>IFERROR(__xludf.DUMMYFUNCTION("""COMPUTED_VALUE"""),"")</f>
        <v/>
      </c>
      <c r="G2423" s="19" t="str">
        <f>IFERROR(__xludf.DUMMYFUNCTION("""COMPUTED_VALUE"""),"")</f>
        <v/>
      </c>
      <c r="H2423" s="19" t="str">
        <f>IFERROR(__xludf.DUMMYFUNCTION("""COMPUTED_VALUE"""),"")</f>
        <v/>
      </c>
      <c r="I2423" s="62" t="str">
        <f>IFERROR(__xludf.DUMMYFUNCTION("""COMPUTED_VALUE"""),"")</f>
        <v/>
      </c>
      <c r="J2423" s="19" t="str">
        <f>IFERROR(__xludf.DUMMYFUNCTION("""COMPUTED_VALUE"""),"")</f>
        <v/>
      </c>
    </row>
    <row r="2424">
      <c r="A2424" s="19" t="str">
        <f>IFERROR(__xludf.DUMMYFUNCTION("""COMPUTED_VALUE"""),"")</f>
        <v/>
      </c>
      <c r="B2424" s="19" t="str">
        <f>IFERROR(__xludf.DUMMYFUNCTION("""COMPUTED_VALUE"""),"")</f>
        <v/>
      </c>
      <c r="C2424" s="5" t="str">
        <f>IFERROR(__xludf.DUMMYFUNCTION("""COMPUTED_VALUE"""),"")</f>
        <v/>
      </c>
      <c r="D2424" s="5" t="str">
        <f>IFERROR(__xludf.DUMMYFUNCTION("""COMPUTED_VALUE"""),"")</f>
        <v/>
      </c>
      <c r="E2424" s="5" t="str">
        <f>IFERROR(__xludf.DUMMYFUNCTION("""COMPUTED_VALUE"""),"")</f>
        <v/>
      </c>
      <c r="F2424" s="5" t="str">
        <f>IFERROR(__xludf.DUMMYFUNCTION("""COMPUTED_VALUE"""),"")</f>
        <v/>
      </c>
      <c r="G2424" s="19" t="str">
        <f>IFERROR(__xludf.DUMMYFUNCTION("""COMPUTED_VALUE"""),"")</f>
        <v/>
      </c>
      <c r="H2424" s="19" t="str">
        <f>IFERROR(__xludf.DUMMYFUNCTION("""COMPUTED_VALUE"""),"")</f>
        <v/>
      </c>
      <c r="I2424" s="62" t="str">
        <f>IFERROR(__xludf.DUMMYFUNCTION("""COMPUTED_VALUE"""),"")</f>
        <v/>
      </c>
      <c r="J2424" s="19" t="str">
        <f>IFERROR(__xludf.DUMMYFUNCTION("""COMPUTED_VALUE"""),"")</f>
        <v/>
      </c>
    </row>
    <row r="2425">
      <c r="A2425" s="19" t="str">
        <f>IFERROR(__xludf.DUMMYFUNCTION("""COMPUTED_VALUE"""),"Thomas Fuller")</f>
        <v>Thomas Fuller</v>
      </c>
      <c r="B2425" s="19" t="str">
        <f>IFERROR(__xludf.DUMMYFUNCTION("""COMPUTED_VALUE"""),"NSW")</f>
        <v>NSW</v>
      </c>
      <c r="C2425" s="5" t="str">
        <f>IFERROR(__xludf.DUMMYFUNCTION("""COMPUTED_VALUE"""),"Randwick")</f>
        <v>Randwick</v>
      </c>
      <c r="D2425" s="5" t="str">
        <f>IFERROR(__xludf.DUMMYFUNCTION("""COMPUTED_VALUE"""),"2 Avoca Street Randwick NSW 2031")</f>
        <v>2 Avoca Street Randwick NSW 2031</v>
      </c>
      <c r="E2425" s="25">
        <f>IFERROR(__xludf.DUMMYFUNCTION("""COMPUTED_VALUE"""),45910.0)</f>
        <v>45910</v>
      </c>
      <c r="F2425" s="5">
        <f>IFERROR(__xludf.DUMMYFUNCTION("""COMPUTED_VALUE"""),8.0)</f>
        <v>8</v>
      </c>
      <c r="G2425" s="19" t="str">
        <f>IFERROR(__xludf.DUMMYFUNCTION("""COMPUTED_VALUE"""),"Instant Forms")</f>
        <v>Instant Forms</v>
      </c>
      <c r="H2425" s="19" t="str">
        <f>IFERROR(__xludf.DUMMYFUNCTION("""COMPUTED_VALUE"""),"Allison Roberts")</f>
        <v>Allison Roberts</v>
      </c>
      <c r="I2425" s="62"/>
      <c r="J2425" s="19"/>
    </row>
    <row r="2426">
      <c r="A2426" s="19" t="str">
        <f>IFERROR(__xludf.DUMMYFUNCTION("""COMPUTED_VALUE"""),"Thomas Fuller")</f>
        <v>Thomas Fuller</v>
      </c>
      <c r="B2426" s="19" t="str">
        <f>IFERROR(__xludf.DUMMYFUNCTION("""COMPUTED_VALUE"""),"NSW")</f>
        <v>NSW</v>
      </c>
      <c r="C2426" s="5" t="str">
        <f>IFERROR(__xludf.DUMMYFUNCTION("""COMPUTED_VALUE"""),"DOVER HEIGHTS")</f>
        <v>DOVER HEIGHTS</v>
      </c>
      <c r="D2426" s="5" t="str">
        <f>IFERROR(__xludf.DUMMYFUNCTION("""COMPUTED_VALUE"""),"124 Military Road DOVER HEIGHTS NSW 2030")</f>
        <v>124 Military Road DOVER HEIGHTS NSW 2030</v>
      </c>
      <c r="E2426" s="25">
        <f>IFERROR(__xludf.DUMMYFUNCTION("""COMPUTED_VALUE"""),45915.0)</f>
        <v>45915</v>
      </c>
      <c r="F2426" s="5">
        <f>IFERROR(__xludf.DUMMYFUNCTION("""COMPUTED_VALUE"""),6.0)</f>
        <v>6</v>
      </c>
      <c r="G2426" s="19" t="str">
        <f>IFERROR(__xludf.DUMMYFUNCTION("""COMPUTED_VALUE"""),"Instant Forms")</f>
        <v>Instant Forms</v>
      </c>
      <c r="H2426" s="19" t="str">
        <f>IFERROR(__xludf.DUMMYFUNCTION("""COMPUTED_VALUE"""),"Shirley (Susan Werkner)")</f>
        <v>Shirley (Susan Werkner)</v>
      </c>
      <c r="I2426" s="62"/>
      <c r="J2426" s="19"/>
    </row>
    <row r="2427">
      <c r="A2427" s="19" t="str">
        <f>IFERROR(__xludf.DUMMYFUNCTION("""COMPUTED_VALUE"""),"Thomas Fuller")</f>
        <v>Thomas Fuller</v>
      </c>
      <c r="B2427" s="19" t="str">
        <f>IFERROR(__xludf.DUMMYFUNCTION("""COMPUTED_VALUE"""),"NSW")</f>
        <v>NSW</v>
      </c>
      <c r="C2427" s="5" t="str">
        <f>IFERROR(__xludf.DUMMYFUNCTION("""COMPUTED_VALUE"""),"Maroubra")</f>
        <v>Maroubra</v>
      </c>
      <c r="D2427" s="5" t="str">
        <f>IFERROR(__xludf.DUMMYFUNCTION("""COMPUTED_VALUE"""),"139 Robey Street Maroubra NSW 2035")</f>
        <v>139 Robey Street Maroubra NSW 2035</v>
      </c>
      <c r="E2427" s="25">
        <f>IFERROR(__xludf.DUMMYFUNCTION("""COMPUTED_VALUE"""),45918.0)</f>
        <v>45918</v>
      </c>
      <c r="F2427" s="5">
        <f>IFERROR(__xludf.DUMMYFUNCTION("""COMPUTED_VALUE"""),8.0)</f>
        <v>8</v>
      </c>
      <c r="G2427" s="19" t="str">
        <f>IFERROR(__xludf.DUMMYFUNCTION("""COMPUTED_VALUE"""),"Instant Forms")</f>
        <v>Instant Forms</v>
      </c>
      <c r="H2427" s="19" t="str">
        <f>IFERROR(__xludf.DUMMYFUNCTION("""COMPUTED_VALUE"""),"Tracey Segel")</f>
        <v>Tracey Segel</v>
      </c>
      <c r="I2427" s="62"/>
      <c r="J2427" s="19"/>
    </row>
    <row r="2428">
      <c r="A2428" s="19" t="str">
        <f>IFERROR(__xludf.DUMMYFUNCTION("""COMPUTED_VALUE"""),"Thomas Fuller")</f>
        <v>Thomas Fuller</v>
      </c>
      <c r="B2428" s="19" t="str">
        <f>IFERROR(__xludf.DUMMYFUNCTION("""COMPUTED_VALUE"""),"NSW")</f>
        <v>NSW</v>
      </c>
      <c r="C2428" s="5" t="str">
        <f>IFERROR(__xludf.DUMMYFUNCTION("""COMPUTED_VALUE"""),"Maroubra")</f>
        <v>Maroubra</v>
      </c>
      <c r="D2428" s="5" t="str">
        <f>IFERROR(__xludf.DUMMYFUNCTION("""COMPUTED_VALUE"""),"9 Galvin Street Maroubra NSW 2035")</f>
        <v>9 Galvin Street Maroubra NSW 2035</v>
      </c>
      <c r="E2428" s="25">
        <f>IFERROR(__xludf.DUMMYFUNCTION("""COMPUTED_VALUE"""),45919.0)</f>
        <v>45919</v>
      </c>
      <c r="F2428" s="5">
        <f>IFERROR(__xludf.DUMMYFUNCTION("""COMPUTED_VALUE"""),8.0)</f>
        <v>8</v>
      </c>
      <c r="G2428" s="19" t="str">
        <f>IFERROR(__xludf.DUMMYFUNCTION("""COMPUTED_VALUE"""),"Instant Forms")</f>
        <v>Instant Forms</v>
      </c>
      <c r="H2428" s="19" t="str">
        <f>IFERROR(__xludf.DUMMYFUNCTION("""COMPUTED_VALUE"""),"Frank Riley")</f>
        <v>Frank Riley</v>
      </c>
      <c r="I2428" s="62"/>
      <c r="J2428" s="19"/>
    </row>
    <row r="2429">
      <c r="A2429" s="19" t="str">
        <f>IFERROR(__xludf.DUMMYFUNCTION("""COMPUTED_VALUE"""),"Thomas Fuller")</f>
        <v>Thomas Fuller</v>
      </c>
      <c r="B2429" s="19" t="str">
        <f>IFERROR(__xludf.DUMMYFUNCTION("""COMPUTED_VALUE"""),"NSW")</f>
        <v>NSW</v>
      </c>
      <c r="C2429" s="5" t="str">
        <f>IFERROR(__xludf.DUMMYFUNCTION("""COMPUTED_VALUE"""),"Pagewood")</f>
        <v>Pagewood</v>
      </c>
      <c r="D2429" s="5" t="str">
        <f>IFERROR(__xludf.DUMMYFUNCTION("""COMPUTED_VALUE"""),"18 Kerr Crescent Pagewood NSW 2035")</f>
        <v>18 Kerr Crescent Pagewood NSW 2035</v>
      </c>
      <c r="E2429" s="25">
        <f>IFERROR(__xludf.DUMMYFUNCTION("""COMPUTED_VALUE"""),45921.0)</f>
        <v>45921</v>
      </c>
      <c r="F2429" s="5">
        <f>IFERROR(__xludf.DUMMYFUNCTION("""COMPUTED_VALUE"""),8.0)</f>
        <v>8</v>
      </c>
      <c r="G2429" s="19" t="str">
        <f>IFERROR(__xludf.DUMMYFUNCTION("""COMPUTED_VALUE"""),"Instant Forms")</f>
        <v>Instant Forms</v>
      </c>
      <c r="H2429" s="19" t="str">
        <f>IFERROR(__xludf.DUMMYFUNCTION("""COMPUTED_VALUE"""),"Maria Moutopoulos")</f>
        <v>Maria Moutopoulos</v>
      </c>
      <c r="I2429" s="62"/>
      <c r="J2429" s="19"/>
    </row>
    <row r="2430">
      <c r="A2430" s="19" t="str">
        <f>IFERROR(__xludf.DUMMYFUNCTION("""COMPUTED_VALUE"""),"Thomas Fuller")</f>
        <v>Thomas Fuller</v>
      </c>
      <c r="B2430" s="19" t="str">
        <f>IFERROR(__xludf.DUMMYFUNCTION("""COMPUTED_VALUE"""),"NSW")</f>
        <v>NSW</v>
      </c>
      <c r="C2430" s="5">
        <f>IFERROR(__xludf.DUMMYFUNCTION("""COMPUTED_VALUE"""),2052.0)</f>
        <v>2052</v>
      </c>
      <c r="D2430" s="5"/>
      <c r="E2430" s="25">
        <f>IFERROR(__xludf.DUMMYFUNCTION("""COMPUTED_VALUE"""),45924.0)</f>
        <v>45924</v>
      </c>
      <c r="F2430" s="5">
        <f>IFERROR(__xludf.DUMMYFUNCTION("""COMPUTED_VALUE"""),5.0)</f>
        <v>5</v>
      </c>
      <c r="G2430" s="19" t="str">
        <f>IFERROR(__xludf.DUMMYFUNCTION("""COMPUTED_VALUE"""),"Instant Forms")</f>
        <v>Instant Forms</v>
      </c>
      <c r="H2430" s="19" t="str">
        <f>IFERROR(__xludf.DUMMYFUNCTION("""COMPUTED_VALUE"""),"Michelle Kubie")</f>
        <v>Michelle Kubie</v>
      </c>
      <c r="I2430" s="62"/>
      <c r="J2430" s="19"/>
    </row>
    <row r="2431">
      <c r="A2431" s="19" t="str">
        <f>IFERROR(__xludf.DUMMYFUNCTION("""COMPUTED_VALUE"""),"Thomas Fuller")</f>
        <v>Thomas Fuller</v>
      </c>
      <c r="B2431" s="19" t="str">
        <f>IFERROR(__xludf.DUMMYFUNCTION("""COMPUTED_VALUE"""),"NSW")</f>
        <v>NSW</v>
      </c>
      <c r="C2431" s="5" t="str">
        <f>IFERROR(__xludf.DUMMYFUNCTION("""COMPUTED_VALUE"""),"Coogee")</f>
        <v>Coogee</v>
      </c>
      <c r="D2431" s="5" t="str">
        <f>IFERROR(__xludf.DUMMYFUNCTION("""COMPUTED_VALUE"""),"1 Pauling Avenue Coogee NSW 2034")</f>
        <v>1 Pauling Avenue Coogee NSW 2034</v>
      </c>
      <c r="E2431" s="25">
        <f>IFERROR(__xludf.DUMMYFUNCTION("""COMPUTED_VALUE"""),45926.0)</f>
        <v>45926</v>
      </c>
      <c r="F2431" s="5">
        <f>IFERROR(__xludf.DUMMYFUNCTION("""COMPUTED_VALUE"""),10.0)</f>
        <v>10</v>
      </c>
      <c r="G2431" s="19" t="str">
        <f>IFERROR(__xludf.DUMMYFUNCTION("""COMPUTED_VALUE"""),"Instant Forms")</f>
        <v>Instant Forms</v>
      </c>
      <c r="H2431" s="19" t="str">
        <f>IFERROR(__xludf.DUMMYFUNCTION("""COMPUTED_VALUE"""),"Lloyd Boolkin")</f>
        <v>Lloyd Boolkin</v>
      </c>
      <c r="I2431" s="62"/>
      <c r="J2431" s="19"/>
    </row>
    <row r="2432">
      <c r="A2432" s="19" t="str">
        <f>IFERROR(__xludf.DUMMYFUNCTION("""COMPUTED_VALUE"""),"Thomas Fuller")</f>
        <v>Thomas Fuller</v>
      </c>
      <c r="B2432" s="19" t="str">
        <f>IFERROR(__xludf.DUMMYFUNCTION("""COMPUTED_VALUE"""),"NSW")</f>
        <v>NSW</v>
      </c>
      <c r="C2432" s="5" t="str">
        <f>IFERROR(__xludf.DUMMYFUNCTION("""COMPUTED_VALUE"""),"Clovelly")</f>
        <v>Clovelly</v>
      </c>
      <c r="D2432" s="5" t="str">
        <f>IFERROR(__xludf.DUMMYFUNCTION("""COMPUTED_VALUE"""),"35 Burnie Street, Clovelly, NSW, 2031, Australia")</f>
        <v>35 Burnie Street, Clovelly, NSW, 2031, Australia</v>
      </c>
      <c r="E2432" s="5" t="str">
        <f>IFERROR(__xludf.DUMMYFUNCTION("""COMPUTED_VALUE"""),"28/09/2025")</f>
        <v>28/09/2025</v>
      </c>
      <c r="F2432" s="5" t="str">
        <f>IFERROR(__xludf.DUMMYFUNCTION("""COMPUTED_VALUE"""),"Featured")</f>
        <v>Featured</v>
      </c>
      <c r="G2432" s="19"/>
      <c r="H2432" s="19"/>
      <c r="I2432" s="62"/>
      <c r="J2432" s="19"/>
    </row>
    <row r="2433">
      <c r="A2433" s="19" t="str">
        <f>IFERROR(__xludf.DUMMYFUNCTION("""COMPUTED_VALUE"""),"Thomas Fuller")</f>
        <v>Thomas Fuller</v>
      </c>
      <c r="B2433" s="19" t="str">
        <f>IFERROR(__xludf.DUMMYFUNCTION("""COMPUTED_VALUE"""),"NSW")</f>
        <v>NSW</v>
      </c>
      <c r="C2433" s="5" t="str">
        <f>IFERROR(__xludf.DUMMYFUNCTION("""COMPUTED_VALUE"""),"Maroubra")</f>
        <v>Maroubra</v>
      </c>
      <c r="D2433" s="5" t="str">
        <f>IFERROR(__xludf.DUMMYFUNCTION("""COMPUTED_VALUE"""),"4 Kyogle Street Maroubra NSW 2035")</f>
        <v>4 Kyogle Street Maroubra NSW 2035</v>
      </c>
      <c r="E2433" s="25">
        <f>IFERROR(__xludf.DUMMYFUNCTION("""COMPUTED_VALUE"""),45929.0)</f>
        <v>45929</v>
      </c>
      <c r="F2433" s="5">
        <f>IFERROR(__xludf.DUMMYFUNCTION("""COMPUTED_VALUE"""),6.0)</f>
        <v>6</v>
      </c>
      <c r="G2433" s="19" t="str">
        <f>IFERROR(__xludf.DUMMYFUNCTION("""COMPUTED_VALUE"""),"Instant Forms")</f>
        <v>Instant Forms</v>
      </c>
      <c r="H2433" s="19" t="str">
        <f>IFERROR(__xludf.DUMMYFUNCTION("""COMPUTED_VALUE"""),"Jorge Garcia")</f>
        <v>Jorge Garcia</v>
      </c>
      <c r="I2433" s="62"/>
      <c r="J2433" s="19"/>
    </row>
    <row r="2434">
      <c r="A2434" s="19" t="str">
        <f>IFERROR(__xludf.DUMMYFUNCTION("""COMPUTED_VALUE"""),"Thomas Fuller")</f>
        <v>Thomas Fuller</v>
      </c>
      <c r="B2434" s="19" t="str">
        <f>IFERROR(__xludf.DUMMYFUNCTION("""COMPUTED_VALUE"""),"NSW")</f>
        <v>NSW</v>
      </c>
      <c r="C2434" s="5" t="str">
        <f>IFERROR(__xludf.DUMMYFUNCTION("""COMPUTED_VALUE"""),"North Bondi")</f>
        <v>North Bondi</v>
      </c>
      <c r="D2434" s="5"/>
      <c r="E2434" s="25">
        <f>IFERROR(__xludf.DUMMYFUNCTION("""COMPUTED_VALUE"""),45937.0)</f>
        <v>45937</v>
      </c>
      <c r="F2434" s="5">
        <f>IFERROR(__xludf.DUMMYFUNCTION("""COMPUTED_VALUE"""),5.0)</f>
        <v>5</v>
      </c>
      <c r="G2434" s="19" t="str">
        <f>IFERROR(__xludf.DUMMYFUNCTION("""COMPUTED_VALUE"""),"Instant Forms")</f>
        <v>Instant Forms</v>
      </c>
      <c r="H2434" s="19" t="str">
        <f>IFERROR(__xludf.DUMMYFUNCTION("""COMPUTED_VALUE"""),"Faysal Kalal")</f>
        <v>Faysal Kalal</v>
      </c>
      <c r="I2434" s="62"/>
      <c r="J2434" s="19"/>
    </row>
    <row r="2435">
      <c r="A2435" s="19" t="str">
        <f>IFERROR(__xludf.DUMMYFUNCTION("""COMPUTED_VALUE"""),"Thomas Fuller")</f>
        <v>Thomas Fuller</v>
      </c>
      <c r="B2435" s="19" t="str">
        <f>IFERROR(__xludf.DUMMYFUNCTION("""COMPUTED_VALUE"""),"NSW")</f>
        <v>NSW</v>
      </c>
      <c r="C2435" s="5" t="str">
        <f>IFERROR(__xludf.DUMMYFUNCTION("""COMPUTED_VALUE"""),"Maroubra")</f>
        <v>Maroubra</v>
      </c>
      <c r="D2435" s="5" t="str">
        <f>IFERROR(__xludf.DUMMYFUNCTION("""COMPUTED_VALUE"""),"4 Phillip Street South Coogee NSW 2034")</f>
        <v>4 Phillip Street South Coogee NSW 2034</v>
      </c>
      <c r="E2435" s="25">
        <f>IFERROR(__xludf.DUMMYFUNCTION("""COMPUTED_VALUE"""),45938.0)</f>
        <v>45938</v>
      </c>
      <c r="F2435" s="5">
        <f>IFERROR(__xludf.DUMMYFUNCTION("""COMPUTED_VALUE"""),6.0)</f>
        <v>6</v>
      </c>
      <c r="G2435" s="19" t="str">
        <f>IFERROR(__xludf.DUMMYFUNCTION("""COMPUTED_VALUE"""),"Instant Forms")</f>
        <v>Instant Forms</v>
      </c>
      <c r="H2435" s="19"/>
      <c r="I2435" s="62"/>
      <c r="J2435" s="19"/>
    </row>
    <row r="2436">
      <c r="A2436" s="19" t="str">
        <f>IFERROR(__xludf.DUMMYFUNCTION("""COMPUTED_VALUE"""),"Thomas Fuller")</f>
        <v>Thomas Fuller</v>
      </c>
      <c r="B2436" s="19" t="str">
        <f>IFERROR(__xludf.DUMMYFUNCTION("""COMPUTED_VALUE"""),"NSW")</f>
        <v>NSW</v>
      </c>
      <c r="C2436" s="5" t="str">
        <f>IFERROR(__xludf.DUMMYFUNCTION("""COMPUTED_VALUE"""),"Bondi Beach")</f>
        <v>Bondi Beach</v>
      </c>
      <c r="D2436" s="5" t="str">
        <f>IFERROR(__xludf.DUMMYFUNCTION("""COMPUTED_VALUE"""),"4/3 Ramsgate Avenue Bondi Beach NSW 2026")</f>
        <v>4/3 Ramsgate Avenue Bondi Beach NSW 2026</v>
      </c>
      <c r="E2436" s="25">
        <f>IFERROR(__xludf.DUMMYFUNCTION("""COMPUTED_VALUE"""),45950.0)</f>
        <v>45950</v>
      </c>
      <c r="F2436" s="5">
        <f>IFERROR(__xludf.DUMMYFUNCTION("""COMPUTED_VALUE"""),8.0)</f>
        <v>8</v>
      </c>
      <c r="G2436" s="19" t="str">
        <f>IFERROR(__xludf.DUMMYFUNCTION("""COMPUTED_VALUE"""),"Instant Forms")</f>
        <v>Instant Forms</v>
      </c>
      <c r="H2436" s="19"/>
      <c r="I2436" s="62"/>
      <c r="J2436" s="19"/>
    </row>
    <row r="2437">
      <c r="A2437" s="19" t="str">
        <f>IFERROR(__xludf.DUMMYFUNCTION("""COMPUTED_VALUE"""),"Thomas Fuller")</f>
        <v>Thomas Fuller</v>
      </c>
      <c r="B2437" s="19" t="str">
        <f>IFERROR(__xludf.DUMMYFUNCTION("""COMPUTED_VALUE"""),"NSW")</f>
        <v>NSW</v>
      </c>
      <c r="C2437" s="5" t="str">
        <f>IFERROR(__xludf.DUMMYFUNCTION("""COMPUTED_VALUE"""),"Kingsford")</f>
        <v>Kingsford</v>
      </c>
      <c r="D2437" s="5" t="str">
        <f>IFERROR(__xludf.DUMMYFUNCTION("""COMPUTED_VALUE"""),"4/43-45 Meeks Street Kingsford NSW 2032")</f>
        <v>4/43-45 Meeks Street Kingsford NSW 2032</v>
      </c>
      <c r="E2437" s="25">
        <f>IFERROR(__xludf.DUMMYFUNCTION("""COMPUTED_VALUE"""),45950.0)</f>
        <v>45950</v>
      </c>
      <c r="F2437" s="5">
        <f>IFERROR(__xludf.DUMMYFUNCTION("""COMPUTED_VALUE"""),6.0)</f>
        <v>6</v>
      </c>
      <c r="G2437" s="19" t="str">
        <f>IFERROR(__xludf.DUMMYFUNCTION("""COMPUTED_VALUE"""),"Instant Forms")</f>
        <v>Instant Forms</v>
      </c>
      <c r="H2437" s="19"/>
      <c r="I2437" s="62"/>
      <c r="J2437" s="19"/>
    </row>
    <row r="2438">
      <c r="A2438" s="19" t="str">
        <f>IFERROR(__xludf.DUMMYFUNCTION("""COMPUTED_VALUE"""),"Thomas Fuller")</f>
        <v>Thomas Fuller</v>
      </c>
      <c r="B2438" s="19" t="str">
        <f>IFERROR(__xludf.DUMMYFUNCTION("""COMPUTED_VALUE"""),"NSW")</f>
        <v>NSW</v>
      </c>
      <c r="C2438" s="5" t="str">
        <f>IFERROR(__xludf.DUMMYFUNCTION("""COMPUTED_VALUE"""),"Coogee")</f>
        <v>Coogee</v>
      </c>
      <c r="D2438" s="5" t="str">
        <f>IFERROR(__xludf.DUMMYFUNCTION("""COMPUTED_VALUE"""),"4 / 8 Major Street, Coogee, NSW, 2034, Australia")</f>
        <v>4 / 8 Major Street, Coogee, NSW, 2034, Australia</v>
      </c>
      <c r="E2438" s="25" t="str">
        <f>IFERROR(__xludf.DUMMYFUNCTION("""COMPUTED_VALUE"""),"22/10/2025")</f>
        <v>22/10/2025</v>
      </c>
      <c r="F2438" s="5" t="str">
        <f>IFERROR(__xludf.DUMMYFUNCTION("""COMPUTED_VALUE"""),"Featured")</f>
        <v>Featured</v>
      </c>
      <c r="G2438" s="19"/>
      <c r="H2438" s="19"/>
      <c r="I2438" s="62"/>
      <c r="J2438" s="19"/>
    </row>
    <row r="2439">
      <c r="A2439" s="19" t="str">
        <f>IFERROR(__xludf.DUMMYFUNCTION("""COMPUTED_VALUE"""),"Thomas Fuller")</f>
        <v>Thomas Fuller</v>
      </c>
      <c r="B2439" s="19" t="str">
        <f>IFERROR(__xludf.DUMMYFUNCTION("""COMPUTED_VALUE"""),"NSW")</f>
        <v>NSW</v>
      </c>
      <c r="C2439" s="5" t="str">
        <f>IFERROR(__xludf.DUMMYFUNCTION("""COMPUTED_VALUE"""),"Vaucluse")</f>
        <v>Vaucluse</v>
      </c>
      <c r="D2439" s="5" t="str">
        <f>IFERROR(__xludf.DUMMYFUNCTION("""COMPUTED_VALUE"""),"1/14 Derby Street")</f>
        <v>1/14 Derby Street</v>
      </c>
      <c r="E2439" s="25">
        <f>IFERROR(__xludf.DUMMYFUNCTION("""COMPUTED_VALUE"""),45957.0)</f>
        <v>45957</v>
      </c>
      <c r="F2439" s="5" t="str">
        <f>IFERROR(__xludf.DUMMYFUNCTION("""COMPUTED_VALUE"""),"Featured")</f>
        <v>Featured</v>
      </c>
      <c r="G2439" s="19" t="str">
        <f>IFERROR(__xludf.DUMMYFUNCTION("""COMPUTED_VALUE"""),"Commission Comparison")</f>
        <v>Commission Comparison</v>
      </c>
      <c r="H2439" s="19"/>
      <c r="I2439" s="62"/>
      <c r="J2439" s="19"/>
    </row>
    <row r="2440">
      <c r="A2440" s="19" t="str">
        <f>IFERROR(__xludf.DUMMYFUNCTION("""COMPUTED_VALUE"""),"Thomas Fuller")</f>
        <v>Thomas Fuller</v>
      </c>
      <c r="B2440" s="19" t="str">
        <f>IFERROR(__xludf.DUMMYFUNCTION("""COMPUTED_VALUE"""),"NSW")</f>
        <v>NSW</v>
      </c>
      <c r="C2440" s="5" t="str">
        <f>IFERROR(__xludf.DUMMYFUNCTION("""COMPUTED_VALUE"""),"Coogee")</f>
        <v>Coogee</v>
      </c>
      <c r="D2440" s="5" t="str">
        <f>IFERROR(__xludf.DUMMYFUNCTION("""COMPUTED_VALUE"""),"2/75-77 Dolphin Street Coogee NSW 2034")</f>
        <v>2/75-77 Dolphin Street Coogee NSW 2034</v>
      </c>
      <c r="E2440" s="25">
        <f>IFERROR(__xludf.DUMMYFUNCTION("""COMPUTED_VALUE"""),45959.0)</f>
        <v>45959</v>
      </c>
      <c r="F2440" s="5">
        <f>IFERROR(__xludf.DUMMYFUNCTION("""COMPUTED_VALUE"""),8.0)</f>
        <v>8</v>
      </c>
      <c r="G2440" s="19" t="str">
        <f>IFERROR(__xludf.DUMMYFUNCTION("""COMPUTED_VALUE"""),"Instant Forms")</f>
        <v>Instant Forms</v>
      </c>
      <c r="H2440" s="19"/>
      <c r="I2440" s="62"/>
      <c r="J2440" s="19"/>
    </row>
    <row r="2441">
      <c r="A2441" s="19" t="str">
        <f>IFERROR(__xludf.DUMMYFUNCTION("""COMPUTED_VALUE"""),"Thomas Fuller")</f>
        <v>Thomas Fuller</v>
      </c>
      <c r="B2441" s="19" t="str">
        <f>IFERROR(__xludf.DUMMYFUNCTION("""COMPUTED_VALUE"""),"NSW")</f>
        <v>NSW</v>
      </c>
      <c r="C2441" s="5" t="str">
        <f>IFERROR(__xludf.DUMMYFUNCTION("""COMPUTED_VALUE"""),"Vaucluse")</f>
        <v>Vaucluse</v>
      </c>
      <c r="D2441" s="5"/>
      <c r="E2441" s="25">
        <f>IFERROR(__xludf.DUMMYFUNCTION("""COMPUTED_VALUE"""),45974.0)</f>
        <v>45974</v>
      </c>
      <c r="F2441" s="5">
        <f>IFERROR(__xludf.DUMMYFUNCTION("""COMPUTED_VALUE"""),5.0)</f>
        <v>5</v>
      </c>
      <c r="G2441" s="19" t="str">
        <f>IFERROR(__xludf.DUMMYFUNCTION("""COMPUTED_VALUE"""),"Instant Forms")</f>
        <v>Instant Forms</v>
      </c>
      <c r="H2441" s="19" t="str">
        <f>IFERROR(__xludf.DUMMYFUNCTION("""COMPUTED_VALUE"""),"Michael Berger")</f>
        <v>Michael Berger</v>
      </c>
      <c r="I2441" s="62">
        <f>IFERROR(__xludf.DUMMYFUNCTION("""COMPUTED_VALUE"""),6.1414557559E10)</f>
        <v>61414557559</v>
      </c>
      <c r="J2441" s="19" t="str">
        <f>IFERROR(__xludf.DUMMYFUNCTION("""COMPUTED_VALUE"""),"ozmichael.berger@gmail.com")</f>
        <v>ozmichael.berger@gmail.com</v>
      </c>
    </row>
    <row r="2442">
      <c r="A2442" s="19" t="str">
        <f>IFERROR(__xludf.DUMMYFUNCTION("""COMPUTED_VALUE"""),"Thomas Fuller")</f>
        <v>Thomas Fuller</v>
      </c>
      <c r="B2442" s="19" t="str">
        <f>IFERROR(__xludf.DUMMYFUNCTION("""COMPUTED_VALUE"""),"NSW")</f>
        <v>NSW</v>
      </c>
      <c r="C2442" s="5" t="str">
        <f>IFERROR(__xludf.DUMMYFUNCTION("""COMPUTED_VALUE"""),"Vaucluse")</f>
        <v>Vaucluse</v>
      </c>
      <c r="D2442" s="5" t="str">
        <f>IFERROR(__xludf.DUMMYFUNCTION("""COMPUTED_VALUE"""),"4 Beach Avenue Vaucluse NSW 2030")</f>
        <v>4 Beach Avenue Vaucluse NSW 2030</v>
      </c>
      <c r="E2442" s="25">
        <f>IFERROR(__xludf.DUMMYFUNCTION("""COMPUTED_VALUE"""),45974.0)</f>
        <v>45974</v>
      </c>
      <c r="F2442" s="5">
        <f>IFERROR(__xludf.DUMMYFUNCTION("""COMPUTED_VALUE"""),8.0)</f>
        <v>8</v>
      </c>
      <c r="G2442" s="19" t="str">
        <f>IFERROR(__xludf.DUMMYFUNCTION("""COMPUTED_VALUE"""),"Instant Forms")</f>
        <v>Instant Forms</v>
      </c>
      <c r="H2442" s="19" t="str">
        <f>IFERROR(__xludf.DUMMYFUNCTION("""COMPUTED_VALUE"""),"Ian Slot")</f>
        <v>Ian Slot</v>
      </c>
      <c r="I2442" s="62">
        <f>IFERROR(__xludf.DUMMYFUNCTION("""COMPUTED_VALUE"""),6.1422241426E10)</f>
        <v>61422241426</v>
      </c>
      <c r="J2442" s="19" t="str">
        <f>IFERROR(__xludf.DUMMYFUNCTION("""COMPUTED_VALUE"""),"Ian@slot-mail.com")</f>
        <v>Ian@slot-mail.com</v>
      </c>
    </row>
    <row r="2443">
      <c r="A2443" s="19" t="str">
        <f>IFERROR(__xludf.DUMMYFUNCTION("""COMPUTED_VALUE"""),"Thomas Fuller")</f>
        <v>Thomas Fuller</v>
      </c>
      <c r="B2443" s="19" t="str">
        <f>IFERROR(__xludf.DUMMYFUNCTION("""COMPUTED_VALUE"""),"NSW")</f>
        <v>NSW</v>
      </c>
      <c r="C2443" s="5" t="str">
        <f>IFERROR(__xludf.DUMMYFUNCTION("""COMPUTED_VALUE"""),"Queens Park")</f>
        <v>Queens Park</v>
      </c>
      <c r="D2443" s="5" t="str">
        <f>IFERROR(__xludf.DUMMYFUNCTION("""COMPUTED_VALUE"""),"2/73 Birrell Street Queens Park NSW 2022")</f>
        <v>2/73 Birrell Street Queens Park NSW 2022</v>
      </c>
      <c r="E2443" s="25">
        <f>IFERROR(__xludf.DUMMYFUNCTION("""COMPUTED_VALUE"""),45974.0)</f>
        <v>45974</v>
      </c>
      <c r="F2443" s="5">
        <f>IFERROR(__xludf.DUMMYFUNCTION("""COMPUTED_VALUE"""),8.0)</f>
        <v>8</v>
      </c>
      <c r="G2443" s="19" t="str">
        <f>IFERROR(__xludf.DUMMYFUNCTION("""COMPUTED_VALUE"""),"Instant Forms")</f>
        <v>Instant Forms</v>
      </c>
      <c r="H2443" s="19" t="str">
        <f>IFERROR(__xludf.DUMMYFUNCTION("""COMPUTED_VALUE"""),"Leon Raleigh")</f>
        <v>Leon Raleigh</v>
      </c>
      <c r="I2443" s="62">
        <f>IFERROR(__xludf.DUMMYFUNCTION("""COMPUTED_VALUE"""),6.141455519E10)</f>
        <v>61414555190</v>
      </c>
      <c r="J2443" s="19" t="str">
        <f>IFERROR(__xludf.DUMMYFUNCTION("""COMPUTED_VALUE"""),"leonraleigh72@gmail.com")</f>
        <v>leonraleigh72@gmail.com</v>
      </c>
    </row>
    <row r="2444">
      <c r="A2444" s="19" t="str">
        <f>IFERROR(__xludf.DUMMYFUNCTION("""COMPUTED_VALUE"""),"Thomas Fuller")</f>
        <v>Thomas Fuller</v>
      </c>
      <c r="B2444" s="19" t="str">
        <f>IFERROR(__xludf.DUMMYFUNCTION("""COMPUTED_VALUE"""),"NSW")</f>
        <v>NSW</v>
      </c>
      <c r="C2444" s="5" t="str">
        <f>IFERROR(__xludf.DUMMYFUNCTION("""COMPUTED_VALUE"""),"Maroubra")</f>
        <v>Maroubra</v>
      </c>
      <c r="D2444" s="5" t="str">
        <f>IFERROR(__xludf.DUMMYFUNCTION("""COMPUTED_VALUE"""),"1/79-81 Duncan Street Maroubra NSW 2035")</f>
        <v>1/79-81 Duncan Street Maroubra NSW 2035</v>
      </c>
      <c r="E2444" s="25">
        <f>IFERROR(__xludf.DUMMYFUNCTION("""COMPUTED_VALUE"""),45974.0)</f>
        <v>45974</v>
      </c>
      <c r="F2444" s="5">
        <f>IFERROR(__xludf.DUMMYFUNCTION("""COMPUTED_VALUE"""),5.0)</f>
        <v>5</v>
      </c>
      <c r="G2444" s="19" t="str">
        <f>IFERROR(__xludf.DUMMYFUNCTION("""COMPUTED_VALUE"""),"Instant Forms")</f>
        <v>Instant Forms</v>
      </c>
      <c r="H2444" s="19" t="str">
        <f>IFERROR(__xludf.DUMMYFUNCTION("""COMPUTED_VALUE"""),"Mags")</f>
        <v>Mags</v>
      </c>
      <c r="I2444" s="62">
        <f>IFERROR(__xludf.DUMMYFUNCTION("""COMPUTED_VALUE"""),6.1406411008E10)</f>
        <v>61406411008</v>
      </c>
      <c r="J2444" s="19" t="str">
        <f>IFERROR(__xludf.DUMMYFUNCTION("""COMPUTED_VALUE"""),"spoiltmags@gmail.con")</f>
        <v>spoiltmags@gmail.con</v>
      </c>
    </row>
    <row r="2445">
      <c r="A2445" s="19" t="str">
        <f>IFERROR(__xludf.DUMMYFUNCTION("""COMPUTED_VALUE"""),"Thomas Fuller")</f>
        <v>Thomas Fuller</v>
      </c>
      <c r="B2445" s="19" t="str">
        <f>IFERROR(__xludf.DUMMYFUNCTION("""COMPUTED_VALUE"""),"NSW")</f>
        <v>NSW</v>
      </c>
      <c r="C2445" s="5" t="str">
        <f>IFERROR(__xludf.DUMMYFUNCTION("""COMPUTED_VALUE"""),"Bondi")</f>
        <v>Bondi</v>
      </c>
      <c r="D2445" s="5" t="str">
        <f>IFERROR(__xludf.DUMMYFUNCTION("""COMPUTED_VALUE"""),"37 Roe Street North Bondi NSW 2026")</f>
        <v>37 Roe Street North Bondi NSW 2026</v>
      </c>
      <c r="E2445" s="25">
        <f>IFERROR(__xludf.DUMMYFUNCTION("""COMPUTED_VALUE"""),45974.0)</f>
        <v>45974</v>
      </c>
      <c r="F2445" s="5">
        <f>IFERROR(__xludf.DUMMYFUNCTION("""COMPUTED_VALUE"""),8.0)</f>
        <v>8</v>
      </c>
      <c r="G2445" s="19" t="str">
        <f>IFERROR(__xludf.DUMMYFUNCTION("""COMPUTED_VALUE"""),"Instant Forms")</f>
        <v>Instant Forms</v>
      </c>
      <c r="H2445" s="19" t="str">
        <f>IFERROR(__xludf.DUMMYFUNCTION("""COMPUTED_VALUE"""),"Steve Cahill")</f>
        <v>Steve Cahill</v>
      </c>
      <c r="I2445" s="62">
        <f>IFERROR(__xludf.DUMMYFUNCTION("""COMPUTED_VALUE"""),6.1411754243E10)</f>
        <v>61411754243</v>
      </c>
      <c r="J2445" s="19" t="str">
        <f>IFERROR(__xludf.DUMMYFUNCTION("""COMPUTED_VALUE"""),"stevecahill90@gmail.com")</f>
        <v>stevecahill90@gmail.com</v>
      </c>
    </row>
    <row r="2446">
      <c r="A2446" s="19" t="str">
        <f>IFERROR(__xludf.DUMMYFUNCTION("""COMPUTED_VALUE"""),"Thomas Fuller")</f>
        <v>Thomas Fuller</v>
      </c>
      <c r="B2446" s="19" t="str">
        <f>IFERROR(__xludf.DUMMYFUNCTION("""COMPUTED_VALUE"""),"NSW")</f>
        <v>NSW</v>
      </c>
      <c r="C2446" s="5" t="str">
        <f>IFERROR(__xludf.DUMMYFUNCTION("""COMPUTED_VALUE"""),"Bronte")</f>
        <v>Bronte</v>
      </c>
      <c r="D2446" s="5" t="str">
        <f>IFERROR(__xludf.DUMMYFUNCTION("""COMPUTED_VALUE"""),"27A Murray Street Bronte NSW 2024")</f>
        <v>27A Murray Street Bronte NSW 2024</v>
      </c>
      <c r="E2446" s="25">
        <f>IFERROR(__xludf.DUMMYFUNCTION("""COMPUTED_VALUE"""),45975.0)</f>
        <v>45975</v>
      </c>
      <c r="F2446" s="5">
        <f>IFERROR(__xludf.DUMMYFUNCTION("""COMPUTED_VALUE"""),8.0)</f>
        <v>8</v>
      </c>
      <c r="G2446" s="19" t="str">
        <f>IFERROR(__xludf.DUMMYFUNCTION("""COMPUTED_VALUE"""),"Instant Forms")</f>
        <v>Instant Forms</v>
      </c>
      <c r="H2446" s="19" t="str">
        <f>IFERROR(__xludf.DUMMYFUNCTION("""COMPUTED_VALUE"""),"Will Maher")</f>
        <v>Will Maher</v>
      </c>
      <c r="I2446" s="62">
        <f>IFERROR(__xludf.DUMMYFUNCTION("""COMPUTED_VALUE"""),6.14037052E10)</f>
        <v>61403705200</v>
      </c>
      <c r="J2446" s="19" t="str">
        <f>IFERROR(__xludf.DUMMYFUNCTION("""COMPUTED_VALUE"""),"willo5767@gmail.com")</f>
        <v>willo5767@gmail.com</v>
      </c>
    </row>
    <row r="2447">
      <c r="A2447" s="19" t="str">
        <f>IFERROR(__xludf.DUMMYFUNCTION("""COMPUTED_VALUE"""),"Thomas Fuller")</f>
        <v>Thomas Fuller</v>
      </c>
      <c r="B2447" s="19" t="str">
        <f>IFERROR(__xludf.DUMMYFUNCTION("""COMPUTED_VALUE"""),"NSW")</f>
        <v>NSW</v>
      </c>
      <c r="C2447" s="5" t="str">
        <f>IFERROR(__xludf.DUMMYFUNCTION("""COMPUTED_VALUE"""),"Tamarama")</f>
        <v>Tamarama</v>
      </c>
      <c r="D2447" s="5" t="str">
        <f>IFERROR(__xludf.DUMMYFUNCTION("""COMPUTED_VALUE"""),"5/35 Fletcher Street Tamarama NSW 2026")</f>
        <v>5/35 Fletcher Street Tamarama NSW 2026</v>
      </c>
      <c r="E2447" s="25">
        <f>IFERROR(__xludf.DUMMYFUNCTION("""COMPUTED_VALUE"""),45975.0)</f>
        <v>45975</v>
      </c>
      <c r="F2447" s="5">
        <f>IFERROR(__xludf.DUMMYFUNCTION("""COMPUTED_VALUE"""),8.0)</f>
        <v>8</v>
      </c>
      <c r="G2447" s="19" t="str">
        <f>IFERROR(__xludf.DUMMYFUNCTION("""COMPUTED_VALUE"""),"Instant Forms")</f>
        <v>Instant Forms</v>
      </c>
      <c r="H2447" s="19" t="str">
        <f>IFERROR(__xludf.DUMMYFUNCTION("""COMPUTED_VALUE"""),"Andrea Garling")</f>
        <v>Andrea Garling</v>
      </c>
      <c r="I2447" s="62">
        <f>IFERROR(__xludf.DUMMYFUNCTION("""COMPUTED_VALUE"""),6.1414826317E10)</f>
        <v>61414826317</v>
      </c>
      <c r="J2447" s="19" t="str">
        <f>IFERROR(__xludf.DUMMYFUNCTION("""COMPUTED_VALUE"""),"Andrea.garling2021@gmail.com")</f>
        <v>Andrea.garling2021@gmail.com</v>
      </c>
    </row>
    <row r="2448">
      <c r="A2448" s="19" t="str">
        <f>IFERROR(__xludf.DUMMYFUNCTION("""COMPUTED_VALUE"""),"Thomas Fuller")</f>
        <v>Thomas Fuller</v>
      </c>
      <c r="B2448" s="19" t="str">
        <f>IFERROR(__xludf.DUMMYFUNCTION("""COMPUTED_VALUE"""),"NSW")</f>
        <v>NSW</v>
      </c>
      <c r="C2448" s="5" t="str">
        <f>IFERROR(__xludf.DUMMYFUNCTION("""COMPUTED_VALUE"""),"Rose Bay")</f>
        <v>Rose Bay</v>
      </c>
      <c r="D2448" s="5" t="str">
        <f>IFERROR(__xludf.DUMMYFUNCTION("""COMPUTED_VALUE"""),"301/45-53 Carlisle Street Rose Bay NSW 2029")</f>
        <v>301/45-53 Carlisle Street Rose Bay NSW 2029</v>
      </c>
      <c r="E2448" s="25">
        <f>IFERROR(__xludf.DUMMYFUNCTION("""COMPUTED_VALUE"""),45975.0)</f>
        <v>45975</v>
      </c>
      <c r="F2448" s="5">
        <f>IFERROR(__xludf.DUMMYFUNCTION("""COMPUTED_VALUE"""),6.0)</f>
        <v>6</v>
      </c>
      <c r="G2448" s="19" t="str">
        <f>IFERROR(__xludf.DUMMYFUNCTION("""COMPUTED_VALUE"""),"Instant Forms")</f>
        <v>Instant Forms</v>
      </c>
      <c r="H2448" s="19" t="str">
        <f>IFERROR(__xludf.DUMMYFUNCTION("""COMPUTED_VALUE"""),"Terri Mitch")</f>
        <v>Terri Mitch</v>
      </c>
      <c r="I2448" s="62">
        <f>IFERROR(__xludf.DUMMYFUNCTION("""COMPUTED_VALUE"""),6.143865612E10)</f>
        <v>61438656120</v>
      </c>
      <c r="J2448" s="19" t="str">
        <f>IFERROR(__xludf.DUMMYFUNCTION("""COMPUTED_VALUE"""),"bjdrape@bigpond.net.au")</f>
        <v>bjdrape@bigpond.net.au</v>
      </c>
    </row>
    <row r="2449">
      <c r="A2449" s="19" t="str">
        <f>IFERROR(__xludf.DUMMYFUNCTION("""COMPUTED_VALUE"""),"Thomas Fuller")</f>
        <v>Thomas Fuller</v>
      </c>
      <c r="B2449" s="19" t="str">
        <f>IFERROR(__xludf.DUMMYFUNCTION("""COMPUTED_VALUE"""),"NSW")</f>
        <v>NSW</v>
      </c>
      <c r="C2449" s="5" t="str">
        <f>IFERROR(__xludf.DUMMYFUNCTION("""COMPUTED_VALUE"""),"Randwick")</f>
        <v>Randwick</v>
      </c>
      <c r="D2449" s="5" t="str">
        <f>IFERROR(__xludf.DUMMYFUNCTION("""COMPUTED_VALUE"""),"14/30 Dutruc Street Randwick NSW 2031")</f>
        <v>14/30 Dutruc Street Randwick NSW 2031</v>
      </c>
      <c r="E2449" s="25">
        <f>IFERROR(__xludf.DUMMYFUNCTION("""COMPUTED_VALUE"""),45977.0)</f>
        <v>45977</v>
      </c>
      <c r="F2449" s="5">
        <f>IFERROR(__xludf.DUMMYFUNCTION("""COMPUTED_VALUE"""),8.0)</f>
        <v>8</v>
      </c>
      <c r="G2449" s="19" t="str">
        <f>IFERROR(__xludf.DUMMYFUNCTION("""COMPUTED_VALUE"""),"Instant Forms")</f>
        <v>Instant Forms</v>
      </c>
      <c r="H2449" s="19" t="str">
        <f>IFERROR(__xludf.DUMMYFUNCTION("""COMPUTED_VALUE"""),"Damien Comerford")</f>
        <v>Damien Comerford</v>
      </c>
      <c r="I2449" s="62">
        <f>IFERROR(__xludf.DUMMYFUNCTION("""COMPUTED_VALUE"""),6.1410559221E10)</f>
        <v>61410559221</v>
      </c>
      <c r="J2449" s="19" t="str">
        <f>IFERROR(__xludf.DUMMYFUNCTION("""COMPUTED_VALUE"""),"damien@sharpimagetv.com.au")</f>
        <v>damien@sharpimagetv.com.au</v>
      </c>
    </row>
    <row r="2450">
      <c r="A2450" s="19" t="str">
        <f>IFERROR(__xludf.DUMMYFUNCTION("""COMPUTED_VALUE"""),"Thomas Fuller")</f>
        <v>Thomas Fuller</v>
      </c>
      <c r="B2450" s="19" t="str">
        <f>IFERROR(__xludf.DUMMYFUNCTION("""COMPUTED_VALUE"""),"NSW")</f>
        <v>NSW</v>
      </c>
      <c r="C2450" s="5">
        <f>IFERROR(__xludf.DUMMYFUNCTION("""COMPUTED_VALUE"""),2035.0)</f>
        <v>2035</v>
      </c>
      <c r="D2450" s="5" t="str">
        <f>IFERROR(__xludf.DUMMYFUNCTION("""COMPUTED_VALUE"""),"124 Holmes Street Maroubra NSW 2035")</f>
        <v>124 Holmes Street Maroubra NSW 2035</v>
      </c>
      <c r="E2450" s="25">
        <f>IFERROR(__xludf.DUMMYFUNCTION("""COMPUTED_VALUE"""),45977.0)</f>
        <v>45977</v>
      </c>
      <c r="F2450" s="5">
        <f>IFERROR(__xludf.DUMMYFUNCTION("""COMPUTED_VALUE"""),6.0)</f>
        <v>6</v>
      </c>
      <c r="G2450" s="19" t="str">
        <f>IFERROR(__xludf.DUMMYFUNCTION("""COMPUTED_VALUE"""),"Instant Forms")</f>
        <v>Instant Forms</v>
      </c>
      <c r="H2450" s="19" t="str">
        <f>IFERROR(__xludf.DUMMYFUNCTION("""COMPUTED_VALUE"""),"HK HK (Helene Kriketos)")</f>
        <v>HK HK (Helene Kriketos)</v>
      </c>
      <c r="I2450" s="62">
        <f>IFERROR(__xludf.DUMMYFUNCTION("""COMPUTED_VALUE"""),6.14254337E10)</f>
        <v>61425433700</v>
      </c>
      <c r="J2450" s="19" t="str">
        <f>IFERROR(__xludf.DUMMYFUNCTION("""COMPUTED_VALUE"""),"Helene.kriketos@det.nsw.edu.au")</f>
        <v>Helene.kriketos@det.nsw.edu.au</v>
      </c>
    </row>
    <row r="2451">
      <c r="A2451" s="19" t="str">
        <f>IFERROR(__xludf.DUMMYFUNCTION("""COMPUTED_VALUE"""),"Thomas Fuller")</f>
        <v>Thomas Fuller</v>
      </c>
      <c r="B2451" s="19" t="str">
        <f>IFERROR(__xludf.DUMMYFUNCTION("""COMPUTED_VALUE"""),"NSW")</f>
        <v>NSW</v>
      </c>
      <c r="C2451" s="5" t="str">
        <f>IFERROR(__xludf.DUMMYFUNCTION("""COMPUTED_VALUE"""),"Coogee")</f>
        <v>Coogee</v>
      </c>
      <c r="D2451" s="5" t="str">
        <f>IFERROR(__xludf.DUMMYFUNCTION("""COMPUTED_VALUE"""),"49 Galvin Street Maroubra NSW 2035")</f>
        <v>49 Galvin Street Maroubra NSW 2035</v>
      </c>
      <c r="E2451" s="25">
        <f>IFERROR(__xludf.DUMMYFUNCTION("""COMPUTED_VALUE"""),45978.0)</f>
        <v>45978</v>
      </c>
      <c r="F2451" s="5">
        <f>IFERROR(__xludf.DUMMYFUNCTION("""COMPUTED_VALUE"""),8.0)</f>
        <v>8</v>
      </c>
      <c r="G2451" s="19" t="str">
        <f>IFERROR(__xludf.DUMMYFUNCTION("""COMPUTED_VALUE"""),"Instant Forms")</f>
        <v>Instant Forms</v>
      </c>
      <c r="H2451" s="19" t="str">
        <f>IFERROR(__xludf.DUMMYFUNCTION("""COMPUTED_VALUE"""),"Trieu Leculier")</f>
        <v>Trieu Leculier</v>
      </c>
      <c r="I2451" s="62">
        <f>IFERROR(__xludf.DUMMYFUNCTION("""COMPUTED_VALUE"""),6.1425188122E10)</f>
        <v>61425188122</v>
      </c>
      <c r="J2451" s="19" t="str">
        <f>IFERROR(__xludf.DUMMYFUNCTION("""COMPUTED_VALUE"""),"Truleculier@gmail.com")</f>
        <v>Truleculier@gmail.com</v>
      </c>
    </row>
    <row r="2452">
      <c r="A2452" s="19" t="str">
        <f>IFERROR(__xludf.DUMMYFUNCTION("""COMPUTED_VALUE"""),"Thomas Fuller")</f>
        <v>Thomas Fuller</v>
      </c>
      <c r="B2452" s="19" t="str">
        <f>IFERROR(__xludf.DUMMYFUNCTION("""COMPUTED_VALUE"""),"NSW")</f>
        <v>NSW</v>
      </c>
      <c r="C2452" s="5" t="str">
        <f>IFERROR(__xludf.DUMMYFUNCTION("""COMPUTED_VALUE"""),"Randwick")</f>
        <v>Randwick</v>
      </c>
      <c r="D2452" s="5" t="str">
        <f>IFERROR(__xludf.DUMMYFUNCTION("""COMPUTED_VALUE"""),"1/4-6 Clyde Street Randwick NSW 2031")</f>
        <v>1/4-6 Clyde Street Randwick NSW 2031</v>
      </c>
      <c r="E2452" s="25">
        <f>IFERROR(__xludf.DUMMYFUNCTION("""COMPUTED_VALUE"""),45978.0)</f>
        <v>45978</v>
      </c>
      <c r="F2452" s="5">
        <f>IFERROR(__xludf.DUMMYFUNCTION("""COMPUTED_VALUE"""),10.0)</f>
        <v>10</v>
      </c>
      <c r="G2452" s="19" t="str">
        <f>IFERROR(__xludf.DUMMYFUNCTION("""COMPUTED_VALUE"""),"Instant Forms")</f>
        <v>Instant Forms</v>
      </c>
      <c r="H2452" s="19" t="str">
        <f>IFERROR(__xludf.DUMMYFUNCTION("""COMPUTED_VALUE"""),"Aleksandar Georgievski Rusin")</f>
        <v>Aleksandar Georgievski Rusin</v>
      </c>
      <c r="I2452" s="62">
        <f>IFERROR(__xludf.DUMMYFUNCTION("""COMPUTED_VALUE"""),6.1417288693E10)</f>
        <v>61417288693</v>
      </c>
      <c r="J2452" s="19" t="str">
        <f>IFERROR(__xludf.DUMMYFUNCTION("""COMPUTED_VALUE"""),"alekgeorgievski@gmail.com")</f>
        <v>alekgeorgievski@gmail.com</v>
      </c>
    </row>
    <row r="2453">
      <c r="A2453" s="19" t="str">
        <f>IFERROR(__xludf.DUMMYFUNCTION("""COMPUTED_VALUE"""),"Thomas Fuller")</f>
        <v>Thomas Fuller</v>
      </c>
      <c r="B2453" s="19" t="str">
        <f>IFERROR(__xludf.DUMMYFUNCTION("""COMPUTED_VALUE"""),"NSW")</f>
        <v>NSW</v>
      </c>
      <c r="C2453" s="5" t="str">
        <f>IFERROR(__xludf.DUMMYFUNCTION("""COMPUTED_VALUE"""),"Double Bay")</f>
        <v>Double Bay</v>
      </c>
      <c r="D2453" s="5" t="str">
        <f>IFERROR(__xludf.DUMMYFUNCTION("""COMPUTED_VALUE"""),"15A Manning Road Double Bay NSW 2028")</f>
        <v>15A Manning Road Double Bay NSW 2028</v>
      </c>
      <c r="E2453" s="5" t="str">
        <f>IFERROR(__xludf.DUMMYFUNCTION("""COMPUTED_VALUE"""),"21/11/2025")</f>
        <v>21/11/2025</v>
      </c>
      <c r="F2453" s="5">
        <f>IFERROR(__xludf.DUMMYFUNCTION("""COMPUTED_VALUE"""),8.0)</f>
        <v>8</v>
      </c>
      <c r="G2453" s="19" t="str">
        <f>IFERROR(__xludf.DUMMYFUNCTION("""COMPUTED_VALUE"""),"Instant Forms")</f>
        <v>Instant Forms</v>
      </c>
      <c r="H2453" s="19" t="str">
        <f>IFERROR(__xludf.DUMMYFUNCTION("""COMPUTED_VALUE"""),"Kimberley Amiot")</f>
        <v>Kimberley Amiot</v>
      </c>
      <c r="I2453" s="62">
        <f>IFERROR(__xludf.DUMMYFUNCTION("""COMPUTED_VALUE"""),6.1498659798E10)</f>
        <v>61498659798</v>
      </c>
      <c r="J2453" s="19" t="str">
        <f>IFERROR(__xludf.DUMMYFUNCTION("""COMPUTED_VALUE"""),"k.amiot@xtra.co.nz")</f>
        <v>k.amiot@xtra.co.nz</v>
      </c>
    </row>
    <row r="2454">
      <c r="A2454" s="19" t="str">
        <f>IFERROR(__xludf.DUMMYFUNCTION("""COMPUTED_VALUE"""),"Thomas Fuller")</f>
        <v>Thomas Fuller</v>
      </c>
      <c r="B2454" s="19" t="str">
        <f>IFERROR(__xludf.DUMMYFUNCTION("""COMPUTED_VALUE"""),"NSW")</f>
        <v>NSW</v>
      </c>
      <c r="C2454" s="5" t="str">
        <f>IFERROR(__xludf.DUMMYFUNCTION("""COMPUTED_VALUE"""),"Rose Bay")</f>
        <v>Rose Bay</v>
      </c>
      <c r="D2454" s="5" t="str">
        <f>IFERROR(__xludf.DUMMYFUNCTION("""COMPUTED_VALUE"""),"21 Liverpool Street Rose Bay NSW 2029")</f>
        <v>21 Liverpool Street Rose Bay NSW 2029</v>
      </c>
      <c r="E2454" s="5" t="str">
        <f>IFERROR(__xludf.DUMMYFUNCTION("""COMPUTED_VALUE"""),"26/11/2025")</f>
        <v>26/11/2025</v>
      </c>
      <c r="F2454" s="5">
        <f>IFERROR(__xludf.DUMMYFUNCTION("""COMPUTED_VALUE"""),8.0)</f>
        <v>8</v>
      </c>
      <c r="G2454" s="19" t="str">
        <f>IFERROR(__xludf.DUMMYFUNCTION("""COMPUTED_VALUE"""),"Instant Forms")</f>
        <v>Instant Forms</v>
      </c>
      <c r="H2454" s="19" t="str">
        <f>IFERROR(__xludf.DUMMYFUNCTION("""COMPUTED_VALUE"""),"Louise Taylor")</f>
        <v>Louise Taylor</v>
      </c>
      <c r="I2454" s="62">
        <f>IFERROR(__xludf.DUMMYFUNCTION("""COMPUTED_VALUE"""),6.1425722923E10)</f>
        <v>61425722923</v>
      </c>
      <c r="J2454" s="19" t="str">
        <f>IFERROR(__xludf.DUMMYFUNCTION("""COMPUTED_VALUE"""),"Louise-m-taylor@gmx.com")</f>
        <v>Louise-m-taylor@gmx.com</v>
      </c>
    </row>
    <row r="2455">
      <c r="A2455" s="19" t="str">
        <f>IFERROR(__xludf.DUMMYFUNCTION("""COMPUTED_VALUE"""),"Thomas Fuller")</f>
        <v>Thomas Fuller</v>
      </c>
      <c r="B2455" s="19" t="str">
        <f>IFERROR(__xludf.DUMMYFUNCTION("""COMPUTED_VALUE"""),"NSW")</f>
        <v>NSW</v>
      </c>
      <c r="C2455" s="5" t="str">
        <f>IFERROR(__xludf.DUMMYFUNCTION("""COMPUTED_VALUE"""),"Bronte")</f>
        <v>Bronte</v>
      </c>
      <c r="D2455" s="5" t="str">
        <f>IFERROR(__xludf.DUMMYFUNCTION("""COMPUTED_VALUE"""),"85 Pine Street Randwick")</f>
        <v>85 Pine Street Randwick</v>
      </c>
      <c r="E2455" s="5" t="str">
        <f>IFERROR(__xludf.DUMMYFUNCTION("""COMPUTED_VALUE"""),"27/11/2025")</f>
        <v>27/11/2025</v>
      </c>
      <c r="F2455" s="64">
        <f>IFERROR(__xludf.DUMMYFUNCTION("""COMPUTED_VALUE"""),0.2)</f>
        <v>0.2</v>
      </c>
      <c r="G2455" s="19" t="str">
        <f>IFERROR(__xludf.DUMMYFUNCTION("""COMPUTED_VALUE"""),"Commission Comparison")</f>
        <v>Commission Comparison</v>
      </c>
      <c r="H2455" s="19" t="str">
        <f>IFERROR(__xludf.DUMMYFUNCTION("""COMPUTED_VALUE"""),"Susan yu")</f>
        <v>Susan yu</v>
      </c>
      <c r="I2455" s="62">
        <f>IFERROR(__xludf.DUMMYFUNCTION("""COMPUTED_VALUE"""),6.1419829988E10)</f>
        <v>61419829988</v>
      </c>
      <c r="J2455" s="19" t="str">
        <f>IFERROR(__xludf.DUMMYFUNCTION("""COMPUTED_VALUE"""),"suyu.balmain@bigpond.com")</f>
        <v>suyu.balmain@bigpond.com</v>
      </c>
    </row>
    <row r="2456">
      <c r="A2456" s="19" t="str">
        <f>IFERROR(__xludf.DUMMYFUNCTION("""COMPUTED_VALUE"""),"Thomas Fuller")</f>
        <v>Thomas Fuller</v>
      </c>
      <c r="B2456" s="19" t="str">
        <f>IFERROR(__xludf.DUMMYFUNCTION("""COMPUTED_VALUE"""),"NSW")</f>
        <v>NSW</v>
      </c>
      <c r="C2456" s="5" t="str">
        <f>IFERROR(__xludf.DUMMYFUNCTION("""COMPUTED_VALUE"""),"Randwick")</f>
        <v>Randwick</v>
      </c>
      <c r="D2456" s="5" t="str">
        <f>IFERROR(__xludf.DUMMYFUNCTION("""COMPUTED_VALUE"""),"14/71-79 Avoca Street Randwick NSW 2031")</f>
        <v>14/71-79 Avoca Street Randwick NSW 2031</v>
      </c>
      <c r="E2456" s="5" t="str">
        <f>IFERROR(__xludf.DUMMYFUNCTION("""COMPUTED_VALUE"""),"28/11/2025")</f>
        <v>28/11/2025</v>
      </c>
      <c r="F2456" s="64">
        <f>IFERROR(__xludf.DUMMYFUNCTION("""COMPUTED_VALUE"""),0.2)</f>
        <v>0.2</v>
      </c>
      <c r="G2456" s="19" t="str">
        <f>IFERROR(__xludf.DUMMYFUNCTION("""COMPUTED_VALUE"""),"Instant Forms")</f>
        <v>Instant Forms</v>
      </c>
      <c r="H2456" s="19" t="str">
        <f>IFERROR(__xludf.DUMMYFUNCTION("""COMPUTED_VALUE"""),"Brenda Milanes")</f>
        <v>Brenda Milanes</v>
      </c>
      <c r="I2456" s="62">
        <f>IFERROR(__xludf.DUMMYFUNCTION("""COMPUTED_VALUE"""),6.1423347767E10)</f>
        <v>61423347767</v>
      </c>
      <c r="J2456" s="19" t="str">
        <f>IFERROR(__xludf.DUMMYFUNCTION("""COMPUTED_VALUE"""),"brenda20dec@yahoo.com.au")</f>
        <v>brenda20dec@yahoo.com.au</v>
      </c>
    </row>
    <row r="2457">
      <c r="A2457" s="19" t="str">
        <f>IFERROR(__xludf.DUMMYFUNCTION("""COMPUTED_VALUE"""),"Thomas Fuller")</f>
        <v>Thomas Fuller</v>
      </c>
      <c r="B2457" s="19" t="str">
        <f>IFERROR(__xludf.DUMMYFUNCTION("""COMPUTED_VALUE"""),"NSW")</f>
        <v>NSW</v>
      </c>
      <c r="C2457" s="5" t="str">
        <f>IFERROR(__xludf.DUMMYFUNCTION("""COMPUTED_VALUE"""),"Bondi Beach")</f>
        <v>Bondi Beach</v>
      </c>
      <c r="D2457" s="5" t="str">
        <f>IFERROR(__xludf.DUMMYFUNCTION("""COMPUTED_VALUE"""),"U 4 28 Roscoe St, 2026")</f>
        <v>U 4 28 Roscoe St, 2026</v>
      </c>
      <c r="E2457" s="27">
        <f>IFERROR(__xludf.DUMMYFUNCTION("""COMPUTED_VALUE"""),45728.0)</f>
        <v>45728</v>
      </c>
      <c r="F2457" s="64">
        <f>IFERROR(__xludf.DUMMYFUNCTION("""COMPUTED_VALUE"""),0.2)</f>
        <v>0.2</v>
      </c>
      <c r="G2457" s="19" t="str">
        <f>IFERROR(__xludf.DUMMYFUNCTION("""COMPUTED_VALUE"""),"Meta Commission Report")</f>
        <v>Meta Commission Report</v>
      </c>
      <c r="H2457" s="19" t="str">
        <f>IFERROR(__xludf.DUMMYFUNCTION("""COMPUTED_VALUE"""),"Matthew Deaner")</f>
        <v>Matthew Deaner</v>
      </c>
      <c r="I2457" s="62">
        <f>IFERROR(__xludf.DUMMYFUNCTION("""COMPUTED_VALUE"""),6.1413884441E10)</f>
        <v>61413884441</v>
      </c>
      <c r="J2457" s="19" t="str">
        <f>IFERROR(__xludf.DUMMYFUNCTION("""COMPUTED_VALUE"""),"matt@mattdeaner.com")</f>
        <v>matt@mattdeaner.com</v>
      </c>
    </row>
    <row r="2458">
      <c r="A2458" s="19" t="str">
        <f>IFERROR(__xludf.DUMMYFUNCTION("""COMPUTED_VALUE"""),"Thomas Fuller")</f>
        <v>Thomas Fuller</v>
      </c>
      <c r="B2458" s="19" t="str">
        <f>IFERROR(__xludf.DUMMYFUNCTION("""COMPUTED_VALUE"""),"NSW")</f>
        <v>NSW</v>
      </c>
      <c r="C2458" s="5">
        <f>IFERROR(__xludf.DUMMYFUNCTION("""COMPUTED_VALUE"""),2030.0)</f>
        <v>2030</v>
      </c>
      <c r="D2458" s="5"/>
      <c r="E2458" s="27">
        <f>IFERROR(__xludf.DUMMYFUNCTION("""COMPUTED_VALUE"""),45759.0)</f>
        <v>45759</v>
      </c>
      <c r="F2458" s="64">
        <f>IFERROR(__xludf.DUMMYFUNCTION("""COMPUTED_VALUE"""),0.0)</f>
        <v>0</v>
      </c>
      <c r="G2458" s="19" t="str">
        <f>IFERROR(__xludf.DUMMYFUNCTION("""COMPUTED_VALUE"""),"Instant Forms")</f>
        <v>Instant Forms</v>
      </c>
      <c r="H2458" s="19" t="str">
        <f>IFERROR(__xludf.DUMMYFUNCTION("""COMPUTED_VALUE"""),"Carol Rayner")</f>
        <v>Carol Rayner</v>
      </c>
      <c r="I2458" s="62">
        <f>IFERROR(__xludf.DUMMYFUNCTION("""COMPUTED_VALUE"""),6.1401621193E10)</f>
        <v>61401621193</v>
      </c>
      <c r="J2458" s="19" t="str">
        <f>IFERROR(__xludf.DUMMYFUNCTION("""COMPUTED_VALUE"""),"carolrayner4@optusnet.com.au")</f>
        <v>carolrayner4@optusnet.com.au</v>
      </c>
    </row>
    <row r="2459">
      <c r="A2459" s="19" t="str">
        <f>IFERROR(__xludf.DUMMYFUNCTION("""COMPUTED_VALUE"""),"")</f>
        <v/>
      </c>
      <c r="B2459" s="19" t="str">
        <f>IFERROR(__xludf.DUMMYFUNCTION("""COMPUTED_VALUE"""),"")</f>
        <v/>
      </c>
      <c r="C2459" s="5" t="str">
        <f>IFERROR(__xludf.DUMMYFUNCTION("""COMPUTED_VALUE"""),"")</f>
        <v/>
      </c>
      <c r="D2459" s="5" t="str">
        <f>IFERROR(__xludf.DUMMYFUNCTION("""COMPUTED_VALUE"""),"")</f>
        <v/>
      </c>
      <c r="E2459" s="5" t="str">
        <f>IFERROR(__xludf.DUMMYFUNCTION("""COMPUTED_VALUE"""),"")</f>
        <v/>
      </c>
      <c r="F2459" s="5" t="str">
        <f>IFERROR(__xludf.DUMMYFUNCTION("""COMPUTED_VALUE"""),"")</f>
        <v/>
      </c>
      <c r="G2459" s="19" t="str">
        <f>IFERROR(__xludf.DUMMYFUNCTION("""COMPUTED_VALUE"""),"")</f>
        <v/>
      </c>
      <c r="H2459" s="19" t="str">
        <f>IFERROR(__xludf.DUMMYFUNCTION("""COMPUTED_VALUE"""),"")</f>
        <v/>
      </c>
      <c r="I2459" s="62" t="str">
        <f>IFERROR(__xludf.DUMMYFUNCTION("""COMPUTED_VALUE"""),"")</f>
        <v/>
      </c>
      <c r="J2459" s="19" t="str">
        <f>IFERROR(__xludf.DUMMYFUNCTION("""COMPUTED_VALUE"""),"")</f>
        <v/>
      </c>
    </row>
    <row r="2460">
      <c r="A2460" s="19" t="str">
        <f>IFERROR(__xludf.DUMMYFUNCTION("""COMPUTED_VALUE"""),"")</f>
        <v/>
      </c>
      <c r="B2460" s="19" t="str">
        <f>IFERROR(__xludf.DUMMYFUNCTION("""COMPUTED_VALUE"""),"")</f>
        <v/>
      </c>
      <c r="C2460" s="5" t="str">
        <f>IFERROR(__xludf.DUMMYFUNCTION("""COMPUTED_VALUE"""),"")</f>
        <v/>
      </c>
      <c r="D2460" s="5" t="str">
        <f>IFERROR(__xludf.DUMMYFUNCTION("""COMPUTED_VALUE"""),"")</f>
        <v/>
      </c>
      <c r="E2460" s="5" t="str">
        <f>IFERROR(__xludf.DUMMYFUNCTION("""COMPUTED_VALUE"""),"")</f>
        <v/>
      </c>
      <c r="F2460" s="5" t="str">
        <f>IFERROR(__xludf.DUMMYFUNCTION("""COMPUTED_VALUE"""),"")</f>
        <v/>
      </c>
      <c r="G2460" s="19" t="str">
        <f>IFERROR(__xludf.DUMMYFUNCTION("""COMPUTED_VALUE"""),"")</f>
        <v/>
      </c>
      <c r="H2460" s="19" t="str">
        <f>IFERROR(__xludf.DUMMYFUNCTION("""COMPUTED_VALUE"""),"")</f>
        <v/>
      </c>
      <c r="I2460" s="62" t="str">
        <f>IFERROR(__xludf.DUMMYFUNCTION("""COMPUTED_VALUE"""),"")</f>
        <v/>
      </c>
      <c r="J2460" s="19" t="str">
        <f>IFERROR(__xludf.DUMMYFUNCTION("""COMPUTED_VALUE"""),"")</f>
        <v/>
      </c>
    </row>
    <row r="2461">
      <c r="A2461" s="19" t="str">
        <f>IFERROR(__xludf.DUMMYFUNCTION("""COMPUTED_VALUE"""),"Tim Bonnefin")</f>
        <v>Tim Bonnefin</v>
      </c>
      <c r="B2461" s="19" t="str">
        <f>IFERROR(__xludf.DUMMYFUNCTION("""COMPUTED_VALUE"""),"TAS")</f>
        <v>TAS</v>
      </c>
      <c r="C2461" s="5" t="str">
        <f>IFERROR(__xludf.DUMMYFUNCTION("""COMPUTED_VALUE"""),"East Devonport")</f>
        <v>East Devonport</v>
      </c>
      <c r="D2461" s="5" t="str">
        <f>IFERROR(__xludf.DUMMYFUNCTION("""COMPUTED_VALUE"""),"69 Sunbeam Crescent, East Devonport, TAS, 7310, Australia")</f>
        <v>69 Sunbeam Crescent, East Devonport, TAS, 7310, Australia</v>
      </c>
      <c r="E2461" s="25">
        <f>IFERROR(__xludf.DUMMYFUNCTION("""COMPUTED_VALUE"""),45924.0)</f>
        <v>45924</v>
      </c>
      <c r="F2461" s="5" t="str">
        <f>IFERROR(__xludf.DUMMYFUNCTION("""COMPUTED_VALUE"""),"Featured")</f>
        <v>Featured</v>
      </c>
      <c r="G2461" s="19" t="str">
        <f>IFERROR(__xludf.DUMMYFUNCTION("""COMPUTED_VALUE"""),"Commission Comparison")</f>
        <v>Commission Comparison</v>
      </c>
      <c r="H2461" s="19"/>
      <c r="I2461" s="62"/>
      <c r="J2461" s="19"/>
    </row>
    <row r="2462">
      <c r="A2462" s="19" t="str">
        <f>IFERROR(__xludf.DUMMYFUNCTION("""COMPUTED_VALUE"""),"")</f>
        <v/>
      </c>
      <c r="B2462" s="19" t="str">
        <f>IFERROR(__xludf.DUMMYFUNCTION("""COMPUTED_VALUE"""),"")</f>
        <v/>
      </c>
      <c r="C2462" s="5" t="str">
        <f>IFERROR(__xludf.DUMMYFUNCTION("""COMPUTED_VALUE"""),"")</f>
        <v/>
      </c>
      <c r="D2462" s="5" t="str">
        <f>IFERROR(__xludf.DUMMYFUNCTION("""COMPUTED_VALUE"""),"")</f>
        <v/>
      </c>
      <c r="E2462" s="5" t="str">
        <f>IFERROR(__xludf.DUMMYFUNCTION("""COMPUTED_VALUE"""),"")</f>
        <v/>
      </c>
      <c r="F2462" s="5" t="str">
        <f>IFERROR(__xludf.DUMMYFUNCTION("""COMPUTED_VALUE"""),"")</f>
        <v/>
      </c>
      <c r="G2462" s="19" t="str">
        <f>IFERROR(__xludf.DUMMYFUNCTION("""COMPUTED_VALUE"""),"")</f>
        <v/>
      </c>
      <c r="H2462" s="19" t="str">
        <f>IFERROR(__xludf.DUMMYFUNCTION("""COMPUTED_VALUE"""),"")</f>
        <v/>
      </c>
      <c r="I2462" s="62" t="str">
        <f>IFERROR(__xludf.DUMMYFUNCTION("""COMPUTED_VALUE"""),"")</f>
        <v/>
      </c>
      <c r="J2462" s="19" t="str">
        <f>IFERROR(__xludf.DUMMYFUNCTION("""COMPUTED_VALUE"""),"")</f>
        <v/>
      </c>
    </row>
    <row r="2463">
      <c r="A2463" s="19" t="str">
        <f>IFERROR(__xludf.DUMMYFUNCTION("""COMPUTED_VALUE"""),"")</f>
        <v/>
      </c>
      <c r="B2463" s="19" t="str">
        <f>IFERROR(__xludf.DUMMYFUNCTION("""COMPUTED_VALUE"""),"")</f>
        <v/>
      </c>
      <c r="C2463" s="5" t="str">
        <f>IFERROR(__xludf.DUMMYFUNCTION("""COMPUTED_VALUE"""),"")</f>
        <v/>
      </c>
      <c r="D2463" s="5" t="str">
        <f>IFERROR(__xludf.DUMMYFUNCTION("""COMPUTED_VALUE"""),"")</f>
        <v/>
      </c>
      <c r="E2463" s="5" t="str">
        <f>IFERROR(__xludf.DUMMYFUNCTION("""COMPUTED_VALUE"""),"")</f>
        <v/>
      </c>
      <c r="F2463" s="5" t="str">
        <f>IFERROR(__xludf.DUMMYFUNCTION("""COMPUTED_VALUE"""),"")</f>
        <v/>
      </c>
      <c r="G2463" s="19" t="str">
        <f>IFERROR(__xludf.DUMMYFUNCTION("""COMPUTED_VALUE"""),"")</f>
        <v/>
      </c>
      <c r="H2463" s="19" t="str">
        <f>IFERROR(__xludf.DUMMYFUNCTION("""COMPUTED_VALUE"""),"")</f>
        <v/>
      </c>
      <c r="I2463" s="62" t="str">
        <f>IFERROR(__xludf.DUMMYFUNCTION("""COMPUTED_VALUE"""),"")</f>
        <v/>
      </c>
      <c r="J2463" s="19" t="str">
        <f>IFERROR(__xludf.DUMMYFUNCTION("""COMPUTED_VALUE"""),"")</f>
        <v/>
      </c>
    </row>
    <row r="2464">
      <c r="A2464" s="19" t="str">
        <f>IFERROR(__xludf.DUMMYFUNCTION("""COMPUTED_VALUE"""),"Tom Kneebone")</f>
        <v>Tom Kneebone</v>
      </c>
      <c r="B2464" s="19" t="str">
        <f>IFERROR(__xludf.DUMMYFUNCTION("""COMPUTED_VALUE"""),"SA")</f>
        <v>SA</v>
      </c>
      <c r="C2464" s="5" t="str">
        <f>IFERROR(__xludf.DUMMYFUNCTION("""COMPUTED_VALUE"""),"Seaford Rise")</f>
        <v>Seaford Rise</v>
      </c>
      <c r="D2464" s="5" t="str">
        <f>IFERROR(__xludf.DUMMYFUNCTION("""COMPUTED_VALUE"""),"44 Dalkeith Road Seaford Rise SA 5169")</f>
        <v>44 Dalkeith Road Seaford Rise SA 5169</v>
      </c>
      <c r="E2464" s="25">
        <f>IFERROR(__xludf.DUMMYFUNCTION("""COMPUTED_VALUE"""),45904.0)</f>
        <v>45904</v>
      </c>
      <c r="F2464" s="5" t="str">
        <f>IFERROR(__xludf.DUMMYFUNCTION("""COMPUTED_VALUE"""),"Featured")</f>
        <v>Featured</v>
      </c>
      <c r="G2464" s="19" t="str">
        <f>IFERROR(__xludf.DUMMYFUNCTION("""COMPUTED_VALUE"""),"Instant Forms")</f>
        <v>Instant Forms</v>
      </c>
      <c r="H2464" s="19"/>
      <c r="I2464" s="62"/>
      <c r="J2464" s="19"/>
    </row>
    <row r="2465">
      <c r="A2465" s="19" t="str">
        <f>IFERROR(__xludf.DUMMYFUNCTION("""COMPUTED_VALUE"""),"Tom Kneebone")</f>
        <v>Tom Kneebone</v>
      </c>
      <c r="B2465" s="19" t="str">
        <f>IFERROR(__xludf.DUMMYFUNCTION("""COMPUTED_VALUE"""),"SA")</f>
        <v>SA</v>
      </c>
      <c r="C2465" s="5" t="str">
        <f>IFERROR(__xludf.DUMMYFUNCTION("""COMPUTED_VALUE"""),"Morphett Vale")</f>
        <v>Morphett Vale</v>
      </c>
      <c r="D2465" s="5"/>
      <c r="E2465" s="25">
        <f>IFERROR(__xludf.DUMMYFUNCTION("""COMPUTED_VALUE"""),45904.0)</f>
        <v>45904</v>
      </c>
      <c r="F2465" s="5" t="str">
        <f>IFERROR(__xludf.DUMMYFUNCTION("""COMPUTED_VALUE"""),"Free")</f>
        <v>Free</v>
      </c>
      <c r="G2465" s="19" t="str">
        <f>IFERROR(__xludf.DUMMYFUNCTION("""COMPUTED_VALUE"""),"Instant Forms")</f>
        <v>Instant Forms</v>
      </c>
      <c r="H2465" s="19"/>
      <c r="I2465" s="62"/>
      <c r="J2465" s="19"/>
    </row>
    <row r="2466">
      <c r="A2466" s="19" t="str">
        <f>IFERROR(__xludf.DUMMYFUNCTION("""COMPUTED_VALUE"""),"Tom Kneebone")</f>
        <v>Tom Kneebone</v>
      </c>
      <c r="B2466" s="19" t="str">
        <f>IFERROR(__xludf.DUMMYFUNCTION("""COMPUTED_VALUE"""),"SA")</f>
        <v>SA</v>
      </c>
      <c r="C2466" s="5" t="str">
        <f>IFERROR(__xludf.DUMMYFUNCTION("""COMPUTED_VALUE"""),"Huntfield Heights")</f>
        <v>Huntfield Heights</v>
      </c>
      <c r="D2466" s="5" t="str">
        <f>IFERROR(__xludf.DUMMYFUNCTION("""COMPUTED_VALUE"""),"8 Antonio Street Huntfield Heights SA 5163")</f>
        <v>8 Antonio Street Huntfield Heights SA 5163</v>
      </c>
      <c r="E2466" s="25">
        <f>IFERROR(__xludf.DUMMYFUNCTION("""COMPUTED_VALUE"""),45905.0)</f>
        <v>45905</v>
      </c>
      <c r="F2466" s="5" t="str">
        <f>IFERROR(__xludf.DUMMYFUNCTION("""COMPUTED_VALUE"""),"Featured")</f>
        <v>Featured</v>
      </c>
      <c r="G2466" s="19" t="str">
        <f>IFERROR(__xludf.DUMMYFUNCTION("""COMPUTED_VALUE"""),"Instant Forms")</f>
        <v>Instant Forms</v>
      </c>
      <c r="H2466" s="19"/>
      <c r="I2466" s="62"/>
      <c r="J2466" s="19"/>
    </row>
    <row r="2467">
      <c r="A2467" s="19" t="str">
        <f>IFERROR(__xludf.DUMMYFUNCTION("""COMPUTED_VALUE"""),"Tom Kneebone")</f>
        <v>Tom Kneebone</v>
      </c>
      <c r="B2467" s="19" t="str">
        <f>IFERROR(__xludf.DUMMYFUNCTION("""COMPUTED_VALUE"""),"SA")</f>
        <v>SA</v>
      </c>
      <c r="C2467" s="5" t="str">
        <f>IFERROR(__xludf.DUMMYFUNCTION("""COMPUTED_VALUE"""),"Noarlunga")</f>
        <v>Noarlunga</v>
      </c>
      <c r="D2467" s="5" t="str">
        <f>IFERROR(__xludf.DUMMYFUNCTION("""COMPUTED_VALUE"""),"4 Coorong Court Port Noarlunga SA 5167")</f>
        <v>4 Coorong Court Port Noarlunga SA 5167</v>
      </c>
      <c r="E2467" s="25">
        <f>IFERROR(__xludf.DUMMYFUNCTION("""COMPUTED_VALUE"""),45905.0)</f>
        <v>45905</v>
      </c>
      <c r="F2467" s="5" t="str">
        <f>IFERROR(__xludf.DUMMYFUNCTION("""COMPUTED_VALUE"""),"Featured")</f>
        <v>Featured</v>
      </c>
      <c r="G2467" s="19" t="str">
        <f>IFERROR(__xludf.DUMMYFUNCTION("""COMPUTED_VALUE"""),"Instant Forms")</f>
        <v>Instant Forms</v>
      </c>
      <c r="H2467" s="19"/>
      <c r="I2467" s="62"/>
      <c r="J2467" s="19"/>
    </row>
    <row r="2468">
      <c r="A2468" s="19" t="str">
        <f>IFERROR(__xludf.DUMMYFUNCTION("""COMPUTED_VALUE"""),"Tom Kneebone")</f>
        <v>Tom Kneebone</v>
      </c>
      <c r="B2468" s="19" t="str">
        <f>IFERROR(__xludf.DUMMYFUNCTION("""COMPUTED_VALUE"""),"SA")</f>
        <v>SA</v>
      </c>
      <c r="C2468" s="5" t="str">
        <f>IFERROR(__xludf.DUMMYFUNCTION("""COMPUTED_VALUE"""),"O'Sullivan Beach")</f>
        <v>O'Sullivan Beach</v>
      </c>
      <c r="D2468" s="5" t="str">
        <f>IFERROR(__xludf.DUMMYFUNCTION("""COMPUTED_VALUE"""),"26 Norongo Street O'Sullivan Beach SA 5166")</f>
        <v>26 Norongo Street O'Sullivan Beach SA 5166</v>
      </c>
      <c r="E2468" s="25">
        <f>IFERROR(__xludf.DUMMYFUNCTION("""COMPUTED_VALUE"""),45918.0)</f>
        <v>45918</v>
      </c>
      <c r="F2468" s="5">
        <f>IFERROR(__xludf.DUMMYFUNCTION("""COMPUTED_VALUE"""),8.0)</f>
        <v>8</v>
      </c>
      <c r="G2468" s="19" t="str">
        <f>IFERROR(__xludf.DUMMYFUNCTION("""COMPUTED_VALUE"""),"Instant Forms")</f>
        <v>Instant Forms</v>
      </c>
      <c r="H2468" s="19" t="str">
        <f>IFERROR(__xludf.DUMMYFUNCTION("""COMPUTED_VALUE"""),"Michael Thomas")</f>
        <v>Michael Thomas</v>
      </c>
      <c r="I2468" s="62"/>
      <c r="J2468" s="19"/>
    </row>
    <row r="2469">
      <c r="A2469" s="19" t="str">
        <f>IFERROR(__xludf.DUMMYFUNCTION("""COMPUTED_VALUE"""),"Tom Kneebone")</f>
        <v>Tom Kneebone</v>
      </c>
      <c r="B2469" s="19" t="str">
        <f>IFERROR(__xludf.DUMMYFUNCTION("""COMPUTED_VALUE"""),"SA")</f>
        <v>SA</v>
      </c>
      <c r="C2469" s="5" t="str">
        <f>IFERROR(__xludf.DUMMYFUNCTION("""COMPUTED_VALUE"""),"Christie Downs")</f>
        <v>Christie Downs</v>
      </c>
      <c r="D2469" s="5" t="str">
        <f>IFERROR(__xludf.DUMMYFUNCTION("""COMPUTED_VALUE"""),"10 Beresford Avenue Christie Downs SA 5164")</f>
        <v>10 Beresford Avenue Christie Downs SA 5164</v>
      </c>
      <c r="E2469" s="25">
        <f>IFERROR(__xludf.DUMMYFUNCTION("""COMPUTED_VALUE"""),45918.0)</f>
        <v>45918</v>
      </c>
      <c r="F2469" s="5">
        <f>IFERROR(__xludf.DUMMYFUNCTION("""COMPUTED_VALUE"""),8.0)</f>
        <v>8</v>
      </c>
      <c r="G2469" s="19" t="str">
        <f>IFERROR(__xludf.DUMMYFUNCTION("""COMPUTED_VALUE"""),"Instant Forms")</f>
        <v>Instant Forms</v>
      </c>
      <c r="H2469" s="19" t="str">
        <f>IFERROR(__xludf.DUMMYFUNCTION("""COMPUTED_VALUE"""),"Paul Knobloch")</f>
        <v>Paul Knobloch</v>
      </c>
      <c r="I2469" s="62"/>
      <c r="J2469" s="19"/>
    </row>
    <row r="2470">
      <c r="A2470" s="19" t="str">
        <f>IFERROR(__xludf.DUMMYFUNCTION("""COMPUTED_VALUE"""),"Tom Kneebone")</f>
        <v>Tom Kneebone</v>
      </c>
      <c r="B2470" s="19" t="str">
        <f>IFERROR(__xludf.DUMMYFUNCTION("""COMPUTED_VALUE"""),"SA")</f>
        <v>SA</v>
      </c>
      <c r="C2470" s="5" t="str">
        <f>IFERROR(__xludf.DUMMYFUNCTION("""COMPUTED_VALUE"""),"Christies Beach")</f>
        <v>Christies Beach</v>
      </c>
      <c r="D2470" s="5"/>
      <c r="E2470" s="25">
        <f>IFERROR(__xludf.DUMMYFUNCTION("""COMPUTED_VALUE"""),45920.0)</f>
        <v>45920</v>
      </c>
      <c r="F2470" s="5">
        <f>IFERROR(__xludf.DUMMYFUNCTION("""COMPUTED_VALUE"""),6.0)</f>
        <v>6</v>
      </c>
      <c r="G2470" s="19" t="str">
        <f>IFERROR(__xludf.DUMMYFUNCTION("""COMPUTED_VALUE"""),"Instant Forms")</f>
        <v>Instant Forms</v>
      </c>
      <c r="H2470" s="19" t="str">
        <f>IFERROR(__xludf.DUMMYFUNCTION("""COMPUTED_VALUE"""),"Katie Jane (Katie Houston)")</f>
        <v>Katie Jane (Katie Houston)</v>
      </c>
      <c r="I2470" s="62"/>
      <c r="J2470" s="19"/>
    </row>
    <row r="2471">
      <c r="A2471" s="19" t="str">
        <f>IFERROR(__xludf.DUMMYFUNCTION("""COMPUTED_VALUE"""),"Tom Kneebone")</f>
        <v>Tom Kneebone</v>
      </c>
      <c r="B2471" s="19" t="str">
        <f>IFERROR(__xludf.DUMMYFUNCTION("""COMPUTED_VALUE"""),"SA")</f>
        <v>SA</v>
      </c>
      <c r="C2471" s="5" t="str">
        <f>IFERROR(__xludf.DUMMYFUNCTION("""COMPUTED_VALUE"""),"Seaford Rise")</f>
        <v>Seaford Rise</v>
      </c>
      <c r="D2471" s="5" t="str">
        <f>IFERROR(__xludf.DUMMYFUNCTION("""COMPUTED_VALUE"""),"7 dotterel pl")</f>
        <v>7 dotterel pl</v>
      </c>
      <c r="E2471" s="25">
        <f>IFERROR(__xludf.DUMMYFUNCTION("""COMPUTED_VALUE"""),45928.0)</f>
        <v>45928</v>
      </c>
      <c r="F2471" s="5" t="str">
        <f>IFERROR(__xludf.DUMMYFUNCTION("""COMPUTED_VALUE"""),"Featured")</f>
        <v>Featured</v>
      </c>
      <c r="G2471" s="19" t="str">
        <f>IFERROR(__xludf.DUMMYFUNCTION("""COMPUTED_VALUE"""),"Commission Comparison")</f>
        <v>Commission Comparison</v>
      </c>
      <c r="H2471" s="19"/>
      <c r="I2471" s="62"/>
      <c r="J2471" s="19"/>
    </row>
    <row r="2472">
      <c r="A2472" s="19" t="str">
        <f>IFERROR(__xludf.DUMMYFUNCTION("""COMPUTED_VALUE"""),"Tom Kneebone")</f>
        <v>Tom Kneebone</v>
      </c>
      <c r="B2472" s="19" t="str">
        <f>IFERROR(__xludf.DUMMYFUNCTION("""COMPUTED_VALUE"""),"SA")</f>
        <v>SA</v>
      </c>
      <c r="C2472" s="5" t="str">
        <f>IFERROR(__xludf.DUMMYFUNCTION("""COMPUTED_VALUE"""),"Seaford")</f>
        <v>Seaford</v>
      </c>
      <c r="D2472" s="5" t="str">
        <f>IFERROR(__xludf.DUMMYFUNCTION("""COMPUTED_VALUE"""),"12 Somerton Court, Seaford, SA, 5169, Australia")</f>
        <v>12 Somerton Court, Seaford, SA, 5169, Australia</v>
      </c>
      <c r="E2472" s="25">
        <f>IFERROR(__xludf.DUMMYFUNCTION("""COMPUTED_VALUE"""),45930.0)</f>
        <v>45930</v>
      </c>
      <c r="F2472" s="5" t="str">
        <f>IFERROR(__xludf.DUMMYFUNCTION("""COMPUTED_VALUE"""),"Featured")</f>
        <v>Featured</v>
      </c>
      <c r="G2472" s="19" t="str">
        <f>IFERROR(__xludf.DUMMYFUNCTION("""COMPUTED_VALUE"""),"Commission Comparison")</f>
        <v>Commission Comparison</v>
      </c>
      <c r="H2472" s="19"/>
      <c r="I2472" s="62"/>
      <c r="J2472" s="19"/>
    </row>
    <row r="2473">
      <c r="A2473" s="19" t="str">
        <f>IFERROR(__xludf.DUMMYFUNCTION("""COMPUTED_VALUE"""),"Tom Kneebone")</f>
        <v>Tom Kneebone</v>
      </c>
      <c r="B2473" s="19" t="str">
        <f>IFERROR(__xludf.DUMMYFUNCTION("""COMPUTED_VALUE"""),"SA")</f>
        <v>SA</v>
      </c>
      <c r="C2473" s="5" t="str">
        <f>IFERROR(__xludf.DUMMYFUNCTION("""COMPUTED_VALUE"""),"Sellicks Beach")</f>
        <v>Sellicks Beach</v>
      </c>
      <c r="D2473" s="5" t="str">
        <f>IFERROR(__xludf.DUMMYFUNCTION("""COMPUTED_VALUE"""),"14 George Parade")</f>
        <v>14 George Parade</v>
      </c>
      <c r="E2473" s="25">
        <f>IFERROR(__xludf.DUMMYFUNCTION("""COMPUTED_VALUE"""),45933.0)</f>
        <v>45933</v>
      </c>
      <c r="F2473" s="5" t="str">
        <f>IFERROR(__xludf.DUMMYFUNCTION("""COMPUTED_VALUE"""),"Featured")</f>
        <v>Featured</v>
      </c>
      <c r="G2473" s="19" t="str">
        <f>IFERROR(__xludf.DUMMYFUNCTION("""COMPUTED_VALUE"""),"Commission Comparison")</f>
        <v>Commission Comparison</v>
      </c>
      <c r="H2473" s="19"/>
      <c r="I2473" s="62"/>
      <c r="J2473" s="19"/>
    </row>
    <row r="2474">
      <c r="A2474" s="19" t="str">
        <f>IFERROR(__xludf.DUMMYFUNCTION("""COMPUTED_VALUE"""),"Tom Kneebone")</f>
        <v>Tom Kneebone</v>
      </c>
      <c r="B2474" s="19" t="str">
        <f>IFERROR(__xludf.DUMMYFUNCTION("""COMPUTED_VALUE"""),"SA")</f>
        <v>SA</v>
      </c>
      <c r="C2474" s="5" t="str">
        <f>IFERROR(__xludf.DUMMYFUNCTION("""COMPUTED_VALUE"""),"Seaford rise")</f>
        <v>Seaford rise</v>
      </c>
      <c r="D2474" s="5" t="str">
        <f>IFERROR(__xludf.DUMMYFUNCTION("""COMPUTED_VALUE"""),"6 Petrel Close")</f>
        <v>6 Petrel Close</v>
      </c>
      <c r="E2474" s="25">
        <f>IFERROR(__xludf.DUMMYFUNCTION("""COMPUTED_VALUE"""),45943.0)</f>
        <v>45943</v>
      </c>
      <c r="F2474" s="5" t="str">
        <f>IFERROR(__xludf.DUMMYFUNCTION("""COMPUTED_VALUE"""),"Featured")</f>
        <v>Featured</v>
      </c>
      <c r="G2474" s="19" t="str">
        <f>IFERROR(__xludf.DUMMYFUNCTION("""COMPUTED_VALUE"""),"Commission Comparison")</f>
        <v>Commission Comparison</v>
      </c>
      <c r="H2474" s="19"/>
      <c r="I2474" s="62"/>
      <c r="J2474" s="19"/>
    </row>
    <row r="2475">
      <c r="A2475" s="19" t="str">
        <f>IFERROR(__xludf.DUMMYFUNCTION("""COMPUTED_VALUE"""),"Tom Kneebone")</f>
        <v>Tom Kneebone</v>
      </c>
      <c r="B2475" s="19" t="str">
        <f>IFERROR(__xludf.DUMMYFUNCTION("""COMPUTED_VALUE"""),"SA")</f>
        <v>SA</v>
      </c>
      <c r="C2475" s="5" t="str">
        <f>IFERROR(__xludf.DUMMYFUNCTION("""COMPUTED_VALUE"""),"Hackham")</f>
        <v>Hackham</v>
      </c>
      <c r="D2475" s="5" t="str">
        <f>IFERROR(__xludf.DUMMYFUNCTION("""COMPUTED_VALUE"""),"11 Higgins St")</f>
        <v>11 Higgins St</v>
      </c>
      <c r="E2475" s="25">
        <f>IFERROR(__xludf.DUMMYFUNCTION("""COMPUTED_VALUE"""),45948.0)</f>
        <v>45948</v>
      </c>
      <c r="F2475" s="5" t="str">
        <f>IFERROR(__xludf.DUMMYFUNCTION("""COMPUTED_VALUE"""),"Featured")</f>
        <v>Featured</v>
      </c>
      <c r="G2475" s="19" t="str">
        <f>IFERROR(__xludf.DUMMYFUNCTION("""COMPUTED_VALUE"""),"Commission Comparison")</f>
        <v>Commission Comparison</v>
      </c>
      <c r="H2475" s="19"/>
      <c r="I2475" s="62"/>
      <c r="J2475" s="19"/>
    </row>
    <row r="2476">
      <c r="A2476" s="19" t="str">
        <f>IFERROR(__xludf.DUMMYFUNCTION("""COMPUTED_VALUE"""),"Tom Kneebone")</f>
        <v>Tom Kneebone</v>
      </c>
      <c r="B2476" s="19" t="str">
        <f>IFERROR(__xludf.DUMMYFUNCTION("""COMPUTED_VALUE"""),"SA")</f>
        <v>SA</v>
      </c>
      <c r="C2476" s="5" t="str">
        <f>IFERROR(__xludf.DUMMYFUNCTION("""COMPUTED_VALUE"""),"Morphett Vale")</f>
        <v>Morphett Vale</v>
      </c>
      <c r="D2476" s="5" t="str">
        <f>IFERROR(__xludf.DUMMYFUNCTION("""COMPUTED_VALUE"""),"34 Derek crescent Morphett Vale")</f>
        <v>34 Derek crescent Morphett Vale</v>
      </c>
      <c r="E2476" s="25">
        <f>IFERROR(__xludf.DUMMYFUNCTION("""COMPUTED_VALUE"""),45964.0)</f>
        <v>45964</v>
      </c>
      <c r="F2476" s="5" t="str">
        <f>IFERROR(__xludf.DUMMYFUNCTION("""COMPUTED_VALUE"""),"Featured")</f>
        <v>Featured</v>
      </c>
      <c r="G2476" s="19" t="str">
        <f>IFERROR(__xludf.DUMMYFUNCTION("""COMPUTED_VALUE"""),"Commission Comparison")</f>
        <v>Commission Comparison</v>
      </c>
      <c r="H2476" s="19"/>
      <c r="I2476" s="62"/>
      <c r="J2476" s="19"/>
    </row>
    <row r="2477">
      <c r="A2477" s="19" t="str">
        <f>IFERROR(__xludf.DUMMYFUNCTION("""COMPUTED_VALUE"""),"Tom Kneebone")</f>
        <v>Tom Kneebone</v>
      </c>
      <c r="B2477" s="19" t="str">
        <f>IFERROR(__xludf.DUMMYFUNCTION("""COMPUTED_VALUE"""),"SA")</f>
        <v>SA</v>
      </c>
      <c r="C2477" s="5" t="str">
        <f>IFERROR(__xludf.DUMMYFUNCTION("""COMPUTED_VALUE"""),"Sellicks Beach")</f>
        <v>Sellicks Beach</v>
      </c>
      <c r="D2477" s="5" t="str">
        <f>IFERROR(__xludf.DUMMYFUNCTION("""COMPUTED_VALUE"""),"14 George Parade")</f>
        <v>14 George Parade</v>
      </c>
      <c r="E2477" s="25">
        <f>IFERROR(__xludf.DUMMYFUNCTION("""COMPUTED_VALUE"""),45966.0)</f>
        <v>45966</v>
      </c>
      <c r="F2477" s="5" t="str">
        <f>IFERROR(__xludf.DUMMYFUNCTION("""COMPUTED_VALUE"""),"Featured")</f>
        <v>Featured</v>
      </c>
      <c r="G2477" s="19" t="str">
        <f>IFERROR(__xludf.DUMMYFUNCTION("""COMPUTED_VALUE"""),"Commission Comparison")</f>
        <v>Commission Comparison</v>
      </c>
      <c r="H2477" s="19" t="str">
        <f>IFERROR(__xludf.DUMMYFUNCTION("""COMPUTED_VALUE"""),"Phil Salt")</f>
        <v>Phil Salt</v>
      </c>
      <c r="I2477" s="62">
        <f>IFERROR(__xludf.DUMMYFUNCTION("""COMPUTED_VALUE"""),6.140386271E10)</f>
        <v>61403862710</v>
      </c>
      <c r="J2477" s="19" t="str">
        <f>IFERROR(__xludf.DUMMYFUNCTION("""COMPUTED_VALUE"""),"philjsalt@yahoo.com.au")</f>
        <v>philjsalt@yahoo.com.au</v>
      </c>
    </row>
    <row r="2478">
      <c r="A2478" s="19" t="str">
        <f>IFERROR(__xludf.DUMMYFUNCTION("""COMPUTED_VALUE"""),"Tom Kneebone")</f>
        <v>Tom Kneebone</v>
      </c>
      <c r="B2478" s="19" t="str">
        <f>IFERROR(__xludf.DUMMYFUNCTION("""COMPUTED_VALUE"""),"SA")</f>
        <v>SA</v>
      </c>
      <c r="C2478" s="5" t="str">
        <f>IFERROR(__xludf.DUMMYFUNCTION("""COMPUTED_VALUE"""),"Port Noarlunga")</f>
        <v>Port Noarlunga</v>
      </c>
      <c r="D2478" s="5" t="str">
        <f>IFERROR(__xludf.DUMMYFUNCTION("""COMPUTED_VALUE"""),"21 Anderson Ave Port Noarlunga")</f>
        <v>21 Anderson Ave Port Noarlunga</v>
      </c>
      <c r="E2478" s="27">
        <f>IFERROR(__xludf.DUMMYFUNCTION("""COMPUTED_VALUE"""),45819.0)</f>
        <v>45819</v>
      </c>
      <c r="F2478" s="5" t="str">
        <f>IFERROR(__xludf.DUMMYFUNCTION("""COMPUTED_VALUE"""),"Featured")</f>
        <v>Featured</v>
      </c>
      <c r="G2478" s="19" t="str">
        <f>IFERROR(__xludf.DUMMYFUNCTION("""COMPUTED_VALUE"""),"Commission Comparison")</f>
        <v>Commission Comparison</v>
      </c>
      <c r="H2478" s="19" t="str">
        <f>IFERROR(__xludf.DUMMYFUNCTION("""COMPUTED_VALUE"""),"Paul Modra")</f>
        <v>Paul Modra</v>
      </c>
      <c r="I2478" s="62">
        <f>IFERROR(__xludf.DUMMYFUNCTION("""COMPUTED_VALUE"""),6.1428305022E10)</f>
        <v>61428305022</v>
      </c>
      <c r="J2478" s="19" t="str">
        <f>IFERROR(__xludf.DUMMYFUNCTION("""COMPUTED_VALUE"""),"mods06@hotmail.com")</f>
        <v>mods06@hotmail.com</v>
      </c>
    </row>
    <row r="2479">
      <c r="A2479" s="19" t="str">
        <f>IFERROR(__xludf.DUMMYFUNCTION("""COMPUTED_VALUE"""),"Tom Kneebone")</f>
        <v>Tom Kneebone</v>
      </c>
      <c r="B2479" s="19" t="str">
        <f>IFERROR(__xludf.DUMMYFUNCTION("""COMPUTED_VALUE"""),"SA")</f>
        <v>SA</v>
      </c>
      <c r="C2479" s="5" t="str">
        <f>IFERROR(__xludf.DUMMYFUNCTION("""COMPUTED_VALUE"""),"Morphett Vale")</f>
        <v>Morphett Vale</v>
      </c>
      <c r="D2479" s="5" t="str">
        <f>IFERROR(__xludf.DUMMYFUNCTION("""COMPUTED_VALUE"""),"12 Barbara Avenue Morphett Vale SA 5162")</f>
        <v>12 Barbara Avenue Morphett Vale SA 5162</v>
      </c>
      <c r="E2479" s="25">
        <f>IFERROR(__xludf.DUMMYFUNCTION("""COMPUTED_VALUE"""),45966.0)</f>
        <v>45966</v>
      </c>
      <c r="F2479" s="5">
        <f>IFERROR(__xludf.DUMMYFUNCTION("""COMPUTED_VALUE"""),8.0)</f>
        <v>8</v>
      </c>
      <c r="G2479" s="19" t="str">
        <f>IFERROR(__xludf.DUMMYFUNCTION("""COMPUTED_VALUE"""),"Instant Forms")</f>
        <v>Instant Forms</v>
      </c>
      <c r="H2479" s="19" t="str">
        <f>IFERROR(__xludf.DUMMYFUNCTION("""COMPUTED_VALUE"""),"George Kemp")</f>
        <v>George Kemp</v>
      </c>
      <c r="I2479" s="62">
        <f>IFERROR(__xludf.DUMMYFUNCTION("""COMPUTED_VALUE"""),6.1435466049E10)</f>
        <v>61435466049</v>
      </c>
      <c r="J2479" s="19" t="str">
        <f>IFERROR(__xludf.DUMMYFUNCTION("""COMPUTED_VALUE"""),"mushy666@gmail.com")</f>
        <v>mushy666@gmail.com</v>
      </c>
    </row>
    <row r="2480">
      <c r="A2480" s="19" t="str">
        <f>IFERROR(__xludf.DUMMYFUNCTION("""COMPUTED_VALUE"""),"Tom Kneebone")</f>
        <v>Tom Kneebone</v>
      </c>
      <c r="B2480" s="19" t="str">
        <f>IFERROR(__xludf.DUMMYFUNCTION("""COMPUTED_VALUE"""),"SA")</f>
        <v>SA</v>
      </c>
      <c r="C2480" s="5" t="str">
        <f>IFERROR(__xludf.DUMMYFUNCTION("""COMPUTED_VALUE"""),"Christies Beach")</f>
        <v>Christies Beach</v>
      </c>
      <c r="D2480" s="5" t="str">
        <f>IFERROR(__xludf.DUMMYFUNCTION("""COMPUTED_VALUE"""),"67A Esplanade")</f>
        <v>67A Esplanade</v>
      </c>
      <c r="E2480" s="25">
        <f>IFERROR(__xludf.DUMMYFUNCTION("""COMPUTED_VALUE"""),45971.0)</f>
        <v>45971</v>
      </c>
      <c r="F2480" s="64">
        <f>IFERROR(__xludf.DUMMYFUNCTION("""COMPUTED_VALUE"""),0.05)</f>
        <v>0.05</v>
      </c>
      <c r="G2480" s="19" t="str">
        <f>IFERROR(__xludf.DUMMYFUNCTION("""COMPUTED_VALUE"""),"Incomplete Submission")</f>
        <v>Incomplete Submission</v>
      </c>
      <c r="H2480" s="19"/>
      <c r="I2480" s="62"/>
      <c r="J2480" s="19"/>
    </row>
    <row r="2481">
      <c r="A2481" s="19" t="str">
        <f>IFERROR(__xludf.DUMMYFUNCTION("""COMPUTED_VALUE"""),"Tom Kneebone")</f>
        <v>Tom Kneebone</v>
      </c>
      <c r="B2481" s="19" t="str">
        <f>IFERROR(__xludf.DUMMYFUNCTION("""COMPUTED_VALUE"""),"SA")</f>
        <v>SA</v>
      </c>
      <c r="C2481" s="5" t="str">
        <f>IFERROR(__xludf.DUMMYFUNCTION("""COMPUTED_VALUE"""),"Whites Valley")</f>
        <v>Whites Valley</v>
      </c>
      <c r="D2481" s="5"/>
      <c r="E2481" s="27">
        <f>IFERROR(__xludf.DUMMYFUNCTION("""COMPUTED_VALUE"""),45759.0)</f>
        <v>45759</v>
      </c>
      <c r="F2481" s="64">
        <f>IFERROR(__xludf.DUMMYFUNCTION("""COMPUTED_VALUE"""),0.1)</f>
        <v>0.1</v>
      </c>
      <c r="G2481" s="19" t="str">
        <f>IFERROR(__xludf.DUMMYFUNCTION("""COMPUTED_VALUE"""),"Commission Comparison")</f>
        <v>Commission Comparison</v>
      </c>
      <c r="H2481" s="19" t="str">
        <f>IFERROR(__xludf.DUMMYFUNCTION("""COMPUTED_VALUE"""),"Clark Ernst")</f>
        <v>Clark Ernst</v>
      </c>
      <c r="I2481" s="62">
        <f>IFERROR(__xludf.DUMMYFUNCTION("""COMPUTED_VALUE"""),6.1400570061E10)</f>
        <v>61400570061</v>
      </c>
      <c r="J2481" s="19" t="str">
        <f>IFERROR(__xludf.DUMMYFUNCTION("""COMPUTED_VALUE"""),"clarkrernst@gmail.com")</f>
        <v>clarkrernst@gmail.com</v>
      </c>
    </row>
    <row r="2482">
      <c r="A2482" s="19" t="str">
        <f>IFERROR(__xludf.DUMMYFUNCTION("""COMPUTED_VALUE"""),"")</f>
        <v/>
      </c>
      <c r="B2482" s="19" t="str">
        <f>IFERROR(__xludf.DUMMYFUNCTION("""COMPUTED_VALUE"""),"")</f>
        <v/>
      </c>
      <c r="C2482" s="5" t="str">
        <f>IFERROR(__xludf.DUMMYFUNCTION("""COMPUTED_VALUE"""),"")</f>
        <v/>
      </c>
      <c r="D2482" s="5" t="str">
        <f>IFERROR(__xludf.DUMMYFUNCTION("""COMPUTED_VALUE"""),"")</f>
        <v/>
      </c>
      <c r="E2482" s="5" t="str">
        <f>IFERROR(__xludf.DUMMYFUNCTION("""COMPUTED_VALUE"""),"")</f>
        <v/>
      </c>
      <c r="F2482" s="5" t="str">
        <f>IFERROR(__xludf.DUMMYFUNCTION("""COMPUTED_VALUE"""),"")</f>
        <v/>
      </c>
      <c r="G2482" s="19" t="str">
        <f>IFERROR(__xludf.DUMMYFUNCTION("""COMPUTED_VALUE"""),"")</f>
        <v/>
      </c>
      <c r="H2482" s="19" t="str">
        <f>IFERROR(__xludf.DUMMYFUNCTION("""COMPUTED_VALUE"""),"")</f>
        <v/>
      </c>
      <c r="I2482" s="62" t="str">
        <f>IFERROR(__xludf.DUMMYFUNCTION("""COMPUTED_VALUE"""),"")</f>
        <v/>
      </c>
      <c r="J2482" s="19" t="str">
        <f>IFERROR(__xludf.DUMMYFUNCTION("""COMPUTED_VALUE"""),"")</f>
        <v/>
      </c>
    </row>
    <row r="2483">
      <c r="A2483" s="19" t="str">
        <f>IFERROR(__xludf.DUMMYFUNCTION("""COMPUTED_VALUE"""),"")</f>
        <v/>
      </c>
      <c r="B2483" s="19" t="str">
        <f>IFERROR(__xludf.DUMMYFUNCTION("""COMPUTED_VALUE"""),"")</f>
        <v/>
      </c>
      <c r="C2483" s="5" t="str">
        <f>IFERROR(__xludf.DUMMYFUNCTION("""COMPUTED_VALUE"""),"")</f>
        <v/>
      </c>
      <c r="D2483" s="5" t="str">
        <f>IFERROR(__xludf.DUMMYFUNCTION("""COMPUTED_VALUE"""),"")</f>
        <v/>
      </c>
      <c r="E2483" s="5" t="str">
        <f>IFERROR(__xludf.DUMMYFUNCTION("""COMPUTED_VALUE"""),"")</f>
        <v/>
      </c>
      <c r="F2483" s="5" t="str">
        <f>IFERROR(__xludf.DUMMYFUNCTION("""COMPUTED_VALUE"""),"")</f>
        <v/>
      </c>
      <c r="G2483" s="19" t="str">
        <f>IFERROR(__xludf.DUMMYFUNCTION("""COMPUTED_VALUE"""),"")</f>
        <v/>
      </c>
      <c r="H2483" s="19" t="str">
        <f>IFERROR(__xludf.DUMMYFUNCTION("""COMPUTED_VALUE"""),"")</f>
        <v/>
      </c>
      <c r="I2483" s="62" t="str">
        <f>IFERROR(__xludf.DUMMYFUNCTION("""COMPUTED_VALUE"""),"")</f>
        <v/>
      </c>
      <c r="J2483" s="19" t="str">
        <f>IFERROR(__xludf.DUMMYFUNCTION("""COMPUTED_VALUE"""),"")</f>
        <v/>
      </c>
    </row>
    <row r="2484">
      <c r="A2484" s="19" t="str">
        <f>IFERROR(__xludf.DUMMYFUNCTION("""COMPUTED_VALUE"""),"Travis Barff")</f>
        <v>Travis Barff</v>
      </c>
      <c r="B2484" s="19" t="str">
        <f>IFERROR(__xludf.DUMMYFUNCTION("""COMPUTED_VALUE"""),"QLD")</f>
        <v>QLD</v>
      </c>
      <c r="C2484" s="5" t="str">
        <f>IFERROR(__xludf.DUMMYFUNCTION("""COMPUTED_VALUE"""),"Forest Glen")</f>
        <v>Forest Glen</v>
      </c>
      <c r="D2484" s="5"/>
      <c r="E2484" s="63">
        <f>IFERROR(__xludf.DUMMYFUNCTION("""COMPUTED_VALUE"""),45724.0)</f>
        <v>45724</v>
      </c>
      <c r="F2484" s="5" t="str">
        <f>IFERROR(__xludf.DUMMYFUNCTION("""COMPUTED_VALUE"""),"Featured")</f>
        <v>Featured</v>
      </c>
      <c r="G2484" s="19" t="str">
        <f>IFERROR(__xludf.DUMMYFUNCTION("""COMPUTED_VALUE"""),"Instant Forms")</f>
        <v>Instant Forms</v>
      </c>
      <c r="H2484" s="19"/>
      <c r="I2484" s="62"/>
      <c r="J2484" s="19"/>
    </row>
    <row r="2485">
      <c r="A2485" s="19" t="str">
        <f>IFERROR(__xludf.DUMMYFUNCTION("""COMPUTED_VALUE"""),"Travis Barff")</f>
        <v>Travis Barff</v>
      </c>
      <c r="B2485" s="19" t="str">
        <f>IFERROR(__xludf.DUMMYFUNCTION("""COMPUTED_VALUE"""),"QLD")</f>
        <v>QLD</v>
      </c>
      <c r="C2485" s="5" t="str">
        <f>IFERROR(__xludf.DUMMYFUNCTION("""COMPUTED_VALUE"""),"Hunchy")</f>
        <v>Hunchy</v>
      </c>
      <c r="D2485" s="5" t="str">
        <f>IFERROR(__xludf.DUMMYFUNCTION("""COMPUTED_VALUE"""),"68 Christensens Road, Hunchy, QLD, 4555, Australia")</f>
        <v>68 Christensens Road, Hunchy, QLD, 4555, Australia</v>
      </c>
      <c r="E2485" s="5" t="str">
        <f>IFERROR(__xludf.DUMMYFUNCTION("""COMPUTED_VALUE"""),"20/08/2025")</f>
        <v>20/08/2025</v>
      </c>
      <c r="F2485" s="5" t="str">
        <f>IFERROR(__xludf.DUMMYFUNCTION("""COMPUTED_VALUE"""),"Featured")</f>
        <v>Featured</v>
      </c>
      <c r="G2485" s="19"/>
      <c r="H2485" s="19"/>
      <c r="I2485" s="62"/>
      <c r="J2485" s="19"/>
    </row>
    <row r="2486">
      <c r="A2486" s="19" t="str">
        <f>IFERROR(__xludf.DUMMYFUNCTION("""COMPUTED_VALUE"""),"Travis Barff")</f>
        <v>Travis Barff</v>
      </c>
      <c r="B2486" s="19" t="str">
        <f>IFERROR(__xludf.DUMMYFUNCTION("""COMPUTED_VALUE"""),"QLD")</f>
        <v>QLD</v>
      </c>
      <c r="C2486" s="5" t="str">
        <f>IFERROR(__xludf.DUMMYFUNCTION("""COMPUTED_VALUE"""),"Rosemount")</f>
        <v>Rosemount</v>
      </c>
      <c r="D2486" s="5" t="str">
        <f>IFERROR(__xludf.DUMMYFUNCTION("""COMPUTED_VALUE"""),"29 Lemongrove Place Rosemount QLD 4560")</f>
        <v>29 Lemongrove Place Rosemount QLD 4560</v>
      </c>
      <c r="E2486" s="25">
        <f>IFERROR(__xludf.DUMMYFUNCTION("""COMPUTED_VALUE"""),45892.0)</f>
        <v>45892</v>
      </c>
      <c r="F2486" s="5" t="str">
        <f>IFERROR(__xludf.DUMMYFUNCTION("""COMPUTED_VALUE"""),"Featured")</f>
        <v>Featured</v>
      </c>
      <c r="G2486" s="19" t="str">
        <f>IFERROR(__xludf.DUMMYFUNCTION("""COMPUTED_VALUE"""),"Instant Forms")</f>
        <v>Instant Forms</v>
      </c>
      <c r="H2486" s="19"/>
      <c r="I2486" s="62"/>
      <c r="J2486" s="19"/>
    </row>
    <row r="2487">
      <c r="A2487" s="19" t="str">
        <f>IFERROR(__xludf.DUMMYFUNCTION("""COMPUTED_VALUE"""),"Travis Barff")</f>
        <v>Travis Barff</v>
      </c>
      <c r="B2487" s="19" t="str">
        <f>IFERROR(__xludf.DUMMYFUNCTION("""COMPUTED_VALUE"""),"QLD")</f>
        <v>QLD</v>
      </c>
      <c r="C2487" s="5" t="str">
        <f>IFERROR(__xludf.DUMMYFUNCTION("""COMPUTED_VALUE"""),"Peachester")</f>
        <v>Peachester</v>
      </c>
      <c r="D2487" s="5" t="str">
        <f>IFERROR(__xludf.DUMMYFUNCTION("""COMPUTED_VALUE"""),"204 Storrs Road Peachester QLD 4519")</f>
        <v>204 Storrs Road Peachester QLD 4519</v>
      </c>
      <c r="E2487" s="25">
        <f>IFERROR(__xludf.DUMMYFUNCTION("""COMPUTED_VALUE"""),45900.0)</f>
        <v>45900</v>
      </c>
      <c r="F2487" s="5" t="str">
        <f>IFERROR(__xludf.DUMMYFUNCTION("""COMPUTED_VALUE"""),"Featured")</f>
        <v>Featured</v>
      </c>
      <c r="G2487" s="19" t="str">
        <f>IFERROR(__xludf.DUMMYFUNCTION("""COMPUTED_VALUE"""),"Instant Forms")</f>
        <v>Instant Forms</v>
      </c>
      <c r="H2487" s="19"/>
      <c r="I2487" s="62"/>
      <c r="J2487" s="19"/>
    </row>
    <row r="2488">
      <c r="A2488" s="19" t="str">
        <f>IFERROR(__xludf.DUMMYFUNCTION("""COMPUTED_VALUE"""),"Travis Barff")</f>
        <v>Travis Barff</v>
      </c>
      <c r="B2488" s="19" t="str">
        <f>IFERROR(__xludf.DUMMYFUNCTION("""COMPUTED_VALUE"""),"QLD")</f>
        <v>QLD</v>
      </c>
      <c r="C2488" s="5" t="str">
        <f>IFERROR(__xludf.DUMMYFUNCTION("""COMPUTED_VALUE"""),"Brooloo")</f>
        <v>Brooloo</v>
      </c>
      <c r="D2488" s="5" t="str">
        <f>IFERROR(__xludf.DUMMYFUNCTION("""COMPUTED_VALUE"""),"100 Marroo Road, Brooloo, QLD, 4570, Australia")</f>
        <v>100 Marroo Road, Brooloo, QLD, 4570, Australia</v>
      </c>
      <c r="E2488" s="25">
        <f>IFERROR(__xludf.DUMMYFUNCTION("""COMPUTED_VALUE"""),45903.0)</f>
        <v>45903</v>
      </c>
      <c r="F2488" s="5" t="str">
        <f>IFERROR(__xludf.DUMMYFUNCTION("""COMPUTED_VALUE"""),"Featured")</f>
        <v>Featured</v>
      </c>
      <c r="G2488" s="19" t="str">
        <f>IFERROR(__xludf.DUMMYFUNCTION("""COMPUTED_VALUE"""),"Commission Comparison")</f>
        <v>Commission Comparison</v>
      </c>
      <c r="H2488" s="19"/>
      <c r="I2488" s="62"/>
      <c r="J2488" s="19"/>
    </row>
    <row r="2489">
      <c r="A2489" s="19" t="str">
        <f>IFERROR(__xludf.DUMMYFUNCTION("""COMPUTED_VALUE"""),"Travis Barff")</f>
        <v>Travis Barff</v>
      </c>
      <c r="B2489" s="19" t="str">
        <f>IFERROR(__xludf.DUMMYFUNCTION("""COMPUTED_VALUE"""),"QLD")</f>
        <v>QLD</v>
      </c>
      <c r="C2489" s="5" t="str">
        <f>IFERROR(__xludf.DUMMYFUNCTION("""COMPUTED_VALUE"""),"Palmwoods")</f>
        <v>Palmwoods</v>
      </c>
      <c r="D2489" s="5" t="str">
        <f>IFERROR(__xludf.DUMMYFUNCTION("""COMPUTED_VALUE"""),"17 Greenlees Court, Palmwoods, QLD, 4555, Australia")</f>
        <v>17 Greenlees Court, Palmwoods, QLD, 4555, Australia</v>
      </c>
      <c r="E2489" s="5" t="str">
        <f>IFERROR(__xludf.DUMMYFUNCTION("""COMPUTED_VALUE"""),"22/09/2025")</f>
        <v>22/09/2025</v>
      </c>
      <c r="F2489" s="5" t="str">
        <f>IFERROR(__xludf.DUMMYFUNCTION("""COMPUTED_VALUE"""),"Featured")</f>
        <v>Featured</v>
      </c>
      <c r="G2489" s="19"/>
      <c r="H2489" s="19"/>
      <c r="I2489" s="62"/>
      <c r="J2489" s="19"/>
    </row>
    <row r="2490">
      <c r="A2490" s="19" t="str">
        <f>IFERROR(__xludf.DUMMYFUNCTION("""COMPUTED_VALUE"""),"Travis Barff")</f>
        <v>Travis Barff</v>
      </c>
      <c r="B2490" s="19" t="str">
        <f>IFERROR(__xludf.DUMMYFUNCTION("""COMPUTED_VALUE"""),"QLD")</f>
        <v>QLD</v>
      </c>
      <c r="C2490" s="5" t="str">
        <f>IFERROR(__xludf.DUMMYFUNCTION("""COMPUTED_VALUE"""),"Palmwoods")</f>
        <v>Palmwoods</v>
      </c>
      <c r="D2490" s="5" t="str">
        <f>IFERROR(__xludf.DUMMYFUNCTION("""COMPUTED_VALUE"""),"53 palmwoods school road, palmwoods, 4555")</f>
        <v>53 palmwoods school road, palmwoods, 4555</v>
      </c>
      <c r="E2490" s="27">
        <f>IFERROR(__xludf.DUMMYFUNCTION("""COMPUTED_VALUE"""),45699.0)</f>
        <v>45699</v>
      </c>
      <c r="F2490" s="5" t="str">
        <f>IFERROR(__xludf.DUMMYFUNCTION("""COMPUTED_VALUE"""),"Featured")</f>
        <v>Featured</v>
      </c>
      <c r="G2490" s="19" t="str">
        <f>IFERROR(__xludf.DUMMYFUNCTION("""COMPUTED_VALUE"""),"Meta Commission Report")</f>
        <v>Meta Commission Report</v>
      </c>
      <c r="H2490" s="19" t="str">
        <f>IFERROR(__xludf.DUMMYFUNCTION("""COMPUTED_VALUE"""),"darryl drew")</f>
        <v>darryl drew</v>
      </c>
      <c r="I2490" s="62"/>
      <c r="J2490" s="19"/>
    </row>
    <row r="2491">
      <c r="A2491" s="19" t="str">
        <f>IFERROR(__xludf.DUMMYFUNCTION("""COMPUTED_VALUE"""),"")</f>
        <v/>
      </c>
      <c r="B2491" s="19" t="str">
        <f>IFERROR(__xludf.DUMMYFUNCTION("""COMPUTED_VALUE"""),"")</f>
        <v/>
      </c>
      <c r="C2491" s="5" t="str">
        <f>IFERROR(__xludf.DUMMYFUNCTION("""COMPUTED_VALUE"""),"")</f>
        <v/>
      </c>
      <c r="D2491" s="5" t="str">
        <f>IFERROR(__xludf.DUMMYFUNCTION("""COMPUTED_VALUE"""),"")</f>
        <v/>
      </c>
      <c r="E2491" s="5" t="str">
        <f>IFERROR(__xludf.DUMMYFUNCTION("""COMPUTED_VALUE"""),"")</f>
        <v/>
      </c>
      <c r="F2491" s="5" t="str">
        <f>IFERROR(__xludf.DUMMYFUNCTION("""COMPUTED_VALUE"""),"")</f>
        <v/>
      </c>
      <c r="G2491" s="19" t="str">
        <f>IFERROR(__xludf.DUMMYFUNCTION("""COMPUTED_VALUE"""),"")</f>
        <v/>
      </c>
      <c r="H2491" s="19" t="str">
        <f>IFERROR(__xludf.DUMMYFUNCTION("""COMPUTED_VALUE"""),"")</f>
        <v/>
      </c>
      <c r="I2491" s="62" t="str">
        <f>IFERROR(__xludf.DUMMYFUNCTION("""COMPUTED_VALUE"""),"")</f>
        <v/>
      </c>
      <c r="J2491" s="19" t="str">
        <f>IFERROR(__xludf.DUMMYFUNCTION("""COMPUTED_VALUE"""),"")</f>
        <v/>
      </c>
    </row>
    <row r="2492">
      <c r="A2492" s="19" t="str">
        <f>IFERROR(__xludf.DUMMYFUNCTION("""COMPUTED_VALUE"""),"")</f>
        <v/>
      </c>
      <c r="B2492" s="19" t="str">
        <f>IFERROR(__xludf.DUMMYFUNCTION("""COMPUTED_VALUE"""),"")</f>
        <v/>
      </c>
      <c r="C2492" s="5" t="str">
        <f>IFERROR(__xludf.DUMMYFUNCTION("""COMPUTED_VALUE"""),"")</f>
        <v/>
      </c>
      <c r="D2492" s="5" t="str">
        <f>IFERROR(__xludf.DUMMYFUNCTION("""COMPUTED_VALUE"""),"")</f>
        <v/>
      </c>
      <c r="E2492" s="5" t="str">
        <f>IFERROR(__xludf.DUMMYFUNCTION("""COMPUTED_VALUE"""),"")</f>
        <v/>
      </c>
      <c r="F2492" s="5" t="str">
        <f>IFERROR(__xludf.DUMMYFUNCTION("""COMPUTED_VALUE"""),"")</f>
        <v/>
      </c>
      <c r="G2492" s="19" t="str">
        <f>IFERROR(__xludf.DUMMYFUNCTION("""COMPUTED_VALUE"""),"")</f>
        <v/>
      </c>
      <c r="H2492" s="19" t="str">
        <f>IFERROR(__xludf.DUMMYFUNCTION("""COMPUTED_VALUE"""),"")</f>
        <v/>
      </c>
      <c r="I2492" s="62" t="str">
        <f>IFERROR(__xludf.DUMMYFUNCTION("""COMPUTED_VALUE"""),"")</f>
        <v/>
      </c>
      <c r="J2492" s="19" t="str">
        <f>IFERROR(__xludf.DUMMYFUNCTION("""COMPUTED_VALUE"""),"")</f>
        <v/>
      </c>
    </row>
    <row r="2493">
      <c r="A2493" s="19" t="str">
        <f>IFERROR(__xludf.DUMMYFUNCTION("""COMPUTED_VALUE"""),"Trent Waters")</f>
        <v>Trent Waters</v>
      </c>
      <c r="B2493" s="19" t="str">
        <f>IFERROR(__xludf.DUMMYFUNCTION("""COMPUTED_VALUE"""),"NSW")</f>
        <v>NSW</v>
      </c>
      <c r="C2493" s="5">
        <f>IFERROR(__xludf.DUMMYFUNCTION("""COMPUTED_VALUE"""),2750.0)</f>
        <v>2750</v>
      </c>
      <c r="D2493" s="5"/>
      <c r="E2493" s="63">
        <f>IFERROR(__xludf.DUMMYFUNCTION("""COMPUTED_VALUE"""),45853.6583449074)</f>
        <v>45853.65834</v>
      </c>
      <c r="F2493" s="5" t="str">
        <f>IFERROR(__xludf.DUMMYFUNCTION("""COMPUTED_VALUE"""),"Featured")</f>
        <v>Featured</v>
      </c>
      <c r="G2493" s="19" t="str">
        <f>IFERROR(__xludf.DUMMYFUNCTION("""COMPUTED_VALUE"""),"Instant Forms")</f>
        <v>Instant Forms</v>
      </c>
      <c r="H2493" s="19"/>
      <c r="I2493" s="62"/>
      <c r="J2493" s="19"/>
    </row>
    <row r="2494">
      <c r="A2494" s="19" t="str">
        <f>IFERROR(__xludf.DUMMYFUNCTION("""COMPUTED_VALUE"""),"Trent Waters")</f>
        <v>Trent Waters</v>
      </c>
      <c r="B2494" s="19" t="str">
        <f>IFERROR(__xludf.DUMMYFUNCTION("""COMPUTED_VALUE"""),"NSW")</f>
        <v>NSW</v>
      </c>
      <c r="C2494" s="5">
        <f>IFERROR(__xludf.DUMMYFUNCTION("""COMPUTED_VALUE"""),2747.0)</f>
        <v>2747</v>
      </c>
      <c r="D2494" s="5"/>
      <c r="E2494" s="63">
        <f>IFERROR(__xludf.DUMMYFUNCTION("""COMPUTED_VALUE"""),45665.0)</f>
        <v>45665</v>
      </c>
      <c r="F2494" s="5" t="str">
        <f>IFERROR(__xludf.DUMMYFUNCTION("""COMPUTED_VALUE"""),"Featured")</f>
        <v>Featured</v>
      </c>
      <c r="G2494" s="19" t="str">
        <f>IFERROR(__xludf.DUMMYFUNCTION("""COMPUTED_VALUE"""),"Instant Forms")</f>
        <v>Instant Forms</v>
      </c>
      <c r="H2494" s="19"/>
      <c r="I2494" s="62"/>
      <c r="J2494" s="19"/>
    </row>
    <row r="2495">
      <c r="A2495" s="19" t="str">
        <f>IFERROR(__xludf.DUMMYFUNCTION("""COMPUTED_VALUE"""),"Trent Waters")</f>
        <v>Trent Waters</v>
      </c>
      <c r="B2495" s="19" t="str">
        <f>IFERROR(__xludf.DUMMYFUNCTION("""COMPUTED_VALUE"""),"NSW")</f>
        <v>NSW</v>
      </c>
      <c r="C2495" s="5" t="str">
        <f>IFERROR(__xludf.DUMMYFUNCTION("""COMPUTED_VALUE"""),"South Penrith")</f>
        <v>South Penrith</v>
      </c>
      <c r="D2495" s="5"/>
      <c r="E2495" s="63">
        <f>IFERROR(__xludf.DUMMYFUNCTION("""COMPUTED_VALUE"""),45665.0)</f>
        <v>45665</v>
      </c>
      <c r="F2495" s="5" t="str">
        <f>IFERROR(__xludf.DUMMYFUNCTION("""COMPUTED_VALUE"""),"Featured")</f>
        <v>Featured</v>
      </c>
      <c r="G2495" s="19" t="str">
        <f>IFERROR(__xludf.DUMMYFUNCTION("""COMPUTED_VALUE"""),"Instant Forms")</f>
        <v>Instant Forms</v>
      </c>
      <c r="H2495" s="19"/>
      <c r="I2495" s="62"/>
      <c r="J2495" s="19"/>
    </row>
    <row r="2496">
      <c r="A2496" s="19" t="str">
        <f>IFERROR(__xludf.DUMMYFUNCTION("""COMPUTED_VALUE"""),"Trent Waters")</f>
        <v>Trent Waters</v>
      </c>
      <c r="B2496" s="19" t="str">
        <f>IFERROR(__xludf.DUMMYFUNCTION("""COMPUTED_VALUE"""),"NSW")</f>
        <v>NSW</v>
      </c>
      <c r="C2496" s="5" t="str">
        <f>IFERROR(__xludf.DUMMYFUNCTION("""COMPUTED_VALUE"""),"Jordan Springs")</f>
        <v>Jordan Springs</v>
      </c>
      <c r="D2496" s="5" t="str">
        <f>IFERROR(__xludf.DUMMYFUNCTION("""COMPUTED_VALUE"""),"57 Northridge Road, Jordan Springs, NSW, 2747, Australia")</f>
        <v>57 Northridge Road, Jordan Springs, NSW, 2747, Australia</v>
      </c>
      <c r="E2496" s="63">
        <f>IFERROR(__xludf.DUMMYFUNCTION("""COMPUTED_VALUE"""),45755.0)</f>
        <v>45755</v>
      </c>
      <c r="F2496" s="5" t="str">
        <f>IFERROR(__xludf.DUMMYFUNCTION("""COMPUTED_VALUE"""),"Featured")</f>
        <v>Featured</v>
      </c>
      <c r="G2496" s="19" t="str">
        <f>IFERROR(__xludf.DUMMYFUNCTION("""COMPUTED_VALUE"""),"Complete Lead")</f>
        <v>Complete Lead</v>
      </c>
      <c r="H2496" s="19"/>
      <c r="I2496" s="62"/>
      <c r="J2496" s="19"/>
    </row>
    <row r="2497">
      <c r="A2497" s="19" t="str">
        <f>IFERROR(__xludf.DUMMYFUNCTION("""COMPUTED_VALUE"""),"Trent Waters")</f>
        <v>Trent Waters</v>
      </c>
      <c r="B2497" s="19" t="str">
        <f>IFERROR(__xludf.DUMMYFUNCTION("""COMPUTED_VALUE"""),"NSW")</f>
        <v>NSW</v>
      </c>
      <c r="C2497" s="5">
        <f>IFERROR(__xludf.DUMMYFUNCTION("""COMPUTED_VALUE"""),2750.0)</f>
        <v>2750</v>
      </c>
      <c r="D2497" s="5"/>
      <c r="E2497" s="25">
        <f>IFERROR(__xludf.DUMMYFUNCTION("""COMPUTED_VALUE"""),45880.0)</f>
        <v>45880</v>
      </c>
      <c r="F2497" s="5" t="str">
        <f>IFERROR(__xludf.DUMMYFUNCTION("""COMPUTED_VALUE"""),"Featured")</f>
        <v>Featured</v>
      </c>
      <c r="G2497" s="19" t="str">
        <f>IFERROR(__xludf.DUMMYFUNCTION("""COMPUTED_VALUE"""),"Instant Forms")</f>
        <v>Instant Forms</v>
      </c>
      <c r="H2497" s="19"/>
      <c r="I2497" s="62"/>
      <c r="J2497" s="19"/>
    </row>
    <row r="2498">
      <c r="A2498" s="19" t="str">
        <f>IFERROR(__xludf.DUMMYFUNCTION("""COMPUTED_VALUE"""),"Trent Waters")</f>
        <v>Trent Waters</v>
      </c>
      <c r="B2498" s="19" t="str">
        <f>IFERROR(__xludf.DUMMYFUNCTION("""COMPUTED_VALUE"""),"NSW")</f>
        <v>NSW</v>
      </c>
      <c r="C2498" s="5" t="str">
        <f>IFERROR(__xludf.DUMMYFUNCTION("""COMPUTED_VALUE"""),"Springwood")</f>
        <v>Springwood</v>
      </c>
      <c r="D2498" s="5" t="str">
        <f>IFERROR(__xludf.DUMMYFUNCTION("""COMPUTED_VALUE"""),"5 Pitt Street Springwood NSW 2777")</f>
        <v>5 Pitt Street Springwood NSW 2777</v>
      </c>
      <c r="E2498" s="25">
        <f>IFERROR(__xludf.DUMMYFUNCTION("""COMPUTED_VALUE"""),45905.0)</f>
        <v>45905</v>
      </c>
      <c r="F2498" s="5" t="str">
        <f>IFERROR(__xludf.DUMMYFUNCTION("""COMPUTED_VALUE"""),"Featured")</f>
        <v>Featured</v>
      </c>
      <c r="G2498" s="19" t="str">
        <f>IFERROR(__xludf.DUMMYFUNCTION("""COMPUTED_VALUE"""),"Instant Forms")</f>
        <v>Instant Forms</v>
      </c>
      <c r="H2498" s="19"/>
      <c r="I2498" s="62"/>
      <c r="J2498" s="19"/>
    </row>
    <row r="2499">
      <c r="A2499" s="19" t="str">
        <f>IFERROR(__xludf.DUMMYFUNCTION("""COMPUTED_VALUE"""),"Trent Waters")</f>
        <v>Trent Waters</v>
      </c>
      <c r="B2499" s="19" t="str">
        <f>IFERROR(__xludf.DUMMYFUNCTION("""COMPUTED_VALUE"""),"NSW")</f>
        <v>NSW</v>
      </c>
      <c r="C2499" s="5" t="str">
        <f>IFERROR(__xludf.DUMMYFUNCTION("""COMPUTED_VALUE"""),"Penrith")</f>
        <v>Penrith</v>
      </c>
      <c r="D2499" s="5"/>
      <c r="E2499" s="25">
        <f>IFERROR(__xludf.DUMMYFUNCTION("""COMPUTED_VALUE"""),45916.0)</f>
        <v>45916</v>
      </c>
      <c r="F2499" s="5">
        <f>IFERROR(__xludf.DUMMYFUNCTION("""COMPUTED_VALUE"""),6.0)</f>
        <v>6</v>
      </c>
      <c r="G2499" s="19" t="str">
        <f>IFERROR(__xludf.DUMMYFUNCTION("""COMPUTED_VALUE"""),"Instant Forms")</f>
        <v>Instant Forms</v>
      </c>
      <c r="H2499" s="19" t="str">
        <f>IFERROR(__xludf.DUMMYFUNCTION("""COMPUTED_VALUE"""),"Tony eid")</f>
        <v>Tony eid</v>
      </c>
      <c r="I2499" s="62"/>
      <c r="J2499" s="19"/>
    </row>
    <row r="2500">
      <c r="A2500" s="19" t="str">
        <f>IFERROR(__xludf.DUMMYFUNCTION("""COMPUTED_VALUE"""),"Trent Waters")</f>
        <v>Trent Waters</v>
      </c>
      <c r="B2500" s="19" t="str">
        <f>IFERROR(__xludf.DUMMYFUNCTION("""COMPUTED_VALUE"""),"NSW")</f>
        <v>NSW</v>
      </c>
      <c r="C2500" s="5" t="str">
        <f>IFERROR(__xludf.DUMMYFUNCTION("""COMPUTED_VALUE"""),"Claremount Meadows")</f>
        <v>Claremount Meadows</v>
      </c>
      <c r="D2500" s="5" t="str">
        <f>IFERROR(__xludf.DUMMYFUNCTION("""COMPUTED_VALUE"""),"9 Prairie Glen Claremont Meadows NSW 2747")</f>
        <v>9 Prairie Glen Claremont Meadows NSW 2747</v>
      </c>
      <c r="E2500" s="25">
        <f>IFERROR(__xludf.DUMMYFUNCTION("""COMPUTED_VALUE"""),45919.0)</f>
        <v>45919</v>
      </c>
      <c r="F2500" s="5">
        <f>IFERROR(__xludf.DUMMYFUNCTION("""COMPUTED_VALUE"""),8.0)</f>
        <v>8</v>
      </c>
      <c r="G2500" s="19" t="str">
        <f>IFERROR(__xludf.DUMMYFUNCTION("""COMPUTED_VALUE"""),"Instant Forms")</f>
        <v>Instant Forms</v>
      </c>
      <c r="H2500" s="19" t="str">
        <f>IFERROR(__xludf.DUMMYFUNCTION("""COMPUTED_VALUE"""),"Stephanie Smith")</f>
        <v>Stephanie Smith</v>
      </c>
      <c r="I2500" s="62"/>
      <c r="J2500" s="19"/>
    </row>
    <row r="2501">
      <c r="A2501" s="19" t="str">
        <f>IFERROR(__xludf.DUMMYFUNCTION("""COMPUTED_VALUE"""),"Trent Waters")</f>
        <v>Trent Waters</v>
      </c>
      <c r="B2501" s="19" t="str">
        <f>IFERROR(__xludf.DUMMYFUNCTION("""COMPUTED_VALUE"""),"NSW")</f>
        <v>NSW</v>
      </c>
      <c r="C2501" s="5" t="str">
        <f>IFERROR(__xludf.DUMMYFUNCTION("""COMPUTED_VALUE"""),"Glenbrook")</f>
        <v>Glenbrook</v>
      </c>
      <c r="D2501" s="5" t="str">
        <f>IFERROR(__xludf.DUMMYFUNCTION("""COMPUTED_VALUE"""),"17E Brookdale Terrace Glenbrook NSW 2773")</f>
        <v>17E Brookdale Terrace Glenbrook NSW 2773</v>
      </c>
      <c r="E2501" s="25">
        <f>IFERROR(__xludf.DUMMYFUNCTION("""COMPUTED_VALUE"""),45925.0)</f>
        <v>45925</v>
      </c>
      <c r="F2501" s="5">
        <f>IFERROR(__xludf.DUMMYFUNCTION("""COMPUTED_VALUE"""),6.0)</f>
        <v>6</v>
      </c>
      <c r="G2501" s="19" t="str">
        <f>IFERROR(__xludf.DUMMYFUNCTION("""COMPUTED_VALUE"""),"Instant Forms")</f>
        <v>Instant Forms</v>
      </c>
      <c r="H2501" s="19" t="str">
        <f>IFERROR(__xludf.DUMMYFUNCTION("""COMPUTED_VALUE"""),"Shane Mills")</f>
        <v>Shane Mills</v>
      </c>
      <c r="I2501" s="62"/>
      <c r="J2501" s="19"/>
    </row>
    <row r="2502">
      <c r="A2502" s="19" t="str">
        <f>IFERROR(__xludf.DUMMYFUNCTION("""COMPUTED_VALUE"""),"Trent Waters")</f>
        <v>Trent Waters</v>
      </c>
      <c r="B2502" s="19" t="str">
        <f>IFERROR(__xludf.DUMMYFUNCTION("""COMPUTED_VALUE"""),"NSW")</f>
        <v>NSW</v>
      </c>
      <c r="C2502" s="5" t="str">
        <f>IFERROR(__xludf.DUMMYFUNCTION("""COMPUTED_VALUE"""),"Glenmore Park")</f>
        <v>Glenmore Park</v>
      </c>
      <c r="D2502" s="5" t="str">
        <f>IFERROR(__xludf.DUMMYFUNCTION("""COMPUTED_VALUE"""),"62 Highdale Terrace Glenmore Park NSW 2745")</f>
        <v>62 Highdale Terrace Glenmore Park NSW 2745</v>
      </c>
      <c r="E2502" s="25">
        <f>IFERROR(__xludf.DUMMYFUNCTION("""COMPUTED_VALUE"""),45929.0)</f>
        <v>45929</v>
      </c>
      <c r="F2502" s="5">
        <f>IFERROR(__xludf.DUMMYFUNCTION("""COMPUTED_VALUE"""),8.0)</f>
        <v>8</v>
      </c>
      <c r="G2502" s="19" t="str">
        <f>IFERROR(__xludf.DUMMYFUNCTION("""COMPUTED_VALUE"""),"Instant Forms")</f>
        <v>Instant Forms</v>
      </c>
      <c r="H2502" s="19" t="str">
        <f>IFERROR(__xludf.DUMMYFUNCTION("""COMPUTED_VALUE"""),"Lisa Hansen")</f>
        <v>Lisa Hansen</v>
      </c>
      <c r="I2502" s="62"/>
      <c r="J2502" s="19"/>
    </row>
    <row r="2503">
      <c r="A2503" s="19" t="str">
        <f>IFERROR(__xludf.DUMMYFUNCTION("""COMPUTED_VALUE"""),"Trent Waters")</f>
        <v>Trent Waters</v>
      </c>
      <c r="B2503" s="19" t="str">
        <f>IFERROR(__xludf.DUMMYFUNCTION("""COMPUTED_VALUE"""),"NSW")</f>
        <v>NSW</v>
      </c>
      <c r="C2503" s="5" t="str">
        <f>IFERROR(__xludf.DUMMYFUNCTION("""COMPUTED_VALUE"""),"Glenbrook")</f>
        <v>Glenbrook</v>
      </c>
      <c r="D2503" s="5" t="str">
        <f>IFERROR(__xludf.DUMMYFUNCTION("""COMPUTED_VALUE"""),"22 Levy Street Glenbrook NSW 2773")</f>
        <v>22 Levy Street Glenbrook NSW 2773</v>
      </c>
      <c r="E2503" s="25">
        <f>IFERROR(__xludf.DUMMYFUNCTION("""COMPUTED_VALUE"""),45930.0)</f>
        <v>45930</v>
      </c>
      <c r="F2503" s="5">
        <f>IFERROR(__xludf.DUMMYFUNCTION("""COMPUTED_VALUE"""),6.0)</f>
        <v>6</v>
      </c>
      <c r="G2503" s="19" t="str">
        <f>IFERROR(__xludf.DUMMYFUNCTION("""COMPUTED_VALUE"""),"Instant Forms")</f>
        <v>Instant Forms</v>
      </c>
      <c r="H2503" s="19" t="str">
        <f>IFERROR(__xludf.DUMMYFUNCTION("""COMPUTED_VALUE"""),"SYDNEY RESTORATION COMPANY (Greg Brown)")</f>
        <v>SYDNEY RESTORATION COMPANY (Greg Brown)</v>
      </c>
      <c r="I2503" s="62"/>
      <c r="J2503" s="19"/>
    </row>
    <row r="2504">
      <c r="A2504" s="19" t="str">
        <f>IFERROR(__xludf.DUMMYFUNCTION("""COMPUTED_VALUE"""),"Trent Waters")</f>
        <v>Trent Waters</v>
      </c>
      <c r="B2504" s="19" t="str">
        <f>IFERROR(__xludf.DUMMYFUNCTION("""COMPUTED_VALUE"""),"NSW")</f>
        <v>NSW</v>
      </c>
      <c r="C2504" s="5" t="str">
        <f>IFERROR(__xludf.DUMMYFUNCTION("""COMPUTED_VALUE"""),"Jordan Springs")</f>
        <v>Jordan Springs</v>
      </c>
      <c r="D2504" s="5" t="str">
        <f>IFERROR(__xludf.DUMMYFUNCTION("""COMPUTED_VALUE"""),"16 Tedbury Road Jordan Springs NSW 2747")</f>
        <v>16 Tedbury Road Jordan Springs NSW 2747</v>
      </c>
      <c r="E2504" s="25">
        <f>IFERROR(__xludf.DUMMYFUNCTION("""COMPUTED_VALUE"""),45930.0)</f>
        <v>45930</v>
      </c>
      <c r="F2504" s="5">
        <f>IFERROR(__xludf.DUMMYFUNCTION("""COMPUTED_VALUE"""),8.0)</f>
        <v>8</v>
      </c>
      <c r="G2504" s="19" t="str">
        <f>IFERROR(__xludf.DUMMYFUNCTION("""COMPUTED_VALUE"""),"Instant Forms")</f>
        <v>Instant Forms</v>
      </c>
      <c r="H2504" s="19" t="str">
        <f>IFERROR(__xludf.DUMMYFUNCTION("""COMPUTED_VALUE"""),"Kerry Palejs")</f>
        <v>Kerry Palejs</v>
      </c>
      <c r="I2504" s="62"/>
      <c r="J2504" s="19"/>
    </row>
    <row r="2505">
      <c r="A2505" s="19" t="str">
        <f>IFERROR(__xludf.DUMMYFUNCTION("""COMPUTED_VALUE"""),"Trent Waters")</f>
        <v>Trent Waters</v>
      </c>
      <c r="B2505" s="19" t="str">
        <f>IFERROR(__xludf.DUMMYFUNCTION("""COMPUTED_VALUE"""),"NSW")</f>
        <v>NSW</v>
      </c>
      <c r="C2505" s="5" t="str">
        <f>IFERROR(__xludf.DUMMYFUNCTION("""COMPUTED_VALUE"""),"Glenmore Park")</f>
        <v>Glenmore Park</v>
      </c>
      <c r="D2505" s="5" t="str">
        <f>IFERROR(__xludf.DUMMYFUNCTION("""COMPUTED_VALUE"""),"20 Monteray Terrace Glenmore Park NSW 2745")</f>
        <v>20 Monteray Terrace Glenmore Park NSW 2745</v>
      </c>
      <c r="E2505" s="25">
        <f>IFERROR(__xludf.DUMMYFUNCTION("""COMPUTED_VALUE"""),45931.0)</f>
        <v>45931</v>
      </c>
      <c r="F2505" s="5">
        <f>IFERROR(__xludf.DUMMYFUNCTION("""COMPUTED_VALUE"""),8.0)</f>
        <v>8</v>
      </c>
      <c r="G2505" s="19" t="str">
        <f>IFERROR(__xludf.DUMMYFUNCTION("""COMPUTED_VALUE"""),"Instant Forms")</f>
        <v>Instant Forms</v>
      </c>
      <c r="H2505" s="19" t="str">
        <f>IFERROR(__xludf.DUMMYFUNCTION("""COMPUTED_VALUE"""),"Cherine Constanti")</f>
        <v>Cherine Constanti</v>
      </c>
      <c r="I2505" s="62"/>
      <c r="J2505" s="19"/>
    </row>
    <row r="2506">
      <c r="A2506" s="19" t="str">
        <f>IFERROR(__xludf.DUMMYFUNCTION("""COMPUTED_VALUE"""),"Trent Waters")</f>
        <v>Trent Waters</v>
      </c>
      <c r="B2506" s="19" t="str">
        <f>IFERROR(__xludf.DUMMYFUNCTION("""COMPUTED_VALUE"""),"NSW")</f>
        <v>NSW</v>
      </c>
      <c r="C2506" s="5" t="str">
        <f>IFERROR(__xludf.DUMMYFUNCTION("""COMPUTED_VALUE"""),"Kingswood")</f>
        <v>Kingswood</v>
      </c>
      <c r="D2506" s="5" t="str">
        <f>IFERROR(__xludf.DUMMYFUNCTION("""COMPUTED_VALUE"""),"26 Plunkett Crescent Kingswood NSW 2747")</f>
        <v>26 Plunkett Crescent Kingswood NSW 2747</v>
      </c>
      <c r="E2506" s="25">
        <f>IFERROR(__xludf.DUMMYFUNCTION("""COMPUTED_VALUE"""),45933.0)</f>
        <v>45933</v>
      </c>
      <c r="F2506" s="5">
        <f>IFERROR(__xludf.DUMMYFUNCTION("""COMPUTED_VALUE"""),8.0)</f>
        <v>8</v>
      </c>
      <c r="G2506" s="19" t="str">
        <f>IFERROR(__xludf.DUMMYFUNCTION("""COMPUTED_VALUE"""),"Instant Forms")</f>
        <v>Instant Forms</v>
      </c>
      <c r="H2506" s="19" t="str">
        <f>IFERROR(__xludf.DUMMYFUNCTION("""COMPUTED_VALUE"""),"Raelene O'Mullane")</f>
        <v>Raelene O'Mullane</v>
      </c>
      <c r="I2506" s="62"/>
      <c r="J2506" s="19"/>
    </row>
    <row r="2507">
      <c r="A2507" s="19" t="str">
        <f>IFERROR(__xludf.DUMMYFUNCTION("""COMPUTED_VALUE"""),"Trent Waters")</f>
        <v>Trent Waters</v>
      </c>
      <c r="B2507" s="19" t="str">
        <f>IFERROR(__xludf.DUMMYFUNCTION("""COMPUTED_VALUE"""),"NSW")</f>
        <v>NSW</v>
      </c>
      <c r="C2507" s="5" t="str">
        <f>IFERROR(__xludf.DUMMYFUNCTION("""COMPUTED_VALUE"""),"South Penrith")</f>
        <v>South Penrith</v>
      </c>
      <c r="D2507" s="5" t="str">
        <f>IFERROR(__xludf.DUMMYFUNCTION("""COMPUTED_VALUE"""),"Taloma, South Penrith, 2750")</f>
        <v>Taloma, South Penrith, 2750</v>
      </c>
      <c r="E2507" s="27">
        <f>IFERROR(__xludf.DUMMYFUNCTION("""COMPUTED_VALUE"""),45910.0)</f>
        <v>45910</v>
      </c>
      <c r="F2507" s="5" t="str">
        <f>IFERROR(__xludf.DUMMYFUNCTION("""COMPUTED_VALUE"""),"Featured")</f>
        <v>Featured</v>
      </c>
      <c r="G2507" s="19" t="str">
        <f>IFERROR(__xludf.DUMMYFUNCTION("""COMPUTED_VALUE"""),"Meta Commission Report")</f>
        <v>Meta Commission Report</v>
      </c>
      <c r="H2507" s="19" t="str">
        <f>IFERROR(__xludf.DUMMYFUNCTION("""COMPUTED_VALUE"""),"Matthew O'Farrell")</f>
        <v>Matthew O'Farrell</v>
      </c>
      <c r="I2507" s="62"/>
      <c r="J2507" s="19"/>
    </row>
    <row r="2508">
      <c r="A2508" s="19" t="str">
        <f>IFERROR(__xludf.DUMMYFUNCTION("""COMPUTED_VALUE"""),"Trent Waters")</f>
        <v>Trent Waters</v>
      </c>
      <c r="B2508" s="19" t="str">
        <f>IFERROR(__xludf.DUMMYFUNCTION("""COMPUTED_VALUE"""),"NSW")</f>
        <v>NSW</v>
      </c>
      <c r="C2508" s="5" t="str">
        <f>IFERROR(__xludf.DUMMYFUNCTION("""COMPUTED_VALUE"""),"Jamisontown")</f>
        <v>Jamisontown</v>
      </c>
      <c r="D2508" s="5" t="str">
        <f>IFERROR(__xludf.DUMMYFUNCTION("""COMPUTED_VALUE"""),"4 Anvil Place Jamisontown NSW 2750")</f>
        <v>4 Anvil Place Jamisontown NSW 2750</v>
      </c>
      <c r="E2508" s="25">
        <f>IFERROR(__xludf.DUMMYFUNCTION("""COMPUTED_VALUE"""),45939.0)</f>
        <v>45939</v>
      </c>
      <c r="F2508" s="5">
        <f>IFERROR(__xludf.DUMMYFUNCTION("""COMPUTED_VALUE"""),8.0)</f>
        <v>8</v>
      </c>
      <c r="G2508" s="19" t="str">
        <f>IFERROR(__xludf.DUMMYFUNCTION("""COMPUTED_VALUE"""),"Instant Forms")</f>
        <v>Instant Forms</v>
      </c>
      <c r="H2508" s="19"/>
      <c r="I2508" s="62"/>
      <c r="J2508" s="19"/>
    </row>
    <row r="2509">
      <c r="A2509" s="19" t="str">
        <f>IFERROR(__xludf.DUMMYFUNCTION("""COMPUTED_VALUE"""),"Trent Waters")</f>
        <v>Trent Waters</v>
      </c>
      <c r="B2509" s="19" t="str">
        <f>IFERROR(__xludf.DUMMYFUNCTION("""COMPUTED_VALUE"""),"NSW")</f>
        <v>NSW</v>
      </c>
      <c r="C2509" s="5" t="str">
        <f>IFERROR(__xludf.DUMMYFUNCTION("""COMPUTED_VALUE"""),"glenmore park")</f>
        <v>glenmore park</v>
      </c>
      <c r="D2509" s="5" t="str">
        <f>IFERROR(__xludf.DUMMYFUNCTION("""COMPUTED_VALUE"""),"12 loch ave glenmore park")</f>
        <v>12 loch ave glenmore park</v>
      </c>
      <c r="E2509" s="25">
        <f>IFERROR(__xludf.DUMMYFUNCTION("""COMPUTED_VALUE"""),45948.0)</f>
        <v>45948</v>
      </c>
      <c r="F2509" s="5" t="str">
        <f>IFERROR(__xludf.DUMMYFUNCTION("""COMPUTED_VALUE"""),"Featured")</f>
        <v>Featured</v>
      </c>
      <c r="G2509" s="19" t="str">
        <f>IFERROR(__xludf.DUMMYFUNCTION("""COMPUTED_VALUE"""),"Commission Comparison")</f>
        <v>Commission Comparison</v>
      </c>
      <c r="H2509" s="19"/>
      <c r="I2509" s="62"/>
      <c r="J2509" s="19"/>
    </row>
    <row r="2510">
      <c r="A2510" s="19" t="str">
        <f>IFERROR(__xludf.DUMMYFUNCTION("""COMPUTED_VALUE"""),"Trent Waters")</f>
        <v>Trent Waters</v>
      </c>
      <c r="B2510" s="19" t="str">
        <f>IFERROR(__xludf.DUMMYFUNCTION("""COMPUTED_VALUE"""),"NSW")</f>
        <v>NSW</v>
      </c>
      <c r="C2510" s="5" t="str">
        <f>IFERROR(__xludf.DUMMYFUNCTION("""COMPUTED_VALUE"""),"Erskine park")</f>
        <v>Erskine park</v>
      </c>
      <c r="D2510" s="5" t="str">
        <f>IFERROR(__xludf.DUMMYFUNCTION("""COMPUTED_VALUE"""),"74 Fantail Cres")</f>
        <v>74 Fantail Cres</v>
      </c>
      <c r="E2510" s="25">
        <f>IFERROR(__xludf.DUMMYFUNCTION("""COMPUTED_VALUE"""),45950.0)</f>
        <v>45950</v>
      </c>
      <c r="F2510" s="5" t="str">
        <f>IFERROR(__xludf.DUMMYFUNCTION("""COMPUTED_VALUE"""),"Featured")</f>
        <v>Featured</v>
      </c>
      <c r="G2510" s="19" t="str">
        <f>IFERROR(__xludf.DUMMYFUNCTION("""COMPUTED_VALUE"""),"Commission Comparison")</f>
        <v>Commission Comparison</v>
      </c>
      <c r="H2510" s="19"/>
      <c r="I2510" s="62"/>
      <c r="J2510" s="19"/>
    </row>
    <row r="2511">
      <c r="A2511" s="19" t="str">
        <f>IFERROR(__xludf.DUMMYFUNCTION("""COMPUTED_VALUE"""),"Trent Waters")</f>
        <v>Trent Waters</v>
      </c>
      <c r="B2511" s="19" t="str">
        <f>IFERROR(__xludf.DUMMYFUNCTION("""COMPUTED_VALUE"""),"NSW")</f>
        <v>NSW</v>
      </c>
      <c r="C2511" s="5" t="str">
        <f>IFERROR(__xludf.DUMMYFUNCTION("""COMPUTED_VALUE"""),"blaxland")</f>
        <v>blaxland</v>
      </c>
      <c r="D2511" s="5" t="str">
        <f>IFERROR(__xludf.DUMMYFUNCTION("""COMPUTED_VALUE"""),"63 Bellbird Crescent Blaxland NSW 2774")</f>
        <v>63 Bellbird Crescent Blaxland NSW 2774</v>
      </c>
      <c r="E2511" s="25">
        <f>IFERROR(__xludf.DUMMYFUNCTION("""COMPUTED_VALUE"""),45952.0)</f>
        <v>45952</v>
      </c>
      <c r="F2511" s="5">
        <f>IFERROR(__xludf.DUMMYFUNCTION("""COMPUTED_VALUE"""),8.0)</f>
        <v>8</v>
      </c>
      <c r="G2511" s="19" t="str">
        <f>IFERROR(__xludf.DUMMYFUNCTION("""COMPUTED_VALUE"""),"Instant Forms")</f>
        <v>Instant Forms</v>
      </c>
      <c r="H2511" s="19"/>
      <c r="I2511" s="62"/>
      <c r="J2511" s="19"/>
    </row>
    <row r="2512">
      <c r="A2512" s="19" t="str">
        <f>IFERROR(__xludf.DUMMYFUNCTION("""COMPUTED_VALUE"""),"Trent Waters")</f>
        <v>Trent Waters</v>
      </c>
      <c r="B2512" s="19" t="str">
        <f>IFERROR(__xludf.DUMMYFUNCTION("""COMPUTED_VALUE"""),"NSW")</f>
        <v>NSW</v>
      </c>
      <c r="C2512" s="5" t="str">
        <f>IFERROR(__xludf.DUMMYFUNCTION("""COMPUTED_VALUE"""),"Jamisontown")</f>
        <v>Jamisontown</v>
      </c>
      <c r="D2512" s="5" t="str">
        <f>IFERROR(__xludf.DUMMYFUNCTION("""COMPUTED_VALUE"""),"14 Haflinger Close")</f>
        <v>14 Haflinger Close</v>
      </c>
      <c r="E2512" s="25">
        <f>IFERROR(__xludf.DUMMYFUNCTION("""COMPUTED_VALUE"""),45953.0)</f>
        <v>45953</v>
      </c>
      <c r="F2512" s="5" t="str">
        <f>IFERROR(__xludf.DUMMYFUNCTION("""COMPUTED_VALUE"""),"Featured")</f>
        <v>Featured</v>
      </c>
      <c r="G2512" s="19" t="str">
        <f>IFERROR(__xludf.DUMMYFUNCTION("""COMPUTED_VALUE"""),"Commission Comparison")</f>
        <v>Commission Comparison</v>
      </c>
      <c r="H2512" s="19"/>
      <c r="I2512" s="62"/>
      <c r="J2512" s="19"/>
    </row>
    <row r="2513">
      <c r="A2513" s="19" t="str">
        <f>IFERROR(__xludf.DUMMYFUNCTION("""COMPUTED_VALUE"""),"Trent Waters")</f>
        <v>Trent Waters</v>
      </c>
      <c r="B2513" s="19" t="str">
        <f>IFERROR(__xludf.DUMMYFUNCTION("""COMPUTED_VALUE"""),"NSW")</f>
        <v>NSW</v>
      </c>
      <c r="C2513" s="5" t="str">
        <f>IFERROR(__xludf.DUMMYFUNCTION("""COMPUTED_VALUE"""),"Penrith")</f>
        <v>Penrith</v>
      </c>
      <c r="D2513" s="5" t="str">
        <f>IFERROR(__xludf.DUMMYFUNCTION("""COMPUTED_VALUE"""),"8/139-141 Stafford Street Penrith NSW 2750")</f>
        <v>8/139-141 Stafford Street Penrith NSW 2750</v>
      </c>
      <c r="E2513" s="25">
        <f>IFERROR(__xludf.DUMMYFUNCTION("""COMPUTED_VALUE"""),45957.0)</f>
        <v>45957</v>
      </c>
      <c r="F2513" s="5" t="str">
        <f>IFERROR(__xludf.DUMMYFUNCTION("""COMPUTED_VALUE"""),"Featured")</f>
        <v>Featured</v>
      </c>
      <c r="G2513" s="19" t="str">
        <f>IFERROR(__xludf.DUMMYFUNCTION("""COMPUTED_VALUE"""),"Commission Comparison")</f>
        <v>Commission Comparison</v>
      </c>
      <c r="H2513" s="19"/>
      <c r="I2513" s="62"/>
      <c r="J2513" s="19"/>
    </row>
    <row r="2514">
      <c r="A2514" s="19" t="str">
        <f>IFERROR(__xludf.DUMMYFUNCTION("""COMPUTED_VALUE"""),"Trent Waters")</f>
        <v>Trent Waters</v>
      </c>
      <c r="B2514" s="19" t="str">
        <f>IFERROR(__xludf.DUMMYFUNCTION("""COMPUTED_VALUE"""),"NSW")</f>
        <v>NSW</v>
      </c>
      <c r="C2514" s="5" t="str">
        <f>IFERROR(__xludf.DUMMYFUNCTION("""COMPUTED_VALUE"""),"South Penrith")</f>
        <v>South Penrith</v>
      </c>
      <c r="D2514" s="5"/>
      <c r="E2514" s="25">
        <f>IFERROR(__xludf.DUMMYFUNCTION("""COMPUTED_VALUE"""),45960.0)</f>
        <v>45960</v>
      </c>
      <c r="F2514" s="5">
        <f>IFERROR(__xludf.DUMMYFUNCTION("""COMPUTED_VALUE"""),5.0)</f>
        <v>5</v>
      </c>
      <c r="G2514" s="19" t="str">
        <f>IFERROR(__xludf.DUMMYFUNCTION("""COMPUTED_VALUE"""),"Instant Forms")</f>
        <v>Instant Forms</v>
      </c>
      <c r="H2514" s="19"/>
      <c r="I2514" s="62"/>
      <c r="J2514" s="19"/>
    </row>
    <row r="2515">
      <c r="A2515" s="19" t="str">
        <f>IFERROR(__xludf.DUMMYFUNCTION("""COMPUTED_VALUE"""),"Trent Waters")</f>
        <v>Trent Waters</v>
      </c>
      <c r="B2515" s="19" t="str">
        <f>IFERROR(__xludf.DUMMYFUNCTION("""COMPUTED_VALUE"""),"NSW")</f>
        <v>NSW</v>
      </c>
      <c r="C2515" s="5" t="str">
        <f>IFERROR(__xludf.DUMMYFUNCTION("""COMPUTED_VALUE"""),"Cambridge Park")</f>
        <v>Cambridge Park</v>
      </c>
      <c r="D2515" s="5" t="str">
        <f>IFERROR(__xludf.DUMMYFUNCTION("""COMPUTED_VALUE"""),"68 Pembroke Street Cambridge Park NSW 2747")</f>
        <v>68 Pembroke Street Cambridge Park NSW 2747</v>
      </c>
      <c r="E2515" s="25">
        <f>IFERROR(__xludf.DUMMYFUNCTION("""COMPUTED_VALUE"""),45962.0)</f>
        <v>45962</v>
      </c>
      <c r="F2515" s="5">
        <f>IFERROR(__xludf.DUMMYFUNCTION("""COMPUTED_VALUE"""),8.0)</f>
        <v>8</v>
      </c>
      <c r="G2515" s="19" t="str">
        <f>IFERROR(__xludf.DUMMYFUNCTION("""COMPUTED_VALUE"""),"Instant Forms")</f>
        <v>Instant Forms</v>
      </c>
      <c r="H2515" s="19"/>
      <c r="I2515" s="62"/>
      <c r="J2515" s="19"/>
    </row>
    <row r="2516">
      <c r="A2516" s="19" t="str">
        <f>IFERROR(__xludf.DUMMYFUNCTION("""COMPUTED_VALUE"""),"Trent Waters")</f>
        <v>Trent Waters</v>
      </c>
      <c r="B2516" s="19" t="str">
        <f>IFERROR(__xludf.DUMMYFUNCTION("""COMPUTED_VALUE"""),"NSW")</f>
        <v>NSW</v>
      </c>
      <c r="C2516" s="5" t="str">
        <f>IFERROR(__xludf.DUMMYFUNCTION("""COMPUTED_VALUE"""),"Kingswood")</f>
        <v>Kingswood</v>
      </c>
      <c r="D2516" s="5" t="str">
        <f>IFERROR(__xludf.DUMMYFUNCTION("""COMPUTED_VALUE"""),"54B Casuarina Circuit Kingswood NSW 2747")</f>
        <v>54B Casuarina Circuit Kingswood NSW 2747</v>
      </c>
      <c r="E2516" s="25">
        <f>IFERROR(__xludf.DUMMYFUNCTION("""COMPUTED_VALUE"""),45962.0)</f>
        <v>45962</v>
      </c>
      <c r="F2516" s="5">
        <f>IFERROR(__xludf.DUMMYFUNCTION("""COMPUTED_VALUE"""),8.0)</f>
        <v>8</v>
      </c>
      <c r="G2516" s="19" t="str">
        <f>IFERROR(__xludf.DUMMYFUNCTION("""COMPUTED_VALUE"""),"Instant Forms")</f>
        <v>Instant Forms</v>
      </c>
      <c r="H2516" s="19"/>
      <c r="I2516" s="62"/>
      <c r="J2516" s="19"/>
    </row>
    <row r="2517">
      <c r="A2517" s="19" t="str">
        <f>IFERROR(__xludf.DUMMYFUNCTION("""COMPUTED_VALUE"""),"Trent Waters")</f>
        <v>Trent Waters</v>
      </c>
      <c r="B2517" s="19" t="str">
        <f>IFERROR(__xludf.DUMMYFUNCTION("""COMPUTED_VALUE"""),"NSW")</f>
        <v>NSW</v>
      </c>
      <c r="C2517" s="5" t="str">
        <f>IFERROR(__xludf.DUMMYFUNCTION("""COMPUTED_VALUE"""),"Emu Plains")</f>
        <v>Emu Plains</v>
      </c>
      <c r="D2517" s="5" t="str">
        <f>IFERROR(__xludf.DUMMYFUNCTION("""COMPUTED_VALUE"""),"7 Brockamin Drive South Penrith NSW 2750")</f>
        <v>7 Brockamin Drive South Penrith NSW 2750</v>
      </c>
      <c r="E2517" s="25">
        <f>IFERROR(__xludf.DUMMYFUNCTION("""COMPUTED_VALUE"""),45972.0)</f>
        <v>45972</v>
      </c>
      <c r="F2517" s="5">
        <f>IFERROR(__xludf.DUMMYFUNCTION("""COMPUTED_VALUE"""),6.0)</f>
        <v>6</v>
      </c>
      <c r="G2517" s="19" t="str">
        <f>IFERROR(__xludf.DUMMYFUNCTION("""COMPUTED_VALUE"""),"Instant Forms")</f>
        <v>Instant Forms</v>
      </c>
      <c r="H2517" s="19" t="str">
        <f>IFERROR(__xludf.DUMMYFUNCTION("""COMPUTED_VALUE"""),"Jenny Cowell")</f>
        <v>Jenny Cowell</v>
      </c>
      <c r="I2517" s="62">
        <f>IFERROR(__xludf.DUMMYFUNCTION("""COMPUTED_VALUE"""),6.1412508979E10)</f>
        <v>61412508979</v>
      </c>
      <c r="J2517" s="19" t="str">
        <f>IFERROR(__xludf.DUMMYFUNCTION("""COMPUTED_VALUE"""),"jencowell65@gmail.com")</f>
        <v>jencowell65@gmail.com</v>
      </c>
    </row>
    <row r="2518">
      <c r="A2518" s="19" t="str">
        <f>IFERROR(__xludf.DUMMYFUNCTION("""COMPUTED_VALUE"""),"Trent Waters")</f>
        <v>Trent Waters</v>
      </c>
      <c r="B2518" s="19" t="str">
        <f>IFERROR(__xludf.DUMMYFUNCTION("""COMPUTED_VALUE"""),"NSW")</f>
        <v>NSW</v>
      </c>
      <c r="C2518" s="5" t="str">
        <f>IFERROR(__xludf.DUMMYFUNCTION("""COMPUTED_VALUE"""),"Blaxland")</f>
        <v>Blaxland</v>
      </c>
      <c r="D2518" s="5" t="str">
        <f>IFERROR(__xludf.DUMMYFUNCTION("""COMPUTED_VALUE"""),"2/36 Wilson Way Blaxland NSW 2774")</f>
        <v>2/36 Wilson Way Blaxland NSW 2774</v>
      </c>
      <c r="E2518" s="5" t="str">
        <f>IFERROR(__xludf.DUMMYFUNCTION("""COMPUTED_VALUE"""),"22/11/2025")</f>
        <v>22/11/2025</v>
      </c>
      <c r="F2518" s="5">
        <f>IFERROR(__xludf.DUMMYFUNCTION("""COMPUTED_VALUE"""),8.0)</f>
        <v>8</v>
      </c>
      <c r="G2518" s="19" t="str">
        <f>IFERROR(__xludf.DUMMYFUNCTION("""COMPUTED_VALUE"""),"Instant Forms")</f>
        <v>Instant Forms</v>
      </c>
      <c r="H2518" s="19" t="str">
        <f>IFERROR(__xludf.DUMMYFUNCTION("""COMPUTED_VALUE"""),"Di Procter")</f>
        <v>Di Procter</v>
      </c>
      <c r="I2518" s="62">
        <f>IFERROR(__xludf.DUMMYFUNCTION("""COMPUTED_VALUE"""),6.1425261113E10)</f>
        <v>61425261113</v>
      </c>
      <c r="J2518" s="19" t="str">
        <f>IFERROR(__xludf.DUMMYFUNCTION("""COMPUTED_VALUE"""),"dprocter5310@gmail.com")</f>
        <v>dprocter5310@gmail.com</v>
      </c>
    </row>
    <row r="2519">
      <c r="A2519" s="19" t="str">
        <f>IFERROR(__xludf.DUMMYFUNCTION("""COMPUTED_VALUE"""),"Trent Waters")</f>
        <v>Trent Waters</v>
      </c>
      <c r="B2519" s="19" t="str">
        <f>IFERROR(__xludf.DUMMYFUNCTION("""COMPUTED_VALUE"""),"NSW")</f>
        <v>NSW</v>
      </c>
      <c r="C2519" s="5" t="str">
        <f>IFERROR(__xludf.DUMMYFUNCTION("""COMPUTED_VALUE"""),"Kingswood")</f>
        <v>Kingswood</v>
      </c>
      <c r="D2519" s="5" t="str">
        <f>IFERROR(__xludf.DUMMYFUNCTION("""COMPUTED_VALUE"""),"26 Plunkett Cres")</f>
        <v>26 Plunkett Cres</v>
      </c>
      <c r="E2519" s="5" t="str">
        <f>IFERROR(__xludf.DUMMYFUNCTION("""COMPUTED_VALUE"""),"27/11/2025")</f>
        <v>27/11/2025</v>
      </c>
      <c r="F2519" s="64">
        <f>IFERROR(__xludf.DUMMYFUNCTION("""COMPUTED_VALUE"""),0.2)</f>
        <v>0.2</v>
      </c>
      <c r="G2519" s="19" t="str">
        <f>IFERROR(__xludf.DUMMYFUNCTION("""COMPUTED_VALUE"""),"Commission Comparison")</f>
        <v>Commission Comparison</v>
      </c>
      <c r="H2519" s="19" t="str">
        <f>IFERROR(__xludf.DUMMYFUNCTION("""COMPUTED_VALUE"""),"Raelene O'Mullane")</f>
        <v>Raelene O'Mullane</v>
      </c>
      <c r="I2519" s="62">
        <f>IFERROR(__xludf.DUMMYFUNCTION("""COMPUTED_VALUE"""),6.1468998979E10)</f>
        <v>61468998979</v>
      </c>
      <c r="J2519" s="19" t="str">
        <f>IFERROR(__xludf.DUMMYFUNCTION("""COMPUTED_VALUE"""),"raeleneomullane@yahoo.com.au")</f>
        <v>raeleneomullane@yahoo.com.au</v>
      </c>
    </row>
    <row r="2520">
      <c r="A2520" s="19" t="str">
        <f>IFERROR(__xludf.DUMMYFUNCTION("""COMPUTED_VALUE"""),"Trent Waters")</f>
        <v>Trent Waters</v>
      </c>
      <c r="B2520" s="19" t="str">
        <f>IFERROR(__xludf.DUMMYFUNCTION("""COMPUTED_VALUE"""),"NSW")</f>
        <v>NSW</v>
      </c>
      <c r="C2520" s="5" t="str">
        <f>IFERROR(__xludf.DUMMYFUNCTION("""COMPUTED_VALUE"""),"Jamisontown")</f>
        <v>Jamisontown</v>
      </c>
      <c r="D2520" s="5" t="str">
        <f>IFERROR(__xludf.DUMMYFUNCTION("""COMPUTED_VALUE"""),"1/7 Thurwood Avenue Jamisontown NSW 2750")</f>
        <v>1/7 Thurwood Avenue Jamisontown NSW 2750</v>
      </c>
      <c r="E2520" s="5" t="str">
        <f>IFERROR(__xludf.DUMMYFUNCTION("""COMPUTED_VALUE"""),"29/11/2025")</f>
        <v>29/11/2025</v>
      </c>
      <c r="F2520" s="64">
        <f>IFERROR(__xludf.DUMMYFUNCTION("""COMPUTED_VALUE"""),0.2)</f>
        <v>0.2</v>
      </c>
      <c r="G2520" s="19" t="str">
        <f>IFERROR(__xludf.DUMMYFUNCTION("""COMPUTED_VALUE"""),"Instant Forms")</f>
        <v>Instant Forms</v>
      </c>
      <c r="H2520" s="19" t="str">
        <f>IFERROR(__xludf.DUMMYFUNCTION("""COMPUTED_VALUE"""),"Alexa Thomas")</f>
        <v>Alexa Thomas</v>
      </c>
      <c r="I2520" s="62">
        <f>IFERROR(__xludf.DUMMYFUNCTION("""COMPUTED_VALUE"""),6.1435036752E10)</f>
        <v>61435036752</v>
      </c>
      <c r="J2520" s="19" t="str">
        <f>IFERROR(__xludf.DUMMYFUNCTION("""COMPUTED_VALUE"""),"alexa7th@gmail.com")</f>
        <v>alexa7th@gmail.com</v>
      </c>
    </row>
    <row r="2521">
      <c r="A2521" s="19" t="str">
        <f>IFERROR(__xludf.DUMMYFUNCTION("""COMPUTED_VALUE"""),"")</f>
        <v/>
      </c>
      <c r="B2521" s="19" t="str">
        <f>IFERROR(__xludf.DUMMYFUNCTION("""COMPUTED_VALUE"""),"")</f>
        <v/>
      </c>
      <c r="C2521" s="5" t="str">
        <f>IFERROR(__xludf.DUMMYFUNCTION("""COMPUTED_VALUE"""),"")</f>
        <v/>
      </c>
      <c r="D2521" s="5" t="str">
        <f>IFERROR(__xludf.DUMMYFUNCTION("""COMPUTED_VALUE"""),"")</f>
        <v/>
      </c>
      <c r="E2521" s="5" t="str">
        <f>IFERROR(__xludf.DUMMYFUNCTION("""COMPUTED_VALUE"""),"")</f>
        <v/>
      </c>
      <c r="F2521" s="5" t="str">
        <f>IFERROR(__xludf.DUMMYFUNCTION("""COMPUTED_VALUE"""),"")</f>
        <v/>
      </c>
      <c r="G2521" s="19" t="str">
        <f>IFERROR(__xludf.DUMMYFUNCTION("""COMPUTED_VALUE"""),"")</f>
        <v/>
      </c>
      <c r="H2521" s="19" t="str">
        <f>IFERROR(__xludf.DUMMYFUNCTION("""COMPUTED_VALUE"""),"")</f>
        <v/>
      </c>
      <c r="I2521" s="62" t="str">
        <f>IFERROR(__xludf.DUMMYFUNCTION("""COMPUTED_VALUE"""),"")</f>
        <v/>
      </c>
      <c r="J2521" s="19" t="str">
        <f>IFERROR(__xludf.DUMMYFUNCTION("""COMPUTED_VALUE"""),"")</f>
        <v/>
      </c>
    </row>
    <row r="2522">
      <c r="A2522" s="19" t="str">
        <f>IFERROR(__xludf.DUMMYFUNCTION("""COMPUTED_VALUE"""),"")</f>
        <v/>
      </c>
      <c r="B2522" s="19" t="str">
        <f>IFERROR(__xludf.DUMMYFUNCTION("""COMPUTED_VALUE"""),"")</f>
        <v/>
      </c>
      <c r="C2522" s="5" t="str">
        <f>IFERROR(__xludf.DUMMYFUNCTION("""COMPUTED_VALUE"""),"")</f>
        <v/>
      </c>
      <c r="D2522" s="5" t="str">
        <f>IFERROR(__xludf.DUMMYFUNCTION("""COMPUTED_VALUE"""),"")</f>
        <v/>
      </c>
      <c r="E2522" s="5" t="str">
        <f>IFERROR(__xludf.DUMMYFUNCTION("""COMPUTED_VALUE"""),"")</f>
        <v/>
      </c>
      <c r="F2522" s="5" t="str">
        <f>IFERROR(__xludf.DUMMYFUNCTION("""COMPUTED_VALUE"""),"")</f>
        <v/>
      </c>
      <c r="G2522" s="19" t="str">
        <f>IFERROR(__xludf.DUMMYFUNCTION("""COMPUTED_VALUE"""),"")</f>
        <v/>
      </c>
      <c r="H2522" s="19" t="str">
        <f>IFERROR(__xludf.DUMMYFUNCTION("""COMPUTED_VALUE"""),"")</f>
        <v/>
      </c>
      <c r="I2522" s="62" t="str">
        <f>IFERROR(__xludf.DUMMYFUNCTION("""COMPUTED_VALUE"""),"")</f>
        <v/>
      </c>
      <c r="J2522" s="19" t="str">
        <f>IFERROR(__xludf.DUMMYFUNCTION("""COMPUTED_VALUE"""),"")</f>
        <v/>
      </c>
    </row>
    <row r="2523">
      <c r="A2523" s="19" t="str">
        <f>IFERROR(__xludf.DUMMYFUNCTION("""COMPUTED_VALUE"""),"Troy Urquhart")</f>
        <v>Troy Urquhart</v>
      </c>
      <c r="B2523" s="19" t="str">
        <f>IFERROR(__xludf.DUMMYFUNCTION("""COMPUTED_VALUE"""),"QLD")</f>
        <v>QLD</v>
      </c>
      <c r="C2523" s="5" t="str">
        <f>IFERROR(__xludf.DUMMYFUNCTION("""COMPUTED_VALUE"""),"Thornlands")</f>
        <v>Thornlands</v>
      </c>
      <c r="D2523" s="5" t="str">
        <f>IFERROR(__xludf.DUMMYFUNCTION("""COMPUTED_VALUE"""),"86A Kinross Road Thornlands QLD 4164")</f>
        <v>86A Kinross Road Thornlands QLD 4164</v>
      </c>
      <c r="E2523" s="25">
        <f>IFERROR(__xludf.DUMMYFUNCTION("""COMPUTED_VALUE"""),45911.0)</f>
        <v>45911</v>
      </c>
      <c r="F2523" s="5">
        <f>IFERROR(__xludf.DUMMYFUNCTION("""COMPUTED_VALUE"""),8.0)</f>
        <v>8</v>
      </c>
      <c r="G2523" s="19" t="str">
        <f>IFERROR(__xludf.DUMMYFUNCTION("""COMPUTED_VALUE"""),"Instant Forms")</f>
        <v>Instant Forms</v>
      </c>
      <c r="H2523" s="19" t="str">
        <f>IFERROR(__xludf.DUMMYFUNCTION("""COMPUTED_VALUE"""),"Rachael Harden")</f>
        <v>Rachael Harden</v>
      </c>
      <c r="I2523" s="62"/>
      <c r="J2523" s="19"/>
    </row>
    <row r="2524">
      <c r="A2524" s="19" t="str">
        <f>IFERROR(__xludf.DUMMYFUNCTION("""COMPUTED_VALUE"""),"Troy Urquhart")</f>
        <v>Troy Urquhart</v>
      </c>
      <c r="B2524" s="19" t="str">
        <f>IFERROR(__xludf.DUMMYFUNCTION("""COMPUTED_VALUE"""),"QLD")</f>
        <v>QLD</v>
      </c>
      <c r="C2524" s="5" t="str">
        <f>IFERROR(__xludf.DUMMYFUNCTION("""COMPUTED_VALUE"""),"Cleveland")</f>
        <v>Cleveland</v>
      </c>
      <c r="D2524" s="5"/>
      <c r="E2524" s="25">
        <f>IFERROR(__xludf.DUMMYFUNCTION("""COMPUTED_VALUE"""),45916.0)</f>
        <v>45916</v>
      </c>
      <c r="F2524" s="5">
        <f>IFERROR(__xludf.DUMMYFUNCTION("""COMPUTED_VALUE"""),6.0)</f>
        <v>6</v>
      </c>
      <c r="G2524" s="19" t="str">
        <f>IFERROR(__xludf.DUMMYFUNCTION("""COMPUTED_VALUE"""),"Instant Forms")</f>
        <v>Instant Forms</v>
      </c>
      <c r="H2524" s="19" t="str">
        <f>IFERROR(__xludf.DUMMYFUNCTION("""COMPUTED_VALUE"""),"Michelle D'Arcy")</f>
        <v>Michelle D'Arcy</v>
      </c>
      <c r="I2524" s="62"/>
      <c r="J2524" s="19"/>
    </row>
    <row r="2525">
      <c r="A2525" s="19" t="str">
        <f>IFERROR(__xludf.DUMMYFUNCTION("""COMPUTED_VALUE"""),"Troy Urquhart")</f>
        <v>Troy Urquhart</v>
      </c>
      <c r="B2525" s="19" t="str">
        <f>IFERROR(__xludf.DUMMYFUNCTION("""COMPUTED_VALUE"""),"QLD")</f>
        <v>QLD</v>
      </c>
      <c r="C2525" s="5" t="str">
        <f>IFERROR(__xludf.DUMMYFUNCTION("""COMPUTED_VALUE"""),"Cleveland")</f>
        <v>Cleveland</v>
      </c>
      <c r="D2525" s="5" t="str">
        <f>IFERROR(__xludf.DUMMYFUNCTION("""COMPUTED_VALUE"""),"26 Topatig Street Cleveland QLD 4163")</f>
        <v>26 Topatig Street Cleveland QLD 4163</v>
      </c>
      <c r="E2525" s="25">
        <f>IFERROR(__xludf.DUMMYFUNCTION("""COMPUTED_VALUE"""),45922.0)</f>
        <v>45922</v>
      </c>
      <c r="F2525" s="5">
        <f>IFERROR(__xludf.DUMMYFUNCTION("""COMPUTED_VALUE"""),8.0)</f>
        <v>8</v>
      </c>
      <c r="G2525" s="19" t="str">
        <f>IFERROR(__xludf.DUMMYFUNCTION("""COMPUTED_VALUE"""),"Instant Forms")</f>
        <v>Instant Forms</v>
      </c>
      <c r="H2525" s="19" t="str">
        <f>IFERROR(__xludf.DUMMYFUNCTION("""COMPUTED_VALUE"""),"Vivien Carlsson")</f>
        <v>Vivien Carlsson</v>
      </c>
      <c r="I2525" s="62"/>
      <c r="J2525" s="19"/>
    </row>
    <row r="2526">
      <c r="A2526" s="19" t="str">
        <f>IFERROR(__xludf.DUMMYFUNCTION("""COMPUTED_VALUE"""),"Troy Urquhart")</f>
        <v>Troy Urquhart</v>
      </c>
      <c r="B2526" s="19" t="str">
        <f>IFERROR(__xludf.DUMMYFUNCTION("""COMPUTED_VALUE"""),"QLD")</f>
        <v>QLD</v>
      </c>
      <c r="C2526" s="5" t="str">
        <f>IFERROR(__xludf.DUMMYFUNCTION("""COMPUTED_VALUE"""),"Victoria point")</f>
        <v>Victoria point</v>
      </c>
      <c r="D2526" s="5" t="str">
        <f>IFERROR(__xludf.DUMMYFUNCTION("""COMPUTED_VALUE"""),"1 Orana Esplanade Victoria Point QLD 4165")</f>
        <v>1 Orana Esplanade Victoria Point QLD 4165</v>
      </c>
      <c r="E2526" s="25">
        <f>IFERROR(__xludf.DUMMYFUNCTION("""COMPUTED_VALUE"""),45923.0)</f>
        <v>45923</v>
      </c>
      <c r="F2526" s="5">
        <f>IFERROR(__xludf.DUMMYFUNCTION("""COMPUTED_VALUE"""),6.0)</f>
        <v>6</v>
      </c>
      <c r="G2526" s="19" t="str">
        <f>IFERROR(__xludf.DUMMYFUNCTION("""COMPUTED_VALUE"""),"Instant Forms")</f>
        <v>Instant Forms</v>
      </c>
      <c r="H2526" s="19" t="str">
        <f>IFERROR(__xludf.DUMMYFUNCTION("""COMPUTED_VALUE"""),"Madelyn Clarkson - Grochala")</f>
        <v>Madelyn Clarkson - Grochala</v>
      </c>
      <c r="I2526" s="62"/>
      <c r="J2526" s="19"/>
    </row>
    <row r="2527">
      <c r="A2527" s="19" t="str">
        <f>IFERROR(__xludf.DUMMYFUNCTION("""COMPUTED_VALUE"""),"Troy Urquhart")</f>
        <v>Troy Urquhart</v>
      </c>
      <c r="B2527" s="19" t="str">
        <f>IFERROR(__xludf.DUMMYFUNCTION("""COMPUTED_VALUE"""),"QLD")</f>
        <v>QLD</v>
      </c>
      <c r="C2527" s="5" t="str">
        <f>IFERROR(__xludf.DUMMYFUNCTION("""COMPUTED_VALUE"""),"Thornlands")</f>
        <v>Thornlands</v>
      </c>
      <c r="D2527" s="5" t="str">
        <f>IFERROR(__xludf.DUMMYFUNCTION("""COMPUTED_VALUE"""),"36 Abalone Crescent Thornlands QLD 4164")</f>
        <v>36 Abalone Crescent Thornlands QLD 4164</v>
      </c>
      <c r="E2527" s="25">
        <f>IFERROR(__xludf.DUMMYFUNCTION("""COMPUTED_VALUE"""),45924.0)</f>
        <v>45924</v>
      </c>
      <c r="F2527" s="5">
        <f>IFERROR(__xludf.DUMMYFUNCTION("""COMPUTED_VALUE"""),8.0)</f>
        <v>8</v>
      </c>
      <c r="G2527" s="19" t="str">
        <f>IFERROR(__xludf.DUMMYFUNCTION("""COMPUTED_VALUE"""),"Instant Forms")</f>
        <v>Instant Forms</v>
      </c>
      <c r="H2527" s="19" t="str">
        <f>IFERROR(__xludf.DUMMYFUNCTION("""COMPUTED_VALUE"""),"Carol-Lee Gerada")</f>
        <v>Carol-Lee Gerada</v>
      </c>
      <c r="I2527" s="62"/>
      <c r="J2527" s="19"/>
    </row>
    <row r="2528">
      <c r="A2528" s="19" t="str">
        <f>IFERROR(__xludf.DUMMYFUNCTION("""COMPUTED_VALUE"""),"Troy Urquhart")</f>
        <v>Troy Urquhart</v>
      </c>
      <c r="B2528" s="19" t="str">
        <f>IFERROR(__xludf.DUMMYFUNCTION("""COMPUTED_VALUE"""),"QLD")</f>
        <v>QLD</v>
      </c>
      <c r="C2528" s="5" t="str">
        <f>IFERROR(__xludf.DUMMYFUNCTION("""COMPUTED_VALUE"""),"Cleveland")</f>
        <v>Cleveland</v>
      </c>
      <c r="D2528" s="5" t="str">
        <f>IFERROR(__xludf.DUMMYFUNCTION("""COMPUTED_VALUE"""),"217 Coburg Street West Cleveland QLD 4163")</f>
        <v>217 Coburg Street West Cleveland QLD 4163</v>
      </c>
      <c r="E2528" s="25">
        <f>IFERROR(__xludf.DUMMYFUNCTION("""COMPUTED_VALUE"""),45928.0)</f>
        <v>45928</v>
      </c>
      <c r="F2528" s="5">
        <f>IFERROR(__xludf.DUMMYFUNCTION("""COMPUTED_VALUE"""),8.0)</f>
        <v>8</v>
      </c>
      <c r="G2528" s="19" t="str">
        <f>IFERROR(__xludf.DUMMYFUNCTION("""COMPUTED_VALUE"""),"Instant Forms")</f>
        <v>Instant Forms</v>
      </c>
      <c r="H2528" s="19" t="str">
        <f>IFERROR(__xludf.DUMMYFUNCTION("""COMPUTED_VALUE"""),"Andrew Long")</f>
        <v>Andrew Long</v>
      </c>
      <c r="I2528" s="62"/>
      <c r="J2528" s="19"/>
    </row>
    <row r="2529">
      <c r="A2529" s="19" t="str">
        <f>IFERROR(__xludf.DUMMYFUNCTION("""COMPUTED_VALUE"""),"Troy Urquhart")</f>
        <v>Troy Urquhart</v>
      </c>
      <c r="B2529" s="19" t="str">
        <f>IFERROR(__xludf.DUMMYFUNCTION("""COMPUTED_VALUE"""),"QLD")</f>
        <v>QLD</v>
      </c>
      <c r="C2529" s="5" t="str">
        <f>IFERROR(__xludf.DUMMYFUNCTION("""COMPUTED_VALUE"""),"Redland Bay")</f>
        <v>Redland Bay</v>
      </c>
      <c r="D2529" s="5" t="str">
        <f>IFERROR(__xludf.DUMMYFUNCTION("""COMPUTED_VALUE"""),"3 Robert Court Redland Bay QLD 4165")</f>
        <v>3 Robert Court Redland Bay QLD 4165</v>
      </c>
      <c r="E2529" s="25">
        <f>IFERROR(__xludf.DUMMYFUNCTION("""COMPUTED_VALUE"""),45933.0)</f>
        <v>45933</v>
      </c>
      <c r="F2529" s="5">
        <f>IFERROR(__xludf.DUMMYFUNCTION("""COMPUTED_VALUE"""),8.0)</f>
        <v>8</v>
      </c>
      <c r="G2529" s="19" t="str">
        <f>IFERROR(__xludf.DUMMYFUNCTION("""COMPUTED_VALUE"""),"Instant Forms")</f>
        <v>Instant Forms</v>
      </c>
      <c r="H2529" s="19" t="str">
        <f>IFERROR(__xludf.DUMMYFUNCTION("""COMPUTED_VALUE"""),"Eve Kerlin")</f>
        <v>Eve Kerlin</v>
      </c>
      <c r="I2529" s="62"/>
      <c r="J2529" s="19"/>
    </row>
    <row r="2530">
      <c r="A2530" s="19" t="str">
        <f>IFERROR(__xludf.DUMMYFUNCTION("""COMPUTED_VALUE"""),"Troy Urquhart")</f>
        <v>Troy Urquhart</v>
      </c>
      <c r="B2530" s="19" t="str">
        <f>IFERROR(__xludf.DUMMYFUNCTION("""COMPUTED_VALUE"""),"QLD")</f>
        <v>QLD</v>
      </c>
      <c r="C2530" s="5" t="str">
        <f>IFERROR(__xludf.DUMMYFUNCTION("""COMPUTED_VALUE"""),"redland bay")</f>
        <v>redland bay</v>
      </c>
      <c r="D2530" s="5" t="str">
        <f>IFERROR(__xludf.DUMMYFUNCTION("""COMPUTED_VALUE"""),"95 Main Street Redland Bay QLD 4165")</f>
        <v>95 Main Street Redland Bay QLD 4165</v>
      </c>
      <c r="E2530" s="25">
        <f>IFERROR(__xludf.DUMMYFUNCTION("""COMPUTED_VALUE"""),45936.0)</f>
        <v>45936</v>
      </c>
      <c r="F2530" s="5">
        <f>IFERROR(__xludf.DUMMYFUNCTION("""COMPUTED_VALUE"""),8.0)</f>
        <v>8</v>
      </c>
      <c r="G2530" s="19" t="str">
        <f>IFERROR(__xludf.DUMMYFUNCTION("""COMPUTED_VALUE"""),"Instant Forms")</f>
        <v>Instant Forms</v>
      </c>
      <c r="H2530" s="19" t="str">
        <f>IFERROR(__xludf.DUMMYFUNCTION("""COMPUTED_VALUE"""),"Colette Harding")</f>
        <v>Colette Harding</v>
      </c>
      <c r="I2530" s="62"/>
      <c r="J2530" s="19"/>
    </row>
    <row r="2531">
      <c r="A2531" s="19" t="str">
        <f>IFERROR(__xludf.DUMMYFUNCTION("""COMPUTED_VALUE"""),"Troy Urquhart")</f>
        <v>Troy Urquhart</v>
      </c>
      <c r="B2531" s="19" t="str">
        <f>IFERROR(__xludf.DUMMYFUNCTION("""COMPUTED_VALUE"""),"QLD")</f>
        <v>QLD</v>
      </c>
      <c r="C2531" s="5" t="str">
        <f>IFERROR(__xludf.DUMMYFUNCTION("""COMPUTED_VALUE"""),"Redland Bay")</f>
        <v>Redland Bay</v>
      </c>
      <c r="D2531" s="5" t="str">
        <f>IFERROR(__xludf.DUMMYFUNCTION("""COMPUTED_VALUE"""),"95 Main Street Redland Bay QLD 4165")</f>
        <v>95 Main Street Redland Bay QLD 4165</v>
      </c>
      <c r="E2531" s="25">
        <f>IFERROR(__xludf.DUMMYFUNCTION("""COMPUTED_VALUE"""),45937.0)</f>
        <v>45937</v>
      </c>
      <c r="F2531" s="5">
        <f>IFERROR(__xludf.DUMMYFUNCTION("""COMPUTED_VALUE"""),8.0)</f>
        <v>8</v>
      </c>
      <c r="G2531" s="19" t="str">
        <f>IFERROR(__xludf.DUMMYFUNCTION("""COMPUTED_VALUE"""),"Instant Forms")</f>
        <v>Instant Forms</v>
      </c>
      <c r="H2531" s="19" t="str">
        <f>IFERROR(__xludf.DUMMYFUNCTION("""COMPUTED_VALUE"""),"Colette Harding")</f>
        <v>Colette Harding</v>
      </c>
      <c r="I2531" s="62"/>
      <c r="J2531" s="19"/>
    </row>
    <row r="2532">
      <c r="A2532" s="19" t="str">
        <f>IFERROR(__xludf.DUMMYFUNCTION("""COMPUTED_VALUE"""),"Troy Urquhart")</f>
        <v>Troy Urquhart</v>
      </c>
      <c r="B2532" s="19" t="str">
        <f>IFERROR(__xludf.DUMMYFUNCTION("""COMPUTED_VALUE"""),"QLD")</f>
        <v>QLD</v>
      </c>
      <c r="C2532" s="5" t="str">
        <f>IFERROR(__xludf.DUMMYFUNCTION("""COMPUTED_VALUE"""),"Cleveland")</f>
        <v>Cleveland</v>
      </c>
      <c r="D2532" s="5" t="str">
        <f>IFERROR(__xludf.DUMMYFUNCTION("""COMPUTED_VALUE"""),"2 Seafarer Court Cleveland")</f>
        <v>2 Seafarer Court Cleveland</v>
      </c>
      <c r="E2532" s="25">
        <f>IFERROR(__xludf.DUMMYFUNCTION("""COMPUTED_VALUE"""),45939.0)</f>
        <v>45939</v>
      </c>
      <c r="F2532" s="5" t="str">
        <f>IFERROR(__xludf.DUMMYFUNCTION("""COMPUTED_VALUE"""),"Featured")</f>
        <v>Featured</v>
      </c>
      <c r="G2532" s="19" t="str">
        <f>IFERROR(__xludf.DUMMYFUNCTION("""COMPUTED_VALUE"""),"Commission Comparison")</f>
        <v>Commission Comparison</v>
      </c>
      <c r="H2532" s="19"/>
      <c r="I2532" s="62"/>
      <c r="J2532" s="19"/>
    </row>
    <row r="2533">
      <c r="A2533" s="19" t="str">
        <f>IFERROR(__xludf.DUMMYFUNCTION("""COMPUTED_VALUE"""),"Troy Urquhart")</f>
        <v>Troy Urquhart</v>
      </c>
      <c r="B2533" s="19" t="str">
        <f>IFERROR(__xludf.DUMMYFUNCTION("""COMPUTED_VALUE"""),"QLD")</f>
        <v>QLD</v>
      </c>
      <c r="C2533" s="5" t="str">
        <f>IFERROR(__xludf.DUMMYFUNCTION("""COMPUTED_VALUE"""),"Cleveland")</f>
        <v>Cleveland</v>
      </c>
      <c r="D2533" s="5" t="str">
        <f>IFERROR(__xludf.DUMMYFUNCTION("""COMPUTED_VALUE"""),"9 Masthead Drive Cleveland QLD 4163")</f>
        <v>9 Masthead Drive Cleveland QLD 4163</v>
      </c>
      <c r="E2533" s="25">
        <f>IFERROR(__xludf.DUMMYFUNCTION("""COMPUTED_VALUE"""),45943.0)</f>
        <v>45943</v>
      </c>
      <c r="F2533" s="5">
        <f>IFERROR(__xludf.DUMMYFUNCTION("""COMPUTED_VALUE"""),8.0)</f>
        <v>8</v>
      </c>
      <c r="G2533" s="19" t="str">
        <f>IFERROR(__xludf.DUMMYFUNCTION("""COMPUTED_VALUE"""),"Instant Forms")</f>
        <v>Instant Forms</v>
      </c>
      <c r="H2533" s="19"/>
      <c r="I2533" s="62"/>
      <c r="J2533" s="19"/>
    </row>
    <row r="2534">
      <c r="A2534" s="19" t="str">
        <f>IFERROR(__xludf.DUMMYFUNCTION("""COMPUTED_VALUE"""),"Troy Urquhart")</f>
        <v>Troy Urquhart</v>
      </c>
      <c r="B2534" s="19" t="str">
        <f>IFERROR(__xludf.DUMMYFUNCTION("""COMPUTED_VALUE"""),"QLD")</f>
        <v>QLD</v>
      </c>
      <c r="C2534" s="5" t="str">
        <f>IFERROR(__xludf.DUMMYFUNCTION("""COMPUTED_VALUE"""),"Redland Bay")</f>
        <v>Redland Bay</v>
      </c>
      <c r="D2534" s="5" t="str">
        <f>IFERROR(__xludf.DUMMYFUNCTION("""COMPUTED_VALUE"""),"204 School Of Arts Road Redland Bay QLD 4165")</f>
        <v>204 School Of Arts Road Redland Bay QLD 4165</v>
      </c>
      <c r="E2534" s="25">
        <f>IFERROR(__xludf.DUMMYFUNCTION("""COMPUTED_VALUE"""),45943.0)</f>
        <v>45943</v>
      </c>
      <c r="F2534" s="5">
        <f>IFERROR(__xludf.DUMMYFUNCTION("""COMPUTED_VALUE"""),6.0)</f>
        <v>6</v>
      </c>
      <c r="G2534" s="19" t="str">
        <f>IFERROR(__xludf.DUMMYFUNCTION("""COMPUTED_VALUE"""),"Instant Forms")</f>
        <v>Instant Forms</v>
      </c>
      <c r="H2534" s="19"/>
      <c r="I2534" s="62"/>
      <c r="J2534" s="19"/>
    </row>
    <row r="2535">
      <c r="A2535" s="19" t="str">
        <f>IFERROR(__xludf.DUMMYFUNCTION("""COMPUTED_VALUE"""),"Troy Urquhart")</f>
        <v>Troy Urquhart</v>
      </c>
      <c r="B2535" s="19" t="str">
        <f>IFERROR(__xludf.DUMMYFUNCTION("""COMPUTED_VALUE"""),"QLD")</f>
        <v>QLD</v>
      </c>
      <c r="C2535" s="5" t="str">
        <f>IFERROR(__xludf.DUMMYFUNCTION("""COMPUTED_VALUE"""),"Wellington Point")</f>
        <v>Wellington Point</v>
      </c>
      <c r="D2535" s="5" t="str">
        <f>IFERROR(__xludf.DUMMYFUNCTION("""COMPUTED_VALUE"""),"29 Hilliards Park Drive Wellington Point QLD 4160")</f>
        <v>29 Hilliards Park Drive Wellington Point QLD 4160</v>
      </c>
      <c r="E2535" s="25">
        <f>IFERROR(__xludf.DUMMYFUNCTION("""COMPUTED_VALUE"""),45945.0)</f>
        <v>45945</v>
      </c>
      <c r="F2535" s="5">
        <f>IFERROR(__xludf.DUMMYFUNCTION("""COMPUTED_VALUE"""),8.0)</f>
        <v>8</v>
      </c>
      <c r="G2535" s="19" t="str">
        <f>IFERROR(__xludf.DUMMYFUNCTION("""COMPUTED_VALUE"""),"Instant Forms")</f>
        <v>Instant Forms</v>
      </c>
      <c r="H2535" s="19" t="str">
        <f>IFERROR(__xludf.DUMMYFUNCTION("""COMPUTED_VALUE"""),"Barry Hunt")</f>
        <v>Barry Hunt</v>
      </c>
      <c r="I2535" s="62"/>
      <c r="J2535" s="19"/>
    </row>
    <row r="2536">
      <c r="A2536" s="19" t="str">
        <f>IFERROR(__xludf.DUMMYFUNCTION("""COMPUTED_VALUE"""),"Troy Urquhart")</f>
        <v>Troy Urquhart</v>
      </c>
      <c r="B2536" s="19" t="str">
        <f>IFERROR(__xludf.DUMMYFUNCTION("""COMPUTED_VALUE"""),"QLD")</f>
        <v>QLD</v>
      </c>
      <c r="C2536" s="5" t="str">
        <f>IFERROR(__xludf.DUMMYFUNCTION("""COMPUTED_VALUE"""),"Redland Bay")</f>
        <v>Redland Bay</v>
      </c>
      <c r="D2536" s="5" t="str">
        <f>IFERROR(__xludf.DUMMYFUNCTION("""COMPUTED_VALUE"""),"20 Shaw Place, Redland Bay, QLD, 4165, Australia")</f>
        <v>20 Shaw Place, Redland Bay, QLD, 4165, Australia</v>
      </c>
      <c r="E2536" s="25" t="str">
        <f>IFERROR(__xludf.DUMMYFUNCTION("""COMPUTED_VALUE"""),"15/10/2025")</f>
        <v>15/10/2025</v>
      </c>
      <c r="F2536" s="5" t="str">
        <f>IFERROR(__xludf.DUMMYFUNCTION("""COMPUTED_VALUE"""),"Featured")</f>
        <v>Featured</v>
      </c>
      <c r="G2536" s="19"/>
      <c r="H2536" s="19"/>
      <c r="I2536" s="62"/>
      <c r="J2536" s="19"/>
    </row>
    <row r="2537">
      <c r="A2537" s="19" t="str">
        <f>IFERROR(__xludf.DUMMYFUNCTION("""COMPUTED_VALUE"""),"Troy Urquhart")</f>
        <v>Troy Urquhart</v>
      </c>
      <c r="B2537" s="19" t="str">
        <f>IFERROR(__xludf.DUMMYFUNCTION("""COMPUTED_VALUE"""),"QLD")</f>
        <v>QLD</v>
      </c>
      <c r="C2537" s="5" t="str">
        <f>IFERROR(__xludf.DUMMYFUNCTION("""COMPUTED_VALUE"""),"Redland Bay")</f>
        <v>Redland Bay</v>
      </c>
      <c r="D2537" s="5" t="str">
        <f>IFERROR(__xludf.DUMMYFUNCTION("""COMPUTED_VALUE"""),"20 Shaw Place, Redland Bay, QLD, 4165, Australia")</f>
        <v>20 Shaw Place, Redland Bay, QLD, 4165, Australia</v>
      </c>
      <c r="E2537" s="25" t="str">
        <f>IFERROR(__xludf.DUMMYFUNCTION("""COMPUTED_VALUE"""),"15/10/2025")</f>
        <v>15/10/2025</v>
      </c>
      <c r="F2537" s="5" t="str">
        <f>IFERROR(__xludf.DUMMYFUNCTION("""COMPUTED_VALUE"""),"Featured")</f>
        <v>Featured</v>
      </c>
      <c r="G2537" s="19"/>
      <c r="H2537" s="19"/>
      <c r="I2537" s="62"/>
      <c r="J2537" s="19"/>
    </row>
    <row r="2538">
      <c r="A2538" s="19" t="str">
        <f>IFERROR(__xludf.DUMMYFUNCTION("""COMPUTED_VALUE"""),"Troy Urquhart")</f>
        <v>Troy Urquhart</v>
      </c>
      <c r="B2538" s="19" t="str">
        <f>IFERROR(__xludf.DUMMYFUNCTION("""COMPUTED_VALUE"""),"QLD")</f>
        <v>QLD</v>
      </c>
      <c r="C2538" s="5" t="str">
        <f>IFERROR(__xludf.DUMMYFUNCTION("""COMPUTED_VALUE"""),"Redland bay QLD")</f>
        <v>Redland bay QLD</v>
      </c>
      <c r="D2538" s="5" t="str">
        <f>IFERROR(__xludf.DUMMYFUNCTION("""COMPUTED_VALUE"""),"20 Shaw place Redland Bay qld")</f>
        <v>20 Shaw place Redland Bay qld</v>
      </c>
      <c r="E2538" s="25">
        <f>IFERROR(__xludf.DUMMYFUNCTION("""COMPUTED_VALUE"""),45945.0)</f>
        <v>45945</v>
      </c>
      <c r="F2538" s="5" t="str">
        <f>IFERROR(__xludf.DUMMYFUNCTION("""COMPUTED_VALUE"""),"Featured")</f>
        <v>Featured</v>
      </c>
      <c r="G2538" s="19" t="str">
        <f>IFERROR(__xludf.DUMMYFUNCTION("""COMPUTED_VALUE"""),"Commission Comparison")</f>
        <v>Commission Comparison</v>
      </c>
      <c r="H2538" s="19"/>
      <c r="I2538" s="62"/>
      <c r="J2538" s="19"/>
    </row>
    <row r="2539">
      <c r="A2539" s="19" t="str">
        <f>IFERROR(__xludf.DUMMYFUNCTION("""COMPUTED_VALUE"""),"Troy Urquhart")</f>
        <v>Troy Urquhart</v>
      </c>
      <c r="B2539" s="19" t="str">
        <f>IFERROR(__xludf.DUMMYFUNCTION("""COMPUTED_VALUE"""),"QLD")</f>
        <v>QLD</v>
      </c>
      <c r="C2539" s="5" t="str">
        <f>IFERROR(__xludf.DUMMYFUNCTION("""COMPUTED_VALUE"""),"Cleveland")</f>
        <v>Cleveland</v>
      </c>
      <c r="D2539" s="5" t="str">
        <f>IFERROR(__xludf.DUMMYFUNCTION("""COMPUTED_VALUE"""),"8 Russell Street Cleveland QLD 4163")</f>
        <v>8 Russell Street Cleveland QLD 4163</v>
      </c>
      <c r="E2539" s="25">
        <f>IFERROR(__xludf.DUMMYFUNCTION("""COMPUTED_VALUE"""),45948.0)</f>
        <v>45948</v>
      </c>
      <c r="F2539" s="5">
        <f>IFERROR(__xludf.DUMMYFUNCTION("""COMPUTED_VALUE"""),8.0)</f>
        <v>8</v>
      </c>
      <c r="G2539" s="19" t="str">
        <f>IFERROR(__xludf.DUMMYFUNCTION("""COMPUTED_VALUE"""),"Instant Forms")</f>
        <v>Instant Forms</v>
      </c>
      <c r="H2539" s="19"/>
      <c r="I2539" s="62"/>
      <c r="J2539" s="19"/>
    </row>
    <row r="2540">
      <c r="A2540" s="19" t="str">
        <f>IFERROR(__xludf.DUMMYFUNCTION("""COMPUTED_VALUE"""),"Troy Urquhart")</f>
        <v>Troy Urquhart</v>
      </c>
      <c r="B2540" s="19" t="str">
        <f>IFERROR(__xludf.DUMMYFUNCTION("""COMPUTED_VALUE"""),"QLD")</f>
        <v>QLD</v>
      </c>
      <c r="C2540" s="5" t="str">
        <f>IFERROR(__xludf.DUMMYFUNCTION("""COMPUTED_VALUE"""),"Thornlands")</f>
        <v>Thornlands</v>
      </c>
      <c r="D2540" s="5" t="str">
        <f>IFERROR(__xludf.DUMMYFUNCTION("""COMPUTED_VALUE"""),"12 Calliandra Place Thornlands, Thornlands, 4164")</f>
        <v>12 Calliandra Place Thornlands, Thornlands, 4164</v>
      </c>
      <c r="E2540" s="25" t="str">
        <f>IFERROR(__xludf.DUMMYFUNCTION("""COMPUTED_VALUE"""),"19/10/2025")</f>
        <v>19/10/2025</v>
      </c>
      <c r="F2540" s="5" t="str">
        <f>IFERROR(__xludf.DUMMYFUNCTION("""COMPUTED_VALUE"""),"Featured")</f>
        <v>Featured</v>
      </c>
      <c r="G2540" s="19" t="str">
        <f>IFERROR(__xludf.DUMMYFUNCTION("""COMPUTED_VALUE"""),"Meta Commission Report")</f>
        <v>Meta Commission Report</v>
      </c>
      <c r="H2540" s="19" t="str">
        <f>IFERROR(__xludf.DUMMYFUNCTION("""COMPUTED_VALUE"""),"Greg Cairns")</f>
        <v>Greg Cairns</v>
      </c>
      <c r="I2540" s="62"/>
      <c r="J2540" s="19"/>
    </row>
    <row r="2541">
      <c r="A2541" s="19" t="str">
        <f>IFERROR(__xludf.DUMMYFUNCTION("""COMPUTED_VALUE"""),"Troy Urquhart")</f>
        <v>Troy Urquhart</v>
      </c>
      <c r="B2541" s="19" t="str">
        <f>IFERROR(__xludf.DUMMYFUNCTION("""COMPUTED_VALUE"""),"QLD")</f>
        <v>QLD</v>
      </c>
      <c r="C2541" s="5" t="str">
        <f>IFERROR(__xludf.DUMMYFUNCTION("""COMPUTED_VALUE"""),"Thornlands")</f>
        <v>Thornlands</v>
      </c>
      <c r="D2541" s="5" t="str">
        <f>IFERROR(__xludf.DUMMYFUNCTION("""COMPUTED_VALUE"""),"1 Burgundy Crescent Thornlands QLD 4164")</f>
        <v>1 Burgundy Crescent Thornlands QLD 4164</v>
      </c>
      <c r="E2541" s="25" t="str">
        <f>IFERROR(__xludf.DUMMYFUNCTION("""COMPUTED_VALUE"""),"24/10/2025")</f>
        <v>24/10/2025</v>
      </c>
      <c r="F2541" s="5" t="str">
        <f>IFERROR(__xludf.DUMMYFUNCTION("""COMPUTED_VALUE"""),"Featured")</f>
        <v>Featured</v>
      </c>
      <c r="G2541" s="19" t="str">
        <f>IFERROR(__xludf.DUMMYFUNCTION("""COMPUTED_VALUE"""),"Meta Commission Report")</f>
        <v>Meta Commission Report</v>
      </c>
      <c r="H2541" s="19" t="str">
        <f>IFERROR(__xludf.DUMMYFUNCTION("""COMPUTED_VALUE"""),"Chris")</f>
        <v>Chris</v>
      </c>
      <c r="I2541" s="62"/>
      <c r="J2541" s="19"/>
    </row>
    <row r="2542">
      <c r="A2542" s="19" t="str">
        <f>IFERROR(__xludf.DUMMYFUNCTION("""COMPUTED_VALUE"""),"Troy Urquhart")</f>
        <v>Troy Urquhart</v>
      </c>
      <c r="B2542" s="19" t="str">
        <f>IFERROR(__xludf.DUMMYFUNCTION("""COMPUTED_VALUE"""),"QLD")</f>
        <v>QLD</v>
      </c>
      <c r="C2542" s="5" t="str">
        <f>IFERROR(__xludf.DUMMYFUNCTION("""COMPUTED_VALUE"""),"Redland Bay")</f>
        <v>Redland Bay</v>
      </c>
      <c r="D2542" s="5" t="str">
        <f>IFERROR(__xludf.DUMMYFUNCTION("""COMPUTED_VALUE"""),"6 Vine Street Redland Bay QLD 4165")</f>
        <v>6 Vine Street Redland Bay QLD 4165</v>
      </c>
      <c r="E2542" s="25">
        <f>IFERROR(__xludf.DUMMYFUNCTION("""COMPUTED_VALUE"""),45955.0)</f>
        <v>45955</v>
      </c>
      <c r="F2542" s="5">
        <f>IFERROR(__xludf.DUMMYFUNCTION("""COMPUTED_VALUE"""),8.0)</f>
        <v>8</v>
      </c>
      <c r="G2542" s="19" t="str">
        <f>IFERROR(__xludf.DUMMYFUNCTION("""COMPUTED_VALUE"""),"Instant Forms")</f>
        <v>Instant Forms</v>
      </c>
      <c r="H2542" s="19"/>
      <c r="I2542" s="62"/>
      <c r="J2542" s="19"/>
    </row>
    <row r="2543">
      <c r="A2543" s="19" t="str">
        <f>IFERROR(__xludf.DUMMYFUNCTION("""COMPUTED_VALUE"""),"Troy Urquhart")</f>
        <v>Troy Urquhart</v>
      </c>
      <c r="B2543" s="19" t="str">
        <f>IFERROR(__xludf.DUMMYFUNCTION("""COMPUTED_VALUE"""),"QLD")</f>
        <v>QLD</v>
      </c>
      <c r="C2543" s="5" t="str">
        <f>IFERROR(__xludf.DUMMYFUNCTION("""COMPUTED_VALUE"""),"Redland Bay")</f>
        <v>Redland Bay</v>
      </c>
      <c r="D2543" s="5" t="str">
        <f>IFERROR(__xludf.DUMMYFUNCTION("""COMPUTED_VALUE"""),"3 Ficus Place Redland Bay QLD 4165")</f>
        <v>3 Ficus Place Redland Bay QLD 4165</v>
      </c>
      <c r="E2543" s="25">
        <f>IFERROR(__xludf.DUMMYFUNCTION("""COMPUTED_VALUE"""),45956.0)</f>
        <v>45956</v>
      </c>
      <c r="F2543" s="5">
        <f>IFERROR(__xludf.DUMMYFUNCTION("""COMPUTED_VALUE"""),6.0)</f>
        <v>6</v>
      </c>
      <c r="G2543" s="19" t="str">
        <f>IFERROR(__xludf.DUMMYFUNCTION("""COMPUTED_VALUE"""),"Instant Forms")</f>
        <v>Instant Forms</v>
      </c>
      <c r="H2543" s="19"/>
      <c r="I2543" s="62"/>
      <c r="J2543" s="19"/>
    </row>
    <row r="2544">
      <c r="A2544" s="19" t="str">
        <f>IFERROR(__xludf.DUMMYFUNCTION("""COMPUTED_VALUE"""),"Troy Urquhart")</f>
        <v>Troy Urquhart</v>
      </c>
      <c r="B2544" s="19" t="str">
        <f>IFERROR(__xludf.DUMMYFUNCTION("""COMPUTED_VALUE"""),"QLD")</f>
        <v>QLD</v>
      </c>
      <c r="C2544" s="5" t="str">
        <f>IFERROR(__xludf.DUMMYFUNCTION("""COMPUTED_VALUE"""),"Cleveland")</f>
        <v>Cleveland</v>
      </c>
      <c r="D2544" s="5"/>
      <c r="E2544" s="25">
        <f>IFERROR(__xludf.DUMMYFUNCTION("""COMPUTED_VALUE"""),45958.0)</f>
        <v>45958</v>
      </c>
      <c r="F2544" s="5">
        <f>IFERROR(__xludf.DUMMYFUNCTION("""COMPUTED_VALUE"""),5.0)</f>
        <v>5</v>
      </c>
      <c r="G2544" s="19" t="str">
        <f>IFERROR(__xludf.DUMMYFUNCTION("""COMPUTED_VALUE"""),"Instant Forms")</f>
        <v>Instant Forms</v>
      </c>
      <c r="H2544" s="19"/>
      <c r="I2544" s="62"/>
      <c r="J2544" s="19"/>
    </row>
    <row r="2545">
      <c r="A2545" s="19" t="str">
        <f>IFERROR(__xludf.DUMMYFUNCTION("""COMPUTED_VALUE"""),"Troy Urquhart")</f>
        <v>Troy Urquhart</v>
      </c>
      <c r="B2545" s="19" t="str">
        <f>IFERROR(__xludf.DUMMYFUNCTION("""COMPUTED_VALUE"""),"QLD")</f>
        <v>QLD</v>
      </c>
      <c r="C2545" s="5" t="str">
        <f>IFERROR(__xludf.DUMMYFUNCTION("""COMPUTED_VALUE"""),"Victoria Point")</f>
        <v>Victoria Point</v>
      </c>
      <c r="D2545" s="5" t="str">
        <f>IFERROR(__xludf.DUMMYFUNCTION("""COMPUTED_VALUE"""),"11 Peppermint Drive")</f>
        <v>11 Peppermint Drive</v>
      </c>
      <c r="E2545" s="25">
        <f>IFERROR(__xludf.DUMMYFUNCTION("""COMPUTED_VALUE"""),45958.0)</f>
        <v>45958</v>
      </c>
      <c r="F2545" s="5" t="str">
        <f>IFERROR(__xludf.DUMMYFUNCTION("""COMPUTED_VALUE"""),"Featured")</f>
        <v>Featured</v>
      </c>
      <c r="G2545" s="19" t="str">
        <f>IFERROR(__xludf.DUMMYFUNCTION("""COMPUTED_VALUE"""),"Commission Comparison")</f>
        <v>Commission Comparison</v>
      </c>
      <c r="H2545" s="19"/>
      <c r="I2545" s="62"/>
      <c r="J2545" s="19"/>
    </row>
    <row r="2546">
      <c r="A2546" s="19" t="str">
        <f>IFERROR(__xludf.DUMMYFUNCTION("""COMPUTED_VALUE"""),"Troy Urquhart")</f>
        <v>Troy Urquhart</v>
      </c>
      <c r="B2546" s="19" t="str">
        <f>IFERROR(__xludf.DUMMYFUNCTION("""COMPUTED_VALUE"""),"QLD")</f>
        <v>QLD</v>
      </c>
      <c r="C2546" s="5" t="str">
        <f>IFERROR(__xludf.DUMMYFUNCTION("""COMPUTED_VALUE"""),"Redland Bay")</f>
        <v>Redland Bay</v>
      </c>
      <c r="D2546" s="5" t="str">
        <f>IFERROR(__xludf.DUMMYFUNCTION("""COMPUTED_VALUE"""),"29a Wilson Esplanade Redland Bay, Redland bay, 4165")</f>
        <v>29a Wilson Esplanade Redland Bay, Redland bay, 4165</v>
      </c>
      <c r="E2546" s="25" t="str">
        <f>IFERROR(__xludf.DUMMYFUNCTION("""COMPUTED_VALUE"""),"29/10/2025")</f>
        <v>29/10/2025</v>
      </c>
      <c r="F2546" s="5" t="str">
        <f>IFERROR(__xludf.DUMMYFUNCTION("""COMPUTED_VALUE"""),"Featured")</f>
        <v>Featured</v>
      </c>
      <c r="G2546" s="19" t="str">
        <f>IFERROR(__xludf.DUMMYFUNCTION("""COMPUTED_VALUE"""),"Meta Commission Report")</f>
        <v>Meta Commission Report</v>
      </c>
      <c r="H2546" s="19" t="str">
        <f>IFERROR(__xludf.DUMMYFUNCTION("""COMPUTED_VALUE"""),"Margaret Evans")</f>
        <v>Margaret Evans</v>
      </c>
      <c r="I2546" s="62"/>
      <c r="J2546" s="19"/>
    </row>
    <row r="2547">
      <c r="A2547" s="19" t="str">
        <f>IFERROR(__xludf.DUMMYFUNCTION("""COMPUTED_VALUE"""),"Troy Urquhart")</f>
        <v>Troy Urquhart</v>
      </c>
      <c r="B2547" s="19" t="str">
        <f>IFERROR(__xludf.DUMMYFUNCTION("""COMPUTED_VALUE"""),"QLD")</f>
        <v>QLD</v>
      </c>
      <c r="C2547" s="5" t="str">
        <f>IFERROR(__xludf.DUMMYFUNCTION("""COMPUTED_VALUE"""),"Victoria Point")</f>
        <v>Victoria Point</v>
      </c>
      <c r="D2547" s="5" t="str">
        <f>IFERROR(__xludf.DUMMYFUNCTION("""COMPUTED_VALUE"""),"1 Holz Street Victoria Point QLD 4165, Victoria Point, 4165")</f>
        <v>1 Holz Street Victoria Point QLD 4165, Victoria Point, 4165</v>
      </c>
      <c r="E2547" s="27">
        <f>IFERROR(__xludf.DUMMYFUNCTION("""COMPUTED_VALUE"""),45819.0)</f>
        <v>45819</v>
      </c>
      <c r="F2547" s="5" t="str">
        <f>IFERROR(__xludf.DUMMYFUNCTION("""COMPUTED_VALUE"""),"Featured")</f>
        <v>Featured</v>
      </c>
      <c r="G2547" s="19" t="str">
        <f>IFERROR(__xludf.DUMMYFUNCTION("""COMPUTED_VALUE"""),"Meta Commission Report")</f>
        <v>Meta Commission Report</v>
      </c>
      <c r="H2547" s="19" t="str">
        <f>IFERROR(__xludf.DUMMYFUNCTION("""COMPUTED_VALUE"""),"Bill Hobbs")</f>
        <v>Bill Hobbs</v>
      </c>
      <c r="I2547" s="62">
        <f>IFERROR(__xludf.DUMMYFUNCTION("""COMPUTED_VALUE"""),6.1407171759E10)</f>
        <v>61407171759</v>
      </c>
      <c r="J2547" s="19" t="str">
        <f>IFERROR(__xludf.DUMMYFUNCTION("""COMPUTED_VALUE"""),"blobbsy@yahoo.com")</f>
        <v>blobbsy@yahoo.com</v>
      </c>
    </row>
    <row r="2548">
      <c r="A2548" s="19" t="str">
        <f>IFERROR(__xludf.DUMMYFUNCTION("""COMPUTED_VALUE"""),"Troy Urquhart")</f>
        <v>Troy Urquhart</v>
      </c>
      <c r="B2548" s="19" t="str">
        <f>IFERROR(__xludf.DUMMYFUNCTION("""COMPUTED_VALUE"""),"QLD")</f>
        <v>QLD</v>
      </c>
      <c r="C2548" s="5" t="str">
        <f>IFERROR(__xludf.DUMMYFUNCTION("""COMPUTED_VALUE"""),"Thornlands")</f>
        <v>Thornlands</v>
      </c>
      <c r="D2548" s="5" t="str">
        <f>IFERROR(__xludf.DUMMYFUNCTION("""COMPUTED_VALUE"""),"16 Sunview St")</f>
        <v>16 Sunview St</v>
      </c>
      <c r="E2548" s="5" t="str">
        <f>IFERROR(__xludf.DUMMYFUNCTION("""COMPUTED_VALUE"""),"23/11/2025")</f>
        <v>23/11/2025</v>
      </c>
      <c r="F2548" s="5" t="str">
        <f>IFERROR(__xludf.DUMMYFUNCTION("""COMPUTED_VALUE"""),"Featured")</f>
        <v>Featured</v>
      </c>
      <c r="G2548" s="19" t="str">
        <f>IFERROR(__xludf.DUMMYFUNCTION("""COMPUTED_VALUE"""),"Meta Commission Report")</f>
        <v>Meta Commission Report</v>
      </c>
      <c r="H2548" s="19" t="str">
        <f>IFERROR(__xludf.DUMMYFUNCTION("""COMPUTED_VALUE"""),"Wynn Buthmann")</f>
        <v>Wynn Buthmann</v>
      </c>
      <c r="I2548" s="62">
        <f>IFERROR(__xludf.DUMMYFUNCTION("""COMPUTED_VALUE"""),6.1438364753E10)</f>
        <v>61438364753</v>
      </c>
      <c r="J2548" s="19" t="str">
        <f>IFERROR(__xludf.DUMMYFUNCTION("""COMPUTED_VALUE"""),"wbuthmann@gmail.com")</f>
        <v>wbuthmann@gmail.com</v>
      </c>
    </row>
    <row r="2549">
      <c r="A2549" s="19" t="str">
        <f>IFERROR(__xludf.DUMMYFUNCTION("""COMPUTED_VALUE"""),"Troy Urquhart")</f>
        <v>Troy Urquhart</v>
      </c>
      <c r="B2549" s="19" t="str">
        <f>IFERROR(__xludf.DUMMYFUNCTION("""COMPUTED_VALUE"""),"QLD")</f>
        <v>QLD</v>
      </c>
      <c r="C2549" s="5" t="str">
        <f>IFERROR(__xludf.DUMMYFUNCTION("""COMPUTED_VALUE"""),"Thornlands")</f>
        <v>Thornlands</v>
      </c>
      <c r="D2549" s="5" t="str">
        <f>IFERROR(__xludf.DUMMYFUNCTION("""COMPUTED_VALUE"""),"16 Sunview St, Thornlands, 4164")</f>
        <v>16 Sunview St, Thornlands, 4164</v>
      </c>
      <c r="E2549" s="5" t="str">
        <f>IFERROR(__xludf.DUMMYFUNCTION("""COMPUTED_VALUE"""),"23/11/2025")</f>
        <v>23/11/2025</v>
      </c>
      <c r="F2549" s="5" t="str">
        <f>IFERROR(__xludf.DUMMYFUNCTION("""COMPUTED_VALUE"""),"Featured")</f>
        <v>Featured</v>
      </c>
      <c r="G2549" s="19" t="str">
        <f>IFERROR(__xludf.DUMMYFUNCTION("""COMPUTED_VALUE"""),"Meta Commission Report")</f>
        <v>Meta Commission Report</v>
      </c>
      <c r="H2549" s="19" t="str">
        <f>IFERROR(__xludf.DUMMYFUNCTION("""COMPUTED_VALUE"""),"Wynn Buthmann")</f>
        <v>Wynn Buthmann</v>
      </c>
      <c r="I2549" s="62">
        <f>IFERROR(__xludf.DUMMYFUNCTION("""COMPUTED_VALUE"""),6.1438364753E10)</f>
        <v>61438364753</v>
      </c>
      <c r="J2549" s="19" t="str">
        <f>IFERROR(__xludf.DUMMYFUNCTION("""COMPUTED_VALUE"""),"wbuthmann@gmail.com")</f>
        <v>wbuthmann@gmail.com</v>
      </c>
    </row>
    <row r="2550">
      <c r="A2550" s="19" t="str">
        <f>IFERROR(__xludf.DUMMYFUNCTION("""COMPUTED_VALUE"""),"Troy Urquhart")</f>
        <v>Troy Urquhart</v>
      </c>
      <c r="B2550" s="19" t="str">
        <f>IFERROR(__xludf.DUMMYFUNCTION("""COMPUTED_VALUE"""),"QLD")</f>
        <v>QLD</v>
      </c>
      <c r="C2550" s="5" t="str">
        <f>IFERROR(__xludf.DUMMYFUNCTION("""COMPUTED_VALUE"""),"Thornlands")</f>
        <v>Thornlands</v>
      </c>
      <c r="D2550" s="5" t="str">
        <f>IFERROR(__xludf.DUMMYFUNCTION("""COMPUTED_VALUE"""),"16 Sunview St, Thornlands, 4164")</f>
        <v>16 Sunview St, Thornlands, 4164</v>
      </c>
      <c r="E2550" s="5" t="str">
        <f>IFERROR(__xludf.DUMMYFUNCTION("""COMPUTED_VALUE"""),"24/11/2025")</f>
        <v>24/11/2025</v>
      </c>
      <c r="F2550" s="5" t="str">
        <f>IFERROR(__xludf.DUMMYFUNCTION("""COMPUTED_VALUE"""),"Featured")</f>
        <v>Featured</v>
      </c>
      <c r="G2550" s="19" t="str">
        <f>IFERROR(__xludf.DUMMYFUNCTION("""COMPUTED_VALUE"""),"Meta Commission Report")</f>
        <v>Meta Commission Report</v>
      </c>
      <c r="H2550" s="19" t="str">
        <f>IFERROR(__xludf.DUMMYFUNCTION("""COMPUTED_VALUE"""),"Wynn Buthmann")</f>
        <v>Wynn Buthmann</v>
      </c>
      <c r="I2550" s="62">
        <f>IFERROR(__xludf.DUMMYFUNCTION("""COMPUTED_VALUE"""),6.1438364753E10)</f>
        <v>61438364753</v>
      </c>
      <c r="J2550" s="19" t="str">
        <f>IFERROR(__xludf.DUMMYFUNCTION("""COMPUTED_VALUE"""),"wbuthmann@gmail.com")</f>
        <v>wbuthmann@gmail.com</v>
      </c>
    </row>
    <row r="2551">
      <c r="A2551" s="19" t="str">
        <f>IFERROR(__xludf.DUMMYFUNCTION("""COMPUTED_VALUE"""),"Troy Urquhart")</f>
        <v>Troy Urquhart</v>
      </c>
      <c r="B2551" s="19" t="str">
        <f>IFERROR(__xludf.DUMMYFUNCTION("""COMPUTED_VALUE"""),"QLD")</f>
        <v>QLD</v>
      </c>
      <c r="C2551" s="5" t="str">
        <f>IFERROR(__xludf.DUMMYFUNCTION("""COMPUTED_VALUE"""),"Thornlands")</f>
        <v>Thornlands</v>
      </c>
      <c r="D2551" s="5" t="str">
        <f>IFERROR(__xludf.DUMMYFUNCTION("""COMPUTED_VALUE"""),"39 Kidman Circuit Thornlands QLD 4164")</f>
        <v>39 Kidman Circuit Thornlands QLD 4164</v>
      </c>
      <c r="E2551" s="27">
        <f>IFERROR(__xludf.DUMMYFUNCTION("""COMPUTED_VALUE"""),45820.0)</f>
        <v>45820</v>
      </c>
      <c r="F2551" s="64">
        <f>IFERROR(__xludf.DUMMYFUNCTION("""COMPUTED_VALUE"""),0.2)</f>
        <v>0.2</v>
      </c>
      <c r="G2551" s="19" t="str">
        <f>IFERROR(__xludf.DUMMYFUNCTION("""COMPUTED_VALUE"""),"Instant Forms")</f>
        <v>Instant Forms</v>
      </c>
      <c r="H2551" s="19" t="str">
        <f>IFERROR(__xludf.DUMMYFUNCTION("""COMPUTED_VALUE"""),"Tony Evans")</f>
        <v>Tony Evans</v>
      </c>
      <c r="I2551" s="62">
        <f>IFERROR(__xludf.DUMMYFUNCTION("""COMPUTED_VALUE"""),6.1451441802E10)</f>
        <v>61451441802</v>
      </c>
      <c r="J2551" s="19" t="str">
        <f>IFERROR(__xludf.DUMMYFUNCTION("""COMPUTED_VALUE"""),"tonye@sanitair.com.au")</f>
        <v>tonye@sanitair.com.au</v>
      </c>
    </row>
    <row r="2552">
      <c r="A2552" s="19" t="str">
        <f>IFERROR(__xludf.DUMMYFUNCTION("""COMPUTED_VALUE"""),"")</f>
        <v/>
      </c>
      <c r="B2552" s="19" t="str">
        <f>IFERROR(__xludf.DUMMYFUNCTION("""COMPUTED_VALUE"""),"")</f>
        <v/>
      </c>
      <c r="C2552" s="5" t="str">
        <f>IFERROR(__xludf.DUMMYFUNCTION("""COMPUTED_VALUE"""),"")</f>
        <v/>
      </c>
      <c r="D2552" s="5" t="str">
        <f>IFERROR(__xludf.DUMMYFUNCTION("""COMPUTED_VALUE"""),"")</f>
        <v/>
      </c>
      <c r="E2552" s="5" t="str">
        <f>IFERROR(__xludf.DUMMYFUNCTION("""COMPUTED_VALUE"""),"")</f>
        <v/>
      </c>
      <c r="F2552" s="5" t="str">
        <f>IFERROR(__xludf.DUMMYFUNCTION("""COMPUTED_VALUE"""),"")</f>
        <v/>
      </c>
      <c r="G2552" s="19" t="str">
        <f>IFERROR(__xludf.DUMMYFUNCTION("""COMPUTED_VALUE"""),"")</f>
        <v/>
      </c>
      <c r="H2552" s="19" t="str">
        <f>IFERROR(__xludf.DUMMYFUNCTION("""COMPUTED_VALUE"""),"")</f>
        <v/>
      </c>
      <c r="I2552" s="62" t="str">
        <f>IFERROR(__xludf.DUMMYFUNCTION("""COMPUTED_VALUE"""),"")</f>
        <v/>
      </c>
      <c r="J2552" s="19" t="str">
        <f>IFERROR(__xludf.DUMMYFUNCTION("""COMPUTED_VALUE"""),"")</f>
        <v/>
      </c>
    </row>
    <row r="2553">
      <c r="A2553" s="19" t="str">
        <f>IFERROR(__xludf.DUMMYFUNCTION("""COMPUTED_VALUE"""),"")</f>
        <v/>
      </c>
      <c r="B2553" s="19" t="str">
        <f>IFERROR(__xludf.DUMMYFUNCTION("""COMPUTED_VALUE"""),"")</f>
        <v/>
      </c>
      <c r="C2553" s="5" t="str">
        <f>IFERROR(__xludf.DUMMYFUNCTION("""COMPUTED_VALUE"""),"")</f>
        <v/>
      </c>
      <c r="D2553" s="5" t="str">
        <f>IFERROR(__xludf.DUMMYFUNCTION("""COMPUTED_VALUE"""),"")</f>
        <v/>
      </c>
      <c r="E2553" s="5" t="str">
        <f>IFERROR(__xludf.DUMMYFUNCTION("""COMPUTED_VALUE"""),"")</f>
        <v/>
      </c>
      <c r="F2553" s="5" t="str">
        <f>IFERROR(__xludf.DUMMYFUNCTION("""COMPUTED_VALUE"""),"")</f>
        <v/>
      </c>
      <c r="G2553" s="19" t="str">
        <f>IFERROR(__xludf.DUMMYFUNCTION("""COMPUTED_VALUE"""),"")</f>
        <v/>
      </c>
      <c r="H2553" s="19" t="str">
        <f>IFERROR(__xludf.DUMMYFUNCTION("""COMPUTED_VALUE"""),"")</f>
        <v/>
      </c>
      <c r="I2553" s="62" t="str">
        <f>IFERROR(__xludf.DUMMYFUNCTION("""COMPUTED_VALUE"""),"")</f>
        <v/>
      </c>
      <c r="J2553" s="19" t="str">
        <f>IFERROR(__xludf.DUMMYFUNCTION("""COMPUTED_VALUE"""),"")</f>
        <v/>
      </c>
    </row>
    <row r="2554">
      <c r="A2554" s="19" t="str">
        <f>IFERROR(__xludf.DUMMYFUNCTION("""COMPUTED_VALUE"""),"Tyson Hill")</f>
        <v>Tyson Hill</v>
      </c>
      <c r="B2554" s="19" t="str">
        <f>IFERROR(__xludf.DUMMYFUNCTION("""COMPUTED_VALUE"""),"QLD")</f>
        <v>QLD</v>
      </c>
      <c r="C2554" s="5" t="str">
        <f>IFERROR(__xludf.DUMMYFUNCTION("""COMPUTED_VALUE"""),"Pimpama")</f>
        <v>Pimpama</v>
      </c>
      <c r="D2554" s="5" t="str">
        <f>IFERROR(__xludf.DUMMYFUNCTION("""COMPUTED_VALUE"""),"123 Melville Drive Pimpama QLD 4209")</f>
        <v>123 Melville Drive Pimpama QLD 4209</v>
      </c>
      <c r="E2554" s="25">
        <f>IFERROR(__xludf.DUMMYFUNCTION("""COMPUTED_VALUE"""),45888.0)</f>
        <v>45888</v>
      </c>
      <c r="F2554" s="5" t="str">
        <f>IFERROR(__xludf.DUMMYFUNCTION("""COMPUTED_VALUE"""),"Featured")</f>
        <v>Featured</v>
      </c>
      <c r="G2554" s="19" t="str">
        <f>IFERROR(__xludf.DUMMYFUNCTION("""COMPUTED_VALUE"""),"Instant Forms")</f>
        <v>Instant Forms</v>
      </c>
      <c r="H2554" s="19"/>
      <c r="I2554" s="62"/>
      <c r="J2554" s="19"/>
    </row>
    <row r="2555">
      <c r="A2555" s="19" t="str">
        <f>IFERROR(__xludf.DUMMYFUNCTION("""COMPUTED_VALUE"""),"Tyson Hill")</f>
        <v>Tyson Hill</v>
      </c>
      <c r="B2555" s="19" t="str">
        <f>IFERROR(__xludf.DUMMYFUNCTION("""COMPUTED_VALUE"""),"QLD")</f>
        <v>QLD</v>
      </c>
      <c r="C2555" s="5" t="str">
        <f>IFERROR(__xludf.DUMMYFUNCTION("""COMPUTED_VALUE"""),"Paradise Point")</f>
        <v>Paradise Point</v>
      </c>
      <c r="D2555" s="5" t="str">
        <f>IFERROR(__xludf.DUMMYFUNCTION("""COMPUTED_VALUE"""),"31 Scoter Avenue Paradise Point QLD 4216")</f>
        <v>31 Scoter Avenue Paradise Point QLD 4216</v>
      </c>
      <c r="E2555" s="25">
        <f>IFERROR(__xludf.DUMMYFUNCTION("""COMPUTED_VALUE"""),45889.0)</f>
        <v>45889</v>
      </c>
      <c r="F2555" s="5" t="str">
        <f>IFERROR(__xludf.DUMMYFUNCTION("""COMPUTED_VALUE"""),"Featured")</f>
        <v>Featured</v>
      </c>
      <c r="G2555" s="19" t="str">
        <f>IFERROR(__xludf.DUMMYFUNCTION("""COMPUTED_VALUE"""),"Instant Forms")</f>
        <v>Instant Forms</v>
      </c>
      <c r="H2555" s="19"/>
      <c r="I2555" s="62"/>
      <c r="J2555" s="19"/>
    </row>
    <row r="2556">
      <c r="A2556" s="19" t="str">
        <f>IFERROR(__xludf.DUMMYFUNCTION("""COMPUTED_VALUE"""),"Tyson Hill")</f>
        <v>Tyson Hill</v>
      </c>
      <c r="B2556" s="19" t="str">
        <f>IFERROR(__xludf.DUMMYFUNCTION("""COMPUTED_VALUE"""),"QLD")</f>
        <v>QLD</v>
      </c>
      <c r="C2556" s="5" t="str">
        <f>IFERROR(__xludf.DUMMYFUNCTION("""COMPUTED_VALUE"""),"Mermaid waters")</f>
        <v>Mermaid waters</v>
      </c>
      <c r="D2556" s="5"/>
      <c r="E2556" s="25">
        <f>IFERROR(__xludf.DUMMYFUNCTION("""COMPUTED_VALUE"""),45889.0)</f>
        <v>45889</v>
      </c>
      <c r="F2556" s="5" t="str">
        <f>IFERROR(__xludf.DUMMYFUNCTION("""COMPUTED_VALUE"""),"Featured")</f>
        <v>Featured</v>
      </c>
      <c r="G2556" s="19" t="str">
        <f>IFERROR(__xludf.DUMMYFUNCTION("""COMPUTED_VALUE"""),"Instant Forms")</f>
        <v>Instant Forms</v>
      </c>
      <c r="H2556" s="19"/>
      <c r="I2556" s="62"/>
      <c r="J2556" s="19"/>
    </row>
    <row r="2557">
      <c r="A2557" s="19" t="str">
        <f>IFERROR(__xludf.DUMMYFUNCTION("""COMPUTED_VALUE"""),"Tyson Hill")</f>
        <v>Tyson Hill</v>
      </c>
      <c r="B2557" s="19" t="str">
        <f>IFERROR(__xludf.DUMMYFUNCTION("""COMPUTED_VALUE"""),"QLD")</f>
        <v>QLD</v>
      </c>
      <c r="C2557" s="5" t="str">
        <f>IFERROR(__xludf.DUMMYFUNCTION("""COMPUTED_VALUE"""),"Gold Coast")</f>
        <v>Gold Coast</v>
      </c>
      <c r="D2557" s="5"/>
      <c r="E2557" s="25">
        <f>IFERROR(__xludf.DUMMYFUNCTION("""COMPUTED_VALUE"""),45889.0)</f>
        <v>45889</v>
      </c>
      <c r="F2557" s="5" t="str">
        <f>IFERROR(__xludf.DUMMYFUNCTION("""COMPUTED_VALUE"""),"Free")</f>
        <v>Free</v>
      </c>
      <c r="G2557" s="19" t="str">
        <f>IFERROR(__xludf.DUMMYFUNCTION("""COMPUTED_VALUE"""),"Instant Forms")</f>
        <v>Instant Forms</v>
      </c>
      <c r="H2557" s="19"/>
      <c r="I2557" s="62"/>
      <c r="J2557" s="19"/>
    </row>
    <row r="2558">
      <c r="A2558" s="19" t="str">
        <f>IFERROR(__xludf.DUMMYFUNCTION("""COMPUTED_VALUE"""),"Tyson Hill")</f>
        <v>Tyson Hill</v>
      </c>
      <c r="B2558" s="19" t="str">
        <f>IFERROR(__xludf.DUMMYFUNCTION("""COMPUTED_VALUE"""),"QLD")</f>
        <v>QLD</v>
      </c>
      <c r="C2558" s="5" t="str">
        <f>IFERROR(__xludf.DUMMYFUNCTION("""COMPUTED_VALUE"""),"Labrador")</f>
        <v>Labrador</v>
      </c>
      <c r="D2558" s="5" t="str">
        <f>IFERROR(__xludf.DUMMYFUNCTION("""COMPUTED_VALUE"""),"62 Usher Avenue Labrador QLD 4215")</f>
        <v>62 Usher Avenue Labrador QLD 4215</v>
      </c>
      <c r="E2558" s="25">
        <f>IFERROR(__xludf.DUMMYFUNCTION("""COMPUTED_VALUE"""),45898.0)</f>
        <v>45898</v>
      </c>
      <c r="F2558" s="5" t="str">
        <f>IFERROR(__xludf.DUMMYFUNCTION("""COMPUTED_VALUE"""),"Featured")</f>
        <v>Featured</v>
      </c>
      <c r="G2558" s="19" t="str">
        <f>IFERROR(__xludf.DUMMYFUNCTION("""COMPUTED_VALUE"""),"Instant Forms")</f>
        <v>Instant Forms</v>
      </c>
      <c r="H2558" s="19"/>
      <c r="I2558" s="62"/>
      <c r="J2558" s="19"/>
    </row>
    <row r="2559">
      <c r="A2559" s="19" t="str">
        <f>IFERROR(__xludf.DUMMYFUNCTION("""COMPUTED_VALUE"""),"Tyson Hill")</f>
        <v>Tyson Hill</v>
      </c>
      <c r="B2559" s="19" t="str">
        <f>IFERROR(__xludf.DUMMYFUNCTION("""COMPUTED_VALUE"""),"QLD")</f>
        <v>QLD</v>
      </c>
      <c r="C2559" s="5" t="str">
        <f>IFERROR(__xludf.DUMMYFUNCTION("""COMPUTED_VALUE"""),"Biggera Waters")</f>
        <v>Biggera Waters</v>
      </c>
      <c r="D2559" s="5"/>
      <c r="E2559" s="25">
        <f>IFERROR(__xludf.DUMMYFUNCTION("""COMPUTED_VALUE"""),45900.0)</f>
        <v>45900</v>
      </c>
      <c r="F2559" s="5" t="str">
        <f>IFERROR(__xludf.DUMMYFUNCTION("""COMPUTED_VALUE"""),"Featured")</f>
        <v>Featured</v>
      </c>
      <c r="G2559" s="19" t="str">
        <f>IFERROR(__xludf.DUMMYFUNCTION("""COMPUTED_VALUE"""),"Instant Forms")</f>
        <v>Instant Forms</v>
      </c>
      <c r="H2559" s="19"/>
      <c r="I2559" s="62"/>
      <c r="J2559" s="19"/>
    </row>
    <row r="2560">
      <c r="A2560" s="19" t="str">
        <f>IFERROR(__xludf.DUMMYFUNCTION("""COMPUTED_VALUE"""),"Tyson Hill")</f>
        <v>Tyson Hill</v>
      </c>
      <c r="B2560" s="19" t="str">
        <f>IFERROR(__xludf.DUMMYFUNCTION("""COMPUTED_VALUE"""),"QLD")</f>
        <v>QLD</v>
      </c>
      <c r="C2560" s="5" t="str">
        <f>IFERROR(__xludf.DUMMYFUNCTION("""COMPUTED_VALUE"""),"Biggera waters")</f>
        <v>Biggera waters</v>
      </c>
      <c r="D2560" s="5" t="str">
        <f>IFERROR(__xludf.DUMMYFUNCTION("""COMPUTED_VALUE"""),"11 Okinya Street Biggera Waters QLD 4216")</f>
        <v>11 Okinya Street Biggera Waters QLD 4216</v>
      </c>
      <c r="E2560" s="25">
        <f>IFERROR(__xludf.DUMMYFUNCTION("""COMPUTED_VALUE"""),45901.0)</f>
        <v>45901</v>
      </c>
      <c r="F2560" s="5" t="str">
        <f>IFERROR(__xludf.DUMMYFUNCTION("""COMPUTED_VALUE"""),"Featured")</f>
        <v>Featured</v>
      </c>
      <c r="G2560" s="19" t="str">
        <f>IFERROR(__xludf.DUMMYFUNCTION("""COMPUTED_VALUE"""),"Instant Forms")</f>
        <v>Instant Forms</v>
      </c>
      <c r="H2560" s="19"/>
      <c r="I2560" s="62"/>
      <c r="J2560" s="19"/>
    </row>
    <row r="2561">
      <c r="A2561" s="19" t="str">
        <f>IFERROR(__xludf.DUMMYFUNCTION("""COMPUTED_VALUE"""),"Tyson Hill")</f>
        <v>Tyson Hill</v>
      </c>
      <c r="B2561" s="19" t="str">
        <f>IFERROR(__xludf.DUMMYFUNCTION("""COMPUTED_VALUE"""),"QLD")</f>
        <v>QLD</v>
      </c>
      <c r="C2561" s="5" t="str">
        <f>IFERROR(__xludf.DUMMYFUNCTION("""COMPUTED_VALUE"""),"Hope Island")</f>
        <v>Hope Island</v>
      </c>
      <c r="D2561" s="5" t="str">
        <f>IFERROR(__xludf.DUMMYFUNCTION("""COMPUTED_VALUE"""),"2257 Banksia Lakes Drive Hope Island QLD 4212")</f>
        <v>2257 Banksia Lakes Drive Hope Island QLD 4212</v>
      </c>
      <c r="E2561" s="25">
        <f>IFERROR(__xludf.DUMMYFUNCTION("""COMPUTED_VALUE"""),45910.0)</f>
        <v>45910</v>
      </c>
      <c r="F2561" s="5">
        <f>IFERROR(__xludf.DUMMYFUNCTION("""COMPUTED_VALUE"""),8.0)</f>
        <v>8</v>
      </c>
      <c r="G2561" s="19" t="str">
        <f>IFERROR(__xludf.DUMMYFUNCTION("""COMPUTED_VALUE"""),"Instant Forms")</f>
        <v>Instant Forms</v>
      </c>
      <c r="H2561" s="19" t="str">
        <f>IFERROR(__xludf.DUMMYFUNCTION("""COMPUTED_VALUE"""),"Peter Spencer")</f>
        <v>Peter Spencer</v>
      </c>
      <c r="I2561" s="62"/>
      <c r="J2561" s="19"/>
    </row>
    <row r="2562">
      <c r="A2562" s="19" t="str">
        <f>IFERROR(__xludf.DUMMYFUNCTION("""COMPUTED_VALUE"""),"Tyson Hill")</f>
        <v>Tyson Hill</v>
      </c>
      <c r="B2562" s="19" t="str">
        <f>IFERROR(__xludf.DUMMYFUNCTION("""COMPUTED_VALUE"""),"QLD")</f>
        <v>QLD</v>
      </c>
      <c r="C2562" s="5" t="str">
        <f>IFERROR(__xludf.DUMMYFUNCTION("""COMPUTED_VALUE"""),"pimpama")</f>
        <v>pimpama</v>
      </c>
      <c r="D2562" s="5" t="str">
        <f>IFERROR(__xludf.DUMMYFUNCTION("""COMPUTED_VALUE"""),"123 Melville Drive Pimpama QLD 4209")</f>
        <v>123 Melville Drive Pimpama QLD 4209</v>
      </c>
      <c r="E2562" s="25">
        <f>IFERROR(__xludf.DUMMYFUNCTION("""COMPUTED_VALUE"""),45928.0)</f>
        <v>45928</v>
      </c>
      <c r="F2562" s="5">
        <f>IFERROR(__xludf.DUMMYFUNCTION("""COMPUTED_VALUE"""),8.0)</f>
        <v>8</v>
      </c>
      <c r="G2562" s="19" t="str">
        <f>IFERROR(__xludf.DUMMYFUNCTION("""COMPUTED_VALUE"""),"Instant Forms")</f>
        <v>Instant Forms</v>
      </c>
      <c r="H2562" s="19" t="str">
        <f>IFERROR(__xludf.DUMMYFUNCTION("""COMPUTED_VALUE"""),"Terry Docherty")</f>
        <v>Terry Docherty</v>
      </c>
      <c r="I2562" s="62"/>
      <c r="J2562" s="19"/>
    </row>
    <row r="2563">
      <c r="A2563" s="19" t="str">
        <f>IFERROR(__xludf.DUMMYFUNCTION("""COMPUTED_VALUE"""),"Tyson Hill")</f>
        <v>Tyson Hill</v>
      </c>
      <c r="B2563" s="19" t="str">
        <f>IFERROR(__xludf.DUMMYFUNCTION("""COMPUTED_VALUE"""),"QLD")</f>
        <v>QLD</v>
      </c>
      <c r="C2563" s="5" t="str">
        <f>IFERROR(__xludf.DUMMYFUNCTION("""COMPUTED_VALUE"""),"Hope island")</f>
        <v>Hope island</v>
      </c>
      <c r="D2563" s="5" t="str">
        <f>IFERROR(__xludf.DUMMYFUNCTION("""COMPUTED_VALUE"""),"108 John Lund Drive Hope Island QLD 4212")</f>
        <v>108 John Lund Drive Hope Island QLD 4212</v>
      </c>
      <c r="E2563" s="25">
        <f>IFERROR(__xludf.DUMMYFUNCTION("""COMPUTED_VALUE"""),45941.0)</f>
        <v>45941</v>
      </c>
      <c r="F2563" s="5">
        <f>IFERROR(__xludf.DUMMYFUNCTION("""COMPUTED_VALUE"""),8.0)</f>
        <v>8</v>
      </c>
      <c r="G2563" s="19" t="str">
        <f>IFERROR(__xludf.DUMMYFUNCTION("""COMPUTED_VALUE"""),"Instant Forms")</f>
        <v>Instant Forms</v>
      </c>
      <c r="H2563" s="19"/>
      <c r="I2563" s="62"/>
      <c r="J2563" s="19"/>
    </row>
    <row r="2564">
      <c r="A2564" s="19" t="str">
        <f>IFERROR(__xludf.DUMMYFUNCTION("""COMPUTED_VALUE"""),"Tyson Hill")</f>
        <v>Tyson Hill</v>
      </c>
      <c r="B2564" s="19" t="str">
        <f>IFERROR(__xludf.DUMMYFUNCTION("""COMPUTED_VALUE"""),"QLD")</f>
        <v>QLD</v>
      </c>
      <c r="C2564" s="5" t="str">
        <f>IFERROR(__xludf.DUMMYFUNCTION("""COMPUTED_VALUE"""),"Paradise Point")</f>
        <v>Paradise Point</v>
      </c>
      <c r="D2564" s="5" t="str">
        <f>IFERROR(__xludf.DUMMYFUNCTION("""COMPUTED_VALUE"""),"82 Royal Albert Crescent Paradise Point QLD 4216")</f>
        <v>82 Royal Albert Crescent Paradise Point QLD 4216</v>
      </c>
      <c r="E2564" s="25">
        <f>IFERROR(__xludf.DUMMYFUNCTION("""COMPUTED_VALUE"""),45941.0)</f>
        <v>45941</v>
      </c>
      <c r="F2564" s="5">
        <f>IFERROR(__xludf.DUMMYFUNCTION("""COMPUTED_VALUE"""),8.0)</f>
        <v>8</v>
      </c>
      <c r="G2564" s="19" t="str">
        <f>IFERROR(__xludf.DUMMYFUNCTION("""COMPUTED_VALUE"""),"Instant Forms")</f>
        <v>Instant Forms</v>
      </c>
      <c r="H2564" s="19"/>
      <c r="I2564" s="62"/>
      <c r="J2564" s="19"/>
    </row>
    <row r="2565">
      <c r="A2565" s="19" t="str">
        <f>IFERROR(__xludf.DUMMYFUNCTION("""COMPUTED_VALUE"""),"")</f>
        <v/>
      </c>
      <c r="B2565" s="19" t="str">
        <f>IFERROR(__xludf.DUMMYFUNCTION("""COMPUTED_VALUE"""),"")</f>
        <v/>
      </c>
      <c r="C2565" s="5" t="str">
        <f>IFERROR(__xludf.DUMMYFUNCTION("""COMPUTED_VALUE"""),"")</f>
        <v/>
      </c>
      <c r="D2565" s="5" t="str">
        <f>IFERROR(__xludf.DUMMYFUNCTION("""COMPUTED_VALUE"""),"")</f>
        <v/>
      </c>
      <c r="E2565" s="5" t="str">
        <f>IFERROR(__xludf.DUMMYFUNCTION("""COMPUTED_VALUE"""),"")</f>
        <v/>
      </c>
      <c r="F2565" s="5" t="str">
        <f>IFERROR(__xludf.DUMMYFUNCTION("""COMPUTED_VALUE"""),"")</f>
        <v/>
      </c>
      <c r="G2565" s="19" t="str">
        <f>IFERROR(__xludf.DUMMYFUNCTION("""COMPUTED_VALUE"""),"")</f>
        <v/>
      </c>
      <c r="H2565" s="19" t="str">
        <f>IFERROR(__xludf.DUMMYFUNCTION("""COMPUTED_VALUE"""),"")</f>
        <v/>
      </c>
      <c r="I2565" s="62" t="str">
        <f>IFERROR(__xludf.DUMMYFUNCTION("""COMPUTED_VALUE"""),"")</f>
        <v/>
      </c>
      <c r="J2565" s="19" t="str">
        <f>IFERROR(__xludf.DUMMYFUNCTION("""COMPUTED_VALUE"""),"")</f>
        <v/>
      </c>
    </row>
    <row r="2566">
      <c r="A2566" s="19" t="str">
        <f>IFERROR(__xludf.DUMMYFUNCTION("""COMPUTED_VALUE"""),"")</f>
        <v/>
      </c>
      <c r="B2566" s="19" t="str">
        <f>IFERROR(__xludf.DUMMYFUNCTION("""COMPUTED_VALUE"""),"")</f>
        <v/>
      </c>
      <c r="C2566" s="5" t="str">
        <f>IFERROR(__xludf.DUMMYFUNCTION("""COMPUTED_VALUE"""),"")</f>
        <v/>
      </c>
      <c r="D2566" s="5" t="str">
        <f>IFERROR(__xludf.DUMMYFUNCTION("""COMPUTED_VALUE"""),"")</f>
        <v/>
      </c>
      <c r="E2566" s="5" t="str">
        <f>IFERROR(__xludf.DUMMYFUNCTION("""COMPUTED_VALUE"""),"")</f>
        <v/>
      </c>
      <c r="F2566" s="5" t="str">
        <f>IFERROR(__xludf.DUMMYFUNCTION("""COMPUTED_VALUE"""),"")</f>
        <v/>
      </c>
      <c r="G2566" s="19" t="str">
        <f>IFERROR(__xludf.DUMMYFUNCTION("""COMPUTED_VALUE"""),"")</f>
        <v/>
      </c>
      <c r="H2566" s="19" t="str">
        <f>IFERROR(__xludf.DUMMYFUNCTION("""COMPUTED_VALUE"""),"")</f>
        <v/>
      </c>
      <c r="I2566" s="62" t="str">
        <f>IFERROR(__xludf.DUMMYFUNCTION("""COMPUTED_VALUE"""),"")</f>
        <v/>
      </c>
      <c r="J2566" s="19" t="str">
        <f>IFERROR(__xludf.DUMMYFUNCTION("""COMPUTED_VALUE"""),"")</f>
        <v/>
      </c>
    </row>
    <row r="2567">
      <c r="A2567" s="19" t="str">
        <f>IFERROR(__xludf.DUMMYFUNCTION("""COMPUTED_VALUE"""),"Veronica Cole")</f>
        <v>Veronica Cole</v>
      </c>
      <c r="B2567" s="19" t="str">
        <f>IFERROR(__xludf.DUMMYFUNCTION("""COMPUTED_VALUE"""),"WA")</f>
        <v>WA</v>
      </c>
      <c r="C2567" s="5" t="str">
        <f>IFERROR(__xludf.DUMMYFUNCTION("""COMPUTED_VALUE"""),"Mandurah")</f>
        <v>Mandurah</v>
      </c>
      <c r="D2567" s="5" t="str">
        <f>IFERROR(__xludf.DUMMYFUNCTION("""COMPUTED_VALUE"""),"21 Mandurah Terrace")</f>
        <v>21 Mandurah Terrace</v>
      </c>
      <c r="E2567" s="63"/>
      <c r="F2567" s="5" t="str">
        <f>IFERROR(__xludf.DUMMYFUNCTION("""COMPUTED_VALUE"""),"Featured")</f>
        <v>Featured</v>
      </c>
      <c r="G2567" s="19" t="str">
        <f>IFERROR(__xludf.DUMMYFUNCTION("""COMPUTED_VALUE"""),"Commission Comparison")</f>
        <v>Commission Comparison</v>
      </c>
      <c r="H2567" s="19"/>
      <c r="I2567" s="62"/>
      <c r="J2567" s="19"/>
    </row>
    <row r="2568">
      <c r="A2568" s="19" t="str">
        <f>IFERROR(__xludf.DUMMYFUNCTION("""COMPUTED_VALUE"""),"Veronica Cole")</f>
        <v>Veronica Cole</v>
      </c>
      <c r="B2568" s="19" t="str">
        <f>IFERROR(__xludf.DUMMYFUNCTION("""COMPUTED_VALUE"""),"WA")</f>
        <v>WA</v>
      </c>
      <c r="C2568" s="5" t="str">
        <f>IFERROR(__xludf.DUMMYFUNCTION("""COMPUTED_VALUE"""),"Halls Head")</f>
        <v>Halls Head</v>
      </c>
      <c r="D2568" s="5" t="str">
        <f>IFERROR(__xludf.DUMMYFUNCTION("""COMPUTED_VALUE"""),"4 Nile Close, Halls Head, WA, 6210, Australia")</f>
        <v>4 Nile Close, Halls Head, WA, 6210, Australia</v>
      </c>
      <c r="E2568" s="63" t="str">
        <f>IFERROR(__xludf.DUMMYFUNCTION("""COMPUTED_VALUE"""),"23/07/2025")</f>
        <v>23/07/2025</v>
      </c>
      <c r="F2568" s="5" t="str">
        <f>IFERROR(__xludf.DUMMYFUNCTION("""COMPUTED_VALUE"""),"Featured")</f>
        <v>Featured</v>
      </c>
      <c r="G2568" s="19"/>
      <c r="H2568" s="19"/>
      <c r="I2568" s="62"/>
      <c r="J2568" s="19"/>
    </row>
    <row r="2569">
      <c r="A2569" s="19" t="str">
        <f>IFERROR(__xludf.DUMMYFUNCTION("""COMPUTED_VALUE"""),"Veronica Cole")</f>
        <v>Veronica Cole</v>
      </c>
      <c r="B2569" s="19" t="str">
        <f>IFERROR(__xludf.DUMMYFUNCTION("""COMPUTED_VALUE"""),"WA")</f>
        <v>WA</v>
      </c>
      <c r="C2569" s="5" t="str">
        <f>IFERROR(__xludf.DUMMYFUNCTION("""COMPUTED_VALUE"""),"Dudley Park")</f>
        <v>Dudley Park</v>
      </c>
      <c r="D2569" s="5" t="str">
        <f>IFERROR(__xludf.DUMMYFUNCTION("""COMPUTED_VALUE"""),"10 Hokitika Drive, Dudley Park, WA, 6210, Australia")</f>
        <v>10 Hokitika Drive, Dudley Park, WA, 6210, Australia</v>
      </c>
      <c r="E2569" s="63" t="str">
        <f>IFERROR(__xludf.DUMMYFUNCTION("""COMPUTED_VALUE"""),"31/07/2025")</f>
        <v>31/07/2025</v>
      </c>
      <c r="F2569" s="5" t="str">
        <f>IFERROR(__xludf.DUMMYFUNCTION("""COMPUTED_VALUE"""),"Featured")</f>
        <v>Featured</v>
      </c>
      <c r="G2569" s="19" t="str">
        <f>IFERROR(__xludf.DUMMYFUNCTION("""COMPUTED_VALUE"""),"Commission Comparison")</f>
        <v>Commission Comparison</v>
      </c>
      <c r="H2569" s="19"/>
      <c r="I2569" s="62"/>
      <c r="J2569" s="19"/>
    </row>
    <row r="2570">
      <c r="A2570" s="19" t="str">
        <f>IFERROR(__xludf.DUMMYFUNCTION("""COMPUTED_VALUE"""),"Veronica Cole")</f>
        <v>Veronica Cole</v>
      </c>
      <c r="B2570" s="19" t="str">
        <f>IFERROR(__xludf.DUMMYFUNCTION("""COMPUTED_VALUE"""),"WA")</f>
        <v>WA</v>
      </c>
      <c r="C2570" s="5" t="str">
        <f>IFERROR(__xludf.DUMMYFUNCTION("""COMPUTED_VALUE"""),"Ravenswood. 6208")</f>
        <v>Ravenswood. 6208</v>
      </c>
      <c r="D2570" s="5"/>
      <c r="E2570" s="25">
        <f>IFERROR(__xludf.DUMMYFUNCTION("""COMPUTED_VALUE"""),45880.0)</f>
        <v>45880</v>
      </c>
      <c r="F2570" s="5" t="str">
        <f>IFERROR(__xludf.DUMMYFUNCTION("""COMPUTED_VALUE"""),"Featured")</f>
        <v>Featured</v>
      </c>
      <c r="G2570" s="19" t="str">
        <f>IFERROR(__xludf.DUMMYFUNCTION("""COMPUTED_VALUE"""),"Instant Forms")</f>
        <v>Instant Forms</v>
      </c>
      <c r="H2570" s="19"/>
      <c r="I2570" s="62"/>
      <c r="J2570" s="19"/>
    </row>
    <row r="2571">
      <c r="A2571" s="19" t="str">
        <f>IFERROR(__xludf.DUMMYFUNCTION("""COMPUTED_VALUE"""),"Veronica Cole")</f>
        <v>Veronica Cole</v>
      </c>
      <c r="B2571" s="19" t="str">
        <f>IFERROR(__xludf.DUMMYFUNCTION("""COMPUTED_VALUE"""),"WA")</f>
        <v>WA</v>
      </c>
      <c r="C2571" s="5" t="str">
        <f>IFERROR(__xludf.DUMMYFUNCTION("""COMPUTED_VALUE"""),"South yunderup")</f>
        <v>South yunderup</v>
      </c>
      <c r="D2571" s="5"/>
      <c r="E2571" s="25">
        <f>IFERROR(__xludf.DUMMYFUNCTION("""COMPUTED_VALUE"""),45887.0)</f>
        <v>45887</v>
      </c>
      <c r="F2571" s="5" t="str">
        <f>IFERROR(__xludf.DUMMYFUNCTION("""COMPUTED_VALUE"""),"Featured")</f>
        <v>Featured</v>
      </c>
      <c r="G2571" s="19" t="str">
        <f>IFERROR(__xludf.DUMMYFUNCTION("""COMPUTED_VALUE"""),"Instant Forms")</f>
        <v>Instant Forms</v>
      </c>
      <c r="H2571" s="19"/>
      <c r="I2571" s="62"/>
      <c r="J2571" s="19"/>
    </row>
    <row r="2572">
      <c r="A2572" s="19" t="str">
        <f>IFERROR(__xludf.DUMMYFUNCTION("""COMPUTED_VALUE"""),"Veronica Cole")</f>
        <v>Veronica Cole</v>
      </c>
      <c r="B2572" s="19" t="str">
        <f>IFERROR(__xludf.DUMMYFUNCTION("""COMPUTED_VALUE"""),"WA")</f>
        <v>WA</v>
      </c>
      <c r="C2572" s="5" t="str">
        <f>IFERROR(__xludf.DUMMYFUNCTION("""COMPUTED_VALUE"""),"Herron")</f>
        <v>Herron</v>
      </c>
      <c r="D2572" s="5" t="str">
        <f>IFERROR(__xludf.DUMMYFUNCTION("""COMPUTED_VALUE"""),"35 Clifton Downs Road Herron WA 6211")</f>
        <v>35 Clifton Downs Road Herron WA 6211</v>
      </c>
      <c r="E2572" s="25">
        <f>IFERROR(__xludf.DUMMYFUNCTION("""COMPUTED_VALUE"""),45904.0)</f>
        <v>45904</v>
      </c>
      <c r="F2572" s="5" t="str">
        <f>IFERROR(__xludf.DUMMYFUNCTION("""COMPUTED_VALUE"""),"Featured")</f>
        <v>Featured</v>
      </c>
      <c r="G2572" s="19" t="str">
        <f>IFERROR(__xludf.DUMMYFUNCTION("""COMPUTED_VALUE"""),"Instant Forms")</f>
        <v>Instant Forms</v>
      </c>
      <c r="H2572" s="19"/>
      <c r="I2572" s="62"/>
      <c r="J2572" s="19"/>
    </row>
    <row r="2573">
      <c r="A2573" s="19" t="str">
        <f>IFERROR(__xludf.DUMMYFUNCTION("""COMPUTED_VALUE"""),"Veronica Cole")</f>
        <v>Veronica Cole</v>
      </c>
      <c r="B2573" s="19" t="str">
        <f>IFERROR(__xludf.DUMMYFUNCTION("""COMPUTED_VALUE"""),"WA")</f>
        <v>WA</v>
      </c>
      <c r="C2573" s="5" t="str">
        <f>IFERROR(__xludf.DUMMYFUNCTION("""COMPUTED_VALUE"""),"halls head")</f>
        <v>halls head</v>
      </c>
      <c r="D2573" s="5" t="str">
        <f>IFERROR(__xludf.DUMMYFUNCTION("""COMPUTED_VALUE"""),"3 Armstrong Street Halls Head WA 6210")</f>
        <v>3 Armstrong Street Halls Head WA 6210</v>
      </c>
      <c r="E2573" s="25">
        <f>IFERROR(__xludf.DUMMYFUNCTION("""COMPUTED_VALUE"""),45907.0)</f>
        <v>45907</v>
      </c>
      <c r="F2573" s="5" t="str">
        <f>IFERROR(__xludf.DUMMYFUNCTION("""COMPUTED_VALUE"""),"Featured")</f>
        <v>Featured</v>
      </c>
      <c r="G2573" s="19" t="str">
        <f>IFERROR(__xludf.DUMMYFUNCTION("""COMPUTED_VALUE"""),"Instant Forms")</f>
        <v>Instant Forms</v>
      </c>
      <c r="H2573" s="19"/>
      <c r="I2573" s="62"/>
      <c r="J2573" s="19"/>
    </row>
    <row r="2574">
      <c r="A2574" s="19" t="str">
        <f>IFERROR(__xludf.DUMMYFUNCTION("""COMPUTED_VALUE"""),"Veronica Cole")</f>
        <v>Veronica Cole</v>
      </c>
      <c r="B2574" s="19" t="str">
        <f>IFERROR(__xludf.DUMMYFUNCTION("""COMPUTED_VALUE"""),"WA")</f>
        <v>WA</v>
      </c>
      <c r="C2574" s="5" t="str">
        <f>IFERROR(__xludf.DUMMYFUNCTION("""COMPUTED_VALUE"""),"Lakelands")</f>
        <v>Lakelands</v>
      </c>
      <c r="D2574" s="5" t="str">
        <f>IFERROR(__xludf.DUMMYFUNCTION("""COMPUTED_VALUE"""),"8 Werribee Loop Lakelands WA 6180")</f>
        <v>8 Werribee Loop Lakelands WA 6180</v>
      </c>
      <c r="E2574" s="25">
        <f>IFERROR(__xludf.DUMMYFUNCTION("""COMPUTED_VALUE"""),45910.0)</f>
        <v>45910</v>
      </c>
      <c r="F2574" s="5">
        <f>IFERROR(__xludf.DUMMYFUNCTION("""COMPUTED_VALUE"""),8.0)</f>
        <v>8</v>
      </c>
      <c r="G2574" s="19" t="str">
        <f>IFERROR(__xludf.DUMMYFUNCTION("""COMPUTED_VALUE"""),"Instant Forms")</f>
        <v>Instant Forms</v>
      </c>
      <c r="H2574" s="19" t="str">
        <f>IFERROR(__xludf.DUMMYFUNCTION("""COMPUTED_VALUE"""),"Thomas Dyer")</f>
        <v>Thomas Dyer</v>
      </c>
      <c r="I2574" s="62"/>
      <c r="J2574" s="19"/>
    </row>
    <row r="2575">
      <c r="A2575" s="19" t="str">
        <f>IFERROR(__xludf.DUMMYFUNCTION("""COMPUTED_VALUE"""),"Veronica Cole")</f>
        <v>Veronica Cole</v>
      </c>
      <c r="B2575" s="19" t="str">
        <f>IFERROR(__xludf.DUMMYFUNCTION("""COMPUTED_VALUE"""),"WA")</f>
        <v>WA</v>
      </c>
      <c r="C2575" s="5" t="str">
        <f>IFERROR(__xludf.DUMMYFUNCTION("""COMPUTED_VALUE"""),"Mandurah Marina")</f>
        <v>Mandurah Marina</v>
      </c>
      <c r="D2575" s="5" t="str">
        <f>IFERROR(__xludf.DUMMYFUNCTION("""COMPUTED_VALUE"""),"4/8 Torcello Mews Mandurah WA 6210")</f>
        <v>4/8 Torcello Mews Mandurah WA 6210</v>
      </c>
      <c r="E2575" s="25">
        <f>IFERROR(__xludf.DUMMYFUNCTION("""COMPUTED_VALUE"""),45910.0)</f>
        <v>45910</v>
      </c>
      <c r="F2575" s="5">
        <f>IFERROR(__xludf.DUMMYFUNCTION("""COMPUTED_VALUE"""),8.0)</f>
        <v>8</v>
      </c>
      <c r="G2575" s="19" t="str">
        <f>IFERROR(__xludf.DUMMYFUNCTION("""COMPUTED_VALUE"""),"Instant Forms")</f>
        <v>Instant Forms</v>
      </c>
      <c r="H2575" s="19" t="str">
        <f>IFERROR(__xludf.DUMMYFUNCTION("""COMPUTED_VALUE"""),"Beverley Brennan")</f>
        <v>Beverley Brennan</v>
      </c>
      <c r="I2575" s="62"/>
      <c r="J2575" s="19"/>
    </row>
    <row r="2576">
      <c r="A2576" s="19" t="str">
        <f>IFERROR(__xludf.DUMMYFUNCTION("""COMPUTED_VALUE"""),"Veronica Cole")</f>
        <v>Veronica Cole</v>
      </c>
      <c r="B2576" s="19" t="str">
        <f>IFERROR(__xludf.DUMMYFUNCTION("""COMPUTED_VALUE"""),"WA")</f>
        <v>WA</v>
      </c>
      <c r="C2576" s="5">
        <f>IFERROR(__xludf.DUMMYFUNCTION("""COMPUTED_VALUE"""),6210.0)</f>
        <v>6210</v>
      </c>
      <c r="D2576" s="5"/>
      <c r="E2576" s="25">
        <f>IFERROR(__xludf.DUMMYFUNCTION("""COMPUTED_VALUE"""),45915.0)</f>
        <v>45915</v>
      </c>
      <c r="F2576" s="5">
        <f>IFERROR(__xludf.DUMMYFUNCTION("""COMPUTED_VALUE"""),6.0)</f>
        <v>6</v>
      </c>
      <c r="G2576" s="19" t="str">
        <f>IFERROR(__xludf.DUMMYFUNCTION("""COMPUTED_VALUE"""),"Instant Forms")</f>
        <v>Instant Forms</v>
      </c>
      <c r="H2576" s="19" t="str">
        <f>IFERROR(__xludf.DUMMYFUNCTION("""COMPUTED_VALUE"""),"Nancie Gonsalves")</f>
        <v>Nancie Gonsalves</v>
      </c>
      <c r="I2576" s="62"/>
      <c r="J2576" s="19"/>
    </row>
    <row r="2577">
      <c r="A2577" s="19" t="str">
        <f>IFERROR(__xludf.DUMMYFUNCTION("""COMPUTED_VALUE"""),"Veronica Cole")</f>
        <v>Veronica Cole</v>
      </c>
      <c r="B2577" s="19" t="str">
        <f>IFERROR(__xludf.DUMMYFUNCTION("""COMPUTED_VALUE"""),"WA")</f>
        <v>WA</v>
      </c>
      <c r="C2577" s="5">
        <f>IFERROR(__xludf.DUMMYFUNCTION("""COMPUTED_VALUE"""),6210.0)</f>
        <v>6210</v>
      </c>
      <c r="D2577" s="5"/>
      <c r="E2577" s="25">
        <f>IFERROR(__xludf.DUMMYFUNCTION("""COMPUTED_VALUE"""),45916.0)</f>
        <v>45916</v>
      </c>
      <c r="F2577" s="5">
        <f>IFERROR(__xludf.DUMMYFUNCTION("""COMPUTED_VALUE"""),6.0)</f>
        <v>6</v>
      </c>
      <c r="G2577" s="19" t="str">
        <f>IFERROR(__xludf.DUMMYFUNCTION("""COMPUTED_VALUE"""),"Instant Forms")</f>
        <v>Instant Forms</v>
      </c>
      <c r="H2577" s="19" t="str">
        <f>IFERROR(__xludf.DUMMYFUNCTION("""COMPUTED_VALUE"""),"Vicki Jamieson")</f>
        <v>Vicki Jamieson</v>
      </c>
      <c r="I2577" s="62"/>
      <c r="J2577" s="19"/>
    </row>
    <row r="2578">
      <c r="A2578" s="19" t="str">
        <f>IFERROR(__xludf.DUMMYFUNCTION("""COMPUTED_VALUE"""),"Veronica Cole")</f>
        <v>Veronica Cole</v>
      </c>
      <c r="B2578" s="19" t="str">
        <f>IFERROR(__xludf.DUMMYFUNCTION("""COMPUTED_VALUE"""),"WA")</f>
        <v>WA</v>
      </c>
      <c r="C2578" s="5" t="str">
        <f>IFERROR(__xludf.DUMMYFUNCTION("""COMPUTED_VALUE"""),"Meadow Springs")</f>
        <v>Meadow Springs</v>
      </c>
      <c r="D2578" s="5" t="str">
        <f>IFERROR(__xludf.DUMMYFUNCTION("""COMPUTED_VALUE"""),"74 Grandmere Parade Meadow Springs WA 6210")</f>
        <v>74 Grandmere Parade Meadow Springs WA 6210</v>
      </c>
      <c r="E2578" s="25">
        <f>IFERROR(__xludf.DUMMYFUNCTION("""COMPUTED_VALUE"""),45924.0)</f>
        <v>45924</v>
      </c>
      <c r="F2578" s="5">
        <f>IFERROR(__xludf.DUMMYFUNCTION("""COMPUTED_VALUE"""),8.0)</f>
        <v>8</v>
      </c>
      <c r="G2578" s="19" t="str">
        <f>IFERROR(__xludf.DUMMYFUNCTION("""COMPUTED_VALUE"""),"Instant Forms")</f>
        <v>Instant Forms</v>
      </c>
      <c r="H2578" s="19" t="str">
        <f>IFERROR(__xludf.DUMMYFUNCTION("""COMPUTED_VALUE"""),"Vicki Jamieson")</f>
        <v>Vicki Jamieson</v>
      </c>
      <c r="I2578" s="62"/>
      <c r="J2578" s="19"/>
    </row>
    <row r="2579">
      <c r="A2579" s="19" t="str">
        <f>IFERROR(__xludf.DUMMYFUNCTION("""COMPUTED_VALUE"""),"Veronica Cole")</f>
        <v>Veronica Cole</v>
      </c>
      <c r="B2579" s="19" t="str">
        <f>IFERROR(__xludf.DUMMYFUNCTION("""COMPUTED_VALUE"""),"WA")</f>
        <v>WA</v>
      </c>
      <c r="C2579" s="5" t="str">
        <f>IFERROR(__xludf.DUMMYFUNCTION("""COMPUTED_VALUE"""),"meadow springs Mandurah")</f>
        <v>meadow springs Mandurah</v>
      </c>
      <c r="D2579" s="5" t="str">
        <f>IFERROR(__xludf.DUMMYFUNCTION("""COMPUTED_VALUE"""),"55 Sunningdale Chase Meadow Springs WA 6210")</f>
        <v>55 Sunningdale Chase Meadow Springs WA 6210</v>
      </c>
      <c r="E2579" s="25">
        <f>IFERROR(__xludf.DUMMYFUNCTION("""COMPUTED_VALUE"""),45928.0)</f>
        <v>45928</v>
      </c>
      <c r="F2579" s="5">
        <f>IFERROR(__xludf.DUMMYFUNCTION("""COMPUTED_VALUE"""),8.0)</f>
        <v>8</v>
      </c>
      <c r="G2579" s="19" t="str">
        <f>IFERROR(__xludf.DUMMYFUNCTION("""COMPUTED_VALUE"""),"Instant Forms")</f>
        <v>Instant Forms</v>
      </c>
      <c r="H2579" s="19" t="str">
        <f>IFERROR(__xludf.DUMMYFUNCTION("""COMPUTED_VALUE"""),"Margaret Moor")</f>
        <v>Margaret Moor</v>
      </c>
      <c r="I2579" s="62"/>
      <c r="J2579" s="19"/>
    </row>
    <row r="2580">
      <c r="A2580" s="19" t="str">
        <f>IFERROR(__xludf.DUMMYFUNCTION("""COMPUTED_VALUE"""),"Veronica Cole")</f>
        <v>Veronica Cole</v>
      </c>
      <c r="B2580" s="19" t="str">
        <f>IFERROR(__xludf.DUMMYFUNCTION("""COMPUTED_VALUE"""),"WA")</f>
        <v>WA</v>
      </c>
      <c r="C2580" s="5" t="str">
        <f>IFERROR(__xludf.DUMMYFUNCTION("""COMPUTED_VALUE"""),"South Yunderup")</f>
        <v>South Yunderup</v>
      </c>
      <c r="D2580" s="5" t="str">
        <f>IFERROR(__xludf.DUMMYFUNCTION("""COMPUTED_VALUE"""),"24 Sun Land Avenue South Yunderup WA 6208")</f>
        <v>24 Sun Land Avenue South Yunderup WA 6208</v>
      </c>
      <c r="E2580" s="25">
        <f>IFERROR(__xludf.DUMMYFUNCTION("""COMPUTED_VALUE"""),45933.0)</f>
        <v>45933</v>
      </c>
      <c r="F2580" s="5">
        <f>IFERROR(__xludf.DUMMYFUNCTION("""COMPUTED_VALUE"""),8.0)</f>
        <v>8</v>
      </c>
      <c r="G2580" s="19" t="str">
        <f>IFERROR(__xludf.DUMMYFUNCTION("""COMPUTED_VALUE"""),"Instant Forms")</f>
        <v>Instant Forms</v>
      </c>
      <c r="H2580" s="19" t="str">
        <f>IFERROR(__xludf.DUMMYFUNCTION("""COMPUTED_VALUE"""),"John Mccarthy")</f>
        <v>John Mccarthy</v>
      </c>
      <c r="I2580" s="62"/>
      <c r="J2580" s="19"/>
    </row>
    <row r="2581">
      <c r="A2581" s="19" t="str">
        <f>IFERROR(__xludf.DUMMYFUNCTION("""COMPUTED_VALUE"""),"Veronica Cole")</f>
        <v>Veronica Cole</v>
      </c>
      <c r="B2581" s="19" t="str">
        <f>IFERROR(__xludf.DUMMYFUNCTION("""COMPUTED_VALUE"""),"WA")</f>
        <v>WA</v>
      </c>
      <c r="C2581" s="5" t="str">
        <f>IFERROR(__xludf.DUMMYFUNCTION("""COMPUTED_VALUE"""),"South Yunderup")</f>
        <v>South Yunderup</v>
      </c>
      <c r="D2581" s="5" t="str">
        <f>IFERROR(__xludf.DUMMYFUNCTION("""COMPUTED_VALUE"""),"46 Moyup Way South Yunderup WA 6208")</f>
        <v>46 Moyup Way South Yunderup WA 6208</v>
      </c>
      <c r="E2581" s="25">
        <f>IFERROR(__xludf.DUMMYFUNCTION("""COMPUTED_VALUE"""),45934.0)</f>
        <v>45934</v>
      </c>
      <c r="F2581" s="5">
        <f>IFERROR(__xludf.DUMMYFUNCTION("""COMPUTED_VALUE"""),8.0)</f>
        <v>8</v>
      </c>
      <c r="G2581" s="19" t="str">
        <f>IFERROR(__xludf.DUMMYFUNCTION("""COMPUTED_VALUE"""),"Instant Forms")</f>
        <v>Instant Forms</v>
      </c>
      <c r="H2581" s="19" t="str">
        <f>IFERROR(__xludf.DUMMYFUNCTION("""COMPUTED_VALUE"""),"Kevin Bertelli")</f>
        <v>Kevin Bertelli</v>
      </c>
      <c r="I2581" s="62"/>
      <c r="J2581" s="19"/>
    </row>
    <row r="2582">
      <c r="A2582" s="19" t="str">
        <f>IFERROR(__xludf.DUMMYFUNCTION("""COMPUTED_VALUE"""),"Veronica Cole")</f>
        <v>Veronica Cole</v>
      </c>
      <c r="B2582" s="19" t="str">
        <f>IFERROR(__xludf.DUMMYFUNCTION("""COMPUTED_VALUE"""),"WA")</f>
        <v>WA</v>
      </c>
      <c r="C2582" s="5" t="str">
        <f>IFERROR(__xludf.DUMMYFUNCTION("""COMPUTED_VALUE"""),"South Yunderup")</f>
        <v>South Yunderup</v>
      </c>
      <c r="D2582" s="5" t="str">
        <f>IFERROR(__xludf.DUMMYFUNCTION("""COMPUTED_VALUE"""),"95 Kiap Road South Yunderup WA 6208")</f>
        <v>95 Kiap Road South Yunderup WA 6208</v>
      </c>
      <c r="E2582" s="25">
        <f>IFERROR(__xludf.DUMMYFUNCTION("""COMPUTED_VALUE"""),45934.0)</f>
        <v>45934</v>
      </c>
      <c r="F2582" s="5">
        <f>IFERROR(__xludf.DUMMYFUNCTION("""COMPUTED_VALUE"""),8.0)</f>
        <v>8</v>
      </c>
      <c r="G2582" s="19" t="str">
        <f>IFERROR(__xludf.DUMMYFUNCTION("""COMPUTED_VALUE"""),"Instant Forms")</f>
        <v>Instant Forms</v>
      </c>
      <c r="H2582" s="19" t="str">
        <f>IFERROR(__xludf.DUMMYFUNCTION("""COMPUTED_VALUE"""),"Quentin Short")</f>
        <v>Quentin Short</v>
      </c>
      <c r="I2582" s="62"/>
      <c r="J2582" s="19"/>
    </row>
    <row r="2583">
      <c r="A2583" s="19" t="str">
        <f>IFERROR(__xludf.DUMMYFUNCTION("""COMPUTED_VALUE"""),"Veronica Cole")</f>
        <v>Veronica Cole</v>
      </c>
      <c r="B2583" s="19" t="str">
        <f>IFERROR(__xludf.DUMMYFUNCTION("""COMPUTED_VALUE"""),"WA")</f>
        <v>WA</v>
      </c>
      <c r="C2583" s="5" t="str">
        <f>IFERROR(__xludf.DUMMYFUNCTION("""COMPUTED_VALUE"""),"Pinjarra")</f>
        <v>Pinjarra</v>
      </c>
      <c r="D2583" s="5" t="str">
        <f>IFERROR(__xludf.DUMMYFUNCTION("""COMPUTED_VALUE"""),"16 Eureka Court Pinjarra WA 6208")</f>
        <v>16 Eureka Court Pinjarra WA 6208</v>
      </c>
      <c r="E2583" s="25">
        <f>IFERROR(__xludf.DUMMYFUNCTION("""COMPUTED_VALUE"""),45935.0)</f>
        <v>45935</v>
      </c>
      <c r="F2583" s="5">
        <f>IFERROR(__xludf.DUMMYFUNCTION("""COMPUTED_VALUE"""),8.0)</f>
        <v>8</v>
      </c>
      <c r="G2583" s="19" t="str">
        <f>IFERROR(__xludf.DUMMYFUNCTION("""COMPUTED_VALUE"""),"Instant Forms")</f>
        <v>Instant Forms</v>
      </c>
      <c r="H2583" s="19" t="str">
        <f>IFERROR(__xludf.DUMMYFUNCTION("""COMPUTED_VALUE"""),"Tim Newick")</f>
        <v>Tim Newick</v>
      </c>
      <c r="I2583" s="62"/>
      <c r="J2583" s="19"/>
    </row>
    <row r="2584">
      <c r="A2584" s="19" t="str">
        <f>IFERROR(__xludf.DUMMYFUNCTION("""COMPUTED_VALUE"""),"Veronica Cole")</f>
        <v>Veronica Cole</v>
      </c>
      <c r="B2584" s="19" t="str">
        <f>IFERROR(__xludf.DUMMYFUNCTION("""COMPUTED_VALUE"""),"WA")</f>
        <v>WA</v>
      </c>
      <c r="C2584" s="5" t="str">
        <f>IFERROR(__xludf.DUMMYFUNCTION("""COMPUTED_VALUE"""),"silver sands")</f>
        <v>silver sands</v>
      </c>
      <c r="D2584" s="5" t="str">
        <f>IFERROR(__xludf.DUMMYFUNCTION("""COMPUTED_VALUE"""),"22 Perseus Road Silver Sands WA 6210")</f>
        <v>22 Perseus Road Silver Sands WA 6210</v>
      </c>
      <c r="E2584" s="25">
        <f>IFERROR(__xludf.DUMMYFUNCTION("""COMPUTED_VALUE"""),45938.0)</f>
        <v>45938</v>
      </c>
      <c r="F2584" s="5">
        <f>IFERROR(__xludf.DUMMYFUNCTION("""COMPUTED_VALUE"""),8.0)</f>
        <v>8</v>
      </c>
      <c r="G2584" s="19" t="str">
        <f>IFERROR(__xludf.DUMMYFUNCTION("""COMPUTED_VALUE"""),"Instant Forms")</f>
        <v>Instant Forms</v>
      </c>
      <c r="H2584" s="19"/>
      <c r="I2584" s="62"/>
      <c r="J2584" s="19"/>
    </row>
    <row r="2585">
      <c r="A2585" s="19" t="str">
        <f>IFERROR(__xludf.DUMMYFUNCTION("""COMPUTED_VALUE"""),"Veronica Cole")</f>
        <v>Veronica Cole</v>
      </c>
      <c r="B2585" s="19" t="str">
        <f>IFERROR(__xludf.DUMMYFUNCTION("""COMPUTED_VALUE"""),"WA")</f>
        <v>WA</v>
      </c>
      <c r="C2585" s="5" t="str">
        <f>IFERROR(__xludf.DUMMYFUNCTION("""COMPUTED_VALUE"""),"Madora Bay")</f>
        <v>Madora Bay</v>
      </c>
      <c r="D2585" s="5" t="str">
        <f>IFERROR(__xludf.DUMMYFUNCTION("""COMPUTED_VALUE"""),"3 Orelia Street Madora Bay WA 6210")</f>
        <v>3 Orelia Street Madora Bay WA 6210</v>
      </c>
      <c r="E2585" s="25">
        <f>IFERROR(__xludf.DUMMYFUNCTION("""COMPUTED_VALUE"""),45940.0)</f>
        <v>45940</v>
      </c>
      <c r="F2585" s="5">
        <f>IFERROR(__xludf.DUMMYFUNCTION("""COMPUTED_VALUE"""),8.0)</f>
        <v>8</v>
      </c>
      <c r="G2585" s="19" t="str">
        <f>IFERROR(__xludf.DUMMYFUNCTION("""COMPUTED_VALUE"""),"Instant Forms")</f>
        <v>Instant Forms</v>
      </c>
      <c r="H2585" s="19"/>
      <c r="I2585" s="62"/>
      <c r="J2585" s="19"/>
    </row>
    <row r="2586">
      <c r="A2586" s="19" t="str">
        <f>IFERROR(__xludf.DUMMYFUNCTION("""COMPUTED_VALUE"""),"Veronica Cole")</f>
        <v>Veronica Cole</v>
      </c>
      <c r="B2586" s="19" t="str">
        <f>IFERROR(__xludf.DUMMYFUNCTION("""COMPUTED_VALUE"""),"WA")</f>
        <v>WA</v>
      </c>
      <c r="C2586" s="5" t="str">
        <f>IFERROR(__xludf.DUMMYFUNCTION("""COMPUTED_VALUE"""),"Madora bay")</f>
        <v>Madora bay</v>
      </c>
      <c r="D2586" s="5" t="str">
        <f>IFERROR(__xludf.DUMMYFUNCTION("""COMPUTED_VALUE"""),"8 Atwick Court Madora Bay WA 6210")</f>
        <v>8 Atwick Court Madora Bay WA 6210</v>
      </c>
      <c r="E2586" s="25">
        <f>IFERROR(__xludf.DUMMYFUNCTION("""COMPUTED_VALUE"""),45945.0)</f>
        <v>45945</v>
      </c>
      <c r="F2586" s="5">
        <f>IFERROR(__xludf.DUMMYFUNCTION("""COMPUTED_VALUE"""),8.0)</f>
        <v>8</v>
      </c>
      <c r="G2586" s="19" t="str">
        <f>IFERROR(__xludf.DUMMYFUNCTION("""COMPUTED_VALUE"""),"Instant Forms")</f>
        <v>Instant Forms</v>
      </c>
      <c r="H2586" s="19"/>
      <c r="I2586" s="62"/>
      <c r="J2586" s="19"/>
    </row>
    <row r="2587">
      <c r="A2587" s="19" t="str">
        <f>IFERROR(__xludf.DUMMYFUNCTION("""COMPUTED_VALUE"""),"Veronica Cole")</f>
        <v>Veronica Cole</v>
      </c>
      <c r="B2587" s="19" t="str">
        <f>IFERROR(__xludf.DUMMYFUNCTION("""COMPUTED_VALUE"""),"WA")</f>
        <v>WA</v>
      </c>
      <c r="C2587" s="5" t="str">
        <f>IFERROR(__xludf.DUMMYFUNCTION("""COMPUTED_VALUE"""),"singleton")</f>
        <v>singleton</v>
      </c>
      <c r="D2587" s="5" t="str">
        <f>IFERROR(__xludf.DUMMYFUNCTION("""COMPUTED_VALUE"""),"56 bight reefs rd singleton")</f>
        <v>56 bight reefs rd singleton</v>
      </c>
      <c r="E2587" s="25">
        <f>IFERROR(__xludf.DUMMYFUNCTION("""COMPUTED_VALUE"""),45946.0)</f>
        <v>45946</v>
      </c>
      <c r="F2587" s="5" t="str">
        <f>IFERROR(__xludf.DUMMYFUNCTION("""COMPUTED_VALUE"""),"Featured")</f>
        <v>Featured</v>
      </c>
      <c r="G2587" s="19" t="str">
        <f>IFERROR(__xludf.DUMMYFUNCTION("""COMPUTED_VALUE"""),"Commission Comparison")</f>
        <v>Commission Comparison</v>
      </c>
      <c r="H2587" s="19"/>
      <c r="I2587" s="62"/>
      <c r="J2587" s="19"/>
    </row>
    <row r="2588">
      <c r="A2588" s="19" t="str">
        <f>IFERROR(__xludf.DUMMYFUNCTION("""COMPUTED_VALUE"""),"Veronica Cole")</f>
        <v>Veronica Cole</v>
      </c>
      <c r="B2588" s="19" t="str">
        <f>IFERROR(__xludf.DUMMYFUNCTION("""COMPUTED_VALUE"""),"WA")</f>
        <v>WA</v>
      </c>
      <c r="C2588" s="5" t="str">
        <f>IFERROR(__xludf.DUMMYFUNCTION("""COMPUTED_VALUE"""),"Lakelands")</f>
        <v>Lakelands</v>
      </c>
      <c r="D2588" s="5" t="str">
        <f>IFERROR(__xludf.DUMMYFUNCTION("""COMPUTED_VALUE"""),"8 Calder Nook, Lakelands, WA, 6180, Australia")</f>
        <v>8 Calder Nook, Lakelands, WA, 6180, Australia</v>
      </c>
      <c r="E2588" s="25">
        <f>IFERROR(__xludf.DUMMYFUNCTION("""COMPUTED_VALUE"""),45946.0)</f>
        <v>45946</v>
      </c>
      <c r="F2588" s="5" t="str">
        <f>IFERROR(__xludf.DUMMYFUNCTION("""COMPUTED_VALUE"""),"Featured")</f>
        <v>Featured</v>
      </c>
      <c r="G2588" s="19" t="str">
        <f>IFERROR(__xludf.DUMMYFUNCTION("""COMPUTED_VALUE"""),"Commission Comparison")</f>
        <v>Commission Comparison</v>
      </c>
      <c r="H2588" s="19"/>
      <c r="I2588" s="62"/>
      <c r="J2588" s="19"/>
    </row>
    <row r="2589">
      <c r="A2589" s="19" t="str">
        <f>IFERROR(__xludf.DUMMYFUNCTION("""COMPUTED_VALUE"""),"Veronica Cole")</f>
        <v>Veronica Cole</v>
      </c>
      <c r="B2589" s="19" t="str">
        <f>IFERROR(__xludf.DUMMYFUNCTION("""COMPUTED_VALUE"""),"WA")</f>
        <v>WA</v>
      </c>
      <c r="C2589" s="5" t="str">
        <f>IFERROR(__xludf.DUMMYFUNCTION("""COMPUTED_VALUE"""),"south yunderup")</f>
        <v>south yunderup</v>
      </c>
      <c r="D2589" s="5" t="str">
        <f>IFERROR(__xludf.DUMMYFUNCTION("""COMPUTED_VALUE"""),"5 Heron Place")</f>
        <v>5 Heron Place</v>
      </c>
      <c r="E2589" s="25">
        <f>IFERROR(__xludf.DUMMYFUNCTION("""COMPUTED_VALUE"""),45946.0)</f>
        <v>45946</v>
      </c>
      <c r="F2589" s="5" t="str">
        <f>IFERROR(__xludf.DUMMYFUNCTION("""COMPUTED_VALUE"""),"Featured")</f>
        <v>Featured</v>
      </c>
      <c r="G2589" s="19" t="str">
        <f>IFERROR(__xludf.DUMMYFUNCTION("""COMPUTED_VALUE"""),"Commission Comparison")</f>
        <v>Commission Comparison</v>
      </c>
      <c r="H2589" s="19"/>
      <c r="I2589" s="62"/>
      <c r="J2589" s="19"/>
    </row>
    <row r="2590">
      <c r="A2590" s="19" t="str">
        <f>IFERROR(__xludf.DUMMYFUNCTION("""COMPUTED_VALUE"""),"Veronica Cole")</f>
        <v>Veronica Cole</v>
      </c>
      <c r="B2590" s="19" t="str">
        <f>IFERROR(__xludf.DUMMYFUNCTION("""COMPUTED_VALUE"""),"WA")</f>
        <v>WA</v>
      </c>
      <c r="C2590" s="5" t="str">
        <f>IFERROR(__xludf.DUMMYFUNCTION("""COMPUTED_VALUE"""),"Erskine")</f>
        <v>Erskine</v>
      </c>
      <c r="D2590" s="5" t="str">
        <f>IFERROR(__xludf.DUMMYFUNCTION("""COMPUTED_VALUE"""),"37 Natures Loop Erskine WA 6210")</f>
        <v>37 Natures Loop Erskine WA 6210</v>
      </c>
      <c r="E2590" s="25">
        <f>IFERROR(__xludf.DUMMYFUNCTION("""COMPUTED_VALUE"""),45950.0)</f>
        <v>45950</v>
      </c>
      <c r="F2590" s="5">
        <f>IFERROR(__xludf.DUMMYFUNCTION("""COMPUTED_VALUE"""),8.0)</f>
        <v>8</v>
      </c>
      <c r="G2590" s="19" t="str">
        <f>IFERROR(__xludf.DUMMYFUNCTION("""COMPUTED_VALUE"""),"Instant Forms")</f>
        <v>Instant Forms</v>
      </c>
      <c r="H2590" s="19"/>
      <c r="I2590" s="62"/>
      <c r="J2590" s="19"/>
    </row>
    <row r="2591">
      <c r="A2591" s="19" t="str">
        <f>IFERROR(__xludf.DUMMYFUNCTION("""COMPUTED_VALUE"""),"Veronica Cole")</f>
        <v>Veronica Cole</v>
      </c>
      <c r="B2591" s="19" t="str">
        <f>IFERROR(__xludf.DUMMYFUNCTION("""COMPUTED_VALUE"""),"WA")</f>
        <v>WA</v>
      </c>
      <c r="C2591" s="5" t="str">
        <f>IFERROR(__xludf.DUMMYFUNCTION("""COMPUTED_VALUE"""),"Mandurah")</f>
        <v>Mandurah</v>
      </c>
      <c r="D2591" s="5"/>
      <c r="E2591" s="25">
        <f>IFERROR(__xludf.DUMMYFUNCTION("""COMPUTED_VALUE"""),45950.0)</f>
        <v>45950</v>
      </c>
      <c r="F2591" s="5">
        <f>IFERROR(__xludf.DUMMYFUNCTION("""COMPUTED_VALUE"""),5.0)</f>
        <v>5</v>
      </c>
      <c r="G2591" s="19" t="str">
        <f>IFERROR(__xludf.DUMMYFUNCTION("""COMPUTED_VALUE"""),"Instant Forms")</f>
        <v>Instant Forms</v>
      </c>
      <c r="H2591" s="19"/>
      <c r="I2591" s="62"/>
      <c r="J2591" s="19"/>
    </row>
    <row r="2592">
      <c r="A2592" s="19" t="str">
        <f>IFERROR(__xludf.DUMMYFUNCTION("""COMPUTED_VALUE"""),"Veronica Cole")</f>
        <v>Veronica Cole</v>
      </c>
      <c r="B2592" s="19" t="str">
        <f>IFERROR(__xludf.DUMMYFUNCTION("""COMPUTED_VALUE"""),"WA")</f>
        <v>WA</v>
      </c>
      <c r="C2592" s="5" t="str">
        <f>IFERROR(__xludf.DUMMYFUNCTION("""COMPUTED_VALUE"""),"Greenfields")</f>
        <v>Greenfields</v>
      </c>
      <c r="D2592" s="5" t="str">
        <f>IFERROR(__xludf.DUMMYFUNCTION("""COMPUTED_VALUE"""),"10 Falstaff Close Greenfields WA 6210")</f>
        <v>10 Falstaff Close Greenfields WA 6210</v>
      </c>
      <c r="E2592" s="25">
        <f>IFERROR(__xludf.DUMMYFUNCTION("""COMPUTED_VALUE"""),45952.0)</f>
        <v>45952</v>
      </c>
      <c r="F2592" s="5">
        <f>IFERROR(__xludf.DUMMYFUNCTION("""COMPUTED_VALUE"""),8.0)</f>
        <v>8</v>
      </c>
      <c r="G2592" s="19" t="str">
        <f>IFERROR(__xludf.DUMMYFUNCTION("""COMPUTED_VALUE"""),"Instant Forms")</f>
        <v>Instant Forms</v>
      </c>
      <c r="H2592" s="19"/>
      <c r="I2592" s="62"/>
      <c r="J2592" s="19"/>
    </row>
    <row r="2593">
      <c r="A2593" s="19" t="str">
        <f>IFERROR(__xludf.DUMMYFUNCTION("""COMPUTED_VALUE"""),"Veronica Cole")</f>
        <v>Veronica Cole</v>
      </c>
      <c r="B2593" s="19" t="str">
        <f>IFERROR(__xludf.DUMMYFUNCTION("""COMPUTED_VALUE"""),"WA")</f>
        <v>WA</v>
      </c>
      <c r="C2593" s="5" t="str">
        <f>IFERROR(__xludf.DUMMYFUNCTION("""COMPUTED_VALUE"""),"Coodanup")</f>
        <v>Coodanup</v>
      </c>
      <c r="D2593" s="5" t="str">
        <f>IFERROR(__xludf.DUMMYFUNCTION("""COMPUTED_VALUE"""),"18 Rathmines Place Coodanup WA 6210")</f>
        <v>18 Rathmines Place Coodanup WA 6210</v>
      </c>
      <c r="E2593" s="25">
        <f>IFERROR(__xludf.DUMMYFUNCTION("""COMPUTED_VALUE"""),45952.0)</f>
        <v>45952</v>
      </c>
      <c r="F2593" s="5">
        <f>IFERROR(__xludf.DUMMYFUNCTION("""COMPUTED_VALUE"""),8.0)</f>
        <v>8</v>
      </c>
      <c r="G2593" s="19" t="str">
        <f>IFERROR(__xludf.DUMMYFUNCTION("""COMPUTED_VALUE"""),"Instant Forms")</f>
        <v>Instant Forms</v>
      </c>
      <c r="H2593" s="19"/>
      <c r="I2593" s="62"/>
      <c r="J2593" s="19"/>
    </row>
    <row r="2594">
      <c r="A2594" s="19" t="str">
        <f>IFERROR(__xludf.DUMMYFUNCTION("""COMPUTED_VALUE"""),"Veronica Cole")</f>
        <v>Veronica Cole</v>
      </c>
      <c r="B2594" s="19" t="str">
        <f>IFERROR(__xludf.DUMMYFUNCTION("""COMPUTED_VALUE"""),"WA")</f>
        <v>WA</v>
      </c>
      <c r="C2594" s="5" t="str">
        <f>IFERROR(__xludf.DUMMYFUNCTION("""COMPUTED_VALUE"""),"dudley park")</f>
        <v>dudley park</v>
      </c>
      <c r="D2594" s="5" t="str">
        <f>IFERROR(__xludf.DUMMYFUNCTION("""COMPUTED_VALUE"""),"11 Pallinup Pl")</f>
        <v>11 Pallinup Pl</v>
      </c>
      <c r="E2594" s="25">
        <f>IFERROR(__xludf.DUMMYFUNCTION("""COMPUTED_VALUE"""),45956.0)</f>
        <v>45956</v>
      </c>
      <c r="F2594" s="5" t="str">
        <f>IFERROR(__xludf.DUMMYFUNCTION("""COMPUTED_VALUE"""),"Featured")</f>
        <v>Featured</v>
      </c>
      <c r="G2594" s="19" t="str">
        <f>IFERROR(__xludf.DUMMYFUNCTION("""COMPUTED_VALUE"""),"Commission Comparison")</f>
        <v>Commission Comparison</v>
      </c>
      <c r="H2594" s="19"/>
      <c r="I2594" s="62"/>
      <c r="J2594" s="19"/>
    </row>
    <row r="2595">
      <c r="A2595" s="19" t="str">
        <f>IFERROR(__xludf.DUMMYFUNCTION("""COMPUTED_VALUE"""),"Veronica Cole")</f>
        <v>Veronica Cole</v>
      </c>
      <c r="B2595" s="19" t="str">
        <f>IFERROR(__xludf.DUMMYFUNCTION("""COMPUTED_VALUE"""),"WA")</f>
        <v>WA</v>
      </c>
      <c r="C2595" s="5" t="str">
        <f>IFERROR(__xludf.DUMMYFUNCTION("""COMPUTED_VALUE"""),"Coodanup")</f>
        <v>Coodanup</v>
      </c>
      <c r="D2595" s="5" t="str">
        <f>IFERROR(__xludf.DUMMYFUNCTION("""COMPUTED_VALUE"""),"38 Birchley Rd, Coodanup, 6210")</f>
        <v>38 Birchley Rd, Coodanup, 6210</v>
      </c>
      <c r="E2595" s="25" t="str">
        <f>IFERROR(__xludf.DUMMYFUNCTION("""COMPUTED_VALUE"""),"26/10/2025")</f>
        <v>26/10/2025</v>
      </c>
      <c r="F2595" s="5" t="str">
        <f>IFERROR(__xludf.DUMMYFUNCTION("""COMPUTED_VALUE"""),"Featured")</f>
        <v>Featured</v>
      </c>
      <c r="G2595" s="19" t="str">
        <f>IFERROR(__xludf.DUMMYFUNCTION("""COMPUTED_VALUE"""),"Meta Commission Report")</f>
        <v>Meta Commission Report</v>
      </c>
      <c r="H2595" s="19" t="str">
        <f>IFERROR(__xludf.DUMMYFUNCTION("""COMPUTED_VALUE"""),"Elaine Hodgkinson")</f>
        <v>Elaine Hodgkinson</v>
      </c>
      <c r="I2595" s="62"/>
      <c r="J2595" s="19"/>
    </row>
    <row r="2596">
      <c r="A2596" s="19" t="str">
        <f>IFERROR(__xludf.DUMMYFUNCTION("""COMPUTED_VALUE"""),"Veronica Cole")</f>
        <v>Veronica Cole</v>
      </c>
      <c r="B2596" s="19" t="str">
        <f>IFERROR(__xludf.DUMMYFUNCTION("""COMPUTED_VALUE"""),"WA")</f>
        <v>WA</v>
      </c>
      <c r="C2596" s="5" t="str">
        <f>IFERROR(__xludf.DUMMYFUNCTION("""COMPUTED_VALUE"""),"Dudley Park")</f>
        <v>Dudley Park</v>
      </c>
      <c r="D2596" s="5" t="str">
        <f>IFERROR(__xludf.DUMMYFUNCTION("""COMPUTED_VALUE"""),"5 Nellie Green Dudley Park WA 6210")</f>
        <v>5 Nellie Green Dudley Park WA 6210</v>
      </c>
      <c r="E2596" s="25">
        <f>IFERROR(__xludf.DUMMYFUNCTION("""COMPUTED_VALUE"""),45956.0)</f>
        <v>45956</v>
      </c>
      <c r="F2596" s="5">
        <f>IFERROR(__xludf.DUMMYFUNCTION("""COMPUTED_VALUE"""),8.0)</f>
        <v>8</v>
      </c>
      <c r="G2596" s="19" t="str">
        <f>IFERROR(__xludf.DUMMYFUNCTION("""COMPUTED_VALUE"""),"Instant Forms")</f>
        <v>Instant Forms</v>
      </c>
      <c r="H2596" s="19"/>
      <c r="I2596" s="62"/>
      <c r="J2596" s="19"/>
    </row>
    <row r="2597">
      <c r="A2597" s="19" t="str">
        <f>IFERROR(__xludf.DUMMYFUNCTION("""COMPUTED_VALUE"""),"Veronica Cole")</f>
        <v>Veronica Cole</v>
      </c>
      <c r="B2597" s="19" t="str">
        <f>IFERROR(__xludf.DUMMYFUNCTION("""COMPUTED_VALUE"""),"WA")</f>
        <v>WA</v>
      </c>
      <c r="C2597" s="5" t="str">
        <f>IFERROR(__xludf.DUMMYFUNCTION("""COMPUTED_VALUE"""),"Meadow Springs")</f>
        <v>Meadow Springs</v>
      </c>
      <c r="D2597" s="5"/>
      <c r="E2597" s="25">
        <f>IFERROR(__xludf.DUMMYFUNCTION("""COMPUTED_VALUE"""),45958.0)</f>
        <v>45958</v>
      </c>
      <c r="F2597" s="5">
        <f>IFERROR(__xludf.DUMMYFUNCTION("""COMPUTED_VALUE"""),5.0)</f>
        <v>5</v>
      </c>
      <c r="G2597" s="19" t="str">
        <f>IFERROR(__xludf.DUMMYFUNCTION("""COMPUTED_VALUE"""),"Instant Forms")</f>
        <v>Instant Forms</v>
      </c>
      <c r="H2597" s="19"/>
      <c r="I2597" s="62"/>
      <c r="J2597" s="19"/>
    </row>
    <row r="2598">
      <c r="A2598" s="19" t="str">
        <f>IFERROR(__xludf.DUMMYFUNCTION("""COMPUTED_VALUE"""),"Veronica Cole")</f>
        <v>Veronica Cole</v>
      </c>
      <c r="B2598" s="19" t="str">
        <f>IFERROR(__xludf.DUMMYFUNCTION("""COMPUTED_VALUE"""),"WA")</f>
        <v>WA</v>
      </c>
      <c r="C2598" s="5" t="str">
        <f>IFERROR(__xludf.DUMMYFUNCTION("""COMPUTED_VALUE"""),"Dudley park")</f>
        <v>Dudley park</v>
      </c>
      <c r="D2598" s="5" t="str">
        <f>IFERROR(__xludf.DUMMYFUNCTION("""COMPUTED_VALUE"""),"8 hudson drive dudley park")</f>
        <v>8 hudson drive dudley park</v>
      </c>
      <c r="E2598" s="25">
        <f>IFERROR(__xludf.DUMMYFUNCTION("""COMPUTED_VALUE"""),45958.0)</f>
        <v>45958</v>
      </c>
      <c r="F2598" s="5" t="str">
        <f>IFERROR(__xludf.DUMMYFUNCTION("""COMPUTED_VALUE"""),"Featured")</f>
        <v>Featured</v>
      </c>
      <c r="G2598" s="19" t="str">
        <f>IFERROR(__xludf.DUMMYFUNCTION("""COMPUTED_VALUE"""),"Commission Comparison")</f>
        <v>Commission Comparison</v>
      </c>
      <c r="H2598" s="19"/>
      <c r="I2598" s="62"/>
      <c r="J2598" s="19"/>
    </row>
    <row r="2599">
      <c r="A2599" s="19" t="str">
        <f>IFERROR(__xludf.DUMMYFUNCTION("""COMPUTED_VALUE"""),"Veronica Cole")</f>
        <v>Veronica Cole</v>
      </c>
      <c r="B2599" s="19" t="str">
        <f>IFERROR(__xludf.DUMMYFUNCTION("""COMPUTED_VALUE"""),"WA")</f>
        <v>WA</v>
      </c>
      <c r="C2599" s="5" t="str">
        <f>IFERROR(__xludf.DUMMYFUNCTION("""COMPUTED_VALUE"""),"Meadow Springs")</f>
        <v>Meadow Springs</v>
      </c>
      <c r="D2599" s="5" t="str">
        <f>IFERROR(__xludf.DUMMYFUNCTION("""COMPUTED_VALUE"""),"26 Highland Crescent Meadow Springs WA 6210")</f>
        <v>26 Highland Crescent Meadow Springs WA 6210</v>
      </c>
      <c r="E2599" s="25">
        <f>IFERROR(__xludf.DUMMYFUNCTION("""COMPUTED_VALUE"""),45958.0)</f>
        <v>45958</v>
      </c>
      <c r="F2599" s="5">
        <f>IFERROR(__xludf.DUMMYFUNCTION("""COMPUTED_VALUE"""),8.0)</f>
        <v>8</v>
      </c>
      <c r="G2599" s="19" t="str">
        <f>IFERROR(__xludf.DUMMYFUNCTION("""COMPUTED_VALUE"""),"Instant Forms")</f>
        <v>Instant Forms</v>
      </c>
      <c r="H2599" s="19"/>
      <c r="I2599" s="62"/>
      <c r="J2599" s="19"/>
    </row>
    <row r="2600">
      <c r="A2600" s="19" t="str">
        <f>IFERROR(__xludf.DUMMYFUNCTION("""COMPUTED_VALUE"""),"Veronica Cole")</f>
        <v>Veronica Cole</v>
      </c>
      <c r="B2600" s="19" t="str">
        <f>IFERROR(__xludf.DUMMYFUNCTION("""COMPUTED_VALUE"""),"WA")</f>
        <v>WA</v>
      </c>
      <c r="C2600" s="5" t="str">
        <f>IFERROR(__xludf.DUMMYFUNCTION("""COMPUTED_VALUE"""),"Wannanup")</f>
        <v>Wannanup</v>
      </c>
      <c r="D2600" s="5" t="str">
        <f>IFERROR(__xludf.DUMMYFUNCTION("""COMPUTED_VALUE"""),"9 Crowsnest Terrace Wannanup WA 6210")</f>
        <v>9 Crowsnest Terrace Wannanup WA 6210</v>
      </c>
      <c r="E2600" s="25">
        <f>IFERROR(__xludf.DUMMYFUNCTION("""COMPUTED_VALUE"""),45960.0)</f>
        <v>45960</v>
      </c>
      <c r="F2600" s="5" t="str">
        <f>IFERROR(__xludf.DUMMYFUNCTION("""COMPUTED_VALUE"""),"Featured")</f>
        <v>Featured</v>
      </c>
      <c r="G2600" s="19" t="str">
        <f>IFERROR(__xludf.DUMMYFUNCTION("""COMPUTED_VALUE"""),"Commission Comparison")</f>
        <v>Commission Comparison</v>
      </c>
      <c r="H2600" s="19"/>
      <c r="I2600" s="62"/>
      <c r="J2600" s="19"/>
    </row>
    <row r="2601">
      <c r="A2601" s="19" t="str">
        <f>IFERROR(__xludf.DUMMYFUNCTION("""COMPUTED_VALUE"""),"Veronica Cole")</f>
        <v>Veronica Cole</v>
      </c>
      <c r="B2601" s="19" t="str">
        <f>IFERROR(__xludf.DUMMYFUNCTION("""COMPUTED_VALUE"""),"WA")</f>
        <v>WA</v>
      </c>
      <c r="C2601" s="5" t="str">
        <f>IFERROR(__xludf.DUMMYFUNCTION("""COMPUTED_VALUE"""),"Greenfields")</f>
        <v>Greenfields</v>
      </c>
      <c r="D2601" s="5" t="str">
        <f>IFERROR(__xludf.DUMMYFUNCTION("""COMPUTED_VALUE"""),"26 Bedingfeld Rd")</f>
        <v>26 Bedingfeld Rd</v>
      </c>
      <c r="E2601" s="25">
        <f>IFERROR(__xludf.DUMMYFUNCTION("""COMPUTED_VALUE"""),45961.0)</f>
        <v>45961</v>
      </c>
      <c r="F2601" s="5" t="str">
        <f>IFERROR(__xludf.DUMMYFUNCTION("""COMPUTED_VALUE"""),"Featured")</f>
        <v>Featured</v>
      </c>
      <c r="G2601" s="19" t="str">
        <f>IFERROR(__xludf.DUMMYFUNCTION("""COMPUTED_VALUE"""),"Commission Comparison")</f>
        <v>Commission Comparison</v>
      </c>
      <c r="H2601" s="19"/>
      <c r="I2601" s="62"/>
      <c r="J2601" s="19"/>
    </row>
    <row r="2602">
      <c r="A2602" s="19" t="str">
        <f>IFERROR(__xludf.DUMMYFUNCTION("""COMPUTED_VALUE"""),"Veronica Cole")</f>
        <v>Veronica Cole</v>
      </c>
      <c r="B2602" s="19" t="str">
        <f>IFERROR(__xludf.DUMMYFUNCTION("""COMPUTED_VALUE"""),"WA")</f>
        <v>WA</v>
      </c>
      <c r="C2602" s="5" t="str">
        <f>IFERROR(__xludf.DUMMYFUNCTION("""COMPUTED_VALUE"""),"Greenfields western australia")</f>
        <v>Greenfields western australia</v>
      </c>
      <c r="D2602" s="5" t="str">
        <f>IFERROR(__xludf.DUMMYFUNCTION("""COMPUTED_VALUE"""),"7 Sartorial Pl")</f>
        <v>7 Sartorial Pl</v>
      </c>
      <c r="E2602" s="25">
        <f>IFERROR(__xludf.DUMMYFUNCTION("""COMPUTED_VALUE"""),45962.0)</f>
        <v>45962</v>
      </c>
      <c r="F2602" s="5" t="str">
        <f>IFERROR(__xludf.DUMMYFUNCTION("""COMPUTED_VALUE"""),"Featured")</f>
        <v>Featured</v>
      </c>
      <c r="G2602" s="19" t="str">
        <f>IFERROR(__xludf.DUMMYFUNCTION("""COMPUTED_VALUE"""),"Commission Comparison")</f>
        <v>Commission Comparison</v>
      </c>
      <c r="H2602" s="19"/>
      <c r="I2602" s="62"/>
      <c r="J2602" s="19"/>
    </row>
    <row r="2603">
      <c r="A2603" s="19" t="str">
        <f>IFERROR(__xludf.DUMMYFUNCTION("""COMPUTED_VALUE"""),"Veronica Cole")</f>
        <v>Veronica Cole</v>
      </c>
      <c r="B2603" s="19" t="str">
        <f>IFERROR(__xludf.DUMMYFUNCTION("""COMPUTED_VALUE"""),"WA")</f>
        <v>WA</v>
      </c>
      <c r="C2603" s="5" t="str">
        <f>IFERROR(__xludf.DUMMYFUNCTION("""COMPUTED_VALUE"""),"Madora Bay")</f>
        <v>Madora Bay</v>
      </c>
      <c r="D2603" s="5" t="str">
        <f>IFERROR(__xludf.DUMMYFUNCTION("""COMPUTED_VALUE"""),"9 Pattinson ridge madora Bay WA")</f>
        <v>9 Pattinson ridge madora Bay WA</v>
      </c>
      <c r="E2603" s="25">
        <f>IFERROR(__xludf.DUMMYFUNCTION("""COMPUTED_VALUE"""),45962.0)</f>
        <v>45962</v>
      </c>
      <c r="F2603" s="5" t="str">
        <f>IFERROR(__xludf.DUMMYFUNCTION("""COMPUTED_VALUE"""),"Featured")</f>
        <v>Featured</v>
      </c>
      <c r="G2603" s="19" t="str">
        <f>IFERROR(__xludf.DUMMYFUNCTION("""COMPUTED_VALUE"""),"Commission Comparison")</f>
        <v>Commission Comparison</v>
      </c>
      <c r="H2603" s="19"/>
      <c r="I2603" s="62"/>
      <c r="J2603" s="19"/>
    </row>
    <row r="2604">
      <c r="A2604" s="19" t="str">
        <f>IFERROR(__xludf.DUMMYFUNCTION("""COMPUTED_VALUE"""),"Veronica Cole")</f>
        <v>Veronica Cole</v>
      </c>
      <c r="B2604" s="19" t="str">
        <f>IFERROR(__xludf.DUMMYFUNCTION("""COMPUTED_VALUE"""),"WA")</f>
        <v>WA</v>
      </c>
      <c r="C2604" s="5" t="str">
        <f>IFERROR(__xludf.DUMMYFUNCTION("""COMPUTED_VALUE"""),"Mandurah")</f>
        <v>Mandurah</v>
      </c>
      <c r="D2604" s="5" t="str">
        <f>IFERROR(__xludf.DUMMYFUNCTION("""COMPUTED_VALUE"""),"124 Cooper Street Mandurah WA 6210")</f>
        <v>124 Cooper Street Mandurah WA 6210</v>
      </c>
      <c r="E2604" s="25">
        <f>IFERROR(__xludf.DUMMYFUNCTION("""COMPUTED_VALUE"""),45962.0)</f>
        <v>45962</v>
      </c>
      <c r="F2604" s="5">
        <f>IFERROR(__xludf.DUMMYFUNCTION("""COMPUTED_VALUE"""),8.0)</f>
        <v>8</v>
      </c>
      <c r="G2604" s="19" t="str">
        <f>IFERROR(__xludf.DUMMYFUNCTION("""COMPUTED_VALUE"""),"Instant Forms")</f>
        <v>Instant Forms</v>
      </c>
      <c r="H2604" s="19"/>
      <c r="I2604" s="62"/>
      <c r="J2604" s="19"/>
    </row>
    <row r="2605">
      <c r="A2605" s="19" t="str">
        <f>IFERROR(__xludf.DUMMYFUNCTION("""COMPUTED_VALUE"""),"Veronica Cole")</f>
        <v>Veronica Cole</v>
      </c>
      <c r="B2605" s="19" t="str">
        <f>IFERROR(__xludf.DUMMYFUNCTION("""COMPUTED_VALUE"""),"WA")</f>
        <v>WA</v>
      </c>
      <c r="C2605" s="5" t="str">
        <f>IFERROR(__xludf.DUMMYFUNCTION("""COMPUTED_VALUE"""),"Coodanup")</f>
        <v>Coodanup</v>
      </c>
      <c r="D2605" s="5" t="str">
        <f>IFERROR(__xludf.DUMMYFUNCTION("""COMPUTED_VALUE"""),"49Thornbill Crescent, coodanup, 6210")</f>
        <v>49Thornbill Crescent, coodanup, 6210</v>
      </c>
      <c r="E2605" s="27">
        <f>IFERROR(__xludf.DUMMYFUNCTION("""COMPUTED_VALUE"""),45727.0)</f>
        <v>45727</v>
      </c>
      <c r="F2605" s="5" t="str">
        <f>IFERROR(__xludf.DUMMYFUNCTION("""COMPUTED_VALUE"""),"Featured")</f>
        <v>Featured</v>
      </c>
      <c r="G2605" s="19" t="str">
        <f>IFERROR(__xludf.DUMMYFUNCTION("""COMPUTED_VALUE"""),"Meta Commission Report")</f>
        <v>Meta Commission Report</v>
      </c>
      <c r="H2605" s="19" t="str">
        <f>IFERROR(__xludf.DUMMYFUNCTION("""COMPUTED_VALUE"""),"Malena Lema")</f>
        <v>Malena Lema</v>
      </c>
      <c r="I2605" s="62"/>
      <c r="J2605" s="19"/>
    </row>
    <row r="2606">
      <c r="A2606" s="19" t="str">
        <f>IFERROR(__xludf.DUMMYFUNCTION("""COMPUTED_VALUE"""),"Veronica Cole")</f>
        <v>Veronica Cole</v>
      </c>
      <c r="B2606" s="19" t="str">
        <f>IFERROR(__xludf.DUMMYFUNCTION("""COMPUTED_VALUE"""),"WA")</f>
        <v>WA</v>
      </c>
      <c r="C2606" s="5" t="str">
        <f>IFERROR(__xludf.DUMMYFUNCTION("""COMPUTED_VALUE"""),"Wannanup")</f>
        <v>Wannanup</v>
      </c>
      <c r="D2606" s="5" t="str">
        <f>IFERROR(__xludf.DUMMYFUNCTION("""COMPUTED_VALUE"""),"1 Maywood way, Wannanup 6210")</f>
        <v>1 Maywood way, Wannanup 6210</v>
      </c>
      <c r="E2606" s="25">
        <f>IFERROR(__xludf.DUMMYFUNCTION("""COMPUTED_VALUE"""),45964.0)</f>
        <v>45964</v>
      </c>
      <c r="F2606" s="5" t="str">
        <f>IFERROR(__xludf.DUMMYFUNCTION("""COMPUTED_VALUE"""),"Featured")</f>
        <v>Featured</v>
      </c>
      <c r="G2606" s="19" t="str">
        <f>IFERROR(__xludf.DUMMYFUNCTION("""COMPUTED_VALUE"""),"Commission Comparison")</f>
        <v>Commission Comparison</v>
      </c>
      <c r="H2606" s="19"/>
      <c r="I2606" s="62"/>
      <c r="J2606" s="19"/>
    </row>
    <row r="2607">
      <c r="A2607" s="19" t="str">
        <f>IFERROR(__xludf.DUMMYFUNCTION("""COMPUTED_VALUE"""),"Veronica Cole")</f>
        <v>Veronica Cole</v>
      </c>
      <c r="B2607" s="19" t="str">
        <f>IFERROR(__xludf.DUMMYFUNCTION("""COMPUTED_VALUE"""),"WA")</f>
        <v>WA</v>
      </c>
      <c r="C2607" s="5" t="str">
        <f>IFERROR(__xludf.DUMMYFUNCTION("""COMPUTED_VALUE"""),"Mandurah")</f>
        <v>Mandurah</v>
      </c>
      <c r="D2607" s="5" t="str">
        <f>IFERROR(__xludf.DUMMYFUNCTION("""COMPUTED_VALUE"""),"104 / 3 Marco Polo Drive, Mandurah, WA, 6210, Australia")</f>
        <v>104 / 3 Marco Polo Drive, Mandurah, WA, 6210, Australia</v>
      </c>
      <c r="E2607" s="25">
        <f>IFERROR(__xludf.DUMMYFUNCTION("""COMPUTED_VALUE"""),45964.0)</f>
        <v>45964</v>
      </c>
      <c r="F2607" s="5" t="str">
        <f>IFERROR(__xludf.DUMMYFUNCTION("""COMPUTED_VALUE"""),"Featured")</f>
        <v>Featured</v>
      </c>
      <c r="G2607" s="19" t="str">
        <f>IFERROR(__xludf.DUMMYFUNCTION("""COMPUTED_VALUE"""),"Commission Comparison")</f>
        <v>Commission Comparison</v>
      </c>
      <c r="H2607" s="19"/>
      <c r="I2607" s="62"/>
      <c r="J2607" s="19"/>
    </row>
    <row r="2608">
      <c r="A2608" s="19" t="str">
        <f>IFERROR(__xludf.DUMMYFUNCTION("""COMPUTED_VALUE"""),"Veronica Cole")</f>
        <v>Veronica Cole</v>
      </c>
      <c r="B2608" s="19" t="str">
        <f>IFERROR(__xludf.DUMMYFUNCTION("""COMPUTED_VALUE"""),"WA")</f>
        <v>WA</v>
      </c>
      <c r="C2608" s="5" t="str">
        <f>IFERROR(__xludf.DUMMYFUNCTION("""COMPUTED_VALUE"""),"Meadow Springs")</f>
        <v>Meadow Springs</v>
      </c>
      <c r="D2608" s="5" t="str">
        <f>IFERROR(__xludf.DUMMYFUNCTION("""COMPUTED_VALUE"""),"6 Mayfair Mews, Meadow Springs, WA, 6210, Australia")</f>
        <v>6 Mayfair Mews, Meadow Springs, WA, 6210, Australia</v>
      </c>
      <c r="E2608" s="25">
        <f>IFERROR(__xludf.DUMMYFUNCTION("""COMPUTED_VALUE"""),45966.0)</f>
        <v>45966</v>
      </c>
      <c r="F2608" s="5" t="str">
        <f>IFERROR(__xludf.DUMMYFUNCTION("""COMPUTED_VALUE"""),"Featured")</f>
        <v>Featured</v>
      </c>
      <c r="G2608" s="19" t="str">
        <f>IFERROR(__xludf.DUMMYFUNCTION("""COMPUTED_VALUE"""),"Commission Comparison")</f>
        <v>Commission Comparison</v>
      </c>
      <c r="H2608" s="19" t="str">
        <f>IFERROR(__xludf.DUMMYFUNCTION("""COMPUTED_VALUE"""),"Joanne Fitzpatrick")</f>
        <v>Joanne Fitzpatrick</v>
      </c>
      <c r="I2608" s="62">
        <f>IFERROR(__xludf.DUMMYFUNCTION("""COMPUTED_VALUE"""),6.1416093739E10)</f>
        <v>61416093739</v>
      </c>
      <c r="J2608" s="19" t="str">
        <f>IFERROR(__xludf.DUMMYFUNCTION("""COMPUTED_VALUE"""),"joanne.fitzpatrick@gmail.com")</f>
        <v>joanne.fitzpatrick@gmail.com</v>
      </c>
    </row>
    <row r="2609">
      <c r="A2609" s="19" t="str">
        <f>IFERROR(__xludf.DUMMYFUNCTION("""COMPUTED_VALUE"""),"Veronica Cole")</f>
        <v>Veronica Cole</v>
      </c>
      <c r="B2609" s="19" t="str">
        <f>IFERROR(__xludf.DUMMYFUNCTION("""COMPUTED_VALUE"""),"WA")</f>
        <v>WA</v>
      </c>
      <c r="C2609" s="5" t="str">
        <f>IFERROR(__xludf.DUMMYFUNCTION("""COMPUTED_VALUE"""),"Meadow Springs")</f>
        <v>Meadow Springs</v>
      </c>
      <c r="D2609" s="5" t="str">
        <f>IFERROR(__xludf.DUMMYFUNCTION("""COMPUTED_VALUE"""),"94 Headingley Link, Meadow Springs")</f>
        <v>94 Headingley Link, Meadow Springs</v>
      </c>
      <c r="E2609" s="27">
        <f>IFERROR(__xludf.DUMMYFUNCTION("""COMPUTED_VALUE"""),45819.0)</f>
        <v>45819</v>
      </c>
      <c r="F2609" s="5" t="str">
        <f>IFERROR(__xludf.DUMMYFUNCTION("""COMPUTED_VALUE"""),"Featured")</f>
        <v>Featured</v>
      </c>
      <c r="G2609" s="19" t="str">
        <f>IFERROR(__xludf.DUMMYFUNCTION("""COMPUTED_VALUE"""),"Commission Comparison")</f>
        <v>Commission Comparison</v>
      </c>
      <c r="H2609" s="19" t="str">
        <f>IFERROR(__xludf.DUMMYFUNCTION("""COMPUTED_VALUE"""),"Vince Anderson")</f>
        <v>Vince Anderson</v>
      </c>
      <c r="I2609" s="62">
        <f>IFERROR(__xludf.DUMMYFUNCTION("""COMPUTED_VALUE"""),6.1404396396E10)</f>
        <v>61404396396</v>
      </c>
      <c r="J2609" s="19" t="str">
        <f>IFERROR(__xludf.DUMMYFUNCTION("""COMPUTED_VALUE"""),"vincentg.anderson@gmail.com")</f>
        <v>vincentg.anderson@gmail.com</v>
      </c>
    </row>
    <row r="2610">
      <c r="A2610" s="19" t="str">
        <f>IFERROR(__xludf.DUMMYFUNCTION("""COMPUTED_VALUE"""),"Veronica Cole")</f>
        <v>Veronica Cole</v>
      </c>
      <c r="B2610" s="19" t="str">
        <f>IFERROR(__xludf.DUMMYFUNCTION("""COMPUTED_VALUE"""),"WA")</f>
        <v>WA</v>
      </c>
      <c r="C2610" s="5" t="str">
        <f>IFERROR(__xludf.DUMMYFUNCTION("""COMPUTED_VALUE"""),"Dudley Park")</f>
        <v>Dudley Park</v>
      </c>
      <c r="D2610" s="5" t="str">
        <f>IFERROR(__xludf.DUMMYFUNCTION("""COMPUTED_VALUE"""),"25 Starfire Close Halls Head WA 6210")</f>
        <v>25 Starfire Close Halls Head WA 6210</v>
      </c>
      <c r="E2610" s="25">
        <f>IFERROR(__xludf.DUMMYFUNCTION("""COMPUTED_VALUE"""),45966.0)</f>
        <v>45966</v>
      </c>
      <c r="F2610" s="5">
        <f>IFERROR(__xludf.DUMMYFUNCTION("""COMPUTED_VALUE"""),8.0)</f>
        <v>8</v>
      </c>
      <c r="G2610" s="19" t="str">
        <f>IFERROR(__xludf.DUMMYFUNCTION("""COMPUTED_VALUE"""),"Instant Forms")</f>
        <v>Instant Forms</v>
      </c>
      <c r="H2610" s="19" t="str">
        <f>IFERROR(__xludf.DUMMYFUNCTION("""COMPUTED_VALUE"""),"Garry Backshall")</f>
        <v>Garry Backshall</v>
      </c>
      <c r="I2610" s="62">
        <f>IFERROR(__xludf.DUMMYFUNCTION("""COMPUTED_VALUE"""),6.1428539471E10)</f>
        <v>61428539471</v>
      </c>
      <c r="J2610" s="19" t="str">
        <f>IFERROR(__xludf.DUMMYFUNCTION("""COMPUTED_VALUE"""),"garrybackshall@gmail.com")</f>
        <v>garrybackshall@gmail.com</v>
      </c>
    </row>
    <row r="2611">
      <c r="A2611" s="19" t="str">
        <f>IFERROR(__xludf.DUMMYFUNCTION("""COMPUTED_VALUE"""),"Veronica Cole")</f>
        <v>Veronica Cole</v>
      </c>
      <c r="B2611" s="19" t="str">
        <f>IFERROR(__xludf.DUMMYFUNCTION("""COMPUTED_VALUE"""),"WA")</f>
        <v>WA</v>
      </c>
      <c r="C2611" s="5" t="str">
        <f>IFERROR(__xludf.DUMMYFUNCTION("""COMPUTED_VALUE"""),"Mandurah")</f>
        <v>Mandurah</v>
      </c>
      <c r="D2611" s="5" t="str">
        <f>IFERROR(__xludf.DUMMYFUNCTION("""COMPUTED_VALUE"""),"2/20a France street Mandurah")</f>
        <v>2/20a France street Mandurah</v>
      </c>
      <c r="E2611" s="25">
        <f>IFERROR(__xludf.DUMMYFUNCTION("""COMPUTED_VALUE"""),45968.0)</f>
        <v>45968</v>
      </c>
      <c r="F2611" s="5" t="str">
        <f>IFERROR(__xludf.DUMMYFUNCTION("""COMPUTED_VALUE"""),"Featured")</f>
        <v>Featured</v>
      </c>
      <c r="G2611" s="19" t="str">
        <f>IFERROR(__xludf.DUMMYFUNCTION("""COMPUTED_VALUE"""),"Commission Comparison")</f>
        <v>Commission Comparison</v>
      </c>
      <c r="H2611" s="19" t="str">
        <f>IFERROR(__xludf.DUMMYFUNCTION("""COMPUTED_VALUE"""),"Georgina Seymour")</f>
        <v>Georgina Seymour</v>
      </c>
      <c r="I2611" s="62">
        <f>IFERROR(__xludf.DUMMYFUNCTION("""COMPUTED_VALUE"""),6.1406691753E10)</f>
        <v>61406691753</v>
      </c>
      <c r="J2611" s="19" t="str">
        <f>IFERROR(__xludf.DUMMYFUNCTION("""COMPUTED_VALUE"""),"baz.georgie@hotmail.com")</f>
        <v>baz.georgie@hotmail.com</v>
      </c>
    </row>
    <row r="2612">
      <c r="A2612" s="19" t="str">
        <f>IFERROR(__xludf.DUMMYFUNCTION("""COMPUTED_VALUE"""),"Veronica Cole")</f>
        <v>Veronica Cole</v>
      </c>
      <c r="B2612" s="19" t="str">
        <f>IFERROR(__xludf.DUMMYFUNCTION("""COMPUTED_VALUE"""),"WA")</f>
        <v>WA</v>
      </c>
      <c r="C2612" s="5" t="str">
        <f>IFERROR(__xludf.DUMMYFUNCTION("""COMPUTED_VALUE"""),"Meadow Springs")</f>
        <v>Meadow Springs</v>
      </c>
      <c r="D2612" s="5" t="str">
        <f>IFERROR(__xludf.DUMMYFUNCTION("""COMPUTED_VALUE"""),"19 Bellerive Pass, Meadow Springs, 6210")</f>
        <v>19 Bellerive Pass, Meadow Springs, 6210</v>
      </c>
      <c r="E2612" s="25">
        <f>IFERROR(__xludf.DUMMYFUNCTION("""COMPUTED_VALUE"""),45972.0)</f>
        <v>45972</v>
      </c>
      <c r="F2612" s="5" t="str">
        <f>IFERROR(__xludf.DUMMYFUNCTION("""COMPUTED_VALUE"""),"Featured")</f>
        <v>Featured</v>
      </c>
      <c r="G2612" s="19" t="str">
        <f>IFERROR(__xludf.DUMMYFUNCTION("""COMPUTED_VALUE"""),"Meta Commission Report")</f>
        <v>Meta Commission Report</v>
      </c>
      <c r="H2612" s="19" t="str">
        <f>IFERROR(__xludf.DUMMYFUNCTION("""COMPUTED_VALUE"""),"Honey Tapuvae")</f>
        <v>Honey Tapuvae</v>
      </c>
      <c r="I2612" s="62">
        <f>IFERROR(__xludf.DUMMYFUNCTION("""COMPUTED_VALUE"""),6.1448834348E10)</f>
        <v>61448834348</v>
      </c>
      <c r="J2612" s="19" t="str">
        <f>IFERROR(__xludf.DUMMYFUNCTION("""COMPUTED_VALUE"""),"tapuvaea@gmail.com")</f>
        <v>tapuvaea@gmail.com</v>
      </c>
    </row>
    <row r="2613">
      <c r="A2613" s="19" t="str">
        <f>IFERROR(__xludf.DUMMYFUNCTION("""COMPUTED_VALUE"""),"Veronica Cole")</f>
        <v>Veronica Cole</v>
      </c>
      <c r="B2613" s="19" t="str">
        <f>IFERROR(__xludf.DUMMYFUNCTION("""COMPUTED_VALUE"""),"WA")</f>
        <v>WA</v>
      </c>
      <c r="C2613" s="5" t="str">
        <f>IFERROR(__xludf.DUMMYFUNCTION("""COMPUTED_VALUE"""),"Meadow Springs")</f>
        <v>Meadow Springs</v>
      </c>
      <c r="D2613" s="5" t="str">
        <f>IFERROR(__xludf.DUMMYFUNCTION("""COMPUTED_VALUE"""),"19 Bellerive Pass, Meadow Springs, WA, 6210, Australia")</f>
        <v>19 Bellerive Pass, Meadow Springs, WA, 6210, Australia</v>
      </c>
      <c r="E2613" s="25">
        <f>IFERROR(__xludf.DUMMYFUNCTION("""COMPUTED_VALUE"""),45972.0)</f>
        <v>45972</v>
      </c>
      <c r="F2613" s="5" t="str">
        <f>IFERROR(__xludf.DUMMYFUNCTION("""COMPUTED_VALUE"""),"Featured")</f>
        <v>Featured</v>
      </c>
      <c r="G2613" s="19" t="str">
        <f>IFERROR(__xludf.DUMMYFUNCTION("""COMPUTED_VALUE"""),"Commission Comparison")</f>
        <v>Commission Comparison</v>
      </c>
      <c r="H2613" s="19" t="str">
        <f>IFERROR(__xludf.DUMMYFUNCTION("""COMPUTED_VALUE"""),"Honey  Tapuvae")</f>
        <v>Honey  Tapuvae</v>
      </c>
      <c r="I2613" s="62">
        <f>IFERROR(__xludf.DUMMYFUNCTION("""COMPUTED_VALUE"""),6.10448834348E11)</f>
        <v>610448834348</v>
      </c>
      <c r="J2613" s="19" t="str">
        <f>IFERROR(__xludf.DUMMYFUNCTION("""COMPUTED_VALUE"""),"tapuvaea@gmail.com")</f>
        <v>tapuvaea@gmail.com</v>
      </c>
    </row>
    <row r="2614">
      <c r="A2614" s="19" t="str">
        <f>IFERROR(__xludf.DUMMYFUNCTION("""COMPUTED_VALUE"""),"Veronica Cole")</f>
        <v>Veronica Cole</v>
      </c>
      <c r="B2614" s="19" t="str">
        <f>IFERROR(__xludf.DUMMYFUNCTION("""COMPUTED_VALUE"""),"WA")</f>
        <v>WA</v>
      </c>
      <c r="C2614" s="5" t="str">
        <f>IFERROR(__xludf.DUMMYFUNCTION("""COMPUTED_VALUE"""),"Coodanup")</f>
        <v>Coodanup</v>
      </c>
      <c r="D2614" s="5" t="str">
        <f>IFERROR(__xludf.DUMMYFUNCTION("""COMPUTED_VALUE"""),"4 Moulton st, coodanup 6210, Coodanup, 6210")</f>
        <v>4 Moulton st, coodanup 6210, Coodanup, 6210</v>
      </c>
      <c r="E2614" s="25">
        <f>IFERROR(__xludf.DUMMYFUNCTION("""COMPUTED_VALUE"""),45972.0)</f>
        <v>45972</v>
      </c>
      <c r="F2614" s="5" t="str">
        <f>IFERROR(__xludf.DUMMYFUNCTION("""COMPUTED_VALUE"""),"Featured")</f>
        <v>Featured</v>
      </c>
      <c r="G2614" s="19" t="str">
        <f>IFERROR(__xludf.DUMMYFUNCTION("""COMPUTED_VALUE"""),"Meta Commission Report")</f>
        <v>Meta Commission Report</v>
      </c>
      <c r="H2614" s="19" t="str">
        <f>IFERROR(__xludf.DUMMYFUNCTION("""COMPUTED_VALUE"""),"Peter Trebley")</f>
        <v>Peter Trebley</v>
      </c>
      <c r="I2614" s="62">
        <f>IFERROR(__xludf.DUMMYFUNCTION("""COMPUTED_VALUE"""),6.1451909331E10)</f>
        <v>61451909331</v>
      </c>
      <c r="J2614" s="19" t="str">
        <f>IFERROR(__xludf.DUMMYFUNCTION("""COMPUTED_VALUE"""),"ptrebley@gmail.com")</f>
        <v>ptrebley@gmail.com</v>
      </c>
    </row>
    <row r="2615">
      <c r="A2615" s="19" t="str">
        <f>IFERROR(__xludf.DUMMYFUNCTION("""COMPUTED_VALUE"""),"Veronica Cole")</f>
        <v>Veronica Cole</v>
      </c>
      <c r="B2615" s="19" t="str">
        <f>IFERROR(__xludf.DUMMYFUNCTION("""COMPUTED_VALUE"""),"WA")</f>
        <v>WA</v>
      </c>
      <c r="C2615" s="5" t="str">
        <f>IFERROR(__xludf.DUMMYFUNCTION("""COMPUTED_VALUE"""),"Falcon")</f>
        <v>Falcon</v>
      </c>
      <c r="D2615" s="5" t="str">
        <f>IFERROR(__xludf.DUMMYFUNCTION("""COMPUTED_VALUE"""),"58 Yeedong Road Falcon WA 6210")</f>
        <v>58 Yeedong Road Falcon WA 6210</v>
      </c>
      <c r="E2615" s="25">
        <f>IFERROR(__xludf.DUMMYFUNCTION("""COMPUTED_VALUE"""),45973.0)</f>
        <v>45973</v>
      </c>
      <c r="F2615" s="5">
        <f>IFERROR(__xludf.DUMMYFUNCTION("""COMPUTED_VALUE"""),8.0)</f>
        <v>8</v>
      </c>
      <c r="G2615" s="19" t="str">
        <f>IFERROR(__xludf.DUMMYFUNCTION("""COMPUTED_VALUE"""),"Instant Forms")</f>
        <v>Instant Forms</v>
      </c>
      <c r="H2615" s="19" t="str">
        <f>IFERROR(__xludf.DUMMYFUNCTION("""COMPUTED_VALUE"""),"Lynn Edwards")</f>
        <v>Lynn Edwards</v>
      </c>
      <c r="I2615" s="62">
        <f>IFERROR(__xludf.DUMMYFUNCTION("""COMPUTED_VALUE"""),6.1407957597E10)</f>
        <v>61407957597</v>
      </c>
      <c r="J2615" s="19" t="str">
        <f>IFERROR(__xludf.DUMMYFUNCTION("""COMPUTED_VALUE"""),"russlynn12@hotmail.com")</f>
        <v>russlynn12@hotmail.com</v>
      </c>
    </row>
    <row r="2616">
      <c r="A2616" s="19" t="str">
        <f>IFERROR(__xludf.DUMMYFUNCTION("""COMPUTED_VALUE"""),"Veronica Cole")</f>
        <v>Veronica Cole</v>
      </c>
      <c r="B2616" s="19" t="str">
        <f>IFERROR(__xludf.DUMMYFUNCTION("""COMPUTED_VALUE"""),"WA")</f>
        <v>WA</v>
      </c>
      <c r="C2616" s="5" t="str">
        <f>IFERROR(__xludf.DUMMYFUNCTION("""COMPUTED_VALUE"""),"Wannanup")</f>
        <v>Wannanup</v>
      </c>
      <c r="D2616" s="5" t="str">
        <f>IFERROR(__xludf.DUMMYFUNCTION("""COMPUTED_VALUE"""),"8 Ammetdown Place Erskine 6210")</f>
        <v>8 Ammetdown Place Erskine 6210</v>
      </c>
      <c r="E2616" s="5" t="str">
        <f>IFERROR(__xludf.DUMMYFUNCTION("""COMPUTED_VALUE"""),"18/11/2025")</f>
        <v>18/11/2025</v>
      </c>
      <c r="F2616" s="5" t="str">
        <f>IFERROR(__xludf.DUMMYFUNCTION("""COMPUTED_VALUE"""),"Featured")</f>
        <v>Featured</v>
      </c>
      <c r="G2616" s="19" t="str">
        <f>IFERROR(__xludf.DUMMYFUNCTION("""COMPUTED_VALUE"""),"Commission Comparison")</f>
        <v>Commission Comparison</v>
      </c>
      <c r="H2616" s="19" t="str">
        <f>IFERROR(__xludf.DUMMYFUNCTION("""COMPUTED_VALUE"""),"Mandy Eastland")</f>
        <v>Mandy Eastland</v>
      </c>
      <c r="I2616" s="62">
        <f>IFERROR(__xludf.DUMMYFUNCTION("""COMPUTED_VALUE"""),6.1439093282E10)</f>
        <v>61439093282</v>
      </c>
      <c r="J2616" s="19" t="str">
        <f>IFERROR(__xludf.DUMMYFUNCTION("""COMPUTED_VALUE"""),"eastlandmandy@gmail.com")</f>
        <v>eastlandmandy@gmail.com</v>
      </c>
    </row>
    <row r="2617">
      <c r="A2617" s="19" t="str">
        <f>IFERROR(__xludf.DUMMYFUNCTION("""COMPUTED_VALUE"""),"Veronica Cole")</f>
        <v>Veronica Cole</v>
      </c>
      <c r="B2617" s="19" t="str">
        <f>IFERROR(__xludf.DUMMYFUNCTION("""COMPUTED_VALUE"""),"WA")</f>
        <v>WA</v>
      </c>
      <c r="C2617" s="5" t="str">
        <f>IFERROR(__xludf.DUMMYFUNCTION("""COMPUTED_VALUE"""),"Halls Head")</f>
        <v>Halls Head</v>
      </c>
      <c r="D2617" s="5" t="str">
        <f>IFERROR(__xludf.DUMMYFUNCTION("""COMPUTED_VALUE"""),"3 Maitland Close Halls Head WA 6210")</f>
        <v>3 Maitland Close Halls Head WA 6210</v>
      </c>
      <c r="E2617" s="5" t="str">
        <f>IFERROR(__xludf.DUMMYFUNCTION("""COMPUTED_VALUE"""),"21/11/2025")</f>
        <v>21/11/2025</v>
      </c>
      <c r="F2617" s="5">
        <f>IFERROR(__xludf.DUMMYFUNCTION("""COMPUTED_VALUE"""),8.0)</f>
        <v>8</v>
      </c>
      <c r="G2617" s="19" t="str">
        <f>IFERROR(__xludf.DUMMYFUNCTION("""COMPUTED_VALUE"""),"Instant Forms")</f>
        <v>Instant Forms</v>
      </c>
      <c r="H2617" s="19" t="str">
        <f>IFERROR(__xludf.DUMMYFUNCTION("""COMPUTED_VALUE"""),"Julianne Moseley")</f>
        <v>Julianne Moseley</v>
      </c>
      <c r="I2617" s="62">
        <f>IFERROR(__xludf.DUMMYFUNCTION("""COMPUTED_VALUE"""),6.1410010565E10)</f>
        <v>61410010565</v>
      </c>
      <c r="J2617" s="19" t="str">
        <f>IFERROR(__xludf.DUMMYFUNCTION("""COMPUTED_VALUE"""),"julesmose54@gmail.com")</f>
        <v>julesmose54@gmail.com</v>
      </c>
    </row>
    <row r="2618">
      <c r="A2618" s="19" t="str">
        <f>IFERROR(__xludf.DUMMYFUNCTION("""COMPUTED_VALUE"""),"Veronica Cole")</f>
        <v>Veronica Cole</v>
      </c>
      <c r="B2618" s="19" t="str">
        <f>IFERROR(__xludf.DUMMYFUNCTION("""COMPUTED_VALUE"""),"WA")</f>
        <v>WA</v>
      </c>
      <c r="C2618" s="5" t="str">
        <f>IFERROR(__xludf.DUMMYFUNCTION("""COMPUTED_VALUE"""),"Meadow Springs")</f>
        <v>Meadow Springs</v>
      </c>
      <c r="D2618" s="5" t="str">
        <f>IFERROR(__xludf.DUMMYFUNCTION("""COMPUTED_VALUE"""),"35 Bellavista Pde, Meadow springs, 6210")</f>
        <v>35 Bellavista Pde, Meadow springs, 6210</v>
      </c>
      <c r="E2618" s="5" t="str">
        <f>IFERROR(__xludf.DUMMYFUNCTION("""COMPUTED_VALUE"""),"23/11/2025")</f>
        <v>23/11/2025</v>
      </c>
      <c r="F2618" s="5" t="str">
        <f>IFERROR(__xludf.DUMMYFUNCTION("""COMPUTED_VALUE"""),"Featured")</f>
        <v>Featured</v>
      </c>
      <c r="G2618" s="19" t="str">
        <f>IFERROR(__xludf.DUMMYFUNCTION("""COMPUTED_VALUE"""),"Meta Commission Report")</f>
        <v>Meta Commission Report</v>
      </c>
      <c r="H2618" s="19" t="str">
        <f>IFERROR(__xludf.DUMMYFUNCTION("""COMPUTED_VALUE"""),"Paul Boyce")</f>
        <v>Paul Boyce</v>
      </c>
      <c r="I2618" s="62">
        <f>IFERROR(__xludf.DUMMYFUNCTION("""COMPUTED_VALUE"""),6.1409081449E10)</f>
        <v>61409081449</v>
      </c>
      <c r="J2618" s="19" t="str">
        <f>IFERROR(__xludf.DUMMYFUNCTION("""COMPUTED_VALUE"""),"paul.boyce8@gmail.com")</f>
        <v>paul.boyce8@gmail.com</v>
      </c>
    </row>
    <row r="2619">
      <c r="A2619" s="19" t="str">
        <f>IFERROR(__xludf.DUMMYFUNCTION("""COMPUTED_VALUE"""),"Veronica Cole")</f>
        <v>Veronica Cole</v>
      </c>
      <c r="B2619" s="19" t="str">
        <f>IFERROR(__xludf.DUMMYFUNCTION("""COMPUTED_VALUE"""),"WA")</f>
        <v>WA</v>
      </c>
      <c r="C2619" s="5" t="str">
        <f>IFERROR(__xludf.DUMMYFUNCTION("""COMPUTED_VALUE"""),"Meadow Springs")</f>
        <v>Meadow Springs</v>
      </c>
      <c r="D2619" s="5" t="str">
        <f>IFERROR(__xludf.DUMMYFUNCTION("""COMPUTED_VALUE"""),"35 Bellavista Pde, Meadow springs, 6210, Meadow Springs, 6210")</f>
        <v>35 Bellavista Pde, Meadow springs, 6210, Meadow Springs, 6210</v>
      </c>
      <c r="E2619" s="5" t="str">
        <f>IFERROR(__xludf.DUMMYFUNCTION("""COMPUTED_VALUE"""),"23/11/2025")</f>
        <v>23/11/2025</v>
      </c>
      <c r="F2619" s="5" t="str">
        <f>IFERROR(__xludf.DUMMYFUNCTION("""COMPUTED_VALUE"""),"Featured")</f>
        <v>Featured</v>
      </c>
      <c r="G2619" s="19" t="str">
        <f>IFERROR(__xludf.DUMMYFUNCTION("""COMPUTED_VALUE"""),"Meta Commission Report")</f>
        <v>Meta Commission Report</v>
      </c>
      <c r="H2619" s="19" t="str">
        <f>IFERROR(__xludf.DUMMYFUNCTION("""COMPUTED_VALUE"""),"Paul Boyce")</f>
        <v>Paul Boyce</v>
      </c>
      <c r="I2619" s="62">
        <f>IFERROR(__xludf.DUMMYFUNCTION("""COMPUTED_VALUE"""),6.1409081449E10)</f>
        <v>61409081449</v>
      </c>
      <c r="J2619" s="19" t="str">
        <f>IFERROR(__xludf.DUMMYFUNCTION("""COMPUTED_VALUE"""),"paul.boyce8@gmail.com")</f>
        <v>paul.boyce8@gmail.com</v>
      </c>
    </row>
    <row r="2620">
      <c r="A2620" s="19" t="str">
        <f>IFERROR(__xludf.DUMMYFUNCTION("""COMPUTED_VALUE"""),"Veronica Cole")</f>
        <v>Veronica Cole</v>
      </c>
      <c r="B2620" s="19" t="str">
        <f>IFERROR(__xludf.DUMMYFUNCTION("""COMPUTED_VALUE"""),"WA")</f>
        <v>WA</v>
      </c>
      <c r="C2620" s="5" t="str">
        <f>IFERROR(__xludf.DUMMYFUNCTION("""COMPUTED_VALUE"""),"Dawesville")</f>
        <v>Dawesville</v>
      </c>
      <c r="D2620" s="5" t="str">
        <f>IFERROR(__xludf.DUMMYFUNCTION("""COMPUTED_VALUE"""),"63 Southport boulevard Dawesville")</f>
        <v>63 Southport boulevard Dawesville</v>
      </c>
      <c r="E2620" s="5" t="str">
        <f>IFERROR(__xludf.DUMMYFUNCTION("""COMPUTED_VALUE"""),"25/11/2025")</f>
        <v>25/11/2025</v>
      </c>
      <c r="F2620" s="5" t="str">
        <f>IFERROR(__xludf.DUMMYFUNCTION("""COMPUTED_VALUE"""),"Featured")</f>
        <v>Featured</v>
      </c>
      <c r="G2620" s="19" t="str">
        <f>IFERROR(__xludf.DUMMYFUNCTION("""COMPUTED_VALUE"""),"Commission Comparison")</f>
        <v>Commission Comparison</v>
      </c>
      <c r="H2620" s="19" t="str">
        <f>IFERROR(__xludf.DUMMYFUNCTION("""COMPUTED_VALUE"""),"Stephen Cairns")</f>
        <v>Stephen Cairns</v>
      </c>
      <c r="I2620" s="62">
        <f>IFERROR(__xludf.DUMMYFUNCTION("""COMPUTED_VALUE"""),6.1476417219E10)</f>
        <v>61476417219</v>
      </c>
      <c r="J2620" s="19" t="str">
        <f>IFERROR(__xludf.DUMMYFUNCTION("""COMPUTED_VALUE"""),"cairnsy1@live.com")</f>
        <v>cairnsy1@live.com</v>
      </c>
    </row>
    <row r="2621">
      <c r="A2621" s="19" t="str">
        <f>IFERROR(__xludf.DUMMYFUNCTION("""COMPUTED_VALUE"""),"Veronica Cole")</f>
        <v>Veronica Cole</v>
      </c>
      <c r="B2621" s="19" t="str">
        <f>IFERROR(__xludf.DUMMYFUNCTION("""COMPUTED_VALUE"""),"WA")</f>
        <v>WA</v>
      </c>
      <c r="C2621" s="5" t="str">
        <f>IFERROR(__xludf.DUMMYFUNCTION("""COMPUTED_VALUE"""),"Furnissdale")</f>
        <v>Furnissdale</v>
      </c>
      <c r="D2621" s="5" t="str">
        <f>IFERROR(__xludf.DUMMYFUNCTION("""COMPUTED_VALUE"""),"Jannali Rd, Furnissdale Wa 6209, Australia, Furnissdale, 6209")</f>
        <v>Jannali Rd, Furnissdale Wa 6209, Australia, Furnissdale, 6209</v>
      </c>
      <c r="E2621" s="5" t="str">
        <f>IFERROR(__xludf.DUMMYFUNCTION("""COMPUTED_VALUE"""),"25/11/2025")</f>
        <v>25/11/2025</v>
      </c>
      <c r="F2621" s="5" t="str">
        <f>IFERROR(__xludf.DUMMYFUNCTION("""COMPUTED_VALUE"""),"Featured")</f>
        <v>Featured</v>
      </c>
      <c r="G2621" s="19" t="str">
        <f>IFERROR(__xludf.DUMMYFUNCTION("""COMPUTED_VALUE"""),"Meta Commission Report")</f>
        <v>Meta Commission Report</v>
      </c>
      <c r="H2621" s="19" t="str">
        <f>IFERROR(__xludf.DUMMYFUNCTION("""COMPUTED_VALUE"""),"Rosanne Burnett")</f>
        <v>Rosanne Burnett</v>
      </c>
      <c r="I2621" s="62">
        <f>IFERROR(__xludf.DUMMYFUNCTION("""COMPUTED_VALUE"""),6.1400570405E10)</f>
        <v>61400570405</v>
      </c>
      <c r="J2621" s="19" t="str">
        <f>IFERROR(__xludf.DUMMYFUNCTION("""COMPUTED_VALUE"""),"Rosanne49@bigpond.com")</f>
        <v>Rosanne49@bigpond.com</v>
      </c>
    </row>
    <row r="2622">
      <c r="A2622" s="19" t="str">
        <f>IFERROR(__xludf.DUMMYFUNCTION("""COMPUTED_VALUE"""),"Veronica Cole")</f>
        <v>Veronica Cole</v>
      </c>
      <c r="B2622" s="19" t="str">
        <f>IFERROR(__xludf.DUMMYFUNCTION("""COMPUTED_VALUE"""),"WA")</f>
        <v>WA</v>
      </c>
      <c r="C2622" s="5" t="str">
        <f>IFERROR(__xludf.DUMMYFUNCTION("""COMPUTED_VALUE"""),"Wannanup")</f>
        <v>Wannanup</v>
      </c>
      <c r="D2622" s="5" t="str">
        <f>IFERROR(__xludf.DUMMYFUNCTION("""COMPUTED_VALUE"""),"64 Richview Ramble, 6210")</f>
        <v>64 Richview Ramble, 6210</v>
      </c>
      <c r="E2622" s="5" t="str">
        <f>IFERROR(__xludf.DUMMYFUNCTION("""COMPUTED_VALUE"""),"28/11/2025")</f>
        <v>28/11/2025</v>
      </c>
      <c r="F2622" s="64">
        <f>IFERROR(__xludf.DUMMYFUNCTION("""COMPUTED_VALUE"""),0.2)</f>
        <v>0.2</v>
      </c>
      <c r="G2622" s="19" t="str">
        <f>IFERROR(__xludf.DUMMYFUNCTION("""COMPUTED_VALUE"""),"Meta Commission Report")</f>
        <v>Meta Commission Report</v>
      </c>
      <c r="H2622" s="19" t="str">
        <f>IFERROR(__xludf.DUMMYFUNCTION("""COMPUTED_VALUE"""),"Evelyn Godwin")</f>
        <v>Evelyn Godwin</v>
      </c>
      <c r="I2622" s="62">
        <f>IFERROR(__xludf.DUMMYFUNCTION("""COMPUTED_VALUE"""),6.1422836009E10)</f>
        <v>61422836009</v>
      </c>
      <c r="J2622" s="19" t="str">
        <f>IFERROR(__xludf.DUMMYFUNCTION("""COMPUTED_VALUE"""),"vjohnandevelyn@gmail.com")</f>
        <v>vjohnandevelyn@gmail.com</v>
      </c>
    </row>
    <row r="2623">
      <c r="A2623" s="19" t="str">
        <f>IFERROR(__xludf.DUMMYFUNCTION("""COMPUTED_VALUE"""),"Veronica Cole")</f>
        <v>Veronica Cole</v>
      </c>
      <c r="B2623" s="19" t="str">
        <f>IFERROR(__xludf.DUMMYFUNCTION("""COMPUTED_VALUE"""),"WA")</f>
        <v>WA</v>
      </c>
      <c r="C2623" s="5" t="str">
        <f>IFERROR(__xludf.DUMMYFUNCTION("""COMPUTED_VALUE"""),"Dudley Park")</f>
        <v>Dudley Park</v>
      </c>
      <c r="D2623" s="5" t="str">
        <f>IFERROR(__xludf.DUMMYFUNCTION("""COMPUTED_VALUE"""),"Dudley Park, 6210")</f>
        <v>Dudley Park, 6210</v>
      </c>
      <c r="E2623" s="5" t="str">
        <f>IFERROR(__xludf.DUMMYFUNCTION("""COMPUTED_VALUE"""),"28/11/2025")</f>
        <v>28/11/2025</v>
      </c>
      <c r="F2623" s="64">
        <f>IFERROR(__xludf.DUMMYFUNCTION("""COMPUTED_VALUE"""),0.2)</f>
        <v>0.2</v>
      </c>
      <c r="G2623" s="19" t="str">
        <f>IFERROR(__xludf.DUMMYFUNCTION("""COMPUTED_VALUE"""),"Meta Commission Report")</f>
        <v>Meta Commission Report</v>
      </c>
      <c r="H2623" s="19" t="str">
        <f>IFERROR(__xludf.DUMMYFUNCTION("""COMPUTED_VALUE"""),"Yvonne Stanley")</f>
        <v>Yvonne Stanley</v>
      </c>
      <c r="I2623" s="62">
        <f>IFERROR(__xludf.DUMMYFUNCTION("""COMPUTED_VALUE"""),6.1401398043E10)</f>
        <v>61401398043</v>
      </c>
      <c r="J2623" s="19" t="str">
        <f>IFERROR(__xludf.DUMMYFUNCTION("""COMPUTED_VALUE"""),"yvonnelstanley@gmail.com")</f>
        <v>yvonnelstanley@gmail.com</v>
      </c>
    </row>
    <row r="2624">
      <c r="A2624" s="19" t="str">
        <f>IFERROR(__xludf.DUMMYFUNCTION("""COMPUTED_VALUE"""),"Veronica Cole")</f>
        <v>Veronica Cole</v>
      </c>
      <c r="B2624" s="19" t="str">
        <f>IFERROR(__xludf.DUMMYFUNCTION("""COMPUTED_VALUE"""),"WA")</f>
        <v>WA</v>
      </c>
      <c r="C2624" s="5" t="str">
        <f>IFERROR(__xludf.DUMMYFUNCTION("""COMPUTED_VALUE"""),"Wannanup")</f>
        <v>Wannanup</v>
      </c>
      <c r="D2624" s="5" t="str">
        <f>IFERROR(__xludf.DUMMYFUNCTION("""COMPUTED_VALUE"""),"50 Northport  blvd, 6210")</f>
        <v>50 Northport  blvd, 6210</v>
      </c>
      <c r="E2624" s="27">
        <f>IFERROR(__xludf.DUMMYFUNCTION("""COMPUTED_VALUE"""),45669.0)</f>
        <v>45669</v>
      </c>
      <c r="F2624" s="64">
        <f>IFERROR(__xludf.DUMMYFUNCTION("""COMPUTED_VALUE"""),0.2)</f>
        <v>0.2</v>
      </c>
      <c r="G2624" s="19" t="str">
        <f>IFERROR(__xludf.DUMMYFUNCTION("""COMPUTED_VALUE"""),"Meta Commission Report")</f>
        <v>Meta Commission Report</v>
      </c>
      <c r="H2624" s="19" t="str">
        <f>IFERROR(__xludf.DUMMYFUNCTION("""COMPUTED_VALUE"""),"Neil Holman")</f>
        <v>Neil Holman</v>
      </c>
      <c r="I2624" s="62">
        <f>IFERROR(__xludf.DUMMYFUNCTION("""COMPUTED_VALUE"""),6.1478945807E10)</f>
        <v>61478945807</v>
      </c>
      <c r="J2624" s="19" t="str">
        <f>IFERROR(__xludf.DUMMYFUNCTION("""COMPUTED_VALUE"""),"innwat2@gmail.com")</f>
        <v>innwat2@gmail.com</v>
      </c>
    </row>
    <row r="2625">
      <c r="A2625" s="19" t="str">
        <f>IFERROR(__xludf.DUMMYFUNCTION("""COMPUTED_VALUE"""),"Veronica Cole")</f>
        <v>Veronica Cole</v>
      </c>
      <c r="B2625" s="19" t="str">
        <f>IFERROR(__xludf.DUMMYFUNCTION("""COMPUTED_VALUE"""),"WA")</f>
        <v>WA</v>
      </c>
      <c r="C2625" s="5" t="str">
        <f>IFERROR(__xludf.DUMMYFUNCTION("""COMPUTED_VALUE"""),"Mandurah")</f>
        <v>Mandurah</v>
      </c>
      <c r="D2625" s="5" t="str">
        <f>IFERROR(__xludf.DUMMYFUNCTION("""COMPUTED_VALUE"""),"Mulga drive, 6210")</f>
        <v>Mulga drive, 6210</v>
      </c>
      <c r="E2625" s="27">
        <f>IFERROR(__xludf.DUMMYFUNCTION("""COMPUTED_VALUE"""),45728.0)</f>
        <v>45728</v>
      </c>
      <c r="F2625" s="64">
        <f>IFERROR(__xludf.DUMMYFUNCTION("""COMPUTED_VALUE"""),0.2)</f>
        <v>0.2</v>
      </c>
      <c r="G2625" s="19" t="str">
        <f>IFERROR(__xludf.DUMMYFUNCTION("""COMPUTED_VALUE"""),"Meta Commission Report")</f>
        <v>Meta Commission Report</v>
      </c>
      <c r="H2625" s="19" t="str">
        <f>IFERROR(__xludf.DUMMYFUNCTION("""COMPUTED_VALUE"""),"Vicki Bradley")</f>
        <v>Vicki Bradley</v>
      </c>
      <c r="I2625" s="62">
        <f>IFERROR(__xludf.DUMMYFUNCTION("""COMPUTED_VALUE"""),6.141378685E10)</f>
        <v>61413786850</v>
      </c>
      <c r="J2625" s="19" t="str">
        <f>IFERROR(__xludf.DUMMYFUNCTION("""COMPUTED_VALUE"""),"vickibwa@yahoo.com.au")</f>
        <v>vickibwa@yahoo.com.au</v>
      </c>
    </row>
    <row r="2626">
      <c r="A2626" s="19" t="str">
        <f>IFERROR(__xludf.DUMMYFUNCTION("""COMPUTED_VALUE"""),"Veronica Cole")</f>
        <v>Veronica Cole</v>
      </c>
      <c r="B2626" s="19" t="str">
        <f>IFERROR(__xludf.DUMMYFUNCTION("""COMPUTED_VALUE"""),"WA")</f>
        <v>WA</v>
      </c>
      <c r="C2626" s="5" t="str">
        <f>IFERROR(__xludf.DUMMYFUNCTION("""COMPUTED_VALUE"""),"replace(replace(replace(trim(23 Donnybrook Turn Dawesville WA 6211);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replace(replace(replace(trim(23 Donnybrook Turn Dawesville WA 6211);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626" s="5" t="str">
        <f>IFERROR(__xludf.DUMMYFUNCTION("""COMPUTED_VALUE"""),"23 Donnybrook Turn Dawesville WA 6211")</f>
        <v>23 Donnybrook Turn Dawesville WA 6211</v>
      </c>
      <c r="E2626" s="27">
        <f>IFERROR(__xludf.DUMMYFUNCTION("""COMPUTED_VALUE"""),45759.0)</f>
        <v>45759</v>
      </c>
      <c r="F2626" s="64">
        <f>IFERROR(__xludf.DUMMYFUNCTION("""COMPUTED_VALUE"""),0.2)</f>
        <v>0.2</v>
      </c>
      <c r="G2626" s="19" t="str">
        <f>IFERROR(__xludf.DUMMYFUNCTION("""COMPUTED_VALUE"""),"Instant Forms")</f>
        <v>Instant Forms</v>
      </c>
      <c r="H2626" s="19" t="str">
        <f>IFERROR(__xludf.DUMMYFUNCTION("""COMPUTED_VALUE"""),"Darryl Jones")</f>
        <v>Darryl Jones</v>
      </c>
      <c r="I2626" s="62">
        <f>IFERROR(__xludf.DUMMYFUNCTION("""COMPUTED_VALUE"""),6.1499327795E10)</f>
        <v>61499327795</v>
      </c>
      <c r="J2626" s="19" t="str">
        <f>IFERROR(__xludf.DUMMYFUNCTION("""COMPUTED_VALUE"""),"demtel67@gmail.com")</f>
        <v>demtel67@gmail.com</v>
      </c>
    </row>
    <row r="2627">
      <c r="A2627" s="19" t="str">
        <f>IFERROR(__xludf.DUMMYFUNCTION("""COMPUTED_VALUE"""),"Veronica Cole")</f>
        <v>Veronica Cole</v>
      </c>
      <c r="B2627" s="19" t="str">
        <f>IFERROR(__xludf.DUMMYFUNCTION("""COMPUTED_VALUE"""),"WA")</f>
        <v>WA</v>
      </c>
      <c r="C2627" s="5" t="str">
        <f>IFERROR(__xludf.DUMMYFUNCTION("""COMPUTED_VALUE"""),"6 Sandpiper Island Retreat Wannanup WA 6210")</f>
        <v>6 Sandpiper Island Retreat Wannanup WA 6210</v>
      </c>
      <c r="D2627" s="5" t="str">
        <f>IFERROR(__xludf.DUMMYFUNCTION("""COMPUTED_VALUE"""),"6 Sandpiper Island Retreat Wannanup WA 6210")</f>
        <v>6 Sandpiper Island Retreat Wannanup WA 6210</v>
      </c>
      <c r="E2627" s="27">
        <f>IFERROR(__xludf.DUMMYFUNCTION("""COMPUTED_VALUE"""),45820.0)</f>
        <v>45820</v>
      </c>
      <c r="F2627" s="64">
        <f>IFERROR(__xludf.DUMMYFUNCTION("""COMPUTED_VALUE"""),0.2)</f>
        <v>0.2</v>
      </c>
      <c r="G2627" s="19" t="str">
        <f>IFERROR(__xludf.DUMMYFUNCTION("""COMPUTED_VALUE"""),"Instant Forms")</f>
        <v>Instant Forms</v>
      </c>
      <c r="H2627" s="19" t="str">
        <f>IFERROR(__xludf.DUMMYFUNCTION("""COMPUTED_VALUE"""),"Eluned Clark")</f>
        <v>Eluned Clark</v>
      </c>
      <c r="I2627" s="62">
        <f>IFERROR(__xludf.DUMMYFUNCTION("""COMPUTED_VALUE"""),6.1429100094E10)</f>
        <v>61429100094</v>
      </c>
      <c r="J2627" s="19" t="str">
        <f>IFERROR(__xludf.DUMMYFUNCTION("""COMPUTED_VALUE"""),"eluned.clark@bigpond.com")</f>
        <v>eluned.clark@bigpond.com</v>
      </c>
    </row>
    <row r="2628">
      <c r="A2628" s="19" t="str">
        <f>IFERROR(__xludf.DUMMYFUNCTION("""COMPUTED_VALUE"""),"Veronica Cole")</f>
        <v>Veronica Cole</v>
      </c>
      <c r="B2628" s="19" t="str">
        <f>IFERROR(__xludf.DUMMYFUNCTION("""COMPUTED_VALUE"""),"WA")</f>
        <v>WA</v>
      </c>
      <c r="C2628" s="5" t="str">
        <f>IFERROR(__xludf.DUMMYFUNCTION("""COMPUTED_VALUE"""),"Dudley Park")</f>
        <v>Dudley Park</v>
      </c>
      <c r="D2628" s="5" t="str">
        <f>IFERROR(__xludf.DUMMYFUNCTION("""COMPUTED_VALUE"""),"91 Darwin Tce, 6210")</f>
        <v>91 Darwin Tce, 6210</v>
      </c>
      <c r="E2628" s="27">
        <f>IFERROR(__xludf.DUMMYFUNCTION("""COMPUTED_VALUE"""),45820.0)</f>
        <v>45820</v>
      </c>
      <c r="F2628" s="64">
        <f>IFERROR(__xludf.DUMMYFUNCTION("""COMPUTED_VALUE"""),0.2)</f>
        <v>0.2</v>
      </c>
      <c r="G2628" s="19" t="str">
        <f>IFERROR(__xludf.DUMMYFUNCTION("""COMPUTED_VALUE"""),"Meta Commission Report")</f>
        <v>Meta Commission Report</v>
      </c>
      <c r="H2628" s="19" t="str">
        <f>IFERROR(__xludf.DUMMYFUNCTION("""COMPUTED_VALUE"""),"Julie Higgins")</f>
        <v>Julie Higgins</v>
      </c>
      <c r="I2628" s="62">
        <f>IFERROR(__xludf.DUMMYFUNCTION("""COMPUTED_VALUE"""),6.1404800066E10)</f>
        <v>61404800066</v>
      </c>
      <c r="J2628" s="19" t="str">
        <f>IFERROR(__xludf.DUMMYFUNCTION("""COMPUTED_VALUE"""),"juliehiggins9@hotmail.com")</f>
        <v>juliehiggins9@hotmail.com</v>
      </c>
    </row>
    <row r="2629">
      <c r="A2629" s="19" t="str">
        <f>IFERROR(__xludf.DUMMYFUNCTION("""COMPUTED_VALUE"""),"")</f>
        <v/>
      </c>
      <c r="B2629" s="19" t="str">
        <f>IFERROR(__xludf.DUMMYFUNCTION("""COMPUTED_VALUE"""),"")</f>
        <v/>
      </c>
      <c r="C2629" s="5" t="str">
        <f>IFERROR(__xludf.DUMMYFUNCTION("""COMPUTED_VALUE"""),"")</f>
        <v/>
      </c>
      <c r="D2629" s="5" t="str">
        <f>IFERROR(__xludf.DUMMYFUNCTION("""COMPUTED_VALUE"""),"")</f>
        <v/>
      </c>
      <c r="E2629" s="5" t="str">
        <f>IFERROR(__xludf.DUMMYFUNCTION("""COMPUTED_VALUE"""),"")</f>
        <v/>
      </c>
      <c r="F2629" s="5" t="str">
        <f>IFERROR(__xludf.DUMMYFUNCTION("""COMPUTED_VALUE"""),"")</f>
        <v/>
      </c>
      <c r="G2629" s="19" t="str">
        <f>IFERROR(__xludf.DUMMYFUNCTION("""COMPUTED_VALUE"""),"")</f>
        <v/>
      </c>
      <c r="H2629" s="19" t="str">
        <f>IFERROR(__xludf.DUMMYFUNCTION("""COMPUTED_VALUE"""),"")</f>
        <v/>
      </c>
      <c r="I2629" s="62" t="str">
        <f>IFERROR(__xludf.DUMMYFUNCTION("""COMPUTED_VALUE"""),"")</f>
        <v/>
      </c>
      <c r="J2629" s="19" t="str">
        <f>IFERROR(__xludf.DUMMYFUNCTION("""COMPUTED_VALUE"""),"")</f>
        <v/>
      </c>
    </row>
    <row r="2630">
      <c r="A2630" s="19" t="str">
        <f>IFERROR(__xludf.DUMMYFUNCTION("""COMPUTED_VALUE"""),"")</f>
        <v/>
      </c>
      <c r="B2630" s="19" t="str">
        <f>IFERROR(__xludf.DUMMYFUNCTION("""COMPUTED_VALUE"""),"")</f>
        <v/>
      </c>
      <c r="C2630" s="5" t="str">
        <f>IFERROR(__xludf.DUMMYFUNCTION("""COMPUTED_VALUE"""),"")</f>
        <v/>
      </c>
      <c r="D2630" s="5" t="str">
        <f>IFERROR(__xludf.DUMMYFUNCTION("""COMPUTED_VALUE"""),"")</f>
        <v/>
      </c>
      <c r="E2630" s="5" t="str">
        <f>IFERROR(__xludf.DUMMYFUNCTION("""COMPUTED_VALUE"""),"")</f>
        <v/>
      </c>
      <c r="F2630" s="5" t="str">
        <f>IFERROR(__xludf.DUMMYFUNCTION("""COMPUTED_VALUE"""),"")</f>
        <v/>
      </c>
      <c r="G2630" s="19" t="str">
        <f>IFERROR(__xludf.DUMMYFUNCTION("""COMPUTED_VALUE"""),"")</f>
        <v/>
      </c>
      <c r="H2630" s="19" t="str">
        <f>IFERROR(__xludf.DUMMYFUNCTION("""COMPUTED_VALUE"""),"")</f>
        <v/>
      </c>
      <c r="I2630" s="62" t="str">
        <f>IFERROR(__xludf.DUMMYFUNCTION("""COMPUTED_VALUE"""),"")</f>
        <v/>
      </c>
      <c r="J2630" s="19" t="str">
        <f>IFERROR(__xludf.DUMMYFUNCTION("""COMPUTED_VALUE"""),"")</f>
        <v/>
      </c>
    </row>
    <row r="2631">
      <c r="A2631" s="19" t="str">
        <f>IFERROR(__xludf.DUMMYFUNCTION("""COMPUTED_VALUE"""),"Wayne Hamlet")</f>
        <v>Wayne Hamlet</v>
      </c>
      <c r="B2631" s="19" t="str">
        <f>IFERROR(__xludf.DUMMYFUNCTION("""COMPUTED_VALUE"""),"QLD")</f>
        <v>QLD</v>
      </c>
      <c r="C2631" s="5">
        <f>IFERROR(__xludf.DUMMYFUNCTION("""COMPUTED_VALUE"""),4403.0)</f>
        <v>4403</v>
      </c>
      <c r="D2631" s="5"/>
      <c r="E2631" s="63">
        <f>IFERROR(__xludf.DUMMYFUNCTION("""COMPUTED_VALUE"""),25569.946226851855)</f>
        <v>25569.94623</v>
      </c>
      <c r="F2631" s="5" t="str">
        <f>IFERROR(__xludf.DUMMYFUNCTION("""COMPUTED_VALUE"""),"Plus")</f>
        <v>Plus</v>
      </c>
      <c r="G2631" s="19" t="str">
        <f>IFERROR(__xludf.DUMMYFUNCTION("""COMPUTED_VALUE"""),"Instant Forms")</f>
        <v>Instant Forms</v>
      </c>
      <c r="H2631" s="19" t="str">
        <f>IFERROR(__xludf.DUMMYFUNCTION("""COMPUTED_VALUE"""),"Dianne Driscole")</f>
        <v>Dianne Driscole</v>
      </c>
      <c r="I2631" s="62">
        <f>IFERROR(__xludf.DUMMYFUNCTION("""COMPUTED_VALUE"""),6.1412741274E10)</f>
        <v>61412741274</v>
      </c>
      <c r="J2631" s="19" t="str">
        <f>IFERROR(__xludf.DUMMYFUNCTION("""COMPUTED_VALUE"""),"didi11070@hotmail.com")</f>
        <v>didi11070@hotmail.com</v>
      </c>
    </row>
    <row r="2632">
      <c r="A2632" s="19" t="str">
        <f>IFERROR(__xludf.DUMMYFUNCTION("""COMPUTED_VALUE"""),"Wayne Hamlet")</f>
        <v>Wayne Hamlet</v>
      </c>
      <c r="B2632" s="19" t="str">
        <f>IFERROR(__xludf.DUMMYFUNCTION("""COMPUTED_VALUE"""),"QLD")</f>
        <v>QLD</v>
      </c>
      <c r="C2632" s="5">
        <f>IFERROR(__xludf.DUMMYFUNCTION("""COMPUTED_VALUE"""),4352.0)</f>
        <v>4352</v>
      </c>
      <c r="D2632" s="5"/>
      <c r="E2632" s="63">
        <f>IFERROR(__xludf.DUMMYFUNCTION("""COMPUTED_VALUE"""),45853.65892361111)</f>
        <v>45853.65892</v>
      </c>
      <c r="F2632" s="5" t="str">
        <f>IFERROR(__xludf.DUMMYFUNCTION("""COMPUTED_VALUE"""),"Free")</f>
        <v>Free</v>
      </c>
      <c r="G2632" s="19" t="str">
        <f>IFERROR(__xludf.DUMMYFUNCTION("""COMPUTED_VALUE"""),"Instant Forms")</f>
        <v>Instant Forms</v>
      </c>
      <c r="H2632" s="19"/>
      <c r="I2632" s="62"/>
      <c r="J2632" s="19"/>
    </row>
    <row r="2633">
      <c r="A2633" s="19" t="str">
        <f>IFERROR(__xludf.DUMMYFUNCTION("""COMPUTED_VALUE"""),"Wayne Hamlet")</f>
        <v>Wayne Hamlet</v>
      </c>
      <c r="B2633" s="19" t="str">
        <f>IFERROR(__xludf.DUMMYFUNCTION("""COMPUTED_VALUE"""),"QLD")</f>
        <v>QLD</v>
      </c>
      <c r="C2633" s="5">
        <f>IFERROR(__xludf.DUMMYFUNCTION("""COMPUTED_VALUE"""),4350.0)</f>
        <v>4350</v>
      </c>
      <c r="D2633" s="5"/>
      <c r="E2633" s="63" t="str">
        <f>IFERROR(__xludf.DUMMYFUNCTION("""COMPUTED_VALUE"""),"18/07/2025")</f>
        <v>18/07/2025</v>
      </c>
      <c r="F2633" s="5" t="str">
        <f>IFERROR(__xludf.DUMMYFUNCTION("""COMPUTED_VALUE"""),"Featured")</f>
        <v>Featured</v>
      </c>
      <c r="G2633" s="19" t="str">
        <f>IFERROR(__xludf.DUMMYFUNCTION("""COMPUTED_VALUE"""),"Instant Forms")</f>
        <v>Instant Forms</v>
      </c>
      <c r="H2633" s="19"/>
      <c r="I2633" s="62"/>
      <c r="J2633" s="19"/>
    </row>
    <row r="2634">
      <c r="A2634" s="19" t="str">
        <f>IFERROR(__xludf.DUMMYFUNCTION("""COMPUTED_VALUE"""),"Wayne Hamlet")</f>
        <v>Wayne Hamlet</v>
      </c>
      <c r="B2634" s="19" t="str">
        <f>IFERROR(__xludf.DUMMYFUNCTION("""COMPUTED_VALUE"""),"QLD")</f>
        <v>QLD</v>
      </c>
      <c r="C2634" s="5">
        <f>IFERROR(__xludf.DUMMYFUNCTION("""COMPUTED_VALUE"""),4350.0)</f>
        <v>4350</v>
      </c>
      <c r="D2634" s="5"/>
      <c r="E2634" s="63" t="str">
        <f>IFERROR(__xludf.DUMMYFUNCTION("""COMPUTED_VALUE"""),"18/07/2025")</f>
        <v>18/07/2025</v>
      </c>
      <c r="F2634" s="5" t="str">
        <f>IFERROR(__xludf.DUMMYFUNCTION("""COMPUTED_VALUE"""),"Featured")</f>
        <v>Featured</v>
      </c>
      <c r="G2634" s="19" t="str">
        <f>IFERROR(__xludf.DUMMYFUNCTION("""COMPUTED_VALUE"""),"Instant Forms")</f>
        <v>Instant Forms</v>
      </c>
      <c r="H2634" s="19"/>
      <c r="I2634" s="62"/>
      <c r="J2634" s="19"/>
    </row>
    <row r="2635">
      <c r="A2635" s="19" t="str">
        <f>IFERROR(__xludf.DUMMYFUNCTION("""COMPUTED_VALUE"""),"Wayne Hamlet")</f>
        <v>Wayne Hamlet</v>
      </c>
      <c r="B2635" s="19" t="str">
        <f>IFERROR(__xludf.DUMMYFUNCTION("""COMPUTED_VALUE"""),"QLD")</f>
        <v>QLD</v>
      </c>
      <c r="C2635" s="5">
        <f>IFERROR(__xludf.DUMMYFUNCTION("""COMPUTED_VALUE"""),4350.0)</f>
        <v>4350</v>
      </c>
      <c r="D2635" s="5"/>
      <c r="E2635" s="63" t="str">
        <f>IFERROR(__xludf.DUMMYFUNCTION("""COMPUTED_VALUE"""),"19/07/2025")</f>
        <v>19/07/2025</v>
      </c>
      <c r="F2635" s="5" t="str">
        <f>IFERROR(__xludf.DUMMYFUNCTION("""COMPUTED_VALUE"""),"Featured")</f>
        <v>Featured</v>
      </c>
      <c r="G2635" s="19" t="str">
        <f>IFERROR(__xludf.DUMMYFUNCTION("""COMPUTED_VALUE"""),"Instant Forms")</f>
        <v>Instant Forms</v>
      </c>
      <c r="H2635" s="19"/>
      <c r="I2635" s="62"/>
      <c r="J2635" s="19"/>
    </row>
    <row r="2636">
      <c r="A2636" s="19" t="str">
        <f>IFERROR(__xludf.DUMMYFUNCTION("""COMPUTED_VALUE"""),"Wayne Hamlet")</f>
        <v>Wayne Hamlet</v>
      </c>
      <c r="B2636" s="19" t="str">
        <f>IFERROR(__xludf.DUMMYFUNCTION("""COMPUTED_VALUE"""),"QLD")</f>
        <v>QLD</v>
      </c>
      <c r="C2636" s="5" t="str">
        <f>IFERROR(__xludf.DUMMYFUNCTION("""COMPUTED_VALUE"""),"Newtown QLD")</f>
        <v>Newtown QLD</v>
      </c>
      <c r="D2636" s="5"/>
      <c r="E2636" s="63">
        <f>IFERROR(__xludf.DUMMYFUNCTION("""COMPUTED_VALUE"""),45860.0)</f>
        <v>45860</v>
      </c>
      <c r="F2636" s="5" t="str">
        <f>IFERROR(__xludf.DUMMYFUNCTION("""COMPUTED_VALUE"""),"Featured")</f>
        <v>Featured</v>
      </c>
      <c r="G2636" s="19" t="str">
        <f>IFERROR(__xludf.DUMMYFUNCTION("""COMPUTED_VALUE"""),"Instant Forms")</f>
        <v>Instant Forms</v>
      </c>
      <c r="H2636" s="19"/>
      <c r="I2636" s="62"/>
      <c r="J2636" s="19"/>
    </row>
    <row r="2637">
      <c r="A2637" s="19" t="str">
        <f>IFERROR(__xludf.DUMMYFUNCTION("""COMPUTED_VALUE"""),"Wayne Hamlet")</f>
        <v>Wayne Hamlet</v>
      </c>
      <c r="B2637" s="19" t="str">
        <f>IFERROR(__xludf.DUMMYFUNCTION("""COMPUTED_VALUE"""),"QLD")</f>
        <v>QLD</v>
      </c>
      <c r="C2637" s="5" t="str">
        <f>IFERROR(__xludf.DUMMYFUNCTION("""COMPUTED_VALUE"""),"Newtown")</f>
        <v>Newtown</v>
      </c>
      <c r="D2637" s="5"/>
      <c r="E2637" s="63" t="str">
        <f>IFERROR(__xludf.DUMMYFUNCTION("""COMPUTED_VALUE"""),"25/07/2025")</f>
        <v>25/07/2025</v>
      </c>
      <c r="F2637" s="5" t="str">
        <f>IFERROR(__xludf.DUMMYFUNCTION("""COMPUTED_VALUE"""),"Featured")</f>
        <v>Featured</v>
      </c>
      <c r="G2637" s="19" t="str">
        <f>IFERROR(__xludf.DUMMYFUNCTION("""COMPUTED_VALUE"""),"Instant Forms")</f>
        <v>Instant Forms</v>
      </c>
      <c r="H2637" s="19"/>
      <c r="I2637" s="62"/>
      <c r="J2637" s="19"/>
    </row>
    <row r="2638">
      <c r="A2638" s="19" t="str">
        <f>IFERROR(__xludf.DUMMYFUNCTION("""COMPUTED_VALUE"""),"Wayne Hamlet")</f>
        <v>Wayne Hamlet</v>
      </c>
      <c r="B2638" s="19" t="str">
        <f>IFERROR(__xludf.DUMMYFUNCTION("""COMPUTED_VALUE"""),"QLD")</f>
        <v>QLD</v>
      </c>
      <c r="C2638" s="5" t="str">
        <f>IFERROR(__xludf.DUMMYFUNCTION("""COMPUTED_VALUE"""),"Hodgson Vale")</f>
        <v>Hodgson Vale</v>
      </c>
      <c r="D2638" s="5" t="str">
        <f>IFERROR(__xludf.DUMMYFUNCTION("""COMPUTED_VALUE"""),"111-113 Fittons Road, Hodgson Vale, QLD, 4352")</f>
        <v>111-113 Fittons Road, Hodgson Vale, QLD, 4352</v>
      </c>
      <c r="E2638" s="25">
        <f>IFERROR(__xludf.DUMMYFUNCTION("""COMPUTED_VALUE"""),45889.0)</f>
        <v>45889</v>
      </c>
      <c r="F2638" s="5" t="str">
        <f>IFERROR(__xludf.DUMMYFUNCTION("""COMPUTED_VALUE"""),"Featured")</f>
        <v>Featured</v>
      </c>
      <c r="G2638" s="19" t="str">
        <f>IFERROR(__xludf.DUMMYFUNCTION("""COMPUTED_VALUE"""),"Instant Forms")</f>
        <v>Instant Forms</v>
      </c>
      <c r="H2638" s="19"/>
      <c r="I2638" s="62"/>
      <c r="J2638" s="19"/>
    </row>
    <row r="2639">
      <c r="A2639" s="19" t="str">
        <f>IFERROR(__xludf.DUMMYFUNCTION("""COMPUTED_VALUE"""),"")</f>
        <v/>
      </c>
      <c r="B2639" s="19" t="str">
        <f>IFERROR(__xludf.DUMMYFUNCTION("""COMPUTED_VALUE"""),"")</f>
        <v/>
      </c>
      <c r="C2639" s="5" t="str">
        <f>IFERROR(__xludf.DUMMYFUNCTION("""COMPUTED_VALUE"""),"")</f>
        <v/>
      </c>
      <c r="D2639" s="5" t="str">
        <f>IFERROR(__xludf.DUMMYFUNCTION("""COMPUTED_VALUE"""),"")</f>
        <v/>
      </c>
      <c r="E2639" s="5" t="str">
        <f>IFERROR(__xludf.DUMMYFUNCTION("""COMPUTED_VALUE"""),"")</f>
        <v/>
      </c>
      <c r="F2639" s="5" t="str">
        <f>IFERROR(__xludf.DUMMYFUNCTION("""COMPUTED_VALUE"""),"")</f>
        <v/>
      </c>
      <c r="G2639" s="19" t="str">
        <f>IFERROR(__xludf.DUMMYFUNCTION("""COMPUTED_VALUE"""),"")</f>
        <v/>
      </c>
      <c r="H2639" s="19" t="str">
        <f>IFERROR(__xludf.DUMMYFUNCTION("""COMPUTED_VALUE"""),"")</f>
        <v/>
      </c>
      <c r="I2639" s="62" t="str">
        <f>IFERROR(__xludf.DUMMYFUNCTION("""COMPUTED_VALUE"""),"")</f>
        <v/>
      </c>
      <c r="J2639" s="19" t="str">
        <f>IFERROR(__xludf.DUMMYFUNCTION("""COMPUTED_VALUE"""),"")</f>
        <v/>
      </c>
    </row>
    <row r="2640">
      <c r="A2640" s="19" t="str">
        <f>IFERROR(__xludf.DUMMYFUNCTION("""COMPUTED_VALUE"""),"")</f>
        <v/>
      </c>
      <c r="B2640" s="19" t="str">
        <f>IFERROR(__xludf.DUMMYFUNCTION("""COMPUTED_VALUE"""),"")</f>
        <v/>
      </c>
      <c r="C2640" s="5" t="str">
        <f>IFERROR(__xludf.DUMMYFUNCTION("""COMPUTED_VALUE"""),"")</f>
        <v/>
      </c>
      <c r="D2640" s="5" t="str">
        <f>IFERROR(__xludf.DUMMYFUNCTION("""COMPUTED_VALUE"""),"")</f>
        <v/>
      </c>
      <c r="E2640" s="5" t="str">
        <f>IFERROR(__xludf.DUMMYFUNCTION("""COMPUTED_VALUE"""),"")</f>
        <v/>
      </c>
      <c r="F2640" s="5" t="str">
        <f>IFERROR(__xludf.DUMMYFUNCTION("""COMPUTED_VALUE"""),"")</f>
        <v/>
      </c>
      <c r="G2640" s="19" t="str">
        <f>IFERROR(__xludf.DUMMYFUNCTION("""COMPUTED_VALUE"""),"")</f>
        <v/>
      </c>
      <c r="H2640" s="19" t="str">
        <f>IFERROR(__xludf.DUMMYFUNCTION("""COMPUTED_VALUE"""),"")</f>
        <v/>
      </c>
      <c r="I2640" s="62" t="str">
        <f>IFERROR(__xludf.DUMMYFUNCTION("""COMPUTED_VALUE"""),"")</f>
        <v/>
      </c>
      <c r="J2640" s="19" t="str">
        <f>IFERROR(__xludf.DUMMYFUNCTION("""COMPUTED_VALUE"""),"")</f>
        <v/>
      </c>
    </row>
    <row r="2641">
      <c r="A2641" s="19" t="str">
        <f>IFERROR(__xludf.DUMMYFUNCTION("""COMPUTED_VALUE"""),"Will Steinhauer")</f>
        <v>Will Steinhauer</v>
      </c>
      <c r="B2641" s="19" t="str">
        <f>IFERROR(__xludf.DUMMYFUNCTION("""COMPUTED_VALUE"""),"NSW")</f>
        <v>NSW</v>
      </c>
      <c r="C2641" s="5" t="str">
        <f>IFERROR(__xludf.DUMMYFUNCTION("""COMPUTED_VALUE"""),"Rozelle")</f>
        <v>Rozelle</v>
      </c>
      <c r="D2641" s="5" t="str">
        <f>IFERROR(__xludf.DUMMYFUNCTION("""COMPUTED_VALUE"""),"201/29 Margaret Street Rozelle NSW 2039")</f>
        <v>201/29 Margaret Street Rozelle NSW 2039</v>
      </c>
      <c r="E2641" s="5" t="str">
        <f>IFERROR(__xludf.DUMMYFUNCTION("""COMPUTED_VALUE"""),"21/11/2025")</f>
        <v>21/11/2025</v>
      </c>
      <c r="F2641" s="5">
        <f>IFERROR(__xludf.DUMMYFUNCTION("""COMPUTED_VALUE"""),8.0)</f>
        <v>8</v>
      </c>
      <c r="G2641" s="19" t="str">
        <f>IFERROR(__xludf.DUMMYFUNCTION("""COMPUTED_VALUE"""),"Instant Forms")</f>
        <v>Instant Forms</v>
      </c>
      <c r="H2641" s="19" t="str">
        <f>IFERROR(__xludf.DUMMYFUNCTION("""COMPUTED_VALUE"""),"Michael Stevenson")</f>
        <v>Michael Stevenson</v>
      </c>
      <c r="I2641" s="62">
        <f>IFERROR(__xludf.DUMMYFUNCTION("""COMPUTED_VALUE"""),6.147731E10)</f>
        <v>61477310000</v>
      </c>
      <c r="J2641" s="19" t="str">
        <f>IFERROR(__xludf.DUMMYFUNCTION("""COMPUTED_VALUE"""),"michael-r-stevenson@hotmail.com")</f>
        <v>michael-r-stevenson@hotmail.com</v>
      </c>
    </row>
    <row r="2642">
      <c r="A2642" s="19" t="str">
        <f>IFERROR(__xludf.DUMMYFUNCTION("""COMPUTED_VALUE"""),"Will Steinhauer")</f>
        <v>Will Steinhauer</v>
      </c>
      <c r="B2642" s="19" t="str">
        <f>IFERROR(__xludf.DUMMYFUNCTION("""COMPUTED_VALUE"""),"NSW")</f>
        <v>NSW</v>
      </c>
      <c r="C2642" s="5" t="str">
        <f>IFERROR(__xludf.DUMMYFUNCTION("""COMPUTED_VALUE"""),"Camperdown")</f>
        <v>Camperdown</v>
      </c>
      <c r="D2642" s="5" t="str">
        <f>IFERROR(__xludf.DUMMYFUNCTION("""COMPUTED_VALUE"""),"303 / 4 Denison Street, Camperdown, NSW, 2050, Australia")</f>
        <v>303 / 4 Denison Street, Camperdown, NSW, 2050, Australia</v>
      </c>
      <c r="E2642" s="5" t="str">
        <f>IFERROR(__xludf.DUMMYFUNCTION("""COMPUTED_VALUE"""),"22/11/2025")</f>
        <v>22/11/2025</v>
      </c>
      <c r="F2642" s="5" t="str">
        <f>IFERROR(__xludf.DUMMYFUNCTION("""COMPUTED_VALUE"""),"Featured")</f>
        <v>Featured</v>
      </c>
      <c r="G2642" s="19" t="str">
        <f>IFERROR(__xludf.DUMMYFUNCTION("""COMPUTED_VALUE"""),"Commission Comparison")</f>
        <v>Commission Comparison</v>
      </c>
      <c r="H2642" s="19" t="str">
        <f>IFERROR(__xludf.DUMMYFUNCTION("""COMPUTED_VALUE"""),"Mandy Dodds")</f>
        <v>Mandy Dodds</v>
      </c>
      <c r="I2642" s="62">
        <f>IFERROR(__xludf.DUMMYFUNCTION("""COMPUTED_VALUE"""),6.10417664024E11)</f>
        <v>610417664024</v>
      </c>
      <c r="J2642" s="19" t="str">
        <f>IFERROR(__xludf.DUMMYFUNCTION("""COMPUTED_VALUE"""),"mandydodds2015@gmail.com")</f>
        <v>mandydodds2015@gmail.com</v>
      </c>
    </row>
    <row r="2643">
      <c r="A2643" s="19" t="str">
        <f>IFERROR(__xludf.DUMMYFUNCTION("""COMPUTED_VALUE"""),"Will Steinhauer")</f>
        <v>Will Steinhauer</v>
      </c>
      <c r="B2643" s="19" t="str">
        <f>IFERROR(__xludf.DUMMYFUNCTION("""COMPUTED_VALUE"""),"NSW")</f>
        <v>NSW</v>
      </c>
      <c r="C2643" s="5" t="str">
        <f>IFERROR(__xludf.DUMMYFUNCTION("""COMPUTED_VALUE"""),"Leichhardt")</f>
        <v>Leichhardt</v>
      </c>
      <c r="D2643" s="5" t="str">
        <f>IFERROR(__xludf.DUMMYFUNCTION("""COMPUTED_VALUE"""),"9 South Avenue Leichhardt NSW 2040")</f>
        <v>9 South Avenue Leichhardt NSW 2040</v>
      </c>
      <c r="E2643" s="5" t="str">
        <f>IFERROR(__xludf.DUMMYFUNCTION("""COMPUTED_VALUE"""),"22/11/2025")</f>
        <v>22/11/2025</v>
      </c>
      <c r="F2643" s="5">
        <f>IFERROR(__xludf.DUMMYFUNCTION("""COMPUTED_VALUE"""),6.0)</f>
        <v>6</v>
      </c>
      <c r="G2643" s="19" t="str">
        <f>IFERROR(__xludf.DUMMYFUNCTION("""COMPUTED_VALUE"""),"Instant Forms")</f>
        <v>Instant Forms</v>
      </c>
      <c r="H2643" s="19" t="str">
        <f>IFERROR(__xludf.DUMMYFUNCTION("""COMPUTED_VALUE"""),"Anthony Bathurst")</f>
        <v>Anthony Bathurst</v>
      </c>
      <c r="I2643" s="62">
        <f>IFERROR(__xludf.DUMMYFUNCTION("""COMPUTED_VALUE"""),6.1410636977E10)</f>
        <v>61410636977</v>
      </c>
      <c r="J2643" s="19" t="str">
        <f>IFERROR(__xludf.DUMMYFUNCTION("""COMPUTED_VALUE"""),"tonejb@hotmail.com")</f>
        <v>tonejb@hotmail.com</v>
      </c>
    </row>
    <row r="2644">
      <c r="A2644" s="19" t="str">
        <f>IFERROR(__xludf.DUMMYFUNCTION("""COMPUTED_VALUE"""),"Will Steinhauer")</f>
        <v>Will Steinhauer</v>
      </c>
      <c r="B2644" s="19" t="str">
        <f>IFERROR(__xludf.DUMMYFUNCTION("""COMPUTED_VALUE"""),"NSW")</f>
        <v>NSW</v>
      </c>
      <c r="C2644" s="5" t="str">
        <f>IFERROR(__xludf.DUMMYFUNCTION("""COMPUTED_VALUE"""),"Annandale")</f>
        <v>Annandale</v>
      </c>
      <c r="D2644" s="5"/>
      <c r="E2644" s="5" t="str">
        <f>IFERROR(__xludf.DUMMYFUNCTION("""COMPUTED_VALUE"""),"26/11/2025")</f>
        <v>26/11/2025</v>
      </c>
      <c r="F2644" s="5">
        <f>IFERROR(__xludf.DUMMYFUNCTION("""COMPUTED_VALUE"""),5.0)</f>
        <v>5</v>
      </c>
      <c r="G2644" s="19" t="str">
        <f>IFERROR(__xludf.DUMMYFUNCTION("""COMPUTED_VALUE"""),"Instant Forms")</f>
        <v>Instant Forms</v>
      </c>
      <c r="H2644" s="19" t="str">
        <f>IFERROR(__xludf.DUMMYFUNCTION("""COMPUTED_VALUE"""),"ann rigo")</f>
        <v>ann rigo</v>
      </c>
      <c r="I2644" s="62">
        <f>IFERROR(__xludf.DUMMYFUNCTION("""COMPUTED_VALUE"""),6.1432238217E10)</f>
        <v>61432238217</v>
      </c>
      <c r="J2644" s="19" t="str">
        <f>IFERROR(__xludf.DUMMYFUNCTION("""COMPUTED_VALUE"""),"hots.tough000@gmail.com")</f>
        <v>hots.tough000@gmail.com</v>
      </c>
    </row>
    <row r="2645">
      <c r="A2645" s="19" t="str">
        <f>IFERROR(__xludf.DUMMYFUNCTION("""COMPUTED_VALUE"""),"Will Steinhauer")</f>
        <v>Will Steinhauer</v>
      </c>
      <c r="B2645" s="19" t="str">
        <f>IFERROR(__xludf.DUMMYFUNCTION("""COMPUTED_VALUE"""),"NSW")</f>
        <v>NSW</v>
      </c>
      <c r="C2645" s="5" t="str">
        <f>IFERROR(__xludf.DUMMYFUNCTION("""COMPUTED_VALUE"""),"Rozelle")</f>
        <v>Rozelle</v>
      </c>
      <c r="D2645" s="5" t="str">
        <f>IFERROR(__xludf.DUMMYFUNCTION("""COMPUTED_VALUE"""),"50 Alfred St, Rozelle nsw 2039")</f>
        <v>50 Alfred St, Rozelle nsw 2039</v>
      </c>
      <c r="E2645" s="5" t="str">
        <f>IFERROR(__xludf.DUMMYFUNCTION("""COMPUTED_VALUE"""),"28/11/2025")</f>
        <v>28/11/2025</v>
      </c>
      <c r="F2645" s="64">
        <f>IFERROR(__xludf.DUMMYFUNCTION("""COMPUTED_VALUE"""),0.2)</f>
        <v>0.2</v>
      </c>
      <c r="G2645" s="19" t="str">
        <f>IFERROR(__xludf.DUMMYFUNCTION("""COMPUTED_VALUE"""),"Commission Comparison")</f>
        <v>Commission Comparison</v>
      </c>
      <c r="H2645" s="19" t="str">
        <f>IFERROR(__xludf.DUMMYFUNCTION("""COMPUTED_VALUE"""),"Mike")</f>
        <v>Mike</v>
      </c>
      <c r="I2645" s="62">
        <f>IFERROR(__xludf.DUMMYFUNCTION("""COMPUTED_VALUE"""),6.1417683422E10)</f>
        <v>61417683422</v>
      </c>
      <c r="J2645" s="19" t="str">
        <f>IFERROR(__xludf.DUMMYFUNCTION("""COMPUTED_VALUE"""),"zest4life4me@yahoo.com.au")</f>
        <v>zest4life4me@yahoo.com.au</v>
      </c>
    </row>
    <row r="2646">
      <c r="A2646" s="19" t="str">
        <f>IFERROR(__xludf.DUMMYFUNCTION("""COMPUTED_VALUE"""),"Will Steinhauer")</f>
        <v>Will Steinhauer</v>
      </c>
      <c r="B2646" s="19" t="str">
        <f>IFERROR(__xludf.DUMMYFUNCTION("""COMPUTED_VALUE"""),"NSW")</f>
        <v>NSW</v>
      </c>
      <c r="C2646" s="5" t="str">
        <f>IFERROR(__xludf.DUMMYFUNCTION("""COMPUTED_VALUE"""),"replace(replace(replace(trim(30 Stanley Street Leichhardt NSW 2040); /,/g; "" ""); /\s+/g; "" ""); /.\b(?:avenue|ave|boulevard|blvd|bvd|circuit|cct|close|cl|court|ct|crescent|cres|drive|dr|esplanade|esp|grove|gr|highway|hwy|lane|ln|laneway|lnwy|parade|pde"&amp;"|place|pl|promenade|prom|road|rd|row|ro|street|st|terrace|tce|way|wy)\b\s+(.+?)\s+(NSW|QLD|VIC|WA|SA|TAS|ACT|NT)\s+\d{4}\b.$/i; ""$1"")")</f>
        <v>replace(replace(replace(trim(30 Stanley Street Leichhardt NSW 2040); /,/g; " "); /\s+/g; " "); /.\b(?:avenue|ave|boulevard|blvd|bvd|circuit|cct|close|cl|court|ct|crescent|cres|drive|dr|esplanade|esp|grove|gr|highway|hwy|lane|ln|laneway|lnwy|parade|pde|place|pl|promenade|prom|road|rd|row|ro|street|st|terrace|tce|way|wy)\b\s+(.+?)\s+(NSW|QLD|VIC|WA|SA|TAS|ACT|NT)\s+\d{4}\b.$/i; "$1")</v>
      </c>
      <c r="D2646" s="5" t="str">
        <f>IFERROR(__xludf.DUMMYFUNCTION("""COMPUTED_VALUE"""),"30 Stanley Street Leichhardt NSW 2040")</f>
        <v>30 Stanley Street Leichhardt NSW 2040</v>
      </c>
      <c r="E2646" s="27">
        <f>IFERROR(__xludf.DUMMYFUNCTION("""COMPUTED_VALUE"""),45789.0)</f>
        <v>45789</v>
      </c>
      <c r="F2646" s="64">
        <f>IFERROR(__xludf.DUMMYFUNCTION("""COMPUTED_VALUE"""),0.2)</f>
        <v>0.2</v>
      </c>
      <c r="G2646" s="19" t="str">
        <f>IFERROR(__xludf.DUMMYFUNCTION("""COMPUTED_VALUE"""),"Instant Forms")</f>
        <v>Instant Forms</v>
      </c>
      <c r="H2646" s="19" t="str">
        <f>IFERROR(__xludf.DUMMYFUNCTION("""COMPUTED_VALUE"""),"Brook Ayrton")</f>
        <v>Brook Ayrton</v>
      </c>
      <c r="I2646" s="62">
        <f>IFERROR(__xludf.DUMMYFUNCTION("""COMPUTED_VALUE"""),6.1417678865E10)</f>
        <v>61417678865</v>
      </c>
      <c r="J2646" s="19" t="str">
        <f>IFERROR(__xludf.DUMMYFUNCTION("""COMPUTED_VALUE"""),"easytigercarpentry@gmail.com")</f>
        <v>easytigercarpentry@gmail.com</v>
      </c>
    </row>
    <row r="2647">
      <c r="A2647" s="19" t="str">
        <f>IFERROR(__xludf.DUMMYFUNCTION("""COMPUTED_VALUE"""),"")</f>
        <v/>
      </c>
      <c r="B2647" s="19" t="str">
        <f>IFERROR(__xludf.DUMMYFUNCTION("""COMPUTED_VALUE"""),"")</f>
        <v/>
      </c>
      <c r="C2647" s="5" t="str">
        <f>IFERROR(__xludf.DUMMYFUNCTION("""COMPUTED_VALUE"""),"")</f>
        <v/>
      </c>
      <c r="D2647" s="5" t="str">
        <f>IFERROR(__xludf.DUMMYFUNCTION("""COMPUTED_VALUE"""),"")</f>
        <v/>
      </c>
      <c r="E2647" s="5" t="str">
        <f>IFERROR(__xludf.DUMMYFUNCTION("""COMPUTED_VALUE"""),"")</f>
        <v/>
      </c>
      <c r="F2647" s="5" t="str">
        <f>IFERROR(__xludf.DUMMYFUNCTION("""COMPUTED_VALUE"""),"")</f>
        <v/>
      </c>
      <c r="G2647" s="19" t="str">
        <f>IFERROR(__xludf.DUMMYFUNCTION("""COMPUTED_VALUE"""),"")</f>
        <v/>
      </c>
      <c r="H2647" s="19" t="str">
        <f>IFERROR(__xludf.DUMMYFUNCTION("""COMPUTED_VALUE"""),"")</f>
        <v/>
      </c>
      <c r="I2647" s="62" t="str">
        <f>IFERROR(__xludf.DUMMYFUNCTION("""COMPUTED_VALUE"""),"")</f>
        <v/>
      </c>
      <c r="J2647" s="19" t="str">
        <f>IFERROR(__xludf.DUMMYFUNCTION("""COMPUTED_VALUE"""),"")</f>
        <v/>
      </c>
    </row>
    <row r="2648">
      <c r="A2648" s="19" t="str">
        <f>IFERROR(__xludf.DUMMYFUNCTION("""COMPUTED_VALUE"""),"")</f>
        <v/>
      </c>
      <c r="B2648" s="19" t="str">
        <f>IFERROR(__xludf.DUMMYFUNCTION("""COMPUTED_VALUE"""),"")</f>
        <v/>
      </c>
      <c r="C2648" s="5" t="str">
        <f>IFERROR(__xludf.DUMMYFUNCTION("""COMPUTED_VALUE"""),"")</f>
        <v/>
      </c>
      <c r="D2648" s="5" t="str">
        <f>IFERROR(__xludf.DUMMYFUNCTION("""COMPUTED_VALUE"""),"")</f>
        <v/>
      </c>
      <c r="E2648" s="5" t="str">
        <f>IFERROR(__xludf.DUMMYFUNCTION("""COMPUTED_VALUE"""),"")</f>
        <v/>
      </c>
      <c r="F2648" s="5" t="str">
        <f>IFERROR(__xludf.DUMMYFUNCTION("""COMPUTED_VALUE"""),"")</f>
        <v/>
      </c>
      <c r="G2648" s="19" t="str">
        <f>IFERROR(__xludf.DUMMYFUNCTION("""COMPUTED_VALUE"""),"")</f>
        <v/>
      </c>
      <c r="H2648" s="19" t="str">
        <f>IFERROR(__xludf.DUMMYFUNCTION("""COMPUTED_VALUE"""),"")</f>
        <v/>
      </c>
      <c r="I2648" s="62" t="str">
        <f>IFERROR(__xludf.DUMMYFUNCTION("""COMPUTED_VALUE"""),"")</f>
        <v/>
      </c>
      <c r="J2648" s="19" t="str">
        <f>IFERROR(__xludf.DUMMYFUNCTION("""COMPUTED_VALUE"""),"")</f>
        <v/>
      </c>
    </row>
    <row r="2649">
      <c r="C2649" s="5"/>
      <c r="D2649" s="5"/>
      <c r="E2649" s="5"/>
      <c r="F2649" s="5"/>
      <c r="I2649" s="62"/>
    </row>
    <row r="2650">
      <c r="C2650" s="5"/>
      <c r="D2650" s="5"/>
      <c r="E2650" s="5"/>
      <c r="F2650" s="5"/>
      <c r="I2650" s="62"/>
    </row>
    <row r="2651">
      <c r="C2651" s="5"/>
      <c r="D2651" s="5"/>
      <c r="E2651" s="5"/>
      <c r="F2651" s="5"/>
      <c r="I2651" s="62"/>
    </row>
    <row r="2652">
      <c r="C2652" s="5"/>
      <c r="D2652" s="5"/>
      <c r="E2652" s="5"/>
      <c r="F2652" s="5"/>
      <c r="I2652" s="62"/>
    </row>
    <row r="2653">
      <c r="C2653" s="5"/>
      <c r="D2653" s="5"/>
      <c r="E2653" s="5"/>
      <c r="F2653" s="5"/>
      <c r="I2653" s="62"/>
    </row>
    <row r="2654">
      <c r="C2654" s="5"/>
      <c r="D2654" s="5"/>
      <c r="E2654" s="5"/>
      <c r="F2654" s="5"/>
      <c r="I2654" s="62"/>
    </row>
    <row r="2655">
      <c r="C2655" s="5"/>
      <c r="D2655" s="5"/>
      <c r="E2655" s="5"/>
      <c r="F2655" s="5"/>
      <c r="I2655" s="62"/>
    </row>
    <row r="2656">
      <c r="C2656" s="5"/>
      <c r="D2656" s="5"/>
      <c r="E2656" s="5"/>
      <c r="F2656" s="5"/>
      <c r="I2656" s="62"/>
    </row>
    <row r="2657">
      <c r="C2657" s="5"/>
      <c r="D2657" s="5"/>
      <c r="E2657" s="5"/>
      <c r="F2657" s="5"/>
      <c r="I2657" s="62"/>
    </row>
    <row r="2658">
      <c r="C2658" s="5"/>
      <c r="D2658" s="5"/>
      <c r="E2658" s="5"/>
      <c r="F2658" s="5"/>
      <c r="I2658" s="62"/>
    </row>
    <row r="2659">
      <c r="C2659" s="5"/>
      <c r="D2659" s="5"/>
      <c r="E2659" s="5"/>
      <c r="F2659" s="5"/>
      <c r="I2659" s="62"/>
    </row>
    <row r="2660">
      <c r="C2660" s="5"/>
      <c r="D2660" s="5"/>
      <c r="E2660" s="5"/>
      <c r="F2660" s="5"/>
      <c r="I2660" s="62"/>
    </row>
    <row r="2661">
      <c r="C2661" s="5"/>
      <c r="D2661" s="5"/>
      <c r="E2661" s="5"/>
      <c r="F2661" s="5"/>
      <c r="I2661" s="62"/>
    </row>
    <row r="2662">
      <c r="C2662" s="5"/>
      <c r="D2662" s="5"/>
      <c r="E2662" s="5"/>
      <c r="F2662" s="5"/>
      <c r="I2662" s="62"/>
    </row>
    <row r="2663">
      <c r="C2663" s="5"/>
      <c r="D2663" s="5"/>
      <c r="E2663" s="5"/>
      <c r="F2663" s="5"/>
      <c r="I2663" s="62"/>
    </row>
    <row r="2664">
      <c r="C2664" s="5"/>
      <c r="D2664" s="5"/>
      <c r="E2664" s="5"/>
      <c r="F2664" s="5"/>
      <c r="I2664" s="62"/>
    </row>
    <row r="2665">
      <c r="C2665" s="5"/>
      <c r="D2665" s="5"/>
      <c r="E2665" s="5"/>
      <c r="F2665" s="5"/>
      <c r="I2665" s="62"/>
    </row>
    <row r="2666">
      <c r="C2666" s="5"/>
      <c r="D2666" s="5"/>
      <c r="E2666" s="5"/>
      <c r="F2666" s="5"/>
      <c r="I2666" s="62"/>
    </row>
    <row r="2667">
      <c r="C2667" s="5"/>
      <c r="D2667" s="5"/>
      <c r="E2667" s="5"/>
      <c r="F2667" s="5"/>
      <c r="I2667" s="62"/>
    </row>
    <row r="2668">
      <c r="C2668" s="5"/>
      <c r="D2668" s="5"/>
      <c r="E2668" s="5"/>
      <c r="F2668" s="5"/>
      <c r="I2668" s="62"/>
    </row>
    <row r="2669">
      <c r="C2669" s="5"/>
      <c r="D2669" s="5"/>
      <c r="E2669" s="5"/>
      <c r="F2669" s="5"/>
      <c r="I2669" s="62"/>
    </row>
    <row r="2670">
      <c r="C2670" s="5"/>
      <c r="D2670" s="5"/>
      <c r="E2670" s="5"/>
      <c r="F2670" s="5"/>
      <c r="I2670" s="62"/>
    </row>
    <row r="2671">
      <c r="C2671" s="5"/>
      <c r="D2671" s="5"/>
      <c r="E2671" s="5"/>
      <c r="F2671" s="5"/>
      <c r="I2671" s="62"/>
    </row>
    <row r="2672">
      <c r="C2672" s="5"/>
      <c r="D2672" s="5"/>
      <c r="E2672" s="5"/>
      <c r="F2672" s="5"/>
      <c r="I2672" s="62"/>
    </row>
    <row r="2673">
      <c r="C2673" s="5"/>
      <c r="D2673" s="5"/>
      <c r="E2673" s="5"/>
      <c r="F2673" s="5"/>
      <c r="I2673" s="62"/>
    </row>
    <row r="2674">
      <c r="C2674" s="5"/>
      <c r="D2674" s="5"/>
      <c r="E2674" s="5"/>
      <c r="F2674" s="5"/>
      <c r="I2674" s="62"/>
    </row>
    <row r="2675">
      <c r="C2675" s="5"/>
      <c r="D2675" s="5"/>
      <c r="E2675" s="5"/>
      <c r="F2675" s="5"/>
      <c r="I2675" s="62"/>
    </row>
    <row r="2676">
      <c r="C2676" s="5"/>
      <c r="D2676" s="5"/>
      <c r="E2676" s="5"/>
      <c r="F2676" s="5"/>
      <c r="I2676" s="62"/>
    </row>
    <row r="2677">
      <c r="C2677" s="5"/>
      <c r="D2677" s="5"/>
      <c r="E2677" s="5"/>
      <c r="F2677" s="5"/>
      <c r="I2677" s="62"/>
    </row>
    <row r="2678">
      <c r="C2678" s="5"/>
      <c r="D2678" s="5"/>
      <c r="E2678" s="5"/>
      <c r="F2678" s="5"/>
      <c r="I2678" s="62"/>
    </row>
    <row r="2679">
      <c r="C2679" s="5"/>
      <c r="D2679" s="5"/>
      <c r="E2679" s="5"/>
      <c r="F2679" s="5"/>
      <c r="I2679" s="62"/>
    </row>
    <row r="2680">
      <c r="C2680" s="5"/>
      <c r="D2680" s="5"/>
      <c r="E2680" s="5"/>
      <c r="F2680" s="5"/>
      <c r="I2680" s="62"/>
    </row>
    <row r="2681">
      <c r="C2681" s="5"/>
      <c r="D2681" s="5"/>
      <c r="E2681" s="5"/>
      <c r="F2681" s="5"/>
      <c r="I2681" s="62"/>
    </row>
    <row r="2682">
      <c r="C2682" s="5"/>
      <c r="D2682" s="5"/>
      <c r="E2682" s="5"/>
      <c r="F2682" s="5"/>
      <c r="I2682" s="62"/>
    </row>
    <row r="2683">
      <c r="C2683" s="5"/>
      <c r="D2683" s="5"/>
      <c r="E2683" s="5"/>
      <c r="F2683" s="5"/>
      <c r="I2683" s="62"/>
    </row>
    <row r="2684">
      <c r="C2684" s="5"/>
      <c r="D2684" s="5"/>
      <c r="E2684" s="5"/>
      <c r="F2684" s="5"/>
      <c r="I2684" s="62"/>
    </row>
    <row r="2685">
      <c r="C2685" s="5"/>
      <c r="D2685" s="5"/>
      <c r="E2685" s="5"/>
      <c r="F2685" s="5"/>
      <c r="I2685" s="62"/>
    </row>
    <row r="2686">
      <c r="C2686" s="5"/>
      <c r="D2686" s="5"/>
      <c r="E2686" s="5"/>
      <c r="F2686" s="5"/>
      <c r="I2686" s="62"/>
    </row>
    <row r="2687">
      <c r="C2687" s="5"/>
      <c r="D2687" s="5"/>
      <c r="E2687" s="5"/>
      <c r="F2687" s="5"/>
      <c r="I2687" s="62"/>
    </row>
    <row r="2688">
      <c r="C2688" s="5"/>
      <c r="D2688" s="5"/>
      <c r="E2688" s="5"/>
      <c r="F2688" s="5"/>
      <c r="I2688" s="62"/>
    </row>
    <row r="2689">
      <c r="C2689" s="5"/>
      <c r="D2689" s="5"/>
      <c r="E2689" s="5"/>
      <c r="F2689" s="5"/>
      <c r="I2689" s="62"/>
    </row>
    <row r="2690">
      <c r="C2690" s="5"/>
      <c r="D2690" s="5"/>
      <c r="E2690" s="5"/>
      <c r="F2690" s="5"/>
      <c r="I2690" s="62"/>
    </row>
    <row r="2691">
      <c r="C2691" s="5"/>
      <c r="D2691" s="5"/>
      <c r="E2691" s="5"/>
      <c r="F2691" s="5"/>
      <c r="I2691" s="62"/>
    </row>
    <row r="2692">
      <c r="C2692" s="5"/>
      <c r="D2692" s="5"/>
      <c r="E2692" s="5"/>
      <c r="F2692" s="5"/>
      <c r="I2692" s="62"/>
    </row>
    <row r="2693">
      <c r="C2693" s="5"/>
      <c r="D2693" s="5"/>
      <c r="E2693" s="5"/>
      <c r="F2693" s="5"/>
      <c r="I2693" s="62"/>
    </row>
    <row r="2694">
      <c r="C2694" s="5"/>
      <c r="D2694" s="5"/>
      <c r="E2694" s="5"/>
      <c r="F2694" s="5"/>
      <c r="I2694" s="62"/>
    </row>
    <row r="2695">
      <c r="C2695" s="5"/>
      <c r="D2695" s="5"/>
      <c r="E2695" s="5"/>
      <c r="F2695" s="5"/>
      <c r="I2695" s="62"/>
    </row>
    <row r="2696">
      <c r="C2696" s="5"/>
      <c r="D2696" s="5"/>
      <c r="E2696" s="5"/>
      <c r="F2696" s="5"/>
      <c r="I2696" s="62"/>
    </row>
    <row r="2697">
      <c r="C2697" s="5"/>
      <c r="D2697" s="5"/>
      <c r="E2697" s="5"/>
      <c r="F2697" s="5"/>
      <c r="I2697" s="62"/>
    </row>
    <row r="2698">
      <c r="C2698" s="5"/>
      <c r="D2698" s="5"/>
      <c r="E2698" s="5"/>
      <c r="F2698" s="5"/>
      <c r="I2698" s="62"/>
    </row>
    <row r="2699">
      <c r="C2699" s="5"/>
      <c r="D2699" s="5"/>
      <c r="E2699" s="5"/>
      <c r="F2699" s="5"/>
      <c r="I2699" s="62"/>
    </row>
    <row r="2700">
      <c r="C2700" s="5"/>
      <c r="D2700" s="5"/>
      <c r="E2700" s="5"/>
      <c r="F2700" s="5"/>
      <c r="I2700" s="62"/>
    </row>
    <row r="2701">
      <c r="C2701" s="5"/>
      <c r="D2701" s="5"/>
      <c r="E2701" s="5"/>
      <c r="F2701" s="5"/>
      <c r="I2701" s="62"/>
    </row>
    <row r="2702">
      <c r="C2702" s="5"/>
      <c r="D2702" s="5"/>
      <c r="E2702" s="5"/>
      <c r="F2702" s="5"/>
      <c r="I2702" s="62"/>
    </row>
    <row r="2703">
      <c r="C2703" s="5"/>
      <c r="D2703" s="5"/>
      <c r="E2703" s="5"/>
      <c r="F2703" s="5"/>
      <c r="I2703" s="62"/>
    </row>
    <row r="2704">
      <c r="C2704" s="5"/>
      <c r="D2704" s="5"/>
      <c r="E2704" s="5"/>
      <c r="F2704" s="5"/>
      <c r="I2704" s="62"/>
    </row>
    <row r="2705">
      <c r="C2705" s="5"/>
      <c r="D2705" s="5"/>
      <c r="E2705" s="5"/>
      <c r="F2705" s="5"/>
      <c r="I2705" s="62"/>
    </row>
    <row r="2706">
      <c r="C2706" s="5"/>
      <c r="D2706" s="5"/>
      <c r="E2706" s="5"/>
      <c r="F2706" s="5"/>
      <c r="I2706" s="62"/>
    </row>
    <row r="2707">
      <c r="C2707" s="5"/>
      <c r="D2707" s="5"/>
      <c r="E2707" s="5"/>
      <c r="F2707" s="5"/>
      <c r="I2707" s="62"/>
    </row>
    <row r="2708">
      <c r="C2708" s="5"/>
      <c r="D2708" s="5"/>
      <c r="E2708" s="5"/>
      <c r="F2708" s="5"/>
      <c r="I2708" s="62"/>
    </row>
    <row r="2709">
      <c r="C2709" s="5"/>
      <c r="D2709" s="5"/>
      <c r="E2709" s="5"/>
      <c r="F2709" s="5"/>
      <c r="I2709" s="62"/>
    </row>
    <row r="2710">
      <c r="C2710" s="5"/>
      <c r="D2710" s="5"/>
      <c r="E2710" s="5"/>
      <c r="F2710" s="5"/>
      <c r="I2710" s="62"/>
    </row>
    <row r="2711">
      <c r="C2711" s="5"/>
      <c r="D2711" s="5"/>
      <c r="E2711" s="5"/>
      <c r="F2711" s="5"/>
      <c r="I2711" s="62"/>
    </row>
    <row r="2712">
      <c r="C2712" s="5"/>
      <c r="D2712" s="5"/>
      <c r="E2712" s="5"/>
      <c r="F2712" s="5"/>
      <c r="I2712" s="62"/>
    </row>
    <row r="2713">
      <c r="C2713" s="5"/>
      <c r="D2713" s="5"/>
      <c r="E2713" s="5"/>
      <c r="F2713" s="5"/>
      <c r="I2713" s="62"/>
    </row>
    <row r="2714">
      <c r="C2714" s="5"/>
      <c r="D2714" s="5"/>
      <c r="E2714" s="5"/>
      <c r="F2714" s="5"/>
      <c r="I2714" s="62"/>
    </row>
    <row r="2715">
      <c r="C2715" s="5"/>
      <c r="D2715" s="5"/>
      <c r="E2715" s="5"/>
      <c r="F2715" s="5"/>
      <c r="I2715" s="62"/>
    </row>
    <row r="2716">
      <c r="C2716" s="5"/>
      <c r="D2716" s="5"/>
      <c r="E2716" s="5"/>
      <c r="F2716" s="5"/>
      <c r="I2716" s="62"/>
    </row>
    <row r="2717">
      <c r="C2717" s="5"/>
      <c r="D2717" s="5"/>
      <c r="E2717" s="5"/>
      <c r="F2717" s="5"/>
      <c r="I2717" s="62"/>
    </row>
    <row r="2718">
      <c r="C2718" s="5"/>
      <c r="D2718" s="5"/>
      <c r="E2718" s="5"/>
      <c r="F2718" s="5"/>
      <c r="I2718" s="62"/>
    </row>
    <row r="2719">
      <c r="C2719" s="5"/>
      <c r="D2719" s="5"/>
      <c r="E2719" s="5"/>
      <c r="F2719" s="5"/>
      <c r="I2719" s="62"/>
    </row>
    <row r="2720">
      <c r="C2720" s="5"/>
      <c r="D2720" s="5"/>
      <c r="E2720" s="5"/>
      <c r="F2720" s="5"/>
      <c r="I2720" s="62"/>
    </row>
    <row r="2721">
      <c r="C2721" s="5"/>
      <c r="D2721" s="5"/>
      <c r="E2721" s="5"/>
      <c r="F2721" s="5"/>
      <c r="I2721" s="62"/>
    </row>
    <row r="2722">
      <c r="C2722" s="5"/>
      <c r="D2722" s="5"/>
      <c r="E2722" s="5"/>
      <c r="F2722" s="5"/>
      <c r="I2722" s="62"/>
    </row>
    <row r="2723">
      <c r="C2723" s="5"/>
      <c r="D2723" s="5"/>
      <c r="E2723" s="5"/>
      <c r="F2723" s="5"/>
      <c r="I2723" s="62"/>
    </row>
    <row r="2724">
      <c r="C2724" s="5"/>
      <c r="D2724" s="5"/>
      <c r="E2724" s="5"/>
      <c r="F2724" s="5"/>
      <c r="I2724" s="62"/>
    </row>
    <row r="2725">
      <c r="C2725" s="5"/>
      <c r="D2725" s="5"/>
      <c r="E2725" s="5"/>
      <c r="F2725" s="5"/>
      <c r="I2725" s="62"/>
    </row>
    <row r="2726">
      <c r="C2726" s="5"/>
      <c r="D2726" s="5"/>
      <c r="E2726" s="5"/>
      <c r="F2726" s="5"/>
      <c r="I2726" s="62"/>
    </row>
    <row r="2727">
      <c r="C2727" s="5"/>
      <c r="D2727" s="5"/>
      <c r="E2727" s="5"/>
      <c r="F2727" s="5"/>
      <c r="I2727" s="62"/>
    </row>
    <row r="2728">
      <c r="C2728" s="5"/>
      <c r="D2728" s="5"/>
      <c r="E2728" s="5"/>
      <c r="F2728" s="5"/>
      <c r="I2728" s="62"/>
    </row>
    <row r="2729">
      <c r="C2729" s="5"/>
      <c r="D2729" s="5"/>
      <c r="E2729" s="5"/>
      <c r="F2729" s="5"/>
      <c r="I2729" s="62"/>
    </row>
    <row r="2730">
      <c r="C2730" s="5"/>
      <c r="D2730" s="5"/>
      <c r="E2730" s="5"/>
      <c r="F2730" s="5"/>
      <c r="I2730" s="62"/>
    </row>
    <row r="2731">
      <c r="C2731" s="5"/>
      <c r="D2731" s="5"/>
      <c r="E2731" s="5"/>
      <c r="F2731" s="5"/>
      <c r="I2731" s="62"/>
    </row>
    <row r="2732">
      <c r="C2732" s="5"/>
      <c r="D2732" s="5"/>
      <c r="E2732" s="5"/>
      <c r="F2732" s="5"/>
      <c r="I2732" s="62"/>
    </row>
    <row r="2733">
      <c r="C2733" s="5"/>
      <c r="D2733" s="5"/>
      <c r="E2733" s="5"/>
      <c r="F2733" s="5"/>
      <c r="I2733" s="62"/>
    </row>
    <row r="2734">
      <c r="C2734" s="5"/>
      <c r="D2734" s="5"/>
      <c r="E2734" s="5"/>
      <c r="F2734" s="5"/>
      <c r="I2734" s="62"/>
    </row>
    <row r="2735">
      <c r="C2735" s="5"/>
      <c r="D2735" s="5"/>
      <c r="E2735" s="5"/>
      <c r="F2735" s="5"/>
      <c r="I2735" s="62"/>
    </row>
    <row r="2736">
      <c r="C2736" s="5"/>
      <c r="D2736" s="5"/>
      <c r="E2736" s="5"/>
      <c r="F2736" s="5"/>
      <c r="I2736" s="62"/>
    </row>
    <row r="2737">
      <c r="C2737" s="5"/>
      <c r="D2737" s="5"/>
      <c r="E2737" s="5"/>
      <c r="F2737" s="5"/>
      <c r="I2737" s="62"/>
    </row>
    <row r="2738">
      <c r="C2738" s="5"/>
      <c r="D2738" s="5"/>
      <c r="E2738" s="5"/>
      <c r="F2738" s="5"/>
      <c r="I2738" s="62"/>
    </row>
    <row r="2739">
      <c r="C2739" s="5"/>
      <c r="D2739" s="5"/>
      <c r="E2739" s="5"/>
      <c r="F2739" s="5"/>
      <c r="I2739" s="62"/>
    </row>
    <row r="2740">
      <c r="C2740" s="5"/>
      <c r="D2740" s="5"/>
      <c r="E2740" s="5"/>
      <c r="F2740" s="5"/>
      <c r="I2740" s="62"/>
    </row>
    <row r="2741">
      <c r="C2741" s="5"/>
      <c r="D2741" s="5"/>
      <c r="E2741" s="5"/>
      <c r="F2741" s="5"/>
      <c r="I2741" s="62"/>
    </row>
    <row r="2742">
      <c r="C2742" s="5"/>
      <c r="D2742" s="5"/>
      <c r="E2742" s="5"/>
      <c r="F2742" s="5"/>
      <c r="I2742" s="62"/>
    </row>
    <row r="2743">
      <c r="C2743" s="5"/>
      <c r="D2743" s="5"/>
      <c r="E2743" s="5"/>
      <c r="F2743" s="5"/>
      <c r="I2743" s="62"/>
    </row>
    <row r="2744">
      <c r="C2744" s="5"/>
      <c r="D2744" s="5"/>
      <c r="E2744" s="5"/>
      <c r="F2744" s="5"/>
      <c r="I2744" s="62"/>
    </row>
    <row r="2745">
      <c r="C2745" s="5"/>
      <c r="D2745" s="5"/>
      <c r="E2745" s="5"/>
      <c r="F2745" s="5"/>
      <c r="I2745" s="62"/>
    </row>
    <row r="2746">
      <c r="C2746" s="5"/>
      <c r="D2746" s="5"/>
      <c r="E2746" s="5"/>
      <c r="F2746" s="5"/>
      <c r="I2746" s="62"/>
    </row>
    <row r="2747">
      <c r="C2747" s="5"/>
      <c r="D2747" s="5"/>
      <c r="E2747" s="5"/>
      <c r="F2747" s="5"/>
      <c r="I2747" s="62"/>
    </row>
    <row r="2748">
      <c r="C2748" s="5"/>
      <c r="D2748" s="5"/>
      <c r="E2748" s="5"/>
      <c r="F2748" s="5"/>
      <c r="I2748" s="62"/>
    </row>
    <row r="2749">
      <c r="C2749" s="5"/>
      <c r="D2749" s="5"/>
      <c r="E2749" s="5"/>
      <c r="F2749" s="5"/>
      <c r="I2749" s="62"/>
    </row>
    <row r="2750">
      <c r="C2750" s="5"/>
      <c r="D2750" s="5"/>
      <c r="E2750" s="5"/>
      <c r="F2750" s="5"/>
      <c r="I2750" s="62"/>
    </row>
    <row r="2751">
      <c r="C2751" s="5"/>
      <c r="D2751" s="5"/>
      <c r="E2751" s="5"/>
      <c r="F2751" s="5"/>
      <c r="I2751" s="62"/>
    </row>
    <row r="2752">
      <c r="C2752" s="5"/>
      <c r="D2752" s="5"/>
      <c r="E2752" s="5"/>
      <c r="F2752" s="5"/>
      <c r="I2752" s="62"/>
    </row>
    <row r="2753">
      <c r="C2753" s="5"/>
      <c r="D2753" s="5"/>
      <c r="E2753" s="5"/>
      <c r="F2753" s="5"/>
      <c r="I2753" s="62"/>
    </row>
    <row r="2754">
      <c r="C2754" s="5"/>
      <c r="D2754" s="5"/>
      <c r="E2754" s="5"/>
      <c r="F2754" s="5"/>
      <c r="I2754" s="62"/>
    </row>
    <row r="2755">
      <c r="C2755" s="5"/>
      <c r="D2755" s="5"/>
      <c r="E2755" s="5"/>
      <c r="F2755" s="5"/>
      <c r="I2755" s="62"/>
    </row>
    <row r="2756">
      <c r="C2756" s="5"/>
      <c r="D2756" s="5"/>
      <c r="E2756" s="5"/>
      <c r="F2756" s="5"/>
      <c r="I2756" s="62"/>
    </row>
    <row r="2757">
      <c r="C2757" s="5"/>
      <c r="D2757" s="5"/>
      <c r="E2757" s="5"/>
      <c r="F2757" s="5"/>
      <c r="I2757" s="62"/>
    </row>
    <row r="2758">
      <c r="C2758" s="5"/>
      <c r="D2758" s="5"/>
      <c r="E2758" s="5"/>
      <c r="F2758" s="5"/>
      <c r="I2758" s="62"/>
    </row>
    <row r="2759">
      <c r="C2759" s="5"/>
      <c r="D2759" s="5"/>
      <c r="E2759" s="5"/>
      <c r="F2759" s="5"/>
      <c r="I2759" s="62"/>
    </row>
    <row r="2760">
      <c r="C2760" s="5"/>
      <c r="D2760" s="5"/>
      <c r="E2760" s="5"/>
      <c r="F2760" s="5"/>
      <c r="I2760" s="62"/>
    </row>
    <row r="2761">
      <c r="C2761" s="5"/>
      <c r="D2761" s="5"/>
      <c r="E2761" s="5"/>
      <c r="F2761" s="5"/>
      <c r="I2761" s="62"/>
    </row>
    <row r="2762">
      <c r="C2762" s="5"/>
      <c r="D2762" s="5"/>
      <c r="E2762" s="5"/>
      <c r="F2762" s="5"/>
      <c r="I2762" s="62"/>
    </row>
    <row r="2763">
      <c r="C2763" s="5"/>
      <c r="D2763" s="5"/>
      <c r="E2763" s="5"/>
      <c r="F2763" s="5"/>
      <c r="I2763" s="62"/>
    </row>
    <row r="2764">
      <c r="C2764" s="5"/>
      <c r="D2764" s="5"/>
      <c r="E2764" s="5"/>
      <c r="F2764" s="5"/>
      <c r="I2764" s="62"/>
    </row>
    <row r="2765">
      <c r="C2765" s="5"/>
      <c r="D2765" s="5"/>
      <c r="E2765" s="5"/>
      <c r="F2765" s="5"/>
      <c r="I2765" s="62"/>
    </row>
    <row r="2766">
      <c r="C2766" s="5"/>
      <c r="D2766" s="5"/>
      <c r="E2766" s="5"/>
      <c r="F2766" s="5"/>
      <c r="I2766" s="62"/>
    </row>
    <row r="2767">
      <c r="C2767" s="5"/>
      <c r="D2767" s="5"/>
      <c r="E2767" s="5"/>
      <c r="F2767" s="5"/>
      <c r="I2767" s="62"/>
    </row>
    <row r="2768">
      <c r="C2768" s="5"/>
      <c r="D2768" s="5"/>
      <c r="E2768" s="5"/>
      <c r="F2768" s="5"/>
      <c r="I2768" s="62"/>
    </row>
    <row r="2769">
      <c r="C2769" s="5"/>
      <c r="D2769" s="5"/>
      <c r="E2769" s="5"/>
      <c r="F2769" s="5"/>
      <c r="I2769" s="62"/>
    </row>
    <row r="2770">
      <c r="C2770" s="5"/>
      <c r="D2770" s="5"/>
      <c r="E2770" s="5"/>
      <c r="F2770" s="5"/>
      <c r="I2770" s="62"/>
    </row>
    <row r="2771">
      <c r="C2771" s="5"/>
      <c r="D2771" s="5"/>
      <c r="E2771" s="5"/>
      <c r="F2771" s="5"/>
      <c r="I2771" s="62"/>
    </row>
    <row r="2772">
      <c r="C2772" s="5"/>
      <c r="D2772" s="5"/>
      <c r="E2772" s="5"/>
      <c r="F2772" s="5"/>
      <c r="I2772" s="62"/>
    </row>
    <row r="2773">
      <c r="C2773" s="5"/>
      <c r="D2773" s="5"/>
      <c r="E2773" s="5"/>
      <c r="F2773" s="5"/>
      <c r="I2773" s="62"/>
    </row>
    <row r="2774">
      <c r="C2774" s="5"/>
      <c r="D2774" s="5"/>
      <c r="E2774" s="5"/>
      <c r="F2774" s="5"/>
      <c r="I2774" s="62"/>
    </row>
    <row r="2775">
      <c r="C2775" s="5"/>
      <c r="D2775" s="5"/>
      <c r="E2775" s="5"/>
      <c r="F2775" s="5"/>
      <c r="I2775" s="62"/>
    </row>
    <row r="2776">
      <c r="C2776" s="5"/>
      <c r="D2776" s="5"/>
      <c r="E2776" s="5"/>
      <c r="F2776" s="5"/>
      <c r="I2776" s="62"/>
    </row>
    <row r="2777">
      <c r="C2777" s="5"/>
      <c r="D2777" s="5"/>
      <c r="E2777" s="5"/>
      <c r="F2777" s="5"/>
      <c r="I2777" s="62"/>
    </row>
    <row r="2778">
      <c r="C2778" s="5"/>
      <c r="D2778" s="5"/>
      <c r="E2778" s="5"/>
      <c r="F2778" s="5"/>
      <c r="I2778" s="62"/>
    </row>
    <row r="2779">
      <c r="C2779" s="5"/>
      <c r="D2779" s="5"/>
      <c r="E2779" s="5"/>
      <c r="F2779" s="5"/>
      <c r="I2779" s="62"/>
    </row>
    <row r="2780">
      <c r="C2780" s="5"/>
      <c r="D2780" s="5"/>
      <c r="E2780" s="5"/>
      <c r="F2780" s="5"/>
      <c r="I2780" s="62"/>
    </row>
    <row r="2781">
      <c r="C2781" s="5"/>
      <c r="D2781" s="5"/>
      <c r="E2781" s="5"/>
      <c r="F2781" s="5"/>
      <c r="I2781" s="62"/>
    </row>
    <row r="2782">
      <c r="C2782" s="5"/>
      <c r="D2782" s="5"/>
      <c r="E2782" s="5"/>
      <c r="F2782" s="5"/>
      <c r="I2782" s="62"/>
    </row>
    <row r="2783">
      <c r="C2783" s="5"/>
      <c r="D2783" s="5"/>
      <c r="E2783" s="5"/>
      <c r="F2783" s="5"/>
      <c r="I2783" s="62"/>
    </row>
    <row r="2784">
      <c r="C2784" s="5"/>
      <c r="D2784" s="5"/>
      <c r="E2784" s="5"/>
      <c r="F2784" s="5"/>
      <c r="I2784" s="62"/>
    </row>
    <row r="2785">
      <c r="C2785" s="5"/>
      <c r="D2785" s="5"/>
      <c r="E2785" s="5"/>
      <c r="F2785" s="5"/>
      <c r="I2785" s="62"/>
    </row>
    <row r="2786">
      <c r="C2786" s="5"/>
      <c r="D2786" s="5"/>
      <c r="E2786" s="5"/>
      <c r="F2786" s="5"/>
      <c r="I2786" s="62"/>
    </row>
    <row r="2787">
      <c r="C2787" s="5"/>
      <c r="D2787" s="5"/>
      <c r="E2787" s="5"/>
      <c r="F2787" s="5"/>
      <c r="I2787" s="62"/>
    </row>
    <row r="2788">
      <c r="C2788" s="5"/>
      <c r="D2788" s="5"/>
      <c r="E2788" s="5"/>
      <c r="F2788" s="5"/>
      <c r="I2788" s="62"/>
    </row>
    <row r="2789">
      <c r="C2789" s="5"/>
      <c r="D2789" s="5"/>
      <c r="E2789" s="5"/>
      <c r="F2789" s="5"/>
      <c r="I2789" s="62"/>
    </row>
    <row r="2790">
      <c r="C2790" s="5"/>
      <c r="D2790" s="5"/>
      <c r="E2790" s="5"/>
      <c r="F2790" s="5"/>
      <c r="I2790" s="62"/>
    </row>
    <row r="2791">
      <c r="C2791" s="5"/>
      <c r="D2791" s="5"/>
      <c r="E2791" s="5"/>
      <c r="F2791" s="5"/>
      <c r="I2791" s="62"/>
    </row>
    <row r="2792">
      <c r="C2792" s="5"/>
      <c r="D2792" s="5"/>
      <c r="E2792" s="5"/>
      <c r="F2792" s="5"/>
      <c r="I2792" s="62"/>
    </row>
    <row r="2793">
      <c r="C2793" s="5"/>
      <c r="D2793" s="5"/>
      <c r="E2793" s="5"/>
      <c r="F2793" s="5"/>
      <c r="I2793" s="62"/>
    </row>
    <row r="2794">
      <c r="C2794" s="5"/>
      <c r="D2794" s="5"/>
      <c r="E2794" s="5"/>
      <c r="F2794" s="5"/>
      <c r="I2794" s="62"/>
    </row>
    <row r="2795">
      <c r="C2795" s="5"/>
      <c r="D2795" s="5"/>
      <c r="E2795" s="5"/>
      <c r="F2795" s="5"/>
      <c r="I2795" s="62"/>
    </row>
    <row r="2796">
      <c r="C2796" s="5"/>
      <c r="D2796" s="5"/>
      <c r="E2796" s="5"/>
      <c r="F2796" s="5"/>
      <c r="I2796" s="62"/>
    </row>
    <row r="2797">
      <c r="C2797" s="5"/>
      <c r="D2797" s="5"/>
      <c r="E2797" s="5"/>
      <c r="F2797" s="5"/>
      <c r="I2797" s="62"/>
    </row>
    <row r="2798">
      <c r="C2798" s="5"/>
      <c r="D2798" s="5"/>
      <c r="E2798" s="5"/>
      <c r="F2798" s="5"/>
      <c r="I2798" s="62"/>
    </row>
    <row r="2799">
      <c r="C2799" s="5"/>
      <c r="D2799" s="5"/>
      <c r="E2799" s="5"/>
      <c r="F2799" s="5"/>
      <c r="I2799" s="62"/>
    </row>
    <row r="2800">
      <c r="C2800" s="5"/>
      <c r="D2800" s="5"/>
      <c r="E2800" s="5"/>
      <c r="F2800" s="5"/>
      <c r="I2800" s="62"/>
    </row>
    <row r="2801">
      <c r="C2801" s="5"/>
      <c r="D2801" s="5"/>
      <c r="E2801" s="5"/>
      <c r="F2801" s="5"/>
      <c r="I2801" s="62"/>
    </row>
    <row r="2802">
      <c r="C2802" s="5"/>
      <c r="D2802" s="5"/>
      <c r="E2802" s="5"/>
      <c r="F2802" s="5"/>
      <c r="I2802" s="62"/>
    </row>
    <row r="2803">
      <c r="C2803" s="5"/>
      <c r="D2803" s="5"/>
      <c r="E2803" s="5"/>
      <c r="F2803" s="5"/>
      <c r="I2803" s="62"/>
    </row>
    <row r="2804">
      <c r="C2804" s="5"/>
      <c r="D2804" s="5"/>
      <c r="E2804" s="5"/>
      <c r="F2804" s="5"/>
      <c r="I2804" s="62"/>
    </row>
    <row r="2805">
      <c r="C2805" s="5"/>
      <c r="D2805" s="5"/>
      <c r="E2805" s="5"/>
      <c r="F2805" s="5"/>
      <c r="I2805" s="62"/>
    </row>
    <row r="2806">
      <c r="C2806" s="5"/>
      <c r="D2806" s="5"/>
      <c r="E2806" s="5"/>
      <c r="F2806" s="5"/>
      <c r="I2806" s="62"/>
    </row>
    <row r="2807">
      <c r="C2807" s="5"/>
      <c r="D2807" s="5"/>
      <c r="E2807" s="5"/>
      <c r="F2807" s="5"/>
      <c r="I2807" s="62"/>
    </row>
    <row r="2808">
      <c r="C2808" s="5"/>
      <c r="D2808" s="5"/>
      <c r="E2808" s="5"/>
      <c r="F2808" s="5"/>
      <c r="I2808" s="62"/>
    </row>
    <row r="2809">
      <c r="C2809" s="5"/>
      <c r="D2809" s="5"/>
      <c r="E2809" s="5"/>
      <c r="F2809" s="5"/>
      <c r="I2809" s="62"/>
    </row>
    <row r="2810">
      <c r="C2810" s="5"/>
      <c r="D2810" s="5"/>
      <c r="E2810" s="5"/>
      <c r="F2810" s="5"/>
      <c r="I2810" s="62"/>
    </row>
    <row r="2811">
      <c r="C2811" s="5"/>
      <c r="D2811" s="5"/>
      <c r="E2811" s="5"/>
      <c r="F2811" s="5"/>
      <c r="I2811" s="62"/>
    </row>
    <row r="2812">
      <c r="C2812" s="5"/>
      <c r="D2812" s="5"/>
      <c r="E2812" s="5"/>
      <c r="F2812" s="5"/>
      <c r="I2812" s="62"/>
    </row>
    <row r="2813">
      <c r="C2813" s="5"/>
      <c r="D2813" s="5"/>
      <c r="E2813" s="5"/>
      <c r="F2813" s="5"/>
      <c r="I2813" s="62"/>
    </row>
    <row r="2814">
      <c r="C2814" s="5"/>
      <c r="D2814" s="5"/>
      <c r="E2814" s="5"/>
      <c r="F2814" s="5"/>
      <c r="I2814" s="62"/>
    </row>
    <row r="2815">
      <c r="C2815" s="5"/>
      <c r="D2815" s="5"/>
      <c r="E2815" s="5"/>
      <c r="F2815" s="5"/>
      <c r="I2815" s="62"/>
    </row>
    <row r="2816">
      <c r="C2816" s="5"/>
      <c r="D2816" s="5"/>
      <c r="E2816" s="5"/>
      <c r="F2816" s="5"/>
      <c r="I2816" s="62"/>
    </row>
    <row r="2817">
      <c r="C2817" s="5"/>
      <c r="D2817" s="5"/>
      <c r="E2817" s="5"/>
      <c r="F2817" s="5"/>
      <c r="I2817" s="62"/>
    </row>
    <row r="2818">
      <c r="C2818" s="5"/>
      <c r="D2818" s="5"/>
      <c r="E2818" s="5"/>
      <c r="F2818" s="5"/>
      <c r="I2818" s="62"/>
    </row>
    <row r="2819">
      <c r="C2819" s="5"/>
      <c r="D2819" s="5"/>
      <c r="E2819" s="5"/>
      <c r="F2819" s="5"/>
      <c r="I2819" s="62"/>
    </row>
    <row r="2820">
      <c r="C2820" s="5"/>
      <c r="D2820" s="5"/>
      <c r="E2820" s="5"/>
      <c r="F2820" s="5"/>
      <c r="I2820" s="62"/>
    </row>
    <row r="2821">
      <c r="C2821" s="5"/>
      <c r="D2821" s="5"/>
      <c r="E2821" s="5"/>
      <c r="F2821" s="5"/>
      <c r="I2821" s="62"/>
    </row>
    <row r="2822">
      <c r="C2822" s="5"/>
      <c r="D2822" s="5"/>
      <c r="E2822" s="5"/>
      <c r="F2822" s="5"/>
      <c r="I2822" s="62"/>
    </row>
    <row r="2823">
      <c r="C2823" s="5"/>
      <c r="D2823" s="5"/>
      <c r="E2823" s="5"/>
      <c r="F2823" s="5"/>
      <c r="I2823" s="62"/>
    </row>
    <row r="2824">
      <c r="C2824" s="5"/>
      <c r="D2824" s="5"/>
      <c r="E2824" s="5"/>
      <c r="F2824" s="5"/>
      <c r="I2824" s="62"/>
    </row>
    <row r="2825">
      <c r="C2825" s="5"/>
      <c r="D2825" s="5"/>
      <c r="E2825" s="5"/>
      <c r="F2825" s="5"/>
      <c r="I2825" s="62"/>
    </row>
    <row r="2826">
      <c r="C2826" s="5"/>
      <c r="D2826" s="5"/>
      <c r="E2826" s="5"/>
      <c r="F2826" s="5"/>
      <c r="I2826" s="62"/>
    </row>
    <row r="2827">
      <c r="C2827" s="5"/>
      <c r="D2827" s="5"/>
      <c r="E2827" s="5"/>
      <c r="F2827" s="5"/>
      <c r="I2827" s="62"/>
    </row>
    <row r="2828">
      <c r="C2828" s="5"/>
      <c r="D2828" s="5"/>
      <c r="E2828" s="5"/>
      <c r="F2828" s="5"/>
      <c r="I2828" s="62"/>
    </row>
    <row r="2829">
      <c r="C2829" s="5"/>
      <c r="D2829" s="5"/>
      <c r="E2829" s="5"/>
      <c r="F2829" s="5"/>
      <c r="I2829" s="62"/>
    </row>
    <row r="2830">
      <c r="C2830" s="5"/>
      <c r="D2830" s="5"/>
      <c r="E2830" s="5"/>
      <c r="F2830" s="5"/>
      <c r="I2830" s="62"/>
    </row>
    <row r="2831">
      <c r="C2831" s="5"/>
      <c r="D2831" s="5"/>
      <c r="E2831" s="5"/>
      <c r="F2831" s="5"/>
      <c r="I2831" s="62"/>
    </row>
    <row r="2832">
      <c r="C2832" s="5"/>
      <c r="D2832" s="5"/>
      <c r="E2832" s="5"/>
      <c r="F2832" s="5"/>
      <c r="I2832" s="62"/>
    </row>
    <row r="2833">
      <c r="C2833" s="5"/>
      <c r="D2833" s="5"/>
      <c r="E2833" s="5"/>
      <c r="F2833" s="5"/>
      <c r="I2833" s="62"/>
    </row>
    <row r="2834">
      <c r="C2834" s="5"/>
      <c r="D2834" s="5"/>
      <c r="E2834" s="5"/>
      <c r="F2834" s="5"/>
      <c r="I2834" s="62"/>
    </row>
    <row r="2835">
      <c r="C2835" s="5"/>
      <c r="D2835" s="5"/>
      <c r="E2835" s="5"/>
      <c r="F2835" s="5"/>
      <c r="I2835" s="62"/>
    </row>
    <row r="2836">
      <c r="C2836" s="5"/>
      <c r="D2836" s="5"/>
      <c r="E2836" s="5"/>
      <c r="F2836" s="5"/>
      <c r="I2836" s="62"/>
    </row>
    <row r="2837">
      <c r="C2837" s="5"/>
      <c r="D2837" s="5"/>
      <c r="E2837" s="5"/>
      <c r="F2837" s="5"/>
      <c r="I2837" s="62"/>
    </row>
    <row r="2838">
      <c r="C2838" s="5"/>
      <c r="D2838" s="5"/>
      <c r="E2838" s="5"/>
      <c r="F2838" s="5"/>
      <c r="I2838" s="62"/>
    </row>
    <row r="2839">
      <c r="C2839" s="5"/>
      <c r="D2839" s="5"/>
      <c r="E2839" s="5"/>
      <c r="F2839" s="5"/>
      <c r="I2839" s="62"/>
    </row>
    <row r="2840">
      <c r="C2840" s="5"/>
      <c r="D2840" s="5"/>
      <c r="E2840" s="5"/>
      <c r="F2840" s="5"/>
      <c r="I2840" s="62"/>
    </row>
    <row r="2841">
      <c r="C2841" s="5"/>
      <c r="D2841" s="5"/>
      <c r="E2841" s="5"/>
      <c r="F2841" s="5"/>
      <c r="I2841" s="62"/>
    </row>
    <row r="2842">
      <c r="C2842" s="5"/>
      <c r="D2842" s="5"/>
      <c r="E2842" s="5"/>
      <c r="F2842" s="5"/>
      <c r="I2842" s="62"/>
    </row>
    <row r="2843">
      <c r="C2843" s="5"/>
      <c r="D2843" s="5"/>
      <c r="E2843" s="5"/>
      <c r="F2843" s="5"/>
      <c r="I2843" s="62"/>
    </row>
    <row r="2844">
      <c r="C2844" s="5"/>
      <c r="D2844" s="5"/>
      <c r="E2844" s="5"/>
      <c r="F2844" s="5"/>
      <c r="I2844" s="62"/>
    </row>
    <row r="2845">
      <c r="C2845" s="5"/>
      <c r="D2845" s="5"/>
      <c r="E2845" s="5"/>
      <c r="F2845" s="5"/>
      <c r="I2845" s="62"/>
    </row>
    <row r="2846">
      <c r="C2846" s="5"/>
      <c r="D2846" s="5"/>
      <c r="E2846" s="5"/>
      <c r="F2846" s="5"/>
      <c r="I2846" s="62"/>
    </row>
    <row r="2847">
      <c r="C2847" s="5"/>
      <c r="D2847" s="5"/>
      <c r="E2847" s="5"/>
      <c r="F2847" s="5"/>
      <c r="I2847" s="62"/>
    </row>
    <row r="2848">
      <c r="C2848" s="5"/>
      <c r="D2848" s="5"/>
      <c r="E2848" s="5"/>
      <c r="F2848" s="5"/>
      <c r="I2848" s="62"/>
    </row>
    <row r="2849">
      <c r="C2849" s="5"/>
      <c r="D2849" s="5"/>
      <c r="E2849" s="5"/>
      <c r="F2849" s="5"/>
      <c r="I2849" s="62"/>
    </row>
    <row r="2850">
      <c r="C2850" s="5"/>
      <c r="D2850" s="5"/>
      <c r="E2850" s="5"/>
      <c r="F2850" s="5"/>
      <c r="I2850" s="62"/>
    </row>
    <row r="2851">
      <c r="C2851" s="5"/>
      <c r="D2851" s="5"/>
      <c r="E2851" s="5"/>
      <c r="F2851" s="5"/>
      <c r="I2851" s="62"/>
    </row>
    <row r="2852">
      <c r="C2852" s="5"/>
      <c r="D2852" s="5"/>
      <c r="E2852" s="5"/>
      <c r="F2852" s="5"/>
      <c r="I2852" s="62"/>
    </row>
    <row r="2853">
      <c r="C2853" s="5"/>
      <c r="D2853" s="5"/>
      <c r="E2853" s="5"/>
      <c r="F2853" s="5"/>
      <c r="I2853" s="62"/>
    </row>
    <row r="2854">
      <c r="C2854" s="5"/>
      <c r="D2854" s="5"/>
      <c r="E2854" s="5"/>
      <c r="F2854" s="5"/>
      <c r="I2854" s="62"/>
    </row>
    <row r="2855">
      <c r="C2855" s="5"/>
      <c r="D2855" s="5"/>
      <c r="E2855" s="5"/>
      <c r="F2855" s="5"/>
      <c r="I2855" s="62"/>
    </row>
    <row r="2856">
      <c r="C2856" s="5"/>
      <c r="D2856" s="5"/>
      <c r="E2856" s="5"/>
      <c r="F2856" s="5"/>
      <c r="I2856" s="62"/>
    </row>
    <row r="2857">
      <c r="C2857" s="5"/>
      <c r="D2857" s="5"/>
      <c r="E2857" s="5"/>
      <c r="F2857" s="5"/>
      <c r="I2857" s="62"/>
    </row>
    <row r="2858">
      <c r="C2858" s="5"/>
      <c r="D2858" s="5"/>
      <c r="E2858" s="5"/>
      <c r="F2858" s="5"/>
      <c r="I2858" s="62"/>
    </row>
    <row r="2859">
      <c r="C2859" s="5"/>
      <c r="D2859" s="5"/>
      <c r="E2859" s="5"/>
      <c r="F2859" s="5"/>
      <c r="I2859" s="62"/>
    </row>
    <row r="2860">
      <c r="C2860" s="5"/>
      <c r="D2860" s="5"/>
      <c r="E2860" s="5"/>
      <c r="F2860" s="5"/>
      <c r="I2860" s="62"/>
    </row>
    <row r="2861">
      <c r="C2861" s="5"/>
      <c r="D2861" s="5"/>
      <c r="E2861" s="5"/>
      <c r="F2861" s="5"/>
      <c r="I2861" s="62"/>
    </row>
    <row r="2862">
      <c r="C2862" s="5"/>
      <c r="D2862" s="5"/>
      <c r="E2862" s="5"/>
      <c r="F2862" s="5"/>
      <c r="I2862" s="62"/>
    </row>
    <row r="2863">
      <c r="C2863" s="5"/>
      <c r="D2863" s="5"/>
      <c r="E2863" s="5"/>
      <c r="F2863" s="5"/>
      <c r="I2863" s="62"/>
    </row>
    <row r="2864">
      <c r="C2864" s="5"/>
      <c r="D2864" s="5"/>
      <c r="E2864" s="5"/>
      <c r="F2864" s="5"/>
      <c r="I2864" s="62"/>
    </row>
    <row r="2865">
      <c r="C2865" s="5"/>
      <c r="D2865" s="5"/>
      <c r="E2865" s="5"/>
      <c r="F2865" s="5"/>
      <c r="I2865" s="62"/>
    </row>
    <row r="2866">
      <c r="C2866" s="5"/>
      <c r="D2866" s="5"/>
      <c r="E2866" s="5"/>
      <c r="F2866" s="5"/>
      <c r="I2866" s="62"/>
    </row>
    <row r="2867">
      <c r="C2867" s="5"/>
      <c r="D2867" s="5"/>
      <c r="E2867" s="5"/>
      <c r="F2867" s="5"/>
      <c r="I2867" s="62"/>
    </row>
    <row r="2868">
      <c r="C2868" s="5"/>
      <c r="D2868" s="5"/>
      <c r="E2868" s="5"/>
      <c r="F2868" s="5"/>
      <c r="I2868" s="62"/>
    </row>
    <row r="2869">
      <c r="C2869" s="5"/>
      <c r="D2869" s="5"/>
      <c r="E2869" s="5"/>
      <c r="F2869" s="5"/>
      <c r="I2869" s="62"/>
    </row>
    <row r="2870">
      <c r="C2870" s="5"/>
      <c r="D2870" s="5"/>
      <c r="E2870" s="5"/>
      <c r="F2870" s="5"/>
      <c r="I2870" s="62"/>
    </row>
    <row r="2871">
      <c r="C2871" s="5"/>
      <c r="D2871" s="5"/>
      <c r="E2871" s="5"/>
      <c r="F2871" s="5"/>
      <c r="I2871" s="62"/>
    </row>
    <row r="2872">
      <c r="C2872" s="5"/>
      <c r="D2872" s="5"/>
      <c r="E2872" s="5"/>
      <c r="F2872" s="5"/>
      <c r="I2872" s="62"/>
    </row>
    <row r="2873">
      <c r="C2873" s="5"/>
      <c r="D2873" s="5"/>
      <c r="E2873" s="5"/>
      <c r="F2873" s="5"/>
      <c r="I2873" s="62"/>
    </row>
    <row r="2874">
      <c r="C2874" s="5"/>
      <c r="D2874" s="5"/>
      <c r="E2874" s="5"/>
      <c r="F2874" s="5"/>
      <c r="I2874" s="62"/>
    </row>
    <row r="2875">
      <c r="C2875" s="5"/>
      <c r="D2875" s="5"/>
      <c r="E2875" s="5"/>
      <c r="F2875" s="5"/>
      <c r="I2875" s="62"/>
    </row>
    <row r="2876">
      <c r="C2876" s="5"/>
      <c r="D2876" s="5"/>
      <c r="E2876" s="5"/>
      <c r="F2876" s="5"/>
      <c r="I2876" s="62"/>
    </row>
    <row r="2877">
      <c r="C2877" s="5"/>
      <c r="D2877" s="5"/>
      <c r="E2877" s="5"/>
      <c r="F2877" s="5"/>
      <c r="I2877" s="62"/>
    </row>
    <row r="2878">
      <c r="C2878" s="5"/>
      <c r="D2878" s="5"/>
      <c r="E2878" s="5"/>
      <c r="F2878" s="5"/>
      <c r="I2878" s="62"/>
    </row>
    <row r="2879">
      <c r="C2879" s="5"/>
      <c r="D2879" s="5"/>
      <c r="E2879" s="5"/>
      <c r="F2879" s="5"/>
      <c r="I2879" s="62"/>
    </row>
    <row r="2880">
      <c r="C2880" s="5"/>
      <c r="D2880" s="5"/>
      <c r="E2880" s="5"/>
      <c r="F2880" s="5"/>
      <c r="I2880" s="62"/>
    </row>
    <row r="2881">
      <c r="C2881" s="5"/>
      <c r="D2881" s="5"/>
      <c r="E2881" s="5"/>
      <c r="F2881" s="5"/>
      <c r="I2881" s="62"/>
    </row>
    <row r="2882">
      <c r="C2882" s="5"/>
      <c r="D2882" s="5"/>
      <c r="E2882" s="5"/>
      <c r="F2882" s="5"/>
      <c r="I2882" s="62"/>
    </row>
    <row r="2883">
      <c r="C2883" s="5"/>
      <c r="D2883" s="5"/>
      <c r="E2883" s="5"/>
      <c r="F2883" s="5"/>
      <c r="I2883" s="62"/>
    </row>
    <row r="2884">
      <c r="C2884" s="5"/>
      <c r="D2884" s="5"/>
      <c r="E2884" s="5"/>
      <c r="F2884" s="5"/>
      <c r="I2884" s="62"/>
    </row>
    <row r="2885">
      <c r="C2885" s="5"/>
      <c r="D2885" s="5"/>
      <c r="E2885" s="5"/>
      <c r="F2885" s="5"/>
      <c r="I2885" s="62"/>
    </row>
    <row r="2886">
      <c r="C2886" s="5"/>
      <c r="D2886" s="5"/>
      <c r="E2886" s="5"/>
      <c r="F2886" s="5"/>
      <c r="I2886" s="62"/>
    </row>
    <row r="2887">
      <c r="C2887" s="5"/>
      <c r="D2887" s="5"/>
      <c r="E2887" s="5"/>
      <c r="F2887" s="5"/>
      <c r="I2887" s="62"/>
    </row>
    <row r="2888">
      <c r="C2888" s="5"/>
      <c r="D2888" s="5"/>
      <c r="E2888" s="5"/>
      <c r="F2888" s="5"/>
      <c r="I2888" s="62"/>
    </row>
    <row r="2889">
      <c r="C2889" s="5"/>
      <c r="D2889" s="5"/>
      <c r="E2889" s="5"/>
      <c r="F2889" s="5"/>
      <c r="I2889" s="62"/>
    </row>
    <row r="2890">
      <c r="C2890" s="5"/>
      <c r="D2890" s="5"/>
      <c r="E2890" s="5"/>
      <c r="F2890" s="5"/>
      <c r="I2890" s="62"/>
    </row>
    <row r="2891">
      <c r="C2891" s="5"/>
      <c r="D2891" s="5"/>
      <c r="E2891" s="5"/>
      <c r="F2891" s="5"/>
      <c r="I2891" s="62"/>
    </row>
    <row r="2892">
      <c r="C2892" s="5"/>
      <c r="D2892" s="5"/>
      <c r="E2892" s="5"/>
      <c r="F2892" s="5"/>
      <c r="I2892" s="62"/>
    </row>
    <row r="2893">
      <c r="C2893" s="5"/>
      <c r="D2893" s="5"/>
      <c r="E2893" s="5"/>
      <c r="F2893" s="5"/>
      <c r="I2893" s="62"/>
    </row>
    <row r="2894">
      <c r="C2894" s="5"/>
      <c r="D2894" s="5"/>
      <c r="E2894" s="5"/>
      <c r="F2894" s="5"/>
      <c r="I2894" s="62"/>
    </row>
    <row r="2895">
      <c r="C2895" s="5"/>
      <c r="D2895" s="5"/>
      <c r="E2895" s="5"/>
      <c r="F2895" s="5"/>
      <c r="I2895" s="62"/>
    </row>
    <row r="2896">
      <c r="C2896" s="5"/>
      <c r="D2896" s="5"/>
      <c r="E2896" s="5"/>
      <c r="F2896" s="5"/>
      <c r="I2896" s="62"/>
    </row>
    <row r="2897">
      <c r="C2897" s="5"/>
      <c r="D2897" s="5"/>
      <c r="E2897" s="5"/>
      <c r="F2897" s="5"/>
      <c r="I2897" s="62"/>
    </row>
    <row r="2898">
      <c r="C2898" s="5"/>
      <c r="D2898" s="5"/>
      <c r="E2898" s="5"/>
      <c r="F2898" s="5"/>
      <c r="I2898" s="62"/>
    </row>
    <row r="2899">
      <c r="C2899" s="5"/>
      <c r="D2899" s="5"/>
      <c r="E2899" s="5"/>
      <c r="F2899" s="5"/>
      <c r="I2899" s="62"/>
    </row>
    <row r="2900">
      <c r="C2900" s="5"/>
      <c r="D2900" s="5"/>
      <c r="E2900" s="5"/>
      <c r="F2900" s="5"/>
      <c r="I2900" s="62"/>
    </row>
    <row r="2901">
      <c r="C2901" s="5"/>
      <c r="D2901" s="5"/>
      <c r="E2901" s="5"/>
      <c r="F2901" s="5"/>
      <c r="I2901" s="62"/>
    </row>
    <row r="2902">
      <c r="C2902" s="5"/>
      <c r="D2902" s="5"/>
      <c r="E2902" s="5"/>
      <c r="F2902" s="5"/>
      <c r="I2902" s="62"/>
    </row>
    <row r="2903">
      <c r="C2903" s="5"/>
      <c r="D2903" s="5"/>
      <c r="E2903" s="5"/>
      <c r="F2903" s="5"/>
      <c r="I2903" s="62"/>
    </row>
    <row r="2904">
      <c r="C2904" s="5"/>
      <c r="D2904" s="5"/>
      <c r="E2904" s="5"/>
      <c r="F2904" s="5"/>
      <c r="I2904" s="62"/>
    </row>
    <row r="2905">
      <c r="C2905" s="5"/>
      <c r="D2905" s="5"/>
      <c r="E2905" s="5"/>
      <c r="F2905" s="5"/>
      <c r="I2905" s="62"/>
    </row>
    <row r="2906">
      <c r="C2906" s="5"/>
      <c r="D2906" s="5"/>
      <c r="E2906" s="5"/>
      <c r="F2906" s="5"/>
      <c r="I2906" s="62"/>
    </row>
    <row r="2907">
      <c r="C2907" s="5"/>
      <c r="D2907" s="5"/>
      <c r="E2907" s="5"/>
      <c r="F2907" s="5"/>
      <c r="I2907" s="62"/>
    </row>
    <row r="2908">
      <c r="C2908" s="5"/>
      <c r="D2908" s="5"/>
      <c r="E2908" s="5"/>
      <c r="F2908" s="5"/>
      <c r="I2908" s="62"/>
    </row>
    <row r="2909">
      <c r="C2909" s="5"/>
      <c r="D2909" s="5"/>
      <c r="E2909" s="5"/>
      <c r="F2909" s="5"/>
      <c r="I2909" s="62"/>
    </row>
    <row r="2910">
      <c r="C2910" s="5"/>
      <c r="D2910" s="5"/>
      <c r="E2910" s="5"/>
      <c r="F2910" s="5"/>
      <c r="I2910" s="62"/>
    </row>
    <row r="2911">
      <c r="C2911" s="5"/>
      <c r="D2911" s="5"/>
      <c r="E2911" s="5"/>
      <c r="F2911" s="5"/>
      <c r="I2911" s="62"/>
    </row>
    <row r="2912">
      <c r="C2912" s="5"/>
      <c r="D2912" s="5"/>
      <c r="E2912" s="5"/>
      <c r="F2912" s="5"/>
      <c r="I2912" s="62"/>
    </row>
    <row r="2913">
      <c r="C2913" s="5"/>
      <c r="D2913" s="5"/>
      <c r="E2913" s="5"/>
      <c r="F2913" s="5"/>
      <c r="I2913" s="62"/>
    </row>
    <row r="2914">
      <c r="C2914" s="5"/>
      <c r="D2914" s="5"/>
      <c r="E2914" s="5"/>
      <c r="F2914" s="5"/>
      <c r="I2914" s="62"/>
    </row>
    <row r="2915">
      <c r="C2915" s="5"/>
      <c r="D2915" s="5"/>
      <c r="E2915" s="5"/>
      <c r="F2915" s="5"/>
      <c r="I2915" s="62"/>
    </row>
    <row r="2916">
      <c r="C2916" s="5"/>
      <c r="D2916" s="5"/>
      <c r="E2916" s="5"/>
      <c r="F2916" s="5"/>
      <c r="I2916" s="62"/>
    </row>
    <row r="2917">
      <c r="C2917" s="5"/>
      <c r="D2917" s="5"/>
      <c r="E2917" s="5"/>
      <c r="F2917" s="5"/>
      <c r="I2917" s="62"/>
    </row>
    <row r="2918">
      <c r="C2918" s="5"/>
      <c r="D2918" s="5"/>
      <c r="E2918" s="5"/>
      <c r="F2918" s="5"/>
      <c r="I2918" s="62"/>
    </row>
    <row r="2919">
      <c r="C2919" s="5"/>
      <c r="D2919" s="5"/>
      <c r="E2919" s="5"/>
      <c r="F2919" s="5"/>
      <c r="I2919" s="62"/>
    </row>
    <row r="2920">
      <c r="C2920" s="5"/>
      <c r="D2920" s="5"/>
      <c r="E2920" s="5"/>
      <c r="F2920" s="5"/>
      <c r="I2920" s="62"/>
    </row>
    <row r="2921">
      <c r="C2921" s="5"/>
      <c r="D2921" s="5"/>
      <c r="E2921" s="5"/>
      <c r="F2921" s="5"/>
      <c r="I2921" s="62"/>
    </row>
    <row r="2922">
      <c r="C2922" s="5"/>
      <c r="D2922" s="5"/>
      <c r="E2922" s="5"/>
      <c r="F2922" s="5"/>
      <c r="I2922" s="62"/>
    </row>
    <row r="2923">
      <c r="C2923" s="5"/>
      <c r="D2923" s="5"/>
      <c r="E2923" s="5"/>
      <c r="F2923" s="5"/>
      <c r="I2923" s="62"/>
    </row>
    <row r="2924">
      <c r="C2924" s="5"/>
      <c r="D2924" s="5"/>
      <c r="E2924" s="5"/>
      <c r="F2924" s="5"/>
      <c r="I2924" s="62"/>
    </row>
    <row r="2925">
      <c r="C2925" s="5"/>
      <c r="D2925" s="5"/>
      <c r="E2925" s="5"/>
      <c r="F2925" s="5"/>
      <c r="I2925" s="62"/>
    </row>
    <row r="2926">
      <c r="C2926" s="5"/>
      <c r="D2926" s="5"/>
      <c r="E2926" s="5"/>
      <c r="F2926" s="5"/>
      <c r="I2926" s="62"/>
    </row>
    <row r="2927">
      <c r="C2927" s="5"/>
      <c r="D2927" s="5"/>
      <c r="E2927" s="5"/>
      <c r="F2927" s="5"/>
      <c r="I2927" s="62"/>
    </row>
    <row r="2928">
      <c r="C2928" s="5"/>
      <c r="D2928" s="5"/>
      <c r="E2928" s="5"/>
      <c r="F2928" s="5"/>
      <c r="I2928" s="62"/>
    </row>
    <row r="2929">
      <c r="C2929" s="5"/>
      <c r="D2929" s="5"/>
      <c r="E2929" s="5"/>
      <c r="F2929" s="5"/>
      <c r="I2929" s="62"/>
    </row>
    <row r="2930">
      <c r="C2930" s="5"/>
      <c r="D2930" s="5"/>
      <c r="E2930" s="5"/>
      <c r="F2930" s="5"/>
      <c r="I2930" s="62"/>
    </row>
    <row r="2931">
      <c r="C2931" s="5"/>
      <c r="D2931" s="5"/>
      <c r="E2931" s="5"/>
      <c r="F2931" s="5"/>
      <c r="I2931" s="62"/>
    </row>
    <row r="2932">
      <c r="C2932" s="5"/>
      <c r="D2932" s="5"/>
      <c r="E2932" s="5"/>
      <c r="F2932" s="5"/>
      <c r="I2932" s="62"/>
    </row>
    <row r="2933">
      <c r="C2933" s="5"/>
      <c r="D2933" s="5"/>
      <c r="E2933" s="5"/>
      <c r="F2933" s="5"/>
      <c r="I2933" s="62"/>
    </row>
    <row r="2934">
      <c r="C2934" s="5"/>
      <c r="D2934" s="5"/>
      <c r="E2934" s="5"/>
      <c r="F2934" s="5"/>
      <c r="I2934" s="62"/>
    </row>
    <row r="2935">
      <c r="C2935" s="5"/>
      <c r="D2935" s="5"/>
      <c r="E2935" s="5"/>
      <c r="F2935" s="5"/>
      <c r="I2935" s="62"/>
    </row>
    <row r="2936">
      <c r="C2936" s="5"/>
      <c r="D2936" s="5"/>
      <c r="E2936" s="5"/>
      <c r="F2936" s="5"/>
      <c r="I2936" s="62"/>
    </row>
    <row r="2937">
      <c r="C2937" s="5"/>
      <c r="D2937" s="5"/>
      <c r="E2937" s="5"/>
      <c r="F2937" s="5"/>
      <c r="I2937" s="62"/>
    </row>
    <row r="2938">
      <c r="C2938" s="5"/>
      <c r="D2938" s="5"/>
      <c r="E2938" s="5"/>
      <c r="F2938" s="5"/>
      <c r="I2938" s="62"/>
    </row>
    <row r="2939">
      <c r="C2939" s="5"/>
      <c r="D2939" s="5"/>
      <c r="E2939" s="5"/>
      <c r="F2939" s="5"/>
      <c r="I2939" s="62"/>
    </row>
    <row r="2940">
      <c r="C2940" s="5"/>
      <c r="D2940" s="5"/>
      <c r="E2940" s="5"/>
      <c r="F2940" s="5"/>
      <c r="I2940" s="62"/>
    </row>
    <row r="2941">
      <c r="C2941" s="5"/>
      <c r="D2941" s="5"/>
      <c r="E2941" s="5"/>
      <c r="F2941" s="5"/>
      <c r="I2941" s="62"/>
    </row>
    <row r="2942">
      <c r="C2942" s="5"/>
      <c r="D2942" s="5"/>
      <c r="E2942" s="5"/>
      <c r="F2942" s="5"/>
      <c r="I2942" s="62"/>
    </row>
    <row r="2943">
      <c r="C2943" s="5"/>
      <c r="D2943" s="5"/>
      <c r="E2943" s="5"/>
      <c r="F2943" s="5"/>
      <c r="I2943" s="62"/>
    </row>
    <row r="2944">
      <c r="C2944" s="5"/>
      <c r="D2944" s="5"/>
      <c r="E2944" s="5"/>
      <c r="F2944" s="5"/>
      <c r="I2944" s="62"/>
    </row>
    <row r="2945">
      <c r="C2945" s="5"/>
      <c r="D2945" s="5"/>
      <c r="E2945" s="5"/>
      <c r="F2945" s="5"/>
      <c r="I2945" s="62"/>
    </row>
    <row r="2946">
      <c r="C2946" s="5"/>
      <c r="D2946" s="5"/>
      <c r="E2946" s="5"/>
      <c r="F2946" s="5"/>
      <c r="I2946" s="62"/>
    </row>
    <row r="2947">
      <c r="C2947" s="5"/>
      <c r="D2947" s="5"/>
      <c r="E2947" s="5"/>
      <c r="F2947" s="5"/>
      <c r="I2947" s="62"/>
    </row>
    <row r="2948">
      <c r="C2948" s="5"/>
      <c r="D2948" s="5"/>
      <c r="E2948" s="5"/>
      <c r="F2948" s="5"/>
      <c r="I2948" s="62"/>
    </row>
    <row r="2949">
      <c r="C2949" s="5"/>
      <c r="D2949" s="5"/>
      <c r="E2949" s="5"/>
      <c r="F2949" s="5"/>
      <c r="I2949" s="62"/>
    </row>
    <row r="2950">
      <c r="C2950" s="5"/>
      <c r="D2950" s="5"/>
      <c r="E2950" s="5"/>
      <c r="F2950" s="5"/>
      <c r="I2950" s="62"/>
    </row>
    <row r="2951">
      <c r="C2951" s="5"/>
      <c r="D2951" s="5"/>
      <c r="E2951" s="5"/>
      <c r="F2951" s="5"/>
      <c r="I2951" s="62"/>
    </row>
    <row r="2952">
      <c r="C2952" s="5"/>
      <c r="D2952" s="5"/>
      <c r="E2952" s="5"/>
      <c r="F2952" s="5"/>
      <c r="I2952" s="62"/>
    </row>
    <row r="2953">
      <c r="C2953" s="5"/>
      <c r="D2953" s="5"/>
      <c r="E2953" s="5"/>
      <c r="F2953" s="5"/>
      <c r="I2953" s="62"/>
    </row>
    <row r="2954">
      <c r="C2954" s="5"/>
      <c r="D2954" s="5"/>
      <c r="E2954" s="5"/>
      <c r="F2954" s="5"/>
      <c r="I2954" s="62"/>
    </row>
    <row r="2955">
      <c r="C2955" s="5"/>
      <c r="D2955" s="5"/>
      <c r="E2955" s="5"/>
      <c r="F2955" s="5"/>
      <c r="I2955" s="62"/>
    </row>
    <row r="2956">
      <c r="C2956" s="5"/>
      <c r="D2956" s="5"/>
      <c r="E2956" s="5"/>
      <c r="F2956" s="5"/>
      <c r="I2956" s="62"/>
    </row>
    <row r="2957">
      <c r="C2957" s="5"/>
      <c r="D2957" s="5"/>
      <c r="E2957" s="5"/>
      <c r="F2957" s="5"/>
      <c r="I2957" s="62"/>
    </row>
    <row r="2958">
      <c r="C2958" s="5"/>
      <c r="D2958" s="5"/>
      <c r="E2958" s="5"/>
      <c r="F2958" s="5"/>
      <c r="I2958" s="62"/>
    </row>
    <row r="2959">
      <c r="C2959" s="5"/>
      <c r="D2959" s="5"/>
      <c r="E2959" s="5"/>
      <c r="F2959" s="5"/>
      <c r="I2959" s="62"/>
    </row>
    <row r="2960">
      <c r="C2960" s="5"/>
      <c r="D2960" s="5"/>
      <c r="E2960" s="5"/>
      <c r="F2960" s="5"/>
      <c r="I2960" s="62"/>
    </row>
    <row r="2961">
      <c r="C2961" s="5"/>
      <c r="D2961" s="5"/>
      <c r="E2961" s="5"/>
      <c r="F2961" s="5"/>
      <c r="I2961" s="62"/>
    </row>
  </sheetData>
  <hyperlinks>
    <hyperlink r:id="rId1" ref="J130"/>
    <hyperlink r:id="rId2" ref="J131"/>
    <hyperlink r:id="rId3" ref="J132"/>
    <hyperlink r:id="rId4" ref="J133"/>
    <hyperlink r:id="rId5" ref="J134"/>
    <hyperlink r:id="rId6" ref="J135"/>
    <hyperlink r:id="rId7" ref="J136"/>
    <hyperlink r:id="rId8" ref="J137"/>
    <hyperlink r:id="rId9" ref="J138"/>
    <hyperlink r:id="rId10" ref="J139"/>
    <hyperlink r:id="rId11" ref="J140"/>
    <hyperlink r:id="rId12" ref="J141"/>
    <hyperlink r:id="rId13" ref="J142"/>
    <hyperlink r:id="rId14" ref="J143"/>
    <hyperlink r:id="rId15" ref="J144"/>
    <hyperlink r:id="rId16" ref="J145"/>
    <hyperlink r:id="rId17" ref="J146"/>
    <hyperlink r:id="rId18" ref="J147"/>
    <hyperlink r:id="rId19" ref="J148"/>
    <hyperlink r:id="rId20" ref="J149"/>
    <hyperlink r:id="rId21" ref="J150"/>
    <hyperlink r:id="rId22" ref="J151"/>
    <hyperlink r:id="rId23" ref="J152"/>
    <hyperlink r:id="rId24" ref="J153"/>
    <hyperlink r:id="rId25" ref="J154"/>
    <hyperlink r:id="rId26" ref="J155"/>
    <hyperlink r:id="rId27" ref="J156"/>
    <hyperlink r:id="rId28" ref="J157"/>
    <hyperlink r:id="rId29" ref="J158"/>
    <hyperlink r:id="rId30" ref="J159"/>
    <hyperlink r:id="rId31" ref="J160"/>
    <hyperlink r:id="rId32" ref="J161"/>
    <hyperlink r:id="rId33" ref="J162"/>
    <hyperlink r:id="rId34" ref="J163"/>
    <hyperlink r:id="rId35" ref="J164"/>
    <hyperlink r:id="rId36" ref="J165"/>
    <hyperlink r:id="rId37" ref="J166"/>
    <hyperlink r:id="rId38" ref="J167"/>
  </hyperlinks>
  <drawing r:id="rId39"/>
</worksheet>
</file>